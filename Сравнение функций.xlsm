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04FF927B-F614-4EBF-99A5-094F14C1359D}" xr6:coauthVersionLast="46" xr6:coauthVersionMax="46" xr10:uidLastSave="{00000000-0000-0000-0000-000000000000}"/>
  <bookViews>
    <workbookView xWindow="30795" yWindow="1425" windowWidth="29355" windowHeight="15660" xr2:uid="{60846977-53C8-4465-B3EA-F4BCB5E4B753}"/>
  </bookViews>
  <sheets>
    <sheet name="Сравнение" sheetId="1" r:id="rId1"/>
  </sheets>
  <definedNames>
    <definedName name="solver_adj" localSheetId="0" hidden="1">Сравнение!$F$7:$K$7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Сравнение!$C$7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1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AW47" i="1"/>
  <c r="C48" i="1"/>
  <c r="B50" i="1" s="1"/>
  <c r="Q48" i="1"/>
  <c r="R48" i="1"/>
  <c r="S48" i="1"/>
  <c r="T48" i="1"/>
  <c r="U48" i="1"/>
  <c r="V48" i="1"/>
  <c r="W48" i="1"/>
  <c r="X48" i="1"/>
  <c r="Z48" i="1"/>
  <c r="AA48" i="1"/>
  <c r="AB48" i="1"/>
  <c r="AC48" i="1"/>
  <c r="AD48" i="1"/>
  <c r="AE48" i="1"/>
  <c r="AF48" i="1"/>
  <c r="AG48" i="1"/>
  <c r="B49" i="1"/>
  <c r="C49" i="1"/>
  <c r="F49" i="1" s="1"/>
  <c r="D49" i="1"/>
  <c r="E49" i="1"/>
  <c r="G49" i="1"/>
  <c r="H49" i="1"/>
  <c r="I49" i="1"/>
  <c r="K49" i="1"/>
  <c r="Q49" i="1"/>
  <c r="R49" i="1"/>
  <c r="S49" i="1"/>
  <c r="T49" i="1"/>
  <c r="U49" i="1"/>
  <c r="V49" i="1"/>
  <c r="W49" i="1"/>
  <c r="M49" i="1" s="1"/>
  <c r="AU49" i="1" s="1"/>
  <c r="X49" i="1"/>
  <c r="Z49" i="1"/>
  <c r="AA49" i="1"/>
  <c r="AB49" i="1"/>
  <c r="AC49" i="1"/>
  <c r="AD49" i="1"/>
  <c r="AE49" i="1"/>
  <c r="AF49" i="1"/>
  <c r="AG49" i="1"/>
  <c r="S50" i="1"/>
  <c r="AB50" i="1"/>
  <c r="AS49" i="1" l="1"/>
  <c r="AP49" i="1"/>
  <c r="N49" i="1"/>
  <c r="L49" i="1" s="1"/>
  <c r="T50" i="1"/>
  <c r="AC50" i="1"/>
  <c r="C50" i="1"/>
  <c r="U50" i="1"/>
  <c r="AD50" i="1"/>
  <c r="V50" i="1"/>
  <c r="AE50" i="1"/>
  <c r="W50" i="1"/>
  <c r="AF50" i="1"/>
  <c r="X50" i="1"/>
  <c r="AG50" i="1"/>
  <c r="B51" i="1"/>
  <c r="Q50" i="1"/>
  <c r="Z50" i="1"/>
  <c r="R50" i="1"/>
  <c r="AA50" i="1"/>
  <c r="AQ49" i="1"/>
  <c r="AT49" i="1"/>
  <c r="J49" i="1"/>
  <c r="N50" i="1" l="1"/>
  <c r="M50" i="1"/>
  <c r="L50" i="1" s="1"/>
  <c r="AR49" i="1"/>
  <c r="AV49" i="1"/>
  <c r="X51" i="1"/>
  <c r="AG51" i="1"/>
  <c r="B52" i="1"/>
  <c r="Q51" i="1"/>
  <c r="Z51" i="1"/>
  <c r="R51" i="1"/>
  <c r="AA51" i="1"/>
  <c r="S51" i="1"/>
  <c r="AB51" i="1"/>
  <c r="T51" i="1"/>
  <c r="AC51" i="1"/>
  <c r="C51" i="1"/>
  <c r="U51" i="1"/>
  <c r="AD51" i="1"/>
  <c r="V51" i="1"/>
  <c r="AE51" i="1"/>
  <c r="W51" i="1"/>
  <c r="AF51" i="1"/>
  <c r="J50" i="1"/>
  <c r="K50" i="1"/>
  <c r="D50" i="1"/>
  <c r="E50" i="1"/>
  <c r="F50" i="1"/>
  <c r="G50" i="1"/>
  <c r="H50" i="1"/>
  <c r="I50" i="1"/>
  <c r="M51" i="1" l="1"/>
  <c r="AU50" i="1"/>
  <c r="AQ50" i="1"/>
  <c r="T52" i="1"/>
  <c r="AC52" i="1"/>
  <c r="C52" i="1"/>
  <c r="U52" i="1"/>
  <c r="AD52" i="1"/>
  <c r="V52" i="1"/>
  <c r="AE52" i="1"/>
  <c r="X52" i="1"/>
  <c r="AG52" i="1"/>
  <c r="B53" i="1"/>
  <c r="Q52" i="1"/>
  <c r="Z52" i="1"/>
  <c r="R52" i="1"/>
  <c r="AA52" i="1"/>
  <c r="S52" i="1"/>
  <c r="W52" i="1"/>
  <c r="AB52" i="1"/>
  <c r="AF52" i="1"/>
  <c r="F51" i="1"/>
  <c r="G51" i="1"/>
  <c r="H51" i="1"/>
  <c r="I51" i="1"/>
  <c r="J51" i="1"/>
  <c r="K51" i="1"/>
  <c r="D51" i="1"/>
  <c r="E51" i="1"/>
  <c r="AT50" i="1"/>
  <c r="AP50" i="1"/>
  <c r="AV50" i="1"/>
  <c r="AR50" i="1"/>
  <c r="AS50" i="1"/>
  <c r="N51" i="1"/>
  <c r="L51" i="1" s="1"/>
  <c r="AS51" i="1" l="1"/>
  <c r="AQ51" i="1"/>
  <c r="AU51" i="1"/>
  <c r="AP51" i="1"/>
  <c r="AT51" i="1"/>
  <c r="N52" i="1"/>
  <c r="M52" i="1"/>
  <c r="J52" i="1"/>
  <c r="K52" i="1"/>
  <c r="D52" i="1"/>
  <c r="F52" i="1"/>
  <c r="G52" i="1"/>
  <c r="H52" i="1"/>
  <c r="E52" i="1"/>
  <c r="I52" i="1"/>
  <c r="X53" i="1"/>
  <c r="AG53" i="1"/>
  <c r="B54" i="1"/>
  <c r="Q53" i="1"/>
  <c r="Z53" i="1"/>
  <c r="R53" i="1"/>
  <c r="AA53" i="1"/>
  <c r="T53" i="1"/>
  <c r="AC53" i="1"/>
  <c r="C53" i="1"/>
  <c r="U53" i="1"/>
  <c r="AD53" i="1"/>
  <c r="V53" i="1"/>
  <c r="AE53" i="1"/>
  <c r="AF53" i="1"/>
  <c r="S53" i="1"/>
  <c r="W53" i="1"/>
  <c r="AB53" i="1"/>
  <c r="AV51" i="1"/>
  <c r="AR51" i="1"/>
  <c r="AS52" i="1" l="1"/>
  <c r="AP52" i="1"/>
  <c r="L52" i="1"/>
  <c r="AT52" i="1" s="1"/>
  <c r="N53" i="1"/>
  <c r="M53" i="1"/>
  <c r="T54" i="1"/>
  <c r="AC54" i="1"/>
  <c r="C54" i="1"/>
  <c r="U54" i="1"/>
  <c r="AD54" i="1"/>
  <c r="V54" i="1"/>
  <c r="AE54" i="1"/>
  <c r="X54" i="1"/>
  <c r="AG54" i="1"/>
  <c r="B55" i="1"/>
  <c r="Q54" i="1"/>
  <c r="Z54" i="1"/>
  <c r="R54" i="1"/>
  <c r="S54" i="1"/>
  <c r="W54" i="1"/>
  <c r="AA54" i="1"/>
  <c r="AB54" i="1"/>
  <c r="AF54" i="1"/>
  <c r="F53" i="1"/>
  <c r="G53" i="1"/>
  <c r="H53" i="1"/>
  <c r="J53" i="1"/>
  <c r="K53" i="1"/>
  <c r="D53" i="1"/>
  <c r="E53" i="1"/>
  <c r="I53" i="1"/>
  <c r="AR52" i="1"/>
  <c r="AV52" i="1"/>
  <c r="AU52" i="1"/>
  <c r="AQ52" i="1"/>
  <c r="M54" i="1" l="1"/>
  <c r="L53" i="1"/>
  <c r="AT53" i="1" s="1"/>
  <c r="AS53" i="1"/>
  <c r="J54" i="1"/>
  <c r="K54" i="1"/>
  <c r="D54" i="1"/>
  <c r="F54" i="1"/>
  <c r="G54" i="1"/>
  <c r="E54" i="1"/>
  <c r="H54" i="1"/>
  <c r="I54" i="1"/>
  <c r="X55" i="1"/>
  <c r="AG55" i="1"/>
  <c r="B56" i="1"/>
  <c r="Q55" i="1"/>
  <c r="Z55" i="1"/>
  <c r="R55" i="1"/>
  <c r="AA55" i="1"/>
  <c r="T55" i="1"/>
  <c r="AC55" i="1"/>
  <c r="C55" i="1"/>
  <c r="U55" i="1"/>
  <c r="AD55" i="1"/>
  <c r="W55" i="1"/>
  <c r="AB55" i="1"/>
  <c r="AE55" i="1"/>
  <c r="AF55" i="1"/>
  <c r="S55" i="1"/>
  <c r="V55" i="1"/>
  <c r="AR53" i="1"/>
  <c r="AV53" i="1"/>
  <c r="AQ53" i="1"/>
  <c r="AU53" i="1"/>
  <c r="AP53" i="1"/>
  <c r="N54" i="1"/>
  <c r="L54" i="1" l="1"/>
  <c r="AT54" i="1" s="1"/>
  <c r="AS54" i="1"/>
  <c r="AU54" i="1"/>
  <c r="AQ54" i="1"/>
  <c r="AP54" i="1"/>
  <c r="N55" i="1"/>
  <c r="M55" i="1"/>
  <c r="T56" i="1"/>
  <c r="AC56" i="1"/>
  <c r="C56" i="1"/>
  <c r="U56" i="1"/>
  <c r="AD56" i="1"/>
  <c r="V56" i="1"/>
  <c r="AE56" i="1"/>
  <c r="X56" i="1"/>
  <c r="AG56" i="1"/>
  <c r="B57" i="1"/>
  <c r="Q56" i="1"/>
  <c r="Z56" i="1"/>
  <c r="AF56" i="1"/>
  <c r="R56" i="1"/>
  <c r="S56" i="1"/>
  <c r="W56" i="1"/>
  <c r="AA56" i="1"/>
  <c r="AB56" i="1"/>
  <c r="F55" i="1"/>
  <c r="G55" i="1"/>
  <c r="H55" i="1"/>
  <c r="J55" i="1"/>
  <c r="K55" i="1"/>
  <c r="D55" i="1"/>
  <c r="E55" i="1"/>
  <c r="I55" i="1"/>
  <c r="AV54" i="1"/>
  <c r="AR54" i="1"/>
  <c r="L55" i="1" l="1"/>
  <c r="AT55" i="1" s="1"/>
  <c r="M56" i="1"/>
  <c r="AS55" i="1"/>
  <c r="AQ55" i="1"/>
  <c r="AU55" i="1"/>
  <c r="X57" i="1"/>
  <c r="AG57" i="1"/>
  <c r="B58" i="1"/>
  <c r="Q57" i="1"/>
  <c r="Z57" i="1"/>
  <c r="R57" i="1"/>
  <c r="AA57" i="1"/>
  <c r="T57" i="1"/>
  <c r="AC57" i="1"/>
  <c r="C57" i="1"/>
  <c r="U57" i="1"/>
  <c r="AD57" i="1"/>
  <c r="S57" i="1"/>
  <c r="V57" i="1"/>
  <c r="W57" i="1"/>
  <c r="AB57" i="1"/>
  <c r="AE57" i="1"/>
  <c r="AF57" i="1"/>
  <c r="AR55" i="1"/>
  <c r="AV55" i="1"/>
  <c r="AP55" i="1"/>
  <c r="N56" i="1"/>
  <c r="J56" i="1"/>
  <c r="K56" i="1"/>
  <c r="D56" i="1"/>
  <c r="F56" i="1"/>
  <c r="G56" i="1"/>
  <c r="H56" i="1"/>
  <c r="I56" i="1"/>
  <c r="E56" i="1"/>
  <c r="L56" i="1" l="1"/>
  <c r="AT56" i="1"/>
  <c r="AP56" i="1"/>
  <c r="N57" i="1"/>
  <c r="M57" i="1"/>
  <c r="T58" i="1"/>
  <c r="AC58" i="1"/>
  <c r="C58" i="1"/>
  <c r="U58" i="1"/>
  <c r="AD58" i="1"/>
  <c r="V58" i="1"/>
  <c r="AE58" i="1"/>
  <c r="X58" i="1"/>
  <c r="AG58" i="1"/>
  <c r="B59" i="1"/>
  <c r="Q58" i="1"/>
  <c r="Z58" i="1"/>
  <c r="W58" i="1"/>
  <c r="AA58" i="1"/>
  <c r="AB58" i="1"/>
  <c r="AF58" i="1"/>
  <c r="R58" i="1"/>
  <c r="S58" i="1"/>
  <c r="F57" i="1"/>
  <c r="G57" i="1"/>
  <c r="H57" i="1"/>
  <c r="J57" i="1"/>
  <c r="K57" i="1"/>
  <c r="D57" i="1"/>
  <c r="E57" i="1"/>
  <c r="I57" i="1"/>
  <c r="AU56" i="1"/>
  <c r="AQ56" i="1"/>
  <c r="AS56" i="1"/>
  <c r="AR56" i="1"/>
  <c r="AV56" i="1"/>
  <c r="L57" i="1" l="1"/>
  <c r="M58" i="1"/>
  <c r="J58" i="1"/>
  <c r="K58" i="1"/>
  <c r="D58" i="1"/>
  <c r="F58" i="1"/>
  <c r="G58" i="1"/>
  <c r="E58" i="1"/>
  <c r="H58" i="1"/>
  <c r="I58" i="1"/>
  <c r="N58" i="1"/>
  <c r="AQ57" i="1"/>
  <c r="AU57" i="1"/>
  <c r="X59" i="1"/>
  <c r="AG59" i="1"/>
  <c r="B60" i="1"/>
  <c r="Q59" i="1"/>
  <c r="Z59" i="1"/>
  <c r="R59" i="1"/>
  <c r="AA59" i="1"/>
  <c r="T59" i="1"/>
  <c r="AC59" i="1"/>
  <c r="C59" i="1"/>
  <c r="U59" i="1"/>
  <c r="AD59" i="1"/>
  <c r="AE59" i="1"/>
  <c r="AF59" i="1"/>
  <c r="S59" i="1"/>
  <c r="V59" i="1"/>
  <c r="W59" i="1"/>
  <c r="AB59" i="1"/>
  <c r="AP57" i="1"/>
  <c r="AT57" i="1"/>
  <c r="AS57" i="1"/>
  <c r="AV57" i="1"/>
  <c r="AR57" i="1"/>
  <c r="M59" i="1" l="1"/>
  <c r="AP58" i="1"/>
  <c r="T60" i="1"/>
  <c r="AC60" i="1"/>
  <c r="C60" i="1"/>
  <c r="U60" i="1"/>
  <c r="AD60" i="1"/>
  <c r="V60" i="1"/>
  <c r="AE60" i="1"/>
  <c r="X60" i="1"/>
  <c r="AG60" i="1"/>
  <c r="B61" i="1"/>
  <c r="Q60" i="1"/>
  <c r="Z60" i="1"/>
  <c r="R60" i="1"/>
  <c r="S60" i="1"/>
  <c r="W60" i="1"/>
  <c r="AA60" i="1"/>
  <c r="AB60" i="1"/>
  <c r="AF60" i="1"/>
  <c r="F59" i="1"/>
  <c r="G59" i="1"/>
  <c r="H59" i="1"/>
  <c r="J59" i="1"/>
  <c r="K59" i="1"/>
  <c r="E59" i="1"/>
  <c r="I59" i="1"/>
  <c r="D59" i="1"/>
  <c r="AS58" i="1"/>
  <c r="L58" i="1"/>
  <c r="AT58" i="1" s="1"/>
  <c r="AR58" i="1"/>
  <c r="AV58" i="1"/>
  <c r="N59" i="1"/>
  <c r="L59" i="1" s="1"/>
  <c r="AU58" i="1"/>
  <c r="AQ58" i="1"/>
  <c r="AS59" i="1" l="1"/>
  <c r="AP59" i="1"/>
  <c r="AT59" i="1"/>
  <c r="N60" i="1"/>
  <c r="M60" i="1"/>
  <c r="J60" i="1"/>
  <c r="K60" i="1"/>
  <c r="D60" i="1"/>
  <c r="F60" i="1"/>
  <c r="G60" i="1"/>
  <c r="E60" i="1"/>
  <c r="H60" i="1"/>
  <c r="I60" i="1"/>
  <c r="X61" i="1"/>
  <c r="AG61" i="1"/>
  <c r="B62" i="1"/>
  <c r="Q61" i="1"/>
  <c r="Z61" i="1"/>
  <c r="R61" i="1"/>
  <c r="AA61" i="1"/>
  <c r="T61" i="1"/>
  <c r="AC61" i="1"/>
  <c r="C61" i="1"/>
  <c r="U61" i="1"/>
  <c r="AD61" i="1"/>
  <c r="V61" i="1"/>
  <c r="W61" i="1"/>
  <c r="AB61" i="1"/>
  <c r="AE61" i="1"/>
  <c r="AF61" i="1"/>
  <c r="S61" i="1"/>
  <c r="AR59" i="1"/>
  <c r="AV59" i="1"/>
  <c r="AQ59" i="1"/>
  <c r="AU59" i="1"/>
  <c r="N61" i="1" l="1"/>
  <c r="AS60" i="1"/>
  <c r="M61" i="1"/>
  <c r="T62" i="1"/>
  <c r="AC62" i="1"/>
  <c r="C62" i="1"/>
  <c r="U62" i="1"/>
  <c r="AD62" i="1"/>
  <c r="V62" i="1"/>
  <c r="AE62" i="1"/>
  <c r="X62" i="1"/>
  <c r="AG62" i="1"/>
  <c r="B63" i="1"/>
  <c r="Q62" i="1"/>
  <c r="Z62" i="1"/>
  <c r="AB62" i="1"/>
  <c r="AF62" i="1"/>
  <c r="R62" i="1"/>
  <c r="S62" i="1"/>
  <c r="W62" i="1"/>
  <c r="AA62" i="1"/>
  <c r="F61" i="1"/>
  <c r="G61" i="1"/>
  <c r="H61" i="1"/>
  <c r="J61" i="1"/>
  <c r="K61" i="1"/>
  <c r="D61" i="1"/>
  <c r="E61" i="1"/>
  <c r="I61" i="1"/>
  <c r="AR60" i="1"/>
  <c r="AV60" i="1"/>
  <c r="AU60" i="1"/>
  <c r="AQ60" i="1"/>
  <c r="AP60" i="1"/>
  <c r="L60" i="1"/>
  <c r="AT60" i="1" s="1"/>
  <c r="L61" i="1" l="1"/>
  <c r="AT61" i="1" s="1"/>
  <c r="AS61" i="1"/>
  <c r="AR61" i="1"/>
  <c r="AV61" i="1"/>
  <c r="N62" i="1"/>
  <c r="J62" i="1"/>
  <c r="K62" i="1"/>
  <c r="D62" i="1"/>
  <c r="F62" i="1"/>
  <c r="G62" i="1"/>
  <c r="E62" i="1"/>
  <c r="H62" i="1"/>
  <c r="I62" i="1"/>
  <c r="AP61" i="1"/>
  <c r="M62" i="1"/>
  <c r="AQ61" i="1"/>
  <c r="AU61" i="1"/>
  <c r="X63" i="1"/>
  <c r="AG63" i="1"/>
  <c r="B64" i="1"/>
  <c r="Q63" i="1"/>
  <c r="Z63" i="1"/>
  <c r="R63" i="1"/>
  <c r="AA63" i="1"/>
  <c r="T63" i="1"/>
  <c r="AC63" i="1"/>
  <c r="C63" i="1"/>
  <c r="U63" i="1"/>
  <c r="AD63" i="1"/>
  <c r="S63" i="1"/>
  <c r="V63" i="1"/>
  <c r="W63" i="1"/>
  <c r="AB63" i="1"/>
  <c r="AE63" i="1"/>
  <c r="AF63" i="1"/>
  <c r="M63" i="1" l="1"/>
  <c r="F63" i="1"/>
  <c r="G63" i="1"/>
  <c r="H63" i="1"/>
  <c r="J63" i="1"/>
  <c r="K63" i="1"/>
  <c r="D63" i="1"/>
  <c r="E63" i="1"/>
  <c r="I63" i="1"/>
  <c r="N63" i="1"/>
  <c r="L63" i="1" s="1"/>
  <c r="AS62" i="1"/>
  <c r="AR62" i="1"/>
  <c r="AV62" i="1"/>
  <c r="T64" i="1"/>
  <c r="AC64" i="1"/>
  <c r="C64" i="1"/>
  <c r="U64" i="1"/>
  <c r="AD64" i="1"/>
  <c r="V64" i="1"/>
  <c r="AE64" i="1"/>
  <c r="X64" i="1"/>
  <c r="AG64" i="1"/>
  <c r="B65" i="1"/>
  <c r="Q64" i="1"/>
  <c r="Z64" i="1"/>
  <c r="S64" i="1"/>
  <c r="W64" i="1"/>
  <c r="AA64" i="1"/>
  <c r="AB64" i="1"/>
  <c r="AF64" i="1"/>
  <c r="R64" i="1"/>
  <c r="AU62" i="1"/>
  <c r="AQ62" i="1"/>
  <c r="L62" i="1"/>
  <c r="AT62" i="1" s="1"/>
  <c r="AP62" i="1"/>
  <c r="N64" i="1" l="1"/>
  <c r="L64" i="1" s="1"/>
  <c r="AQ63" i="1"/>
  <c r="AU63" i="1"/>
  <c r="M64" i="1"/>
  <c r="J64" i="1"/>
  <c r="K64" i="1"/>
  <c r="D64" i="1"/>
  <c r="F64" i="1"/>
  <c r="G64" i="1"/>
  <c r="E64" i="1"/>
  <c r="H64" i="1"/>
  <c r="I64" i="1"/>
  <c r="AS63" i="1"/>
  <c r="X65" i="1"/>
  <c r="AG65" i="1"/>
  <c r="B66" i="1"/>
  <c r="Q65" i="1"/>
  <c r="Z65" i="1"/>
  <c r="R65" i="1"/>
  <c r="AA65" i="1"/>
  <c r="T65" i="1"/>
  <c r="AC65" i="1"/>
  <c r="C65" i="1"/>
  <c r="U65" i="1"/>
  <c r="AD65" i="1"/>
  <c r="AB65" i="1"/>
  <c r="AE65" i="1"/>
  <c r="AF65" i="1"/>
  <c r="S65" i="1"/>
  <c r="V65" i="1"/>
  <c r="W65" i="1"/>
  <c r="AR63" i="1"/>
  <c r="AV63" i="1"/>
  <c r="AP63" i="1"/>
  <c r="AT63" i="1"/>
  <c r="M65" i="1" l="1"/>
  <c r="T66" i="1"/>
  <c r="AC66" i="1"/>
  <c r="C66" i="1"/>
  <c r="U66" i="1"/>
  <c r="AD66" i="1"/>
  <c r="V66" i="1"/>
  <c r="X66" i="1"/>
  <c r="AG66" i="1"/>
  <c r="B67" i="1"/>
  <c r="Q66" i="1"/>
  <c r="Z66" i="1"/>
  <c r="AF66" i="1"/>
  <c r="R66" i="1"/>
  <c r="S66" i="1"/>
  <c r="W66" i="1"/>
  <c r="AA66" i="1"/>
  <c r="AB66" i="1"/>
  <c r="AE66" i="1"/>
  <c r="F65" i="1"/>
  <c r="G65" i="1"/>
  <c r="H65" i="1"/>
  <c r="J65" i="1"/>
  <c r="K65" i="1"/>
  <c r="D65" i="1"/>
  <c r="E65" i="1"/>
  <c r="I65" i="1"/>
  <c r="AS64" i="1"/>
  <c r="AR64" i="1"/>
  <c r="AV64" i="1"/>
  <c r="AU64" i="1"/>
  <c r="AQ64" i="1"/>
  <c r="AT64" i="1"/>
  <c r="AP64" i="1"/>
  <c r="N65" i="1"/>
  <c r="L65" i="1" s="1"/>
  <c r="AS65" i="1" l="1"/>
  <c r="AR65" i="1"/>
  <c r="AV65" i="1"/>
  <c r="AP65" i="1"/>
  <c r="AT65" i="1"/>
  <c r="N66" i="1"/>
  <c r="J66" i="1"/>
  <c r="K66" i="1"/>
  <c r="D66" i="1"/>
  <c r="F66" i="1"/>
  <c r="G66" i="1"/>
  <c r="I66" i="1"/>
  <c r="E66" i="1"/>
  <c r="H66" i="1"/>
  <c r="AQ65" i="1"/>
  <c r="AU65" i="1"/>
  <c r="M66" i="1"/>
  <c r="X67" i="1"/>
  <c r="AG67" i="1"/>
  <c r="Q67" i="1"/>
  <c r="Z67" i="1"/>
  <c r="T67" i="1"/>
  <c r="AC67" i="1"/>
  <c r="C67" i="1"/>
  <c r="U67" i="1"/>
  <c r="AD67" i="1"/>
  <c r="AB67" i="1"/>
  <c r="AE67" i="1"/>
  <c r="AF67" i="1"/>
  <c r="R67" i="1"/>
  <c r="S67" i="1"/>
  <c r="V67" i="1"/>
  <c r="W67" i="1"/>
  <c r="AA67" i="1"/>
  <c r="B68" i="1"/>
  <c r="Q68" i="1" l="1"/>
  <c r="C68" i="1"/>
  <c r="Z68" i="1"/>
  <c r="R68" i="1"/>
  <c r="AA68" i="1"/>
  <c r="S68" i="1"/>
  <c r="AB68" i="1"/>
  <c r="T68" i="1"/>
  <c r="AC68" i="1"/>
  <c r="U68" i="1"/>
  <c r="AD68" i="1"/>
  <c r="V68" i="1"/>
  <c r="AE68" i="1"/>
  <c r="W68" i="1"/>
  <c r="AF68" i="1"/>
  <c r="X68" i="1"/>
  <c r="AG68" i="1"/>
  <c r="B69" i="1"/>
  <c r="F67" i="1"/>
  <c r="G67" i="1"/>
  <c r="J67" i="1"/>
  <c r="K67" i="1"/>
  <c r="I67" i="1"/>
  <c r="D67" i="1"/>
  <c r="E67" i="1"/>
  <c r="H67" i="1"/>
  <c r="AS66" i="1"/>
  <c r="AR66" i="1"/>
  <c r="AV66" i="1"/>
  <c r="AP66" i="1"/>
  <c r="L66" i="1"/>
  <c r="AT66" i="1" s="1"/>
  <c r="N67" i="1"/>
  <c r="M67" i="1"/>
  <c r="AQ66" i="1"/>
  <c r="AU66" i="1"/>
  <c r="AS67" i="1" l="1"/>
  <c r="AQ67" i="1"/>
  <c r="AU67" i="1"/>
  <c r="AR67" i="1"/>
  <c r="AV67" i="1"/>
  <c r="N68" i="1"/>
  <c r="F68" i="1"/>
  <c r="G68" i="1"/>
  <c r="D68" i="1"/>
  <c r="E68" i="1"/>
  <c r="H68" i="1"/>
  <c r="I68" i="1"/>
  <c r="J68" i="1"/>
  <c r="K68" i="1"/>
  <c r="AP67" i="1"/>
  <c r="C69" i="1"/>
  <c r="U69" i="1"/>
  <c r="AD69" i="1"/>
  <c r="V69" i="1"/>
  <c r="AE69" i="1"/>
  <c r="W69" i="1"/>
  <c r="AF69" i="1"/>
  <c r="X69" i="1"/>
  <c r="AG69" i="1"/>
  <c r="B70" i="1"/>
  <c r="Q69" i="1"/>
  <c r="Z69" i="1"/>
  <c r="R69" i="1"/>
  <c r="AA69" i="1"/>
  <c r="S69" i="1"/>
  <c r="AB69" i="1"/>
  <c r="T69" i="1"/>
  <c r="AC69" i="1"/>
  <c r="L67" i="1"/>
  <c r="AT67" i="1" s="1"/>
  <c r="M68" i="1"/>
  <c r="Q70" i="1" l="1"/>
  <c r="Z70" i="1"/>
  <c r="R70" i="1"/>
  <c r="AA70" i="1"/>
  <c r="S70" i="1"/>
  <c r="AB70" i="1"/>
  <c r="T70" i="1"/>
  <c r="AC70" i="1"/>
  <c r="C70" i="1"/>
  <c r="U70" i="1"/>
  <c r="AD70" i="1"/>
  <c r="V70" i="1"/>
  <c r="AE70" i="1"/>
  <c r="W70" i="1"/>
  <c r="X70" i="1"/>
  <c r="AF70" i="1"/>
  <c r="AG70" i="1"/>
  <c r="B71" i="1"/>
  <c r="AS68" i="1"/>
  <c r="L68" i="1"/>
  <c r="AR68" i="1"/>
  <c r="AV68" i="1"/>
  <c r="AQ68" i="1"/>
  <c r="AU68" i="1"/>
  <c r="N69" i="1"/>
  <c r="M69" i="1"/>
  <c r="AP68" i="1"/>
  <c r="AT68" i="1"/>
  <c r="K69" i="1"/>
  <c r="D69" i="1"/>
  <c r="E69" i="1"/>
  <c r="F69" i="1"/>
  <c r="G69" i="1"/>
  <c r="H69" i="1"/>
  <c r="I69" i="1"/>
  <c r="J69" i="1"/>
  <c r="L69" i="1" l="1"/>
  <c r="AT69" i="1" s="1"/>
  <c r="AS69" i="1"/>
  <c r="AV69" i="1"/>
  <c r="AR69" i="1"/>
  <c r="AU69" i="1"/>
  <c r="AQ69" i="1"/>
  <c r="AP69" i="1"/>
  <c r="C71" i="1"/>
  <c r="U71" i="1"/>
  <c r="AD71" i="1"/>
  <c r="V71" i="1"/>
  <c r="AE71" i="1"/>
  <c r="W71" i="1"/>
  <c r="AF71" i="1"/>
  <c r="X71" i="1"/>
  <c r="AG71" i="1"/>
  <c r="B72" i="1"/>
  <c r="Q71" i="1"/>
  <c r="Z71" i="1"/>
  <c r="R71" i="1"/>
  <c r="AA71" i="1"/>
  <c r="S71" i="1"/>
  <c r="T71" i="1"/>
  <c r="AB71" i="1"/>
  <c r="AC71" i="1"/>
  <c r="N70" i="1"/>
  <c r="G70" i="1"/>
  <c r="H70" i="1"/>
  <c r="I70" i="1"/>
  <c r="J70" i="1"/>
  <c r="K70" i="1"/>
  <c r="D70" i="1"/>
  <c r="E70" i="1"/>
  <c r="F70" i="1"/>
  <c r="M70" i="1"/>
  <c r="AS70" i="1" l="1"/>
  <c r="K71" i="1"/>
  <c r="D71" i="1"/>
  <c r="E71" i="1"/>
  <c r="F71" i="1"/>
  <c r="G71" i="1"/>
  <c r="H71" i="1"/>
  <c r="I71" i="1"/>
  <c r="J71" i="1"/>
  <c r="AR70" i="1"/>
  <c r="AV70" i="1"/>
  <c r="AP70" i="1"/>
  <c r="AQ70" i="1"/>
  <c r="AU70" i="1"/>
  <c r="N71" i="1"/>
  <c r="L70" i="1"/>
  <c r="AT70" i="1" s="1"/>
  <c r="M71" i="1"/>
  <c r="Q72" i="1"/>
  <c r="Z72" i="1"/>
  <c r="R72" i="1"/>
  <c r="AA72" i="1"/>
  <c r="S72" i="1"/>
  <c r="AB72" i="1"/>
  <c r="T72" i="1"/>
  <c r="AC72" i="1"/>
  <c r="C72" i="1"/>
  <c r="U72" i="1"/>
  <c r="AD72" i="1"/>
  <c r="V72" i="1"/>
  <c r="AE72" i="1"/>
  <c r="W72" i="1"/>
  <c r="X72" i="1"/>
  <c r="AF72" i="1"/>
  <c r="AG72" i="1"/>
  <c r="B73" i="1"/>
  <c r="AS71" i="1" l="1"/>
  <c r="AV71" i="1"/>
  <c r="AR71" i="1"/>
  <c r="L71" i="1"/>
  <c r="AU71" i="1"/>
  <c r="AQ71" i="1"/>
  <c r="G72" i="1"/>
  <c r="H72" i="1"/>
  <c r="I72" i="1"/>
  <c r="J72" i="1"/>
  <c r="K72" i="1"/>
  <c r="D72" i="1"/>
  <c r="E72" i="1"/>
  <c r="F72" i="1"/>
  <c r="AT71" i="1"/>
  <c r="AP71" i="1"/>
  <c r="C73" i="1"/>
  <c r="U73" i="1"/>
  <c r="AD73" i="1"/>
  <c r="V73" i="1"/>
  <c r="AE73" i="1"/>
  <c r="W73" i="1"/>
  <c r="AF73" i="1"/>
  <c r="X73" i="1"/>
  <c r="AG73" i="1"/>
  <c r="B74" i="1"/>
  <c r="Q73" i="1"/>
  <c r="Z73" i="1"/>
  <c r="R73" i="1"/>
  <c r="AA73" i="1"/>
  <c r="S73" i="1"/>
  <c r="T73" i="1"/>
  <c r="AB73" i="1"/>
  <c r="AC73" i="1"/>
  <c r="N72" i="1"/>
  <c r="M72" i="1"/>
  <c r="K73" i="1" l="1"/>
  <c r="D73" i="1"/>
  <c r="E73" i="1"/>
  <c r="F73" i="1"/>
  <c r="G73" i="1"/>
  <c r="H73" i="1"/>
  <c r="I73" i="1"/>
  <c r="J73" i="1"/>
  <c r="AP72" i="1"/>
  <c r="AQ72" i="1"/>
  <c r="AU72" i="1"/>
  <c r="Q74" i="1"/>
  <c r="Z74" i="1"/>
  <c r="R74" i="1"/>
  <c r="AA74" i="1"/>
  <c r="S74" i="1"/>
  <c r="AB74" i="1"/>
  <c r="T74" i="1"/>
  <c r="AC74" i="1"/>
  <c r="C74" i="1"/>
  <c r="U74" i="1"/>
  <c r="AD74" i="1"/>
  <c r="V74" i="1"/>
  <c r="AE74" i="1"/>
  <c r="B75" i="1"/>
  <c r="W74" i="1"/>
  <c r="X74" i="1"/>
  <c r="AF74" i="1"/>
  <c r="AG74" i="1"/>
  <c r="N73" i="1"/>
  <c r="L72" i="1"/>
  <c r="AT72" i="1" s="1"/>
  <c r="M73" i="1"/>
  <c r="AS72" i="1"/>
  <c r="AR72" i="1"/>
  <c r="AV72" i="1"/>
  <c r="AS73" i="1" l="1"/>
  <c r="AV73" i="1"/>
  <c r="AR73" i="1"/>
  <c r="L73" i="1"/>
  <c r="AU73" i="1"/>
  <c r="AQ73" i="1"/>
  <c r="N74" i="1"/>
  <c r="AT73" i="1"/>
  <c r="AP73" i="1"/>
  <c r="G74" i="1"/>
  <c r="H74" i="1"/>
  <c r="I74" i="1"/>
  <c r="J74" i="1"/>
  <c r="K74" i="1"/>
  <c r="D74" i="1"/>
  <c r="E74" i="1"/>
  <c r="F74" i="1"/>
  <c r="M74" i="1"/>
  <c r="C75" i="1"/>
  <c r="U75" i="1"/>
  <c r="AD75" i="1"/>
  <c r="V75" i="1"/>
  <c r="AE75" i="1"/>
  <c r="W75" i="1"/>
  <c r="AF75" i="1"/>
  <c r="Q75" i="1"/>
  <c r="Z75" i="1"/>
  <c r="R75" i="1"/>
  <c r="AA75" i="1"/>
  <c r="AB75" i="1"/>
  <c r="AC75" i="1"/>
  <c r="AG75" i="1"/>
  <c r="S75" i="1"/>
  <c r="B76" i="1"/>
  <c r="T75" i="1"/>
  <c r="X75" i="1"/>
  <c r="N75" i="1" l="1"/>
  <c r="Q76" i="1"/>
  <c r="Z76" i="1"/>
  <c r="R76" i="1"/>
  <c r="AA76" i="1"/>
  <c r="S76" i="1"/>
  <c r="AB76" i="1"/>
  <c r="C76" i="1"/>
  <c r="U76" i="1"/>
  <c r="AD76" i="1"/>
  <c r="V76" i="1"/>
  <c r="AE76" i="1"/>
  <c r="AG76" i="1"/>
  <c r="T76" i="1"/>
  <c r="B77" i="1"/>
  <c r="W76" i="1"/>
  <c r="X76" i="1"/>
  <c r="AC76" i="1"/>
  <c r="AF76" i="1"/>
  <c r="L74" i="1"/>
  <c r="AT74" i="1" s="1"/>
  <c r="AS74" i="1"/>
  <c r="K75" i="1"/>
  <c r="D75" i="1"/>
  <c r="E75" i="1"/>
  <c r="F75" i="1"/>
  <c r="G75" i="1"/>
  <c r="H75" i="1"/>
  <c r="I75" i="1"/>
  <c r="J75" i="1"/>
  <c r="AR74" i="1"/>
  <c r="AV74" i="1"/>
  <c r="AQ74" i="1"/>
  <c r="AU74" i="1"/>
  <c r="AP74" i="1"/>
  <c r="M75" i="1"/>
  <c r="L75" i="1" l="1"/>
  <c r="G76" i="1"/>
  <c r="H76" i="1"/>
  <c r="I76" i="1"/>
  <c r="K76" i="1"/>
  <c r="D76" i="1"/>
  <c r="J76" i="1"/>
  <c r="E76" i="1"/>
  <c r="F76" i="1"/>
  <c r="C77" i="1"/>
  <c r="U77" i="1"/>
  <c r="AD77" i="1"/>
  <c r="V77" i="1"/>
  <c r="AE77" i="1"/>
  <c r="Q77" i="1"/>
  <c r="Z77" i="1"/>
  <c r="R77" i="1"/>
  <c r="AA77" i="1"/>
  <c r="AF77" i="1"/>
  <c r="AG77" i="1"/>
  <c r="S77" i="1"/>
  <c r="T77" i="1"/>
  <c r="W77" i="1"/>
  <c r="X77" i="1"/>
  <c r="B78" i="1"/>
  <c r="AB77" i="1"/>
  <c r="AC77" i="1"/>
  <c r="AS75" i="1"/>
  <c r="AT75" i="1"/>
  <c r="AP75" i="1"/>
  <c r="AV75" i="1"/>
  <c r="AR75" i="1"/>
  <c r="AU75" i="1"/>
  <c r="AQ75" i="1"/>
  <c r="N76" i="1"/>
  <c r="M76" i="1"/>
  <c r="L76" i="1" l="1"/>
  <c r="AS76" i="1"/>
  <c r="N77" i="1"/>
  <c r="M77" i="1"/>
  <c r="AR76" i="1"/>
  <c r="AV76" i="1"/>
  <c r="Q78" i="1"/>
  <c r="Z78" i="1"/>
  <c r="R78" i="1"/>
  <c r="AA78" i="1"/>
  <c r="C78" i="1"/>
  <c r="U78" i="1"/>
  <c r="AD78" i="1"/>
  <c r="V78" i="1"/>
  <c r="AE78" i="1"/>
  <c r="AB78" i="1"/>
  <c r="AC78" i="1"/>
  <c r="AF78" i="1"/>
  <c r="AG78" i="1"/>
  <c r="S78" i="1"/>
  <c r="T78" i="1"/>
  <c r="W78" i="1"/>
  <c r="B79" i="1"/>
  <c r="X78" i="1"/>
  <c r="AQ76" i="1"/>
  <c r="AU76" i="1"/>
  <c r="AP76" i="1"/>
  <c r="AT76" i="1"/>
  <c r="K77" i="1"/>
  <c r="D77" i="1"/>
  <c r="G77" i="1"/>
  <c r="H77" i="1"/>
  <c r="E77" i="1"/>
  <c r="F77" i="1"/>
  <c r="I77" i="1"/>
  <c r="J77" i="1"/>
  <c r="L77" i="1" l="1"/>
  <c r="M78" i="1"/>
  <c r="N78" i="1"/>
  <c r="AU77" i="1"/>
  <c r="AQ77" i="1"/>
  <c r="C79" i="1"/>
  <c r="U79" i="1"/>
  <c r="AD79" i="1"/>
  <c r="V79" i="1"/>
  <c r="AE79" i="1"/>
  <c r="Q79" i="1"/>
  <c r="Z79" i="1"/>
  <c r="R79" i="1"/>
  <c r="AA79" i="1"/>
  <c r="W79" i="1"/>
  <c r="X79" i="1"/>
  <c r="AB79" i="1"/>
  <c r="B80" i="1"/>
  <c r="AC79" i="1"/>
  <c r="AF79" i="1"/>
  <c r="AG79" i="1"/>
  <c r="S79" i="1"/>
  <c r="T79" i="1"/>
  <c r="AT77" i="1"/>
  <c r="AP77" i="1"/>
  <c r="AS77" i="1"/>
  <c r="AR77" i="1"/>
  <c r="AV77" i="1"/>
  <c r="G78" i="1"/>
  <c r="H78" i="1"/>
  <c r="K78" i="1"/>
  <c r="D78" i="1"/>
  <c r="I78" i="1"/>
  <c r="J78" i="1"/>
  <c r="E78" i="1"/>
  <c r="F78" i="1"/>
  <c r="L78" i="1" l="1"/>
  <c r="AS78" i="1"/>
  <c r="AR78" i="1"/>
  <c r="AV78" i="1"/>
  <c r="AQ78" i="1"/>
  <c r="AU78" i="1"/>
  <c r="Q80" i="1"/>
  <c r="R80" i="1"/>
  <c r="C80" i="1"/>
  <c r="U80" i="1"/>
  <c r="Z80" i="1"/>
  <c r="AA80" i="1"/>
  <c r="AB80" i="1"/>
  <c r="S80" i="1"/>
  <c r="AC80" i="1"/>
  <c r="T80" i="1"/>
  <c r="AD80" i="1"/>
  <c r="V80" i="1"/>
  <c r="AE80" i="1"/>
  <c r="W80" i="1"/>
  <c r="AF80" i="1"/>
  <c r="X80" i="1"/>
  <c r="AG80" i="1"/>
  <c r="B81" i="1"/>
  <c r="AP78" i="1"/>
  <c r="AT78" i="1"/>
  <c r="K79" i="1"/>
  <c r="D79" i="1"/>
  <c r="G79" i="1"/>
  <c r="H79" i="1"/>
  <c r="E79" i="1"/>
  <c r="F79" i="1"/>
  <c r="I79" i="1"/>
  <c r="J79" i="1"/>
  <c r="N79" i="1"/>
  <c r="M79" i="1"/>
  <c r="AS79" i="1" l="1"/>
  <c r="AV79" i="1"/>
  <c r="AR79" i="1"/>
  <c r="AU79" i="1"/>
  <c r="AQ79" i="1"/>
  <c r="G80" i="1"/>
  <c r="H80" i="1"/>
  <c r="K80" i="1"/>
  <c r="D80" i="1"/>
  <c r="E80" i="1"/>
  <c r="F80" i="1"/>
  <c r="I80" i="1"/>
  <c r="J80" i="1"/>
  <c r="C81" i="1"/>
  <c r="U81" i="1"/>
  <c r="AD81" i="1"/>
  <c r="V81" i="1"/>
  <c r="AE81" i="1"/>
  <c r="W81" i="1"/>
  <c r="AF81" i="1"/>
  <c r="X81" i="1"/>
  <c r="AG81" i="1"/>
  <c r="B82" i="1"/>
  <c r="Q81" i="1"/>
  <c r="Z81" i="1"/>
  <c r="R81" i="1"/>
  <c r="AA81" i="1"/>
  <c r="S81" i="1"/>
  <c r="AB81" i="1"/>
  <c r="T81" i="1"/>
  <c r="AC81" i="1"/>
  <c r="M80" i="1"/>
  <c r="AT79" i="1"/>
  <c r="AP79" i="1"/>
  <c r="L79" i="1"/>
  <c r="N80" i="1"/>
  <c r="N81" i="1" l="1"/>
  <c r="L81" i="1" s="1"/>
  <c r="M81" i="1"/>
  <c r="AS80" i="1"/>
  <c r="Q82" i="1"/>
  <c r="Z82" i="1"/>
  <c r="R82" i="1"/>
  <c r="AA82" i="1"/>
  <c r="S82" i="1"/>
  <c r="AB82" i="1"/>
  <c r="T82" i="1"/>
  <c r="AC82" i="1"/>
  <c r="C82" i="1"/>
  <c r="U82" i="1"/>
  <c r="AD82" i="1"/>
  <c r="V82" i="1"/>
  <c r="AE82" i="1"/>
  <c r="W82" i="1"/>
  <c r="AF82" i="1"/>
  <c r="X82" i="1"/>
  <c r="AG82" i="1"/>
  <c r="B83" i="1"/>
  <c r="AP80" i="1"/>
  <c r="AR80" i="1"/>
  <c r="AV80" i="1"/>
  <c r="AQ80" i="1"/>
  <c r="AU80" i="1"/>
  <c r="K81" i="1"/>
  <c r="D81" i="1"/>
  <c r="E81" i="1"/>
  <c r="F81" i="1"/>
  <c r="G81" i="1"/>
  <c r="H81" i="1"/>
  <c r="I81" i="1"/>
  <c r="J81" i="1"/>
  <c r="L80" i="1"/>
  <c r="AT80" i="1" s="1"/>
  <c r="AS81" i="1" l="1"/>
  <c r="C83" i="1"/>
  <c r="U83" i="1"/>
  <c r="AD83" i="1"/>
  <c r="V83" i="1"/>
  <c r="AE83" i="1"/>
  <c r="W83" i="1"/>
  <c r="AF83" i="1"/>
  <c r="X83" i="1"/>
  <c r="AG83" i="1"/>
  <c r="B84" i="1"/>
  <c r="Q83" i="1"/>
  <c r="Z83" i="1"/>
  <c r="R83" i="1"/>
  <c r="AA83" i="1"/>
  <c r="S83" i="1"/>
  <c r="AB83" i="1"/>
  <c r="T83" i="1"/>
  <c r="AC83" i="1"/>
  <c r="N82" i="1"/>
  <c r="AV81" i="1"/>
  <c r="AR81" i="1"/>
  <c r="G82" i="1"/>
  <c r="H82" i="1"/>
  <c r="I82" i="1"/>
  <c r="J82" i="1"/>
  <c r="K82" i="1"/>
  <c r="D82" i="1"/>
  <c r="E82" i="1"/>
  <c r="F82" i="1"/>
  <c r="M82" i="1"/>
  <c r="AU81" i="1"/>
  <c r="AQ81" i="1"/>
  <c r="AT81" i="1"/>
  <c r="AP81" i="1"/>
  <c r="L82" i="1" l="1"/>
  <c r="AT82" i="1" s="1"/>
  <c r="AS82" i="1"/>
  <c r="AP82" i="1"/>
  <c r="N83" i="1"/>
  <c r="AQ82" i="1"/>
  <c r="AU82" i="1"/>
  <c r="M83" i="1"/>
  <c r="Q84" i="1"/>
  <c r="Z84" i="1"/>
  <c r="R84" i="1"/>
  <c r="AA84" i="1"/>
  <c r="S84" i="1"/>
  <c r="AB84" i="1"/>
  <c r="T84" i="1"/>
  <c r="AC84" i="1"/>
  <c r="C84" i="1"/>
  <c r="U84" i="1"/>
  <c r="AD84" i="1"/>
  <c r="V84" i="1"/>
  <c r="AE84" i="1"/>
  <c r="W84" i="1"/>
  <c r="AF84" i="1"/>
  <c r="B85" i="1"/>
  <c r="X84" i="1"/>
  <c r="AG84" i="1"/>
  <c r="AR82" i="1"/>
  <c r="AV82" i="1"/>
  <c r="K83" i="1"/>
  <c r="D83" i="1"/>
  <c r="E83" i="1"/>
  <c r="F83" i="1"/>
  <c r="G83" i="1"/>
  <c r="H83" i="1"/>
  <c r="I83" i="1"/>
  <c r="J83" i="1"/>
  <c r="AS83" i="1" l="1"/>
  <c r="AP83" i="1"/>
  <c r="G84" i="1"/>
  <c r="H84" i="1"/>
  <c r="I84" i="1"/>
  <c r="J84" i="1"/>
  <c r="K84" i="1"/>
  <c r="D84" i="1"/>
  <c r="E84" i="1"/>
  <c r="F84" i="1"/>
  <c r="M84" i="1"/>
  <c r="N84" i="1"/>
  <c r="L84" i="1" s="1"/>
  <c r="C85" i="1"/>
  <c r="U85" i="1"/>
  <c r="AD85" i="1"/>
  <c r="V85" i="1"/>
  <c r="AE85" i="1"/>
  <c r="W85" i="1"/>
  <c r="AF85" i="1"/>
  <c r="X85" i="1"/>
  <c r="AG85" i="1"/>
  <c r="B86" i="1"/>
  <c r="Q85" i="1"/>
  <c r="Z85" i="1"/>
  <c r="R85" i="1"/>
  <c r="AA85" i="1"/>
  <c r="S85" i="1"/>
  <c r="AB85" i="1"/>
  <c r="T85" i="1"/>
  <c r="AC85" i="1"/>
  <c r="L83" i="1"/>
  <c r="AT83" i="1" s="1"/>
  <c r="AV83" i="1"/>
  <c r="AR83" i="1"/>
  <c r="AU83" i="1"/>
  <c r="AQ83" i="1"/>
  <c r="AS84" i="1" l="1"/>
  <c r="M85" i="1"/>
  <c r="Q86" i="1"/>
  <c r="Z86" i="1"/>
  <c r="R86" i="1"/>
  <c r="AA86" i="1"/>
  <c r="S86" i="1"/>
  <c r="AB86" i="1"/>
  <c r="T86" i="1"/>
  <c r="AC86" i="1"/>
  <c r="C86" i="1"/>
  <c r="U86" i="1"/>
  <c r="AD86" i="1"/>
  <c r="V86" i="1"/>
  <c r="AE86" i="1"/>
  <c r="W86" i="1"/>
  <c r="AF86" i="1"/>
  <c r="AG86" i="1"/>
  <c r="B87" i="1"/>
  <c r="X86" i="1"/>
  <c r="AR84" i="1"/>
  <c r="AV84" i="1"/>
  <c r="K85" i="1"/>
  <c r="D85" i="1"/>
  <c r="E85" i="1"/>
  <c r="F85" i="1"/>
  <c r="G85" i="1"/>
  <c r="H85" i="1"/>
  <c r="I85" i="1"/>
  <c r="J85" i="1"/>
  <c r="AQ84" i="1"/>
  <c r="AU84" i="1"/>
  <c r="AP84" i="1"/>
  <c r="AT84" i="1"/>
  <c r="N85" i="1"/>
  <c r="L85" i="1" l="1"/>
  <c r="AT85" i="1" s="1"/>
  <c r="AS85" i="1"/>
  <c r="AV85" i="1"/>
  <c r="AR85" i="1"/>
  <c r="AU85" i="1"/>
  <c r="AQ85" i="1"/>
  <c r="AP85" i="1"/>
  <c r="N86" i="1"/>
  <c r="L86" i="1" s="1"/>
  <c r="C87" i="1"/>
  <c r="U87" i="1"/>
  <c r="AD87" i="1"/>
  <c r="V87" i="1"/>
  <c r="AE87" i="1"/>
  <c r="W87" i="1"/>
  <c r="AF87" i="1"/>
  <c r="X87" i="1"/>
  <c r="AG87" i="1"/>
  <c r="B88" i="1"/>
  <c r="Q87" i="1"/>
  <c r="Z87" i="1"/>
  <c r="R87" i="1"/>
  <c r="AA87" i="1"/>
  <c r="S87" i="1"/>
  <c r="AB87" i="1"/>
  <c r="T87" i="1"/>
  <c r="AC87" i="1"/>
  <c r="G86" i="1"/>
  <c r="H86" i="1"/>
  <c r="I86" i="1"/>
  <c r="J86" i="1"/>
  <c r="K86" i="1"/>
  <c r="D86" i="1"/>
  <c r="E86" i="1"/>
  <c r="F86" i="1"/>
  <c r="M86" i="1"/>
  <c r="AS86" i="1" l="1"/>
  <c r="AR86" i="1"/>
  <c r="AV86" i="1"/>
  <c r="AP86" i="1"/>
  <c r="AT86" i="1"/>
  <c r="N87" i="1"/>
  <c r="AQ86" i="1"/>
  <c r="AU86" i="1"/>
  <c r="M87" i="1"/>
  <c r="Q88" i="1"/>
  <c r="Z88" i="1"/>
  <c r="R88" i="1"/>
  <c r="AA88" i="1"/>
  <c r="S88" i="1"/>
  <c r="AB88" i="1"/>
  <c r="T88" i="1"/>
  <c r="AC88" i="1"/>
  <c r="C88" i="1"/>
  <c r="U88" i="1"/>
  <c r="AD88" i="1"/>
  <c r="V88" i="1"/>
  <c r="AE88" i="1"/>
  <c r="W88" i="1"/>
  <c r="AF88" i="1"/>
  <c r="X88" i="1"/>
  <c r="AG88" i="1"/>
  <c r="B89" i="1"/>
  <c r="K87" i="1"/>
  <c r="D87" i="1"/>
  <c r="E87" i="1"/>
  <c r="F87" i="1"/>
  <c r="G87" i="1"/>
  <c r="H87" i="1"/>
  <c r="I87" i="1"/>
  <c r="J87" i="1"/>
  <c r="AT87" i="1" l="1"/>
  <c r="AP87" i="1"/>
  <c r="L87" i="1"/>
  <c r="AU87" i="1"/>
  <c r="AQ87" i="1"/>
  <c r="AS87" i="1"/>
  <c r="AV87" i="1"/>
  <c r="AR87" i="1"/>
  <c r="C89" i="1"/>
  <c r="U89" i="1"/>
  <c r="AD89" i="1"/>
  <c r="V89" i="1"/>
  <c r="AE89" i="1"/>
  <c r="W89" i="1"/>
  <c r="AF89" i="1"/>
  <c r="X89" i="1"/>
  <c r="AG89" i="1"/>
  <c r="B90" i="1"/>
  <c r="Q89" i="1"/>
  <c r="Z89" i="1"/>
  <c r="R89" i="1"/>
  <c r="AA89" i="1"/>
  <c r="S89" i="1"/>
  <c r="AB89" i="1"/>
  <c r="T89" i="1"/>
  <c r="AC89" i="1"/>
  <c r="N88" i="1"/>
  <c r="G88" i="1"/>
  <c r="H88" i="1"/>
  <c r="I88" i="1"/>
  <c r="J88" i="1"/>
  <c r="K88" i="1"/>
  <c r="D88" i="1"/>
  <c r="E88" i="1"/>
  <c r="F88" i="1"/>
  <c r="M88" i="1"/>
  <c r="AS88" i="1" l="1"/>
  <c r="AR88" i="1"/>
  <c r="AV88" i="1"/>
  <c r="AQ88" i="1"/>
  <c r="AU88" i="1"/>
  <c r="N89" i="1"/>
  <c r="L88" i="1"/>
  <c r="M89" i="1"/>
  <c r="AP88" i="1"/>
  <c r="AT88" i="1"/>
  <c r="Q90" i="1"/>
  <c r="Z90" i="1"/>
  <c r="R90" i="1"/>
  <c r="AA90" i="1"/>
  <c r="S90" i="1"/>
  <c r="T90" i="1"/>
  <c r="AC90" i="1"/>
  <c r="C90" i="1"/>
  <c r="U90" i="1"/>
  <c r="AD90" i="1"/>
  <c r="V90" i="1"/>
  <c r="AE90" i="1"/>
  <c r="W90" i="1"/>
  <c r="X90" i="1"/>
  <c r="AB90" i="1"/>
  <c r="AF90" i="1"/>
  <c r="AG90" i="1"/>
  <c r="B91" i="1"/>
  <c r="K89" i="1"/>
  <c r="D89" i="1"/>
  <c r="E89" i="1"/>
  <c r="F89" i="1"/>
  <c r="G89" i="1"/>
  <c r="H89" i="1"/>
  <c r="I89" i="1"/>
  <c r="J89" i="1"/>
  <c r="AS89" i="1" l="1"/>
  <c r="AU89" i="1"/>
  <c r="AQ89" i="1"/>
  <c r="L89" i="1"/>
  <c r="AV89" i="1"/>
  <c r="AR89" i="1"/>
  <c r="C91" i="1"/>
  <c r="U91" i="1"/>
  <c r="AD91" i="1"/>
  <c r="V91" i="1"/>
  <c r="AE91" i="1"/>
  <c r="X91" i="1"/>
  <c r="AG91" i="1"/>
  <c r="B92" i="1"/>
  <c r="Q91" i="1"/>
  <c r="Z91" i="1"/>
  <c r="R91" i="1"/>
  <c r="AA91" i="1"/>
  <c r="AC91" i="1"/>
  <c r="AF91" i="1"/>
  <c r="S91" i="1"/>
  <c r="T91" i="1"/>
  <c r="W91" i="1"/>
  <c r="AB91" i="1"/>
  <c r="N90" i="1"/>
  <c r="M90" i="1"/>
  <c r="AT89" i="1"/>
  <c r="AP89" i="1"/>
  <c r="G90" i="1"/>
  <c r="H90" i="1"/>
  <c r="I90" i="1"/>
  <c r="J90" i="1"/>
  <c r="K90" i="1"/>
  <c r="D90" i="1"/>
  <c r="E90" i="1"/>
  <c r="F90" i="1"/>
  <c r="L90" i="1" l="1"/>
  <c r="AT90" i="1" s="1"/>
  <c r="AS90" i="1"/>
  <c r="N91" i="1"/>
  <c r="L91" i="1" s="1"/>
  <c r="AQ90" i="1"/>
  <c r="AU90" i="1"/>
  <c r="M91" i="1"/>
  <c r="K91" i="1"/>
  <c r="D91" i="1"/>
  <c r="F91" i="1"/>
  <c r="G91" i="1"/>
  <c r="H91" i="1"/>
  <c r="E91" i="1"/>
  <c r="I91" i="1"/>
  <c r="J91" i="1"/>
  <c r="Q92" i="1"/>
  <c r="Z92" i="1"/>
  <c r="R92" i="1"/>
  <c r="AA92" i="1"/>
  <c r="T92" i="1"/>
  <c r="AC92" i="1"/>
  <c r="C92" i="1"/>
  <c r="U92" i="1"/>
  <c r="AD92" i="1"/>
  <c r="V92" i="1"/>
  <c r="AE92" i="1"/>
  <c r="S92" i="1"/>
  <c r="B93" i="1"/>
  <c r="W92" i="1"/>
  <c r="X92" i="1"/>
  <c r="AB92" i="1"/>
  <c r="AF92" i="1"/>
  <c r="AG92" i="1"/>
  <c r="AR90" i="1"/>
  <c r="AV90" i="1"/>
  <c r="AP90" i="1"/>
  <c r="N92" i="1" l="1"/>
  <c r="AS91" i="1"/>
  <c r="M92" i="1"/>
  <c r="AR91" i="1"/>
  <c r="AV91" i="1"/>
  <c r="G92" i="1"/>
  <c r="H92" i="1"/>
  <c r="J92" i="1"/>
  <c r="K92" i="1"/>
  <c r="D92" i="1"/>
  <c r="E92" i="1"/>
  <c r="F92" i="1"/>
  <c r="I92" i="1"/>
  <c r="AU91" i="1"/>
  <c r="AQ91" i="1"/>
  <c r="C93" i="1"/>
  <c r="U93" i="1"/>
  <c r="AD93" i="1"/>
  <c r="V93" i="1"/>
  <c r="AE93" i="1"/>
  <c r="Q93" i="1"/>
  <c r="Z93" i="1"/>
  <c r="R93" i="1"/>
  <c r="AA93" i="1"/>
  <c r="AG93" i="1"/>
  <c r="S93" i="1"/>
  <c r="T93" i="1"/>
  <c r="W93" i="1"/>
  <c r="X93" i="1"/>
  <c r="AB93" i="1"/>
  <c r="B94" i="1"/>
  <c r="AC93" i="1"/>
  <c r="AF93" i="1"/>
  <c r="AT91" i="1"/>
  <c r="AP91" i="1"/>
  <c r="L92" i="1" l="1"/>
  <c r="AS92" i="1"/>
  <c r="K93" i="1"/>
  <c r="D93" i="1"/>
  <c r="G93" i="1"/>
  <c r="H93" i="1"/>
  <c r="E93" i="1"/>
  <c r="F93" i="1"/>
  <c r="I93" i="1"/>
  <c r="J93" i="1"/>
  <c r="AR92" i="1"/>
  <c r="AV92" i="1"/>
  <c r="C94" i="1"/>
  <c r="T94" i="1"/>
  <c r="AC94" i="1"/>
  <c r="U94" i="1"/>
  <c r="AD94" i="1"/>
  <c r="V94" i="1"/>
  <c r="AE94" i="1"/>
  <c r="W94" i="1"/>
  <c r="AF94" i="1"/>
  <c r="X94" i="1"/>
  <c r="AG94" i="1"/>
  <c r="B95" i="1"/>
  <c r="Q94" i="1"/>
  <c r="Z94" i="1"/>
  <c r="R94" i="1"/>
  <c r="AA94" i="1"/>
  <c r="S94" i="1"/>
  <c r="AB94" i="1"/>
  <c r="AP92" i="1"/>
  <c r="AT92" i="1"/>
  <c r="N93" i="1"/>
  <c r="M93" i="1"/>
  <c r="AQ92" i="1"/>
  <c r="AU92" i="1"/>
  <c r="AS93" i="1" l="1"/>
  <c r="AR93" i="1"/>
  <c r="AV93" i="1"/>
  <c r="L93" i="1"/>
  <c r="M94" i="1"/>
  <c r="AQ93" i="1"/>
  <c r="AU93" i="1"/>
  <c r="N94" i="1"/>
  <c r="X95" i="1"/>
  <c r="AG95" i="1"/>
  <c r="B96" i="1"/>
  <c r="Q95" i="1"/>
  <c r="Z95" i="1"/>
  <c r="R95" i="1"/>
  <c r="AA95" i="1"/>
  <c r="S95" i="1"/>
  <c r="AB95" i="1"/>
  <c r="T95" i="1"/>
  <c r="AC95" i="1"/>
  <c r="C95" i="1"/>
  <c r="U95" i="1"/>
  <c r="AD95" i="1"/>
  <c r="V95" i="1"/>
  <c r="AE95" i="1"/>
  <c r="W95" i="1"/>
  <c r="AF95" i="1"/>
  <c r="AT93" i="1"/>
  <c r="AP93" i="1"/>
  <c r="G94" i="1"/>
  <c r="K94" i="1"/>
  <c r="D94" i="1"/>
  <c r="H94" i="1"/>
  <c r="I94" i="1"/>
  <c r="J94" i="1"/>
  <c r="E94" i="1"/>
  <c r="F94" i="1"/>
  <c r="L94" i="1" l="1"/>
  <c r="AT94" i="1" s="1"/>
  <c r="AS94" i="1"/>
  <c r="AU94" i="1"/>
  <c r="AQ94" i="1"/>
  <c r="AV94" i="1"/>
  <c r="AR94" i="1"/>
  <c r="AP94" i="1"/>
  <c r="N95" i="1"/>
  <c r="F95" i="1"/>
  <c r="G95" i="1"/>
  <c r="H95" i="1"/>
  <c r="I95" i="1"/>
  <c r="J95" i="1"/>
  <c r="K95" i="1"/>
  <c r="D95" i="1"/>
  <c r="E95" i="1"/>
  <c r="M95" i="1"/>
  <c r="T96" i="1"/>
  <c r="AC96" i="1"/>
  <c r="C96" i="1"/>
  <c r="U96" i="1"/>
  <c r="AD96" i="1"/>
  <c r="V96" i="1"/>
  <c r="AE96" i="1"/>
  <c r="W96" i="1"/>
  <c r="AF96" i="1"/>
  <c r="X96" i="1"/>
  <c r="AG96" i="1"/>
  <c r="B97" i="1"/>
  <c r="Q96" i="1"/>
  <c r="Z96" i="1"/>
  <c r="R96" i="1"/>
  <c r="AA96" i="1"/>
  <c r="AB96" i="1"/>
  <c r="S96" i="1"/>
  <c r="L95" i="1" l="1"/>
  <c r="N96" i="1"/>
  <c r="M96" i="1"/>
  <c r="AS95" i="1"/>
  <c r="X97" i="1"/>
  <c r="AG97" i="1"/>
  <c r="B98" i="1"/>
  <c r="Q97" i="1"/>
  <c r="Z97" i="1"/>
  <c r="R97" i="1"/>
  <c r="AA97" i="1"/>
  <c r="S97" i="1"/>
  <c r="AB97" i="1"/>
  <c r="T97" i="1"/>
  <c r="AC97" i="1"/>
  <c r="C97" i="1"/>
  <c r="U97" i="1"/>
  <c r="AD97" i="1"/>
  <c r="V97" i="1"/>
  <c r="AE97" i="1"/>
  <c r="W97" i="1"/>
  <c r="AF97" i="1"/>
  <c r="AR95" i="1"/>
  <c r="AV95" i="1"/>
  <c r="J96" i="1"/>
  <c r="K96" i="1"/>
  <c r="D96" i="1"/>
  <c r="E96" i="1"/>
  <c r="F96" i="1"/>
  <c r="G96" i="1"/>
  <c r="H96" i="1"/>
  <c r="I96" i="1"/>
  <c r="AQ95" i="1"/>
  <c r="AU95" i="1"/>
  <c r="AP95" i="1"/>
  <c r="AT95" i="1"/>
  <c r="L96" i="1" l="1"/>
  <c r="AT96" i="1" s="1"/>
  <c r="AS96" i="1"/>
  <c r="AV96" i="1"/>
  <c r="AR96" i="1"/>
  <c r="AU96" i="1"/>
  <c r="AQ96" i="1"/>
  <c r="F97" i="1"/>
  <c r="G97" i="1"/>
  <c r="H97" i="1"/>
  <c r="I97" i="1"/>
  <c r="J97" i="1"/>
  <c r="K97" i="1"/>
  <c r="D97" i="1"/>
  <c r="E97" i="1"/>
  <c r="M97" i="1"/>
  <c r="AP96" i="1"/>
  <c r="T98" i="1"/>
  <c r="AC98" i="1"/>
  <c r="C98" i="1"/>
  <c r="U98" i="1"/>
  <c r="AD98" i="1"/>
  <c r="V98" i="1"/>
  <c r="AE98" i="1"/>
  <c r="W98" i="1"/>
  <c r="AF98" i="1"/>
  <c r="X98" i="1"/>
  <c r="AG98" i="1"/>
  <c r="B99" i="1"/>
  <c r="Q98" i="1"/>
  <c r="Z98" i="1"/>
  <c r="R98" i="1"/>
  <c r="AA98" i="1"/>
  <c r="S98" i="1"/>
  <c r="AB98" i="1"/>
  <c r="N97" i="1"/>
  <c r="AQ97" i="1" l="1"/>
  <c r="AU97" i="1"/>
  <c r="AP97" i="1"/>
  <c r="N98" i="1"/>
  <c r="M98" i="1"/>
  <c r="X99" i="1"/>
  <c r="AG99" i="1"/>
  <c r="B100" i="1"/>
  <c r="Q99" i="1"/>
  <c r="Z99" i="1"/>
  <c r="R99" i="1"/>
  <c r="AA99" i="1"/>
  <c r="S99" i="1"/>
  <c r="AB99" i="1"/>
  <c r="T99" i="1"/>
  <c r="AC99" i="1"/>
  <c r="C99" i="1"/>
  <c r="U99" i="1"/>
  <c r="AD99" i="1"/>
  <c r="V99" i="1"/>
  <c r="AE99" i="1"/>
  <c r="AF99" i="1"/>
  <c r="W99" i="1"/>
  <c r="L97" i="1"/>
  <c r="AT97" i="1" s="1"/>
  <c r="J98" i="1"/>
  <c r="K98" i="1"/>
  <c r="D98" i="1"/>
  <c r="E98" i="1"/>
  <c r="F98" i="1"/>
  <c r="G98" i="1"/>
  <c r="H98" i="1"/>
  <c r="I98" i="1"/>
  <c r="AS97" i="1"/>
  <c r="AR97" i="1"/>
  <c r="AV97" i="1"/>
  <c r="L98" i="1" l="1"/>
  <c r="AT98" i="1" s="1"/>
  <c r="AP98" i="1"/>
  <c r="AS98" i="1"/>
  <c r="N99" i="1"/>
  <c r="AV98" i="1"/>
  <c r="AR98" i="1"/>
  <c r="F99" i="1"/>
  <c r="G99" i="1"/>
  <c r="H99" i="1"/>
  <c r="I99" i="1"/>
  <c r="J99" i="1"/>
  <c r="K99" i="1"/>
  <c r="D99" i="1"/>
  <c r="E99" i="1"/>
  <c r="M99" i="1"/>
  <c r="AU98" i="1"/>
  <c r="AQ98" i="1"/>
  <c r="T100" i="1"/>
  <c r="AC100" i="1"/>
  <c r="C100" i="1"/>
  <c r="U100" i="1"/>
  <c r="AD100" i="1"/>
  <c r="V100" i="1"/>
  <c r="AE100" i="1"/>
  <c r="W100" i="1"/>
  <c r="AF100" i="1"/>
  <c r="X100" i="1"/>
  <c r="AG100" i="1"/>
  <c r="B101" i="1"/>
  <c r="Q100" i="1"/>
  <c r="Z100" i="1"/>
  <c r="R100" i="1"/>
  <c r="AA100" i="1"/>
  <c r="S100" i="1"/>
  <c r="AB100" i="1"/>
  <c r="L99" i="1" l="1"/>
  <c r="AS99" i="1"/>
  <c r="N100" i="1"/>
  <c r="M100" i="1"/>
  <c r="X101" i="1"/>
  <c r="AG101" i="1"/>
  <c r="B102" i="1"/>
  <c r="Q101" i="1"/>
  <c r="Z101" i="1"/>
  <c r="R101" i="1"/>
  <c r="AA101" i="1"/>
  <c r="S101" i="1"/>
  <c r="AB101" i="1"/>
  <c r="T101" i="1"/>
  <c r="AC101" i="1"/>
  <c r="C101" i="1"/>
  <c r="U101" i="1"/>
  <c r="AD101" i="1"/>
  <c r="V101" i="1"/>
  <c r="AE101" i="1"/>
  <c r="W101" i="1"/>
  <c r="AF101" i="1"/>
  <c r="J100" i="1"/>
  <c r="K100" i="1"/>
  <c r="D100" i="1"/>
  <c r="E100" i="1"/>
  <c r="F100" i="1"/>
  <c r="G100" i="1"/>
  <c r="H100" i="1"/>
  <c r="I100" i="1"/>
  <c r="AR99" i="1"/>
  <c r="AV99" i="1"/>
  <c r="AQ99" i="1"/>
  <c r="AU99" i="1"/>
  <c r="AP99" i="1"/>
  <c r="AT99" i="1"/>
  <c r="N101" i="1" l="1"/>
  <c r="M101" i="1"/>
  <c r="AS100" i="1"/>
  <c r="F101" i="1"/>
  <c r="G101" i="1"/>
  <c r="H101" i="1"/>
  <c r="I101" i="1"/>
  <c r="J101" i="1"/>
  <c r="K101" i="1"/>
  <c r="D101" i="1"/>
  <c r="E101" i="1"/>
  <c r="AV100" i="1"/>
  <c r="AR100" i="1"/>
  <c r="T102" i="1"/>
  <c r="AC102" i="1"/>
  <c r="C102" i="1"/>
  <c r="U102" i="1"/>
  <c r="AD102" i="1"/>
  <c r="V102" i="1"/>
  <c r="AE102" i="1"/>
  <c r="W102" i="1"/>
  <c r="AF102" i="1"/>
  <c r="X102" i="1"/>
  <c r="AG102" i="1"/>
  <c r="B103" i="1"/>
  <c r="Q102" i="1"/>
  <c r="Z102" i="1"/>
  <c r="R102" i="1"/>
  <c r="AA102" i="1"/>
  <c r="S102" i="1"/>
  <c r="AB102" i="1"/>
  <c r="AU100" i="1"/>
  <c r="AQ100" i="1"/>
  <c r="AP100" i="1"/>
  <c r="L100" i="1"/>
  <c r="AT100" i="1" s="1"/>
  <c r="M102" i="1" l="1"/>
  <c r="AS101" i="1"/>
  <c r="AR101" i="1"/>
  <c r="AV101" i="1"/>
  <c r="AQ101" i="1"/>
  <c r="AU101" i="1"/>
  <c r="AP101" i="1"/>
  <c r="J102" i="1"/>
  <c r="K102" i="1"/>
  <c r="D102" i="1"/>
  <c r="E102" i="1"/>
  <c r="F102" i="1"/>
  <c r="G102" i="1"/>
  <c r="H102" i="1"/>
  <c r="I102" i="1"/>
  <c r="X103" i="1"/>
  <c r="AG103" i="1"/>
  <c r="B104" i="1"/>
  <c r="Q103" i="1"/>
  <c r="Z103" i="1"/>
  <c r="R103" i="1"/>
  <c r="AA103" i="1"/>
  <c r="S103" i="1"/>
  <c r="AB103" i="1"/>
  <c r="T103" i="1"/>
  <c r="AC103" i="1"/>
  <c r="C103" i="1"/>
  <c r="U103" i="1"/>
  <c r="AD103" i="1"/>
  <c r="V103" i="1"/>
  <c r="AE103" i="1"/>
  <c r="AF103" i="1"/>
  <c r="W103" i="1"/>
  <c r="N102" i="1"/>
  <c r="L101" i="1"/>
  <c r="AT101" i="1" s="1"/>
  <c r="L102" i="1" l="1"/>
  <c r="AT102" i="1" s="1"/>
  <c r="AS102" i="1"/>
  <c r="AV102" i="1"/>
  <c r="AR102" i="1"/>
  <c r="AU102" i="1"/>
  <c r="AQ102" i="1"/>
  <c r="AP102" i="1"/>
  <c r="N103" i="1"/>
  <c r="M103" i="1"/>
  <c r="F103" i="1"/>
  <c r="G103" i="1"/>
  <c r="H103" i="1"/>
  <c r="I103" i="1"/>
  <c r="J103" i="1"/>
  <c r="K103" i="1"/>
  <c r="D103" i="1"/>
  <c r="E103" i="1"/>
  <c r="T104" i="1"/>
  <c r="AC104" i="1"/>
  <c r="C104" i="1"/>
  <c r="U104" i="1"/>
  <c r="AD104" i="1"/>
  <c r="V104" i="1"/>
  <c r="AE104" i="1"/>
  <c r="W104" i="1"/>
  <c r="AF104" i="1"/>
  <c r="X104" i="1"/>
  <c r="AG104" i="1"/>
  <c r="B105" i="1"/>
  <c r="Q104" i="1"/>
  <c r="Z104" i="1"/>
  <c r="R104" i="1"/>
  <c r="AA104" i="1"/>
  <c r="S104" i="1"/>
  <c r="AB104" i="1"/>
  <c r="L103" i="1" l="1"/>
  <c r="AT103" i="1" s="1"/>
  <c r="AS103" i="1"/>
  <c r="N104" i="1"/>
  <c r="M104" i="1"/>
  <c r="AR103" i="1"/>
  <c r="AV103" i="1"/>
  <c r="X105" i="1"/>
  <c r="AG105" i="1"/>
  <c r="B106" i="1"/>
  <c r="Q105" i="1"/>
  <c r="Z105" i="1"/>
  <c r="R105" i="1"/>
  <c r="AA105" i="1"/>
  <c r="S105" i="1"/>
  <c r="AB105" i="1"/>
  <c r="T105" i="1"/>
  <c r="AC105" i="1"/>
  <c r="C105" i="1"/>
  <c r="U105" i="1"/>
  <c r="AD105" i="1"/>
  <c r="V105" i="1"/>
  <c r="AE105" i="1"/>
  <c r="W105" i="1"/>
  <c r="AF105" i="1"/>
  <c r="AQ103" i="1"/>
  <c r="AU103" i="1"/>
  <c r="J104" i="1"/>
  <c r="K104" i="1"/>
  <c r="D104" i="1"/>
  <c r="E104" i="1"/>
  <c r="F104" i="1"/>
  <c r="G104" i="1"/>
  <c r="H104" i="1"/>
  <c r="I104" i="1"/>
  <c r="AP103" i="1"/>
  <c r="AS104" i="1" l="1"/>
  <c r="AV104" i="1"/>
  <c r="AR104" i="1"/>
  <c r="N105" i="1"/>
  <c r="L104" i="1"/>
  <c r="AU104" i="1"/>
  <c r="AQ104" i="1"/>
  <c r="F105" i="1"/>
  <c r="G105" i="1"/>
  <c r="H105" i="1"/>
  <c r="I105" i="1"/>
  <c r="J105" i="1"/>
  <c r="K105" i="1"/>
  <c r="D105" i="1"/>
  <c r="E105" i="1"/>
  <c r="M105" i="1"/>
  <c r="AT104" i="1"/>
  <c r="AP104" i="1"/>
  <c r="T106" i="1"/>
  <c r="AC106" i="1"/>
  <c r="C106" i="1"/>
  <c r="U106" i="1"/>
  <c r="AD106" i="1"/>
  <c r="V106" i="1"/>
  <c r="AE106" i="1"/>
  <c r="W106" i="1"/>
  <c r="AF106" i="1"/>
  <c r="X106" i="1"/>
  <c r="AG106" i="1"/>
  <c r="B107" i="1"/>
  <c r="Q106" i="1"/>
  <c r="Z106" i="1"/>
  <c r="R106" i="1"/>
  <c r="AA106" i="1"/>
  <c r="S106" i="1"/>
  <c r="AB106" i="1"/>
  <c r="AS105" i="1" l="1"/>
  <c r="M106" i="1"/>
  <c r="X107" i="1"/>
  <c r="AG107" i="1"/>
  <c r="B108" i="1"/>
  <c r="Q107" i="1"/>
  <c r="Z107" i="1"/>
  <c r="R107" i="1"/>
  <c r="AA107" i="1"/>
  <c r="T107" i="1"/>
  <c r="AC107" i="1"/>
  <c r="C107" i="1"/>
  <c r="U107" i="1"/>
  <c r="AD107" i="1"/>
  <c r="V107" i="1"/>
  <c r="AE107" i="1"/>
  <c r="S107" i="1"/>
  <c r="W107" i="1"/>
  <c r="AB107" i="1"/>
  <c r="AF107" i="1"/>
  <c r="AR105" i="1"/>
  <c r="AV105" i="1"/>
  <c r="L105" i="1"/>
  <c r="AT105" i="1" s="1"/>
  <c r="N106" i="1"/>
  <c r="L106" i="1" s="1"/>
  <c r="AQ105" i="1"/>
  <c r="AU105" i="1"/>
  <c r="J106" i="1"/>
  <c r="K106" i="1"/>
  <c r="D106" i="1"/>
  <c r="E106" i="1"/>
  <c r="F106" i="1"/>
  <c r="G106" i="1"/>
  <c r="H106" i="1"/>
  <c r="I106" i="1"/>
  <c r="AP105" i="1"/>
  <c r="AT106" i="1" l="1"/>
  <c r="AP106" i="1"/>
  <c r="N107" i="1"/>
  <c r="M107" i="1"/>
  <c r="T108" i="1"/>
  <c r="AC108" i="1"/>
  <c r="C108" i="1"/>
  <c r="U108" i="1"/>
  <c r="AD108" i="1"/>
  <c r="V108" i="1"/>
  <c r="AE108" i="1"/>
  <c r="X108" i="1"/>
  <c r="Q108" i="1"/>
  <c r="Z108" i="1"/>
  <c r="R108" i="1"/>
  <c r="AA108" i="1"/>
  <c r="AG108" i="1"/>
  <c r="AB108" i="1"/>
  <c r="S108" i="1"/>
  <c r="W108" i="1"/>
  <c r="B109" i="1"/>
  <c r="AF108" i="1"/>
  <c r="AS106" i="1"/>
  <c r="F107" i="1"/>
  <c r="G107" i="1"/>
  <c r="H107" i="1"/>
  <c r="J107" i="1"/>
  <c r="K107" i="1"/>
  <c r="D107" i="1"/>
  <c r="E107" i="1"/>
  <c r="I107" i="1"/>
  <c r="AU106" i="1"/>
  <c r="AQ106" i="1"/>
  <c r="AR106" i="1"/>
  <c r="AV106" i="1"/>
  <c r="M108" i="1" l="1"/>
  <c r="L107" i="1"/>
  <c r="AQ107" i="1"/>
  <c r="AU107" i="1"/>
  <c r="J108" i="1"/>
  <c r="K108" i="1"/>
  <c r="D108" i="1"/>
  <c r="F108" i="1"/>
  <c r="G108" i="1"/>
  <c r="H108" i="1"/>
  <c r="E108" i="1"/>
  <c r="I108" i="1"/>
  <c r="N108" i="1"/>
  <c r="X109" i="1"/>
  <c r="R109" i="1"/>
  <c r="AA109" i="1"/>
  <c r="V109" i="1"/>
  <c r="U109" i="1"/>
  <c r="AG109" i="1"/>
  <c r="B110" i="1"/>
  <c r="C109" i="1"/>
  <c r="W109" i="1"/>
  <c r="Z109" i="1"/>
  <c r="AB109" i="1"/>
  <c r="AE109" i="1"/>
  <c r="AC109" i="1"/>
  <c r="S109" i="1"/>
  <c r="Q109" i="1"/>
  <c r="AD109" i="1"/>
  <c r="T109" i="1"/>
  <c r="AF109" i="1"/>
  <c r="AS107" i="1"/>
  <c r="AV107" i="1"/>
  <c r="AR107" i="1"/>
  <c r="AP107" i="1"/>
  <c r="AT107" i="1"/>
  <c r="L108" i="1" l="1"/>
  <c r="AT108" i="1" s="1"/>
  <c r="AS108" i="1"/>
  <c r="AP108" i="1"/>
  <c r="N109" i="1"/>
  <c r="F109" i="1"/>
  <c r="H109" i="1"/>
  <c r="D109" i="1"/>
  <c r="G109" i="1"/>
  <c r="I109" i="1"/>
  <c r="J109" i="1"/>
  <c r="K109" i="1"/>
  <c r="E109" i="1"/>
  <c r="AR108" i="1"/>
  <c r="AV108" i="1"/>
  <c r="T110" i="1"/>
  <c r="AC110" i="1"/>
  <c r="AA110" i="1"/>
  <c r="C110" i="1"/>
  <c r="U110" i="1"/>
  <c r="AD110" i="1"/>
  <c r="V110" i="1"/>
  <c r="AE110" i="1"/>
  <c r="W110" i="1"/>
  <c r="AF110" i="1"/>
  <c r="X110" i="1"/>
  <c r="AG110" i="1"/>
  <c r="B111" i="1"/>
  <c r="Q110" i="1"/>
  <c r="Z110" i="1"/>
  <c r="R110" i="1"/>
  <c r="AB110" i="1"/>
  <c r="S110" i="1"/>
  <c r="M109" i="1"/>
  <c r="AU108" i="1"/>
  <c r="AQ108" i="1"/>
  <c r="AS109" i="1" l="1"/>
  <c r="AU109" i="1"/>
  <c r="AQ109" i="1"/>
  <c r="AP109" i="1"/>
  <c r="X111" i="1"/>
  <c r="AG111" i="1"/>
  <c r="B112" i="1"/>
  <c r="Q111" i="1"/>
  <c r="Z111" i="1"/>
  <c r="R111" i="1"/>
  <c r="AA111" i="1"/>
  <c r="S111" i="1"/>
  <c r="AB111" i="1"/>
  <c r="V111" i="1"/>
  <c r="T111" i="1"/>
  <c r="AC111" i="1"/>
  <c r="C111" i="1"/>
  <c r="U111" i="1"/>
  <c r="AD111" i="1"/>
  <c r="AE111" i="1"/>
  <c r="W111" i="1"/>
  <c r="AF111" i="1"/>
  <c r="J110" i="1"/>
  <c r="H110" i="1"/>
  <c r="K110" i="1"/>
  <c r="D110" i="1"/>
  <c r="E110" i="1"/>
  <c r="F110" i="1"/>
  <c r="G110" i="1"/>
  <c r="I110" i="1"/>
  <c r="N110" i="1"/>
  <c r="M110" i="1"/>
  <c r="L109" i="1"/>
  <c r="AT109" i="1" s="1"/>
  <c r="AR109" i="1"/>
  <c r="AV109" i="1"/>
  <c r="N111" i="1" l="1"/>
  <c r="M111" i="1"/>
  <c r="AS110" i="1"/>
  <c r="AP110" i="1"/>
  <c r="L110" i="1"/>
  <c r="AT110" i="1" s="1"/>
  <c r="AV110" i="1"/>
  <c r="AR110" i="1"/>
  <c r="T112" i="1"/>
  <c r="AC112" i="1"/>
  <c r="R112" i="1"/>
  <c r="C112" i="1"/>
  <c r="U112" i="1"/>
  <c r="AD112" i="1"/>
  <c r="V112" i="1"/>
  <c r="AE112" i="1"/>
  <c r="W112" i="1"/>
  <c r="AF112" i="1"/>
  <c r="X112" i="1"/>
  <c r="AG112" i="1"/>
  <c r="B113" i="1"/>
  <c r="AA112" i="1"/>
  <c r="Q112" i="1"/>
  <c r="Z112" i="1"/>
  <c r="S112" i="1"/>
  <c r="AB112" i="1"/>
  <c r="AU110" i="1"/>
  <c r="AQ110" i="1"/>
  <c r="F111" i="1"/>
  <c r="G111" i="1"/>
  <c r="H111" i="1"/>
  <c r="D111" i="1"/>
  <c r="I111" i="1"/>
  <c r="J111" i="1"/>
  <c r="K111" i="1"/>
  <c r="E111" i="1"/>
  <c r="L111" i="1" l="1"/>
  <c r="AS111" i="1"/>
  <c r="X113" i="1"/>
  <c r="AG113" i="1"/>
  <c r="B114" i="1"/>
  <c r="Q113" i="1"/>
  <c r="Z113" i="1"/>
  <c r="R113" i="1"/>
  <c r="AA113" i="1"/>
  <c r="AE113" i="1"/>
  <c r="S113" i="1"/>
  <c r="AB113" i="1"/>
  <c r="V113" i="1"/>
  <c r="T113" i="1"/>
  <c r="AC113" i="1"/>
  <c r="C113" i="1"/>
  <c r="U113" i="1"/>
  <c r="AD113" i="1"/>
  <c r="W113" i="1"/>
  <c r="AF113" i="1"/>
  <c r="AR111" i="1"/>
  <c r="AV111" i="1"/>
  <c r="AQ111" i="1"/>
  <c r="AU111" i="1"/>
  <c r="N112" i="1"/>
  <c r="AP111" i="1"/>
  <c r="AT111" i="1"/>
  <c r="M112" i="1"/>
  <c r="J112" i="1"/>
  <c r="K112" i="1"/>
  <c r="D112" i="1"/>
  <c r="H112" i="1"/>
  <c r="E112" i="1"/>
  <c r="F112" i="1"/>
  <c r="G112" i="1"/>
  <c r="I112" i="1"/>
  <c r="L112" i="1" l="1"/>
  <c r="AT112" i="1" s="1"/>
  <c r="AP112" i="1"/>
  <c r="F113" i="1"/>
  <c r="G113" i="1"/>
  <c r="D113" i="1"/>
  <c r="H113" i="1"/>
  <c r="I113" i="1"/>
  <c r="J113" i="1"/>
  <c r="K113" i="1"/>
  <c r="E113" i="1"/>
  <c r="N113" i="1"/>
  <c r="AU112" i="1"/>
  <c r="AQ112" i="1"/>
  <c r="AS112" i="1"/>
  <c r="M113" i="1"/>
  <c r="AV112" i="1"/>
  <c r="AR112" i="1"/>
  <c r="T114" i="1"/>
  <c r="AC114" i="1"/>
  <c r="C114" i="1"/>
  <c r="U114" i="1"/>
  <c r="AD114" i="1"/>
  <c r="AA114" i="1"/>
  <c r="V114" i="1"/>
  <c r="AE114" i="1"/>
  <c r="W114" i="1"/>
  <c r="AF114" i="1"/>
  <c r="X114" i="1"/>
  <c r="AG114" i="1"/>
  <c r="B115" i="1"/>
  <c r="R114" i="1"/>
  <c r="Q114" i="1"/>
  <c r="Z114" i="1"/>
  <c r="S114" i="1"/>
  <c r="AB114" i="1"/>
  <c r="AS113" i="1" l="1"/>
  <c r="X115" i="1"/>
  <c r="AG115" i="1"/>
  <c r="B116" i="1"/>
  <c r="Q115" i="1"/>
  <c r="Z115" i="1"/>
  <c r="R115" i="1"/>
  <c r="AA115" i="1"/>
  <c r="S115" i="1"/>
  <c r="AB115" i="1"/>
  <c r="T115" i="1"/>
  <c r="AC115" i="1"/>
  <c r="C115" i="1"/>
  <c r="U115" i="1"/>
  <c r="AD115" i="1"/>
  <c r="W115" i="1"/>
  <c r="AE115" i="1"/>
  <c r="AF115" i="1"/>
  <c r="V115" i="1"/>
  <c r="AP113" i="1"/>
  <c r="AQ113" i="1"/>
  <c r="AU113" i="1"/>
  <c r="J114" i="1"/>
  <c r="H114" i="1"/>
  <c r="K114" i="1"/>
  <c r="D114" i="1"/>
  <c r="E114" i="1"/>
  <c r="F114" i="1"/>
  <c r="G114" i="1"/>
  <c r="I114" i="1"/>
  <c r="L113" i="1"/>
  <c r="AT113" i="1" s="1"/>
  <c r="N114" i="1"/>
  <c r="M114" i="1"/>
  <c r="AR113" i="1"/>
  <c r="AV113" i="1"/>
  <c r="AS114" i="1" l="1"/>
  <c r="AV114" i="1"/>
  <c r="AR114" i="1"/>
  <c r="AP114" i="1"/>
  <c r="AU114" i="1"/>
  <c r="AQ114" i="1"/>
  <c r="N115" i="1"/>
  <c r="F115" i="1"/>
  <c r="D115" i="1"/>
  <c r="G115" i="1"/>
  <c r="H115" i="1"/>
  <c r="I115" i="1"/>
  <c r="J115" i="1"/>
  <c r="K115" i="1"/>
  <c r="E115" i="1"/>
  <c r="L114" i="1"/>
  <c r="AT114" i="1" s="1"/>
  <c r="M115" i="1"/>
  <c r="T116" i="1"/>
  <c r="AC116" i="1"/>
  <c r="C116" i="1"/>
  <c r="U116" i="1"/>
  <c r="AD116" i="1"/>
  <c r="V116" i="1"/>
  <c r="AE116" i="1"/>
  <c r="W116" i="1"/>
  <c r="AF116" i="1"/>
  <c r="X116" i="1"/>
  <c r="AG116" i="1"/>
  <c r="B117" i="1"/>
  <c r="Q116" i="1"/>
  <c r="Z116" i="1"/>
  <c r="S116" i="1"/>
  <c r="AA116" i="1"/>
  <c r="AB116" i="1"/>
  <c r="R116" i="1"/>
  <c r="N116" i="1" l="1"/>
  <c r="L116" i="1" s="1"/>
  <c r="L115" i="1"/>
  <c r="AS115" i="1"/>
  <c r="M116" i="1"/>
  <c r="X117" i="1"/>
  <c r="AG117" i="1"/>
  <c r="B118" i="1"/>
  <c r="Q117" i="1"/>
  <c r="Z117" i="1"/>
  <c r="R117" i="1"/>
  <c r="AA117" i="1"/>
  <c r="S117" i="1"/>
  <c r="AB117" i="1"/>
  <c r="T117" i="1"/>
  <c r="AC117" i="1"/>
  <c r="C117" i="1"/>
  <c r="U117" i="1"/>
  <c r="AD117" i="1"/>
  <c r="V117" i="1"/>
  <c r="W117" i="1"/>
  <c r="AE117" i="1"/>
  <c r="AF117" i="1"/>
  <c r="AR115" i="1"/>
  <c r="AV115" i="1"/>
  <c r="J116" i="1"/>
  <c r="K116" i="1"/>
  <c r="D116" i="1"/>
  <c r="E116" i="1"/>
  <c r="F116" i="1"/>
  <c r="G116" i="1"/>
  <c r="H116" i="1"/>
  <c r="I116" i="1"/>
  <c r="AQ115" i="1"/>
  <c r="AU115" i="1"/>
  <c r="AP115" i="1"/>
  <c r="AT115" i="1"/>
  <c r="AS116" i="1" l="1"/>
  <c r="AU116" i="1"/>
  <c r="AQ116" i="1"/>
  <c r="F117" i="1"/>
  <c r="G117" i="1"/>
  <c r="H117" i="1"/>
  <c r="I117" i="1"/>
  <c r="J117" i="1"/>
  <c r="K117" i="1"/>
  <c r="D117" i="1"/>
  <c r="E117" i="1"/>
  <c r="M117" i="1"/>
  <c r="AT116" i="1"/>
  <c r="AP116" i="1"/>
  <c r="T118" i="1"/>
  <c r="AC118" i="1"/>
  <c r="C118" i="1"/>
  <c r="U118" i="1"/>
  <c r="AD118" i="1"/>
  <c r="V118" i="1"/>
  <c r="AE118" i="1"/>
  <c r="W118" i="1"/>
  <c r="AF118" i="1"/>
  <c r="X118" i="1"/>
  <c r="AG118" i="1"/>
  <c r="B119" i="1"/>
  <c r="Q118" i="1"/>
  <c r="Z118" i="1"/>
  <c r="R118" i="1"/>
  <c r="S118" i="1"/>
  <c r="AA118" i="1"/>
  <c r="AB118" i="1"/>
  <c r="AV116" i="1"/>
  <c r="AR116" i="1"/>
  <c r="N117" i="1"/>
  <c r="L117" i="1" l="1"/>
  <c r="AT117" i="1" s="1"/>
  <c r="AS117" i="1"/>
  <c r="AR117" i="1"/>
  <c r="AV117" i="1"/>
  <c r="AQ117" i="1"/>
  <c r="AU117" i="1"/>
  <c r="AP117" i="1"/>
  <c r="N118" i="1"/>
  <c r="J118" i="1"/>
  <c r="K118" i="1"/>
  <c r="D118" i="1"/>
  <c r="E118" i="1"/>
  <c r="F118" i="1"/>
  <c r="G118" i="1"/>
  <c r="I118" i="1"/>
  <c r="H118" i="1"/>
  <c r="M118" i="1"/>
  <c r="X119" i="1"/>
  <c r="AG119" i="1"/>
  <c r="B120" i="1"/>
  <c r="Q119" i="1"/>
  <c r="Z119" i="1"/>
  <c r="R119" i="1"/>
  <c r="AA119" i="1"/>
  <c r="S119" i="1"/>
  <c r="AB119" i="1"/>
  <c r="T119" i="1"/>
  <c r="AC119" i="1"/>
  <c r="C119" i="1"/>
  <c r="U119" i="1"/>
  <c r="AD119" i="1"/>
  <c r="V119" i="1"/>
  <c r="W119" i="1"/>
  <c r="AE119" i="1"/>
  <c r="AF119" i="1"/>
  <c r="AS118" i="1" l="1"/>
  <c r="AV118" i="1"/>
  <c r="AR118" i="1"/>
  <c r="AP118" i="1"/>
  <c r="L118" i="1"/>
  <c r="AT118" i="1" s="1"/>
  <c r="AU118" i="1"/>
  <c r="AQ118" i="1"/>
  <c r="N119" i="1"/>
  <c r="M119" i="1"/>
  <c r="F119" i="1"/>
  <c r="G119" i="1"/>
  <c r="H119" i="1"/>
  <c r="I119" i="1"/>
  <c r="J119" i="1"/>
  <c r="K119" i="1"/>
  <c r="E119" i="1"/>
  <c r="D119" i="1"/>
  <c r="T120" i="1"/>
  <c r="AC120" i="1"/>
  <c r="C120" i="1"/>
  <c r="U120" i="1"/>
  <c r="AD120" i="1"/>
  <c r="V120" i="1"/>
  <c r="AE120" i="1"/>
  <c r="W120" i="1"/>
  <c r="AF120" i="1"/>
  <c r="X120" i="1"/>
  <c r="AG120" i="1"/>
  <c r="B121" i="1"/>
  <c r="Q120" i="1"/>
  <c r="Z120" i="1"/>
  <c r="R120" i="1"/>
  <c r="S120" i="1"/>
  <c r="AA120" i="1"/>
  <c r="AB120" i="1"/>
  <c r="L119" i="1" l="1"/>
  <c r="AT119" i="1" s="1"/>
  <c r="AS119" i="1"/>
  <c r="N120" i="1"/>
  <c r="M120" i="1"/>
  <c r="AR119" i="1"/>
  <c r="AV119" i="1"/>
  <c r="AQ119" i="1"/>
  <c r="AU119" i="1"/>
  <c r="J120" i="1"/>
  <c r="K120" i="1"/>
  <c r="D120" i="1"/>
  <c r="E120" i="1"/>
  <c r="F120" i="1"/>
  <c r="G120" i="1"/>
  <c r="H120" i="1"/>
  <c r="I120" i="1"/>
  <c r="AP119" i="1"/>
  <c r="X121" i="1"/>
  <c r="AG121" i="1"/>
  <c r="B122" i="1"/>
  <c r="Q121" i="1"/>
  <c r="Z121" i="1"/>
  <c r="R121" i="1"/>
  <c r="AA121" i="1"/>
  <c r="S121" i="1"/>
  <c r="AB121" i="1"/>
  <c r="T121" i="1"/>
  <c r="AC121" i="1"/>
  <c r="C121" i="1"/>
  <c r="U121" i="1"/>
  <c r="AD121" i="1"/>
  <c r="AF121" i="1"/>
  <c r="AE121" i="1"/>
  <c r="V121" i="1"/>
  <c r="W121" i="1"/>
  <c r="AS120" i="1" l="1"/>
  <c r="AV120" i="1"/>
  <c r="AR120" i="1"/>
  <c r="AU120" i="1"/>
  <c r="AQ120" i="1"/>
  <c r="N121" i="1"/>
  <c r="AP120" i="1"/>
  <c r="M121" i="1"/>
  <c r="F121" i="1"/>
  <c r="G121" i="1"/>
  <c r="H121" i="1"/>
  <c r="I121" i="1"/>
  <c r="J121" i="1"/>
  <c r="K121" i="1"/>
  <c r="D121" i="1"/>
  <c r="E121" i="1"/>
  <c r="T122" i="1"/>
  <c r="AC122" i="1"/>
  <c r="C122" i="1"/>
  <c r="U122" i="1"/>
  <c r="AD122" i="1"/>
  <c r="V122" i="1"/>
  <c r="AE122" i="1"/>
  <c r="AF122" i="1"/>
  <c r="W122" i="1"/>
  <c r="X122" i="1"/>
  <c r="AG122" i="1"/>
  <c r="B123" i="1"/>
  <c r="Q122" i="1"/>
  <c r="Z122" i="1"/>
  <c r="AB122" i="1"/>
  <c r="R122" i="1"/>
  <c r="AA122" i="1"/>
  <c r="S122" i="1"/>
  <c r="L120" i="1"/>
  <c r="AT120" i="1" s="1"/>
  <c r="AS121" i="1" l="1"/>
  <c r="N122" i="1"/>
  <c r="M122" i="1"/>
  <c r="L121" i="1"/>
  <c r="AT121" i="1" s="1"/>
  <c r="X123" i="1"/>
  <c r="AG123" i="1"/>
  <c r="Q123" i="1"/>
  <c r="Z123" i="1"/>
  <c r="AB123" i="1"/>
  <c r="R123" i="1"/>
  <c r="AA123" i="1"/>
  <c r="S123" i="1"/>
  <c r="T123" i="1"/>
  <c r="AC123" i="1"/>
  <c r="C123" i="1"/>
  <c r="U123" i="1"/>
  <c r="AD123" i="1"/>
  <c r="W123" i="1"/>
  <c r="V123" i="1"/>
  <c r="AE123" i="1"/>
  <c r="AF123" i="1"/>
  <c r="AQ121" i="1"/>
  <c r="AU121" i="1"/>
  <c r="AR121" i="1"/>
  <c r="AV121" i="1"/>
  <c r="J122" i="1"/>
  <c r="K122" i="1"/>
  <c r="D122" i="1"/>
  <c r="E122" i="1"/>
  <c r="F122" i="1"/>
  <c r="G122" i="1"/>
  <c r="H122" i="1"/>
  <c r="I122" i="1"/>
  <c r="AP121" i="1"/>
  <c r="AS122" i="1" l="1"/>
  <c r="AU122" i="1"/>
  <c r="AQ122" i="1"/>
  <c r="AP122" i="1"/>
  <c r="N123" i="1"/>
  <c r="M123" i="1"/>
  <c r="F123" i="1"/>
  <c r="I123" i="1"/>
  <c r="G123" i="1"/>
  <c r="H123" i="1"/>
  <c r="J123" i="1"/>
  <c r="K123" i="1"/>
  <c r="D123" i="1"/>
  <c r="E123" i="1"/>
  <c r="AV122" i="1"/>
  <c r="AR122" i="1"/>
  <c r="L122" i="1"/>
  <c r="AT122" i="1" s="1"/>
  <c r="L123" i="1" l="1"/>
  <c r="AT123" i="1" s="1"/>
  <c r="AT47" i="1" s="1"/>
  <c r="AS123" i="1"/>
  <c r="AS47" i="1" s="1"/>
  <c r="AQ123" i="1"/>
  <c r="AQ47" i="1" s="1"/>
  <c r="AU123" i="1"/>
  <c r="AU47" i="1" s="1"/>
  <c r="AR123" i="1"/>
  <c r="AR47" i="1" s="1"/>
  <c r="AV123" i="1"/>
  <c r="AV47" i="1" s="1"/>
  <c r="AP123" i="1"/>
  <c r="AP47" i="1" s="1"/>
  <c r="C7" i="1" l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<sst xmlns="http://schemas.openxmlformats.org/spreadsheetml/2006/main" count="124" uniqueCount="43">
  <si>
    <t>а</t>
  </si>
  <si>
    <t>ΔCp (1-2) J</t>
  </si>
  <si>
    <t>ΔG (1-2) kJ</t>
  </si>
  <si>
    <t>ΔS (1-2) J</t>
  </si>
  <si>
    <t>ΔH (1-2) kJ</t>
  </si>
  <si>
    <t>ΔCp (1-0) J</t>
  </si>
  <si>
    <t>ΔG (1-0) kJ</t>
  </si>
  <si>
    <t>ΔS (1-0) J</t>
  </si>
  <si>
    <t>ΔH (1-0) kJ</t>
  </si>
  <si>
    <t>2: Cp(T) Дж</t>
  </si>
  <si>
    <t>2: G(T) Дж</t>
  </si>
  <si>
    <t>2: S(T) Дж</t>
  </si>
  <si>
    <t>2: H(T) Дж</t>
  </si>
  <si>
    <t>1: Cp(T) J</t>
  </si>
  <si>
    <t>1: G(T) KJ</t>
  </si>
  <si>
    <t>1: S(T) J</t>
  </si>
  <si>
    <t>1: H(T) KJ</t>
  </si>
  <si>
    <t>0: Cp(T) J</t>
  </si>
  <si>
    <t>0: G(T) KJ</t>
  </si>
  <si>
    <t>0: S(T) J</t>
  </si>
  <si>
    <t>0: H(T) KJ</t>
  </si>
  <si>
    <t>Т (К)</t>
  </si>
  <si>
    <t>2: Gi</t>
  </si>
  <si>
    <t>2: Si</t>
  </si>
  <si>
    <t>Коэфф</t>
  </si>
  <si>
    <t>п</t>
  </si>
  <si>
    <t>Степень T             [П-&gt; T*Ln(T); l -&gt; ln(T)]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</si>
  <si>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</si>
  <si>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</si>
  <si>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</si>
  <si>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</si>
  <si>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</si>
  <si>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</si>
  <si>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</si>
  <si>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</si>
  <si>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1-2</t>
  </si>
  <si>
    <t>1-0</t>
  </si>
  <si>
    <t>1 сравнения</t>
  </si>
  <si>
    <t>Пересчет</t>
  </si>
  <si>
    <t xml:space="preserve">Конец </t>
  </si>
  <si>
    <t>0 эталон</t>
  </si>
  <si>
    <t xml:space="preserve">Начало </t>
  </si>
  <si>
    <t>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</si>
</sst>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E+00"/>
  </numFmts>
  <fonts count="15" x14ac:knownFonts="1">
    <font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0" xfId="0" applyNumberFormat="1"/>
    <xf numFmtId="11" fontId="0" fillId="0" borderId="0" xfId="0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65" fontId="0" fillId="0" borderId="0" xfId="0" applyNumberFormat="1"/>
    <xf numFmtId="4" fontId="0" fillId="0" borderId="0" xfId="0" applyNumberFormat="1"/>
    <xf numFmtId="3" fontId="1" fillId="0" borderId="0" xfId="0" applyNumberFormat="1" applyFont="1"/>
    <xf numFmtId="0" fontId="2" fillId="2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0" fillId="4" borderId="0" xfId="0" applyFill="1"/>
    <xf numFmtId="0" fontId="2" fillId="2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0" fontId="0" fillId="0" borderId="3" xfId="0" applyBorder="1"/>
    <xf numFmtId="0" fontId="0" fillId="0" borderId="0" xfId="0" applyAlignment="1">
      <alignment horizontal="center"/>
    </xf>
    <xf numFmtId="2" fontId="0" fillId="0" borderId="4" xfId="0" applyNumberFormat="1" applyBorder="1"/>
    <xf numFmtId="49" fontId="3" fillId="0" borderId="0" xfId="0" applyNumberFormat="1" applyFont="1" applyAlignment="1">
      <alignment vertical="top"/>
    </xf>
    <xf numFmtId="16" fontId="0" fillId="0" borderId="0" xfId="0" applyNumberFormat="1"/>
    <xf numFmtId="0" fontId="4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1" fontId="4" fillId="0" borderId="0" xfId="0" applyNumberFormat="1" applyFont="1" applyAlignment="1">
      <alignment horizontal="left"/>
    </xf>
    <xf numFmtId="11" fontId="7" fillId="0" borderId="0" xfId="0" applyNumberFormat="1" applyFont="1" applyAlignment="1">
      <alignment vertical="center"/>
    </xf>
    <xf numFmtId="1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top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49" fontId="5" fillId="10" borderId="6" xfId="0" applyNumberFormat="1" applyFont="1" applyFill="1" applyBorder="1" applyAlignment="1">
      <alignment horizontal="center"/>
    </xf>
    <xf numFmtId="49" fontId="5" fillId="10" borderId="7" xfId="0" applyNumberFormat="1" applyFont="1" applyFill="1" applyBorder="1" applyAlignment="1">
      <alignment horizontal="center"/>
    </xf>
    <xf numFmtId="49" fontId="5" fillId="10" borderId="2" xfId="0" applyNumberFormat="1" applyFont="1" applyFill="1" applyBorder="1" applyAlignment="1">
      <alignment horizontal="center"/>
    </xf>
    <xf numFmtId="0" fontId="0" fillId="8" borderId="13" xfId="0" applyFill="1" applyBorder="1"/>
    <xf numFmtId="0" fontId="0" fillId="8" borderId="2" xfId="0" applyFill="1" applyBorder="1"/>
    <xf numFmtId="166" fontId="6" fillId="7" borderId="14" xfId="0" applyNumberFormat="1" applyFont="1" applyFill="1" applyBorder="1" applyAlignment="1">
      <alignment vertical="center"/>
    </xf>
    <xf numFmtId="166" fontId="6" fillId="0" borderId="14" xfId="0" applyNumberFormat="1" applyFont="1" applyBorder="1" applyAlignment="1">
      <alignment vertical="center"/>
    </xf>
    <xf numFmtId="0" fontId="6" fillId="7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"/>
          <c:order val="0"/>
          <c:tx>
            <c:strRef>
              <c:f>Сравнение!$AP$48</c:f>
              <c:strCache>
                <c:ptCount val="1"/>
                <c:pt idx="0">
                  <c:v>ΔH (1-0) kJ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47E4-4421-9955-CF678120661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Сравнение!$AP$49:$AP$123</c:f>
              <c:numCache>
                <c:formatCode>#,##0.00</c:formatCode>
                <c:ptCount val="75"/>
                <c:pt idx="0">
                  <c:v>-8.5887533000710697E-4</c:v>
                </c:pt>
                <c:pt idx="1">
                  <c:v>-2.334641738913068E-3</c:v>
                </c:pt>
                <c:pt idx="2">
                  <c:v>-7.5884077985961529E-3</c:v>
                </c:pt>
                <c:pt idx="3">
                  <c:v>-1.662985725560695E-2</c:v>
                </c:pt>
                <c:pt idx="4">
                  <c:v>-2.908526615054563E-2</c:v>
                </c:pt>
                <c:pt idx="5">
                  <c:v>-4.4249717875203709E-2</c:v>
                </c:pt>
                <c:pt idx="6">
                  <c:v>-6.113101128886278E-2</c:v>
                </c:pt>
                <c:pt idx="7">
                  <c:v>-7.8486763886746136E-2</c:v>
                </c:pt>
                <c:pt idx="8">
                  <c:v>-9.4855909453678056E-2</c:v>
                </c:pt>
                <c:pt idx="9">
                  <c:v>-0.10858555395843483</c:v>
                </c:pt>
                <c:pt idx="10">
                  <c:v>-0.11785396861393194</c:v>
                </c:pt>
                <c:pt idx="11">
                  <c:v>-0.12069035314277743</c:v>
                </c:pt>
                <c:pt idx="12">
                  <c:v>-0.11499188643805613</c:v>
                </c:pt>
                <c:pt idx="13">
                  <c:v>-9.8538489275937113E-2</c:v>
                </c:pt>
                <c:pt idx="14">
                  <c:v>-6.9005649422128279E-2</c:v>
                </c:pt>
                <c:pt idx="15">
                  <c:v>-2.3975599476991238E-2</c:v>
                </c:pt>
                <c:pt idx="16">
                  <c:v>3.9052910876369751E-2</c:v>
                </c:pt>
                <c:pt idx="17">
                  <c:v>0.12265604624460735</c:v>
                </c:pt>
                <c:pt idx="18">
                  <c:v>0.229477351040698</c:v>
                </c:pt>
                <c:pt idx="19">
                  <c:v>0.3622211064042844</c:v>
                </c:pt>
                <c:pt idx="20">
                  <c:v>0.5236464578667297</c:v>
                </c:pt>
                <c:pt idx="21">
                  <c:v>0.71656221141110077</c:v>
                </c:pt>
                <c:pt idx="22">
                  <c:v>0.94382221082381168</c:v>
                </c:pt>
                <c:pt idx="23">
                  <c:v>1.208321221968701</c:v>
                </c:pt>
                <c:pt idx="24">
                  <c:v>1.5129912602926554</c:v>
                </c:pt>
                <c:pt idx="25">
                  <c:v>1.8607983068572516</c:v>
                </c:pt>
                <c:pt idx="26">
                  <c:v>2.2547393657735411</c:v>
                </c:pt>
                <c:pt idx="27">
                  <c:v>2.6978398223361761</c:v>
                </c:pt>
                <c:pt idx="28">
                  <c:v>3.1931510666084497</c:v>
                </c:pt>
                <c:pt idx="29">
                  <c:v>3.7437483518535082</c:v>
                </c:pt>
                <c:pt idx="30">
                  <c:v>4.3527288611728983</c:v>
                </c:pt>
                <c:pt idx="31">
                  <c:v>5.023209959114082</c:v>
                </c:pt>
                <c:pt idx="32">
                  <c:v>5.7583276079246692</c:v>
                </c:pt>
                <c:pt idx="33">
                  <c:v>6.5612349306441242</c:v>
                </c:pt>
                <c:pt idx="34">
                  <c:v>7.4351009053912342</c:v>
                </c:pt>
                <c:pt idx="35">
                  <c:v>8.3831091770820425</c:v>
                </c:pt>
                <c:pt idx="36">
                  <c:v>9.4084569744381739</c:v>
                </c:pt>
                <c:pt idx="37">
                  <c:v>10.514354121560761</c:v>
                </c:pt>
                <c:pt idx="38">
                  <c:v>11.704022134572764</c:v>
                </c:pt>
                <c:pt idx="39">
                  <c:v>12.980693394910917</c:v>
                </c:pt>
                <c:pt idx="40">
                  <c:v>14.34761039178324</c:v>
                </c:pt>
                <c:pt idx="41">
                  <c:v>15.808025027136285</c:v>
                </c:pt>
                <c:pt idx="42">
                  <c:v>17.365197977193883</c:v>
                </c:pt>
                <c:pt idx="43">
                  <c:v>19.022398105268316</c:v>
                </c:pt>
                <c:pt idx="44">
                  <c:v>20.78290192110412</c:v>
                </c:pt>
                <c:pt idx="45">
                  <c:v>22.649993082506285</c:v>
                </c:pt>
                <c:pt idx="46">
                  <c:v>24.626961935447554</c:v>
                </c:pt>
                <c:pt idx="47">
                  <c:v>26.717105089229797</c:v>
                </c:pt>
                <c:pt idx="48">
                  <c:v>28.923725023622758</c:v>
                </c:pt>
                <c:pt idx="49">
                  <c:v>31.250129725207103</c:v>
                </c:pt>
                <c:pt idx="50">
                  <c:v>33.699632350418781</c:v>
                </c:pt>
                <c:pt idx="51">
                  <c:v>36.275550913036497</c:v>
                </c:pt>
                <c:pt idx="52">
                  <c:v>38.981207994067432</c:v>
                </c:pt>
                <c:pt idx="53">
                  <c:v>41.819930472180161</c:v>
                </c:pt>
                <c:pt idx="54">
                  <c:v>44.795049273008608</c:v>
                </c:pt>
                <c:pt idx="55">
                  <c:v>47.909899135800345</c:v>
                </c:pt>
                <c:pt idx="56">
                  <c:v>51.167818396029084</c:v>
                </c:pt>
                <c:pt idx="57">
                  <c:v>54.572148782708702</c:v>
                </c:pt>
                <c:pt idx="58">
                  <c:v>58.126235229262491</c:v>
                </c:pt>
                <c:pt idx="59">
                  <c:v>61.833425696902225</c:v>
                </c:pt>
                <c:pt idx="60">
                  <c:v>65.697071009562066</c:v>
                </c:pt>
                <c:pt idx="61">
                  <c:v>69.720524699514385</c:v>
                </c:pt>
                <c:pt idx="62">
                  <c:v>73.907142862869705</c:v>
                </c:pt>
                <c:pt idx="63">
                  <c:v>78.260284024231112</c:v>
                </c:pt>
                <c:pt idx="64">
                  <c:v>82.783309009832919</c:v>
                </c:pt>
                <c:pt idx="65">
                  <c:v>87.479580828548649</c:v>
                </c:pt>
                <c:pt idx="66">
                  <c:v>92.352464560207054</c:v>
                </c:pt>
                <c:pt idx="67">
                  <c:v>97.405327250694853</c:v>
                </c:pt>
                <c:pt idx="68">
                  <c:v>102.64153781337356</c:v>
                </c:pt>
                <c:pt idx="69">
                  <c:v>108.06446693636602</c:v>
                </c:pt>
                <c:pt idx="70">
                  <c:v>113.67748699531593</c:v>
                </c:pt>
                <c:pt idx="71">
                  <c:v>119.48397197123975</c:v>
                </c:pt>
                <c:pt idx="72">
                  <c:v>125.48729737313406</c:v>
                </c:pt>
                <c:pt idx="73">
                  <c:v>131.69084016501509</c:v>
                </c:pt>
                <c:pt idx="74">
                  <c:v>138.09797869710107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7E4-4421-9955-CF6781206618}"/>
            </c:ext>
          </c:extLst>
        </c:ser>
        <c:ser>
          <c:idx val="3"/>
          <c:order val="2"/>
          <c:tx>
            <c:strRef>
              <c:f>Сравнение!$AR$48</c:f>
              <c:strCache>
                <c:ptCount val="1"/>
                <c:pt idx="0">
                  <c:v>ΔG (1-0) kJ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Сравнение!$AR$49:$AR$123</c:f>
              <c:numCache>
                <c:formatCode>#,##0.00</c:formatCode>
                <c:ptCount val="75"/>
                <c:pt idx="0">
                  <c:v>-3.545789195920257E-2</c:v>
                </c:pt>
                <c:pt idx="1">
                  <c:v>-3.6535384146585415E-2</c:v>
                </c:pt>
                <c:pt idx="2">
                  <c:v>-3.7511157544161122E-2</c:v>
                </c:pt>
                <c:pt idx="3">
                  <c:v>-3.8274975390462984E-2</c:v>
                </c:pt>
                <c:pt idx="4">
                  <c:v>-3.8728282357274324E-2</c:v>
                </c:pt>
                <c:pt idx="5">
                  <c:v>-3.879321837491112E-2</c:v>
                </c:pt>
                <c:pt idx="6">
                  <c:v>-3.8419342557526548E-2</c:v>
                </c:pt>
                <c:pt idx="7">
                  <c:v>-3.7588570973726476E-2</c:v>
                </c:pt>
                <c:pt idx="8">
                  <c:v>-3.6318719078776596E-2</c:v>
                </c:pt>
                <c:pt idx="9">
                  <c:v>-3.4665953375032643E-2</c:v>
                </c:pt>
                <c:pt idx="10">
                  <c:v>-3.2726390596760524E-2</c:v>
                </c:pt>
                <c:pt idx="11">
                  <c:v>-3.0637031538329751E-2</c:v>
                </c:pt>
                <c:pt idx="12">
                  <c:v>-2.8576176902962658E-2</c:v>
                </c:pt>
                <c:pt idx="13">
                  <c:v>-2.6763441560532897E-2</c:v>
                </c:pt>
                <c:pt idx="14">
                  <c:v>-2.5459459329390199E-2</c:v>
                </c:pt>
                <c:pt idx="15">
                  <c:v>-2.4965351301496241E-2</c:v>
                </c:pt>
                <c:pt idx="16">
                  <c:v>-2.562201566658473E-2</c:v>
                </c:pt>
                <c:pt idx="17">
                  <c:v>-2.7809285056349609E-2</c:v>
                </c:pt>
                <c:pt idx="18">
                  <c:v>-3.194498795488343E-2</c:v>
                </c:pt>
                <c:pt idx="19">
                  <c:v>-3.8483943168142076E-2</c:v>
                </c:pt>
                <c:pt idx="20">
                  <c:v>-4.7916910329025342E-2</c:v>
                </c:pt>
                <c:pt idx="21">
                  <c:v>-6.0769514586976214E-2</c:v>
                </c:pt>
                <c:pt idx="22">
                  <c:v>-7.7601159773255546E-2</c:v>
                </c:pt>
                <c:pt idx="23">
                  <c:v>-9.9003941236556869E-2</c:v>
                </c:pt>
                <c:pt idx="24">
                  <c:v>-0.12560156705228565</c:v>
                </c:pt>
                <c:pt idx="25">
                  <c:v>-0.1580482943116337</c:v>
                </c:pt>
                <c:pt idx="26">
                  <c:v>-0.19702788559174067</c:v>
                </c:pt>
                <c:pt idx="27">
                  <c:v>-0.24325258941325245</c:v>
                </c:pt>
                <c:pt idx="28">
                  <c:v>-0.2974621474627277</c:v>
                </c:pt>
                <c:pt idx="29">
                  <c:v>-0.36042283052038826</c:v>
                </c:pt>
                <c:pt idx="30">
                  <c:v>-0.43292650437807723</c:v>
                </c:pt>
                <c:pt idx="31">
                  <c:v>-0.51578972649749844</c:v>
                </c:pt>
                <c:pt idx="32">
                  <c:v>-0.60985287374318631</c:v>
                </c:pt>
                <c:pt idx="33">
                  <c:v>-0.71597930119581932</c:v>
                </c:pt>
                <c:pt idx="34">
                  <c:v>-0.83505453178656808</c:v>
                </c:pt>
                <c:pt idx="35">
                  <c:v>-0.96798547630183762</c:v>
                </c:pt>
                <c:pt idx="36">
                  <c:v>-1.1156996831470849</c:v>
                </c:pt>
                <c:pt idx="37">
                  <c:v>-1.2791446171466916</c:v>
                </c:pt>
                <c:pt idx="38">
                  <c:v>-1.4592869665752239</c:v>
                </c:pt>
                <c:pt idx="39">
                  <c:v>-1.6571119775506205</c:v>
                </c:pt>
                <c:pt idx="40">
                  <c:v>-1.8736228148886731</c:v>
                </c:pt>
                <c:pt idx="41">
                  <c:v>-2.1098399484870214</c:v>
                </c:pt>
                <c:pt idx="42">
                  <c:v>-2.3668005643050911</c:v>
                </c:pt>
                <c:pt idx="43">
                  <c:v>-2.6455579989983526</c:v>
                </c:pt>
                <c:pt idx="44">
                  <c:v>-2.947181197282756</c:v>
                </c:pt>
                <c:pt idx="45">
                  <c:v>-3.2727541911093994</c:v>
                </c:pt>
                <c:pt idx="46">
                  <c:v>-3.6233755997569972</c:v>
                </c:pt>
                <c:pt idx="47">
                  <c:v>-4.0001581499678451</c:v>
                </c:pt>
                <c:pt idx="48">
                  <c:v>-4.4042282152799714</c:v>
                </c:pt>
                <c:pt idx="49">
                  <c:v>-4.8367253737334508</c:v>
                </c:pt>
                <c:pt idx="50">
                  <c:v>-5.2988019831613471</c:v>
                </c:pt>
                <c:pt idx="51">
                  <c:v>-5.791622773297739</c:v>
                </c:pt>
                <c:pt idx="52">
                  <c:v>-6.3163644539756305</c:v>
                </c:pt>
                <c:pt idx="53">
                  <c:v>-6.8742153387014611</c:v>
                </c:pt>
                <c:pt idx="54">
                  <c:v>-7.4663749829395201</c:v>
                </c:pt>
                <c:pt idx="55">
                  <c:v>-8.094053836453007</c:v>
                </c:pt>
                <c:pt idx="56">
                  <c:v>-8.7584729090867981</c:v>
                </c:pt>
                <c:pt idx="57">
                  <c:v>-9.4608634493985804</c:v>
                </c:pt>
                <c:pt idx="58">
                  <c:v>-10.202466635574268</c:v>
                </c:pt>
                <c:pt idx="59">
                  <c:v>-10.984533278086325</c:v>
                </c:pt>
                <c:pt idx="60">
                  <c:v>-11.808323533584421</c:v>
                </c:pt>
                <c:pt idx="61">
                  <c:v>-12.675106629520954</c:v>
                </c:pt>
                <c:pt idx="62">
                  <c:v>-13.586160599050196</c:v>
                </c:pt>
                <c:pt idx="63">
                  <c:v>-14.542772025748157</c:v>
                </c:pt>
                <c:pt idx="64">
                  <c:v>-15.546235797732223</c:v>
                </c:pt>
                <c:pt idx="65">
                  <c:v>-16.59785487077346</c:v>
                </c:pt>
                <c:pt idx="66">
                  <c:v>-17.698940040014278</c:v>
                </c:pt>
                <c:pt idx="67">
                  <c:v>-18.850809719923014</c:v>
                </c:pt>
                <c:pt idx="68">
                  <c:v>-20.054789732136996</c:v>
                </c:pt>
                <c:pt idx="69">
                  <c:v>-21.312213100857075</c:v>
                </c:pt>
                <c:pt idx="70">
                  <c:v>-22.624419855474677</c:v>
                </c:pt>
                <c:pt idx="71">
                  <c:v>-23.992756840131889</c:v>
                </c:pt>
                <c:pt idx="72">
                  <c:v>-25.418577529917439</c:v>
                </c:pt>
                <c:pt idx="73">
                  <c:v>-26.903241853431879</c:v>
                </c:pt>
                <c:pt idx="74">
                  <c:v>-28.448116021451078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12668.903499409482</c:v>
                      </c:pt>
                      <c:pt idx="1">
                        <c:v>13073.53701887802</c:v>
                      </c:pt>
                      <c:pt idx="2">
                        <c:v>13485.453859840654</c:v>
                      </c:pt>
                      <c:pt idx="3">
                        <c:v>13904.476422708392</c:v>
                      </c:pt>
                      <c:pt idx="4">
                        <c:v>14330.436560822844</c:v>
                      </c:pt>
                      <c:pt idx="5">
                        <c:v>14763.174785976022</c:v>
                      </c:pt>
                      <c:pt idx="6">
                        <c:v>15202.539560544988</c:v>
                      </c:pt>
                      <c:pt idx="7">
                        <c:v>15648.386664749796</c:v>
                      </c:pt>
                      <c:pt idx="8">
                        <c:v>16100.578629325304</c:v>
                      </c:pt>
                      <c:pt idx="9">
                        <c:v>16558.984225365828</c:v>
                      </c:pt>
                      <c:pt idx="10">
                        <c:v>17023.478004317003</c:v>
                      </c:pt>
                      <c:pt idx="11">
                        <c:v>17493.939882100036</c:v>
                      </c:pt>
                      <c:pt idx="12">
                        <c:v>17970.254762199707</c:v>
                      </c:pt>
                      <c:pt idx="13">
                        <c:v>18452.312193256781</c:v>
                      </c:pt>
                      <c:pt idx="14">
                        <c:v>18940.006057304534</c:v>
                      </c:pt>
                      <c:pt idx="15">
                        <c:v>19433.234285295945</c:v>
                      </c:pt>
                      <c:pt idx="16">
                        <c:v>19931.89859699913</c:v>
                      </c:pt>
                      <c:pt idx="17">
                        <c:v>20435.904262706415</c:v>
                      </c:pt>
                      <c:pt idx="18">
                        <c:v>20945.15988451687</c:v>
                      </c:pt>
                      <c:pt idx="19">
                        <c:v>21459.577195223013</c:v>
                      </c:pt>
                      <c:pt idx="20">
                        <c:v>21979.070873065339</c:v>
                      </c:pt>
                      <c:pt idx="21">
                        <c:v>22503.558370819963</c:v>
                      </c:pt>
                      <c:pt idx="22">
                        <c:v>23032.95975785912</c:v>
                      </c:pt>
                      <c:pt idx="23">
                        <c:v>23567.197573976686</c:v>
                      </c:pt>
                      <c:pt idx="24">
                        <c:v>24106.19669390337</c:v>
                      </c:pt>
                      <c:pt idx="25">
                        <c:v>24649.884201551391</c:v>
                      </c:pt>
                      <c:pt idx="26">
                        <c:v>25198.189273131218</c:v>
                      </c:pt>
                      <c:pt idx="27">
                        <c:v>25751.043068371109</c:v>
                      </c:pt>
                      <c:pt idx="28">
                        <c:v>26308.37862914936</c:v>
                      </c:pt>
                      <c:pt idx="29">
                        <c:v>26870.130784918369</c:v>
                      </c:pt>
                      <c:pt idx="30">
                        <c:v>27436.236064361066</c:v>
                      </c:pt>
                      <c:pt idx="31">
                        <c:v>28006.632612774629</c:v>
                      </c:pt>
                      <c:pt idx="32">
                        <c:v>28581.260114724595</c:v>
                      </c:pt>
                      <c:pt idx="33">
                        <c:v>29160.059721556081</c:v>
                      </c:pt>
                      <c:pt idx="34">
                        <c:v>29742.973983386128</c:v>
                      </c:pt>
                      <c:pt idx="35">
                        <c:v>30329.946785236683</c:v>
                      </c:pt>
                      <c:pt idx="36">
                        <c:v>30920.923286997622</c:v>
                      </c:pt>
                      <c:pt idx="37">
                        <c:v>31515.849866936729</c:v>
                      </c:pt>
                      <c:pt idx="38">
                        <c:v>32114.67406849892</c:v>
                      </c:pt>
                      <c:pt idx="39">
                        <c:v>32717.344550158286</c:v>
                      </c:pt>
                      <c:pt idx="40">
                        <c:v>33323.811038107495</c:v>
                      </c:pt>
                      <c:pt idx="41">
                        <c:v>33934.024281586215</c:v>
                      </c:pt>
                      <c:pt idx="42">
                        <c:v>34547.936010667603</c:v>
                      </c:pt>
                      <c:pt idx="43">
                        <c:v>35165.498896335579</c:v>
                      </c:pt>
                      <c:pt idx="44">
                        <c:v>35786.666512699805</c:v>
                      </c:pt>
                      <c:pt idx="45">
                        <c:v>36411.393301207332</c:v>
                      </c:pt>
                      <c:pt idx="46">
                        <c:v>37039.634536720463</c:v>
                      </c:pt>
                      <c:pt idx="47">
                        <c:v>37671.346295340634</c:v>
                      </c:pt>
                      <c:pt idx="48">
                        <c:v>38306.485423868144</c:v>
                      </c:pt>
                      <c:pt idx="49">
                        <c:v>38945.009510793992</c:v>
                      </c:pt>
                      <c:pt idx="50">
                        <c:v>39586.876858729862</c:v>
                      </c:pt>
                      <c:pt idx="51">
                        <c:v>40232.04645818768</c:v>
                      </c:pt>
                      <c:pt idx="52">
                        <c:v>40880.477962627476</c:v>
                      </c:pt>
                      <c:pt idx="53">
                        <c:v>41532.131664697466</c:v>
                      </c:pt>
                      <c:pt idx="54">
                        <c:v>42186.968473596229</c:v>
                      </c:pt>
                      <c:pt idx="55">
                        <c:v>42844.949893491568</c:v>
                      </c:pt>
                      <c:pt idx="56">
                        <c:v>43506.03800293478</c:v>
                      </c:pt>
                      <c:pt idx="57">
                        <c:v>44170.195435213878</c:v>
                      </c:pt>
                      <c:pt idx="58">
                        <c:v>44837.385359592772</c:v>
                      </c:pt>
                      <c:pt idx="59">
                        <c:v>45507.57146338711</c:v>
                      </c:pt>
                      <c:pt idx="60">
                        <c:v>46180.717934830231</c:v>
                      </c:pt>
                      <c:pt idx="61">
                        <c:v>46856.789446686875</c:v>
                      </c:pt>
                      <c:pt idx="62">
                        <c:v>47535.751140573695</c:v>
                      </c:pt>
                      <c:pt idx="63">
                        <c:v>48217.568611949006</c:v>
                      </c:pt>
                      <c:pt idx="64">
                        <c:v>48902.20789573677</c:v>
                      </c:pt>
                      <c:pt idx="65">
                        <c:v>49589.635452551243</c:v>
                      </c:pt>
                      <c:pt idx="66">
                        <c:v>50279.818155491303</c:v>
                      </c:pt>
                      <c:pt idx="67">
                        <c:v>50972.723277475816</c:v>
                      </c:pt>
                      <c:pt idx="68">
                        <c:v>51668.318479091773</c:v>
                      </c:pt>
                      <c:pt idx="69">
                        <c:v>52366.571796930104</c:v>
                      </c:pt>
                      <c:pt idx="70">
                        <c:v>53067.451632384989</c:v>
                      </c:pt>
                      <c:pt idx="71">
                        <c:v>53770.926740893352</c:v>
                      </c:pt>
                      <c:pt idx="72">
                        <c:v>54476.966221593633</c:v>
                      </c:pt>
                      <c:pt idx="73">
                        <c:v>55185.539507383408</c:v>
                      </c:pt>
                      <c:pt idx="74">
                        <c:v>55896.616355356833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7E4-4421-9955-CF678120661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-46.308890000005427</c:v>
                      </c:pt>
                      <c:pt idx="1">
                        <c:v>-283.88939200846119</c:v>
                      </c:pt>
                      <c:pt idx="2">
                        <c:v>-522.780812861031</c:v>
                      </c:pt>
                      <c:pt idx="3">
                        <c:v>-762.95596479843425</c:v>
                      </c:pt>
                      <c:pt idx="4">
                        <c:v>-1004.387660061407</c:v>
                      </c:pt>
                      <c:pt idx="5">
                        <c:v>-1247.0487108906707</c:v>
                      </c:pt>
                      <c:pt idx="6">
                        <c:v>-1490.9119295269868</c:v>
                      </c:pt>
                      <c:pt idx="7">
                        <c:v>-1735.9501282110639</c:v>
                      </c:pt>
                      <c:pt idx="8">
                        <c:v>-1982.1361191836615</c:v>
                      </c:pt>
                      <c:pt idx="9">
                        <c:v>-2229.4427146855155</c:v>
                      </c:pt>
                      <c:pt idx="10">
                        <c:v>-2477.8427269573458</c:v>
                      </c:pt>
                      <c:pt idx="11">
                        <c:v>-2727.3089682398936</c:v>
                      </c:pt>
                      <c:pt idx="12">
                        <c:v>-2977.8142507739058</c:v>
                      </c:pt>
                      <c:pt idx="13">
                        <c:v>-3229.3313868001073</c:v>
                      </c:pt>
                      <c:pt idx="14">
                        <c:v>-3481.8331885592379</c:v>
                      </c:pt>
                      <c:pt idx="15">
                        <c:v>-3735.2924682920111</c:v>
                      </c:pt>
                      <c:pt idx="16">
                        <c:v>-3989.6820382392002</c:v>
                      </c:pt>
                      <c:pt idx="17">
                        <c:v>-4244.9747106415334</c:v>
                      </c:pt>
                      <c:pt idx="18">
                        <c:v>-4501.143297739729</c:v>
                      </c:pt>
                      <c:pt idx="19">
                        <c:v>-4758.1606117745359</c:v>
                      </c:pt>
                      <c:pt idx="20">
                        <c:v>-5015.9994649866876</c:v>
                      </c:pt>
                      <c:pt idx="21">
                        <c:v>-5274.6326696169208</c:v>
                      </c:pt>
                      <c:pt idx="22">
                        <c:v>-5534.0330379059587</c:v>
                      </c:pt>
                      <c:pt idx="23">
                        <c:v>-5794.173382094561</c:v>
                      </c:pt>
                      <c:pt idx="24">
                        <c:v>-6055.0265144234399</c:v>
                      </c:pt>
                      <c:pt idx="25">
                        <c:v>-6316.5652471333442</c:v>
                      </c:pt>
                      <c:pt idx="26">
                        <c:v>-6578.7623924650188</c:v>
                      </c:pt>
                      <c:pt idx="27">
                        <c:v>-6841.5907626591861</c:v>
                      </c:pt>
                      <c:pt idx="28">
                        <c:v>-7105.0231699565829</c:v>
                      </c:pt>
                      <c:pt idx="29">
                        <c:v>-7369.0324265979543</c:v>
                      </c:pt>
                      <c:pt idx="30">
                        <c:v>-7633.5913448240271</c:v>
                      </c:pt>
                      <c:pt idx="31">
                        <c:v>-7898.6727368755137</c:v>
                      </c:pt>
                      <c:pt idx="32">
                        <c:v>-8164.2494149932099</c:v>
                      </c:pt>
                      <c:pt idx="33">
                        <c:v>-8430.2941914178064</c:v>
                      </c:pt>
                      <c:pt idx="34">
                        <c:v>-8696.7798783900435</c:v>
                      </c:pt>
                      <c:pt idx="35">
                        <c:v>-8963.6792881506753</c:v>
                      </c:pt>
                      <c:pt idx="36">
                        <c:v>-9230.9652329404216</c:v>
                      </c:pt>
                      <c:pt idx="37">
                        <c:v>-9498.6105250000182</c:v>
                      </c:pt>
                      <c:pt idx="38">
                        <c:v>-9766.5879765702175</c:v>
                      </c:pt>
                      <c:pt idx="39">
                        <c:v>-10034.870399891737</c:v>
                      </c:pt>
                      <c:pt idx="40">
                        <c:v>-10303.430607205319</c:v>
                      </c:pt>
                      <c:pt idx="41">
                        <c:v>-10572.24141075172</c:v>
                      </c:pt>
                      <c:pt idx="42">
                        <c:v>-10841.275622771653</c:v>
                      </c:pt>
                      <c:pt idx="43">
                        <c:v>-11110.506055505813</c:v>
                      </c:pt>
                      <c:pt idx="44">
                        <c:v>-11379.905521195022</c:v>
                      </c:pt>
                      <c:pt idx="45">
                        <c:v>-11649.446832079975</c:v>
                      </c:pt>
                      <c:pt idx="46">
                        <c:v>-11919.102800401366</c:v>
                      </c:pt>
                      <c:pt idx="47">
                        <c:v>-12188.846238400045</c:v>
                      </c:pt>
                      <c:pt idx="48">
                        <c:v>-12458.649958316613</c:v>
                      </c:pt>
                      <c:pt idx="49">
                        <c:v>-12728.486772391883</c:v>
                      </c:pt>
                      <c:pt idx="50">
                        <c:v>-12998.329492866575</c:v>
                      </c:pt>
                      <c:pt idx="51">
                        <c:v>-13268.150931981438</c:v>
                      </c:pt>
                      <c:pt idx="52">
                        <c:v>-13537.923901977199</c:v>
                      </c:pt>
                      <c:pt idx="53">
                        <c:v>-13807.62121509457</c:v>
                      </c:pt>
                      <c:pt idx="54">
                        <c:v>-14077.215683574335</c:v>
                      </c:pt>
                      <c:pt idx="55">
                        <c:v>-14346.680119657216</c:v>
                      </c:pt>
                      <c:pt idx="56">
                        <c:v>-14615.987335583903</c:v>
                      </c:pt>
                      <c:pt idx="57">
                        <c:v>-14885.11014359515</c:v>
                      </c:pt>
                      <c:pt idx="58">
                        <c:v>-15154.021355931769</c:v>
                      </c:pt>
                      <c:pt idx="59">
                        <c:v>-15422.693784834386</c:v>
                      </c:pt>
                      <c:pt idx="60">
                        <c:v>-15691.100242543802</c:v>
                      </c:pt>
                      <c:pt idx="61">
                        <c:v>-15959.213541300758</c:v>
                      </c:pt>
                      <c:pt idx="62">
                        <c:v>-16227.006493345929</c:v>
                      </c:pt>
                      <c:pt idx="63">
                        <c:v>-16494.451910920114</c:v>
                      </c:pt>
                      <c:pt idx="64">
                        <c:v>-16761.522606264039</c:v>
                      </c:pt>
                      <c:pt idx="65">
                        <c:v>-17028.191391618395</c:v>
                      </c:pt>
                      <c:pt idx="66">
                        <c:v>-17294.431079223959</c:v>
                      </c:pt>
                      <c:pt idx="67">
                        <c:v>-17560.214481321476</c:v>
                      </c:pt>
                      <c:pt idx="68">
                        <c:v>-17825.514410151642</c:v>
                      </c:pt>
                      <c:pt idx="69">
                        <c:v>-18090.303677955246</c:v>
                      </c:pt>
                      <c:pt idx="70">
                        <c:v>-18354.555096972963</c:v>
                      </c:pt>
                      <c:pt idx="71">
                        <c:v>-18618.24147944558</c:v>
                      </c:pt>
                      <c:pt idx="72">
                        <c:v>-18881.335637613789</c:v>
                      </c:pt>
                      <c:pt idx="73">
                        <c:v>-19143.810383718395</c:v>
                      </c:pt>
                      <c:pt idx="74">
                        <c:v>-19405.638530000015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E4-4421-9955-CF678120661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-12.204692174465295</c:v>
                      </c:pt>
                      <c:pt idx="1">
                        <c:v>-12.594960613877905</c:v>
                      </c:pt>
                      <c:pt idx="2">
                        <c:v>-12.992907781413876</c:v>
                      </c:pt>
                      <c:pt idx="3">
                        <c:v>-13.398419105079437</c:v>
                      </c:pt>
                      <c:pt idx="4">
                        <c:v>-13.811381288932861</c:v>
                      </c:pt>
                      <c:pt idx="5">
                        <c:v>-14.231672210235438</c:v>
                      </c:pt>
                      <c:pt idx="6">
                        <c:v>-14.659153225228712</c:v>
                      </c:pt>
                      <c:pt idx="7">
                        <c:v>-15.093663364040635</c:v>
                      </c:pt>
                      <c:pt idx="8">
                        <c:v>-15.53501501059541</c:v>
                      </c:pt>
                      <c:pt idx="9">
                        <c:v>-15.982990751664126</c:v>
                      </c:pt>
                      <c:pt idx="10">
                        <c:v>-16.437341147129491</c:v>
                      </c:pt>
                      <c:pt idx="11">
                        <c:v>-16.897783226101296</c:v>
                      </c:pt>
                      <c:pt idx="12">
                        <c:v>-17.363999554420264</c:v>
                      </c:pt>
                      <c:pt idx="13">
                        <c:v>-17.835637751049379</c:v>
                      </c:pt>
                      <c:pt idx="14">
                        <c:v>-18.312310355946195</c:v>
                      </c:pt>
                      <c:pt idx="15">
                        <c:v>-18.793594971800228</c:v>
                      </c:pt>
                      <c:pt idx="16">
                        <c:v>-19.279034617673759</c:v>
                      </c:pt>
                      <c:pt idx="17">
                        <c:v>-19.768138245023291</c:v>
                      </c:pt>
                      <c:pt idx="18">
                        <c:v>-20.260381376484958</c:v>
                      </c:pt>
                      <c:pt idx="19">
                        <c:v>-20.75520683573156</c:v>
                      </c:pt>
                      <c:pt idx="20">
                        <c:v>-21.252025543044589</c:v>
                      </c:pt>
                      <c:pt idx="21">
                        <c:v>-21.750217356348614</c:v>
                      </c:pt>
                      <c:pt idx="22">
                        <c:v>-22.249131941552488</c:v>
                      </c:pt>
                      <c:pt idx="23">
                        <c:v>-22.748089659346991</c:v>
                      </c:pt>
                      <c:pt idx="24">
                        <c:v>-23.246382458281232</c:v>
                      </c:pt>
                      <c:pt idx="25">
                        <c:v>-23.743274766096285</c:v>
                      </c:pt>
                      <c:pt idx="26">
                        <c:v>-24.238004373038656</c:v>
                      </c:pt>
                      <c:pt idx="27">
                        <c:v>-24.72978330229331</c:v>
                      </c:pt>
                      <c:pt idx="28">
                        <c:v>-25.217798663812715</c:v>
                      </c:pt>
                      <c:pt idx="29">
                        <c:v>-25.701213488750266</c:v>
                      </c:pt>
                      <c:pt idx="30">
                        <c:v>-26.179167542446567</c:v>
                      </c:pt>
                      <c:pt idx="31">
                        <c:v>-26.650778114525874</c:v>
                      </c:pt>
                      <c:pt idx="32">
                        <c:v>-27.115140785142412</c:v>
                      </c:pt>
                      <c:pt idx="33">
                        <c:v>-27.571330166803669</c:v>
                      </c:pt>
                      <c:pt idx="34">
                        <c:v>-28.018400621515724</c:v>
                      </c:pt>
                      <c:pt idx="35">
                        <c:v>-28.455386953233436</c:v>
                      </c:pt>
                      <c:pt idx="36">
                        <c:v>-28.881305075801684</c:v>
                      </c:pt>
                      <c:pt idx="37">
                        <c:v>-29.295152656722632</c:v>
                      </c:pt>
                      <c:pt idx="38">
                        <c:v>-29.695909737200008</c:v>
                      </c:pt>
                      <c:pt idx="39">
                        <c:v>-30.082539329006419</c:v>
                      </c:pt>
                      <c:pt idx="40">
                        <c:v>-30.453987988778305</c:v>
                      </c:pt>
                      <c:pt idx="41">
                        <c:v>-30.809186370399082</c:v>
                      </c:pt>
                      <c:pt idx="42">
                        <c:v>-31.14704975615545</c:v>
                      </c:pt>
                      <c:pt idx="43">
                        <c:v>-31.466478567379571</c:v>
                      </c:pt>
                      <c:pt idx="44">
                        <c:v>-31.766358855291482</c:v>
                      </c:pt>
                      <c:pt idx="45">
                        <c:v>-32.045562772767717</c:v>
                      </c:pt>
                      <c:pt idx="46">
                        <c:v>-32.3029490277506</c:v>
                      </c:pt>
                      <c:pt idx="47">
                        <c:v>-32.537363319007483</c:v>
                      </c:pt>
                      <c:pt idx="48">
                        <c:v>-32.747638754935508</c:v>
                      </c:pt>
                      <c:pt idx="49">
                        <c:v>-32.932596256093028</c:v>
                      </c:pt>
                      <c:pt idx="50">
                        <c:v>-33.091044942117357</c:v>
                      </c:pt>
                      <c:pt idx="51">
                        <c:v>-33.221782503675307</c:v>
                      </c:pt>
                      <c:pt idx="52">
                        <c:v>-33.3235955600625</c:v>
                      </c:pt>
                      <c:pt idx="53">
                        <c:v>-33.395260003060272</c:v>
                      </c:pt>
                      <c:pt idx="54">
                        <c:v>-33.435541327620804</c:v>
                      </c:pt>
                      <c:pt idx="55">
                        <c:v>-33.443194949943809</c:v>
                      </c:pt>
                      <c:pt idx="56">
                        <c:v>-33.416966513476268</c:v>
                      </c:pt>
                      <c:pt idx="57">
                        <c:v>-33.355592183350744</c:v>
                      </c:pt>
                      <c:pt idx="58">
                        <c:v>-33.25779892975379</c:v>
                      </c:pt>
                      <c:pt idx="59">
                        <c:v>-33.122304800698153</c:v>
                      </c:pt>
                      <c:pt idx="60">
                        <c:v>-32.947819184646136</c:v>
                      </c:pt>
                      <c:pt idx="61">
                        <c:v>-32.733043063422556</c:v>
                      </c:pt>
                      <c:pt idx="62">
                        <c:v>-32.476669255823097</c:v>
                      </c:pt>
                      <c:pt idx="63">
                        <c:v>-32.177382652319608</c:v>
                      </c:pt>
                      <c:pt idx="64">
                        <c:v>-31.833860441234393</c:v>
                      </c:pt>
                      <c:pt idx="65">
                        <c:v>-31.444772326745685</c:v>
                      </c:pt>
                      <c:pt idx="66">
                        <c:v>-31.008780739068676</c:v>
                      </c:pt>
                      <c:pt idx="67">
                        <c:v>-30.524541037140544</c:v>
                      </c:pt>
                      <c:pt idx="68">
                        <c:v>-29.990701704120752</c:v>
                      </c:pt>
                      <c:pt idx="69">
                        <c:v>-29.405904536008048</c:v>
                      </c:pt>
                      <c:pt idx="70">
                        <c:v>-28.768784823659821</c:v>
                      </c:pt>
                      <c:pt idx="71">
                        <c:v>-28.077971528482571</c:v>
                      </c:pt>
                      <c:pt idx="72">
                        <c:v>-27.332087452060637</c:v>
                      </c:pt>
                      <c:pt idx="73">
                        <c:v>-26.52974939996264</c:v>
                      </c:pt>
                      <c:pt idx="74">
                        <c:v>-25.669568339970219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7E4-4421-9955-CF678120661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-12.240150066424498</c:v>
                      </c:pt>
                      <c:pt idx="1">
                        <c:v>-12.631495998024491</c:v>
                      </c:pt>
                      <c:pt idx="2">
                        <c:v>-13.030418938958038</c:v>
                      </c:pt>
                      <c:pt idx="3">
                        <c:v>-13.4366940804699</c:v>
                      </c:pt>
                      <c:pt idx="4">
                        <c:v>-13.850109571290135</c:v>
                      </c:pt>
                      <c:pt idx="5">
                        <c:v>-14.270465428610349</c:v>
                      </c:pt>
                      <c:pt idx="6">
                        <c:v>-14.697572567786239</c:v>
                      </c:pt>
                      <c:pt idx="7">
                        <c:v>-15.131251935014362</c:v>
                      </c:pt>
                      <c:pt idx="8">
                        <c:v>-15.571333729674187</c:v>
                      </c:pt>
                      <c:pt idx="9">
                        <c:v>-16.017656705039158</c:v>
                      </c:pt>
                      <c:pt idx="10">
                        <c:v>-16.470067537726251</c:v>
                      </c:pt>
                      <c:pt idx="11">
                        <c:v>-16.928420257639626</c:v>
                      </c:pt>
                      <c:pt idx="12">
                        <c:v>-17.392575731323227</c:v>
                      </c:pt>
                      <c:pt idx="13">
                        <c:v>-17.862401192609912</c:v>
                      </c:pt>
                      <c:pt idx="14">
                        <c:v>-18.337769815275585</c:v>
                      </c:pt>
                      <c:pt idx="15">
                        <c:v>-18.818560323101725</c:v>
                      </c:pt>
                      <c:pt idx="16">
                        <c:v>-19.304656633340343</c:v>
                      </c:pt>
                      <c:pt idx="17">
                        <c:v>-19.795947530079641</c:v>
                      </c:pt>
                      <c:pt idx="18">
                        <c:v>-20.292326364439841</c:v>
                      </c:pt>
                      <c:pt idx="19">
                        <c:v>-20.793690778899702</c:v>
                      </c:pt>
                      <c:pt idx="20">
                        <c:v>-21.299942453373614</c:v>
                      </c:pt>
                      <c:pt idx="21">
                        <c:v>-21.81098687093559</c:v>
                      </c:pt>
                      <c:pt idx="22">
                        <c:v>-22.326733101325743</c:v>
                      </c:pt>
                      <c:pt idx="23">
                        <c:v>-22.847093600583548</c:v>
                      </c:pt>
                      <c:pt idx="24">
                        <c:v>-23.371984025333518</c:v>
                      </c:pt>
                      <c:pt idx="25">
                        <c:v>-23.901323060407918</c:v>
                      </c:pt>
                      <c:pt idx="26">
                        <c:v>-24.435032258630397</c:v>
                      </c:pt>
                      <c:pt idx="27">
                        <c:v>-24.973035891706562</c:v>
                      </c:pt>
                      <c:pt idx="28">
                        <c:v>-25.515260811275443</c:v>
                      </c:pt>
                      <c:pt idx="29">
                        <c:v>-26.061636319270654</c:v>
                      </c:pt>
                      <c:pt idx="30">
                        <c:v>-26.612094046824645</c:v>
                      </c:pt>
                      <c:pt idx="31">
                        <c:v>-27.166567841023372</c:v>
                      </c:pt>
                      <c:pt idx="32">
                        <c:v>-27.724993658885598</c:v>
                      </c:pt>
                      <c:pt idx="33">
                        <c:v>-28.287309467999489</c:v>
                      </c:pt>
                      <c:pt idx="34">
                        <c:v>-28.853455153302292</c:v>
                      </c:pt>
                      <c:pt idx="35">
                        <c:v>-29.423372429535274</c:v>
                      </c:pt>
                      <c:pt idx="36">
                        <c:v>-29.997004758948769</c:v>
                      </c:pt>
                      <c:pt idx="37">
                        <c:v>-30.574297273869323</c:v>
                      </c:pt>
                      <c:pt idx="38">
                        <c:v>-31.155196703775232</c:v>
                      </c:pt>
                      <c:pt idx="39">
                        <c:v>-31.73965130655704</c:v>
                      </c:pt>
                      <c:pt idx="40">
                        <c:v>-32.327610803666978</c:v>
                      </c:pt>
                      <c:pt idx="41">
                        <c:v>-32.919026318886104</c:v>
                      </c:pt>
                      <c:pt idx="42">
                        <c:v>-33.513850320460541</c:v>
                      </c:pt>
                      <c:pt idx="43">
                        <c:v>-34.112036566377924</c:v>
                      </c:pt>
                      <c:pt idx="44">
                        <c:v>-34.713540052574238</c:v>
                      </c:pt>
                      <c:pt idx="45">
                        <c:v>-35.318316963877116</c:v>
                      </c:pt>
                      <c:pt idx="46">
                        <c:v>-35.926324627507597</c:v>
                      </c:pt>
                      <c:pt idx="47">
                        <c:v>-36.537521468975328</c:v>
                      </c:pt>
                      <c:pt idx="48">
                        <c:v>-37.15186697021548</c:v>
                      </c:pt>
                      <c:pt idx="49">
                        <c:v>-37.769321629826479</c:v>
                      </c:pt>
                      <c:pt idx="50">
                        <c:v>-38.389846925278704</c:v>
                      </c:pt>
                      <c:pt idx="51">
                        <c:v>-39.013405276973046</c:v>
                      </c:pt>
                      <c:pt idx="52">
                        <c:v>-39.639960014038131</c:v>
                      </c:pt>
                      <c:pt idx="53">
                        <c:v>-40.269475341761733</c:v>
                      </c:pt>
                      <c:pt idx="54">
                        <c:v>-40.901916310560324</c:v>
                      </c:pt>
                      <c:pt idx="55">
                        <c:v>-41.537248786396816</c:v>
                      </c:pt>
                      <c:pt idx="56">
                        <c:v>-42.175439422563066</c:v>
                      </c:pt>
                      <c:pt idx="57">
                        <c:v>-42.816455632749324</c:v>
                      </c:pt>
                      <c:pt idx="58">
                        <c:v>-43.460265565328058</c:v>
                      </c:pt>
                      <c:pt idx="59">
                        <c:v>-44.106838078784477</c:v>
                      </c:pt>
                      <c:pt idx="60">
                        <c:v>-44.756142718230556</c:v>
                      </c:pt>
                      <c:pt idx="61">
                        <c:v>-45.40814969294351</c:v>
                      </c:pt>
                      <c:pt idx="62">
                        <c:v>-46.062829854873293</c:v>
                      </c:pt>
                      <c:pt idx="63">
                        <c:v>-46.720154678067765</c:v>
                      </c:pt>
                      <c:pt idx="64">
                        <c:v>-47.380096238966615</c:v>
                      </c:pt>
                      <c:pt idx="65">
                        <c:v>-48.042627197519145</c:v>
                      </c:pt>
                      <c:pt idx="66">
                        <c:v>-48.707720779082955</c:v>
                      </c:pt>
                      <c:pt idx="67">
                        <c:v>-49.375350757063558</c:v>
                      </c:pt>
                      <c:pt idx="68">
                        <c:v>-50.045491436257748</c:v>
                      </c:pt>
                      <c:pt idx="69">
                        <c:v>-50.718117636865124</c:v>
                      </c:pt>
                      <c:pt idx="70">
                        <c:v>-51.393204679134499</c:v>
                      </c:pt>
                      <c:pt idx="71">
                        <c:v>-52.070728368614461</c:v>
                      </c:pt>
                      <c:pt idx="72">
                        <c:v>-52.750664981978076</c:v>
                      </c:pt>
                      <c:pt idx="73">
                        <c:v>-53.432991253394519</c:v>
                      </c:pt>
                      <c:pt idx="74">
                        <c:v>-54.117684361421297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7E4-4421-9955-CF678120661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Сравнение!$D$48</c15:sqref>
                        </c15:formulaRef>
                      </c:ext>
                    </c:extLst>
                    <c:strCache>
                      <c:ptCount val="1"/>
                      <c:pt idx="0">
                        <c:v>0: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Сравнение!$D$49:$D$123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4.9328875330006738E-2</c:v>
                      </c:pt>
                      <c:pt idx="1">
                        <c:v>0.29864247957675183</c:v>
                      </c:pt>
                      <c:pt idx="2">
                        <c:v>0.551734083474274</c:v>
                      </c:pt>
                      <c:pt idx="3">
                        <c:v>0.80861337076912165</c:v>
                      </c:pt>
                      <c:pt idx="4">
                        <c:v>1.0689066175018993</c:v>
                      </c:pt>
                      <c:pt idx="5">
                        <c:v>1.3319089070643966</c:v>
                      </c:pt>
                      <c:pt idx="6">
                        <c:v>1.5966280383158924</c:v>
                      </c:pt>
                      <c:pt idx="7">
                        <c:v>1.8618216287516149</c:v>
                      </c:pt>
                      <c:pt idx="8">
                        <c:v>2.1260286121563858</c:v>
                      </c:pt>
                      <c:pt idx="9">
                        <c:v>2.3875960944989796</c:v>
                      </c:pt>
                      <c:pt idx="10">
                        <c:v>2.6447023469923159</c:v>
                      </c:pt>
                      <c:pt idx="11">
                        <c:v>2.8953765693590015</c:v>
                      </c:pt>
                      <c:pt idx="12">
                        <c:v>3.1375159404921171</c:v>
                      </c:pt>
                      <c:pt idx="13">
                        <c:v>3.3689003811678373</c:v>
                      </c:pt>
                      <c:pt idx="14">
                        <c:v>3.5872053791518672</c:v>
                      </c:pt>
                      <c:pt idx="15">
                        <c:v>3.7900131670445671</c:v>
                      </c:pt>
                      <c:pt idx="16">
                        <c:v>3.9748224945290449</c:v>
                      </c:pt>
                      <c:pt idx="17">
                        <c:v>4.1390571969986469</c:v>
                      </c:pt>
                      <c:pt idx="18">
                        <c:v>4.2800737300403933</c:v>
                      </c:pt>
                      <c:pt idx="19">
                        <c:v>4.3951678125146456</c:v>
                      </c:pt>
                      <c:pt idx="20">
                        <c:v>4.4815802988900399</c:v>
                      </c:pt>
                      <c:pt idx="21">
                        <c:v>4.536502383183505</c:v>
                      </c:pt>
                      <c:pt idx="22">
                        <c:v>4.5570802216086337</c:v>
                      </c:pt>
                      <c:pt idx="23">
                        <c:v>4.5404190483015832</c:v>
                      </c:pt>
                      <c:pt idx="24">
                        <c:v>4.4835868478154657</c:v>
                      </c:pt>
                      <c:pt idx="25">
                        <c:v>4.3836176390887083</c:v>
                      </c:pt>
                      <c:pt idx="26">
                        <c:v>4.2375144180102584</c:v>
                      </c:pt>
                      <c:pt idx="27">
                        <c:v>4.0422517992854621</c:v>
                      </c:pt>
                      <c:pt idx="28">
                        <c:v>3.7947783928510255</c:v>
                      </c:pt>
                      <c:pt idx="29">
                        <c:v>3.4920189454438058</c:v>
                      </c:pt>
                      <c:pt idx="30">
                        <c:v>3.1308762739622553</c:v>
                      </c:pt>
                      <c:pt idx="31">
                        <c:v>2.7082330138589081</c:v>
                      </c:pt>
                      <c:pt idx="32">
                        <c:v>2.22095320288616</c:v>
                      </c:pt>
                      <c:pt idx="33">
                        <c:v>1.665883718004544</c:v>
                      </c:pt>
                      <c:pt idx="34">
                        <c:v>1.0398555810952712</c:v>
                      </c:pt>
                      <c:pt idx="35">
                        <c:v>0.3396851472423017</c:v>
                      </c:pt>
                      <c:pt idx="36">
                        <c:v>-0.43782481227598896</c:v>
                      </c:pt>
                      <c:pt idx="37">
                        <c:v>-1.2958841215607371</c:v>
                      </c:pt>
                      <c:pt idx="38">
                        <c:v>-2.2377142967349037</c:v>
                      </c:pt>
                      <c:pt idx="39">
                        <c:v>-3.2665477192352181</c:v>
                      </c:pt>
                      <c:pt idx="40">
                        <c:v>-4.3856268782697043</c:v>
                      </c:pt>
                      <c:pt idx="41">
                        <c:v>-5.5982036757849096</c:v>
                      </c:pt>
                      <c:pt idx="42">
                        <c:v>-6.9075387880046701</c:v>
                      </c:pt>
                      <c:pt idx="43">
                        <c:v>-8.3169010782412638</c:v>
                      </c:pt>
                      <c:pt idx="44">
                        <c:v>-9.8295670562392257</c:v>
                      </c:pt>
                      <c:pt idx="45">
                        <c:v>-11.448820379803553</c:v>
                      </c:pt>
                      <c:pt idx="46">
                        <c:v>-13.177951394906986</c:v>
                      </c:pt>
                      <c:pt idx="47">
                        <c:v>-15.020256710851392</c:v>
                      </c:pt>
                      <c:pt idx="48">
                        <c:v>-16.979038807406514</c:v>
                      </c:pt>
                      <c:pt idx="49">
                        <c:v>-19.05760567115302</c:v>
                      </c:pt>
                      <c:pt idx="50">
                        <c:v>-21.25927045852686</c:v>
                      </c:pt>
                      <c:pt idx="51">
                        <c:v>-23.587351183306737</c:v>
                      </c:pt>
                      <c:pt idx="52">
                        <c:v>-26.045170426499833</c:v>
                      </c:pt>
                      <c:pt idx="53">
                        <c:v>-28.636055066774727</c:v>
                      </c:pt>
                      <c:pt idx="54">
                        <c:v>-31.363336029765335</c:v>
                      </c:pt>
                      <c:pt idx="55">
                        <c:v>-34.230348054719229</c:v>
                      </c:pt>
                      <c:pt idx="56">
                        <c:v>-37.240429477110133</c:v>
                      </c:pt>
                      <c:pt idx="57">
                        <c:v>-40.396922025951909</c:v>
                      </c:pt>
                      <c:pt idx="58">
                        <c:v>-43.703170634667863</c:v>
                      </c:pt>
                      <c:pt idx="59">
                        <c:v>-47.162523264469762</c:v>
                      </c:pt>
                      <c:pt idx="60">
                        <c:v>-50.778330739291761</c:v>
                      </c:pt>
                      <c:pt idx="61">
                        <c:v>-54.553946591406238</c:v>
                      </c:pt>
                      <c:pt idx="62">
                        <c:v>-58.492726916923722</c:v>
                      </c:pt>
                      <c:pt idx="63">
                        <c:v>-62.598030240447287</c:v>
                      </c:pt>
                      <c:pt idx="64">
                        <c:v>-66.873217388211259</c:v>
                      </c:pt>
                      <c:pt idx="65">
                        <c:v>-71.321651369089153</c:v>
                      </c:pt>
                      <c:pt idx="66">
                        <c:v>-75.946697262909723</c:v>
                      </c:pt>
                      <c:pt idx="67">
                        <c:v>-80.751722115559687</c:v>
                      </c:pt>
                      <c:pt idx="68">
                        <c:v>-85.740094840400545</c:v>
                      </c:pt>
                      <c:pt idx="69">
                        <c:v>-90.915186125555167</c:v>
                      </c:pt>
                      <c:pt idx="70">
                        <c:v>-96.280368346667245</c:v>
                      </c:pt>
                      <c:pt idx="71">
                        <c:v>-101.83901548475322</c:v>
                      </c:pt>
                      <c:pt idx="72">
                        <c:v>-107.59450304880968</c:v>
                      </c:pt>
                      <c:pt idx="73">
                        <c:v>-113.5502080028529</c:v>
                      </c:pt>
                      <c:pt idx="74">
                        <c:v>-119.70950869710103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7E4-4421-9955-CF678120661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Сравнение!$H$48</c15:sqref>
                        </c15:formulaRef>
                      </c:ext>
                    </c:extLst>
                    <c:strCache>
                      <c:ptCount val="1"/>
                      <c:pt idx="0">
                        <c:v>1: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Сравнение!$H$49:$H$123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4.8469999999999631E-2</c:v>
                      </c:pt>
                      <c:pt idx="1">
                        <c:v>0.29630783783783876</c:v>
                      </c:pt>
                      <c:pt idx="2">
                        <c:v>0.54414567567567784</c:v>
                      </c:pt>
                      <c:pt idx="3">
                        <c:v>0.7919835135135147</c:v>
                      </c:pt>
                      <c:pt idx="4">
                        <c:v>1.0398213513513537</c:v>
                      </c:pt>
                      <c:pt idx="5">
                        <c:v>1.2876591891891929</c:v>
                      </c:pt>
                      <c:pt idx="6">
                        <c:v>1.5354970270270296</c:v>
                      </c:pt>
                      <c:pt idx="7">
                        <c:v>1.7833348648648688</c:v>
                      </c:pt>
                      <c:pt idx="8">
                        <c:v>2.0311727027027078</c:v>
                      </c:pt>
                      <c:pt idx="9">
                        <c:v>2.2790105405405447</c:v>
                      </c:pt>
                      <c:pt idx="10">
                        <c:v>2.5268483783783839</c:v>
                      </c:pt>
                      <c:pt idx="11">
                        <c:v>2.774686216216224</c:v>
                      </c:pt>
                      <c:pt idx="12">
                        <c:v>3.022524054054061</c:v>
                      </c:pt>
                      <c:pt idx="13">
                        <c:v>3.2703618918919002</c:v>
                      </c:pt>
                      <c:pt idx="14">
                        <c:v>3.5181997297297389</c:v>
                      </c:pt>
                      <c:pt idx="15">
                        <c:v>3.7660375675675759</c:v>
                      </c:pt>
                      <c:pt idx="16">
                        <c:v>4.0138754054054147</c:v>
                      </c:pt>
                      <c:pt idx="17">
                        <c:v>4.2617132432432543</c:v>
                      </c:pt>
                      <c:pt idx="18">
                        <c:v>4.5095510810810913</c:v>
                      </c:pt>
                      <c:pt idx="19">
                        <c:v>4.75738891891893</c:v>
                      </c:pt>
                      <c:pt idx="20">
                        <c:v>5.0052267567567696</c:v>
                      </c:pt>
                      <c:pt idx="21">
                        <c:v>5.2530645945946057</c:v>
                      </c:pt>
                      <c:pt idx="22">
                        <c:v>5.5009024324324454</c:v>
                      </c:pt>
                      <c:pt idx="23">
                        <c:v>5.7487402702702841</c:v>
                      </c:pt>
                      <c:pt idx="24">
                        <c:v>5.9965781081081211</c:v>
                      </c:pt>
                      <c:pt idx="25">
                        <c:v>6.2444159459459598</c:v>
                      </c:pt>
                      <c:pt idx="26">
                        <c:v>6.4922537837837995</c:v>
                      </c:pt>
                      <c:pt idx="27">
                        <c:v>6.7400916216216382</c:v>
                      </c:pt>
                      <c:pt idx="28">
                        <c:v>6.9879294594594752</c:v>
                      </c:pt>
                      <c:pt idx="29">
                        <c:v>7.2357672972973139</c:v>
                      </c:pt>
                      <c:pt idx="30">
                        <c:v>7.4836051351351536</c:v>
                      </c:pt>
                      <c:pt idx="31">
                        <c:v>7.7314429729729905</c:v>
                      </c:pt>
                      <c:pt idx="32">
                        <c:v>7.9792808108108293</c:v>
                      </c:pt>
                      <c:pt idx="33">
                        <c:v>8.227118648648668</c:v>
                      </c:pt>
                      <c:pt idx="34">
                        <c:v>8.474956486486505</c:v>
                      </c:pt>
                      <c:pt idx="35">
                        <c:v>8.7227943243243438</c:v>
                      </c:pt>
                      <c:pt idx="36">
                        <c:v>8.9706321621621843</c:v>
                      </c:pt>
                      <c:pt idx="37">
                        <c:v>9.218470000000023</c:v>
                      </c:pt>
                      <c:pt idx="38">
                        <c:v>9.46630783783786</c:v>
                      </c:pt>
                      <c:pt idx="39">
                        <c:v>9.7141456756756988</c:v>
                      </c:pt>
                      <c:pt idx="40">
                        <c:v>9.9619835135135357</c:v>
                      </c:pt>
                      <c:pt idx="41">
                        <c:v>10.209821351351374</c:v>
                      </c:pt>
                      <c:pt idx="42">
                        <c:v>10.457659189189213</c:v>
                      </c:pt>
                      <c:pt idx="43">
                        <c:v>10.705497027027052</c:v>
                      </c:pt>
                      <c:pt idx="44">
                        <c:v>10.953334864864892</c:v>
                      </c:pt>
                      <c:pt idx="45">
                        <c:v>11.201172702702729</c:v>
                      </c:pt>
                      <c:pt idx="46">
                        <c:v>11.449010540540568</c:v>
                      </c:pt>
                      <c:pt idx="47">
                        <c:v>11.696848378378405</c:v>
                      </c:pt>
                      <c:pt idx="48">
                        <c:v>11.944686216216244</c:v>
                      </c:pt>
                      <c:pt idx="49">
                        <c:v>12.192524054054083</c:v>
                      </c:pt>
                      <c:pt idx="50">
                        <c:v>12.440361891891921</c:v>
                      </c:pt>
                      <c:pt idx="51">
                        <c:v>12.688199729729758</c:v>
                      </c:pt>
                      <c:pt idx="52">
                        <c:v>12.936037567567597</c:v>
                      </c:pt>
                      <c:pt idx="53">
                        <c:v>13.183875405405434</c:v>
                      </c:pt>
                      <c:pt idx="54">
                        <c:v>13.431713243243273</c:v>
                      </c:pt>
                      <c:pt idx="55">
                        <c:v>13.679551081081113</c:v>
                      </c:pt>
                      <c:pt idx="56">
                        <c:v>13.927388918918952</c:v>
                      </c:pt>
                      <c:pt idx="57">
                        <c:v>14.175226756756791</c:v>
                      </c:pt>
                      <c:pt idx="58">
                        <c:v>14.423064594594626</c:v>
                      </c:pt>
                      <c:pt idx="59">
                        <c:v>14.670902432432465</c:v>
                      </c:pt>
                      <c:pt idx="60">
                        <c:v>14.918740270270304</c:v>
                      </c:pt>
                      <c:pt idx="61">
                        <c:v>15.166578108108142</c:v>
                      </c:pt>
                      <c:pt idx="62">
                        <c:v>15.414415945945983</c:v>
                      </c:pt>
                      <c:pt idx="63">
                        <c:v>15.662253783783822</c:v>
                      </c:pt>
                      <c:pt idx="64">
                        <c:v>15.91009162162166</c:v>
                      </c:pt>
                      <c:pt idx="65">
                        <c:v>16.157929459459496</c:v>
                      </c:pt>
                      <c:pt idx="66">
                        <c:v>16.405767297297334</c:v>
                      </c:pt>
                      <c:pt idx="67">
                        <c:v>16.653605135135173</c:v>
                      </c:pt>
                      <c:pt idx="68">
                        <c:v>16.901442972973012</c:v>
                      </c:pt>
                      <c:pt idx="69">
                        <c:v>17.149280810810851</c:v>
                      </c:pt>
                      <c:pt idx="70">
                        <c:v>17.397118648648689</c:v>
                      </c:pt>
                      <c:pt idx="71">
                        <c:v>17.644956486486528</c:v>
                      </c:pt>
                      <c:pt idx="72">
                        <c:v>17.892794324324363</c:v>
                      </c:pt>
                      <c:pt idx="73">
                        <c:v>18.140632162162202</c:v>
                      </c:pt>
                      <c:pt idx="74">
                        <c:v>18.388470000000041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7E4-4421-9955-CF678120661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1"/>
          <c:tx>
            <c:strRef>
              <c:f>Сравнение!$AQ$48</c:f>
              <c:strCache>
                <c:ptCount val="1"/>
                <c:pt idx="0">
                  <c:v>ΔS (1-0) 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Сравнение!$AQ$49:$AQ$123</c:f>
              <c:numCache>
                <c:formatCode>#,##0.00</c:formatCode>
                <c:ptCount val="75"/>
                <c:pt idx="0">
                  <c:v>0.11533005543063979</c:v>
                </c:pt>
                <c:pt idx="1">
                  <c:v>0.11051768288935193</c:v>
                </c:pt>
                <c:pt idx="2">
                  <c:v>9.38255712361169E-2</c:v>
                </c:pt>
                <c:pt idx="3">
                  <c:v>6.5915174567130919E-2</c:v>
                </c:pt>
                <c:pt idx="4">
                  <c:v>2.8543327971959798E-2</c:v>
                </c:pt>
                <c:pt idx="5">
                  <c:v>-1.5711321518374177E-2</c:v>
                </c:pt>
                <c:pt idx="6">
                  <c:v>-6.3661495686318403E-2</c:v>
                </c:pt>
                <c:pt idx="7">
                  <c:v>-0.11167772234548323</c:v>
                </c:pt>
                <c:pt idx="8">
                  <c:v>-0.15581842042237071</c:v>
                </c:pt>
                <c:pt idx="9">
                  <c:v>-0.19193159449723396</c:v>
                </c:pt>
                <c:pt idx="10">
                  <c:v>-0.21573427305717274</c:v>
                </c:pt>
                <c:pt idx="11">
                  <c:v>-0.22287444142894941</c:v>
                </c:pt>
                <c:pt idx="12">
                  <c:v>-0.20897916684958062</c:v>
                </c:pt>
                <c:pt idx="13">
                  <c:v>-0.16969180610029611</c:v>
                </c:pt>
                <c:pt idx="14">
                  <c:v>-0.10070056458946652</c:v>
                </c:pt>
                <c:pt idx="15">
                  <c:v>2.2398053520120698E-3</c:v>
                </c:pt>
                <c:pt idx="16">
                  <c:v>0.14329175341858758</c:v>
                </c:pt>
                <c:pt idx="17">
                  <c:v>0.32652300634224929</c:v>
                </c:pt>
                <c:pt idx="18">
                  <c:v>0.55589807717441886</c:v>
                </c:pt>
                <c:pt idx="19">
                  <c:v>0.83527249770024525</c:v>
                </c:pt>
                <c:pt idx="20">
                  <c:v>1.1683892057040168</c:v>
                </c:pt>
                <c:pt idx="21">
                  <c:v>1.5588766320828213</c:v>
                </c:pt>
                <c:pt idx="22">
                  <c:v>2.0102481229837394</c:v>
                </c:pt>
                <c:pt idx="23">
                  <c:v>2.5259024041043148</c:v>
                </c:pt>
                <c:pt idx="24">
                  <c:v>3.1091248518851913</c:v>
                </c:pt>
                <c:pt idx="25">
                  <c:v>3.7630893825314544</c:v>
                </c:pt>
                <c:pt idx="26">
                  <c:v>4.4908608069563343</c:v>
                </c:pt>
                <c:pt idx="27">
                  <c:v>5.2953975296705664</c:v>
                </c:pt>
                <c:pt idx="28">
                  <c:v>6.1795544938102793</c:v>
                </c:pt>
                <c:pt idx="29">
                  <c:v>7.146086294015717</c:v>
                </c:pt>
                <c:pt idx="30">
                  <c:v>8.1976503946937456</c:v>
                </c:pt>
                <c:pt idx="31">
                  <c:v>9.3368104039920397</c:v>
                </c:pt>
                <c:pt idx="32">
                  <c:v>10.566039364202247</c:v>
                </c:pt>
                <c:pt idx="33">
                  <c:v>11.887723027729663</c:v>
                </c:pt>
                <c:pt idx="34">
                  <c:v>13.304163094590308</c:v>
                </c:pt>
                <c:pt idx="35">
                  <c:v>14.817580392942247</c:v>
                </c:pt>
                <c:pt idx="36">
                  <c:v>16.430117988635189</c:v>
                </c:pt>
                <c:pt idx="37">
                  <c:v>18.143844213395973</c:v>
                </c:pt>
                <c:pt idx="38">
                  <c:v>19.960755604199861</c:v>
                </c:pt>
                <c:pt idx="39">
                  <c:v>21.882779748730293</c:v>
                </c:pt>
                <c:pt idx="40">
                  <c:v>23.911778033739324</c:v>
                </c:pt>
                <c:pt idx="41">
                  <c:v>26.049548294619264</c:v>
                </c:pt>
                <c:pt idx="42">
                  <c:v>28.297827365715442</c:v>
                </c:pt>
                <c:pt idx="43">
                  <c:v>30.658293531849573</c:v>
                </c:pt>
                <c:pt idx="44">
                  <c:v>33.132568882275891</c:v>
                </c:pt>
                <c:pt idx="45">
                  <c:v>35.722221568855851</c:v>
                </c:pt>
                <c:pt idx="46">
                  <c:v>38.428767970682628</c:v>
                </c:pt>
                <c:pt idx="47">
                  <c:v>41.253674767706457</c:v>
                </c:pt>
                <c:pt idx="48">
                  <c:v>44.198360926143486</c:v>
                </c:pt>
                <c:pt idx="49">
                  <c:v>47.264199598612308</c:v>
                </c:pt>
                <c:pt idx="50">
                  <c:v>50.452519942044098</c:v>
                </c:pt>
                <c:pt idx="51">
                  <c:v>53.764608856454814</c:v>
                </c:pt>
                <c:pt idx="52">
                  <c:v>57.201712647699402</c:v>
                </c:pt>
                <c:pt idx="53">
                  <c:v>60.765038617289093</c:v>
                </c:pt>
                <c:pt idx="54">
                  <c:v>64.455756582335979</c:v>
                </c:pt>
                <c:pt idx="55">
                  <c:v>68.275000328611839</c:v>
                </c:pt>
                <c:pt idx="56">
                  <c:v>72.223868999650975</c:v>
                </c:pt>
                <c:pt idx="57">
                  <c:v>76.303428424733355</c:v>
                </c:pt>
                <c:pt idx="58">
                  <c:v>80.514712388501735</c:v>
                </c:pt>
                <c:pt idx="59">
                  <c:v>84.858723844868479</c:v>
                </c:pt>
                <c:pt idx="60">
                  <c:v>89.336436077770017</c:v>
                </c:pt>
                <c:pt idx="61">
                  <c:v>93.948793811226523</c:v>
                </c:pt>
                <c:pt idx="62">
                  <c:v>98.696714271067918</c:v>
                </c:pt>
                <c:pt idx="63">
                  <c:v>103.58108820058004</c:v>
                </c:pt>
                <c:pt idx="64">
                  <c:v>108.60278083223611</c:v>
                </c:pt>
                <c:pt idx="65">
                  <c:v>113.7626328175749</c:v>
                </c:pt>
                <c:pt idx="66">
                  <c:v>119.06146111719811</c:v>
                </c:pt>
                <c:pt idx="67">
                  <c:v>124.50005985275979</c:v>
                </c:pt>
                <c:pt idx="68">
                  <c:v>130.07920112274729</c:v>
                </c:pt>
                <c:pt idx="69">
                  <c:v>135.79963578375163</c:v>
                </c:pt>
                <c:pt idx="70">
                  <c:v>141.66209419885504</c:v>
                </c:pt>
                <c:pt idx="71">
                  <c:v>147.66728695467975</c:v>
                </c:pt>
                <c:pt idx="72">
                  <c:v>153.81590554856456</c:v>
                </c:pt>
                <c:pt idx="73">
                  <c:v>160.10862304727243</c:v>
                </c:pt>
                <c:pt idx="74">
                  <c:v>166.5460947185519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7E4-4421-9955-CF6781206618}"/>
            </c:ext>
          </c:extLst>
        </c:ser>
        <c:ser>
          <c:idx val="4"/>
          <c:order val="3"/>
          <c:tx>
            <c:strRef>
              <c:f>Сравнение!$AS$48</c:f>
              <c:strCache>
                <c:ptCount val="1"/>
                <c:pt idx="0">
                  <c:v>ΔCp (1-0) J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309.45945945945948</c:v>
                </c:pt>
                <c:pt idx="2">
                  <c:v>318.91891891891896</c:v>
                </c:pt>
                <c:pt idx="3">
                  <c:v>328.37837837837844</c:v>
                </c:pt>
                <c:pt idx="4">
                  <c:v>337.83783783783792</c:v>
                </c:pt>
                <c:pt idx="5">
                  <c:v>347.2972972972974</c:v>
                </c:pt>
                <c:pt idx="6">
                  <c:v>356.75675675675689</c:v>
                </c:pt>
                <c:pt idx="7">
                  <c:v>366.21621621621637</c:v>
                </c:pt>
                <c:pt idx="8">
                  <c:v>375.67567567567585</c:v>
                </c:pt>
                <c:pt idx="9">
                  <c:v>385.13513513513533</c:v>
                </c:pt>
                <c:pt idx="10">
                  <c:v>394.59459459459481</c:v>
                </c:pt>
                <c:pt idx="11">
                  <c:v>404.05405405405429</c:v>
                </c:pt>
                <c:pt idx="12">
                  <c:v>413.51351351351377</c:v>
                </c:pt>
                <c:pt idx="13">
                  <c:v>422.97297297297325</c:v>
                </c:pt>
                <c:pt idx="14">
                  <c:v>432.43243243243273</c:v>
                </c:pt>
                <c:pt idx="15">
                  <c:v>441.89189189189221</c:v>
                </c:pt>
                <c:pt idx="16">
                  <c:v>451.3513513513517</c:v>
                </c:pt>
                <c:pt idx="17">
                  <c:v>460.81081081081118</c:v>
                </c:pt>
                <c:pt idx="18">
                  <c:v>470.27027027027066</c:v>
                </c:pt>
                <c:pt idx="19">
                  <c:v>479.72972972973014</c:v>
                </c:pt>
                <c:pt idx="20">
                  <c:v>489.18918918918962</c:v>
                </c:pt>
                <c:pt idx="21">
                  <c:v>498.6486486486491</c:v>
                </c:pt>
                <c:pt idx="22">
                  <c:v>508.10810810810858</c:v>
                </c:pt>
                <c:pt idx="23">
                  <c:v>517.56756756756806</c:v>
                </c:pt>
                <c:pt idx="24">
                  <c:v>527.02702702702754</c:v>
                </c:pt>
                <c:pt idx="25">
                  <c:v>536.48648648648702</c:v>
                </c:pt>
                <c:pt idx="26">
                  <c:v>545.94594594594651</c:v>
                </c:pt>
                <c:pt idx="27">
                  <c:v>555.40540540540599</c:v>
                </c:pt>
                <c:pt idx="28">
                  <c:v>564.86486486486547</c:v>
                </c:pt>
                <c:pt idx="29">
                  <c:v>574.32432432432495</c:v>
                </c:pt>
                <c:pt idx="30">
                  <c:v>583.78378378378443</c:v>
                </c:pt>
                <c:pt idx="31">
                  <c:v>593.24324324324391</c:v>
                </c:pt>
                <c:pt idx="32">
                  <c:v>602.70270270270339</c:v>
                </c:pt>
                <c:pt idx="33">
                  <c:v>612.16216216216287</c:v>
                </c:pt>
                <c:pt idx="34">
                  <c:v>621.62162162162235</c:v>
                </c:pt>
                <c:pt idx="35">
                  <c:v>631.08108108108183</c:v>
                </c:pt>
                <c:pt idx="36">
                  <c:v>640.54054054054131</c:v>
                </c:pt>
                <c:pt idx="37">
                  <c:v>650.0000000000008</c:v>
                </c:pt>
                <c:pt idx="38">
                  <c:v>659.45945945946028</c:v>
                </c:pt>
                <c:pt idx="39">
                  <c:v>668.91891891891976</c:v>
                </c:pt>
                <c:pt idx="40">
                  <c:v>678.37837837837924</c:v>
                </c:pt>
                <c:pt idx="41">
                  <c:v>687.83783783783872</c:v>
                </c:pt>
                <c:pt idx="42">
                  <c:v>697.2972972972982</c:v>
                </c:pt>
                <c:pt idx="43">
                  <c:v>706.75675675675768</c:v>
                </c:pt>
                <c:pt idx="44">
                  <c:v>716.21621621621716</c:v>
                </c:pt>
                <c:pt idx="45">
                  <c:v>725.67567567567664</c:v>
                </c:pt>
                <c:pt idx="46">
                  <c:v>735.13513513513612</c:v>
                </c:pt>
                <c:pt idx="47">
                  <c:v>744.59459459459561</c:v>
                </c:pt>
                <c:pt idx="48">
                  <c:v>754.05405405405509</c:v>
                </c:pt>
                <c:pt idx="49">
                  <c:v>763.51351351351457</c:v>
                </c:pt>
                <c:pt idx="50">
                  <c:v>772.97297297297405</c:v>
                </c:pt>
                <c:pt idx="51">
                  <c:v>782.43243243243353</c:v>
                </c:pt>
                <c:pt idx="52">
                  <c:v>791.89189189189301</c:v>
                </c:pt>
                <c:pt idx="53">
                  <c:v>801.35135135135249</c:v>
                </c:pt>
                <c:pt idx="54">
                  <c:v>810.81081081081197</c:v>
                </c:pt>
                <c:pt idx="55">
                  <c:v>820.27027027027145</c:v>
                </c:pt>
                <c:pt idx="56">
                  <c:v>829.72972972973093</c:v>
                </c:pt>
                <c:pt idx="57">
                  <c:v>839.18918918919042</c:v>
                </c:pt>
                <c:pt idx="58">
                  <c:v>848.6486486486499</c:v>
                </c:pt>
                <c:pt idx="59">
                  <c:v>858.10810810810938</c:v>
                </c:pt>
                <c:pt idx="60">
                  <c:v>867.56756756756886</c:v>
                </c:pt>
                <c:pt idx="61">
                  <c:v>877.02702702702834</c:v>
                </c:pt>
                <c:pt idx="62">
                  <c:v>886.48648648648782</c:v>
                </c:pt>
                <c:pt idx="63">
                  <c:v>895.9459459459473</c:v>
                </c:pt>
                <c:pt idx="64">
                  <c:v>905.40540540540678</c:v>
                </c:pt>
                <c:pt idx="65">
                  <c:v>914.86486486486626</c:v>
                </c:pt>
                <c:pt idx="66">
                  <c:v>924.32432432432574</c:v>
                </c:pt>
                <c:pt idx="67">
                  <c:v>933.78378378378522</c:v>
                </c:pt>
                <c:pt idx="68">
                  <c:v>943.24324324324471</c:v>
                </c:pt>
                <c:pt idx="69">
                  <c:v>952.70270270270419</c:v>
                </c:pt>
                <c:pt idx="70">
                  <c:v>962.16216216216367</c:v>
                </c:pt>
                <c:pt idx="71">
                  <c:v>971.62162162162315</c:v>
                </c:pt>
                <c:pt idx="72">
                  <c:v>981.08108108108263</c:v>
                </c:pt>
                <c:pt idx="73">
                  <c:v>990.54054054054211</c:v>
                </c:pt>
                <c:pt idx="74">
                  <c:v>1000.0000000000016</c:v>
                </c:pt>
              </c:numCache>
            </c:numRef>
          </c:xVal>
          <c:yVal>
            <c:numRef>
              <c:f>Сравнение!$AS$49:$AS$123</c:f>
              <c:numCache>
                <c:formatCode>#,##0.00</c:formatCode>
                <c:ptCount val="75"/>
                <c:pt idx="0">
                  <c:v>3.1932495033366592E-2</c:v>
                </c:pt>
                <c:pt idx="1">
                  <c:v>-0.35184586149506814</c:v>
                </c:pt>
                <c:pt idx="2">
                  <c:v>-0.75901163809379213</c:v>
                </c:pt>
                <c:pt idx="3">
                  <c:v>-1.1459329176862099</c:v>
                </c:pt>
                <c:pt idx="4">
                  <c:v>-1.4749994447182253</c:v>
                </c:pt>
                <c:pt idx="5">
                  <c:v>-1.7136522076654259</c:v>
                </c:pt>
                <c:pt idx="6">
                  <c:v>-1.833590690748661</c:v>
                </c:pt>
                <c:pt idx="7">
                  <c:v>-1.8101215687836145</c:v>
                </c:pt>
                <c:pt idx="8">
                  <c:v>-1.6216207218047316</c:v>
                </c:pt>
                <c:pt idx="9">
                  <c:v>-1.2490865840323977</c:v>
                </c:pt>
                <c:pt idx="10">
                  <c:v>-0.67576752654018435</c:v>
                </c:pt>
                <c:pt idx="11">
                  <c:v>0.11315042570950595</c:v>
                </c:pt>
                <c:pt idx="12">
                  <c:v>1.1308064545684218</c:v>
                </c:pt>
                <c:pt idx="13">
                  <c:v>2.3888871281552966</c:v>
                </c:pt>
                <c:pt idx="14">
                  <c:v>3.8978149385417709</c:v>
                </c:pt>
                <c:pt idx="15">
                  <c:v>5.6669088958416118</c:v>
                </c:pt>
                <c:pt idx="16">
                  <c:v>7.7045218136352354</c:v>
                </c:pt>
                <c:pt idx="17">
                  <c:v>10.018158073378224</c:v>
                </c:pt>
                <c:pt idx="18">
                  <c:v>12.614574976821054</c:v>
                </c:pt>
                <c:pt idx="19">
                  <c:v>15.499870249300372</c:v>
                </c:pt>
                <c:pt idx="20">
                  <c:v>18.67955781516044</c:v>
                </c:pt>
                <c:pt idx="21">
                  <c:v>22.158633607916826</c:v>
                </c:pt>
                <c:pt idx="22">
                  <c:v>25.941632885252449</c:v>
                </c:pt>
                <c:pt idx="23">
                  <c:v>30.032680279387424</c:v>
                </c:pt>
                <c:pt idx="24">
                  <c:v>34.435533616403958</c:v>
                </c:pt>
                <c:pt idx="25">
                  <c:v>39.153622375570542</c:v>
                </c:pt>
                <c:pt idx="26">
                  <c:v>44.190081525076039</c:v>
                </c:pt>
                <c:pt idx="27">
                  <c:v>49.547781358692831</c:v>
                </c:pt>
                <c:pt idx="28">
                  <c:v>55.229353864560665</c:v>
                </c:pt>
                <c:pt idx="29">
                  <c:v>61.237216079206007</c:v>
                </c:pt>
                <c:pt idx="30">
                  <c:v>67.573590814379031</c:v>
                </c:pt>
                <c:pt idx="31">
                  <c:v>74.24052508912159</c:v>
                </c:pt>
                <c:pt idx="32">
                  <c:v>81.239906552898901</c:v>
                </c:pt>
                <c:pt idx="33">
                  <c:v>88.573478146189359</c:v>
                </c:pt>
                <c:pt idx="34">
                  <c:v>96.242851211444872</c:v>
                </c:pt>
                <c:pt idx="35">
                  <c:v>104.24951723882964</c:v>
                </c:pt>
                <c:pt idx="36">
                  <c:v>112.59485840681744</c:v>
                </c:pt>
                <c:pt idx="37">
                  <c:v>121.2801570569227</c:v>
                </c:pt>
                <c:pt idx="38">
                  <c:v>130.30660422398142</c:v>
                </c:pt>
                <c:pt idx="39">
                  <c:v>139.67530732806742</c:v>
                </c:pt>
                <c:pt idx="40">
                  <c:v>149.38729712090216</c:v>
                </c:pt>
                <c:pt idx="41">
                  <c:v>159.44353396820514</c:v>
                </c:pt>
                <c:pt idx="42">
                  <c:v>169.84491353956238</c:v>
                </c:pt>
                <c:pt idx="43">
                  <c:v>180.59227196881554</c:v>
                </c:pt>
                <c:pt idx="44">
                  <c:v>191.68639054054771</c:v>
                </c:pt>
                <c:pt idx="45">
                  <c:v>203.12799995175641</c:v>
                </c:pt>
                <c:pt idx="46">
                  <c:v>214.91778419216041</c:v>
                </c:pt>
                <c:pt idx="47">
                  <c:v>227.05638408164944</c:v>
                </c:pt>
                <c:pt idx="48">
                  <c:v>239.54440049906734</c:v>
                </c:pt>
                <c:pt idx="49">
                  <c:v>252.38239733273198</c:v>
                </c:pt>
                <c:pt idx="50">
                  <c:v>265.57090417976201</c:v>
                </c:pt>
                <c:pt idx="51">
                  <c:v>279.11041881835888</c:v>
                </c:pt>
                <c:pt idx="52">
                  <c:v>293.00140947461057</c:v>
                </c:pt>
                <c:pt idx="53">
                  <c:v>307.24431690310399</c:v>
                </c:pt>
                <c:pt idx="54">
                  <c:v>321.83955629862163</c:v>
                </c:pt>
                <c:pt idx="55">
                  <c:v>336.7875190544168</c:v>
                </c:pt>
                <c:pt idx="56">
                  <c:v>352.08857438097692</c:v>
                </c:pt>
                <c:pt idx="57">
                  <c:v>367.74307079778629</c:v>
                </c:pt>
                <c:pt idx="58">
                  <c:v>383.75133750934555</c:v>
                </c:pt>
                <c:pt idx="59">
                  <c:v>400.11368567560686</c:v>
                </c:pt>
                <c:pt idx="60">
                  <c:v>416.83040958597127</c:v>
                </c:pt>
                <c:pt idx="61">
                  <c:v>433.90178774513538</c:v>
                </c:pt>
                <c:pt idx="62">
                  <c:v>451.32808387826486</c:v>
                </c:pt>
                <c:pt idx="63">
                  <c:v>469.10954786227734</c:v>
                </c:pt>
                <c:pt idx="64">
                  <c:v>487.24641658937298</c:v>
                </c:pt>
                <c:pt idx="65">
                  <c:v>505.73891476838952</c:v>
                </c:pt>
                <c:pt idx="66">
                  <c:v>524.58725566905389</c:v>
                </c:pt>
                <c:pt idx="67">
                  <c:v>543.79164181371686</c:v>
                </c:pt>
                <c:pt idx="68">
                  <c:v>563.35226562078037</c:v>
                </c:pt>
                <c:pt idx="69">
                  <c:v>583.26931000362561</c:v>
                </c:pt>
                <c:pt idx="70">
                  <c:v>603.54294892852784</c:v>
                </c:pt>
                <c:pt idx="71">
                  <c:v>624.1733479347364</c:v>
                </c:pt>
                <c:pt idx="72">
                  <c:v>645.16066461962168</c:v>
                </c:pt>
                <c:pt idx="73">
                  <c:v>666.50504909154881</c:v>
                </c:pt>
                <c:pt idx="74">
                  <c:v>688.20664439290363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-1.4629364768380455</c:v>
                      </c:pt>
                      <c:pt idx="1">
                        <c:v>-1.4300754600716559</c:v>
                      </c:pt>
                      <c:pt idx="2">
                        <c:v>-1.4023772067166433</c:v>
                      </c:pt>
                      <c:pt idx="3">
                        <c:v>-1.3794558379706601</c:v>
                      </c:pt>
                      <c:pt idx="4">
                        <c:v>-1.3609583583296043</c:v>
                      </c:pt>
                      <c:pt idx="5">
                        <c:v>-1.3465610222835167</c:v>
                      </c:pt>
                      <c:pt idx="6">
                        <c:v>-1.3359661893621322</c:v>
                      </c:pt>
                      <c:pt idx="7">
                        <c:v>-1.3288995908203489</c:v>
                      </c:pt>
                      <c:pt idx="8">
                        <c:v>-1.3251079449557324</c:v>
                      </c:pt>
                      <c:pt idx="9">
                        <c:v>-1.3243568690201428</c:v>
                      </c:pt>
                      <c:pt idx="10">
                        <c:v>-1.3264290445325528</c:v>
                      </c:pt>
                      <c:pt idx="11">
                        <c:v>-1.3311225999627894</c:v>
                      </c:pt>
                      <c:pt idx="12">
                        <c:v>-1.3382496805962631</c:v>
                      </c:pt>
                      <c:pt idx="13">
                        <c:v>-1.3476351801702506</c:v>
                      </c:pt>
                      <c:pt idx="14">
                        <c:v>-1.359115612807976</c:v>
                      </c:pt>
                      <c:pt idx="15">
                        <c:v>-1.3725381070302731</c:v>
                      </c:pt>
                      <c:pt idx="16">
                        <c:v>-1.3877595063268728</c:v>
                      </c:pt>
                      <c:pt idx="17">
                        <c:v>-1.4046455630228749</c:v>
                      </c:pt>
                      <c:pt idx="18">
                        <c:v>-1.4230702140634364</c:v>
                      </c:pt>
                      <c:pt idx="19">
                        <c:v>-1.4429149289261503</c:v>
                      </c:pt>
                      <c:pt idx="20">
                        <c:v>-1.4640681212086051</c:v>
                      </c:pt>
                      <c:pt idx="21">
                        <c:v>-1.4864246165730108</c:v>
                      </c:pt>
                      <c:pt idx="22">
                        <c:v>-1.5098851706916889</c:v>
                      </c:pt>
                      <c:pt idx="23">
                        <c:v>-1.5343560316587812</c:v>
                      </c:pt>
                      <c:pt idx="24">
                        <c:v>-1.5597485420353081</c:v>
                      </c:pt>
                      <c:pt idx="25">
                        <c:v>-1.5859787762960593</c:v>
                      </c:pt>
                      <c:pt idx="26">
                        <c:v>-1.6129672099655821</c:v>
                      </c:pt>
                      <c:pt idx="27">
                        <c:v>-1.6406384171761914</c:v>
                      </c:pt>
                      <c:pt idx="28">
                        <c:v>-1.6689207937677111</c:v>
                      </c:pt>
                      <c:pt idx="29">
                        <c:v>-1.6977463033836386</c:v>
                      </c:pt>
                      <c:pt idx="30">
                        <c:v>-1.727050244308721</c:v>
                      </c:pt>
                      <c:pt idx="31">
                        <c:v>-1.7567710350481889</c:v>
                      </c:pt>
                      <c:pt idx="32">
                        <c:v>-1.7868500168685983</c:v>
                      </c:pt>
                      <c:pt idx="33">
                        <c:v>-1.8172312717160253</c:v>
                      </c:pt>
                      <c:pt idx="34">
                        <c:v>-1.8478614540958702</c:v>
                      </c:pt>
                      <c:pt idx="35">
                        <c:v>-1.8786896356496356</c:v>
                      </c:pt>
                      <c:pt idx="36">
                        <c:v>-1.9096671612946423</c:v>
                      </c:pt>
                      <c:pt idx="37">
                        <c:v>-1.9407475159096492</c:v>
                      </c:pt>
                      <c:pt idx="38">
                        <c:v>-1.971886200652186</c:v>
                      </c:pt>
                      <c:pt idx="39">
                        <c:v>-2.0030406180841211</c:v>
                      </c:pt>
                      <c:pt idx="40">
                        <c:v>-2.0341699653637733</c:v>
                      </c:pt>
                      <c:pt idx="41">
                        <c:v>-2.065235134833614</c:v>
                      </c:pt>
                      <c:pt idx="42">
                        <c:v>-2.0961986213980026</c:v>
                      </c:pt>
                      <c:pt idx="43">
                        <c:v>-2.1270244361416246</c:v>
                      </c:pt>
                      <c:pt idx="44">
                        <c:v>-2.1576780256908066</c:v>
                      </c:pt>
                      <c:pt idx="45">
                        <c:v>-2.1881261968655252</c:v>
                      </c:pt>
                      <c:pt idx="46">
                        <c:v>-2.2183370462111469</c:v>
                      </c:pt>
                      <c:pt idx="47">
                        <c:v>-2.2482798940351643</c:v>
                      </c:pt>
                      <c:pt idx="48">
                        <c:v>-2.2779252226079052</c:v>
                      </c:pt>
                      <c:pt idx="49">
                        <c:v>-2.3072446182159325</c:v>
                      </c:pt>
                      <c:pt idx="50">
                        <c:v>-2.3362107167828867</c:v>
                      </c:pt>
                      <c:pt idx="51">
                        <c:v>-2.3647971527979905</c:v>
                      </c:pt>
                      <c:pt idx="52">
                        <c:v>-2.3929785113133164</c:v>
                      </c:pt>
                      <c:pt idx="53">
                        <c:v>-2.4207302827913963</c:v>
                      </c:pt>
                      <c:pt idx="54">
                        <c:v>-2.4480288206022891</c:v>
                      </c:pt>
                      <c:pt idx="55">
                        <c:v>-2.474851300985776</c:v>
                      </c:pt>
                      <c:pt idx="56">
                        <c:v>-2.5011756853091782</c:v>
                      </c:pt>
                      <c:pt idx="57">
                        <c:v>-2.5269806844643909</c:v>
                      </c:pt>
                      <c:pt idx="58">
                        <c:v>-2.5522457252606756</c:v>
                      </c:pt>
                      <c:pt idx="59">
                        <c:v>-2.5769509186797848</c:v>
                      </c:pt>
                      <c:pt idx="60">
                        <c:v>-2.6010770298716892</c:v>
                      </c:pt>
                      <c:pt idx="61">
                        <c:v>-2.6246054497771922</c:v>
                      </c:pt>
                      <c:pt idx="62">
                        <c:v>-2.6475181682726543</c:v>
                      </c:pt>
                      <c:pt idx="63">
                        <c:v>-2.6697977487401943</c:v>
                      </c:pt>
                      <c:pt idx="64">
                        <c:v>-2.6914273039733132</c:v>
                      </c:pt>
                      <c:pt idx="65">
                        <c:v>-2.7123904733345654</c:v>
                      </c:pt>
                      <c:pt idx="66">
                        <c:v>-2.7326714010882966</c:v>
                      </c:pt>
                      <c:pt idx="67">
                        <c:v>-2.752254715836699</c:v>
                      </c:pt>
                      <c:pt idx="68">
                        <c:v>-2.7711255109916522</c:v>
                      </c:pt>
                      <c:pt idx="69">
                        <c:v>-2.7892693262215857</c:v>
                      </c:pt>
                      <c:pt idx="70">
                        <c:v>-2.8066721298144444</c:v>
                      </c:pt>
                      <c:pt idx="71">
                        <c:v>-2.82332030190382</c:v>
                      </c:pt>
                      <c:pt idx="72">
                        <c:v>-2.8392006185073626</c:v>
                      </c:pt>
                      <c:pt idx="73">
                        <c:v>-2.8543002363313263</c:v>
                      </c:pt>
                      <c:pt idx="74">
                        <c:v>-2.8686066782969419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47E4-4421-9955-CF678120661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7E4-4421-9955-CF678120661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40.846736832651018</c:v>
                      </c:pt>
                      <c:pt idx="1">
                        <c:v>41.66491829325966</c:v>
                      </c:pt>
                      <c:pt idx="2">
                        <c:v>42.47048720346281</c:v>
                      </c:pt>
                      <c:pt idx="3">
                        <c:v>43.264214123983187</c:v>
                      </c:pt>
                      <c:pt idx="4">
                        <c:v>44.045652203046828</c:v>
                      </c:pt>
                      <c:pt idx="5">
                        <c:v>44.813424228801082</c:v>
                      </c:pt>
                      <c:pt idx="6">
                        <c:v>45.565447481147743</c:v>
                      </c:pt>
                      <c:pt idx="7">
                        <c:v>46.299110312421597</c:v>
                      </c:pt>
                      <c:pt idx="8">
                        <c:v>47.01141108214501</c:v>
                      </c:pt>
                      <c:pt idx="9">
                        <c:v>47.699067600563822</c:v>
                      </c:pt>
                      <c:pt idx="10">
                        <c:v>48.3586033755141</c:v>
                      </c:pt>
                      <c:pt idx="11">
                        <c:v>48.986415547292886</c:v>
                      </c:pt>
                      <c:pt idx="12">
                        <c:v>49.578828321029924</c:v>
                      </c:pt>
                      <c:pt idx="13">
                        <c:v>50.132134881280265</c:v>
                      </c:pt>
                      <c:pt idx="14">
                        <c:v>50.642630137414251</c:v>
                      </c:pt>
                      <c:pt idx="15">
                        <c:v>51.106636155183985</c:v>
                      </c:pt>
                      <c:pt idx="16">
                        <c:v>51.52052174559892</c:v>
                      </c:pt>
                      <c:pt idx="17">
                        <c:v>51.880717381513847</c:v>
                      </c:pt>
                      <c:pt idx="18">
                        <c:v>52.183726375944772</c:v>
                      </c:pt>
                      <c:pt idx="19">
                        <c:v>52.426133069583621</c:v>
                      </c:pt>
                      <c:pt idx="20">
                        <c:v>52.604608627159145</c:v>
                      </c:pt>
                      <c:pt idx="21">
                        <c:v>52.715914924806953</c:v>
                      </c:pt>
                      <c:pt idx="22">
                        <c:v>52.756906916859464</c:v>
                      </c:pt>
                      <c:pt idx="23">
                        <c:v>52.724533795456573</c:v>
                      </c:pt>
                      <c:pt idx="24">
                        <c:v>52.615839196183508</c:v>
                      </c:pt>
                      <c:pt idx="25">
                        <c:v>52.427960654500907</c:v>
                      </c:pt>
                      <c:pt idx="26">
                        <c:v>52.158128478653765</c:v>
                      </c:pt>
                      <c:pt idx="27">
                        <c:v>51.803664173158737</c:v>
                      </c:pt>
                      <c:pt idx="28">
                        <c:v>51.361978521366304</c:v>
                      </c:pt>
                      <c:pt idx="29">
                        <c:v>50.83056941483197</c:v>
                      </c:pt>
                      <c:pt idx="30">
                        <c:v>50.207019500329913</c:v>
                      </c:pt>
                      <c:pt idx="31">
                        <c:v>49.488993701605409</c:v>
                      </c:pt>
                      <c:pt idx="32">
                        <c:v>48.674236661751401</c:v>
                      </c:pt>
                      <c:pt idx="33">
                        <c:v>47.760570142953796</c:v>
                      </c:pt>
                      <c:pt idx="34">
                        <c:v>46.745890412895946</c:v>
                      </c:pt>
                      <c:pt idx="35">
                        <c:v>45.628165641010824</c:v>
                      </c:pt>
                      <c:pt idx="36">
                        <c:v>44.405433322803788</c:v>
                      </c:pt>
                      <c:pt idx="37">
                        <c:v>43.075797746402941</c:v>
                      </c:pt>
                      <c:pt idx="38">
                        <c:v>41.637427512180572</c:v>
                      </c:pt>
                      <c:pt idx="39">
                        <c:v>40.088553113597364</c:v>
                      </c:pt>
                      <c:pt idx="40">
                        <c:v>38.427464585211951</c:v>
                      </c:pt>
                      <c:pt idx="41">
                        <c:v>36.6525092220324</c:v>
                      </c:pt>
                      <c:pt idx="42">
                        <c:v>34.762089372929474</c:v>
                      </c:pt>
                      <c:pt idx="43">
                        <c:v>32.754660309679373</c:v>
                      </c:pt>
                      <c:pt idx="44">
                        <c:v>30.628728172261667</c:v>
                      </c:pt>
                      <c:pt idx="45">
                        <c:v>28.382847990304377</c:v>
                      </c:pt>
                      <c:pt idx="46">
                        <c:v>26.015621779971042</c:v>
                      </c:pt>
                      <c:pt idx="47">
                        <c:v>23.525696715127875</c:v>
                      </c:pt>
                      <c:pt idx="48">
                        <c:v>20.911763371274823</c:v>
                      </c:pt>
                      <c:pt idx="49">
                        <c:v>18.172554040452415</c:v>
                      </c:pt>
                      <c:pt idx="50">
                        <c:v>15.30684111513458</c:v>
                      </c:pt>
                      <c:pt idx="51">
                        <c:v>12.31343553898563</c:v>
                      </c:pt>
                      <c:pt idx="52">
                        <c:v>9.1911853222463034</c:v>
                      </c:pt>
                      <c:pt idx="53">
                        <c:v>5.938974119479294</c:v>
                      </c:pt>
                      <c:pt idx="54">
                        <c:v>2.5557198673550232</c:v>
                      </c:pt>
                      <c:pt idx="55">
                        <c:v>-0.95962651982500413</c:v>
                      </c:pt>
                      <c:pt idx="56">
                        <c:v>-4.6080823991678672</c:v>
                      </c:pt>
                      <c:pt idx="57">
                        <c:v>-8.3906345950482262</c:v>
                      </c:pt>
                      <c:pt idx="58">
                        <c:v>-12.308240544006937</c:v>
                      </c:pt>
                      <c:pt idx="59">
                        <c:v>-16.361829390851984</c:v>
                      </c:pt>
                      <c:pt idx="60">
                        <c:v>-20.552303038065059</c:v>
                      </c:pt>
                      <c:pt idx="61">
                        <c:v>-24.880537150551394</c:v>
                      </c:pt>
                      <c:pt idx="62">
                        <c:v>-29.347382117704804</c:v>
                      </c:pt>
                      <c:pt idx="63">
                        <c:v>-33.953663974682463</c:v>
                      </c:pt>
                      <c:pt idx="64">
                        <c:v>-38.70018528472081</c:v>
                      </c:pt>
                      <c:pt idx="65">
                        <c:v>-43.587725984245324</c:v>
                      </c:pt>
                      <c:pt idx="66">
                        <c:v>-48.617044192459304</c:v>
                      </c:pt>
                      <c:pt idx="67">
                        <c:v>-53.788876987018853</c:v>
                      </c:pt>
                      <c:pt idx="68">
                        <c:v>-59.103941147345132</c:v>
                      </c:pt>
                      <c:pt idx="69">
                        <c:v>-64.562933867042204</c:v>
                      </c:pt>
                      <c:pt idx="70">
                        <c:v>-70.166533436833305</c:v>
                      </c:pt>
                      <c:pt idx="71">
                        <c:v>-75.915399899360338</c:v>
                      </c:pt>
                      <c:pt idx="72">
                        <c:v>-81.810175677126935</c:v>
                      </c:pt>
                      <c:pt idx="73">
                        <c:v>-87.851486174814184</c:v>
                      </c:pt>
                      <c:pt idx="74">
                        <c:v>-94.039940357130703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7E4-4421-9955-CF678120661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40.962066888081658</c:v>
                      </c:pt>
                      <c:pt idx="1">
                        <c:v>41.775435976149012</c:v>
                      </c:pt>
                      <c:pt idx="2">
                        <c:v>42.564312774698926</c:v>
                      </c:pt>
                      <c:pt idx="3">
                        <c:v>43.330129298550318</c:v>
                      </c:pt>
                      <c:pt idx="4">
                        <c:v>44.074195531018788</c:v>
                      </c:pt>
                      <c:pt idx="5">
                        <c:v>44.797712907282708</c:v>
                      </c:pt>
                      <c:pt idx="6">
                        <c:v>45.501785985461424</c:v>
                      </c:pt>
                      <c:pt idx="7">
                        <c:v>46.187432590076114</c:v>
                      </c:pt>
                      <c:pt idx="8">
                        <c:v>46.855592661722639</c:v>
                      </c:pt>
                      <c:pt idx="9">
                        <c:v>47.507136006066588</c:v>
                      </c:pt>
                      <c:pt idx="10">
                        <c:v>48.142869102456928</c:v>
                      </c:pt>
                      <c:pt idx="11">
                        <c:v>48.763541105863936</c:v>
                      </c:pt>
                      <c:pt idx="12">
                        <c:v>49.369849154180343</c:v>
                      </c:pt>
                      <c:pt idx="13">
                        <c:v>49.962443075179969</c:v>
                      </c:pt>
                      <c:pt idx="14">
                        <c:v>50.541929572824785</c:v>
                      </c:pt>
                      <c:pt idx="15">
                        <c:v>51.108875960535997</c:v>
                      </c:pt>
                      <c:pt idx="16">
                        <c:v>51.663813499017508</c:v>
                      </c:pt>
                      <c:pt idx="17">
                        <c:v>52.207240387856096</c:v>
                      </c:pt>
                      <c:pt idx="18">
                        <c:v>52.739624453119191</c:v>
                      </c:pt>
                      <c:pt idx="19">
                        <c:v>53.261405567283866</c:v>
                      </c:pt>
                      <c:pt idx="20">
                        <c:v>53.772997832863162</c:v>
                      </c:pt>
                      <c:pt idx="21">
                        <c:v>54.274791556889774</c:v>
                      </c:pt>
                      <c:pt idx="22">
                        <c:v>54.767155039843203</c:v>
                      </c:pt>
                      <c:pt idx="23">
                        <c:v>55.250436199560887</c:v>
                      </c:pt>
                      <c:pt idx="24">
                        <c:v>55.724964048068699</c:v>
                      </c:pt>
                      <c:pt idx="25">
                        <c:v>56.191050037032362</c:v>
                      </c:pt>
                      <c:pt idx="26">
                        <c:v>56.648989285610099</c:v>
                      </c:pt>
                      <c:pt idx="27">
                        <c:v>57.099061702829303</c:v>
                      </c:pt>
                      <c:pt idx="28">
                        <c:v>57.541533015176583</c:v>
                      </c:pt>
                      <c:pt idx="29">
                        <c:v>57.976655708847687</c:v>
                      </c:pt>
                      <c:pt idx="30">
                        <c:v>58.404669895023659</c:v>
                      </c:pt>
                      <c:pt idx="31">
                        <c:v>58.825804105597449</c:v>
                      </c:pt>
                      <c:pt idx="32">
                        <c:v>59.240276025953648</c:v>
                      </c:pt>
                      <c:pt idx="33">
                        <c:v>59.648293170683459</c:v>
                      </c:pt>
                      <c:pt idx="34">
                        <c:v>60.050053507486254</c:v>
                      </c:pt>
                      <c:pt idx="35">
                        <c:v>60.445746033953071</c:v>
                      </c:pt>
                      <c:pt idx="36">
                        <c:v>60.835551311438977</c:v>
                      </c:pt>
                      <c:pt idx="37">
                        <c:v>61.219641959798913</c:v>
                      </c:pt>
                      <c:pt idx="38">
                        <c:v>61.598183116380433</c:v>
                      </c:pt>
                      <c:pt idx="39">
                        <c:v>61.971332862327657</c:v>
                      </c:pt>
                      <c:pt idx="40">
                        <c:v>62.339242618951275</c:v>
                      </c:pt>
                      <c:pt idx="41">
                        <c:v>62.702057516651664</c:v>
                      </c:pt>
                      <c:pt idx="42">
                        <c:v>63.059916738644915</c:v>
                      </c:pt>
                      <c:pt idx="43">
                        <c:v>63.412953841528946</c:v>
                      </c:pt>
                      <c:pt idx="44">
                        <c:v>63.761297054537557</c:v>
                      </c:pt>
                      <c:pt idx="45">
                        <c:v>64.105069559160228</c:v>
                      </c:pt>
                      <c:pt idx="46">
                        <c:v>64.44438975065367</c:v>
                      </c:pt>
                      <c:pt idx="47">
                        <c:v>64.779371482834335</c:v>
                      </c:pt>
                      <c:pt idx="48">
                        <c:v>65.110124297418309</c:v>
                      </c:pt>
                      <c:pt idx="49">
                        <c:v>65.436753639064719</c:v>
                      </c:pt>
                      <c:pt idx="50">
                        <c:v>65.75936105717868</c:v>
                      </c:pt>
                      <c:pt idx="51">
                        <c:v>66.078044395440443</c:v>
                      </c:pt>
                      <c:pt idx="52">
                        <c:v>66.392897969945707</c:v>
                      </c:pt>
                      <c:pt idx="53">
                        <c:v>66.704012736768391</c:v>
                      </c:pt>
                      <c:pt idx="54">
                        <c:v>67.011476449691003</c:v>
                      </c:pt>
                      <c:pt idx="55">
                        <c:v>67.315373808786831</c:v>
                      </c:pt>
                      <c:pt idx="56">
                        <c:v>67.615786600483105</c:v>
                      </c:pt>
                      <c:pt idx="57">
                        <c:v>67.912793829685128</c:v>
                      </c:pt>
                      <c:pt idx="58">
                        <c:v>68.2064718444948</c:v>
                      </c:pt>
                      <c:pt idx="59">
                        <c:v>68.496894454016498</c:v>
                      </c:pt>
                      <c:pt idx="60">
                        <c:v>68.784133039704955</c:v>
                      </c:pt>
                      <c:pt idx="61">
                        <c:v>69.068256660675132</c:v>
                      </c:pt>
                      <c:pt idx="62">
                        <c:v>69.349332153363108</c:v>
                      </c:pt>
                      <c:pt idx="63">
                        <c:v>69.627424225897585</c:v>
                      </c:pt>
                      <c:pt idx="64">
                        <c:v>69.90259554751529</c:v>
                      </c:pt>
                      <c:pt idx="65">
                        <c:v>70.174906833329572</c:v>
                      </c:pt>
                      <c:pt idx="66">
                        <c:v>70.444416924738803</c:v>
                      </c:pt>
                      <c:pt idx="67">
                        <c:v>70.711182865740938</c:v>
                      </c:pt>
                      <c:pt idx="68">
                        <c:v>70.975259975402153</c:v>
                      </c:pt>
                      <c:pt idx="69">
                        <c:v>71.236701916709421</c:v>
                      </c:pt>
                      <c:pt idx="70">
                        <c:v>71.495560762021739</c:v>
                      </c:pt>
                      <c:pt idx="71">
                        <c:v>71.751887055319401</c:v>
                      </c:pt>
                      <c:pt idx="72">
                        <c:v>72.005729871437637</c:v>
                      </c:pt>
                      <c:pt idx="73">
                        <c:v>72.257136872458247</c:v>
                      </c:pt>
                      <c:pt idx="74">
                        <c:v>72.50615436142121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7E4-4421-9955-CF678120661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26.168067504966633</c:v>
                      </c:pt>
                      <c:pt idx="1">
                        <c:v>26.551845861495067</c:v>
                      </c:pt>
                      <c:pt idx="2">
                        <c:v>26.959011638093791</c:v>
                      </c:pt>
                      <c:pt idx="3">
                        <c:v>27.345932917686209</c:v>
                      </c:pt>
                      <c:pt idx="4">
                        <c:v>27.674999444718225</c:v>
                      </c:pt>
                      <c:pt idx="5">
                        <c:v>27.913652207665425</c:v>
                      </c:pt>
                      <c:pt idx="6">
                        <c:v>28.03359069074866</c:v>
                      </c:pt>
                      <c:pt idx="7">
                        <c:v>28.010121568783614</c:v>
                      </c:pt>
                      <c:pt idx="8">
                        <c:v>27.821620721804731</c:v>
                      </c:pt>
                      <c:pt idx="9">
                        <c:v>27.449086584032397</c:v>
                      </c:pt>
                      <c:pt idx="10">
                        <c:v>26.875767526540184</c:v>
                      </c:pt>
                      <c:pt idx="11">
                        <c:v>26.086849574290493</c:v>
                      </c:pt>
                      <c:pt idx="12">
                        <c:v>25.069193545431578</c:v>
                      </c:pt>
                      <c:pt idx="13">
                        <c:v>23.811112871844703</c:v>
                      </c:pt>
                      <c:pt idx="14">
                        <c:v>22.302185061458228</c:v>
                      </c:pt>
                      <c:pt idx="15">
                        <c:v>20.533091104158387</c:v>
                      </c:pt>
                      <c:pt idx="16">
                        <c:v>18.495478186364764</c:v>
                      </c:pt>
                      <c:pt idx="17">
                        <c:v>16.181841926621775</c:v>
                      </c:pt>
                      <c:pt idx="18">
                        <c:v>13.585425023178946</c:v>
                      </c:pt>
                      <c:pt idx="19">
                        <c:v>10.700129750699627</c:v>
                      </c:pt>
                      <c:pt idx="20">
                        <c:v>7.5204421848395597</c:v>
                      </c:pt>
                      <c:pt idx="21">
                        <c:v>4.0413663920831748</c:v>
                      </c:pt>
                      <c:pt idx="22">
                        <c:v>0.25836711474755114</c:v>
                      </c:pt>
                      <c:pt idx="23">
                        <c:v>-3.8326802793874255</c:v>
                      </c:pt>
                      <c:pt idx="24">
                        <c:v>-8.2355336164039556</c:v>
                      </c:pt>
                      <c:pt idx="25">
                        <c:v>-12.953622375570541</c:v>
                      </c:pt>
                      <c:pt idx="26">
                        <c:v>-17.99008152507604</c:v>
                      </c:pt>
                      <c:pt idx="27">
                        <c:v>-23.347781358692835</c:v>
                      </c:pt>
                      <c:pt idx="28">
                        <c:v>-29.029353864560662</c:v>
                      </c:pt>
                      <c:pt idx="29">
                        <c:v>-35.037216079206004</c:v>
                      </c:pt>
                      <c:pt idx="30">
                        <c:v>-41.373590814379028</c:v>
                      </c:pt>
                      <c:pt idx="31">
                        <c:v>-48.040525089121594</c:v>
                      </c:pt>
                      <c:pt idx="32">
                        <c:v>-55.039906552898906</c:v>
                      </c:pt>
                      <c:pt idx="33">
                        <c:v>-62.373478146189356</c:v>
                      </c:pt>
                      <c:pt idx="34">
                        <c:v>-70.042851211444869</c:v>
                      </c:pt>
                      <c:pt idx="35">
                        <c:v>-78.049517238829637</c:v>
                      </c:pt>
                      <c:pt idx="36">
                        <c:v>-86.394858406817434</c:v>
                      </c:pt>
                      <c:pt idx="37">
                        <c:v>-95.080157056922701</c:v>
                      </c:pt>
                      <c:pt idx="38">
                        <c:v>-104.10660422398144</c:v>
                      </c:pt>
                      <c:pt idx="39">
                        <c:v>-113.47530732806743</c:v>
                      </c:pt>
                      <c:pt idx="40">
                        <c:v>-123.18729712090217</c:v>
                      </c:pt>
                      <c:pt idx="41">
                        <c:v>-133.24353396820516</c:v>
                      </c:pt>
                      <c:pt idx="42">
                        <c:v>-143.6449135395624</c:v>
                      </c:pt>
                      <c:pt idx="43">
                        <c:v>-154.39227196881555</c:v>
                      </c:pt>
                      <c:pt idx="44">
                        <c:v>-165.48639054054772</c:v>
                      </c:pt>
                      <c:pt idx="45">
                        <c:v>-176.92799995175642</c:v>
                      </c:pt>
                      <c:pt idx="46">
                        <c:v>-188.71778419216042</c:v>
                      </c:pt>
                      <c:pt idx="47">
                        <c:v>-200.85638408164945</c:v>
                      </c:pt>
                      <c:pt idx="48">
                        <c:v>-213.34440049906735</c:v>
                      </c:pt>
                      <c:pt idx="49">
                        <c:v>-226.18239733273199</c:v>
                      </c:pt>
                      <c:pt idx="50">
                        <c:v>-239.37090417976202</c:v>
                      </c:pt>
                      <c:pt idx="51">
                        <c:v>-252.91041881835889</c:v>
                      </c:pt>
                      <c:pt idx="52">
                        <c:v>-266.80140947461058</c:v>
                      </c:pt>
                      <c:pt idx="53">
                        <c:v>-281.044316903104</c:v>
                      </c:pt>
                      <c:pt idx="54">
                        <c:v>-295.63955629862164</c:v>
                      </c:pt>
                      <c:pt idx="55">
                        <c:v>-310.58751905441682</c:v>
                      </c:pt>
                      <c:pt idx="56">
                        <c:v>-325.88857438097693</c:v>
                      </c:pt>
                      <c:pt idx="57">
                        <c:v>-341.5430707977863</c:v>
                      </c:pt>
                      <c:pt idx="58">
                        <c:v>-357.55133750934556</c:v>
                      </c:pt>
                      <c:pt idx="59">
                        <c:v>-373.91368567560687</c:v>
                      </c:pt>
                      <c:pt idx="60">
                        <c:v>-390.63040958597128</c:v>
                      </c:pt>
                      <c:pt idx="61">
                        <c:v>-407.70178774513539</c:v>
                      </c:pt>
                      <c:pt idx="62">
                        <c:v>-425.12808387826487</c:v>
                      </c:pt>
                      <c:pt idx="63">
                        <c:v>-442.90954786227735</c:v>
                      </c:pt>
                      <c:pt idx="64">
                        <c:v>-461.046416589373</c:v>
                      </c:pt>
                      <c:pt idx="65">
                        <c:v>-479.53891476838953</c:v>
                      </c:pt>
                      <c:pt idx="66">
                        <c:v>-498.3872556690539</c:v>
                      </c:pt>
                      <c:pt idx="67">
                        <c:v>-517.59164181371682</c:v>
                      </c:pt>
                      <c:pt idx="68">
                        <c:v>-537.15226562078033</c:v>
                      </c:pt>
                      <c:pt idx="69">
                        <c:v>-557.06931000362556</c:v>
                      </c:pt>
                      <c:pt idx="70">
                        <c:v>-577.34294892852779</c:v>
                      </c:pt>
                      <c:pt idx="71">
                        <c:v>-597.97334793473635</c:v>
                      </c:pt>
                      <c:pt idx="72">
                        <c:v>-618.96066461962164</c:v>
                      </c:pt>
                      <c:pt idx="73">
                        <c:v>-640.30504909154877</c:v>
                      </c:pt>
                      <c:pt idx="74">
                        <c:v>-662.00664439290358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7E4-4421-9955-CF678120661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309.45945945945948</c:v>
                      </c:pt>
                      <c:pt idx="2">
                        <c:v>318.91891891891896</c:v>
                      </c:pt>
                      <c:pt idx="3">
                        <c:v>328.37837837837844</c:v>
                      </c:pt>
                      <c:pt idx="4">
                        <c:v>337.83783783783792</c:v>
                      </c:pt>
                      <c:pt idx="5">
                        <c:v>347.2972972972974</c:v>
                      </c:pt>
                      <c:pt idx="6">
                        <c:v>356.75675675675689</c:v>
                      </c:pt>
                      <c:pt idx="7">
                        <c:v>366.21621621621637</c:v>
                      </c:pt>
                      <c:pt idx="8">
                        <c:v>375.67567567567585</c:v>
                      </c:pt>
                      <c:pt idx="9">
                        <c:v>385.13513513513533</c:v>
                      </c:pt>
                      <c:pt idx="10">
                        <c:v>394.59459459459481</c:v>
                      </c:pt>
                      <c:pt idx="11">
                        <c:v>404.05405405405429</c:v>
                      </c:pt>
                      <c:pt idx="12">
                        <c:v>413.51351351351377</c:v>
                      </c:pt>
                      <c:pt idx="13">
                        <c:v>422.97297297297325</c:v>
                      </c:pt>
                      <c:pt idx="14">
                        <c:v>432.43243243243273</c:v>
                      </c:pt>
                      <c:pt idx="15">
                        <c:v>441.89189189189221</c:v>
                      </c:pt>
                      <c:pt idx="16">
                        <c:v>451.3513513513517</c:v>
                      </c:pt>
                      <c:pt idx="17">
                        <c:v>460.81081081081118</c:v>
                      </c:pt>
                      <c:pt idx="18">
                        <c:v>470.27027027027066</c:v>
                      </c:pt>
                      <c:pt idx="19">
                        <c:v>479.72972972973014</c:v>
                      </c:pt>
                      <c:pt idx="20">
                        <c:v>489.18918918918962</c:v>
                      </c:pt>
                      <c:pt idx="21">
                        <c:v>498.6486486486491</c:v>
                      </c:pt>
                      <c:pt idx="22">
                        <c:v>508.10810810810858</c:v>
                      </c:pt>
                      <c:pt idx="23">
                        <c:v>517.56756756756806</c:v>
                      </c:pt>
                      <c:pt idx="24">
                        <c:v>527.02702702702754</c:v>
                      </c:pt>
                      <c:pt idx="25">
                        <c:v>536.48648648648702</c:v>
                      </c:pt>
                      <c:pt idx="26">
                        <c:v>545.94594594594651</c:v>
                      </c:pt>
                      <c:pt idx="27">
                        <c:v>555.40540540540599</c:v>
                      </c:pt>
                      <c:pt idx="28">
                        <c:v>564.86486486486547</c:v>
                      </c:pt>
                      <c:pt idx="29">
                        <c:v>574.32432432432495</c:v>
                      </c:pt>
                      <c:pt idx="30">
                        <c:v>583.78378378378443</c:v>
                      </c:pt>
                      <c:pt idx="31">
                        <c:v>593.24324324324391</c:v>
                      </c:pt>
                      <c:pt idx="32">
                        <c:v>602.70270270270339</c:v>
                      </c:pt>
                      <c:pt idx="33">
                        <c:v>612.16216216216287</c:v>
                      </c:pt>
                      <c:pt idx="34">
                        <c:v>621.62162162162235</c:v>
                      </c:pt>
                      <c:pt idx="35">
                        <c:v>631.08108108108183</c:v>
                      </c:pt>
                      <c:pt idx="36">
                        <c:v>640.54054054054131</c:v>
                      </c:pt>
                      <c:pt idx="37">
                        <c:v>650.0000000000008</c:v>
                      </c:pt>
                      <c:pt idx="38">
                        <c:v>659.45945945946028</c:v>
                      </c:pt>
                      <c:pt idx="39">
                        <c:v>668.91891891891976</c:v>
                      </c:pt>
                      <c:pt idx="40">
                        <c:v>678.37837837837924</c:v>
                      </c:pt>
                      <c:pt idx="41">
                        <c:v>687.83783783783872</c:v>
                      </c:pt>
                      <c:pt idx="42">
                        <c:v>697.2972972972982</c:v>
                      </c:pt>
                      <c:pt idx="43">
                        <c:v>706.75675675675768</c:v>
                      </c:pt>
                      <c:pt idx="44">
                        <c:v>716.21621621621716</c:v>
                      </c:pt>
                      <c:pt idx="45">
                        <c:v>725.67567567567664</c:v>
                      </c:pt>
                      <c:pt idx="46">
                        <c:v>735.13513513513612</c:v>
                      </c:pt>
                      <c:pt idx="47">
                        <c:v>744.59459459459561</c:v>
                      </c:pt>
                      <c:pt idx="48">
                        <c:v>754.05405405405509</c:v>
                      </c:pt>
                      <c:pt idx="49">
                        <c:v>763.51351351351457</c:v>
                      </c:pt>
                      <c:pt idx="50">
                        <c:v>772.97297297297405</c:v>
                      </c:pt>
                      <c:pt idx="51">
                        <c:v>782.43243243243353</c:v>
                      </c:pt>
                      <c:pt idx="52">
                        <c:v>791.89189189189301</c:v>
                      </c:pt>
                      <c:pt idx="53">
                        <c:v>801.35135135135249</c:v>
                      </c:pt>
                      <c:pt idx="54">
                        <c:v>810.81081081081197</c:v>
                      </c:pt>
                      <c:pt idx="55">
                        <c:v>820.27027027027145</c:v>
                      </c:pt>
                      <c:pt idx="56">
                        <c:v>829.72972972973093</c:v>
                      </c:pt>
                      <c:pt idx="57">
                        <c:v>839.18918918919042</c:v>
                      </c:pt>
                      <c:pt idx="58">
                        <c:v>848.6486486486499</c:v>
                      </c:pt>
                      <c:pt idx="59">
                        <c:v>858.10810810810938</c:v>
                      </c:pt>
                      <c:pt idx="60">
                        <c:v>867.56756756756886</c:v>
                      </c:pt>
                      <c:pt idx="61">
                        <c:v>877.02702702702834</c:v>
                      </c:pt>
                      <c:pt idx="62">
                        <c:v>886.48648648648782</c:v>
                      </c:pt>
                      <c:pt idx="63">
                        <c:v>895.9459459459473</c:v>
                      </c:pt>
                      <c:pt idx="64">
                        <c:v>905.40540540540678</c:v>
                      </c:pt>
                      <c:pt idx="65">
                        <c:v>914.86486486486626</c:v>
                      </c:pt>
                      <c:pt idx="66">
                        <c:v>924.32432432432574</c:v>
                      </c:pt>
                      <c:pt idx="67">
                        <c:v>933.78378378378522</c:v>
                      </c:pt>
                      <c:pt idx="68">
                        <c:v>943.24324324324471</c:v>
                      </c:pt>
                      <c:pt idx="69">
                        <c:v>952.70270270270419</c:v>
                      </c:pt>
                      <c:pt idx="70">
                        <c:v>962.16216216216367</c:v>
                      </c:pt>
                      <c:pt idx="71">
                        <c:v>971.62162162162315</c:v>
                      </c:pt>
                      <c:pt idx="72">
                        <c:v>981.08108108108263</c:v>
                      </c:pt>
                      <c:pt idx="73">
                        <c:v>990.54054054054211</c:v>
                      </c:pt>
                      <c:pt idx="74">
                        <c:v>1000.0000000000016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26.2</c:v>
                      </c:pt>
                      <c:pt idx="1">
                        <c:v>26.2</c:v>
                      </c:pt>
                      <c:pt idx="2">
                        <c:v>26.2</c:v>
                      </c:pt>
                      <c:pt idx="3">
                        <c:v>26.2</c:v>
                      </c:pt>
                      <c:pt idx="4">
                        <c:v>26.2</c:v>
                      </c:pt>
                      <c:pt idx="5">
                        <c:v>26.2</c:v>
                      </c:pt>
                      <c:pt idx="6">
                        <c:v>26.2</c:v>
                      </c:pt>
                      <c:pt idx="7">
                        <c:v>26.2</c:v>
                      </c:pt>
                      <c:pt idx="8">
                        <c:v>26.2</c:v>
                      </c:pt>
                      <c:pt idx="9">
                        <c:v>26.2</c:v>
                      </c:pt>
                      <c:pt idx="10">
                        <c:v>26.2</c:v>
                      </c:pt>
                      <c:pt idx="11">
                        <c:v>26.2</c:v>
                      </c:pt>
                      <c:pt idx="12">
                        <c:v>26.2</c:v>
                      </c:pt>
                      <c:pt idx="13">
                        <c:v>26.2</c:v>
                      </c:pt>
                      <c:pt idx="14">
                        <c:v>26.2</c:v>
                      </c:pt>
                      <c:pt idx="15">
                        <c:v>26.2</c:v>
                      </c:pt>
                      <c:pt idx="16">
                        <c:v>26.2</c:v>
                      </c:pt>
                      <c:pt idx="17">
                        <c:v>26.2</c:v>
                      </c:pt>
                      <c:pt idx="18">
                        <c:v>26.2</c:v>
                      </c:pt>
                      <c:pt idx="19">
                        <c:v>26.2</c:v>
                      </c:pt>
                      <c:pt idx="20">
                        <c:v>26.2</c:v>
                      </c:pt>
                      <c:pt idx="21">
                        <c:v>26.2</c:v>
                      </c:pt>
                      <c:pt idx="22">
                        <c:v>26.2</c:v>
                      </c:pt>
                      <c:pt idx="23">
                        <c:v>26.2</c:v>
                      </c:pt>
                      <c:pt idx="24">
                        <c:v>26.2</c:v>
                      </c:pt>
                      <c:pt idx="25">
                        <c:v>26.2</c:v>
                      </c:pt>
                      <c:pt idx="26">
                        <c:v>26.2</c:v>
                      </c:pt>
                      <c:pt idx="27">
                        <c:v>26.2</c:v>
                      </c:pt>
                      <c:pt idx="28">
                        <c:v>26.2</c:v>
                      </c:pt>
                      <c:pt idx="29">
                        <c:v>26.2</c:v>
                      </c:pt>
                      <c:pt idx="30">
                        <c:v>26.2</c:v>
                      </c:pt>
                      <c:pt idx="31">
                        <c:v>26.2</c:v>
                      </c:pt>
                      <c:pt idx="32">
                        <c:v>26.2</c:v>
                      </c:pt>
                      <c:pt idx="33">
                        <c:v>26.2</c:v>
                      </c:pt>
                      <c:pt idx="34">
                        <c:v>26.2</c:v>
                      </c:pt>
                      <c:pt idx="35">
                        <c:v>26.2</c:v>
                      </c:pt>
                      <c:pt idx="36">
                        <c:v>26.2</c:v>
                      </c:pt>
                      <c:pt idx="37">
                        <c:v>26.2</c:v>
                      </c:pt>
                      <c:pt idx="38">
                        <c:v>26.2</c:v>
                      </c:pt>
                      <c:pt idx="39">
                        <c:v>26.2</c:v>
                      </c:pt>
                      <c:pt idx="40">
                        <c:v>26.2</c:v>
                      </c:pt>
                      <c:pt idx="41">
                        <c:v>26.2</c:v>
                      </c:pt>
                      <c:pt idx="42">
                        <c:v>26.2</c:v>
                      </c:pt>
                      <c:pt idx="43">
                        <c:v>26.2</c:v>
                      </c:pt>
                      <c:pt idx="44">
                        <c:v>26.2</c:v>
                      </c:pt>
                      <c:pt idx="45">
                        <c:v>26.2</c:v>
                      </c:pt>
                      <c:pt idx="46">
                        <c:v>26.2</c:v>
                      </c:pt>
                      <c:pt idx="47">
                        <c:v>26.2</c:v>
                      </c:pt>
                      <c:pt idx="48">
                        <c:v>26.2</c:v>
                      </c:pt>
                      <c:pt idx="49">
                        <c:v>26.2</c:v>
                      </c:pt>
                      <c:pt idx="50">
                        <c:v>26.2</c:v>
                      </c:pt>
                      <c:pt idx="51">
                        <c:v>26.2</c:v>
                      </c:pt>
                      <c:pt idx="52">
                        <c:v>26.2</c:v>
                      </c:pt>
                      <c:pt idx="53">
                        <c:v>26.2</c:v>
                      </c:pt>
                      <c:pt idx="54">
                        <c:v>26.2</c:v>
                      </c:pt>
                      <c:pt idx="55">
                        <c:v>26.2</c:v>
                      </c:pt>
                      <c:pt idx="56">
                        <c:v>26.2</c:v>
                      </c:pt>
                      <c:pt idx="57">
                        <c:v>26.2</c:v>
                      </c:pt>
                      <c:pt idx="58">
                        <c:v>26.2</c:v>
                      </c:pt>
                      <c:pt idx="59">
                        <c:v>26.2</c:v>
                      </c:pt>
                      <c:pt idx="60">
                        <c:v>26.2</c:v>
                      </c:pt>
                      <c:pt idx="61">
                        <c:v>26.2</c:v>
                      </c:pt>
                      <c:pt idx="62">
                        <c:v>26.2</c:v>
                      </c:pt>
                      <c:pt idx="63">
                        <c:v>26.2</c:v>
                      </c:pt>
                      <c:pt idx="64">
                        <c:v>26.2</c:v>
                      </c:pt>
                      <c:pt idx="65">
                        <c:v>26.2</c:v>
                      </c:pt>
                      <c:pt idx="66">
                        <c:v>26.2</c:v>
                      </c:pt>
                      <c:pt idx="67">
                        <c:v>26.2</c:v>
                      </c:pt>
                      <c:pt idx="68">
                        <c:v>26.2</c:v>
                      </c:pt>
                      <c:pt idx="69">
                        <c:v>26.2</c:v>
                      </c:pt>
                      <c:pt idx="70">
                        <c:v>26.2</c:v>
                      </c:pt>
                      <c:pt idx="71">
                        <c:v>26.2</c:v>
                      </c:pt>
                      <c:pt idx="72">
                        <c:v>26.2</c:v>
                      </c:pt>
                      <c:pt idx="73">
                        <c:v>26.2</c:v>
                      </c:pt>
                      <c:pt idx="74">
                        <c:v>26.2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7E4-4421-9955-CF678120661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2664059237119258E-2"/>
          <c:y val="5.2013317320415579E-2"/>
          <c:w val="9.6668166988241405E-2"/>
          <c:h val="0.18870851101057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158522</xdr:colOff>
      <xdr:row>15</xdr:row>
      <xdr:rowOff>9525</xdr:rowOff>
    </xdr:from>
    <xdr:to>
      <xdr:col>13</xdr:col>
      <xdr:colOff>564015</xdr:colOff>
      <xdr:row>33</xdr:row>
      <xdr:rowOff>85725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C1441-5DE8-4F0D-859B-264C8BE2A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95250</xdr:colOff>
      <xdr:row>12</xdr:row>
      <xdr:rowOff>55471</xdr:rowOff>
    </xdr:from>
    <xdr:ext cx="15689076" cy="780951"/>
    <xdr:pic>
      <xdr:nvPicPr>
        <xdr:cNvPr id="3" name="Рисунок 2">
          <a:extLst>
            <a:ext uri="{FF2B5EF4-FFF2-40B4-BE49-F238E27FC236}">
              <a16:creationId xmlns:a16="http://schemas.microsoft.com/office/drawing/2014/main" id="{50193F8D-2411-46F7-B0D8-AE9E378E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255871"/>
          <a:ext cx="15689076" cy="7809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5C16-04E6-471E-9508-62191A5951A3}">
  <sheetPr codeName="Лист10">
    <tabColor theme="1" tint="4.9989318521683403E-2"/>
  </sheetPr>
  <dimension ref="A1:BJ323"/>
  <sheetViews>
    <sheetView tabSelected="1" zoomScale="70" zoomScaleNormal="70" workbookViewId="0">
      <selection activeCell="M6" sqref="M6"/>
    </sheetView>
  </sheetViews>
  <sheetFormatPr defaultRowHeight="21" x14ac:dyDescent="0.35"/>
  <cols>
    <col min="1" max="1" width="1.6328125" style="1" customWidth="1"/>
    <col min="2" max="15" width="11.6328125" customWidth="1"/>
    <col min="16" max="16" width="2.7265625" customWidth="1"/>
    <col min="17" max="24" width="11.6328125" hidden="1" customWidth="1"/>
    <col min="25" max="25" width="2.54296875" hidden="1" customWidth="1"/>
    <col min="26" max="40" width="11.6328125" hidden="1" customWidth="1"/>
    <col min="41" max="41" width="2.54296875" customWidth="1"/>
    <col min="42" max="57" width="11.6328125" customWidth="1"/>
    <col min="61" max="61" width="8.6328125" customWidth="1"/>
    <col min="62" max="62" width="12.81640625" bestFit="1" customWidth="1"/>
    <col min="63" max="63" width="10.26953125" bestFit="1" customWidth="1"/>
    <col min="64" max="67" width="8.6328125" customWidth="1"/>
    <col min="68" max="68" width="10.7265625" bestFit="1" customWidth="1"/>
    <col min="69" max="70" width="8.6328125" customWidth="1"/>
  </cols>
  <sheetData>
    <row r="1" spans="2:62" ht="24.95" customHeight="1" thickBot="1" x14ac:dyDescent="0.4">
      <c r="B1" s="49" t="s">
        <v>41</v>
      </c>
      <c r="C1" s="48">
        <v>300</v>
      </c>
      <c r="D1" s="42" t="s">
        <v>42</v>
      </c>
      <c r="E1" s="47" t="s">
        <v>40</v>
      </c>
      <c r="F1" s="46"/>
      <c r="G1" s="46"/>
      <c r="H1" s="46"/>
      <c r="I1" s="46"/>
      <c r="J1" s="46"/>
      <c r="K1" s="46"/>
      <c r="L1" s="45"/>
    </row>
    <row r="2" spans="2:62" ht="24.95" customHeight="1" thickBot="1" x14ac:dyDescent="0.4">
      <c r="B2" s="44" t="s">
        <v>39</v>
      </c>
      <c r="C2" s="43">
        <v>1000</v>
      </c>
      <c r="D2" s="42"/>
      <c r="E2" s="33" t="s">
        <v>34</v>
      </c>
      <c r="F2" s="32" t="s">
        <v>33</v>
      </c>
      <c r="G2" s="32" t="s">
        <v>32</v>
      </c>
      <c r="H2" s="32" t="s">
        <v>31</v>
      </c>
      <c r="I2" s="32" t="s">
        <v>30</v>
      </c>
      <c r="J2" s="32" t="s">
        <v>29</v>
      </c>
      <c r="K2" s="32" t="s">
        <v>28</v>
      </c>
      <c r="L2" s="31" t="s">
        <v>27</v>
      </c>
      <c r="AZ2" s="39"/>
    </row>
    <row r="3" spans="2:62" ht="24.95" customHeight="1" x14ac:dyDescent="0.35">
      <c r="B3" s="41">
        <v>8.3145000000000007</v>
      </c>
      <c r="E3" s="52">
        <v>0</v>
      </c>
      <c r="F3" s="53">
        <v>-158.4</v>
      </c>
      <c r="G3" s="52">
        <v>-46.31</v>
      </c>
      <c r="H3" s="53">
        <v>3.9409989999999997E-3</v>
      </c>
      <c r="I3" s="52">
        <v>-0.93300000000000005</v>
      </c>
      <c r="J3" s="53">
        <v>1042.105</v>
      </c>
      <c r="K3" s="52">
        <v>-4041.9989999999998</v>
      </c>
      <c r="L3" s="53">
        <v>0</v>
      </c>
      <c r="AP3" s="40"/>
      <c r="AZ3" s="39"/>
    </row>
    <row r="4" spans="2:62" ht="24.95" customHeight="1" thickBot="1" x14ac:dyDescent="0.4">
      <c r="B4" s="27"/>
    </row>
    <row r="5" spans="2:62" ht="24.95" customHeight="1" thickBot="1" x14ac:dyDescent="0.45">
      <c r="B5" s="38" t="s">
        <v>38</v>
      </c>
      <c r="C5" s="38"/>
      <c r="D5" s="2"/>
      <c r="E5" s="37" t="s">
        <v>37</v>
      </c>
      <c r="F5" s="36"/>
      <c r="G5" s="36"/>
      <c r="H5" s="36"/>
      <c r="I5" s="36"/>
      <c r="J5" s="36"/>
      <c r="K5" s="36"/>
      <c r="L5" s="35"/>
    </row>
    <row r="6" spans="2:62" ht="24.95" customHeight="1" thickBot="1" x14ac:dyDescent="0.4">
      <c r="B6" s="34" t="s">
        <v>36</v>
      </c>
      <c r="C6" s="34" t="s">
        <v>35</v>
      </c>
      <c r="D6" s="2"/>
      <c r="E6" s="33" t="s">
        <v>34</v>
      </c>
      <c r="F6" s="32" t="s">
        <v>33</v>
      </c>
      <c r="G6" s="32" t="s">
        <v>32</v>
      </c>
      <c r="H6" s="32" t="s">
        <v>31</v>
      </c>
      <c r="I6" s="32" t="s">
        <v>30</v>
      </c>
      <c r="J6" s="32" t="s">
        <v>29</v>
      </c>
      <c r="K6" s="32" t="s">
        <v>28</v>
      </c>
      <c r="L6" s="31" t="s">
        <v>27</v>
      </c>
      <c r="N6" s="1"/>
      <c r="O6" s="1"/>
      <c r="P6" s="1"/>
      <c r="Q6" s="1"/>
      <c r="R6" s="1"/>
      <c r="S6" s="1"/>
      <c r="T6" s="1"/>
      <c r="BJ6" s="30"/>
    </row>
    <row r="7" spans="2:62" ht="24.95" customHeight="1" thickTop="1" x14ac:dyDescent="0.35">
      <c r="B7" s="29">
        <f>SUM(AP47:AS47)</f>
        <v>17621.457744299736</v>
      </c>
      <c r="C7" s="28">
        <f>SUM(AT47:AW47)</f>
        <v>15803.800240480372</v>
      </c>
      <c r="E7" s="50">
        <v>0</v>
      </c>
      <c r="F7" s="51">
        <v>12.825050670258605</v>
      </c>
      <c r="G7" s="50">
        <v>3.1511215346683503</v>
      </c>
      <c r="H7" s="51">
        <v>0</v>
      </c>
      <c r="I7" s="50">
        <v>9.3950688556136863E-2</v>
      </c>
      <c r="J7" s="51">
        <v>0</v>
      </c>
      <c r="K7" s="50">
        <v>0</v>
      </c>
      <c r="L7" s="51">
        <v>0</v>
      </c>
    </row>
    <row r="8" spans="2:62" ht="24.95" customHeight="1" thickBot="1" x14ac:dyDescent="0.4">
      <c r="B8" s="27"/>
    </row>
    <row r="9" spans="2:62" ht="24.95" customHeight="1" thickBot="1" x14ac:dyDescent="0.4">
      <c r="B9" s="21"/>
      <c r="E9" s="26">
        <v>2</v>
      </c>
      <c r="F9" s="25"/>
      <c r="G9" s="25"/>
      <c r="H9" s="25"/>
      <c r="I9" s="25"/>
      <c r="J9" s="25"/>
      <c r="K9" s="25"/>
      <c r="L9" s="24"/>
      <c r="U9" s="8"/>
      <c r="V9" s="8"/>
      <c r="W9" s="8"/>
      <c r="X9" s="8"/>
      <c r="Y9" s="8"/>
      <c r="Z9" s="8"/>
      <c r="AA9" s="8"/>
      <c r="AB9" s="8"/>
    </row>
    <row r="10" spans="2:62" ht="24.95" customHeight="1" thickBot="1" x14ac:dyDescent="0.4">
      <c r="B10" s="21"/>
      <c r="D10" t="s">
        <v>26</v>
      </c>
      <c r="E10" s="23">
        <v>0</v>
      </c>
      <c r="F10" s="23">
        <v>1</v>
      </c>
      <c r="G10" s="23" t="s">
        <v>25</v>
      </c>
      <c r="H10" s="23">
        <v>2</v>
      </c>
      <c r="I10" s="23">
        <v>3</v>
      </c>
      <c r="J10" s="23"/>
      <c r="K10" s="23"/>
      <c r="L10" s="23"/>
    </row>
    <row r="11" spans="2:62" ht="24.95" customHeight="1" thickTop="1" x14ac:dyDescent="0.35">
      <c r="B11" s="21"/>
      <c r="D11" t="s">
        <v>24</v>
      </c>
      <c r="E11" s="22">
        <v>-6657.6530000000002</v>
      </c>
      <c r="F11" s="8">
        <v>92.539694999999995</v>
      </c>
      <c r="G11" s="8">
        <v>-19.14</v>
      </c>
      <c r="H11" s="8">
        <v>-1.2295E-2</v>
      </c>
      <c r="I11" s="8">
        <v>2.6766599999999999E-6</v>
      </c>
      <c r="J11" s="8"/>
      <c r="K11" s="8"/>
      <c r="L11" s="8"/>
    </row>
    <row r="12" spans="2:62" ht="24.95" customHeight="1" x14ac:dyDescent="0.35">
      <c r="B12" s="21"/>
      <c r="E12">
        <v>-398698</v>
      </c>
      <c r="F12">
        <f>E12/8.3145/10000</f>
        <v>-4.7952131817908468</v>
      </c>
    </row>
    <row r="13" spans="2:62" ht="24.95" customHeight="1" x14ac:dyDescent="0.35">
      <c r="B13" s="21"/>
    </row>
    <row r="14" spans="2:62" ht="24.95" customHeight="1" x14ac:dyDescent="0.35">
      <c r="B14" s="21"/>
    </row>
    <row r="15" spans="2:62" ht="24.95" customHeight="1" x14ac:dyDescent="0.35">
      <c r="B15" s="21"/>
    </row>
    <row r="16" spans="2:62" ht="24.95" customHeight="1" x14ac:dyDescent="0.35">
      <c r="B16" s="21"/>
    </row>
    <row r="17" spans="2:2" ht="24.95" customHeight="1" x14ac:dyDescent="0.35">
      <c r="B17" s="21"/>
    </row>
    <row r="18" spans="2:2" ht="24.95" customHeight="1" x14ac:dyDescent="0.35">
      <c r="B18" s="21"/>
    </row>
    <row r="19" spans="2:2" ht="24.95" customHeight="1" x14ac:dyDescent="0.35">
      <c r="B19" s="21"/>
    </row>
    <row r="20" spans="2:2" ht="24.95" customHeight="1" x14ac:dyDescent="0.35">
      <c r="B20" s="21"/>
    </row>
    <row r="21" spans="2:2" ht="24.95" customHeight="1" x14ac:dyDescent="0.35">
      <c r="B21" s="21"/>
    </row>
    <row r="22" spans="2:2" ht="24.95" customHeight="1" x14ac:dyDescent="0.35">
      <c r="B22" s="21"/>
    </row>
    <row r="23" spans="2:2" ht="24.95" customHeight="1" x14ac:dyDescent="0.35">
      <c r="B23" s="21"/>
    </row>
    <row r="24" spans="2:2" ht="24.95" customHeight="1" x14ac:dyDescent="0.35">
      <c r="B24" s="21"/>
    </row>
    <row r="25" spans="2:2" ht="24.95" customHeight="1" x14ac:dyDescent="0.35">
      <c r="B25" s="21"/>
    </row>
    <row r="26" spans="2:2" ht="24.95" customHeight="1" x14ac:dyDescent="0.35">
      <c r="B26" s="21"/>
    </row>
    <row r="27" spans="2:2" ht="24.95" customHeight="1" x14ac:dyDescent="0.35">
      <c r="B27" s="21"/>
    </row>
    <row r="28" spans="2:2" ht="24.95" customHeight="1" x14ac:dyDescent="0.35">
      <c r="B28" s="21"/>
    </row>
    <row r="29" spans="2:2" ht="24.95" customHeight="1" x14ac:dyDescent="0.35">
      <c r="B29" s="21"/>
    </row>
    <row r="30" spans="2:2" ht="24.95" customHeight="1" x14ac:dyDescent="0.35">
      <c r="B30" s="21"/>
    </row>
    <row r="31" spans="2:2" ht="24.95" customHeight="1" x14ac:dyDescent="0.35">
      <c r="B31" s="21"/>
    </row>
    <row r="32" spans="2:2" ht="24.95" customHeight="1" x14ac:dyDescent="0.35">
      <c r="B32" s="21"/>
    </row>
    <row r="33" spans="1:49" ht="24.95" customHeight="1" x14ac:dyDescent="0.35">
      <c r="B33" s="21"/>
    </row>
    <row r="34" spans="1:49" ht="24.95" customHeight="1" x14ac:dyDescent="0.35">
      <c r="B34" s="21"/>
    </row>
    <row r="35" spans="1:49" ht="24.95" customHeight="1" x14ac:dyDescent="0.35">
      <c r="B35" s="21"/>
    </row>
    <row r="36" spans="1:49" ht="24.95" customHeight="1" x14ac:dyDescent="0.35">
      <c r="B36" s="21"/>
    </row>
    <row r="37" spans="1:49" ht="24.95" customHeight="1" x14ac:dyDescent="0.35">
      <c r="B37" s="21"/>
    </row>
    <row r="38" spans="1:49" ht="24.95" customHeight="1" x14ac:dyDescent="0.35">
      <c r="B38" s="21"/>
    </row>
    <row r="39" spans="1:49" ht="24.95" customHeight="1" x14ac:dyDescent="0.35">
      <c r="B39" s="21"/>
    </row>
    <row r="40" spans="1:49" ht="24.95" customHeight="1" x14ac:dyDescent="0.35">
      <c r="B40" s="21"/>
    </row>
    <row r="41" spans="1:49" ht="24.95" customHeight="1" x14ac:dyDescent="0.35">
      <c r="B41" s="21"/>
      <c r="F41" s="20"/>
    </row>
    <row r="43" spans="1:49" x14ac:dyDescent="0.35">
      <c r="C43" s="19"/>
    </row>
    <row r="47" spans="1:49" ht="21.75" thickBot="1" x14ac:dyDescent="0.4">
      <c r="D47" s="18"/>
      <c r="Q47" s="17" t="s">
        <v>23</v>
      </c>
      <c r="R47" s="17"/>
      <c r="S47" s="17"/>
      <c r="T47" s="17"/>
      <c r="U47" s="17"/>
      <c r="V47" s="17"/>
      <c r="W47" s="17"/>
      <c r="X47" s="17"/>
      <c r="Z47" s="16" t="s">
        <v>22</v>
      </c>
      <c r="AA47" s="16"/>
      <c r="AB47" s="16"/>
      <c r="AC47" s="16"/>
      <c r="AD47" s="16"/>
      <c r="AE47" s="16"/>
      <c r="AF47" s="16"/>
      <c r="AG47" s="16"/>
      <c r="AP47" s="2">
        <f>SUM(AP49:AP327)/1000</f>
        <v>2.2779656345249832</v>
      </c>
      <c r="AQ47" s="2">
        <f>SUM(AQ49:AQ327)</f>
        <v>3087.4969900296692</v>
      </c>
      <c r="AR47" s="2">
        <f>SUM(AR49:AR327)</f>
        <v>-413.30955192166567</v>
      </c>
      <c r="AS47" s="2">
        <f>SUM(AS49:AS327)</f>
        <v>14944.992340557208</v>
      </c>
      <c r="AT47" s="2">
        <f>SUM(AT49:AT327)/AT49</f>
        <v>15509.624453826595</v>
      </c>
      <c r="AU47" s="2">
        <f>SUM(AU49:AU327)/AU49</f>
        <v>102.07559449625828</v>
      </c>
      <c r="AV47" s="2">
        <f>SUM(AV49:AV327)/AV49</f>
        <v>192.10019215751944</v>
      </c>
      <c r="AW47" s="2">
        <f>SUM(AW49:AW327)</f>
        <v>0</v>
      </c>
    </row>
    <row r="48" spans="1:49" ht="24.75" thickTop="1" thickBot="1" x14ac:dyDescent="0.4">
      <c r="A48" s="15"/>
      <c r="B48" s="11" t="s">
        <v>21</v>
      </c>
      <c r="C48" s="11">
        <f>COUNTA(A50:A321)</f>
        <v>74</v>
      </c>
      <c r="D48" s="14" t="s">
        <v>20</v>
      </c>
      <c r="E48" s="14" t="s">
        <v>19</v>
      </c>
      <c r="F48" s="14" t="s">
        <v>18</v>
      </c>
      <c r="G48" s="14" t="s">
        <v>17</v>
      </c>
      <c r="H48" s="11" t="s">
        <v>16</v>
      </c>
      <c r="I48" s="11" t="s">
        <v>15</v>
      </c>
      <c r="J48" s="11" t="s">
        <v>14</v>
      </c>
      <c r="K48" s="11" t="s">
        <v>13</v>
      </c>
      <c r="L48" s="13" t="s">
        <v>12</v>
      </c>
      <c r="M48" s="13" t="s">
        <v>11</v>
      </c>
      <c r="N48" s="13" t="s">
        <v>10</v>
      </c>
      <c r="O48" s="13" t="s">
        <v>9</v>
      </c>
      <c r="Q48" s="12">
        <f>E10</f>
        <v>0</v>
      </c>
      <c r="R48" s="12">
        <f>F10</f>
        <v>1</v>
      </c>
      <c r="S48" s="12" t="str">
        <f>G10</f>
        <v>п</v>
      </c>
      <c r="T48" s="12">
        <f>H10</f>
        <v>2</v>
      </c>
      <c r="U48" s="12">
        <f>I10</f>
        <v>3</v>
      </c>
      <c r="V48" s="12">
        <f>J10</f>
        <v>0</v>
      </c>
      <c r="W48" s="12">
        <f>K10</f>
        <v>0</v>
      </c>
      <c r="X48" s="12">
        <f>L10</f>
        <v>0</v>
      </c>
      <c r="Z48" s="11">
        <f>E10</f>
        <v>0</v>
      </c>
      <c r="AA48" s="11">
        <f>F10</f>
        <v>1</v>
      </c>
      <c r="AB48" s="11" t="str">
        <f>G10</f>
        <v>п</v>
      </c>
      <c r="AC48" s="11">
        <f>H10</f>
        <v>2</v>
      </c>
      <c r="AD48" s="11">
        <f>I10</f>
        <v>3</v>
      </c>
      <c r="AE48" s="11">
        <f>J10</f>
        <v>0</v>
      </c>
      <c r="AF48" s="11">
        <f>K10</f>
        <v>0</v>
      </c>
      <c r="AG48" s="11">
        <f>L10</f>
        <v>0</v>
      </c>
      <c r="AP48" s="11" t="s">
        <v>8</v>
      </c>
      <c r="AQ48" s="11" t="s">
        <v>7</v>
      </c>
      <c r="AR48" s="11" t="s">
        <v>6</v>
      </c>
      <c r="AS48" s="11" t="s">
        <v>5</v>
      </c>
      <c r="AT48" s="10" t="s">
        <v>4</v>
      </c>
      <c r="AU48" s="10" t="s">
        <v>3</v>
      </c>
      <c r="AV48" s="10" t="s">
        <v>2</v>
      </c>
      <c r="AW48" s="10" t="s">
        <v>1</v>
      </c>
    </row>
    <row r="49" spans="1:50" x14ac:dyDescent="0.35">
      <c r="B49" s="4">
        <f>$C$1</f>
        <v>300</v>
      </c>
      <c r="C49" s="7">
        <f>B49/10000</f>
        <v>0.03</v>
      </c>
      <c r="D49" s="9">
        <f>10*$B$3*(C49*$G$3-$H$3*2/C49+$J$3*C49^2+$K$3*2*C49^3+$L$3*3*C49^4-$I$3+$E$3)</f>
        <v>4.9328875330006738E-2</v>
      </c>
      <c r="E49" s="6">
        <f>$B$3*($F$3+$G$3+$G$3*LN(C49)-$H$3/C49^2+$J$3*2*C49+$K$3*3*C49^2+$L$3*4*C49^3)</f>
        <v>40.846736832651018</v>
      </c>
      <c r="F49" s="3">
        <f>($E$3-C49*($F$3+$G$3*LN(C49)+$H$3*C49^(-2)+$I$3*C49^(-1)+$J$3*C49+$K$3*C49^2+$L$3*C49^3))*$B$3*10</f>
        <v>-12.204692174465295</v>
      </c>
      <c r="G49" s="6">
        <f>$B$3*($G$3+2*$H$3*C49^(-2)+2*$J$3*C49+ 6*$K$3*C49^2+ 12*$L$3*C49^3)</f>
        <v>26.168067504966633</v>
      </c>
      <c r="H49" s="9">
        <f>10*$B$3*(C49*$G$7-$H$7*2/C49+$J$7*C49^2+$K$7*2*C49^3+$L$7*3*C49^4-$I$7+$E$7)</f>
        <v>4.8469999999999631E-2</v>
      </c>
      <c r="I49" s="6">
        <f>$B$3*($F$7+$G$7+$G$7*LN(C49)-$H$7/C49^2+$J$7*2*C49+$K$7*3*C49^2+$L$7*4*C49^3)</f>
        <v>40.962066888081658</v>
      </c>
      <c r="J49" s="3">
        <f>($E$7-C49*($F$7+$G$7*LN(C49)+$H$7*C49^(-2)+$I$7*C49^(-1)+$J$7*C49+$K$7*C49^2+$L$7*C49^3))*$B$3*10</f>
        <v>-12.240150066424498</v>
      </c>
      <c r="K49" s="6">
        <f>$B$3*($G$7+2*$H$7*C49^(-2)+2*$J$7*C49+ 6*$K$7*C49^2+ 12*$L$7*C49^3)</f>
        <v>26.2</v>
      </c>
      <c r="L49" s="6">
        <f>N49+M49*B49</f>
        <v>46.357360000005428</v>
      </c>
      <c r="M49" s="6">
        <f>-SUM(Q49:X49)</f>
        <v>42.425003364919704</v>
      </c>
      <c r="N49" s="8">
        <f>SUM(Z49:AG49)</f>
        <v>-12681.143649475905</v>
      </c>
      <c r="O49" s="8"/>
      <c r="Q49">
        <f>IF( OR( E$10="д",E$10="l"),E$11/$B49,  IF( OR( E$10="g",E$10="п"),E$11*(LN($B49)+1),  $B49^(E$10-1)*E$10*E$11))</f>
        <v>0</v>
      </c>
      <c r="R49">
        <f>IF( OR( F$10="д",F$10="l"),F$11/$B49,  IF( OR( F$10="g",F$10="п"),F$11*(LN($B49)+1),  $B49^(F$10-1)*F$10*F$11))</f>
        <v>92.539694999999995</v>
      </c>
      <c r="S49">
        <f>IF( OR( G$10="д",G$10="l"),G$11/$B49,  IF( OR( G$10="g",G$10="п"),G$11*(LN($B49)+1),  $B49^(G$10-1)*G$10*G$11))</f>
        <v>-128.3103965649197</v>
      </c>
      <c r="T49">
        <f>IF( OR( H$10="д",H$10="l"),H$11/$B49,  IF( OR( H$10="g",H$10="п"),H$11*(LN($B49)+1),  $B49^(H$10-1)*H$10*H$11))</f>
        <v>-7.3770000000000007</v>
      </c>
      <c r="U49">
        <f>IF( OR( I$10="д",I$10="l"),I$11/$B49,  IF( OR( I$10="g",I$10="п"),I$11*(LN($B49)+1),  $B49^(I$10-1)*I$10*I$11))</f>
        <v>0.72269819999999996</v>
      </c>
      <c r="V49">
        <f>IF( OR( J$10="д",J$10="l"),J$11/$B49,  IF( OR( J$10="g",J$10="п"),J$11*(LN($B49)+1),  $B49^(J$10-1)*J$10*J$11))</f>
        <v>0</v>
      </c>
      <c r="W49">
        <f>IF( OR( K$10="д",K$10="l"),K$11/$B49,  IF( OR( K$10="g",K$10="п"),K$11*(LN($B49)+1),  $B49^(K$10-1)*K$10*K$11))</f>
        <v>0</v>
      </c>
      <c r="X49">
        <f>IF( OR( L$10="д",L$10="l"),L$11/$B49,  IF( OR( L$10="g",L$10="п"),L$11*(LN($B49)+1),  $B49^(L$10-1)*L$10*L$11))</f>
        <v>0</v>
      </c>
      <c r="Z49">
        <f>IF( OR( E$10="д",E$10="l"),E$11*LN($B49),  IF( OR( E$10="g",E$10="п"),E$11*$B49*LN($B49),  ($B49^E$10)*E$11))</f>
        <v>-6657.6530000000002</v>
      </c>
      <c r="AA49">
        <f>IF( OR( F$10="д",F$10="l"),F$11*LN($B49),  IF( OR( F$10="g",F$10="п"),F$11*$B49*LN($B49),  ($B49^F$10)*F$11))</f>
        <v>27761.908499999998</v>
      </c>
      <c r="AB49">
        <f>IF( OR( G$10="д",G$10="l"),G$11*LN($B49),  IF( OR( G$10="g",G$10="п"),G$11*$B49*LN($B49),  ($B49^G$10)*G$11))</f>
        <v>-32751.118969475905</v>
      </c>
      <c r="AC49">
        <f>IF( OR( H$10="д",H$10="l"),H$11*LN($B49),  IF( OR( H$10="g",H$10="п"),H$11*$B49*LN($B49),  ($B49^H$10)*H$11))</f>
        <v>-1106.55</v>
      </c>
      <c r="AD49">
        <f>IF( OR( I$10="д",I$10="l"),I$11*LN($B49),  IF( OR( I$10="g",I$10="п"),I$11*$B49*LN($B49),  ($B49^I$10)*I$11))</f>
        <v>72.269819999999996</v>
      </c>
      <c r="AE49">
        <f>IF( OR( J$10="д",J$10="l"),J$11*LN($B49),  IF( OR( J$10="g",J$10="п"),J$11*$B49*LN($B49),  ($B49^J$10)*J$11))</f>
        <v>0</v>
      </c>
      <c r="AF49">
        <f>IF( OR( K$10="д",K$10="l"),K$11*LN($B49),  IF( OR( K$10="g",K$10="п"),K$11*$B49*LN($B49),  ($B49^K$10)*K$11))</f>
        <v>0</v>
      </c>
      <c r="AG49">
        <f>IF( OR( L$10="д",L$10="l"),L$11*LN($B49),  IF( OR( L$10="g",L$10="п"),L$11*$B49*LN($B49),  ($B49^L$10)*L$11))</f>
        <v>0</v>
      </c>
      <c r="AP49" s="8">
        <f>(H49-D49)</f>
        <v>-8.5887533000710697E-4</v>
      </c>
      <c r="AQ49" s="8">
        <f>(I49-E49)</f>
        <v>0.11533005543063979</v>
      </c>
      <c r="AR49" s="8">
        <f>(J49-F49)</f>
        <v>-3.545789195920257E-2</v>
      </c>
      <c r="AS49" s="8">
        <f>K49-G49</f>
        <v>3.1932495033366592E-2</v>
      </c>
      <c r="AT49" s="8">
        <f>H49-L49</f>
        <v>-46.308890000005427</v>
      </c>
      <c r="AU49" s="3">
        <f>I49-M49</f>
        <v>-1.4629364768380455</v>
      </c>
      <c r="AV49" s="8">
        <f>J49-N49</f>
        <v>12668.903499409482</v>
      </c>
      <c r="AX49" s="5"/>
    </row>
    <row r="50" spans="1:50" hidden="1" x14ac:dyDescent="0.35">
      <c r="A50" s="1" t="s">
        <v>0</v>
      </c>
      <c r="B50" s="4">
        <f>B49+($C$2-$C$1)/$C$48</f>
        <v>309.45945945945948</v>
      </c>
      <c r="C50" s="7">
        <f>B50/10000</f>
        <v>3.0945945945945949E-2</v>
      </c>
      <c r="D50" s="9">
        <f>10*$B$3*(C50*$G$3-$H$3*2/C50+$J$3*C50^2+$K$3*2*C50^3+$L$3*3*C50^4-$I$3+$E$3)</f>
        <v>0.29864247957675183</v>
      </c>
      <c r="E50" s="6">
        <f>$B$3*($F$3+$G$3+$G$3*LN(C50)-$H$3/C50^2+$J$3*2*C50+$K$3*3*C50^2+$L$3*4*C50^3)</f>
        <v>41.66491829325966</v>
      </c>
      <c r="F50" s="3">
        <f>($E$3-C50*($F$3+$G$3*LN(C50)+$H$3*C50^(-2)+$I$3*C50^(-1)+$J$3*C50+$K$3*C50^2+$L$3*C50^3))*$B$3*10</f>
        <v>-12.594960613877905</v>
      </c>
      <c r="G50" s="6">
        <f>$B$3*($G$3+2*$H$3*C50^(-2)+2*$J$3*C50+ 6*$K$3*C50^2+ 12*$L$3*C50^3)</f>
        <v>26.551845861495067</v>
      </c>
      <c r="H50" s="9">
        <f>10*$B$3*(C50*$G$7-$H$7*2/C50+$J$7*C50^2+$K$7*2*C50^3+$L$7*3*C50^4-$I$7+$E$7)</f>
        <v>0.29630783783783876</v>
      </c>
      <c r="I50" s="6">
        <f>$B$3*($F$7+$G$7+$G$7*LN(C50)-$H$7/C50^2+$J$7*2*C50+$K$7*3*C50^2+$L$7*4*C50^3)</f>
        <v>41.775435976149012</v>
      </c>
      <c r="J50" s="3">
        <f>($E$7-C50*($F$7+$G$7*LN(C50)+$H$7*C50^(-2)+$I$7*C50^(-1)+$J$7*C50+$K$7*C50^2+$L$7*C50^3))*$B$3*10</f>
        <v>-12.631495998024491</v>
      </c>
      <c r="K50" s="6">
        <f>$B$3*($G$7+2*$H$7*C50^(-2)+2*$J$7*C50+ 6*$K$7*C50^2+ 12*$L$7*C50^3)</f>
        <v>26.2</v>
      </c>
      <c r="L50" s="6">
        <f>N50+M50*B50</f>
        <v>284.18569984629903</v>
      </c>
      <c r="M50" s="6">
        <f>-SUM(Q50:X50)</f>
        <v>43.205511436220668</v>
      </c>
      <c r="N50" s="8">
        <f>SUM(Z50:AG50)</f>
        <v>-13086.168514876044</v>
      </c>
      <c r="O50" s="8"/>
      <c r="Q50">
        <f>IF( OR( E$10="д",E$10="l"),E$11/$B50,  IF( OR( E$10="g",E$10="п"),E$11*(LN($B50)+1),  $B50^(E$10-1)*E$10*E$11))</f>
        <v>0</v>
      </c>
      <c r="R50">
        <f>IF( OR( F$10="д",F$10="l"),F$11/$B50,  IF( OR( F$10="g",F$10="п"),F$11*(LN($B50)+1),  $B50^(F$10-1)*F$10*F$11))</f>
        <v>92.539694999999995</v>
      </c>
      <c r="S50">
        <f>IF( OR( G$10="д",G$10="l"),G$11/$B50,  IF( OR( G$10="g",G$10="п"),G$11*(LN($B50)+1),  $B50^(G$10-1)*G$10*G$11))</f>
        <v>-128.90459062391241</v>
      </c>
      <c r="T50">
        <f>IF( OR( H$10="д",H$10="l"),H$11/$B50,  IF( OR( H$10="g",H$10="п"),H$11*(LN($B50)+1),  $B50^(H$10-1)*H$10*H$11))</f>
        <v>-7.6096081081081088</v>
      </c>
      <c r="U50">
        <f>IF( OR( I$10="д",I$10="l"),I$11/$B50,  IF( OR( I$10="g",I$10="п"),I$11*(LN($B50)+1),  $B50^(I$10-1)*I$10*I$11))</f>
        <v>0.76899229579985406</v>
      </c>
      <c r="V50">
        <f>IF( OR( J$10="д",J$10="l"),J$11/$B50,  IF( OR( J$10="g",J$10="п"),J$11*(LN($B50)+1),  $B50^(J$10-1)*J$10*J$11))</f>
        <v>0</v>
      </c>
      <c r="W50">
        <f>IF( OR( K$10="д",K$10="l"),K$11/$B50,  IF( OR( K$10="g",K$10="п"),K$11*(LN($B50)+1),  $B50^(K$10-1)*K$10*K$11))</f>
        <v>0</v>
      </c>
      <c r="X50">
        <f>IF( OR( L$10="д",L$10="l"),L$11/$B50,  IF( OR( L$10="g",L$10="п"),L$11*(LN($B50)+1),  $B50^(L$10-1)*L$10*L$11))</f>
        <v>0</v>
      </c>
      <c r="Z50">
        <f>IF( OR( E$10="д",E$10="l"),E$11*LN($B50),  IF( OR( E$10="g",E$10="п"),E$11*$B50*LN($B50),  ($B50^E$10)*E$11))</f>
        <v>-6657.6530000000002</v>
      </c>
      <c r="AA50">
        <f>IF( OR( F$10="д",F$10="l"),F$11*LN($B50),  IF( OR( F$10="g",F$10="п"),F$11*$B50*LN($B50),  ($B50^F$10)*F$11))</f>
        <v>28637.283993243243</v>
      </c>
      <c r="AB50">
        <f>IF( OR( G$10="д",G$10="l"),G$11*LN($B50),  IF( OR( G$10="g",G$10="п"),G$11*$B50*LN($B50),  ($B50^G$10)*G$11))</f>
        <v>-33967.690882264797</v>
      </c>
      <c r="AC50">
        <f>IF( OR( H$10="д",H$10="l"),H$11*LN($B50),  IF( OR( H$10="g",H$10="п"),H$11*$B50*LN($B50),  ($B50^H$10)*H$11))</f>
        <v>-1177.4326059167277</v>
      </c>
      <c r="AD50">
        <f>IF( OR( I$10="д",I$10="l"),I$11*LN($B50),  IF( OR( I$10="g",I$10="п"),I$11*$B50*LN($B50),  ($B50^I$10)*I$11))</f>
        <v>79.323980062237197</v>
      </c>
      <c r="AE50">
        <f>IF( OR( J$10="д",J$10="l"),J$11*LN($B50),  IF( OR( J$10="g",J$10="п"),J$11*$B50*LN($B50),  ($B50^J$10)*J$11))</f>
        <v>0</v>
      </c>
      <c r="AF50">
        <f>IF( OR( K$10="д",K$10="l"),K$11*LN($B50),  IF( OR( K$10="g",K$10="п"),K$11*$B50*LN($B50),  ($B50^K$10)*K$11))</f>
        <v>0</v>
      </c>
      <c r="AG50">
        <f>IF( OR( L$10="д",L$10="l"),L$11*LN($B50),  IF( OR( L$10="g",L$10="п"),L$11*$B50*LN($B50),  ($B50^L$10)*L$11))</f>
        <v>0</v>
      </c>
      <c r="AP50" s="8">
        <f>(H50-D50)</f>
        <v>-2.334641738913068E-3</v>
      </c>
      <c r="AQ50" s="8">
        <f>I50-E50</f>
        <v>0.11051768288935193</v>
      </c>
      <c r="AR50" s="8">
        <f>(J50-F50)</f>
        <v>-3.6535384146585415E-2</v>
      </c>
      <c r="AS50" s="8">
        <f>K50-G50</f>
        <v>-0.35184586149506814</v>
      </c>
      <c r="AT50" s="8">
        <f>H50-L50</f>
        <v>-283.88939200846119</v>
      </c>
      <c r="AU50" s="3">
        <f>I50-M50</f>
        <v>-1.4300754600716559</v>
      </c>
      <c r="AV50" s="8">
        <f>J50-N50</f>
        <v>13073.53701887802</v>
      </c>
      <c r="AX50" s="5"/>
    </row>
    <row r="51" spans="1:50" hidden="1" x14ac:dyDescent="0.35">
      <c r="A51" s="1" t="s">
        <v>0</v>
      </c>
      <c r="B51" s="4">
        <f>B50+($C$2-$C$1)/$C$48</f>
        <v>318.91891891891896</v>
      </c>
      <c r="C51" s="7">
        <f>B51/10000</f>
        <v>3.1891891891891899E-2</v>
      </c>
      <c r="D51" s="9">
        <f>10*$B$3*(C51*$G$3-$H$3*2/C51+$J$3*C51^2+$K$3*2*C51^3+$L$3*3*C51^4-$I$3+$E$3)</f>
        <v>0.551734083474274</v>
      </c>
      <c r="E51" s="6">
        <f>$B$3*($F$3+$G$3+$G$3*LN(C51)-$H$3/C51^2+$J$3*2*C51+$K$3*3*C51^2+$L$3*4*C51^3)</f>
        <v>42.47048720346281</v>
      </c>
      <c r="F51" s="3">
        <f>($E$3-C51*($F$3+$G$3*LN(C51)+$H$3*C51^(-2)+$I$3*C51^(-1)+$J$3*C51+$K$3*C51^2+$L$3*C51^3))*$B$3*10</f>
        <v>-12.992907781413876</v>
      </c>
      <c r="G51" s="6">
        <f>$B$3*($G$3+2*$H$3*C51^(-2)+2*$J$3*C51+ 6*$K$3*C51^2+ 12*$L$3*C51^3)</f>
        <v>26.959011638093791</v>
      </c>
      <c r="H51" s="9">
        <f>10*$B$3*(C51*$G$7-$H$7*2/C51+$J$7*C51^2+$K$7*2*C51^3+$L$7*3*C51^4-$I$7+$E$7)</f>
        <v>0.54414567567567784</v>
      </c>
      <c r="I51" s="6">
        <f>$B$3*($F$7+$G$7+$G$7*LN(C51)-$H$7/C51^2+$J$7*2*C51+$K$7*3*C51^2+$L$7*4*C51^3)</f>
        <v>42.564312774698926</v>
      </c>
      <c r="J51" s="3">
        <f>($E$7-C51*($F$7+$G$7*LN(C51)+$H$7*C51^(-2)+$I$7*C51^(-1)+$J$7*C51+$K$7*C51^2+$L$7*C51^3))*$B$3*10</f>
        <v>-13.030418938958038</v>
      </c>
      <c r="K51" s="6">
        <f>$B$3*($G$7+2*$H$7*C51^(-2)+2*$J$7*C51+ 6*$K$7*C51^2+ 12*$L$7*C51^3)</f>
        <v>26.2</v>
      </c>
      <c r="L51" s="6">
        <f>N51+M51*B51</f>
        <v>523.32495853670662</v>
      </c>
      <c r="M51" s="6">
        <f>-SUM(Q51:X51)</f>
        <v>43.96668998141557</v>
      </c>
      <c r="N51" s="8">
        <f>SUM(Z51:AG51)</f>
        <v>-13498.484278779611</v>
      </c>
      <c r="O51" s="8"/>
      <c r="Q51">
        <f>IF( OR( E$10="д",E$10="l"),E$11/$B51,  IF( OR( E$10="g",E$10="п"),E$11*(LN($B51)+1),  $B51^(E$10-1)*E$10*E$11))</f>
        <v>0</v>
      </c>
      <c r="R51">
        <f>IF( OR( F$10="д",F$10="l"),F$11/$B51,  IF( OR( F$10="g",F$10="п"),F$11*(LN($B51)+1),  $B51^(F$10-1)*F$10*F$11))</f>
        <v>92.539694999999995</v>
      </c>
      <c r="S51">
        <f>IF( OR( G$10="д",G$10="l"),G$11/$B51,  IF( OR( G$10="g",G$10="п"),G$11*(LN($B51)+1),  $B51^(G$10-1)*G$10*G$11))</f>
        <v>-129.48089222407444</v>
      </c>
      <c r="T51">
        <f>IF( OR( H$10="д",H$10="l"),H$11/$B51,  IF( OR( H$10="g",H$10="п"),H$11*(LN($B51)+1),  $B51^(H$10-1)*H$10*H$11))</f>
        <v>-7.8422162162162179</v>
      </c>
      <c r="U51">
        <f>IF( OR( I$10="д",I$10="l"),I$11/$B51,  IF( OR( I$10="g",I$10="п"),I$11*(LN($B51)+1),  $B51^(I$10-1)*I$10*I$11))</f>
        <v>0.81672345887509157</v>
      </c>
      <c r="V51">
        <f>IF( OR( J$10="д",J$10="l"),J$11/$B51,  IF( OR( J$10="g",J$10="п"),J$11*(LN($B51)+1),  $B51^(J$10-1)*J$10*J$11))</f>
        <v>0</v>
      </c>
      <c r="W51">
        <f>IF( OR( K$10="д",K$10="l"),K$11/$B51,  IF( OR( K$10="g",K$10="п"),K$11*(LN($B51)+1),  $B51^(K$10-1)*K$10*K$11))</f>
        <v>0</v>
      </c>
      <c r="X51">
        <f>IF( OR( L$10="д",L$10="l"),L$11/$B51,  IF( OR( L$10="g",L$10="п"),L$11*(LN($B51)+1),  $B51^(L$10-1)*L$10*L$11))</f>
        <v>0</v>
      </c>
      <c r="Z51">
        <f>IF( OR( E$10="д",E$10="l"),E$11*LN($B51),  IF( OR( E$10="g",E$10="п"),E$11*$B51*LN($B51),  ($B51^E$10)*E$11))</f>
        <v>-6657.6530000000002</v>
      </c>
      <c r="AA51">
        <f>IF( OR( F$10="д",F$10="l"),F$11*LN($B51),  IF( OR( F$10="g",F$10="п"),F$11*$B51*LN($B51),  ($B51^F$10)*F$11))</f>
        <v>29512.659486486489</v>
      </c>
      <c r="AB51">
        <f>IF( OR( G$10="д",G$10="l"),G$11*LN($B51),  IF( OR( G$10="g",G$10="п"),G$11*$B51*LN($B51),  ($B51^G$10)*G$11))</f>
        <v>-35189.798060650777</v>
      </c>
      <c r="AC51">
        <f>IF( OR( H$10="д",H$10="l"),H$11*LN($B51),  IF( OR( H$10="g",H$10="п"),H$11*$B51*LN($B51),  ($B51^H$10)*H$11))</f>
        <v>-1250.5155588020457</v>
      </c>
      <c r="AD51">
        <f>IF( OR( I$10="д",I$10="l"),I$11*LN($B51),  IF( OR( I$10="g",I$10="п"),I$11*$B51*LN($B51),  ($B51^I$10)*I$11))</f>
        <v>86.822854186721443</v>
      </c>
      <c r="AE51">
        <f>IF( OR( J$10="д",J$10="l"),J$11*LN($B51),  IF( OR( J$10="g",J$10="п"),J$11*$B51*LN($B51),  ($B51^J$10)*J$11))</f>
        <v>0</v>
      </c>
      <c r="AF51">
        <f>IF( OR( K$10="д",K$10="l"),K$11*LN($B51),  IF( OR( K$10="g",K$10="п"),K$11*$B51*LN($B51),  ($B51^K$10)*K$11))</f>
        <v>0</v>
      </c>
      <c r="AG51">
        <f>IF( OR( L$10="д",L$10="l"),L$11*LN($B51),  IF( OR( L$10="g",L$10="п"),L$11*$B51*LN($B51),  ($B51^L$10)*L$11))</f>
        <v>0</v>
      </c>
      <c r="AP51" s="8">
        <f>(H51-D51)</f>
        <v>-7.5884077985961529E-3</v>
      </c>
      <c r="AQ51" s="8">
        <f>I51-E51</f>
        <v>9.38255712361169E-2</v>
      </c>
      <c r="AR51" s="8">
        <f>(J51-F51)</f>
        <v>-3.7511157544161122E-2</v>
      </c>
      <c r="AS51" s="8">
        <f>K51-G51</f>
        <v>-0.75901163809379213</v>
      </c>
      <c r="AT51" s="8">
        <f>H51-L51</f>
        <v>-522.780812861031</v>
      </c>
      <c r="AU51" s="3">
        <f>I51-M51</f>
        <v>-1.4023772067166433</v>
      </c>
      <c r="AV51" s="8">
        <f>J51-N51</f>
        <v>13485.453859840654</v>
      </c>
      <c r="AX51" s="5"/>
    </row>
    <row r="52" spans="1:50" hidden="1" x14ac:dyDescent="0.35">
      <c r="A52" s="1" t="s">
        <v>0</v>
      </c>
      <c r="B52" s="4">
        <f>B51+($C$2-$C$1)/$C$48</f>
        <v>328.37837837837844</v>
      </c>
      <c r="C52" s="7">
        <f>B52/10000</f>
        <v>3.2837837837837842E-2</v>
      </c>
      <c r="D52" s="9">
        <f>10*$B$3*(C52*$G$3-$H$3*2/C52+$J$3*C52^2+$K$3*2*C52^3+$L$3*3*C52^4-$I$3+$E$3)</f>
        <v>0.80861337076912165</v>
      </c>
      <c r="E52" s="6">
        <f>$B$3*($F$3+$G$3+$G$3*LN(C52)-$H$3/C52^2+$J$3*2*C52+$K$3*3*C52^2+$L$3*4*C52^3)</f>
        <v>43.264214123983187</v>
      </c>
      <c r="F52" s="3">
        <f>($E$3-C52*($F$3+$G$3*LN(C52)+$H$3*C52^(-2)+$I$3*C52^(-1)+$J$3*C52+$K$3*C52^2+$L$3*C52^3))*$B$3*10</f>
        <v>-13.398419105079437</v>
      </c>
      <c r="G52" s="6">
        <f>$B$3*($G$3+2*$H$3*C52^(-2)+2*$J$3*C52+ 6*$K$3*C52^2+ 12*$L$3*C52^3)</f>
        <v>27.345932917686209</v>
      </c>
      <c r="H52" s="9">
        <f>10*$B$3*(C52*$G$7-$H$7*2/C52+$J$7*C52^2+$K$7*2*C52^3+$L$7*3*C52^4-$I$7+$E$7)</f>
        <v>0.7919835135135147</v>
      </c>
      <c r="I52" s="6">
        <f>$B$3*($F$7+$G$7+$G$7*LN(C52)-$H$7/C52^2+$J$7*2*C52+$K$7*3*C52^2+$L$7*4*C52^3)</f>
        <v>43.330129298550318</v>
      </c>
      <c r="J52" s="3">
        <f>($E$7-C52*($F$7+$G$7*LN(C52)+$H$7*C52^(-2)+$I$7*C52^(-1)+$J$7*C52+$K$7*C52^2+$L$7*C52^3))*$B$3*10</f>
        <v>-13.4366940804699</v>
      </c>
      <c r="K52" s="6">
        <f>$B$3*($G$7+2*$H$7*C52^(-2)+2*$J$7*C52+ 6*$K$7*C52^2+ 12*$L$7*C52^3)</f>
        <v>26.2</v>
      </c>
      <c r="L52" s="6">
        <f>N52+M52*B52</f>
        <v>763.74794831194777</v>
      </c>
      <c r="M52" s="6">
        <f>-SUM(Q52:X52)</f>
        <v>44.709585136520978</v>
      </c>
      <c r="N52" s="8">
        <f>SUM(Z52:AG52)</f>
        <v>-13917.913116788863</v>
      </c>
      <c r="O52" s="8"/>
      <c r="Q52">
        <f>IF( OR( E$10="д",E$10="l"),E$11/$B52,  IF( OR( E$10="g",E$10="п"),E$11*(LN($B52)+1),  $B52^(E$10-1)*E$10*E$11))</f>
        <v>0</v>
      </c>
      <c r="R52">
        <f>IF( OR( F$10="д",F$10="l"),F$11/$B52,  IF( OR( F$10="g",F$10="п"),F$11*(LN($B52)+1),  $B52^(F$10-1)*F$10*F$11))</f>
        <v>92.539694999999995</v>
      </c>
      <c r="S52">
        <f>IF( OR( G$10="д",G$10="l"),G$11/$B52,  IF( OR( G$10="g",G$10="п"),G$11*(LN($B52)+1),  $B52^(G$10-1)*G$10*G$11))</f>
        <v>-130.04034750142236</v>
      </c>
      <c r="T52">
        <f>IF( OR( H$10="д",H$10="l"),H$11/$B52,  IF( OR( H$10="g",H$10="п"),H$11*(LN($B52)+1),  $B52^(H$10-1)*H$10*H$11))</f>
        <v>-8.074824324324327</v>
      </c>
      <c r="U52">
        <f>IF( OR( I$10="д",I$10="l"),I$11/$B52,  IF( OR( I$10="g",I$10="п"),I$11*(LN($B52)+1),  $B52^(I$10-1)*I$10*I$11))</f>
        <v>0.86589168922571258</v>
      </c>
      <c r="V52">
        <f>IF( OR( J$10="д",J$10="l"),J$11/$B52,  IF( OR( J$10="g",J$10="п"),J$11*(LN($B52)+1),  $B52^(J$10-1)*J$10*J$11))</f>
        <v>0</v>
      </c>
      <c r="W52">
        <f>IF( OR( K$10="д",K$10="l"),K$11/$B52,  IF( OR( K$10="g",K$10="п"),K$11*(LN($B52)+1),  $B52^(K$10-1)*K$10*K$11))</f>
        <v>0</v>
      </c>
      <c r="X52">
        <f>IF( OR( L$10="д",L$10="l"),L$11/$B52,  IF( OR( L$10="g",L$10="п"),L$11*(LN($B52)+1),  $B52^(L$10-1)*L$10*L$11))</f>
        <v>0</v>
      </c>
      <c r="Z52">
        <f>IF( OR( E$10="д",E$10="l"),E$11*LN($B52),  IF( OR( E$10="g",E$10="п"),E$11*$B52*LN($B52),  ($B52^E$10)*E$11))</f>
        <v>-6657.6530000000002</v>
      </c>
      <c r="AA52">
        <f>IF( OR( F$10="д",F$10="l"),F$11*LN($B52),  IF( OR( F$10="g",F$10="п"),F$11*$B52*LN($B52),  ($B52^F$10)*F$11))</f>
        <v>30388.034979729735</v>
      </c>
      <c r="AB52">
        <f>IF( OR( G$10="д",G$10="l"),G$11*LN($B52),  IF( OR( G$10="g",G$10="п"),G$11*$B52*LN($B52),  ($B52^G$10)*G$11))</f>
        <v>-36417.276274115728</v>
      </c>
      <c r="AC52">
        <f>IF( OR( H$10="д",H$10="l"),H$11*LN($B52),  IF( OR( H$10="g",H$10="п"),H$11*$B52*LN($B52),  ($B52^H$10)*H$11))</f>
        <v>-1325.7988586559538</v>
      </c>
      <c r="AD52">
        <f>IF( OR( I$10="д",I$10="l"),I$11*LN($B52),  IF( OR( I$10="g",I$10="п"),I$11*$B52*LN($B52),  ($B52^I$10)*I$11))</f>
        <v>94.780036253084759</v>
      </c>
      <c r="AE52">
        <f>IF( OR( J$10="д",J$10="l"),J$11*LN($B52),  IF( OR( J$10="g",J$10="п"),J$11*$B52*LN($B52),  ($B52^J$10)*J$11))</f>
        <v>0</v>
      </c>
      <c r="AF52">
        <f>IF( OR( K$10="д",K$10="l"),K$11*LN($B52),  IF( OR( K$10="g",K$10="п"),K$11*$B52*LN($B52),  ($B52^K$10)*K$11))</f>
        <v>0</v>
      </c>
      <c r="AG52">
        <f>IF( OR( L$10="д",L$10="l"),L$11*LN($B52),  IF( OR( L$10="g",L$10="п"),L$11*$B52*LN($B52),  ($B52^L$10)*L$11))</f>
        <v>0</v>
      </c>
      <c r="AP52" s="8">
        <f>(H52-D52)</f>
        <v>-1.662985725560695E-2</v>
      </c>
      <c r="AQ52" s="8">
        <f>I52-E52</f>
        <v>6.5915174567130919E-2</v>
      </c>
      <c r="AR52" s="8">
        <f>(J52-F52)</f>
        <v>-3.8274975390462984E-2</v>
      </c>
      <c r="AS52" s="8">
        <f>K52-G52</f>
        <v>-1.1459329176862099</v>
      </c>
      <c r="AT52" s="8">
        <f>H52-L52</f>
        <v>-762.95596479843425</v>
      </c>
      <c r="AU52" s="3">
        <f>I52-M52</f>
        <v>-1.3794558379706601</v>
      </c>
      <c r="AV52" s="8">
        <f>J52-N52</f>
        <v>13904.476422708392</v>
      </c>
      <c r="AX52" s="5"/>
    </row>
    <row r="53" spans="1:50" hidden="1" x14ac:dyDescent="0.35">
      <c r="A53" s="1" t="s">
        <v>0</v>
      </c>
      <c r="B53" s="4">
        <f>B52+($C$2-$C$1)/$C$48</f>
        <v>337.83783783783792</v>
      </c>
      <c r="C53" s="7">
        <f>B53/10000</f>
        <v>3.3783783783783793E-2</v>
      </c>
      <c r="D53" s="9">
        <f>10*$B$3*(C53*$G$3-$H$3*2/C53+$J$3*C53^2+$K$3*2*C53^3+$L$3*3*C53^4-$I$3+$E$3)</f>
        <v>1.0689066175018993</v>
      </c>
      <c r="E53" s="6">
        <f>$B$3*($F$3+$G$3+$G$3*LN(C53)-$H$3/C53^2+$J$3*2*C53+$K$3*3*C53^2+$L$3*4*C53^3)</f>
        <v>44.045652203046828</v>
      </c>
      <c r="F53" s="3">
        <f>($E$3-C53*($F$3+$G$3*LN(C53)+$H$3*C53^(-2)+$I$3*C53^(-1)+$J$3*C53+$K$3*C53^2+$L$3*C53^3))*$B$3*10</f>
        <v>-13.811381288932861</v>
      </c>
      <c r="G53" s="6">
        <f>$B$3*($G$3+2*$H$3*C53^(-2)+2*$J$3*C53+ 6*$K$3*C53^2+ 12*$L$3*C53^3)</f>
        <v>27.674999444718225</v>
      </c>
      <c r="H53" s="9">
        <f>10*$B$3*(C53*$G$7-$H$7*2/C53+$J$7*C53^2+$K$7*2*C53^3+$L$7*3*C53^4-$I$7+$E$7)</f>
        <v>1.0398213513513537</v>
      </c>
      <c r="I53" s="6">
        <f>$B$3*($F$7+$G$7+$G$7*LN(C53)-$H$7/C53^2+$J$7*2*C53+$K$7*3*C53^2+$L$7*4*C53^3)</f>
        <v>44.074195531018788</v>
      </c>
      <c r="J53" s="3">
        <f>($E$7-C53*($F$7+$G$7*LN(C53)+$H$7*C53^(-2)+$I$7*C53^(-1)+$J$7*C53+$K$7*C53^2+$L$7*C53^3))*$B$3*10</f>
        <v>-13.850109571290135</v>
      </c>
      <c r="K53" s="6">
        <f>$B$3*($G$7+2*$H$7*C53^(-2)+2*$J$7*C53+ 6*$K$7*C53^2+ 12*$L$7*C53^3)</f>
        <v>26.2</v>
      </c>
      <c r="L53" s="6">
        <f>N53+M53*B53</f>
        <v>1005.4274814127584</v>
      </c>
      <c r="M53" s="6">
        <f>-SUM(Q53:X53)</f>
        <v>45.435153889348392</v>
      </c>
      <c r="N53" s="8">
        <f>SUM(Z53:AG53)</f>
        <v>-14344.286670394134</v>
      </c>
      <c r="O53" s="8"/>
      <c r="Q53">
        <f>IF( OR( E$10="д",E$10="l"),E$11/$B53,  IF( OR( E$10="g",E$10="п"),E$11*(LN($B53)+1),  $B53^(E$10-1)*E$10*E$11))</f>
        <v>0</v>
      </c>
      <c r="R53">
        <f>IF( OR( F$10="д",F$10="l"),F$11/$B53,  IF( OR( F$10="g",F$10="п"),F$11*(LN($B53)+1),  $B53^(F$10-1)*F$10*F$11))</f>
        <v>92.539694999999995</v>
      </c>
      <c r="S53">
        <f>IF( OR( G$10="д",G$10="l"),G$11/$B53,  IF( OR( G$10="g",G$10="п"),G$11*(LN($B53)+1),  $B53^(G$10-1)*G$10*G$11))</f>
        <v>-130.58391344376767</v>
      </c>
      <c r="T53">
        <f>IF( OR( H$10="д",H$10="l"),H$11/$B53,  IF( OR( H$10="g",H$10="п"),H$11*(LN($B53)+1),  $B53^(H$10-1)*H$10*H$11))</f>
        <v>-8.3074324324324351</v>
      </c>
      <c r="U53">
        <f>IF( OR( I$10="д",I$10="l"),I$11/$B53,  IF( OR( I$10="g",I$10="п"),I$11*(LN($B53)+1),  $B53^(I$10-1)*I$10*I$11))</f>
        <v>0.91649698685171688</v>
      </c>
      <c r="V53">
        <f>IF( OR( J$10="д",J$10="l"),J$11/$B53,  IF( OR( J$10="g",J$10="п"),J$11*(LN($B53)+1),  $B53^(J$10-1)*J$10*J$11))</f>
        <v>0</v>
      </c>
      <c r="W53">
        <f>IF( OR( K$10="д",K$10="l"),K$11/$B53,  IF( OR( K$10="g",K$10="п"),K$11*(LN($B53)+1),  $B53^(K$10-1)*K$10*K$11))</f>
        <v>0</v>
      </c>
      <c r="X53">
        <f>IF( OR( L$10="д",L$10="l"),L$11/$B53,  IF( OR( L$10="g",L$10="п"),L$11*(LN($B53)+1),  $B53^(L$10-1)*L$10*L$11))</f>
        <v>0</v>
      </c>
      <c r="Z53">
        <f>IF( OR( E$10="д",E$10="l"),E$11*LN($B53),  IF( OR( E$10="g",E$10="п"),E$11*$B53*LN($B53),  ($B53^E$10)*E$11))</f>
        <v>-6657.6530000000002</v>
      </c>
      <c r="AA53">
        <f>IF( OR( F$10="д",F$10="l"),F$11*LN($B53),  IF( OR( F$10="g",F$10="п"),F$11*$B53*LN($B53),  ($B53^F$10)*F$11))</f>
        <v>31263.410472972981</v>
      </c>
      <c r="AB53">
        <f>IF( OR( G$10="д",G$10="l"),G$11*LN($B53),  IF( OR( G$10="g",G$10="п"),G$11*$B53*LN($B53),  ($B53^G$10)*G$11))</f>
        <v>-37649.970758029624</v>
      </c>
      <c r="AC53">
        <f>IF( OR( H$10="д",H$10="l"),H$11*LN($B53),  IF( OR( H$10="g",H$10="п"),H$11*$B53*LN($B53),  ($B53^H$10)*H$11))</f>
        <v>-1403.2825054784521</v>
      </c>
      <c r="AD53">
        <f>IF( OR( I$10="д",I$10="l"),I$11*LN($B53),  IF( OR( I$10="g",I$10="п"),I$11*$B53*LN($B53),  ($B53^I$10)*I$11))</f>
        <v>103.20912014095913</v>
      </c>
      <c r="AE53">
        <f>IF( OR( J$10="д",J$10="l"),J$11*LN($B53),  IF( OR( J$10="g",J$10="п"),J$11*$B53*LN($B53),  ($B53^J$10)*J$11))</f>
        <v>0</v>
      </c>
      <c r="AF53">
        <f>IF( OR( K$10="д",K$10="l"),K$11*LN($B53),  IF( OR( K$10="g",K$10="п"),K$11*$B53*LN($B53),  ($B53^K$10)*K$11))</f>
        <v>0</v>
      </c>
      <c r="AG53">
        <f>IF( OR( L$10="д",L$10="l"),L$11*LN($B53),  IF( OR( L$10="g",L$10="п"),L$11*$B53*LN($B53),  ($B53^L$10)*L$11))</f>
        <v>0</v>
      </c>
      <c r="AP53" s="8">
        <f>(H53-D53)</f>
        <v>-2.908526615054563E-2</v>
      </c>
      <c r="AQ53" s="8">
        <f>I53-E53</f>
        <v>2.8543327971959798E-2</v>
      </c>
      <c r="AR53" s="8">
        <f>(J53-F53)</f>
        <v>-3.8728282357274324E-2</v>
      </c>
      <c r="AS53" s="8">
        <f>K53-G53</f>
        <v>-1.4749994447182253</v>
      </c>
      <c r="AT53" s="8">
        <f>H53-L53</f>
        <v>-1004.387660061407</v>
      </c>
      <c r="AU53" s="3">
        <f>I53-M53</f>
        <v>-1.3609583583296043</v>
      </c>
      <c r="AV53" s="8">
        <f>J53-N53</f>
        <v>14330.436560822844</v>
      </c>
      <c r="AX53" s="5"/>
    </row>
    <row r="54" spans="1:50" hidden="1" x14ac:dyDescent="0.35">
      <c r="A54" s="1" t="s">
        <v>0</v>
      </c>
      <c r="B54" s="4">
        <f>B53+($C$2-$C$1)/$C$48</f>
        <v>347.2972972972974</v>
      </c>
      <c r="C54" s="7">
        <f>B54/10000</f>
        <v>3.4729729729729743E-2</v>
      </c>
      <c r="D54" s="9">
        <f>10*$B$3*(C54*$G$3-$H$3*2/C54+$J$3*C54^2+$K$3*2*C54^3+$L$3*3*C54^4-$I$3+$E$3)</f>
        <v>1.3319089070643966</v>
      </c>
      <c r="E54" s="6">
        <f>$B$3*($F$3+$G$3+$G$3*LN(C54)-$H$3/C54^2+$J$3*2*C54+$K$3*3*C54^2+$L$3*4*C54^3)</f>
        <v>44.813424228801082</v>
      </c>
      <c r="F54" s="3">
        <f>($E$3-C54*($F$3+$G$3*LN(C54)+$H$3*C54^(-2)+$I$3*C54^(-1)+$J$3*C54+$K$3*C54^2+$L$3*C54^3))*$B$3*10</f>
        <v>-14.231672210235438</v>
      </c>
      <c r="G54" s="6">
        <f>$B$3*($G$3+2*$H$3*C54^(-2)+2*$J$3*C54+ 6*$K$3*C54^2+ 12*$L$3*C54^3)</f>
        <v>27.913652207665425</v>
      </c>
      <c r="H54" s="9">
        <f>10*$B$3*(C54*$G$7-$H$7*2/C54+$J$7*C54^2+$K$7*2*C54^3+$L$7*3*C54^4-$I$7+$E$7)</f>
        <v>1.2876591891891929</v>
      </c>
      <c r="I54" s="6">
        <f>$B$3*($F$7+$G$7+$G$7*LN(C54)-$H$7/C54^2+$J$7*2*C54+$K$7*3*C54^2+$L$7*4*C54^3)</f>
        <v>44.797712907282708</v>
      </c>
      <c r="J54" s="3">
        <f>($E$7-C54*($F$7+$G$7*LN(C54)+$H$7*C54^(-2)+$I$7*C54^(-1)+$J$7*C54+$K$7*C54^2+$L$7*C54^3))*$B$3*10</f>
        <v>-14.270465428610349</v>
      </c>
      <c r="K54" s="6">
        <f>$B$3*($G$7+2*$H$7*C54^(-2)+2*$J$7*C54+ 6*$K$7*C54^2+ 12*$L$7*C54^3)</f>
        <v>26.2</v>
      </c>
      <c r="L54" s="6">
        <f>N54+M54*B54</f>
        <v>1248.33637007986</v>
      </c>
      <c r="M54" s="6">
        <f>-SUM(Q54:X54)</f>
        <v>46.144273929566225</v>
      </c>
      <c r="N54" s="8">
        <f>SUM(Z54:AG54)</f>
        <v>-14777.445251404632</v>
      </c>
      <c r="O54" s="8"/>
      <c r="Q54">
        <f>IF( OR( E$10="д",E$10="l"),E$11/$B54,  IF( OR( E$10="g",E$10="п"),E$11*(LN($B54)+1),  $B54^(E$10-1)*E$10*E$11))</f>
        <v>0</v>
      </c>
      <c r="R54">
        <f>IF( OR( F$10="д",F$10="l"),F$11/$B54,  IF( OR( F$10="g",F$10="п"),F$11*(LN($B54)+1),  $B54^(F$10-1)*F$10*F$11))</f>
        <v>92.539694999999995</v>
      </c>
      <c r="S54">
        <f>IF( OR( G$10="д",G$10="l"),G$11/$B54,  IF( OR( G$10="g",G$10="п"),G$11*(LN($B54)+1),  $B54^(G$10-1)*G$10*G$11))</f>
        <v>-131.11246774077878</v>
      </c>
      <c r="T54">
        <f>IF( OR( H$10="д",H$10="l"),H$11/$B54,  IF( OR( H$10="g",H$10="п"),H$11*(LN($B54)+1),  $B54^(H$10-1)*H$10*H$11))</f>
        <v>-8.5400405405405433</v>
      </c>
      <c r="U54">
        <f>IF( OR( I$10="д",I$10="l"),I$11/$B54,  IF( OR( I$10="g",I$10="п"),I$11*(LN($B54)+1),  $B54^(I$10-1)*I$10*I$11))</f>
        <v>0.96853935175310502</v>
      </c>
      <c r="V54">
        <f>IF( OR( J$10="д",J$10="l"),J$11/$B54,  IF( OR( J$10="g",J$10="п"),J$11*(LN($B54)+1),  $B54^(J$10-1)*J$10*J$11))</f>
        <v>0</v>
      </c>
      <c r="W54">
        <f>IF( OR( K$10="д",K$10="l"),K$11/$B54,  IF( OR( K$10="g",K$10="п"),K$11*(LN($B54)+1),  $B54^(K$10-1)*K$10*K$11))</f>
        <v>0</v>
      </c>
      <c r="X54">
        <f>IF( OR( L$10="д",L$10="l"),L$11/$B54,  IF( OR( L$10="g",L$10="п"),L$11*(LN($B54)+1),  $B54^(L$10-1)*L$10*L$11))</f>
        <v>0</v>
      </c>
      <c r="Z54">
        <f>IF( OR( E$10="д",E$10="l"),E$11*LN($B54),  IF( OR( E$10="g",E$10="п"),E$11*$B54*LN($B54),  ($B54^E$10)*E$11))</f>
        <v>-6657.6530000000002</v>
      </c>
      <c r="AA54">
        <f>IF( OR( F$10="д",F$10="l"),F$11*LN($B54),  IF( OR( F$10="g",F$10="п"),F$11*$B54*LN($B54),  ($B54^F$10)*F$11))</f>
        <v>32138.785966216223</v>
      </c>
      <c r="AB54">
        <f>IF( OR( G$10="д",G$10="l"),G$11*LN($B54),  IF( OR( G$10="g",G$10="п"),G$11*$B54*LN($B54),  ($B54^G$10)*G$11))</f>
        <v>-38887.735418081291</v>
      </c>
      <c r="AC54">
        <f>IF( OR( H$10="д",H$10="l"),H$11*LN($B54),  IF( OR( H$10="g",H$10="п"),H$11*$B54*LN($B54),  ($B54^H$10)*H$11))</f>
        <v>-1482.9664992695409</v>
      </c>
      <c r="AD54">
        <f>IF( OR( I$10="д",I$10="l"),I$11*LN($B54),  IF( OR( I$10="g",I$10="п"),I$11*$B54*LN($B54),  ($B54^I$10)*I$11))</f>
        <v>112.12369972997661</v>
      </c>
      <c r="AE54">
        <f>IF( OR( J$10="д",J$10="l"),J$11*LN($B54),  IF( OR( J$10="g",J$10="п"),J$11*$B54*LN($B54),  ($B54^J$10)*J$11))</f>
        <v>0</v>
      </c>
      <c r="AF54">
        <f>IF( OR( K$10="д",K$10="l"),K$11*LN($B54),  IF( OR( K$10="g",K$10="п"),K$11*$B54*LN($B54),  ($B54^K$10)*K$11))</f>
        <v>0</v>
      </c>
      <c r="AG54">
        <f>IF( OR( L$10="д",L$10="l"),L$11*LN($B54),  IF( OR( L$10="g",L$10="п"),L$11*$B54*LN($B54),  ($B54^L$10)*L$11))</f>
        <v>0</v>
      </c>
      <c r="AP54" s="8">
        <f>(H54-D54)</f>
        <v>-4.4249717875203709E-2</v>
      </c>
      <c r="AQ54" s="8">
        <f>I54-E54</f>
        <v>-1.5711321518374177E-2</v>
      </c>
      <c r="AR54" s="8">
        <f>(J54-F54)</f>
        <v>-3.879321837491112E-2</v>
      </c>
      <c r="AS54" s="8">
        <f>K54-G54</f>
        <v>-1.7136522076654259</v>
      </c>
      <c r="AT54" s="8">
        <f>H54-L54</f>
        <v>-1247.0487108906707</v>
      </c>
      <c r="AU54" s="3">
        <f>I54-M54</f>
        <v>-1.3465610222835167</v>
      </c>
      <c r="AV54" s="8">
        <f>J54-N54</f>
        <v>14763.174785976022</v>
      </c>
      <c r="AX54" s="5"/>
    </row>
    <row r="55" spans="1:50" hidden="1" x14ac:dyDescent="0.35">
      <c r="A55" s="1" t="s">
        <v>0</v>
      </c>
      <c r="B55" s="4">
        <f>B54+($C$2-$C$1)/$C$48</f>
        <v>356.75675675675689</v>
      </c>
      <c r="C55" s="7">
        <f>B55/10000</f>
        <v>3.5675675675675686E-2</v>
      </c>
      <c r="D55" s="9">
        <f>10*$B$3*(C55*$G$3-$H$3*2/C55+$J$3*C55^2+$K$3*2*C55^3+$L$3*3*C55^4-$I$3+$E$3)</f>
        <v>1.5966280383158924</v>
      </c>
      <c r="E55" s="6">
        <f>$B$3*($F$3+$G$3+$G$3*LN(C55)-$H$3/C55^2+$J$3*2*C55+$K$3*3*C55^2+$L$3*4*C55^3)</f>
        <v>45.565447481147743</v>
      </c>
      <c r="F55" s="3">
        <f>($E$3-C55*($F$3+$G$3*LN(C55)+$H$3*C55^(-2)+$I$3*C55^(-1)+$J$3*C55+$K$3*C55^2+$L$3*C55^3))*$B$3*10</f>
        <v>-14.659153225228712</v>
      </c>
      <c r="G55" s="6">
        <f>$B$3*($G$3+2*$H$3*C55^(-2)+2*$J$3*C55+ 6*$K$3*C55^2+ 12*$L$3*C55^3)</f>
        <v>28.03359069074866</v>
      </c>
      <c r="H55" s="9">
        <f>10*$B$3*(C55*$G$7-$H$7*2/C55+$J$7*C55^2+$K$7*2*C55^3+$L$7*3*C55^4-$I$7+$E$7)</f>
        <v>1.5354970270270296</v>
      </c>
      <c r="I55" s="6">
        <f>$B$3*($F$7+$G$7+$G$7*LN(C55)-$H$7/C55^2+$J$7*2*C55+$K$7*3*C55^2+$L$7*4*C55^3)</f>
        <v>45.501785985461424</v>
      </c>
      <c r="J55" s="3">
        <f>($E$7-C55*($F$7+$G$7*LN(C55)+$H$7*C55^(-2)+$I$7*C55^(-1)+$J$7*C55+$K$7*C55^2+$L$7*C55^3))*$B$3*10</f>
        <v>-14.697572567786239</v>
      </c>
      <c r="K55" s="6">
        <f>$B$3*($G$7+2*$H$7*C55^(-2)+2*$J$7*C55+ 6*$K$7*C55^2+ 12*$L$7*C55^3)</f>
        <v>26.2</v>
      </c>
      <c r="L55" s="6">
        <f>N55+M55*B55</f>
        <v>1492.4474265540139</v>
      </c>
      <c r="M55" s="6">
        <f>-SUM(Q55:X55)</f>
        <v>46.837752174823557</v>
      </c>
      <c r="N55" s="8">
        <f>SUM(Z55:AG55)</f>
        <v>-15217.237133112774</v>
      </c>
      <c r="O55" s="8"/>
      <c r="Q55">
        <f>IF( OR( E$10="д",E$10="l"),E$11/$B55,  IF( OR( E$10="g",E$10="п"),E$11*(LN($B55)+1),  $B55^(E$10-1)*E$10*E$11))</f>
        <v>0</v>
      </c>
      <c r="R55">
        <f>IF( OR( F$10="д",F$10="l"),F$11/$B55,  IF( OR( F$10="g",F$10="п"),F$11*(LN($B55)+1),  $B55^(F$10-1)*F$10*F$11))</f>
        <v>92.539694999999995</v>
      </c>
      <c r="S55">
        <f>IF( OR( G$10="д",G$10="l"),G$11/$B55,  IF( OR( G$10="g",G$10="п"),G$11*(LN($B55)+1),  $B55^(G$10-1)*G$10*G$11))</f>
        <v>-131.62681731010477</v>
      </c>
      <c r="T55">
        <f>IF( OR( H$10="д",H$10="l"),H$11/$B55,  IF( OR( H$10="g",H$10="п"),H$11*(LN($B55)+1),  $B55^(H$10-1)*H$10*H$11))</f>
        <v>-8.7726486486486515</v>
      </c>
      <c r="U55">
        <f>IF( OR( I$10="д",I$10="l"),I$11/$B55,  IF( OR( I$10="g",I$10="п"),I$11*(LN($B55)+1),  $B55^(I$10-1)*I$10*I$11))</f>
        <v>1.0220187839298764</v>
      </c>
      <c r="V55">
        <f>IF( OR( J$10="д",J$10="l"),J$11/$B55,  IF( OR( J$10="g",J$10="п"),J$11*(LN($B55)+1),  $B55^(J$10-1)*J$10*J$11))</f>
        <v>0</v>
      </c>
      <c r="W55">
        <f>IF( OR( K$10="д",K$10="l"),K$11/$B55,  IF( OR( K$10="g",K$10="п"),K$11*(LN($B55)+1),  $B55^(K$10-1)*K$10*K$11))</f>
        <v>0</v>
      </c>
      <c r="X55">
        <f>IF( OR( L$10="д",L$10="l"),L$11/$B55,  IF( OR( L$10="g",L$10="п"),L$11*(LN($B55)+1),  $B55^(L$10-1)*L$10*L$11))</f>
        <v>0</v>
      </c>
      <c r="Z55">
        <f>IF( OR( E$10="д",E$10="l"),E$11*LN($B55),  IF( OR( E$10="g",E$10="п"),E$11*$B55*LN($B55),  ($B55^E$10)*E$11))</f>
        <v>-6657.6530000000002</v>
      </c>
      <c r="AA55">
        <f>IF( OR( F$10="д",F$10="l"),F$11*LN($B55),  IF( OR( F$10="g",F$10="п"),F$11*$B55*LN($B55),  ($B55^F$10)*F$11))</f>
        <v>33014.161459459472</v>
      </c>
      <c r="AB55">
        <f>IF( OR( G$10="д",G$10="l"),G$11*LN($B55),  IF( OR( G$10="g",G$10="п"),G$11*$B55*LN($B55),  ($B55^G$10)*G$11))</f>
        <v>-40130.432121442798</v>
      </c>
      <c r="AC55">
        <f>IF( OR( H$10="д",H$10="l"),H$11*LN($B55),  IF( OR( H$10="g",H$10="п"),H$11*$B55*LN($B55),  ($B55^H$10)*H$11))</f>
        <v>-1564.8508400292196</v>
      </c>
      <c r="AD55">
        <f>IF( OR( I$10="д",I$10="l"),I$11*LN($B55),  IF( OR( I$10="g",I$10="п"),I$11*$B55*LN($B55),  ($B55^I$10)*I$11))</f>
        <v>121.53736889976913</v>
      </c>
      <c r="AE55">
        <f>IF( OR( J$10="д",J$10="l"),J$11*LN($B55),  IF( OR( J$10="g",J$10="п"),J$11*$B55*LN($B55),  ($B55^J$10)*J$11))</f>
        <v>0</v>
      </c>
      <c r="AF55">
        <f>IF( OR( K$10="д",K$10="l"),K$11*LN($B55),  IF( OR( K$10="g",K$10="п"),K$11*$B55*LN($B55),  ($B55^K$10)*K$11))</f>
        <v>0</v>
      </c>
      <c r="AG55">
        <f>IF( OR( L$10="д",L$10="l"),L$11*LN($B55),  IF( OR( L$10="g",L$10="п"),L$11*$B55*LN($B55),  ($B55^L$10)*L$11))</f>
        <v>0</v>
      </c>
      <c r="AP55" s="8">
        <f>(H55-D55)</f>
        <v>-6.113101128886278E-2</v>
      </c>
      <c r="AQ55" s="8">
        <f>I55-E55</f>
        <v>-6.3661495686318403E-2</v>
      </c>
      <c r="AR55" s="8">
        <f>(J55-F55)</f>
        <v>-3.8419342557526548E-2</v>
      </c>
      <c r="AS55" s="8">
        <f>K55-G55</f>
        <v>-1.833590690748661</v>
      </c>
      <c r="AT55" s="8">
        <f>H55-L55</f>
        <v>-1490.9119295269868</v>
      </c>
      <c r="AU55" s="3">
        <f>I55-M55</f>
        <v>-1.3359661893621322</v>
      </c>
      <c r="AV55" s="8">
        <f>J55-N55</f>
        <v>15202.539560544988</v>
      </c>
      <c r="AX55" s="5"/>
    </row>
    <row r="56" spans="1:50" hidden="1" x14ac:dyDescent="0.35">
      <c r="A56" s="1" t="s">
        <v>0</v>
      </c>
      <c r="B56" s="4">
        <f>B55+($C$2-$C$1)/$C$48</f>
        <v>366.21621621621637</v>
      </c>
      <c r="C56" s="7">
        <f>B56/10000</f>
        <v>3.6621621621621636E-2</v>
      </c>
      <c r="D56" s="9">
        <f>10*$B$3*(C56*$G$3-$H$3*2/C56+$J$3*C56^2+$K$3*2*C56^3+$L$3*3*C56^4-$I$3+$E$3)</f>
        <v>1.8618216287516149</v>
      </c>
      <c r="E56" s="6">
        <f>$B$3*($F$3+$G$3+$G$3*LN(C56)-$H$3/C56^2+$J$3*2*C56+$K$3*3*C56^2+$L$3*4*C56^3)</f>
        <v>46.299110312421597</v>
      </c>
      <c r="F56" s="3">
        <f>($E$3-C56*($F$3+$G$3*LN(C56)+$H$3*C56^(-2)+$I$3*C56^(-1)+$J$3*C56+$K$3*C56^2+$L$3*C56^3))*$B$3*10</f>
        <v>-15.093663364040635</v>
      </c>
      <c r="G56" s="6">
        <f>$B$3*($G$3+2*$H$3*C56^(-2)+2*$J$3*C56+ 6*$K$3*C56^2+ 12*$L$3*C56^3)</f>
        <v>28.010121568783614</v>
      </c>
      <c r="H56" s="9">
        <f>10*$B$3*(C56*$G$7-$H$7*2/C56+$J$7*C56^2+$K$7*2*C56^3+$L$7*3*C56^4-$I$7+$E$7)</f>
        <v>1.7833348648648688</v>
      </c>
      <c r="I56" s="6">
        <f>$B$3*($F$7+$G$7+$G$7*LN(C56)-$H$7/C56^2+$J$7*2*C56+$K$7*3*C56^2+$L$7*4*C56^3)</f>
        <v>46.187432590076114</v>
      </c>
      <c r="J56" s="3">
        <f>($E$7-C56*($F$7+$G$7*LN(C56)+$H$7*C56^(-2)+$I$7*C56^(-1)+$J$7*C56+$K$7*C56^2+$L$7*C56^3))*$B$3*10</f>
        <v>-15.131251935014362</v>
      </c>
      <c r="K56" s="6">
        <f>$B$3*($G$7+2*$H$7*C56^(-2)+2*$J$7*C56+ 6*$K$7*C56^2+ 12*$L$7*C56^3)</f>
        <v>26.2</v>
      </c>
      <c r="L56" s="6">
        <f>N56+M56*B56</f>
        <v>1737.7334630759287</v>
      </c>
      <c r="M56" s="6">
        <f>-SUM(Q56:X56)</f>
        <v>47.516332180896462</v>
      </c>
      <c r="N56" s="8">
        <f>SUM(Z56:AG56)</f>
        <v>-15663.51791668481</v>
      </c>
      <c r="O56" s="8"/>
      <c r="Q56">
        <f>IF( OR( E$10="д",E$10="l"),E$11/$B56,  IF( OR( E$10="g",E$10="п"),E$11*(LN($B56)+1),  $B56^(E$10-1)*E$10*E$11))</f>
        <v>0</v>
      </c>
      <c r="R56">
        <f>IF( OR( F$10="д",F$10="l"),F$11/$B56,  IF( OR( F$10="g",F$10="п"),F$11*(LN($B56)+1),  $B56^(F$10-1)*F$10*F$11))</f>
        <v>92.539694999999995</v>
      </c>
      <c r="S56">
        <f>IF( OR( G$10="д",G$10="l"),G$11/$B56,  IF( OR( G$10="g",G$10="п"),G$11*(LN($B56)+1),  $B56^(G$10-1)*G$10*G$11))</f>
        <v>-132.12770570752173</v>
      </c>
      <c r="T56">
        <f>IF( OR( H$10="д",H$10="l"),H$11/$B56,  IF( OR( H$10="g",H$10="п"),H$11*(LN($B56)+1),  $B56^(H$10-1)*H$10*H$11))</f>
        <v>-9.0052567567567614</v>
      </c>
      <c r="U56">
        <f>IF( OR( I$10="д",I$10="l"),I$11/$B56,  IF( OR( I$10="g",I$10="п"),I$11*(LN($B56)+1),  $B56^(I$10-1)*I$10*I$11))</f>
        <v>1.0769352833820316</v>
      </c>
      <c r="V56">
        <f>IF( OR( J$10="д",J$10="l"),J$11/$B56,  IF( OR( J$10="g",J$10="п"),J$11*(LN($B56)+1),  $B56^(J$10-1)*J$10*J$11))</f>
        <v>0</v>
      </c>
      <c r="W56">
        <f>IF( OR( K$10="д",K$10="l"),K$11/$B56,  IF( OR( K$10="g",K$10="п"),K$11*(LN($B56)+1),  $B56^(K$10-1)*K$10*K$11))</f>
        <v>0</v>
      </c>
      <c r="X56">
        <f>IF( OR( L$10="д",L$10="l"),L$11/$B56,  IF( OR( L$10="g",L$10="п"),L$11*(LN($B56)+1),  $B56^(L$10-1)*L$10*L$11))</f>
        <v>0</v>
      </c>
      <c r="Z56">
        <f>IF( OR( E$10="д",E$10="l"),E$11*LN($B56),  IF( OR( E$10="g",E$10="п"),E$11*$B56*LN($B56),  ($B56^E$10)*E$11))</f>
        <v>-6657.6530000000002</v>
      </c>
      <c r="AA56">
        <f>IF( OR( F$10="д",F$10="l"),F$11*LN($B56),  IF( OR( F$10="g",F$10="п"),F$11*$B56*LN($B56),  ($B56^F$10)*F$11))</f>
        <v>33889.536952702714</v>
      </c>
      <c r="AB56">
        <f>IF( OR( G$10="д",G$10="l"),G$11*LN($B56),  IF( OR( G$10="g",G$10="п"),G$11*$B56*LN($B56),  ($B56^G$10)*G$11))</f>
        <v>-41377.930063160005</v>
      </c>
      <c r="AC56">
        <f>IF( OR( H$10="д",H$10="l"),H$11*LN($B56),  IF( OR( H$10="g",H$10="п"),H$11*$B56*LN($B56),  ($B56^H$10)*H$11))</f>
        <v>-1648.9355277574887</v>
      </c>
      <c r="AD56">
        <f>IF( OR( I$10="д",I$10="l"),I$11*LN($B56),  IF( OR( I$10="g",I$10="п"),I$11*$B56*LN($B56),  ($B56^I$10)*I$11))</f>
        <v>131.46372152996875</v>
      </c>
      <c r="AE56">
        <f>IF( OR( J$10="д",J$10="l"),J$11*LN($B56),  IF( OR( J$10="g",J$10="п"),J$11*$B56*LN($B56),  ($B56^J$10)*J$11))</f>
        <v>0</v>
      </c>
      <c r="AF56">
        <f>IF( OR( K$10="д",K$10="l"),K$11*LN($B56),  IF( OR( K$10="g",K$10="п"),K$11*$B56*LN($B56),  ($B56^K$10)*K$11))</f>
        <v>0</v>
      </c>
      <c r="AG56">
        <f>IF( OR( L$10="д",L$10="l"),L$11*LN($B56),  IF( OR( L$10="g",L$10="п"),L$11*$B56*LN($B56),  ($B56^L$10)*L$11))</f>
        <v>0</v>
      </c>
      <c r="AP56" s="8">
        <f>(H56-D56)</f>
        <v>-7.8486763886746136E-2</v>
      </c>
      <c r="AQ56" s="8">
        <f>I56-E56</f>
        <v>-0.11167772234548323</v>
      </c>
      <c r="AR56" s="8">
        <f>(J56-F56)</f>
        <v>-3.7588570973726476E-2</v>
      </c>
      <c r="AS56" s="8">
        <f>K56-G56</f>
        <v>-1.8101215687836145</v>
      </c>
      <c r="AT56" s="8">
        <f>H56-L56</f>
        <v>-1735.9501282110639</v>
      </c>
      <c r="AU56" s="3">
        <f>I56-M56</f>
        <v>-1.3288995908203489</v>
      </c>
      <c r="AV56" s="8">
        <f>J56-N56</f>
        <v>15648.386664749796</v>
      </c>
      <c r="AX56" s="5"/>
    </row>
    <row r="57" spans="1:50" hidden="1" x14ac:dyDescent="0.35">
      <c r="A57" s="1" t="s">
        <v>0</v>
      </c>
      <c r="B57" s="4">
        <f>B56+($C$2-$C$1)/$C$48</f>
        <v>375.67567567567585</v>
      </c>
      <c r="C57" s="7">
        <f>B57/10000</f>
        <v>3.7567567567567586E-2</v>
      </c>
      <c r="D57" s="9">
        <f>10*$B$3*(C57*$G$3-$H$3*2/C57+$J$3*C57^2+$K$3*2*C57^3+$L$3*3*C57^4-$I$3+$E$3)</f>
        <v>2.1260286121563858</v>
      </c>
      <c r="E57" s="6">
        <f>$B$3*($F$3+$G$3+$G$3*LN(C57)-$H$3/C57^2+$J$3*2*C57+$K$3*3*C57^2+$L$3*4*C57^3)</f>
        <v>47.01141108214501</v>
      </c>
      <c r="F57" s="3">
        <f>($E$3-C57*($F$3+$G$3*LN(C57)+$H$3*C57^(-2)+$I$3*C57^(-1)+$J$3*C57+$K$3*C57^2+$L$3*C57^3))*$B$3*10</f>
        <v>-15.53501501059541</v>
      </c>
      <c r="G57" s="6">
        <f>$B$3*($G$3+2*$H$3*C57^(-2)+2*$J$3*C57+ 6*$K$3*C57^2+ 12*$L$3*C57^3)</f>
        <v>27.821620721804731</v>
      </c>
      <c r="H57" s="9">
        <f>10*$B$3*(C57*$G$7-$H$7*2/C57+$J$7*C57^2+$K$7*2*C57^3+$L$7*3*C57^4-$I$7+$E$7)</f>
        <v>2.0311727027027078</v>
      </c>
      <c r="I57" s="6">
        <f>$B$3*($F$7+$G$7+$G$7*LN(C57)-$H$7/C57^2+$J$7*2*C57+$K$7*3*C57^2+$L$7*4*C57^3)</f>
        <v>46.855592661722639</v>
      </c>
      <c r="J57" s="3">
        <f>($E$7-C57*($F$7+$G$7*LN(C57)+$H$7*C57^(-2)+$I$7*C57^(-1)+$J$7*C57+$K$7*C57^2+$L$7*C57^3))*$B$3*10</f>
        <v>-15.571333729674187</v>
      </c>
      <c r="K57" s="6">
        <f>$B$3*($G$7+2*$H$7*C57^(-2)+2*$J$7*C57+ 6*$K$7*C57^2+ 12*$L$7*C57^3)</f>
        <v>26.2</v>
      </c>
      <c r="L57" s="6">
        <f>N57+M57*B57</f>
        <v>1984.1672918863642</v>
      </c>
      <c r="M57" s="6">
        <f>-SUM(Q57:X57)</f>
        <v>48.180700606678371</v>
      </c>
      <c r="N57" s="8">
        <f>SUM(Z57:AG57)</f>
        <v>-16116.149963054979</v>
      </c>
      <c r="O57" s="8"/>
      <c r="Q57">
        <f>IF( OR( E$10="д",E$10="l"),E$11/$B57,  IF( OR( E$10="g",E$10="п"),E$11*(LN($B57)+1),  $B57^(E$10-1)*E$10*E$11))</f>
        <v>0</v>
      </c>
      <c r="R57">
        <f>IF( OR( F$10="д",F$10="l"),F$11/$B57,  IF( OR( F$10="g",F$10="п"),F$11*(LN($B57)+1),  $B57^(F$10-1)*F$10*F$11))</f>
        <v>92.539694999999995</v>
      </c>
      <c r="S57">
        <f>IF( OR( G$10="д",G$10="l"),G$11/$B57,  IF( OR( G$10="g",G$10="п"),G$11*(LN($B57)+1),  $B57^(G$10-1)*G$10*G$11))</f>
        <v>-132.61581959192307</v>
      </c>
      <c r="T57">
        <f>IF( OR( H$10="д",H$10="l"),H$11/$B57,  IF( OR( H$10="g",H$10="п"),H$11*(LN($B57)+1),  $B57^(H$10-1)*H$10*H$11))</f>
        <v>-9.2378648648648696</v>
      </c>
      <c r="U57">
        <f>IF( OR( I$10="д",I$10="l"),I$11/$B57,  IF( OR( I$10="g",I$10="п"),I$11*(LN($B57)+1),  $B57^(I$10-1)*I$10*I$11))</f>
        <v>1.1332888501095699</v>
      </c>
      <c r="V57">
        <f>IF( OR( J$10="д",J$10="l"),J$11/$B57,  IF( OR( J$10="g",J$10="п"),J$11*(LN($B57)+1),  $B57^(J$10-1)*J$10*J$11))</f>
        <v>0</v>
      </c>
      <c r="W57">
        <f>IF( OR( K$10="д",K$10="l"),K$11/$B57,  IF( OR( K$10="g",K$10="п"),K$11*(LN($B57)+1),  $B57^(K$10-1)*K$10*K$11))</f>
        <v>0</v>
      </c>
      <c r="X57">
        <f>IF( OR( L$10="д",L$10="l"),L$11/$B57,  IF( OR( L$10="g",L$10="п"),L$11*(LN($B57)+1),  $B57^(L$10-1)*L$10*L$11))</f>
        <v>0</v>
      </c>
      <c r="Z57">
        <f>IF( OR( E$10="д",E$10="l"),E$11*LN($B57),  IF( OR( E$10="g",E$10="п"),E$11*$B57*LN($B57),  ($B57^E$10)*E$11))</f>
        <v>-6657.6530000000002</v>
      </c>
      <c r="AA57">
        <f>IF( OR( F$10="д",F$10="l"),F$11*LN($B57),  IF( OR( F$10="g",F$10="п"),F$11*$B57*LN($B57),  ($B57^F$10)*F$11))</f>
        <v>34764.912445945956</v>
      </c>
      <c r="AB57">
        <f>IF( OR( G$10="д",G$10="l"),G$11*LN($B57),  IF( OR( G$10="g",G$10="п"),G$11*$B57*LN($B57),  ($B57^G$10)*G$11))</f>
        <v>-42630.105198046796</v>
      </c>
      <c r="AC57">
        <f>IF( OR( H$10="д",H$10="l"),H$11*LN($B57),  IF( OR( H$10="g",H$10="п"),H$11*$B57*LN($B57),  ($B57^H$10)*H$11))</f>
        <v>-1735.2205624543476</v>
      </c>
      <c r="AD57">
        <f>IF( OR( I$10="д",I$10="l"),I$11*LN($B57),  IF( OR( I$10="g",I$10="п"),I$11*$B57*LN($B57),  ($B57^I$10)*I$11))</f>
        <v>141.91635150020747</v>
      </c>
      <c r="AE57">
        <f>IF( OR( J$10="д",J$10="l"),J$11*LN($B57),  IF( OR( J$10="g",J$10="п"),J$11*$B57*LN($B57),  ($B57^J$10)*J$11))</f>
        <v>0</v>
      </c>
      <c r="AF57">
        <f>IF( OR( K$10="д",K$10="l"),K$11*LN($B57),  IF( OR( K$10="g",K$10="п"),K$11*$B57*LN($B57),  ($B57^K$10)*K$11))</f>
        <v>0</v>
      </c>
      <c r="AG57">
        <f>IF( OR( L$10="д",L$10="l"),L$11*LN($B57),  IF( OR( L$10="g",L$10="п"),L$11*$B57*LN($B57),  ($B57^L$10)*L$11))</f>
        <v>0</v>
      </c>
      <c r="AP57" s="8">
        <f>(H57-D57)</f>
        <v>-9.4855909453678056E-2</v>
      </c>
      <c r="AQ57" s="8">
        <f>I57-E57</f>
        <v>-0.15581842042237071</v>
      </c>
      <c r="AR57" s="8">
        <f>(J57-F57)</f>
        <v>-3.6318719078776596E-2</v>
      </c>
      <c r="AS57" s="8">
        <f>K57-G57</f>
        <v>-1.6216207218047316</v>
      </c>
      <c r="AT57" s="8">
        <f>H57-L57</f>
        <v>-1982.1361191836615</v>
      </c>
      <c r="AU57" s="3">
        <f>I57-M57</f>
        <v>-1.3251079449557324</v>
      </c>
      <c r="AV57" s="8">
        <f>J57-N57</f>
        <v>16100.578629325304</v>
      </c>
      <c r="AX57" s="5"/>
    </row>
    <row r="58" spans="1:50" hidden="1" x14ac:dyDescent="0.35">
      <c r="A58" s="1" t="s">
        <v>0</v>
      </c>
      <c r="B58" s="4">
        <f>B57+($C$2-$C$1)/$C$48</f>
        <v>385.13513513513533</v>
      </c>
      <c r="C58" s="7">
        <f>B58/10000</f>
        <v>3.851351351351353E-2</v>
      </c>
      <c r="D58" s="9">
        <f>10*$B$3*(C58*$G$3-$H$3*2/C58+$J$3*C58^2+$K$3*2*C58^3+$L$3*3*C58^4-$I$3+$E$3)</f>
        <v>2.3875960944989796</v>
      </c>
      <c r="E58" s="6">
        <f>$B$3*($F$3+$G$3+$G$3*LN(C58)-$H$3/C58^2+$J$3*2*C58+$K$3*3*C58^2+$L$3*4*C58^3)</f>
        <v>47.699067600563822</v>
      </c>
      <c r="F58" s="3">
        <f>($E$3-C58*($F$3+$G$3*LN(C58)+$H$3*C58^(-2)+$I$3*C58^(-1)+$J$3*C58+$K$3*C58^2+$L$3*C58^3))*$B$3*10</f>
        <v>-15.982990751664126</v>
      </c>
      <c r="G58" s="6">
        <f>$B$3*($G$3+2*$H$3*C58^(-2)+2*$J$3*C58+ 6*$K$3*C58^2+ 12*$L$3*C58^3)</f>
        <v>27.449086584032397</v>
      </c>
      <c r="H58" s="9">
        <f>10*$B$3*(C58*$G$7-$H$7*2/C58+$J$7*C58^2+$K$7*2*C58^3+$L$7*3*C58^4-$I$7+$E$7)</f>
        <v>2.2790105405405447</v>
      </c>
      <c r="I58" s="6">
        <f>$B$3*($F$7+$G$7+$G$7*LN(C58)-$H$7/C58^2+$J$7*2*C58+$K$7*3*C58^2+$L$7*4*C58^3)</f>
        <v>47.507136006066588</v>
      </c>
      <c r="J58" s="3">
        <f>($E$7-C58*($F$7+$G$7*LN(C58)+$H$7*C58^(-2)+$I$7*C58^(-1)+$J$7*C58+$K$7*C58^2+$L$7*C58^3))*$B$3*10</f>
        <v>-16.017656705039158</v>
      </c>
      <c r="K58" s="6">
        <f>$B$3*($G$7+2*$H$7*C58^(-2)+2*$J$7*C58+ 6*$K$7*C58^2+ 12*$L$7*C58^3)</f>
        <v>26.2</v>
      </c>
      <c r="L58" s="6">
        <f>N58+M58*B58</f>
        <v>2231.7217252260562</v>
      </c>
      <c r="M58" s="6">
        <f>-SUM(Q58:X58)</f>
        <v>48.831492875086731</v>
      </c>
      <c r="N58" s="8">
        <f>SUM(Z58:AG58)</f>
        <v>-16575.001882070868</v>
      </c>
      <c r="O58" s="8"/>
      <c r="Q58">
        <f>IF( OR( E$10="д",E$10="l"),E$11/$B58,  IF( OR( E$10="g",E$10="п"),E$11*(LN($B58)+1),  $B58^(E$10-1)*E$10*E$11))</f>
        <v>0</v>
      </c>
      <c r="R58">
        <f>IF( OR( F$10="д",F$10="l"),F$11/$B58,  IF( OR( F$10="g",F$10="п"),F$11*(LN($B58)+1),  $B58^(F$10-1)*F$10*F$11))</f>
        <v>92.539694999999995</v>
      </c>
      <c r="S58">
        <f>IF( OR( G$10="д",G$10="l"),G$11/$B58,  IF( OR( G$10="g",G$10="п"),G$11*(LN($B58)+1),  $B58^(G$10-1)*G$10*G$11))</f>
        <v>-133.09179438622624</v>
      </c>
      <c r="T58">
        <f>IF( OR( H$10="д",H$10="l"),H$11/$B58,  IF( OR( H$10="g",H$10="п"),H$11*(LN($B58)+1),  $B58^(H$10-1)*H$10*H$11))</f>
        <v>-9.4704729729729777</v>
      </c>
      <c r="U58">
        <f>IF( OR( I$10="д",I$10="l"),I$11/$B58,  IF( OR( I$10="g",I$10="п"),I$11*(LN($B58)+1),  $B58^(I$10-1)*I$10*I$11))</f>
        <v>1.1910794841124919</v>
      </c>
      <c r="V58">
        <f>IF( OR( J$10="д",J$10="l"),J$11/$B58,  IF( OR( J$10="g",J$10="п"),J$11*(LN($B58)+1),  $B58^(J$10-1)*J$10*J$11))</f>
        <v>0</v>
      </c>
      <c r="W58">
        <f>IF( OR( K$10="д",K$10="l"),K$11/$B58,  IF( OR( K$10="g",K$10="п"),K$11*(LN($B58)+1),  $B58^(K$10-1)*K$10*K$11))</f>
        <v>0</v>
      </c>
      <c r="X58">
        <f>IF( OR( L$10="д",L$10="l"),L$11/$B58,  IF( OR( L$10="g",L$10="п"),L$11*(LN($B58)+1),  $B58^(L$10-1)*L$10*L$11))</f>
        <v>0</v>
      </c>
      <c r="Z58">
        <f>IF( OR( E$10="д",E$10="l"),E$11*LN($B58),  IF( OR( E$10="g",E$10="п"),E$11*$B58*LN($B58),  ($B58^E$10)*E$11))</f>
        <v>-6657.6530000000002</v>
      </c>
      <c r="AA58">
        <f>IF( OR( F$10="д",F$10="l"),F$11*LN($B58),  IF( OR( F$10="g",F$10="п"),F$11*$B58*LN($B58),  ($B58^F$10)*F$11))</f>
        <v>35640.287939189206</v>
      </c>
      <c r="AB58">
        <f>IF( OR( G$10="д",G$10="l"),G$11*LN($B58),  IF( OR( G$10="g",G$10="п"),G$11*$B58*LN($B58),  ($B58^G$10)*G$11))</f>
        <v>-43886.839729830397</v>
      </c>
      <c r="AC58">
        <f>IF( OR( H$10="д",H$10="l"),H$11*LN($B58),  IF( OR( H$10="g",H$10="п"),H$11*$B58*LN($B58),  ($B58^H$10)*H$11))</f>
        <v>-1823.7059441197971</v>
      </c>
      <c r="AD58">
        <f>IF( OR( I$10="д",I$10="l"),I$11*LN($B58),  IF( OR( I$10="g",I$10="п"),I$11*$B58*LN($B58),  ($B58^I$10)*I$11))</f>
        <v>152.90885269011727</v>
      </c>
      <c r="AE58">
        <f>IF( OR( J$10="д",J$10="l"),J$11*LN($B58),  IF( OR( J$10="g",J$10="п"),J$11*$B58*LN($B58),  ($B58^J$10)*J$11))</f>
        <v>0</v>
      </c>
      <c r="AF58">
        <f>IF( OR( K$10="д",K$10="l"),K$11*LN($B58),  IF( OR( K$10="g",K$10="п"),K$11*$B58*LN($B58),  ($B58^K$10)*K$11))</f>
        <v>0</v>
      </c>
      <c r="AG58">
        <f>IF( OR( L$10="д",L$10="l"),L$11*LN($B58),  IF( OR( L$10="g",L$10="п"),L$11*$B58*LN($B58),  ($B58^L$10)*L$11))</f>
        <v>0</v>
      </c>
      <c r="AP58" s="8">
        <f>(H58-D58)</f>
        <v>-0.10858555395843483</v>
      </c>
      <c r="AQ58" s="8">
        <f>I58-E58</f>
        <v>-0.19193159449723396</v>
      </c>
      <c r="AR58" s="8">
        <f>(J58-F58)</f>
        <v>-3.4665953375032643E-2</v>
      </c>
      <c r="AS58" s="8">
        <f>K58-G58</f>
        <v>-1.2490865840323977</v>
      </c>
      <c r="AT58" s="8">
        <f>H58-L58</f>
        <v>-2229.4427146855155</v>
      </c>
      <c r="AU58" s="3">
        <f>I58-M58</f>
        <v>-1.3243568690201428</v>
      </c>
      <c r="AV58" s="8">
        <f>J58-N58</f>
        <v>16558.984225365828</v>
      </c>
      <c r="AX58" s="5"/>
    </row>
    <row r="59" spans="1:50" hidden="1" x14ac:dyDescent="0.35">
      <c r="A59" s="1" t="s">
        <v>0</v>
      </c>
      <c r="B59" s="4">
        <f>B58+($C$2-$C$1)/$C$48</f>
        <v>394.59459459459481</v>
      </c>
      <c r="C59" s="7">
        <f>B59/10000</f>
        <v>3.945945945945948E-2</v>
      </c>
      <c r="D59" s="9">
        <f>10*$B$3*(C59*$G$3-$H$3*2/C59+$J$3*C59^2+$K$3*2*C59^3+$L$3*3*C59^4-$I$3+$E$3)</f>
        <v>2.6447023469923159</v>
      </c>
      <c r="E59" s="6">
        <f>$B$3*($F$3+$G$3+$G$3*LN(C59)-$H$3/C59^2+$J$3*2*C59+$K$3*3*C59^2+$L$3*4*C59^3)</f>
        <v>48.3586033755141</v>
      </c>
      <c r="F59" s="3">
        <f>($E$3-C59*($F$3+$G$3*LN(C59)+$H$3*C59^(-2)+$I$3*C59^(-1)+$J$3*C59+$K$3*C59^2+$L$3*C59^3))*$B$3*10</f>
        <v>-16.437341147129491</v>
      </c>
      <c r="G59" s="6">
        <f>$B$3*($G$3+2*$H$3*C59^(-2)+2*$J$3*C59+ 6*$K$3*C59^2+ 12*$L$3*C59^3)</f>
        <v>26.875767526540184</v>
      </c>
      <c r="H59" s="9">
        <f>10*$B$3*(C59*$G$7-$H$7*2/C59+$J$7*C59^2+$K$7*2*C59^3+$L$7*3*C59^4-$I$7+$E$7)</f>
        <v>2.5268483783783839</v>
      </c>
      <c r="I59" s="6">
        <f>$B$3*($F$7+$G$7+$G$7*LN(C59)-$H$7/C59^2+$J$7*2*C59+$K$7*3*C59^2+$L$7*4*C59^3)</f>
        <v>48.142869102456928</v>
      </c>
      <c r="J59" s="3">
        <f>($E$7-C59*($F$7+$G$7*LN(C59)+$H$7*C59^(-2)+$I$7*C59^(-1)+$J$7*C59+$K$7*C59^2+$L$7*C59^3))*$B$3*10</f>
        <v>-16.470067537726251</v>
      </c>
      <c r="K59" s="6">
        <f>$B$3*($G$7+2*$H$7*C59^(-2)+2*$J$7*C59+ 6*$K$7*C59^2+ 12*$L$7*C59^3)</f>
        <v>26.2</v>
      </c>
      <c r="L59" s="6">
        <f>N59+M59*B59</f>
        <v>2480.3695753357242</v>
      </c>
      <c r="M59" s="6">
        <f>-SUM(Q59:X59)</f>
        <v>49.46929814698948</v>
      </c>
      <c r="N59" s="8">
        <f>SUM(Z59:AG59)</f>
        <v>-17039.948071854731</v>
      </c>
      <c r="O59" s="8"/>
      <c r="Q59">
        <f>IF( OR( E$10="д",E$10="l"),E$11/$B59,  IF( OR( E$10="g",E$10="п"),E$11*(LN($B59)+1),  $B59^(E$10-1)*E$10*E$11))</f>
        <v>0</v>
      </c>
      <c r="R59">
        <f>IF( OR( F$10="д",F$10="l"),F$11/$B59,  IF( OR( F$10="g",F$10="п"),F$11*(LN($B59)+1),  $B59^(F$10-1)*F$10*F$11))</f>
        <v>92.539694999999995</v>
      </c>
      <c r="S59">
        <f>IF( OR( G$10="д",G$10="l"),G$11/$B59,  IF( OR( G$10="g",G$10="п"),G$11*(LN($B59)+1),  $B59^(G$10-1)*G$10*G$11))</f>
        <v>-133.55621925129918</v>
      </c>
      <c r="T59">
        <f>IF( OR( H$10="д",H$10="l"),H$11/$B59,  IF( OR( H$10="g",H$10="п"),H$11*(LN($B59)+1),  $B59^(H$10-1)*H$10*H$11))</f>
        <v>-9.7030810810810859</v>
      </c>
      <c r="U59">
        <f>IF( OR( I$10="д",I$10="l"),I$11/$B59,  IF( OR( I$10="g",I$10="п"),I$11*(LN($B59)+1),  $B59^(I$10-1)*I$10*I$11))</f>
        <v>1.2503071853907974</v>
      </c>
      <c r="V59">
        <f>IF( OR( J$10="д",J$10="l"),J$11/$B59,  IF( OR( J$10="g",J$10="п"),J$11*(LN($B59)+1),  $B59^(J$10-1)*J$10*J$11))</f>
        <v>0</v>
      </c>
      <c r="W59">
        <f>IF( OR( K$10="д",K$10="l"),K$11/$B59,  IF( OR( K$10="g",K$10="п"),K$11*(LN($B59)+1),  $B59^(K$10-1)*K$10*K$11))</f>
        <v>0</v>
      </c>
      <c r="X59">
        <f>IF( OR( L$10="д",L$10="l"),L$11/$B59,  IF( OR( L$10="g",L$10="п"),L$11*(LN($B59)+1),  $B59^(L$10-1)*L$10*L$11))</f>
        <v>0</v>
      </c>
      <c r="Z59">
        <f>IF( OR( E$10="д",E$10="l"),E$11*LN($B59),  IF( OR( E$10="g",E$10="п"),E$11*$B59*LN($B59),  ($B59^E$10)*E$11))</f>
        <v>-6657.6530000000002</v>
      </c>
      <c r="AA59">
        <f>IF( OR( F$10="д",F$10="l"),F$11*LN($B59),  IF( OR( F$10="g",F$10="п"),F$11*$B59*LN($B59),  ($B59^F$10)*F$11))</f>
        <v>36515.663432432448</v>
      </c>
      <c r="AB59">
        <f>IF( OR( G$10="д",G$10="l"),G$11*LN($B59),  IF( OR( G$10="g",G$10="п"),G$11*$B59*LN($B59),  ($B59^G$10)*G$11))</f>
        <v>-45148.021650512674</v>
      </c>
      <c r="AC59">
        <f>IF( OR( H$10="д",H$10="l"),H$11*LN($B59),  IF( OR( H$10="g",H$10="п"),H$11*$B59*LN($B59),  ($B59^H$10)*H$11))</f>
        <v>-1914.3916727538372</v>
      </c>
      <c r="AD59">
        <f>IF( OR( I$10="д",I$10="l"),I$11*LN($B59),  IF( OR( I$10="g",I$10="п"),I$11*$B59*LN($B59),  ($B59^I$10)*I$11))</f>
        <v>164.45481897933021</v>
      </c>
      <c r="AE59">
        <f>IF( OR( J$10="д",J$10="l"),J$11*LN($B59),  IF( OR( J$10="g",J$10="п"),J$11*$B59*LN($B59),  ($B59^J$10)*J$11))</f>
        <v>0</v>
      </c>
      <c r="AF59">
        <f>IF( OR( K$10="д",K$10="l"),K$11*LN($B59),  IF( OR( K$10="g",K$10="п"),K$11*$B59*LN($B59),  ($B59^K$10)*K$11))</f>
        <v>0</v>
      </c>
      <c r="AG59">
        <f>IF( OR( L$10="д",L$10="l"),L$11*LN($B59),  IF( OR( L$10="g",L$10="п"),L$11*$B59*LN($B59),  ($B59^L$10)*L$11))</f>
        <v>0</v>
      </c>
      <c r="AP59" s="8">
        <f>(H59-D59)</f>
        <v>-0.11785396861393194</v>
      </c>
      <c r="AQ59" s="8">
        <f>I59-E59</f>
        <v>-0.21573427305717274</v>
      </c>
      <c r="AR59" s="8">
        <f>(J59-F59)</f>
        <v>-3.2726390596760524E-2</v>
      </c>
      <c r="AS59" s="8">
        <f>K59-G59</f>
        <v>-0.67576752654018435</v>
      </c>
      <c r="AT59" s="8">
        <f>H59-L59</f>
        <v>-2477.8427269573458</v>
      </c>
      <c r="AU59" s="3">
        <f>I59-M59</f>
        <v>-1.3264290445325528</v>
      </c>
      <c r="AV59" s="8">
        <f>J59-N59</f>
        <v>17023.478004317003</v>
      </c>
      <c r="AX59" s="5"/>
    </row>
    <row r="60" spans="1:50" hidden="1" x14ac:dyDescent="0.35">
      <c r="A60" s="1" t="s">
        <v>0</v>
      </c>
      <c r="B60" s="4">
        <f>B59+($C$2-$C$1)/$C$48</f>
        <v>404.05405405405429</v>
      </c>
      <c r="C60" s="7">
        <f>B60/10000</f>
        <v>4.040540540540543E-2</v>
      </c>
      <c r="D60" s="9">
        <f>10*$B$3*(C60*$G$3-$H$3*2/C60+$J$3*C60^2+$K$3*2*C60^3+$L$3*3*C60^4-$I$3+$E$3)</f>
        <v>2.8953765693590015</v>
      </c>
      <c r="E60" s="6">
        <f>$B$3*($F$3+$G$3+$G$3*LN(C60)-$H$3/C60^2+$J$3*2*C60+$K$3*3*C60^2+$L$3*4*C60^3)</f>
        <v>48.986415547292886</v>
      </c>
      <c r="F60" s="3">
        <f>($E$3-C60*($F$3+$G$3*LN(C60)+$H$3*C60^(-2)+$I$3*C60^(-1)+$J$3*C60+$K$3*C60^2+$L$3*C60^3))*$B$3*10</f>
        <v>-16.897783226101296</v>
      </c>
      <c r="G60" s="6">
        <f>$B$3*($G$3+2*$H$3*C60^(-2)+2*$J$3*C60+ 6*$K$3*C60^2+ 12*$L$3*C60^3)</f>
        <v>26.086849574290493</v>
      </c>
      <c r="H60" s="9">
        <f>10*$B$3*(C60*$G$7-$H$7*2/C60+$J$7*C60^2+$K$7*2*C60^3+$L$7*3*C60^4-$I$7+$E$7)</f>
        <v>2.774686216216224</v>
      </c>
      <c r="I60" s="6">
        <f>$B$3*($F$7+$G$7+$G$7*LN(C60)-$H$7/C60^2+$J$7*2*C60+$K$7*3*C60^2+$L$7*4*C60^3)</f>
        <v>48.763541105863936</v>
      </c>
      <c r="J60" s="3">
        <f>($E$7-C60*($F$7+$G$7*LN(C60)+$H$7*C60^(-2)+$I$7*C60^(-1)+$J$7*C60+$K$7*C60^2+$L$7*C60^3))*$B$3*10</f>
        <v>-16.928420257639626</v>
      </c>
      <c r="K60" s="6">
        <f>$B$3*($G$7+2*$H$7*C60^(-2)+2*$J$7*C60+ 6*$K$7*C60^2+ 12*$L$7*C60^3)</f>
        <v>26.2</v>
      </c>
      <c r="L60" s="6">
        <f>N60+M60*B60</f>
        <v>2730.0836544561098</v>
      </c>
      <c r="M60" s="6">
        <f>-SUM(Q60:X60)</f>
        <v>50.094663705826726</v>
      </c>
      <c r="N60" s="8">
        <f>SUM(Z60:AG60)</f>
        <v>-17510.868302357674</v>
      </c>
      <c r="O60" s="8"/>
      <c r="Q60">
        <f>IF( OR( E$10="д",E$10="l"),E$11/$B60,  IF( OR( E$10="g",E$10="п"),E$11*(LN($B60)+1),  $B60^(E$10-1)*E$10*E$11))</f>
        <v>0</v>
      </c>
      <c r="R60">
        <f>IF( OR( F$10="д",F$10="l"),F$11/$B60,  IF( OR( F$10="g",F$10="п"),F$11*(LN($B60)+1),  $B60^(F$10-1)*F$10*F$11))</f>
        <v>92.539694999999995</v>
      </c>
      <c r="S60">
        <f>IF( OR( G$10="д",G$10="l"),G$11/$B60,  IF( OR( G$10="g",G$10="п"),G$11*(LN($B60)+1),  $B60^(G$10-1)*G$10*G$11))</f>
        <v>-134.00964147058201</v>
      </c>
      <c r="T60">
        <f>IF( OR( H$10="д",H$10="l"),H$11/$B60,  IF( OR( H$10="g",H$10="п"),H$11*(LN($B60)+1),  $B60^(H$10-1)*H$10*H$11))</f>
        <v>-9.9356891891891959</v>
      </c>
      <c r="U60">
        <f>IF( OR( I$10="д",I$10="l"),I$11/$B60,  IF( OR( I$10="g",I$10="п"),I$11*(LN($B60)+1),  $B60^(I$10-1)*I$10*I$11))</f>
        <v>1.3109719539444864</v>
      </c>
      <c r="V60">
        <f>IF( OR( J$10="д",J$10="l"),J$11/$B60,  IF( OR( J$10="g",J$10="п"),J$11*(LN($B60)+1),  $B60^(J$10-1)*J$10*J$11))</f>
        <v>0</v>
      </c>
      <c r="W60">
        <f>IF( OR( K$10="д",K$10="l"),K$11/$B60,  IF( OR( K$10="g",K$10="п"),K$11*(LN($B60)+1),  $B60^(K$10-1)*K$10*K$11))</f>
        <v>0</v>
      </c>
      <c r="X60">
        <f>IF( OR( L$10="д",L$10="l"),L$11/$B60,  IF( OR( L$10="g",L$10="п"),L$11*(LN($B60)+1),  $B60^(L$10-1)*L$10*L$11))</f>
        <v>0</v>
      </c>
      <c r="Z60">
        <f>IF( OR( E$10="д",E$10="l"),E$11*LN($B60),  IF( OR( E$10="g",E$10="п"),E$11*$B60*LN($B60),  ($B60^E$10)*E$11))</f>
        <v>-6657.6530000000002</v>
      </c>
      <c r="AA60">
        <f>IF( OR( F$10="д",F$10="l"),F$11*LN($B60),  IF( OR( F$10="g",F$10="п"),F$11*$B60*LN($B60),  ($B60^F$10)*F$11))</f>
        <v>37391.038925675697</v>
      </c>
      <c r="AB60">
        <f>IF( OR( G$10="д",G$10="l"),G$11*LN($B60),  IF( OR( G$10="g",G$10="п"),G$11*$B60*LN($B60),  ($B60^G$10)*G$11))</f>
        <v>-46413.544323924383</v>
      </c>
      <c r="AC60">
        <f>IF( OR( H$10="д",H$10="l"),H$11*LN($B60),  IF( OR( H$10="g",H$10="п"),H$11*$B60*LN($B60),  ($B60^H$10)*H$11))</f>
        <v>-2007.2777483564669</v>
      </c>
      <c r="AD60">
        <f>IF( OR( I$10="д",I$10="l"),I$11*LN($B60),  IF( OR( I$10="g",I$10="п"),I$11*$B60*LN($B60),  ($B60^I$10)*I$11))</f>
        <v>176.56784424747823</v>
      </c>
      <c r="AE60">
        <f>IF( OR( J$10="д",J$10="l"),J$11*LN($B60),  IF( OR( J$10="g",J$10="п"),J$11*$B60*LN($B60),  ($B60^J$10)*J$11))</f>
        <v>0</v>
      </c>
      <c r="AF60">
        <f>IF( OR( K$10="д",K$10="l"),K$11*LN($B60),  IF( OR( K$10="g",K$10="п"),K$11*$B60*LN($B60),  ($B60^K$10)*K$11))</f>
        <v>0</v>
      </c>
      <c r="AG60">
        <f>IF( OR( L$10="д",L$10="l"),L$11*LN($B60),  IF( OR( L$10="g",L$10="п"),L$11*$B60*LN($B60),  ($B60^L$10)*L$11))</f>
        <v>0</v>
      </c>
      <c r="AP60" s="8">
        <f>(H60-D60)</f>
        <v>-0.12069035314277743</v>
      </c>
      <c r="AQ60" s="8">
        <f>I60-E60</f>
        <v>-0.22287444142894941</v>
      </c>
      <c r="AR60" s="8">
        <f>(J60-F60)</f>
        <v>-3.0637031538329751E-2</v>
      </c>
      <c r="AS60" s="8">
        <f>K60-G60</f>
        <v>0.11315042570950595</v>
      </c>
      <c r="AT60" s="8">
        <f>H60-L60</f>
        <v>-2727.3089682398936</v>
      </c>
      <c r="AU60" s="3">
        <f>I60-M60</f>
        <v>-1.3311225999627894</v>
      </c>
      <c r="AV60" s="8">
        <f>J60-N60</f>
        <v>17493.939882100036</v>
      </c>
      <c r="AX60" s="5"/>
    </row>
    <row r="61" spans="1:50" hidden="1" x14ac:dyDescent="0.35">
      <c r="A61" s="1" t="s">
        <v>0</v>
      </c>
      <c r="B61" s="4">
        <f>B60+($C$2-$C$1)/$C$48</f>
        <v>413.51351351351377</v>
      </c>
      <c r="C61" s="7">
        <f>B61/10000</f>
        <v>4.135135135135138E-2</v>
      </c>
      <c r="D61" s="9">
        <f>10*$B$3*(C61*$G$3-$H$3*2/C61+$J$3*C61^2+$K$3*2*C61^3+$L$3*3*C61^4-$I$3+$E$3)</f>
        <v>3.1375159404921171</v>
      </c>
      <c r="E61" s="6">
        <f>$B$3*($F$3+$G$3+$G$3*LN(C61)-$H$3/C61^2+$J$3*2*C61+$K$3*3*C61^2+$L$3*4*C61^3)</f>
        <v>49.578828321029924</v>
      </c>
      <c r="F61" s="3">
        <f>($E$3-C61*($F$3+$G$3*LN(C61)+$H$3*C61^(-2)+$I$3*C61^(-1)+$J$3*C61+$K$3*C61^2+$L$3*C61^3))*$B$3*10</f>
        <v>-17.363999554420264</v>
      </c>
      <c r="G61" s="6">
        <f>$B$3*($G$3+2*$H$3*C61^(-2)+2*$J$3*C61+ 6*$K$3*C61^2+ 12*$L$3*C61^3)</f>
        <v>25.069193545431578</v>
      </c>
      <c r="H61" s="9">
        <f>10*$B$3*(C61*$G$7-$H$7*2/C61+$J$7*C61^2+$K$7*2*C61^3+$L$7*3*C61^4-$I$7+$E$7)</f>
        <v>3.022524054054061</v>
      </c>
      <c r="I61" s="6">
        <f>$B$3*($F$7+$G$7+$G$7*LN(C61)-$H$7/C61^2+$J$7*2*C61+$K$7*3*C61^2+$L$7*4*C61^3)</f>
        <v>49.369849154180343</v>
      </c>
      <c r="J61" s="3">
        <f>($E$7-C61*($F$7+$G$7*LN(C61)+$H$7*C61^(-2)+$I$7*C61^(-1)+$J$7*C61+$K$7*C61^2+$L$7*C61^3))*$B$3*10</f>
        <v>-17.392575731323227</v>
      </c>
      <c r="K61" s="6">
        <f>$B$3*($G$7+2*$H$7*C61^(-2)+2*$J$7*C61+ 6*$K$7*C61^2+ 12*$L$7*C61^3)</f>
        <v>26.2</v>
      </c>
      <c r="L61" s="6">
        <f>N61+M61*B61</f>
        <v>2980.8367748279597</v>
      </c>
      <c r="M61" s="6">
        <f>-SUM(Q61:X61)</f>
        <v>50.708098834776607</v>
      </c>
      <c r="N61" s="8">
        <f>SUM(Z61:AG61)</f>
        <v>-17987.64733793103</v>
      </c>
      <c r="O61" s="8"/>
      <c r="Q61">
        <f>IF( OR( E$10="д",E$10="l"),E$11/$B61,  IF( OR( E$10="g",E$10="п"),E$11*(LN($B61)+1),  $B61^(E$10-1)*E$10*E$11))</f>
        <v>0</v>
      </c>
      <c r="R61">
        <f>IF( OR( F$10="д",F$10="l"),F$11/$B61,  IF( OR( F$10="g",F$10="п"),F$11*(LN($B61)+1),  $B61^(F$10-1)*F$10*F$11))</f>
        <v>92.539694999999995</v>
      </c>
      <c r="S61">
        <f>IF( OR( G$10="д",G$10="l"),G$11/$B61,  IF( OR( G$10="g",G$10="п"),G$11*(LN($B61)+1),  $B61^(G$10-1)*G$10*G$11))</f>
        <v>-134.45257032725286</v>
      </c>
      <c r="T61">
        <f>IF( OR( H$10="д",H$10="l"),H$11/$B61,  IF( OR( H$10="g",H$10="п"),H$11*(LN($B61)+1),  $B61^(H$10-1)*H$10*H$11))</f>
        <v>-10.168297297297304</v>
      </c>
      <c r="U61">
        <f>IF( OR( I$10="д",I$10="l"),I$11/$B61,  IF( OR( I$10="g",I$10="п"),I$11*(LN($B61)+1),  $B61^(I$10-1)*I$10*I$11))</f>
        <v>1.373073789773559</v>
      </c>
      <c r="V61">
        <f>IF( OR( J$10="д",J$10="l"),J$11/$B61,  IF( OR( J$10="g",J$10="п"),J$11*(LN($B61)+1),  $B61^(J$10-1)*J$10*J$11))</f>
        <v>0</v>
      </c>
      <c r="W61">
        <f>IF( OR( K$10="д",K$10="l"),K$11/$B61,  IF( OR( K$10="g",K$10="п"),K$11*(LN($B61)+1),  $B61^(K$10-1)*K$10*K$11))</f>
        <v>0</v>
      </c>
      <c r="X61">
        <f>IF( OR( L$10="д",L$10="l"),L$11/$B61,  IF( OR( L$10="g",L$10="п"),L$11*(LN($B61)+1),  $B61^(L$10-1)*L$10*L$11))</f>
        <v>0</v>
      </c>
      <c r="Z61">
        <f>IF( OR( E$10="д",E$10="l"),E$11*LN($B61),  IF( OR( E$10="g",E$10="п"),E$11*$B61*LN($B61),  ($B61^E$10)*E$11))</f>
        <v>-6657.6530000000002</v>
      </c>
      <c r="AA61">
        <f>IF( OR( F$10="д",F$10="l"),F$11*LN($B61),  IF( OR( F$10="g",F$10="п"),F$11*$B61*LN($B61),  ($B61^F$10)*F$11))</f>
        <v>38266.414418918939</v>
      </c>
      <c r="AB61">
        <f>IF( OR( G$10="д",G$10="l"),G$11*LN($B61),  IF( OR( G$10="g",G$10="п"),G$11*$B61*LN($B61),  ($B61^G$10)*G$11))</f>
        <v>-47683.306108296478</v>
      </c>
      <c r="AC61">
        <f>IF( OR( H$10="д",H$10="l"),H$11*LN($B61),  IF( OR( H$10="g",H$10="п"),H$11*$B61*LN($B61),  ($B61^H$10)*H$11))</f>
        <v>-2102.3641709276872</v>
      </c>
      <c r="AD61">
        <f>IF( OR( I$10="д",I$10="l"),I$11*LN($B61),  IF( OR( I$10="g",I$10="п"),I$11*$B61*LN($B61),  ($B61^I$10)*I$11))</f>
        <v>189.26152237419339</v>
      </c>
      <c r="AE61">
        <f>IF( OR( J$10="д",J$10="l"),J$11*LN($B61),  IF( OR( J$10="g",J$10="п"),J$11*$B61*LN($B61),  ($B61^J$10)*J$11))</f>
        <v>0</v>
      </c>
      <c r="AF61">
        <f>IF( OR( K$10="д",K$10="l"),K$11*LN($B61),  IF( OR( K$10="g",K$10="п"),K$11*$B61*LN($B61),  ($B61^K$10)*K$11))</f>
        <v>0</v>
      </c>
      <c r="AG61">
        <f>IF( OR( L$10="д",L$10="l"),L$11*LN($B61),  IF( OR( L$10="g",L$10="п"),L$11*$B61*LN($B61),  ($B61^L$10)*L$11))</f>
        <v>0</v>
      </c>
      <c r="AP61" s="8">
        <f>(H61-D61)</f>
        <v>-0.11499188643805613</v>
      </c>
      <c r="AQ61" s="8">
        <f>I61-E61</f>
        <v>-0.20897916684958062</v>
      </c>
      <c r="AR61" s="8">
        <f>(J61-F61)</f>
        <v>-2.8576176902962658E-2</v>
      </c>
      <c r="AS61" s="8">
        <f>K61-G61</f>
        <v>1.1308064545684218</v>
      </c>
      <c r="AT61" s="8">
        <f>H61-L61</f>
        <v>-2977.8142507739058</v>
      </c>
      <c r="AU61" s="3">
        <f>I61-M61</f>
        <v>-1.3382496805962631</v>
      </c>
      <c r="AV61" s="8">
        <f>J61-N61</f>
        <v>17970.254762199707</v>
      </c>
      <c r="AX61" s="5"/>
    </row>
    <row r="62" spans="1:50" hidden="1" x14ac:dyDescent="0.35">
      <c r="A62" s="1" t="s">
        <v>0</v>
      </c>
      <c r="B62" s="4">
        <f>B61+($C$2-$C$1)/$C$48</f>
        <v>422.97297297297325</v>
      </c>
      <c r="C62" s="7">
        <f>B62/10000</f>
        <v>4.2297297297297323E-2</v>
      </c>
      <c r="D62" s="9">
        <f>10*$B$3*(C62*$G$3-$H$3*2/C62+$J$3*C62^2+$K$3*2*C62^3+$L$3*3*C62^4-$I$3+$E$3)</f>
        <v>3.3689003811678373</v>
      </c>
      <c r="E62" s="6">
        <f>$B$3*($F$3+$G$3+$G$3*LN(C62)-$H$3/C62^2+$J$3*2*C62+$K$3*3*C62^2+$L$3*4*C62^3)</f>
        <v>50.132134881280265</v>
      </c>
      <c r="F62" s="3">
        <f>($E$3-C62*($F$3+$G$3*LN(C62)+$H$3*C62^(-2)+$I$3*C62^(-1)+$J$3*C62+$K$3*C62^2+$L$3*C62^3))*$B$3*10</f>
        <v>-17.835637751049379</v>
      </c>
      <c r="G62" s="6">
        <f>$B$3*($G$3+2*$H$3*C62^(-2)+2*$J$3*C62+ 6*$K$3*C62^2+ 12*$L$3*C62^3)</f>
        <v>23.811112871844703</v>
      </c>
      <c r="H62" s="9">
        <f>10*$B$3*(C62*$G$7-$H$7*2/C62+$J$7*C62^2+$K$7*2*C62^3+$L$7*3*C62^4-$I$7+$E$7)</f>
        <v>3.2703618918919002</v>
      </c>
      <c r="I62" s="6">
        <f>$B$3*($F$7+$G$7+$G$7*LN(C62)-$H$7/C62^2+$J$7*2*C62+$K$7*3*C62^2+$L$7*4*C62^3)</f>
        <v>49.962443075179969</v>
      </c>
      <c r="J62" s="3">
        <f>($E$7-C62*($F$7+$G$7*LN(C62)+$H$7*C62^(-2)+$I$7*C62^(-1)+$J$7*C62+$K$7*C62^2+$L$7*C62^3))*$B$3*10</f>
        <v>-17.862401192609912</v>
      </c>
      <c r="K62" s="6">
        <f>$B$3*($G$7+2*$H$7*C62^(-2)+2*$J$7*C62+ 6*$K$7*C62^2+ 12*$L$7*C62^3)</f>
        <v>26.2</v>
      </c>
      <c r="L62" s="6">
        <f>N62+M62*B62</f>
        <v>3232.6017486919991</v>
      </c>
      <c r="M62" s="6">
        <f>-SUM(Q62:X62)</f>
        <v>51.31007825535022</v>
      </c>
      <c r="N62" s="8">
        <f>SUM(Z62:AG62)</f>
        <v>-18470.174594449392</v>
      </c>
      <c r="O62" s="8"/>
      <c r="Q62">
        <f>IF( OR( E$10="д",E$10="l"),E$11/$B62,  IF( OR( E$10="g",E$10="п"),E$11*(LN($B62)+1),  $B62^(E$10-1)*E$10*E$11))</f>
        <v>0</v>
      </c>
      <c r="R62">
        <f>IF( OR( F$10="д",F$10="l"),F$11/$B62,  IF( OR( F$10="g",F$10="п"),F$11*(LN($B62)+1),  $B62^(F$10-1)*F$10*F$11))</f>
        <v>92.539694999999995</v>
      </c>
      <c r="S62">
        <f>IF( OR( G$10="д",G$10="l"),G$11/$B62,  IF( OR( G$10="g",G$10="п"),G$11*(LN($B62)+1),  $B62^(G$10-1)*G$10*G$11))</f>
        <v>-134.88548054282282</v>
      </c>
      <c r="T62">
        <f>IF( OR( H$10="д",H$10="l"),H$11/$B62,  IF( OR( H$10="g",H$10="п"),H$11*(LN($B62)+1),  $B62^(H$10-1)*H$10*H$11))</f>
        <v>-10.400905405405412</v>
      </c>
      <c r="U62">
        <f>IF( OR( I$10="д",I$10="l"),I$11/$B62,  IF( OR( I$10="g",I$10="п"),I$11*(LN($B62)+1),  $B62^(I$10-1)*I$10*I$11))</f>
        <v>1.4366126928780152</v>
      </c>
      <c r="V62">
        <f>IF( OR( J$10="д",J$10="l"),J$11/$B62,  IF( OR( J$10="g",J$10="п"),J$11*(LN($B62)+1),  $B62^(J$10-1)*J$10*J$11))</f>
        <v>0</v>
      </c>
      <c r="W62">
        <f>IF( OR( K$10="д",K$10="l"),K$11/$B62,  IF( OR( K$10="g",K$10="п"),K$11*(LN($B62)+1),  $B62^(K$10-1)*K$10*K$11))</f>
        <v>0</v>
      </c>
      <c r="X62">
        <f>IF( OR( L$10="д",L$10="l"),L$11/$B62,  IF( OR( L$10="g",L$10="п"),L$11*(LN($B62)+1),  $B62^(L$10-1)*L$10*L$11))</f>
        <v>0</v>
      </c>
      <c r="Z62">
        <f>IF( OR( E$10="д",E$10="l"),E$11*LN($B62),  IF( OR( E$10="g",E$10="п"),E$11*$B62*LN($B62),  ($B62^E$10)*E$11))</f>
        <v>-6657.6530000000002</v>
      </c>
      <c r="AA62">
        <f>IF( OR( F$10="д",F$10="l"),F$11*LN($B62),  IF( OR( F$10="g",F$10="п"),F$11*$B62*LN($B62),  ($B62^F$10)*F$11))</f>
        <v>39141.789912162189</v>
      </c>
      <c r="AB62">
        <f>IF( OR( G$10="д",G$10="l"),G$11*LN($B62),  IF( OR( G$10="g",G$10="п"),G$11*$B62*LN($B62),  ($B62^G$10)*G$11))</f>
        <v>-48957.210013383192</v>
      </c>
      <c r="AC62">
        <f>IF( OR( H$10="д",H$10="l"),H$11*LN($B62),  IF( OR( H$10="g",H$10="п"),H$11*$B62*LN($B62),  ($B62^H$10)*H$11))</f>
        <v>-2199.6509404674975</v>
      </c>
      <c r="AD62">
        <f>IF( OR( I$10="д",I$10="l"),I$11*LN($B62),  IF( OR( I$10="g",I$10="п"),I$11*$B62*LN($B62),  ($B62^I$10)*I$11))</f>
        <v>202.54944723910768</v>
      </c>
      <c r="AE62">
        <f>IF( OR( J$10="д",J$10="l"),J$11*LN($B62),  IF( OR( J$10="g",J$10="п"),J$11*$B62*LN($B62),  ($B62^J$10)*J$11))</f>
        <v>0</v>
      </c>
      <c r="AF62">
        <f>IF( OR( K$10="д",K$10="l"),K$11*LN($B62),  IF( OR( K$10="g",K$10="п"),K$11*$B62*LN($B62),  ($B62^K$10)*K$11))</f>
        <v>0</v>
      </c>
      <c r="AG62">
        <f>IF( OR( L$10="д",L$10="l"),L$11*LN($B62),  IF( OR( L$10="g",L$10="п"),L$11*$B62*LN($B62),  ($B62^L$10)*L$11))</f>
        <v>0</v>
      </c>
      <c r="AP62" s="8">
        <f>(H62-D62)</f>
        <v>-9.8538489275937113E-2</v>
      </c>
      <c r="AQ62" s="8">
        <f>I62-E62</f>
        <v>-0.16969180610029611</v>
      </c>
      <c r="AR62" s="8">
        <f>(J62-F62)</f>
        <v>-2.6763441560532897E-2</v>
      </c>
      <c r="AS62" s="8">
        <f>K62-G62</f>
        <v>2.3888871281552966</v>
      </c>
      <c r="AT62" s="8">
        <f>H62-L62</f>
        <v>-3229.3313868001073</v>
      </c>
      <c r="AU62" s="3">
        <f>I62-M62</f>
        <v>-1.3476351801702506</v>
      </c>
      <c r="AV62" s="8">
        <f>J62-N62</f>
        <v>18452.312193256781</v>
      </c>
      <c r="AX62" s="5"/>
    </row>
    <row r="63" spans="1:50" hidden="1" x14ac:dyDescent="0.35">
      <c r="A63" s="1" t="s">
        <v>0</v>
      </c>
      <c r="B63" s="4">
        <f>B62+($C$2-$C$1)/$C$48</f>
        <v>432.43243243243273</v>
      </c>
      <c r="C63" s="7">
        <f>B63/10000</f>
        <v>4.3243243243243273E-2</v>
      </c>
      <c r="D63" s="9">
        <f>10*$B$3*(C63*$G$3-$H$3*2/C63+$J$3*C63^2+$K$3*2*C63^3+$L$3*3*C63^4-$I$3+$E$3)</f>
        <v>3.5872053791518672</v>
      </c>
      <c r="E63" s="6">
        <f>$B$3*($F$3+$G$3+$G$3*LN(C63)-$H$3/C63^2+$J$3*2*C63+$K$3*3*C63^2+$L$3*4*C63^3)</f>
        <v>50.642630137414251</v>
      </c>
      <c r="F63" s="3">
        <f>($E$3-C63*($F$3+$G$3*LN(C63)+$H$3*C63^(-2)+$I$3*C63^(-1)+$J$3*C63+$K$3*C63^2+$L$3*C63^3))*$B$3*10</f>
        <v>-18.312310355946195</v>
      </c>
      <c r="G63" s="6">
        <f>$B$3*($G$3+2*$H$3*C63^(-2)+2*$J$3*C63+ 6*$K$3*C63^2+ 12*$L$3*C63^3)</f>
        <v>22.302185061458228</v>
      </c>
      <c r="H63" s="9">
        <f>10*$B$3*(C63*$G$7-$H$7*2/C63+$J$7*C63^2+$K$7*2*C63^3+$L$7*3*C63^4-$I$7+$E$7)</f>
        <v>3.5181997297297389</v>
      </c>
      <c r="I63" s="6">
        <f>$B$3*($F$7+$G$7+$G$7*LN(C63)-$H$7/C63^2+$J$7*2*C63+$K$7*3*C63^2+$L$7*4*C63^3)</f>
        <v>50.541929572824785</v>
      </c>
      <c r="J63" s="3">
        <f>($E$7-C63*($F$7+$G$7*LN(C63)+$H$7*C63^(-2)+$I$7*C63^(-1)+$J$7*C63+$K$7*C63^2+$L$7*C63^3))*$B$3*10</f>
        <v>-18.337769815275585</v>
      </c>
      <c r="K63" s="6">
        <f>$B$3*($G$7+2*$H$7*C63^(-2)+2*$J$7*C63+ 6*$K$7*C63^2+ 12*$L$7*C63^3)</f>
        <v>26.2</v>
      </c>
      <c r="L63" s="6">
        <f>N63+M63*B63</f>
        <v>3485.3513882889674</v>
      </c>
      <c r="M63" s="6">
        <f>-SUM(Q63:X63)</f>
        <v>51.901045185632761</v>
      </c>
      <c r="N63" s="8">
        <f>SUM(Z63:AG63)</f>
        <v>-18958.34382711981</v>
      </c>
      <c r="O63" s="8"/>
      <c r="Q63">
        <f>IF( OR( E$10="д",E$10="l"),E$11/$B63,  IF( OR( E$10="g",E$10="п"),E$11*(LN($B63)+1),  $B63^(E$10-1)*E$10*E$11))</f>
        <v>0</v>
      </c>
      <c r="R63">
        <f>IF( OR( F$10="д",F$10="l"),F$11/$B63,  IF( OR( F$10="g",F$10="п"),F$11*(LN($B63)+1),  $B63^(F$10-1)*F$10*F$11))</f>
        <v>92.539694999999995</v>
      </c>
      <c r="S63">
        <f>IF( OR( G$10="д",G$10="l"),G$11/$B63,  IF( OR( G$10="g",G$10="п"),G$11*(LN($B63)+1),  $B63^(G$10-1)*G$10*G$11))</f>
        <v>-135.30881533537709</v>
      </c>
      <c r="T63">
        <f>IF( OR( H$10="д",H$10="l"),H$11/$B63,  IF( OR( H$10="g",H$10="п"),H$11*(LN($B63)+1),  $B63^(H$10-1)*H$10*H$11))</f>
        <v>-10.63351351351352</v>
      </c>
      <c r="U63">
        <f>IF( OR( I$10="д",I$10="l"),I$11/$B63,  IF( OR( I$10="g",I$10="п"),I$11*(LN($B63)+1),  $B63^(I$10-1)*I$10*I$11))</f>
        <v>1.5015886632578543</v>
      </c>
      <c r="V63">
        <f>IF( OR( J$10="д",J$10="l"),J$11/$B63,  IF( OR( J$10="g",J$10="п"),J$11*(LN($B63)+1),  $B63^(J$10-1)*J$10*J$11))</f>
        <v>0</v>
      </c>
      <c r="W63">
        <f>IF( OR( K$10="д",K$10="l"),K$11/$B63,  IF( OR( K$10="g",K$10="п"),K$11*(LN($B63)+1),  $B63^(K$10-1)*K$10*K$11))</f>
        <v>0</v>
      </c>
      <c r="X63">
        <f>IF( OR( L$10="д",L$10="l"),L$11/$B63,  IF( OR( L$10="g",L$10="п"),L$11*(LN($B63)+1),  $B63^(L$10-1)*L$10*L$11))</f>
        <v>0</v>
      </c>
      <c r="Z63">
        <f>IF( OR( E$10="д",E$10="l"),E$11*LN($B63),  IF( OR( E$10="g",E$10="п"),E$11*$B63*LN($B63),  ($B63^E$10)*E$11))</f>
        <v>-6657.6530000000002</v>
      </c>
      <c r="AA63">
        <f>IF( OR( F$10="д",F$10="l"),F$11*LN($B63),  IF( OR( F$10="g",F$10="п"),F$11*$B63*LN($B63),  ($B63^F$10)*F$11))</f>
        <v>40017.165405405431</v>
      </c>
      <c r="AB63">
        <f>IF( OR( G$10="д",G$10="l"),G$11*LN($B63),  IF( OR( G$10="g",G$10="п"),G$11*$B63*LN($B63),  ($B63^G$10)*G$11))</f>
        <v>-50235.163388271198</v>
      </c>
      <c r="AC63">
        <f>IF( OR( H$10="д",H$10="l"),H$11*LN($B63),  IF( OR( H$10="g",H$10="п"),H$11*$B63*LN($B63),  ($B63^H$10)*H$11))</f>
        <v>-2299.1380569758981</v>
      </c>
      <c r="AD63">
        <f>IF( OR( I$10="д",I$10="l"),I$11*LN($B63),  IF( OR( I$10="g",I$10="п"),I$11*$B63*LN($B63),  ($B63^I$10)*I$11))</f>
        <v>216.44521272185304</v>
      </c>
      <c r="AE63">
        <f>IF( OR( J$10="д",J$10="l"),J$11*LN($B63),  IF( OR( J$10="g",J$10="п"),J$11*$B63*LN($B63),  ($B63^J$10)*J$11))</f>
        <v>0</v>
      </c>
      <c r="AF63">
        <f>IF( OR( K$10="д",K$10="l"),K$11*LN($B63),  IF( OR( K$10="g",K$10="п"),K$11*$B63*LN($B63),  ($B63^K$10)*K$11))</f>
        <v>0</v>
      </c>
      <c r="AG63">
        <f>IF( OR( L$10="д",L$10="l"),L$11*LN($B63),  IF( OR( L$10="g",L$10="п"),L$11*$B63*LN($B63),  ($B63^L$10)*L$11))</f>
        <v>0</v>
      </c>
      <c r="AP63" s="8">
        <f>(H63-D63)</f>
        <v>-6.9005649422128279E-2</v>
      </c>
      <c r="AQ63" s="8">
        <f>I63-E63</f>
        <v>-0.10070056458946652</v>
      </c>
      <c r="AR63" s="8">
        <f>(J63-F63)</f>
        <v>-2.5459459329390199E-2</v>
      </c>
      <c r="AS63" s="8">
        <f>K63-G63</f>
        <v>3.8978149385417709</v>
      </c>
      <c r="AT63" s="8">
        <f>H63-L63</f>
        <v>-3481.8331885592379</v>
      </c>
      <c r="AU63" s="3">
        <f>I63-M63</f>
        <v>-1.359115612807976</v>
      </c>
      <c r="AV63" s="8">
        <f>J63-N63</f>
        <v>18940.006057304534</v>
      </c>
      <c r="AX63" s="5"/>
    </row>
    <row r="64" spans="1:50" hidden="1" x14ac:dyDescent="0.35">
      <c r="A64" s="1" t="s">
        <v>0</v>
      </c>
      <c r="B64" s="4">
        <f>B63+($C$2-$C$1)/$C$48</f>
        <v>441.89189189189221</v>
      </c>
      <c r="C64" s="7">
        <f>B64/10000</f>
        <v>4.4189189189189224E-2</v>
      </c>
      <c r="D64" s="9">
        <f>10*$B$3*(C64*$G$3-$H$3*2/C64+$J$3*C64^2+$K$3*2*C64^3+$L$3*3*C64^4-$I$3+$E$3)</f>
        <v>3.7900131670445671</v>
      </c>
      <c r="E64" s="6">
        <f>$B$3*($F$3+$G$3+$G$3*LN(C64)-$H$3/C64^2+$J$3*2*C64+$K$3*3*C64^2+$L$3*4*C64^3)</f>
        <v>51.106636155183985</v>
      </c>
      <c r="F64" s="3">
        <f>($E$3-C64*($F$3+$G$3*LN(C64)+$H$3*C64^(-2)+$I$3*C64^(-1)+$J$3*C64+$K$3*C64^2+$L$3*C64^3))*$B$3*10</f>
        <v>-18.793594971800228</v>
      </c>
      <c r="G64" s="6">
        <f>$B$3*($G$3+2*$H$3*C64^(-2)+2*$J$3*C64+ 6*$K$3*C64^2+ 12*$L$3*C64^3)</f>
        <v>20.533091104158387</v>
      </c>
      <c r="H64" s="9">
        <f>10*$B$3*(C64*$G$7-$H$7*2/C64+$J$7*C64^2+$K$7*2*C64^3+$L$7*3*C64^4-$I$7+$E$7)</f>
        <v>3.7660375675675759</v>
      </c>
      <c r="I64" s="6">
        <f>$B$3*($F$7+$G$7+$G$7*LN(C64)-$H$7/C64^2+$J$7*2*C64+$K$7*3*C64^2+$L$7*4*C64^3)</f>
        <v>51.108875960535997</v>
      </c>
      <c r="J64" s="3">
        <f>($E$7-C64*($F$7+$G$7*LN(C64)+$H$7*C64^(-2)+$I$7*C64^(-1)+$J$7*C64+$K$7*C64^2+$L$7*C64^3))*$B$3*10</f>
        <v>-18.818560323101725</v>
      </c>
      <c r="K64" s="6">
        <f>$B$3*($G$7+2*$H$7*C64^(-2)+2*$J$7*C64+ 6*$K$7*C64^2+ 12*$L$7*C64^3)</f>
        <v>26.2</v>
      </c>
      <c r="L64" s="6">
        <f>N64+M64*B64</f>
        <v>3739.0585058595789</v>
      </c>
      <c r="M64" s="6">
        <f>-SUM(Q64:X64)</f>
        <v>52.48141406756627</v>
      </c>
      <c r="N64" s="8">
        <f>SUM(Z64:AG64)</f>
        <v>-19452.052845619048</v>
      </c>
      <c r="O64" s="8"/>
      <c r="Q64">
        <f>IF( OR( E$10="д",E$10="l"),E$11/$B64,  IF( OR( E$10="g",E$10="п"),E$11*(LN($B64)+1),  $B64^(E$10-1)*E$10*E$11))</f>
        <v>0</v>
      </c>
      <c r="R64">
        <f>IF( OR( F$10="д",F$10="l"),F$11/$B64,  IF( OR( F$10="g",F$10="п"),F$11*(LN($B64)+1),  $B64^(F$10-1)*F$10*F$11))</f>
        <v>92.539694999999995</v>
      </c>
      <c r="S64">
        <f>IF( OR( G$10="д",G$10="l"),G$11/$B64,  IF( OR( G$10="g",G$10="п"),G$11*(LN($B64)+1),  $B64^(G$10-1)*G$10*G$11))</f>
        <v>-135.72298914685771</v>
      </c>
      <c r="T64">
        <f>IF( OR( H$10="д",H$10="l"),H$11/$B64,  IF( OR( H$10="g",H$10="п"),H$11*(LN($B64)+1),  $B64^(H$10-1)*H$10*H$11))</f>
        <v>-10.86612162162163</v>
      </c>
      <c r="U64">
        <f>IF( OR( I$10="д",I$10="l"),I$11/$B64,  IF( OR( I$10="g",I$10="п"),I$11*(LN($B64)+1),  $B64^(I$10-1)*I$10*I$11))</f>
        <v>1.5680017009130776</v>
      </c>
      <c r="V64">
        <f>IF( OR( J$10="д",J$10="l"),J$11/$B64,  IF( OR( J$10="g",J$10="п"),J$11*(LN($B64)+1),  $B64^(J$10-1)*J$10*J$11))</f>
        <v>0</v>
      </c>
      <c r="W64">
        <f>IF( OR( K$10="д",K$10="l"),K$11/$B64,  IF( OR( K$10="g",K$10="п"),K$11*(LN($B64)+1),  $B64^(K$10-1)*K$10*K$11))</f>
        <v>0</v>
      </c>
      <c r="X64">
        <f>IF( OR( L$10="д",L$10="l"),L$11/$B64,  IF( OR( L$10="g",L$10="п"),L$11*(LN($B64)+1),  $B64^(L$10-1)*L$10*L$11))</f>
        <v>0</v>
      </c>
      <c r="Z64">
        <f>IF( OR( E$10="д",E$10="l"),E$11*LN($B64),  IF( OR( E$10="g",E$10="п"),E$11*$B64*LN($B64),  ($B64^E$10)*E$11))</f>
        <v>-6657.6530000000002</v>
      </c>
      <c r="AA64">
        <f>IF( OR( F$10="д",F$10="l"),F$11*LN($B64),  IF( OR( F$10="g",F$10="п"),F$11*$B64*LN($B64),  ($B64^F$10)*F$11))</f>
        <v>40892.540898648673</v>
      </c>
      <c r="AB64">
        <f>IF( OR( G$10="д",G$10="l"),G$11*LN($B64),  IF( OR( G$10="g",G$10="п"),G$11*$B64*LN($B64),  ($B64^G$10)*G$11))</f>
        <v>-51517.077636516893</v>
      </c>
      <c r="AC64">
        <f>IF( OR( H$10="д",H$10="l"),H$11*LN($B64),  IF( OR( H$10="g",H$10="п"),H$11*$B64*LN($B64),  ($B64^H$10)*H$11))</f>
        <v>-2400.8255204528887</v>
      </c>
      <c r="AD64">
        <f>IF( OR( I$10="д",I$10="l"),I$11*LN($B64),  IF( OR( I$10="g",I$10="п"),I$11*$B64*LN($B64),  ($B64^I$10)*I$11))</f>
        <v>230.96241270206156</v>
      </c>
      <c r="AE64">
        <f>IF( OR( J$10="д",J$10="l"),J$11*LN($B64),  IF( OR( J$10="g",J$10="п"),J$11*$B64*LN($B64),  ($B64^J$10)*J$11))</f>
        <v>0</v>
      </c>
      <c r="AF64">
        <f>IF( OR( K$10="д",K$10="l"),K$11*LN($B64),  IF( OR( K$10="g",K$10="п"),K$11*$B64*LN($B64),  ($B64^K$10)*K$11))</f>
        <v>0</v>
      </c>
      <c r="AG64">
        <f>IF( OR( L$10="д",L$10="l"),L$11*LN($B64),  IF( OR( L$10="g",L$10="п"),L$11*$B64*LN($B64),  ($B64^L$10)*L$11))</f>
        <v>0</v>
      </c>
      <c r="AP64" s="8">
        <f>(H64-D64)</f>
        <v>-2.3975599476991238E-2</v>
      </c>
      <c r="AQ64" s="8">
        <f>I64-E64</f>
        <v>2.2398053520120698E-3</v>
      </c>
      <c r="AR64" s="8">
        <f>(J64-F64)</f>
        <v>-2.4965351301496241E-2</v>
      </c>
      <c r="AS64" s="8">
        <f>K64-G64</f>
        <v>5.6669088958416118</v>
      </c>
      <c r="AT64" s="8">
        <f>H64-L64</f>
        <v>-3735.2924682920111</v>
      </c>
      <c r="AU64" s="3">
        <f>I64-M64</f>
        <v>-1.3725381070302731</v>
      </c>
      <c r="AV64" s="8">
        <f>J64-N64</f>
        <v>19433.234285295945</v>
      </c>
      <c r="AX64" s="5"/>
    </row>
    <row r="65" spans="1:50" hidden="1" x14ac:dyDescent="0.35">
      <c r="A65" s="1" t="s">
        <v>0</v>
      </c>
      <c r="B65" s="4">
        <f>B64+($C$2-$C$1)/$C$48</f>
        <v>451.3513513513517</v>
      </c>
      <c r="C65" s="7">
        <f>B65/10000</f>
        <v>4.5135135135135167E-2</v>
      </c>
      <c r="D65" s="9">
        <f>10*$B$3*(C65*$G$3-$H$3*2/C65+$J$3*C65^2+$K$3*2*C65^3+$L$3*3*C65^4-$I$3+$E$3)</f>
        <v>3.9748224945290449</v>
      </c>
      <c r="E65" s="6">
        <f>$B$3*($F$3+$G$3+$G$3*LN(C65)-$H$3/C65^2+$J$3*2*C65+$K$3*3*C65^2+$L$3*4*C65^3)</f>
        <v>51.52052174559892</v>
      </c>
      <c r="F65" s="3">
        <f>($E$3-C65*($F$3+$G$3*LN(C65)+$H$3*C65^(-2)+$I$3*C65^(-1)+$J$3*C65+$K$3*C65^2+$L$3*C65^3))*$B$3*10</f>
        <v>-19.279034617673759</v>
      </c>
      <c r="G65" s="6">
        <f>$B$3*($G$3+2*$H$3*C65^(-2)+2*$J$3*C65+ 6*$K$3*C65^2+ 12*$L$3*C65^3)</f>
        <v>18.495478186364764</v>
      </c>
      <c r="H65" s="9">
        <f>10*$B$3*(C65*$G$7-$H$7*2/C65+$J$7*C65^2+$K$7*2*C65^3+$L$7*3*C65^4-$I$7+$E$7)</f>
        <v>4.0138754054054147</v>
      </c>
      <c r="I65" s="6">
        <f>$B$3*($F$7+$G$7+$G$7*LN(C65)-$H$7/C65^2+$J$7*2*C65+$K$7*3*C65^2+$L$7*4*C65^3)</f>
        <v>51.663813499017508</v>
      </c>
      <c r="J65" s="3">
        <f>($E$7-C65*($F$7+$G$7*LN(C65)+$H$7*C65^(-2)+$I$7*C65^(-1)+$J$7*C65+$K$7*C65^2+$L$7*C65^3))*$B$3*10</f>
        <v>-19.304656633340343</v>
      </c>
      <c r="K65" s="6">
        <f>$B$3*($G$7+2*$H$7*C65^(-2)+2*$J$7*C65+ 6*$K$7*C65^2+ 12*$L$7*C65^3)</f>
        <v>26.2</v>
      </c>
      <c r="L65" s="6">
        <f>N65+M65*B65</f>
        <v>3993.6959136446058</v>
      </c>
      <c r="M65" s="6">
        <f>-SUM(Q65:X65)</f>
        <v>53.05157300534438</v>
      </c>
      <c r="N65" s="8">
        <f>SUM(Z65:AG65)</f>
        <v>-19951.20325363247</v>
      </c>
      <c r="O65" s="8"/>
      <c r="Q65">
        <f>IF( OR( E$10="д",E$10="l"),E$11/$B65,  IF( OR( E$10="g",E$10="п"),E$11*(LN($B65)+1),  $B65^(E$10-1)*E$10*E$11))</f>
        <v>0</v>
      </c>
      <c r="R65">
        <f>IF( OR( F$10="д",F$10="l"),F$11/$B65,  IF( OR( F$10="g",F$10="п"),F$11*(LN($B65)+1),  $B65^(F$10-1)*F$10*F$11))</f>
        <v>92.539694999999995</v>
      </c>
      <c r="S65">
        <f>IF( OR( G$10="д",G$10="l"),G$11/$B65,  IF( OR( G$10="g",G$10="п"),G$11*(LN($B65)+1),  $B65^(G$10-1)*G$10*G$11))</f>
        <v>-136.12839008145832</v>
      </c>
      <c r="T65">
        <f>IF( OR( H$10="д",H$10="l"),H$11/$B65,  IF( OR( H$10="g",H$10="п"),H$11*(LN($B65)+1),  $B65^(H$10-1)*H$10*H$11))</f>
        <v>-11.098729729729738</v>
      </c>
      <c r="U65">
        <f>IF( OR( I$10="д",I$10="l"),I$11/$B65,  IF( OR( I$10="g",I$10="п"),I$11*(LN($B65)+1),  $B65^(I$10-1)*I$10*I$11))</f>
        <v>1.6358518058436839</v>
      </c>
      <c r="V65">
        <f>IF( OR( J$10="д",J$10="l"),J$11/$B65,  IF( OR( J$10="g",J$10="п"),J$11*(LN($B65)+1),  $B65^(J$10-1)*J$10*J$11))</f>
        <v>0</v>
      </c>
      <c r="W65">
        <f>IF( OR( K$10="д",K$10="l"),K$11/$B65,  IF( OR( K$10="g",K$10="п"),K$11*(LN($B65)+1),  $B65^(K$10-1)*K$10*K$11))</f>
        <v>0</v>
      </c>
      <c r="X65">
        <f>IF( OR( L$10="д",L$10="l"),L$11/$B65,  IF( OR( L$10="g",L$10="п"),L$11*(LN($B65)+1),  $B65^(L$10-1)*L$10*L$11))</f>
        <v>0</v>
      </c>
      <c r="Z65">
        <f>IF( OR( E$10="д",E$10="l"),E$11*LN($B65),  IF( OR( E$10="g",E$10="п"),E$11*$B65*LN($B65),  ($B65^E$10)*E$11))</f>
        <v>-6657.6530000000002</v>
      </c>
      <c r="AA65">
        <f>IF( OR( F$10="д",F$10="l"),F$11*LN($B65),  IF( OR( F$10="g",F$10="п"),F$11*$B65*LN($B65),  ($B65^F$10)*F$11))</f>
        <v>41767.916391891922</v>
      </c>
      <c r="AB65">
        <f>IF( OR( G$10="д",G$10="l"),G$11*LN($B65),  IF( OR( G$10="g",G$10="п"),G$11*$B65*LN($B65),  ($B65^G$10)*G$11))</f>
        <v>-52802.867955685288</v>
      </c>
      <c r="AC65">
        <f>IF( OR( H$10="д",H$10="l"),H$11*LN($B65),  IF( OR( H$10="g",H$10="п"),H$11*$B65*LN($B65),  ($B65^H$10)*H$11))</f>
        <v>-2504.7133308984698</v>
      </c>
      <c r="AD65">
        <f>IF( OR( I$10="д",I$10="l"),I$11*LN($B65),  IF( OR( I$10="g",I$10="п"),I$11*$B65*LN($B65),  ($B65^I$10)*I$11))</f>
        <v>246.11464105936525</v>
      </c>
      <c r="AE65">
        <f>IF( OR( J$10="д",J$10="l"),J$11*LN($B65),  IF( OR( J$10="g",J$10="п"),J$11*$B65*LN($B65),  ($B65^J$10)*J$11))</f>
        <v>0</v>
      </c>
      <c r="AF65">
        <f>IF( OR( K$10="д",K$10="l"),K$11*LN($B65),  IF( OR( K$10="g",K$10="п"),K$11*$B65*LN($B65),  ($B65^K$10)*K$11))</f>
        <v>0</v>
      </c>
      <c r="AG65">
        <f>IF( OR( L$10="д",L$10="l"),L$11*LN($B65),  IF( OR( L$10="g",L$10="п"),L$11*$B65*LN($B65),  ($B65^L$10)*L$11))</f>
        <v>0</v>
      </c>
      <c r="AP65" s="8">
        <f>(H65-D65)</f>
        <v>3.9052910876369751E-2</v>
      </c>
      <c r="AQ65" s="8">
        <f>I65-E65</f>
        <v>0.14329175341858758</v>
      </c>
      <c r="AR65" s="8">
        <f>(J65-F65)</f>
        <v>-2.562201566658473E-2</v>
      </c>
      <c r="AS65" s="8">
        <f>K65-G65</f>
        <v>7.7045218136352354</v>
      </c>
      <c r="AT65" s="8">
        <f>H65-L65</f>
        <v>-3989.6820382392002</v>
      </c>
      <c r="AU65" s="3">
        <f>I65-M65</f>
        <v>-1.3877595063268728</v>
      </c>
      <c r="AV65" s="8">
        <f>J65-N65</f>
        <v>19931.89859699913</v>
      </c>
      <c r="AX65" s="5"/>
    </row>
    <row r="66" spans="1:50" hidden="1" x14ac:dyDescent="0.35">
      <c r="A66" s="1" t="s">
        <v>0</v>
      </c>
      <c r="B66" s="4">
        <f>B65+($C$2-$C$1)/$C$48</f>
        <v>460.81081081081118</v>
      </c>
      <c r="C66" s="7">
        <f>B66/10000</f>
        <v>4.6081081081081117E-2</v>
      </c>
      <c r="D66" s="9">
        <f>10*$B$3*(C66*$G$3-$H$3*2/C66+$J$3*C66^2+$K$3*2*C66^3+$L$3*3*C66^4-$I$3+$E$3)</f>
        <v>4.1390571969986469</v>
      </c>
      <c r="E66" s="6">
        <f>$B$3*($F$3+$G$3+$G$3*LN(C66)-$H$3/C66^2+$J$3*2*C66+$K$3*3*C66^2+$L$3*4*C66^3)</f>
        <v>51.880717381513847</v>
      </c>
      <c r="F66" s="3">
        <f>($E$3-C66*($F$3+$G$3*LN(C66)+$H$3*C66^(-2)+$I$3*C66^(-1)+$J$3*C66+$K$3*C66^2+$L$3*C66^3))*$B$3*10</f>
        <v>-19.768138245023291</v>
      </c>
      <c r="G66" s="6">
        <f>$B$3*($G$3+2*$H$3*C66^(-2)+2*$J$3*C66+ 6*$K$3*C66^2+ 12*$L$3*C66^3)</f>
        <v>16.181841926621775</v>
      </c>
      <c r="H66" s="9">
        <f>10*$B$3*(C66*$G$7-$H$7*2/C66+$J$7*C66^2+$K$7*2*C66^3+$L$7*3*C66^4-$I$7+$E$7)</f>
        <v>4.2617132432432543</v>
      </c>
      <c r="I66" s="6">
        <f>$B$3*($F$7+$G$7+$G$7*LN(C66)-$H$7/C66^2+$J$7*2*C66+$K$7*3*C66^2+$L$7*4*C66^3)</f>
        <v>52.207240387856096</v>
      </c>
      <c r="J66" s="3">
        <f>($E$7-C66*($F$7+$G$7*LN(C66)+$H$7*C66^(-2)+$I$7*C66^(-1)+$J$7*C66+$K$7*C66^2+$L$7*C66^3))*$B$3*10</f>
        <v>-19.795947530079641</v>
      </c>
      <c r="K66" s="6">
        <f>$B$3*($G$7+2*$H$7*C66^(-2)+2*$J$7*C66+ 6*$K$7*C66^2+ 12*$L$7*C66^3)</f>
        <v>26.2</v>
      </c>
      <c r="L66" s="6">
        <f>N66+M66*B66</f>
        <v>4249.2364238847767</v>
      </c>
      <c r="M66" s="6">
        <f>-SUM(Q66:X66)</f>
        <v>53.611885950878971</v>
      </c>
      <c r="N66" s="8">
        <f>SUM(Z66:AG66)</f>
        <v>-20455.700210236497</v>
      </c>
      <c r="O66" s="8"/>
      <c r="Q66">
        <f>IF( OR( E$10="д",E$10="l"),E$11/$B66,  IF( OR( E$10="g",E$10="п"),E$11*(LN($B66)+1),  $B66^(E$10-1)*E$10*E$11))</f>
        <v>0</v>
      </c>
      <c r="R66">
        <f>IF( OR( F$10="д",F$10="l"),F$11/$B66,  IF( OR( F$10="g",F$10="п"),F$11*(LN($B66)+1),  $B66^(F$10-1)*F$10*F$11))</f>
        <v>92.539694999999995</v>
      </c>
      <c r="S66">
        <f>IF( OR( G$10="д",G$10="l"),G$11/$B66,  IF( OR( G$10="g",G$10="п"),G$11*(LN($B66)+1),  $B66^(G$10-1)*G$10*G$11))</f>
        <v>-136.52538209109079</v>
      </c>
      <c r="T66">
        <f>IF( OR( H$10="д",H$10="l"),H$11/$B66,  IF( OR( H$10="g",H$10="п"),H$11*(LN($B66)+1),  $B66^(H$10-1)*H$10*H$11))</f>
        <v>-11.331337837837847</v>
      </c>
      <c r="U66">
        <f>IF( OR( I$10="д",I$10="l"),I$11/$B66,  IF( OR( I$10="g",I$10="п"),I$11*(LN($B66)+1),  $B66^(I$10-1)*I$10*I$11))</f>
        <v>1.705138978049674</v>
      </c>
      <c r="V66">
        <f>IF( OR( J$10="д",J$10="l"),J$11/$B66,  IF( OR( J$10="g",J$10="п"),J$11*(LN($B66)+1),  $B66^(J$10-1)*J$10*J$11))</f>
        <v>0</v>
      </c>
      <c r="W66">
        <f>IF( OR( K$10="д",K$10="l"),K$11/$B66,  IF( OR( K$10="g",K$10="п"),K$11*(LN($B66)+1),  $B66^(K$10-1)*K$10*K$11))</f>
        <v>0</v>
      </c>
      <c r="X66">
        <f>IF( OR( L$10="д",L$10="l"),L$11/$B66,  IF( OR( L$10="g",L$10="п"),L$11*(LN($B66)+1),  $B66^(L$10-1)*L$10*L$11))</f>
        <v>0</v>
      </c>
      <c r="Z66">
        <f>IF( OR( E$10="д",E$10="l"),E$11*LN($B66),  IF( OR( E$10="g",E$10="п"),E$11*$B66*LN($B66),  ($B66^E$10)*E$11))</f>
        <v>-6657.6530000000002</v>
      </c>
      <c r="AA66">
        <f>IF( OR( F$10="д",F$10="l"),F$11*LN($B66),  IF( OR( F$10="g",F$10="п"),F$11*$B66*LN($B66),  ($B66^F$10)*F$11))</f>
        <v>42643.291885135164</v>
      </c>
      <c r="AB66">
        <f>IF( OR( G$10="д",G$10="l"),G$11*LN($B66),  IF( OR( G$10="g",G$10="п"),G$11*$B66*LN($B66),  ($B66^G$10)*G$11))</f>
        <v>-54092.453098732418</v>
      </c>
      <c r="AC66">
        <f>IF( OR( H$10="д",H$10="l"),H$11*LN($B66),  IF( OR( H$10="g",H$10="п"),H$11*$B66*LN($B66),  ($B66^H$10)*H$11))</f>
        <v>-2610.8014883126411</v>
      </c>
      <c r="AD66">
        <f>IF( OR( I$10="д",I$10="l"),I$11*LN($B66),  IF( OR( I$10="g",I$10="п"),I$11*$B66*LN($B66),  ($B66^I$10)*I$11))</f>
        <v>261.91549167339605</v>
      </c>
      <c r="AE66">
        <f>IF( OR( J$10="д",J$10="l"),J$11*LN($B66),  IF( OR( J$10="g",J$10="п"),J$11*$B66*LN($B66),  ($B66^J$10)*J$11))</f>
        <v>0</v>
      </c>
      <c r="AF66">
        <f>IF( OR( K$10="д",K$10="l"),K$11*LN($B66),  IF( OR( K$10="g",K$10="п"),K$11*$B66*LN($B66),  ($B66^K$10)*K$11))</f>
        <v>0</v>
      </c>
      <c r="AG66">
        <f>IF( OR( L$10="д",L$10="l"),L$11*LN($B66),  IF( OR( L$10="g",L$10="п"),L$11*$B66*LN($B66),  ($B66^L$10)*L$11))</f>
        <v>0</v>
      </c>
      <c r="AP66" s="8">
        <f>(H66-D66)</f>
        <v>0.12265604624460735</v>
      </c>
      <c r="AQ66" s="8">
        <f>I66-E66</f>
        <v>0.32652300634224929</v>
      </c>
      <c r="AR66" s="8">
        <f>(J66-F66)</f>
        <v>-2.7809285056349609E-2</v>
      </c>
      <c r="AS66" s="8">
        <f>K66-G66</f>
        <v>10.018158073378224</v>
      </c>
      <c r="AT66" s="8">
        <f>H66-L66</f>
        <v>-4244.9747106415334</v>
      </c>
      <c r="AU66" s="3">
        <f>I66-M66</f>
        <v>-1.4046455630228749</v>
      </c>
      <c r="AV66" s="8">
        <f>J66-N66</f>
        <v>20435.904262706415</v>
      </c>
      <c r="AX66" s="5"/>
    </row>
    <row r="67" spans="1:50" hidden="1" x14ac:dyDescent="0.35">
      <c r="A67" s="1" t="s">
        <v>0</v>
      </c>
      <c r="B67" s="4">
        <f>B66+($C$2-$C$1)/$C$48</f>
        <v>470.27027027027066</v>
      </c>
      <c r="C67" s="7">
        <f>B67/10000</f>
        <v>4.7027027027027067E-2</v>
      </c>
      <c r="D67" s="9">
        <f>10*$B$3*(C67*$G$3-$H$3*2/C67+$J$3*C67^2+$K$3*2*C67^3+$L$3*3*C67^4-$I$3+$E$3)</f>
        <v>4.2800737300403933</v>
      </c>
      <c r="E67" s="6">
        <f>$B$3*($F$3+$G$3+$G$3*LN(C67)-$H$3/C67^2+$J$3*2*C67+$K$3*3*C67^2+$L$3*4*C67^3)</f>
        <v>52.183726375944772</v>
      </c>
      <c r="F67" s="3">
        <f>($E$3-C67*($F$3+$G$3*LN(C67)+$H$3*C67^(-2)+$I$3*C67^(-1)+$J$3*C67+$K$3*C67^2+$L$3*C67^3))*$B$3*10</f>
        <v>-20.260381376484958</v>
      </c>
      <c r="G67" s="6">
        <f>$B$3*($G$3+2*$H$3*C67^(-2)+2*$J$3*C67+ 6*$K$3*C67^2+ 12*$L$3*C67^3)</f>
        <v>13.585425023178946</v>
      </c>
      <c r="H67" s="9">
        <f>10*$B$3*(C67*$G$7-$H$7*2/C67+$J$7*C67^2+$K$7*2*C67^3+$L$7*3*C67^4-$I$7+$E$7)</f>
        <v>4.5095510810810913</v>
      </c>
      <c r="I67" s="6">
        <f>$B$3*($F$7+$G$7+$G$7*LN(C67)-$H$7/C67^2+$J$7*2*C67+$K$7*3*C67^2+$L$7*4*C67^3)</f>
        <v>52.739624453119191</v>
      </c>
      <c r="J67" s="3">
        <f>($E$7-C67*($F$7+$G$7*LN(C67)+$H$7*C67^(-2)+$I$7*C67^(-1)+$J$7*C67+$K$7*C67^2+$L$7*C67^3))*$B$3*10</f>
        <v>-20.292326364439841</v>
      </c>
      <c r="K67" s="6">
        <f>$B$3*($G$7+2*$H$7*C67^(-2)+2*$J$7*C67+ 6*$K$7*C67^2+ 12*$L$7*C67^3)</f>
        <v>26.2</v>
      </c>
      <c r="L67" s="6">
        <f>N67+M67*B67</f>
        <v>4505.6528488208096</v>
      </c>
      <c r="M67" s="6">
        <f>-SUM(Q67:X67)</f>
        <v>54.162694667182627</v>
      </c>
      <c r="N67" s="8">
        <f>SUM(Z67:AG67)</f>
        <v>-20965.452210881311</v>
      </c>
      <c r="O67" s="8"/>
      <c r="Q67">
        <f>IF( OR( E$10="д",E$10="l"),E$11/$B67,  IF( OR( E$10="g",E$10="п"),E$11*(LN($B67)+1),  $B67^(E$10-1)*E$10*E$11))</f>
        <v>0</v>
      </c>
      <c r="R67">
        <f>IF( OR( F$10="д",F$10="l"),F$11/$B67,  IF( OR( F$10="g",F$10="п"),F$11*(LN($B67)+1),  $B67^(F$10-1)*F$10*F$11))</f>
        <v>92.539694999999995</v>
      </c>
      <c r="S67">
        <f>IF( OR( G$10="д",G$10="l"),G$11/$B67,  IF( OR( G$10="g",G$10="п"),G$11*(LN($B67)+1),  $B67^(G$10-1)*G$10*G$11))</f>
        <v>-136.91430693876771</v>
      </c>
      <c r="T67">
        <f>IF( OR( H$10="д",H$10="l"),H$11/$B67,  IF( OR( H$10="g",H$10="п"),H$11*(LN($B67)+1),  $B67^(H$10-1)*H$10*H$11))</f>
        <v>-11.563945945945957</v>
      </c>
      <c r="U67">
        <f>IF( OR( I$10="д",I$10="l"),I$11/$B67,  IF( OR( I$10="g",I$10="п"),I$11*(LN($B67)+1),  $B67^(I$10-1)*I$10*I$11))</f>
        <v>1.7758632175310476</v>
      </c>
      <c r="V67">
        <f>IF( OR( J$10="д",J$10="l"),J$11/$B67,  IF( OR( J$10="g",J$10="п"),J$11*(LN($B67)+1),  $B67^(J$10-1)*J$10*J$11))</f>
        <v>0</v>
      </c>
      <c r="W67">
        <f>IF( OR( K$10="д",K$10="l"),K$11/$B67,  IF( OR( K$10="g",K$10="п"),K$11*(LN($B67)+1),  $B67^(K$10-1)*K$10*K$11))</f>
        <v>0</v>
      </c>
      <c r="X67">
        <f>IF( OR( L$10="д",L$10="l"),L$11/$B67,  IF( OR( L$10="g",L$10="п"),L$11*(LN($B67)+1),  $B67^(L$10-1)*L$10*L$11))</f>
        <v>0</v>
      </c>
      <c r="Z67">
        <f>IF( OR( E$10="д",E$10="l"),E$11*LN($B67),  IF( OR( E$10="g",E$10="п"),E$11*$B67*LN($B67),  ($B67^E$10)*E$11))</f>
        <v>-6657.6530000000002</v>
      </c>
      <c r="AA67">
        <f>IF( OR( F$10="д",F$10="l"),F$11*LN($B67),  IF( OR( F$10="g",F$10="п"),F$11*$B67*LN($B67),  ($B67^F$10)*F$11))</f>
        <v>43518.667378378414</v>
      </c>
      <c r="AB67">
        <f>IF( OR( G$10="д",G$10="l"),G$11*LN($B67),  IF( OR( G$10="g",G$10="п"),G$11*$B67*LN($B67),  ($B67^G$10)*G$11))</f>
        <v>-55385.75515498811</v>
      </c>
      <c r="AC67">
        <f>IF( OR( H$10="д",H$10="l"),H$11*LN($B67),  IF( OR( H$10="g",H$10="п"),H$11*$B67*LN($B67),  ($B67^H$10)*H$11))</f>
        <v>-2719.0899926954025</v>
      </c>
      <c r="AD67">
        <f>IF( OR( I$10="д",I$10="l"),I$11*LN($B67),  IF( OR( I$10="g",I$10="п"),I$11*$B67*LN($B67),  ($B67^I$10)*I$11))</f>
        <v>278.37855842378605</v>
      </c>
      <c r="AE67">
        <f>IF( OR( J$10="д",J$10="l"),J$11*LN($B67),  IF( OR( J$10="g",J$10="п"),J$11*$B67*LN($B67),  ($B67^J$10)*J$11))</f>
        <v>0</v>
      </c>
      <c r="AF67">
        <f>IF( OR( K$10="д",K$10="l"),K$11*LN($B67),  IF( OR( K$10="g",K$10="п"),K$11*$B67*LN($B67),  ($B67^K$10)*K$11))</f>
        <v>0</v>
      </c>
      <c r="AG67">
        <f>IF( OR( L$10="д",L$10="l"),L$11*LN($B67),  IF( OR( L$10="g",L$10="п"),L$11*$B67*LN($B67),  ($B67^L$10)*L$11))</f>
        <v>0</v>
      </c>
      <c r="AP67" s="8">
        <f>(H67-D67)</f>
        <v>0.229477351040698</v>
      </c>
      <c r="AQ67" s="8">
        <f>I67-E67</f>
        <v>0.55589807717441886</v>
      </c>
      <c r="AR67" s="8">
        <f>(J67-F67)</f>
        <v>-3.194498795488343E-2</v>
      </c>
      <c r="AS67" s="8">
        <f>K67-G67</f>
        <v>12.614574976821054</v>
      </c>
      <c r="AT67" s="8">
        <f>H67-L67</f>
        <v>-4501.143297739729</v>
      </c>
      <c r="AU67" s="3">
        <f>I67-M67</f>
        <v>-1.4230702140634364</v>
      </c>
      <c r="AV67" s="8">
        <f>J67-N67</f>
        <v>20945.15988451687</v>
      </c>
      <c r="AX67" s="5"/>
    </row>
    <row r="68" spans="1:50" hidden="1" x14ac:dyDescent="0.35">
      <c r="A68" s="1" t="s">
        <v>0</v>
      </c>
      <c r="B68" s="4">
        <f>B67+($C$2-$C$1)/$C$48</f>
        <v>479.72972972973014</v>
      </c>
      <c r="C68" s="7">
        <f>B68/10000</f>
        <v>4.7972972972973017E-2</v>
      </c>
      <c r="D68" s="9">
        <f>10*$B$3*(C68*$G$3-$H$3*2/C68+$J$3*C68^2+$K$3*2*C68^3+$L$3*3*C68^4-$I$3+$E$3)</f>
        <v>4.3951678125146456</v>
      </c>
      <c r="E68" s="6">
        <f>$B$3*($F$3+$G$3+$G$3*LN(C68)-$H$3/C68^2+$J$3*2*C68+$K$3*3*C68^2+$L$3*4*C68^3)</f>
        <v>52.426133069583621</v>
      </c>
      <c r="F68" s="3">
        <f>($E$3-C68*($F$3+$G$3*LN(C68)+$H$3*C68^(-2)+$I$3*C68^(-1)+$J$3*C68+$K$3*C68^2+$L$3*C68^3))*$B$3*10</f>
        <v>-20.75520683573156</v>
      </c>
      <c r="G68" s="6">
        <f>$B$3*($G$3+2*$H$3*C68^(-2)+2*$J$3*C68+ 6*$K$3*C68^2+ 12*$L$3*C68^3)</f>
        <v>10.700129750699627</v>
      </c>
      <c r="H68" s="9">
        <f>10*$B$3*(C68*$G$7-$H$7*2/C68+$J$7*C68^2+$K$7*2*C68^3+$L$7*3*C68^4-$I$7+$E$7)</f>
        <v>4.75738891891893</v>
      </c>
      <c r="I68" s="6">
        <f>$B$3*($F$7+$G$7+$G$7*LN(C68)-$H$7/C68^2+$J$7*2*C68+$K$7*3*C68^2+$L$7*4*C68^3)</f>
        <v>53.261405567283866</v>
      </c>
      <c r="J68" s="3">
        <f>($E$7-C68*($F$7+$G$7*LN(C68)+$H$7*C68^(-2)+$I$7*C68^(-1)+$J$7*C68+$K$7*C68^2+$L$7*C68^3))*$B$3*10</f>
        <v>-20.793690778899702</v>
      </c>
      <c r="K68" s="6">
        <f>$B$3*($G$7+2*$H$7*C68^(-2)+2*$J$7*C68+ 6*$K$7*C68^2+ 12*$L$7*C68^3)</f>
        <v>26.2</v>
      </c>
      <c r="L68" s="6">
        <f>N68+M68*B68</f>
        <v>4762.9180006934548</v>
      </c>
      <c r="M68" s="6">
        <f>-SUM(Q68:X68)</f>
        <v>54.704320496210016</v>
      </c>
      <c r="N68" s="8">
        <f>SUM(Z68:AG68)</f>
        <v>-21480.370886001914</v>
      </c>
      <c r="O68" s="8"/>
      <c r="Q68">
        <f>IF( OR( E$10="д",E$10="l"),E$11/$B68,  IF( OR( E$10="g",E$10="п"),E$11*(LN($B68)+1),  $B68^(E$10-1)*E$10*E$11))</f>
        <v>0</v>
      </c>
      <c r="R68">
        <f>IF( OR( F$10="д",F$10="l"),F$11/$B68,  IF( OR( F$10="g",F$10="п"),F$11*(LN($B68)+1),  $B68^(F$10-1)*F$10*F$11))</f>
        <v>92.539694999999995</v>
      </c>
      <c r="S68">
        <f>IF( OR( G$10="д",G$10="l"),G$11/$B68,  IF( OR( G$10="g",G$10="п"),G$11*(LN($B68)+1),  $B68^(G$10-1)*G$10*G$11))</f>
        <v>-137.29548596644375</v>
      </c>
      <c r="T68">
        <f>IF( OR( H$10="д",H$10="l"),H$11/$B68,  IF( OR( H$10="g",H$10="п"),H$11*(LN($B68)+1),  $B68^(H$10-1)*H$10*H$11))</f>
        <v>-11.796554054054065</v>
      </c>
      <c r="U68">
        <f>IF( OR( I$10="д",I$10="l"),I$11/$B68,  IF( OR( I$10="g",I$10="п"),I$11*(LN($B68)+1),  $B68^(I$10-1)*I$10*I$11))</f>
        <v>1.8480245242878044</v>
      </c>
      <c r="V68">
        <f>IF( OR( J$10="д",J$10="l"),J$11/$B68,  IF( OR( J$10="g",J$10="п"),J$11*(LN($B68)+1),  $B68^(J$10-1)*J$10*J$11))</f>
        <v>0</v>
      </c>
      <c r="W68">
        <f>IF( OR( K$10="д",K$10="l"),K$11/$B68,  IF( OR( K$10="g",K$10="п"),K$11*(LN($B68)+1),  $B68^(K$10-1)*K$10*K$11))</f>
        <v>0</v>
      </c>
      <c r="X68">
        <f>IF( OR( L$10="д",L$10="l"),L$11/$B68,  IF( OR( L$10="g",L$10="п"),L$11*(LN($B68)+1),  $B68^(L$10-1)*L$10*L$11))</f>
        <v>0</v>
      </c>
      <c r="Z68">
        <f>IF( OR( E$10="д",E$10="l"),E$11*LN($B68),  IF( OR( E$10="g",E$10="п"),E$11*$B68*LN($B68),  ($B68^E$10)*E$11))</f>
        <v>-6657.6530000000002</v>
      </c>
      <c r="AA68">
        <f>IF( OR( F$10="д",F$10="l"),F$11*LN($B68),  IF( OR( F$10="g",F$10="п"),F$11*$B68*LN($B68),  ($B68^F$10)*F$11))</f>
        <v>44394.042871621656</v>
      </c>
      <c r="AB68">
        <f>IF( OR( G$10="д",G$10="l"),G$11*LN($B68),  IF( OR( G$10="g",G$10="п"),G$11*$B68*LN($B68),  ($B68^G$10)*G$11))</f>
        <v>-56682.699348766982</v>
      </c>
      <c r="AC68">
        <f>IF( OR( H$10="д",H$10="l"),H$11*LN($B68),  IF( OR( H$10="g",H$10="п"),H$11*$B68*LN($B68),  ($B68^H$10)*H$11))</f>
        <v>-2829.5788440467545</v>
      </c>
      <c r="AD68">
        <f>IF( OR( I$10="д",I$10="l"),I$11*LN($B68),  IF( OR( I$10="g",I$10="п"),I$11*$B68*LN($B68),  ($B68^I$10)*I$11))</f>
        <v>295.51743519016713</v>
      </c>
      <c r="AE68">
        <f>IF( OR( J$10="д",J$10="l"),J$11*LN($B68),  IF( OR( J$10="g",J$10="п"),J$11*$B68*LN($B68),  ($B68^J$10)*J$11))</f>
        <v>0</v>
      </c>
      <c r="AF68">
        <f>IF( OR( K$10="д",K$10="l"),K$11*LN($B68),  IF( OR( K$10="g",K$10="п"),K$11*$B68*LN($B68),  ($B68^K$10)*K$11))</f>
        <v>0</v>
      </c>
      <c r="AG68">
        <f>IF( OR( L$10="д",L$10="l"),L$11*LN($B68),  IF( OR( L$10="g",L$10="п"),L$11*$B68*LN($B68),  ($B68^L$10)*L$11))</f>
        <v>0</v>
      </c>
      <c r="AP68" s="8">
        <f>(H68-D68)</f>
        <v>0.3622211064042844</v>
      </c>
      <c r="AQ68" s="8">
        <f>I68-E68</f>
        <v>0.83527249770024525</v>
      </c>
      <c r="AR68" s="8">
        <f>(J68-F68)</f>
        <v>-3.8483943168142076E-2</v>
      </c>
      <c r="AS68" s="8">
        <f>K68-G68</f>
        <v>15.499870249300372</v>
      </c>
      <c r="AT68" s="8">
        <f>H68-L68</f>
        <v>-4758.1606117745359</v>
      </c>
      <c r="AU68" s="3">
        <f>I68-M68</f>
        <v>-1.4429149289261503</v>
      </c>
      <c r="AV68" s="8">
        <f>J68-N68</f>
        <v>21459.577195223013</v>
      </c>
      <c r="AX68" s="5"/>
    </row>
    <row r="69" spans="1:50" hidden="1" x14ac:dyDescent="0.35">
      <c r="A69" s="1" t="s">
        <v>0</v>
      </c>
      <c r="B69" s="4">
        <f>B68+($C$2-$C$1)/$C$48</f>
        <v>489.18918918918962</v>
      </c>
      <c r="C69" s="7">
        <f>B69/10000</f>
        <v>4.891891891891896E-2</v>
      </c>
      <c r="D69" s="9">
        <f>10*$B$3*(C69*$G$3-$H$3*2/C69+$J$3*C69^2+$K$3*2*C69^3+$L$3*3*C69^4-$I$3+$E$3)</f>
        <v>4.4815802988900399</v>
      </c>
      <c r="E69" s="6">
        <f>$B$3*($F$3+$G$3+$G$3*LN(C69)-$H$3/C69^2+$J$3*2*C69+$K$3*3*C69^2+$L$3*4*C69^3)</f>
        <v>52.604608627159145</v>
      </c>
      <c r="F69" s="3">
        <f>($E$3-C69*($F$3+$G$3*LN(C69)+$H$3*C69^(-2)+$I$3*C69^(-1)+$J$3*C69+$K$3*C69^2+$L$3*C69^3))*$B$3*10</f>
        <v>-21.252025543044589</v>
      </c>
      <c r="G69" s="6">
        <f>$B$3*($G$3+2*$H$3*C69^(-2)+2*$J$3*C69+ 6*$K$3*C69^2+ 12*$L$3*C69^3)</f>
        <v>7.5204421848395597</v>
      </c>
      <c r="H69" s="9">
        <f>10*$B$3*(C69*$G$7-$H$7*2/C69+$J$7*C69^2+$K$7*2*C69^3+$L$7*3*C69^4-$I$7+$E$7)</f>
        <v>5.0052267567567696</v>
      </c>
      <c r="I69" s="6">
        <f>$B$3*($F$7+$G$7+$G$7*LN(C69)-$H$7/C69^2+$J$7*2*C69+$K$7*3*C69^2+$L$7*4*C69^3)</f>
        <v>53.772997832863162</v>
      </c>
      <c r="J69" s="3">
        <f>($E$7-C69*($F$7+$G$7*LN(C69)+$H$7*C69^(-2)+$I$7*C69^(-1)+$J$7*C69+$K$7*C69^2+$L$7*C69^3))*$B$3*10</f>
        <v>-21.299942453373614</v>
      </c>
      <c r="K69" s="6">
        <f>$B$3*($G$7+2*$H$7*C69^(-2)+2*$J$7*C69+ 6*$K$7*C69^2+ 12*$L$7*C69^3)</f>
        <v>26.2</v>
      </c>
      <c r="L69" s="6">
        <f>N69+M69*B69</f>
        <v>5021.0046917434447</v>
      </c>
      <c r="M69" s="6">
        <f>-SUM(Q69:X69)</f>
        <v>55.237065954071767</v>
      </c>
      <c r="N69" s="8">
        <f>SUM(Z69:AG69)</f>
        <v>-22000.370815518712</v>
      </c>
      <c r="O69" s="8"/>
      <c r="Q69">
        <f>IF( OR( E$10="д",E$10="l"),E$11/$B69,  IF( OR( E$10="g",E$10="п"),E$11*(LN($B69)+1),  $B69^(E$10-1)*E$10*E$11))</f>
        <v>0</v>
      </c>
      <c r="R69">
        <f>IF( OR( F$10="д",F$10="l"),F$11/$B69,  IF( OR( F$10="g",F$10="п"),F$11*(LN($B69)+1),  $B69^(F$10-1)*F$10*F$11))</f>
        <v>92.539694999999995</v>
      </c>
      <c r="S69">
        <f>IF( OR( G$10="д",G$10="l"),G$11/$B69,  IF( OR( G$10="g",G$10="п"),G$11*(LN($B69)+1),  $B69^(G$10-1)*G$10*G$11))</f>
        <v>-137.66922169022953</v>
      </c>
      <c r="T69">
        <f>IF( OR( H$10="д",H$10="l"),H$11/$B69,  IF( OR( H$10="g",H$10="п"),H$11*(LN($B69)+1),  $B69^(H$10-1)*H$10*H$11))</f>
        <v>-12.029162162162173</v>
      </c>
      <c r="U69">
        <f>IF( OR( I$10="д",I$10="l"),I$11/$B69,  IF( OR( I$10="g",I$10="п"),I$11*(LN($B69)+1),  $B69^(I$10-1)*I$10*I$11))</f>
        <v>1.9216228983199448</v>
      </c>
      <c r="V69">
        <f>IF( OR( J$10="д",J$10="l"),J$11/$B69,  IF( OR( J$10="g",J$10="п"),J$11*(LN($B69)+1),  $B69^(J$10-1)*J$10*J$11))</f>
        <v>0</v>
      </c>
      <c r="W69">
        <f>IF( OR( K$10="д",K$10="l"),K$11/$B69,  IF( OR( K$10="g",K$10="п"),K$11*(LN($B69)+1),  $B69^(K$10-1)*K$10*K$11))</f>
        <v>0</v>
      </c>
      <c r="X69">
        <f>IF( OR( L$10="д",L$10="l"),L$11/$B69,  IF( OR( L$10="g",L$10="п"),L$11*(LN($B69)+1),  $B69^(L$10-1)*L$10*L$11))</f>
        <v>0</v>
      </c>
      <c r="Z69">
        <f>IF( OR( E$10="д",E$10="l"),E$11*LN($B69),  IF( OR( E$10="g",E$10="п"),E$11*$B69*LN($B69),  ($B69^E$10)*E$11))</f>
        <v>-6657.6530000000002</v>
      </c>
      <c r="AA69">
        <f>IF( OR( F$10="д",F$10="l"),F$11*LN($B69),  IF( OR( F$10="g",F$10="п"),F$11*$B69*LN($B69),  ($B69^F$10)*F$11))</f>
        <v>45269.418364864905</v>
      </c>
      <c r="AB69">
        <f>IF( OR( G$10="д",G$10="l"),G$11*LN($B69),  IF( OR( G$10="g",G$10="п"),G$11*$B69*LN($B69),  ($B69^G$10)*G$11))</f>
        <v>-57983.213853869092</v>
      </c>
      <c r="AC69">
        <f>IF( OR( H$10="д",H$10="l"),H$11*LN($B69),  IF( OR( H$10="g",H$10="п"),H$11*$B69*LN($B69),  ($B69^H$10)*H$11))</f>
        <v>-2942.2680423666966</v>
      </c>
      <c r="AD69">
        <f>IF( OR( I$10="д",I$10="l"),I$11*LN($B69),  IF( OR( I$10="g",I$10="п"),I$11*$B69*LN($B69),  ($B69^I$10)*I$11))</f>
        <v>313.34571585217151</v>
      </c>
      <c r="AE69">
        <f>IF( OR( J$10="д",J$10="l"),J$11*LN($B69),  IF( OR( J$10="g",J$10="п"),J$11*$B69*LN($B69),  ($B69^J$10)*J$11))</f>
        <v>0</v>
      </c>
      <c r="AF69">
        <f>IF( OR( K$10="д",K$10="l"),K$11*LN($B69),  IF( OR( K$10="g",K$10="п"),K$11*$B69*LN($B69),  ($B69^K$10)*K$11))</f>
        <v>0</v>
      </c>
      <c r="AG69">
        <f>IF( OR( L$10="д",L$10="l"),L$11*LN($B69),  IF( OR( L$10="g",L$10="п"),L$11*$B69*LN($B69),  ($B69^L$10)*L$11))</f>
        <v>0</v>
      </c>
      <c r="AP69" s="8">
        <f>(H69-D69)</f>
        <v>0.5236464578667297</v>
      </c>
      <c r="AQ69" s="8">
        <f>I69-E69</f>
        <v>1.1683892057040168</v>
      </c>
      <c r="AR69" s="8">
        <f>(J69-F69)</f>
        <v>-4.7916910329025342E-2</v>
      </c>
      <c r="AS69" s="8">
        <f>K69-G69</f>
        <v>18.67955781516044</v>
      </c>
      <c r="AT69" s="8">
        <f>H69-L69</f>
        <v>-5015.9994649866876</v>
      </c>
      <c r="AU69" s="3">
        <f>I69-M69</f>
        <v>-1.4640681212086051</v>
      </c>
      <c r="AV69" s="8">
        <f>J69-N69</f>
        <v>21979.070873065339</v>
      </c>
      <c r="AX69" s="5"/>
    </row>
    <row r="70" spans="1:50" hidden="1" x14ac:dyDescent="0.35">
      <c r="A70" s="1" t="s">
        <v>0</v>
      </c>
      <c r="B70" s="4">
        <f>B69+($C$2-$C$1)/$C$48</f>
        <v>498.6486486486491</v>
      </c>
      <c r="C70" s="7">
        <f>B70/10000</f>
        <v>4.9864864864864911E-2</v>
      </c>
      <c r="D70" s="9">
        <f>10*$B$3*(C70*$G$3-$H$3*2/C70+$J$3*C70^2+$K$3*2*C70^3+$L$3*3*C70^4-$I$3+$E$3)</f>
        <v>4.536502383183505</v>
      </c>
      <c r="E70" s="6">
        <f>$B$3*($F$3+$G$3+$G$3*LN(C70)-$H$3/C70^2+$J$3*2*C70+$K$3*3*C70^2+$L$3*4*C70^3)</f>
        <v>52.715914924806953</v>
      </c>
      <c r="F70" s="3">
        <f>($E$3-C70*($F$3+$G$3*LN(C70)+$H$3*C70^(-2)+$I$3*C70^(-1)+$J$3*C70+$K$3*C70^2+$L$3*C70^3))*$B$3*10</f>
        <v>-21.750217356348614</v>
      </c>
      <c r="G70" s="6">
        <f>$B$3*($G$3+2*$H$3*C70^(-2)+2*$J$3*C70+ 6*$K$3*C70^2+ 12*$L$3*C70^3)</f>
        <v>4.0413663920831748</v>
      </c>
      <c r="H70" s="9">
        <f>10*$B$3*(C70*$G$7-$H$7*2/C70+$J$7*C70^2+$K$7*2*C70^3+$L$7*3*C70^4-$I$7+$E$7)</f>
        <v>5.2530645945946057</v>
      </c>
      <c r="I70" s="6">
        <f>$B$3*($F$7+$G$7+$G$7*LN(C70)-$H$7/C70^2+$J$7*2*C70+$K$7*3*C70^2+$L$7*4*C70^3)</f>
        <v>54.274791556889774</v>
      </c>
      <c r="J70" s="3">
        <f>($E$7-C70*($F$7+$G$7*LN(C70)+$H$7*C70^(-2)+$I$7*C70^(-1)+$J$7*C70+$K$7*C70^2+$L$7*C70^3))*$B$3*10</f>
        <v>-21.81098687093559</v>
      </c>
      <c r="K70" s="6">
        <f>$B$3*($G$7+2*$H$7*C70^(-2)+2*$J$7*C70+ 6*$K$7*C70^2+ 12*$L$7*C70^3)</f>
        <v>26.2</v>
      </c>
      <c r="L70" s="6">
        <f>N70+M70*B70</f>
        <v>5279.8857342115152</v>
      </c>
      <c r="M70" s="6">
        <f>-SUM(Q70:X70)</f>
        <v>55.761216173462785</v>
      </c>
      <c r="N70" s="8">
        <f>SUM(Z70:AG70)</f>
        <v>-22525.369357690899</v>
      </c>
      <c r="O70" s="8"/>
      <c r="Q70">
        <f>IF( OR( E$10="д",E$10="l"),E$11/$B70,  IF( OR( E$10="g",E$10="п"),E$11*(LN($B70)+1),  $B70^(E$10-1)*E$10*E$11))</f>
        <v>0</v>
      </c>
      <c r="R70">
        <f>IF( OR( F$10="д",F$10="l"),F$11/$B70,  IF( OR( F$10="g",F$10="п"),F$11*(LN($B70)+1),  $B70^(F$10-1)*F$10*F$11))</f>
        <v>92.539694999999995</v>
      </c>
      <c r="S70">
        <f>IF( OR( G$10="д",G$10="l"),G$11/$B70,  IF( OR( G$10="g",G$10="п"),G$11*(LN($B70)+1),  $B70^(G$10-1)*G$10*G$11))</f>
        <v>-138.03579924281996</v>
      </c>
      <c r="T70">
        <f>IF( OR( H$10="д",H$10="l"),H$11/$B70,  IF( OR( H$10="g",H$10="п"),H$11*(LN($B70)+1),  $B70^(H$10-1)*H$10*H$11))</f>
        <v>-12.261770270270281</v>
      </c>
      <c r="U70">
        <f>IF( OR( I$10="д",I$10="l"),I$11/$B70,  IF( OR( I$10="g",I$10="п"),I$11*(LN($B70)+1),  $B70^(I$10-1)*I$10*I$11))</f>
        <v>1.9966583396274689</v>
      </c>
      <c r="V70">
        <f>IF( OR( J$10="д",J$10="l"),J$11/$B70,  IF( OR( J$10="g",J$10="п"),J$11*(LN($B70)+1),  $B70^(J$10-1)*J$10*J$11))</f>
        <v>0</v>
      </c>
      <c r="W70">
        <f>IF( OR( K$10="д",K$10="l"),K$11/$B70,  IF( OR( K$10="g",K$10="п"),K$11*(LN($B70)+1),  $B70^(K$10-1)*K$10*K$11))</f>
        <v>0</v>
      </c>
      <c r="X70">
        <f>IF( OR( L$10="д",L$10="l"),L$11/$B70,  IF( OR( L$10="g",L$10="п"),L$11*(LN($B70)+1),  $B70^(L$10-1)*L$10*L$11))</f>
        <v>0</v>
      </c>
      <c r="Z70">
        <f>IF( OR( E$10="д",E$10="l"),E$11*LN($B70),  IF( OR( E$10="g",E$10="п"),E$11*$B70*LN($B70),  ($B70^E$10)*E$11))</f>
        <v>-6657.6530000000002</v>
      </c>
      <c r="AA70">
        <f>IF( OR( F$10="д",F$10="l"),F$11*LN($B70),  IF( OR( F$10="g",F$10="п"),F$11*$B70*LN($B70),  ($B70^F$10)*F$11))</f>
        <v>46144.793858108147</v>
      </c>
      <c r="AB70">
        <f>IF( OR( G$10="д",G$10="l"),G$11*LN($B70),  IF( OR( G$10="g",G$10="п"),G$11*$B70*LN($B70),  ($B70^G$10)*G$11))</f>
        <v>-59287.229622433253</v>
      </c>
      <c r="AC70">
        <f>IF( OR( H$10="д",H$10="l"),H$11*LN($B70),  IF( OR( H$10="g",H$10="п"),H$11*$B70*LN($B70),  ($B70^H$10)*H$11))</f>
        <v>-3057.1575876552283</v>
      </c>
      <c r="AD70">
        <f>IF( OR( I$10="д",I$10="l"),I$11*LN($B70),  IF( OR( I$10="g",I$10="п"),I$11*$B70*LN($B70),  ($B70^I$10)*I$11))</f>
        <v>331.87699428943091</v>
      </c>
      <c r="AE70">
        <f>IF( OR( J$10="д",J$10="l"),J$11*LN($B70),  IF( OR( J$10="g",J$10="п"),J$11*$B70*LN($B70),  ($B70^J$10)*J$11))</f>
        <v>0</v>
      </c>
      <c r="AF70">
        <f>IF( OR( K$10="д",K$10="l"),K$11*LN($B70),  IF( OR( K$10="g",K$10="п"),K$11*$B70*LN($B70),  ($B70^K$10)*K$11))</f>
        <v>0</v>
      </c>
      <c r="AG70">
        <f>IF( OR( L$10="д",L$10="l"),L$11*LN($B70),  IF( OR( L$10="g",L$10="п"),L$11*$B70*LN($B70),  ($B70^L$10)*L$11))</f>
        <v>0</v>
      </c>
      <c r="AP70" s="8">
        <f>(H70-D70)</f>
        <v>0.71656221141110077</v>
      </c>
      <c r="AQ70" s="8">
        <f>I70-E70</f>
        <v>1.5588766320828213</v>
      </c>
      <c r="AR70" s="8">
        <f>(J70-F70)</f>
        <v>-6.0769514586976214E-2</v>
      </c>
      <c r="AS70" s="8">
        <f>K70-G70</f>
        <v>22.158633607916826</v>
      </c>
      <c r="AT70" s="8">
        <f>H70-L70</f>
        <v>-5274.6326696169208</v>
      </c>
      <c r="AU70" s="3">
        <f>I70-M70</f>
        <v>-1.4864246165730108</v>
      </c>
      <c r="AV70" s="8">
        <f>J70-N70</f>
        <v>22503.558370819963</v>
      </c>
      <c r="AX70" s="5"/>
    </row>
    <row r="71" spans="1:50" hidden="1" x14ac:dyDescent="0.35">
      <c r="A71" s="1" t="s">
        <v>0</v>
      </c>
      <c r="B71" s="4">
        <f>B70+($C$2-$C$1)/$C$48</f>
        <v>508.10810810810858</v>
      </c>
      <c r="C71" s="7">
        <f>B71/10000</f>
        <v>5.0810810810810861E-2</v>
      </c>
      <c r="D71" s="9">
        <f>10*$B$3*(C71*$G$3-$H$3*2/C71+$J$3*C71^2+$K$3*2*C71^3+$L$3*3*C71^4-$I$3+$E$3)</f>
        <v>4.5570802216086337</v>
      </c>
      <c r="E71" s="6">
        <f>$B$3*($F$3+$G$3+$G$3*LN(C71)-$H$3/C71^2+$J$3*2*C71+$K$3*3*C71^2+$L$3*4*C71^3)</f>
        <v>52.756906916859464</v>
      </c>
      <c r="F71" s="3">
        <f>($E$3-C71*($F$3+$G$3*LN(C71)+$H$3*C71^(-2)+$I$3*C71^(-1)+$J$3*C71+$K$3*C71^2+$L$3*C71^3))*$B$3*10</f>
        <v>-22.249131941552488</v>
      </c>
      <c r="G71" s="6">
        <f>$B$3*($G$3+2*$H$3*C71^(-2)+2*$J$3*C71+ 6*$K$3*C71^2+ 12*$L$3*C71^3)</f>
        <v>0.25836711474755114</v>
      </c>
      <c r="H71" s="9">
        <f>10*$B$3*(C71*$G$7-$H$7*2/C71+$J$7*C71^2+$K$7*2*C71^3+$L$7*3*C71^4-$I$7+$E$7)</f>
        <v>5.5009024324324454</v>
      </c>
      <c r="I71" s="6">
        <f>$B$3*($F$7+$G$7+$G$7*LN(C71)-$H$7/C71^2+$J$7*2*C71+$K$7*3*C71^2+$L$7*4*C71^3)</f>
        <v>54.767155039843203</v>
      </c>
      <c r="J71" s="3">
        <f>($E$7-C71*($F$7+$G$7*LN(C71)+$H$7*C71^(-2)+$I$7*C71^(-1)+$J$7*C71+$K$7*C71^2+$L$7*C71^3))*$B$3*10</f>
        <v>-22.326733101325743</v>
      </c>
      <c r="K71" s="6">
        <f>$B$3*($G$7+2*$H$7*C71^(-2)+2*$J$7*C71+ 6*$K$7*C71^2+ 12*$L$7*C71^3)</f>
        <v>26.2</v>
      </c>
      <c r="L71" s="6">
        <f>N71+M71*B71</f>
        <v>5539.5339403383914</v>
      </c>
      <c r="M71" s="6">
        <f>-SUM(Q71:X71)</f>
        <v>56.277040210534892</v>
      </c>
      <c r="N71" s="8">
        <f>SUM(Z71:AG71)</f>
        <v>-23055.286490960447</v>
      </c>
      <c r="O71" s="8"/>
      <c r="Q71">
        <f>IF( OR( E$10="д",E$10="l"),E$11/$B71,  IF( OR( E$10="g",E$10="п"),E$11*(LN($B71)+1),  $B71^(E$10-1)*E$10*E$11))</f>
        <v>0</v>
      </c>
      <c r="R71">
        <f>IF( OR( F$10="д",F$10="l"),F$11/$B71,  IF( OR( F$10="g",F$10="п"),F$11*(LN($B71)+1),  $B71^(F$10-1)*F$10*F$11))</f>
        <v>92.539694999999995</v>
      </c>
      <c r="S71">
        <f>IF( OR( G$10="д",G$10="l"),G$11/$B71,  IF( OR( G$10="g",G$10="п"),G$11*(LN($B71)+1),  $B71^(G$10-1)*G$10*G$11))</f>
        <v>-138.39548768036687</v>
      </c>
      <c r="T71">
        <f>IF( OR( H$10="д",H$10="l"),H$11/$B71,  IF( OR( H$10="g",H$10="п"),H$11*(LN($B71)+1),  $B71^(H$10-1)*H$10*H$11))</f>
        <v>-12.494378378378391</v>
      </c>
      <c r="U71">
        <f>IF( OR( I$10="д",I$10="l"),I$11/$B71,  IF( OR( I$10="g",I$10="п"),I$11*(LN($B71)+1),  $B71^(I$10-1)*I$10*I$11))</f>
        <v>2.0731308482103765</v>
      </c>
      <c r="V71">
        <f>IF( OR( J$10="д",J$10="l"),J$11/$B71,  IF( OR( J$10="g",J$10="п"),J$11*(LN($B71)+1),  $B71^(J$10-1)*J$10*J$11))</f>
        <v>0</v>
      </c>
      <c r="W71">
        <f>IF( OR( K$10="д",K$10="l"),K$11/$B71,  IF( OR( K$10="g",K$10="п"),K$11*(LN($B71)+1),  $B71^(K$10-1)*K$10*K$11))</f>
        <v>0</v>
      </c>
      <c r="X71">
        <f>IF( OR( L$10="д",L$10="l"),L$11/$B71,  IF( OR( L$10="g",L$10="п"),L$11*(LN($B71)+1),  $B71^(L$10-1)*L$10*L$11))</f>
        <v>0</v>
      </c>
      <c r="Z71">
        <f>IF( OR( E$10="д",E$10="l"),E$11*LN($B71),  IF( OR( E$10="g",E$10="п"),E$11*$B71*LN($B71),  ($B71^E$10)*E$11))</f>
        <v>-6657.6530000000002</v>
      </c>
      <c r="AA71">
        <f>IF( OR( F$10="д",F$10="l"),F$11*LN($B71),  IF( OR( F$10="g",F$10="п"),F$11*$B71*LN($B71),  ($B71^F$10)*F$11))</f>
        <v>47020.169351351389</v>
      </c>
      <c r="AB71">
        <f>IF( OR( G$10="д",G$10="l"),G$11*LN($B71),  IF( OR( G$10="g",G$10="п"),G$11*$B71*LN($B71),  ($B71^G$10)*G$11))</f>
        <v>-60594.680226781064</v>
      </c>
      <c r="AC71">
        <f>IF( OR( H$10="д",H$10="l"),H$11*LN($B71),  IF( OR( H$10="g",H$10="п"),H$11*$B71*LN($B71),  ($B71^H$10)*H$11))</f>
        <v>-3174.2474799123511</v>
      </c>
      <c r="AD71">
        <f>IF( OR( I$10="д",I$10="l"),I$11*LN($B71),  IF( OR( I$10="g",I$10="п"),I$11*$B71*LN($B71),  ($B71^I$10)*I$11))</f>
        <v>351.12486438157759</v>
      </c>
      <c r="AE71">
        <f>IF( OR( J$10="д",J$10="l"),J$11*LN($B71),  IF( OR( J$10="g",J$10="п"),J$11*$B71*LN($B71),  ($B71^J$10)*J$11))</f>
        <v>0</v>
      </c>
      <c r="AF71">
        <f>IF( OR( K$10="д",K$10="l"),K$11*LN($B71),  IF( OR( K$10="g",K$10="п"),K$11*$B71*LN($B71),  ($B71^K$10)*K$11))</f>
        <v>0</v>
      </c>
      <c r="AG71">
        <f>IF( OR( L$10="д",L$10="l"),L$11*LN($B71),  IF( OR( L$10="g",L$10="п"),L$11*$B71*LN($B71),  ($B71^L$10)*L$11))</f>
        <v>0</v>
      </c>
      <c r="AP71" s="8">
        <f>(H71-D71)</f>
        <v>0.94382221082381168</v>
      </c>
      <c r="AQ71" s="8">
        <f>I71-E71</f>
        <v>2.0102481229837394</v>
      </c>
      <c r="AR71" s="8">
        <f>(J71-F71)</f>
        <v>-7.7601159773255546E-2</v>
      </c>
      <c r="AS71" s="8">
        <f>K71-G71</f>
        <v>25.941632885252449</v>
      </c>
      <c r="AT71" s="8">
        <f>H71-L71</f>
        <v>-5534.0330379059587</v>
      </c>
      <c r="AU71" s="3">
        <f>I71-M71</f>
        <v>-1.5098851706916889</v>
      </c>
      <c r="AV71" s="8">
        <f>J71-N71</f>
        <v>23032.95975785912</v>
      </c>
      <c r="AX71" s="5"/>
    </row>
    <row r="72" spans="1:50" hidden="1" x14ac:dyDescent="0.35">
      <c r="A72" s="1" t="s">
        <v>0</v>
      </c>
      <c r="B72" s="4">
        <f>B71+($C$2-$C$1)/$C$48</f>
        <v>517.56756756756806</v>
      </c>
      <c r="C72" s="7">
        <f>B72/10000</f>
        <v>5.1756756756756804E-2</v>
      </c>
      <c r="D72" s="9">
        <f>10*$B$3*(C72*$G$3-$H$3*2/C72+$J$3*C72^2+$K$3*2*C72^3+$L$3*3*C72^4-$I$3+$E$3)</f>
        <v>4.5404190483015832</v>
      </c>
      <c r="E72" s="6">
        <f>$B$3*($F$3+$G$3+$G$3*LN(C72)-$H$3/C72^2+$J$3*2*C72+$K$3*3*C72^2+$L$3*4*C72^3)</f>
        <v>52.724533795456573</v>
      </c>
      <c r="F72" s="3">
        <f>($E$3-C72*($F$3+$G$3*LN(C72)+$H$3*C72^(-2)+$I$3*C72^(-1)+$J$3*C72+$K$3*C72^2+$L$3*C72^3))*$B$3*10</f>
        <v>-22.748089659346991</v>
      </c>
      <c r="G72" s="6">
        <f>$B$3*($G$3+2*$H$3*C72^(-2)+2*$J$3*C72+ 6*$K$3*C72^2+ 12*$L$3*C72^3)</f>
        <v>-3.8326802793874255</v>
      </c>
      <c r="H72" s="9">
        <f>10*$B$3*(C72*$G$7-$H$7*2/C72+$J$7*C72^2+$K$7*2*C72^3+$L$7*3*C72^4-$I$7+$E$7)</f>
        <v>5.7487402702702841</v>
      </c>
      <c r="I72" s="6">
        <f>$B$3*($F$7+$G$7+$G$7*LN(C72)-$H$7/C72^2+$J$7*2*C72+$K$7*3*C72^2+$L$7*4*C72^3)</f>
        <v>55.250436199560887</v>
      </c>
      <c r="J72" s="3">
        <f>($E$7-C72*($F$7+$G$7*LN(C72)+$H$7*C72^(-2)+$I$7*C72^(-1)+$J$7*C72+$K$7*C72^2+$L$7*C72^3))*$B$3*10</f>
        <v>-22.847093600583548</v>
      </c>
      <c r="K72" s="6">
        <f>$B$3*($G$7+2*$H$7*C72^(-2)+2*$J$7*C72+ 6*$K$7*C72^2+ 12*$L$7*C72^3)</f>
        <v>26.2</v>
      </c>
      <c r="L72" s="6">
        <f>N72+M72*B72</f>
        <v>5799.922122364831</v>
      </c>
      <c r="M72" s="6">
        <f>-SUM(Q72:X72)</f>
        <v>56.784792231219669</v>
      </c>
      <c r="N72" s="8">
        <f>SUM(Z72:AG72)</f>
        <v>-23590.044667577269</v>
      </c>
      <c r="O72" s="8"/>
      <c r="Q72">
        <f>IF( OR( E$10="д",E$10="l"),E$11/$B72,  IF( OR( E$10="g",E$10="п"),E$11*(LN($B72)+1),  $B72^(E$10-1)*E$10*E$11))</f>
        <v>0</v>
      </c>
      <c r="R72">
        <f>IF( OR( F$10="д",F$10="l"),F$11/$B72,  IF( OR( F$10="g",F$10="п"),F$11*(LN($B72)+1),  $B72^(F$10-1)*F$10*F$11))</f>
        <v>92.539694999999995</v>
      </c>
      <c r="S72">
        <f>IF( OR( G$10="д",G$10="l"),G$11/$B72,  IF( OR( G$10="g",G$10="п"),G$11*(LN($B72)+1),  $B72^(G$10-1)*G$10*G$11))</f>
        <v>-138.74854116880184</v>
      </c>
      <c r="T72">
        <f>IF( OR( H$10="д",H$10="l"),H$11/$B72,  IF( OR( H$10="g",H$10="п"),H$11*(LN($B72)+1),  $B72^(H$10-1)*H$10*H$11))</f>
        <v>-12.726986486486499</v>
      </c>
      <c r="U72">
        <f>IF( OR( I$10="д",I$10="l"),I$11/$B72,  IF( OR( I$10="g",I$10="п"),I$11*(LN($B72)+1),  $B72^(I$10-1)*I$10*I$11))</f>
        <v>2.1510404240686674</v>
      </c>
      <c r="V72">
        <f>IF( OR( J$10="д",J$10="l"),J$11/$B72,  IF( OR( J$10="g",J$10="п"),J$11*(LN($B72)+1),  $B72^(J$10-1)*J$10*J$11))</f>
        <v>0</v>
      </c>
      <c r="W72">
        <f>IF( OR( K$10="д",K$10="l"),K$11/$B72,  IF( OR( K$10="g",K$10="п"),K$11*(LN($B72)+1),  $B72^(K$10-1)*K$10*K$11))</f>
        <v>0</v>
      </c>
      <c r="X72">
        <f>IF( OR( L$10="д",L$10="l"),L$11/$B72,  IF( OR( L$10="g",L$10="п"),L$11*(LN($B72)+1),  $B72^(L$10-1)*L$10*L$11))</f>
        <v>0</v>
      </c>
      <c r="Z72">
        <f>IF( OR( E$10="д",E$10="l"),E$11*LN($B72),  IF( OR( E$10="g",E$10="п"),E$11*$B72*LN($B72),  ($B72^E$10)*E$11))</f>
        <v>-6657.6530000000002</v>
      </c>
      <c r="AA72">
        <f>IF( OR( F$10="д",F$10="l"),F$11*LN($B72),  IF( OR( F$10="g",F$10="п"),F$11*$B72*LN($B72),  ($B72^F$10)*F$11))</f>
        <v>47895.544844594639</v>
      </c>
      <c r="AB72">
        <f>IF( OR( G$10="д",G$10="l"),G$11*LN($B72),  IF( OR( G$10="g",G$10="п"),G$11*$B72*LN($B72),  ($B72^G$10)*G$11))</f>
        <v>-61905.501713042089</v>
      </c>
      <c r="AC72">
        <f>IF( OR( H$10="д",H$10="l"),H$11*LN($B72),  IF( OR( H$10="g",H$10="п"),H$11*$B72*LN($B72),  ($B72^H$10)*H$11))</f>
        <v>-3293.5377191380635</v>
      </c>
      <c r="AD72">
        <f>IF( OR( I$10="д",I$10="l"),I$11*LN($B72),  IF( OR( I$10="g",I$10="п"),I$11*$B72*LN($B72),  ($B72^I$10)*I$11))</f>
        <v>371.10292000824347</v>
      </c>
      <c r="AE72">
        <f>IF( OR( J$10="д",J$10="l"),J$11*LN($B72),  IF( OR( J$10="g",J$10="п"),J$11*$B72*LN($B72),  ($B72^J$10)*J$11))</f>
        <v>0</v>
      </c>
      <c r="AF72">
        <f>IF( OR( K$10="д",K$10="l"),K$11*LN($B72),  IF( OR( K$10="g",K$10="п"),K$11*$B72*LN($B72),  ($B72^K$10)*K$11))</f>
        <v>0</v>
      </c>
      <c r="AG72">
        <f>IF( OR( L$10="д",L$10="l"),L$11*LN($B72),  IF( OR( L$10="g",L$10="п"),L$11*$B72*LN($B72),  ($B72^L$10)*L$11))</f>
        <v>0</v>
      </c>
      <c r="AP72" s="8">
        <f>(H72-D72)</f>
        <v>1.208321221968701</v>
      </c>
      <c r="AQ72" s="8">
        <f>I72-E72</f>
        <v>2.5259024041043148</v>
      </c>
      <c r="AR72" s="8">
        <f>(J72-F72)</f>
        <v>-9.9003941236556869E-2</v>
      </c>
      <c r="AS72" s="8">
        <f>K72-G72</f>
        <v>30.032680279387424</v>
      </c>
      <c r="AT72" s="8">
        <f>H72-L72</f>
        <v>-5794.173382094561</v>
      </c>
      <c r="AU72" s="3">
        <f>I72-M72</f>
        <v>-1.5343560316587812</v>
      </c>
      <c r="AV72" s="8">
        <f>J72-N72</f>
        <v>23567.197573976686</v>
      </c>
      <c r="AX72" s="5"/>
    </row>
    <row r="73" spans="1:50" hidden="1" x14ac:dyDescent="0.35">
      <c r="A73" s="1" t="s">
        <v>0</v>
      </c>
      <c r="B73" s="4">
        <f>B72+($C$2-$C$1)/$C$48</f>
        <v>527.02702702702754</v>
      </c>
      <c r="C73" s="7">
        <f>B73/10000</f>
        <v>5.2702702702702754E-2</v>
      </c>
      <c r="D73" s="9">
        <f>10*$B$3*(C73*$G$3-$H$3*2/C73+$J$3*C73^2+$K$3*2*C73^3+$L$3*3*C73^4-$I$3+$E$3)</f>
        <v>4.4835868478154657</v>
      </c>
      <c r="E73" s="6">
        <f>$B$3*($F$3+$G$3+$G$3*LN(C73)-$H$3/C73^2+$J$3*2*C73+$K$3*3*C73^2+$L$3*4*C73^3)</f>
        <v>52.615839196183508</v>
      </c>
      <c r="F73" s="3">
        <f>($E$3-C73*($F$3+$G$3*LN(C73)+$H$3*C73^(-2)+$I$3*C73^(-1)+$J$3*C73+$K$3*C73^2+$L$3*C73^3))*$B$3*10</f>
        <v>-23.246382458281232</v>
      </c>
      <c r="G73" s="6">
        <f>$B$3*($G$3+2*$H$3*C73^(-2)+2*$J$3*C73+ 6*$K$3*C73^2+ 12*$L$3*C73^3)</f>
        <v>-8.2355336164039556</v>
      </c>
      <c r="H73" s="9">
        <f>10*$B$3*(C73*$G$7-$H$7*2/C73+$J$7*C73^2+$K$7*2*C73^3+$L$7*3*C73^4-$I$7+$E$7)</f>
        <v>5.9965781081081211</v>
      </c>
      <c r="I73" s="6">
        <f>$B$3*($F$7+$G$7+$G$7*LN(C73)-$H$7/C73^2+$J$7*2*C73+$K$7*3*C73^2+$L$7*4*C73^3)</f>
        <v>55.724964048068699</v>
      </c>
      <c r="J73" s="3">
        <f>($E$7-C73*($F$7+$G$7*LN(C73)+$H$7*C73^(-2)+$I$7*C73^(-1)+$J$7*C73+$K$7*C73^2+$L$7*C73^3))*$B$3*10</f>
        <v>-23.371984025333518</v>
      </c>
      <c r="K73" s="6">
        <f>$B$3*($G$7+2*$H$7*C73^(-2)+2*$J$7*C73+ 6*$K$7*C73^2+ 12*$L$7*C73^3)</f>
        <v>26.2</v>
      </c>
      <c r="L73" s="6">
        <f>N73+M73*B73</f>
        <v>6061.0230925315482</v>
      </c>
      <c r="M73" s="6">
        <f>-SUM(Q73:X73)</f>
        <v>57.284712590104007</v>
      </c>
      <c r="N73" s="8">
        <f>SUM(Z73:AG73)</f>
        <v>-24129.568677928703</v>
      </c>
      <c r="O73" s="8"/>
      <c r="Q73">
        <f>IF( OR( E$10="д",E$10="l"),E$11/$B73,  IF( OR( E$10="g",E$10="п"),E$11*(LN($B73)+1),  $B73^(E$10-1)*E$10*E$11))</f>
        <v>0</v>
      </c>
      <c r="R73">
        <f>IF( OR( F$10="д",F$10="l"),F$11/$B73,  IF( OR( F$10="g",F$10="п"),F$11*(LN($B73)+1),  $B73^(F$10-1)*F$10*F$11))</f>
        <v>92.539694999999995</v>
      </c>
      <c r="S73">
        <f>IF( OR( G$10="д",G$10="l"),G$11/$B73,  IF( OR( G$10="g",G$10="п"),G$11*(LN($B73)+1),  $B73^(G$10-1)*G$10*G$11))</f>
        <v>-139.09520006271174</v>
      </c>
      <c r="T73">
        <f>IF( OR( H$10="д",H$10="l"),H$11/$B73,  IF( OR( H$10="g",H$10="п"),H$11*(LN($B73)+1),  $B73^(H$10-1)*H$10*H$11))</f>
        <v>-12.959594594594607</v>
      </c>
      <c r="U73">
        <f>IF( OR( I$10="д",I$10="l"),I$11/$B73,  IF( OR( I$10="g",I$10="п"),I$11*(LN($B73)+1),  $B73^(I$10-1)*I$10*I$11))</f>
        <v>2.2303870672023418</v>
      </c>
      <c r="V73">
        <f>IF( OR( J$10="д",J$10="l"),J$11/$B73,  IF( OR( J$10="g",J$10="п"),J$11*(LN($B73)+1),  $B73^(J$10-1)*J$10*J$11))</f>
        <v>0</v>
      </c>
      <c r="W73">
        <f>IF( OR( K$10="д",K$10="l"),K$11/$B73,  IF( OR( K$10="g",K$10="п"),K$11*(LN($B73)+1),  $B73^(K$10-1)*K$10*K$11))</f>
        <v>0</v>
      </c>
      <c r="X73">
        <f>IF( OR( L$10="д",L$10="l"),L$11/$B73,  IF( OR( L$10="g",L$10="п"),L$11*(LN($B73)+1),  $B73^(L$10-1)*L$10*L$11))</f>
        <v>0</v>
      </c>
      <c r="Z73">
        <f>IF( OR( E$10="д",E$10="l"),E$11*LN($B73),  IF( OR( E$10="g",E$10="п"),E$11*$B73*LN($B73),  ($B73^E$10)*E$11))</f>
        <v>-6657.6530000000002</v>
      </c>
      <c r="AA73">
        <f>IF( OR( F$10="д",F$10="l"),F$11*LN($B73),  IF( OR( F$10="g",F$10="п"),F$11*$B73*LN($B73),  ($B73^F$10)*F$11))</f>
        <v>48770.920337837881</v>
      </c>
      <c r="AB73">
        <f>IF( OR( G$10="д",G$10="l"),G$11*LN($B73),  IF( OR( G$10="g",G$10="п"),G$11*$B73*LN($B73),  ($B73^G$10)*G$11))</f>
        <v>-63219.632465483279</v>
      </c>
      <c r="AC73">
        <f>IF( OR( H$10="д",H$10="l"),H$11*LN($B73),  IF( OR( H$10="g",H$10="п"),H$11*$B73*LN($B73),  ($B73^H$10)*H$11))</f>
        <v>-3415.028305332366</v>
      </c>
      <c r="AD73">
        <f>IF( OR( I$10="д",I$10="l"),I$11*LN($B73),  IF( OR( I$10="g",I$10="п"),I$11*$B73*LN($B73),  ($B73^I$10)*I$11))</f>
        <v>391.82475504906034</v>
      </c>
      <c r="AE73">
        <f>IF( OR( J$10="д",J$10="l"),J$11*LN($B73),  IF( OR( J$10="g",J$10="п"),J$11*$B73*LN($B73),  ($B73^J$10)*J$11))</f>
        <v>0</v>
      </c>
      <c r="AF73">
        <f>IF( OR( K$10="д",K$10="l"),K$11*LN($B73),  IF( OR( K$10="g",K$10="п"),K$11*$B73*LN($B73),  ($B73^K$10)*K$11))</f>
        <v>0</v>
      </c>
      <c r="AG73">
        <f>IF( OR( L$10="д",L$10="l"),L$11*LN($B73),  IF( OR( L$10="g",L$10="п"),L$11*$B73*LN($B73),  ($B73^L$10)*L$11))</f>
        <v>0</v>
      </c>
      <c r="AP73" s="8">
        <f>(H73-D73)</f>
        <v>1.5129912602926554</v>
      </c>
      <c r="AQ73" s="8">
        <f>I73-E73</f>
        <v>3.1091248518851913</v>
      </c>
      <c r="AR73" s="8">
        <f>(J73-F73)</f>
        <v>-0.12560156705228565</v>
      </c>
      <c r="AS73" s="8">
        <f>K73-G73</f>
        <v>34.435533616403958</v>
      </c>
      <c r="AT73" s="8">
        <f>H73-L73</f>
        <v>-6055.0265144234399</v>
      </c>
      <c r="AU73" s="3">
        <f>I73-M73</f>
        <v>-1.5597485420353081</v>
      </c>
      <c r="AV73" s="8">
        <f>J73-N73</f>
        <v>24106.19669390337</v>
      </c>
      <c r="AX73" s="5"/>
    </row>
    <row r="74" spans="1:50" hidden="1" x14ac:dyDescent="0.35">
      <c r="A74" s="1" t="s">
        <v>0</v>
      </c>
      <c r="B74" s="4">
        <f>B73+($C$2-$C$1)/$C$48</f>
        <v>536.48648648648702</v>
      </c>
      <c r="C74" s="7">
        <f>B74/10000</f>
        <v>5.3648648648648704E-2</v>
      </c>
      <c r="D74" s="9">
        <f>10*$B$3*(C74*$G$3-$H$3*2/C74+$J$3*C74^2+$K$3*2*C74^3+$L$3*3*C74^4-$I$3+$E$3)</f>
        <v>4.3836176390887083</v>
      </c>
      <c r="E74" s="6">
        <f>$B$3*($F$3+$G$3+$G$3*LN(C74)-$H$3/C74^2+$J$3*2*C74+$K$3*3*C74^2+$L$3*4*C74^3)</f>
        <v>52.427960654500907</v>
      </c>
      <c r="F74" s="3">
        <f>($E$3-C74*($F$3+$G$3*LN(C74)+$H$3*C74^(-2)+$I$3*C74^(-1)+$J$3*C74+$K$3*C74^2+$L$3*C74^3))*$B$3*10</f>
        <v>-23.743274766096285</v>
      </c>
      <c r="G74" s="6">
        <f>$B$3*($G$3+2*$H$3*C74^(-2)+2*$J$3*C74+ 6*$K$3*C74^2+ 12*$L$3*C74^3)</f>
        <v>-12.953622375570541</v>
      </c>
      <c r="H74" s="9">
        <f>10*$B$3*(C74*$G$7-$H$7*2/C74+$J$7*C74^2+$K$7*2*C74^3+$L$7*3*C74^4-$I$7+$E$7)</f>
        <v>6.2444159459459598</v>
      </c>
      <c r="I74" s="6">
        <f>$B$3*($F$7+$G$7+$G$7*LN(C74)-$H$7/C74^2+$J$7*2*C74+$K$7*3*C74^2+$L$7*4*C74^3)</f>
        <v>56.191050037032362</v>
      </c>
      <c r="J74" s="3">
        <f>($E$7-C74*($F$7+$G$7*LN(C74)+$H$7*C74^(-2)+$I$7*C74^(-1)+$J$7*C74+$K$7*C74^2+$L$7*C74^3))*$B$3*10</f>
        <v>-23.901323060407918</v>
      </c>
      <c r="K74" s="6">
        <f>$B$3*($G$7+2*$H$7*C74^(-2)+2*$J$7*C74+ 6*$K$7*C74^2+ 12*$L$7*C74^3)</f>
        <v>26.2</v>
      </c>
      <c r="L74" s="6">
        <f>N74+M74*B74</f>
        <v>6322.8096630792897</v>
      </c>
      <c r="M74" s="6">
        <f>-SUM(Q74:X74)</f>
        <v>57.777028813328421</v>
      </c>
      <c r="N74" s="8">
        <f>SUM(Z74:AG74)</f>
        <v>-24673.785524611798</v>
      </c>
      <c r="O74" s="8"/>
      <c r="Q74">
        <f>IF( OR( E$10="д",E$10="l"),E$11/$B74,  IF( OR( E$10="g",E$10="п"),E$11*(LN($B74)+1),  $B74^(E$10-1)*E$10*E$11))</f>
        <v>0</v>
      </c>
      <c r="R74">
        <f>IF( OR( F$10="д",F$10="l"),F$11/$B74,  IF( OR( F$10="g",F$10="п"),F$11*(LN($B74)+1),  $B74^(F$10-1)*F$10*F$11))</f>
        <v>92.539694999999995</v>
      </c>
      <c r="S74">
        <f>IF( OR( G$10="д",G$10="l"),G$11/$B74,  IF( OR( G$10="g",G$10="п"),G$11*(LN($B74)+1),  $B74^(G$10-1)*G$10*G$11))</f>
        <v>-139.4356918882371</v>
      </c>
      <c r="T74">
        <f>IF( OR( H$10="д",H$10="l"),H$11/$B74,  IF( OR( H$10="g",H$10="п"),H$11*(LN($B74)+1),  $B74^(H$10-1)*H$10*H$11))</f>
        <v>-13.192202702702716</v>
      </c>
      <c r="U74">
        <f>IF( OR( I$10="д",I$10="l"),I$11/$B74,  IF( OR( I$10="g",I$10="п"),I$11*(LN($B74)+1),  $B74^(I$10-1)*I$10*I$11))</f>
        <v>2.3111707776113999</v>
      </c>
      <c r="V74">
        <f>IF( OR( J$10="д",J$10="l"),J$11/$B74,  IF( OR( J$10="g",J$10="п"),J$11*(LN($B74)+1),  $B74^(J$10-1)*J$10*J$11))</f>
        <v>0</v>
      </c>
      <c r="W74">
        <f>IF( OR( K$10="д",K$10="l"),K$11/$B74,  IF( OR( K$10="g",K$10="п"),K$11*(LN($B74)+1),  $B74^(K$10-1)*K$10*K$11))</f>
        <v>0</v>
      </c>
      <c r="X74">
        <f>IF( OR( L$10="д",L$10="l"),L$11/$B74,  IF( OR( L$10="g",L$10="п"),L$11*(LN($B74)+1),  $B74^(L$10-1)*L$10*L$11))</f>
        <v>0</v>
      </c>
      <c r="Z74">
        <f>IF( OR( E$10="д",E$10="l"),E$11*LN($B74),  IF( OR( E$10="g",E$10="п"),E$11*$B74*LN($B74),  ($B74^E$10)*E$11))</f>
        <v>-6657.6530000000002</v>
      </c>
      <c r="AA74">
        <f>IF( OR( F$10="д",F$10="l"),F$11*LN($B74),  IF( OR( F$10="g",F$10="п"),F$11*$B74*LN($B74),  ($B74^F$10)*F$11))</f>
        <v>49646.29583108113</v>
      </c>
      <c r="AB74">
        <f>IF( OR( G$10="д",G$10="l"),G$11*LN($B74),  IF( OR( G$10="g",G$10="п"),G$11*$B74*LN($B74),  ($B74^G$10)*G$11))</f>
        <v>-64537.013080581331</v>
      </c>
      <c r="AC74">
        <f>IF( OR( H$10="д",H$10="l"),H$11*LN($B74),  IF( OR( H$10="g",H$10="п"),H$11*$B74*LN($B74),  ($B74^H$10)*H$11))</f>
        <v>-3538.7192384952596</v>
      </c>
      <c r="AD74">
        <f>IF( OR( I$10="д",I$10="l"),I$11*LN($B74),  IF( OR( I$10="g",I$10="п"),I$11*$B74*LN($B74),  ($B74^I$10)*I$11))</f>
        <v>413.30396338366069</v>
      </c>
      <c r="AE74">
        <f>IF( OR( J$10="д",J$10="l"),J$11*LN($B74),  IF( OR( J$10="g",J$10="п"),J$11*$B74*LN($B74),  ($B74^J$10)*J$11))</f>
        <v>0</v>
      </c>
      <c r="AF74">
        <f>IF( OR( K$10="д",K$10="l"),K$11*LN($B74),  IF( OR( K$10="g",K$10="п"),K$11*$B74*LN($B74),  ($B74^K$10)*K$11))</f>
        <v>0</v>
      </c>
      <c r="AG74">
        <f>IF( OR( L$10="д",L$10="l"),L$11*LN($B74),  IF( OR( L$10="g",L$10="п"),L$11*$B74*LN($B74),  ($B74^L$10)*L$11))</f>
        <v>0</v>
      </c>
      <c r="AP74" s="8">
        <f>(H74-D74)</f>
        <v>1.8607983068572516</v>
      </c>
      <c r="AQ74" s="8">
        <f>I74-E74</f>
        <v>3.7630893825314544</v>
      </c>
      <c r="AR74" s="8">
        <f>(J74-F74)</f>
        <v>-0.1580482943116337</v>
      </c>
      <c r="AS74" s="8">
        <f>K74-G74</f>
        <v>39.153622375570542</v>
      </c>
      <c r="AT74" s="8">
        <f>H74-L74</f>
        <v>-6316.5652471333442</v>
      </c>
      <c r="AU74" s="3">
        <f>I74-M74</f>
        <v>-1.5859787762960593</v>
      </c>
      <c r="AV74" s="8">
        <f>J74-N74</f>
        <v>24649.884201551391</v>
      </c>
      <c r="AX74" s="5"/>
    </row>
    <row r="75" spans="1:50" hidden="1" x14ac:dyDescent="0.35">
      <c r="A75" s="1" t="s">
        <v>0</v>
      </c>
      <c r="B75" s="4">
        <f>B74+($C$2-$C$1)/$C$48</f>
        <v>545.94594594594651</v>
      </c>
      <c r="C75" s="7">
        <f>B75/10000</f>
        <v>5.4594594594594648E-2</v>
      </c>
      <c r="D75" s="9">
        <f>10*$B$3*(C75*$G$3-$H$3*2/C75+$J$3*C75^2+$K$3*2*C75^3+$L$3*3*C75^4-$I$3+$E$3)</f>
        <v>4.2375144180102584</v>
      </c>
      <c r="E75" s="6">
        <f>$B$3*($F$3+$G$3+$G$3*LN(C75)-$H$3/C75^2+$J$3*2*C75+$K$3*3*C75^2+$L$3*4*C75^3)</f>
        <v>52.158128478653765</v>
      </c>
      <c r="F75" s="3">
        <f>($E$3-C75*($F$3+$G$3*LN(C75)+$H$3*C75^(-2)+$I$3*C75^(-1)+$J$3*C75+$K$3*C75^2+$L$3*C75^3))*$B$3*10</f>
        <v>-24.238004373038656</v>
      </c>
      <c r="G75" s="6">
        <f>$B$3*($G$3+2*$H$3*C75^(-2)+2*$J$3*C75+ 6*$K$3*C75^2+ 12*$L$3*C75^3)</f>
        <v>-17.99008152507604</v>
      </c>
      <c r="H75" s="9">
        <f>10*$B$3*(C75*$G$7-$H$7*2/C75+$J$7*C75^2+$K$7*2*C75^3+$L$7*3*C75^4-$I$7+$E$7)</f>
        <v>6.4922537837837995</v>
      </c>
      <c r="I75" s="6">
        <f>$B$3*($F$7+$G$7+$G$7*LN(C75)-$H$7/C75^2+$J$7*2*C75+$K$7*3*C75^2+$L$7*4*C75^3)</f>
        <v>56.648989285610099</v>
      </c>
      <c r="J75" s="3">
        <f>($E$7-C75*($F$7+$G$7*LN(C75)+$H$7*C75^(-2)+$I$7*C75^(-1)+$J$7*C75+$K$7*C75^2+$L$7*C75^3))*$B$3*10</f>
        <v>-24.435032258630397</v>
      </c>
      <c r="K75" s="6">
        <f>$B$3*($G$7+2*$H$7*C75^(-2)+2*$J$7*C75+ 6*$K$7*C75^2+ 12*$L$7*C75^3)</f>
        <v>26.2</v>
      </c>
      <c r="L75" s="6">
        <f>N75+M75*B75</f>
        <v>6585.2546462488026</v>
      </c>
      <c r="M75" s="6">
        <f>-SUM(Q75:X75)</f>
        <v>58.261956495575681</v>
      </c>
      <c r="N75" s="8">
        <f>SUM(Z75:AG75)</f>
        <v>-25222.624305389847</v>
      </c>
      <c r="O75" s="8"/>
      <c r="Q75">
        <f>IF( OR( E$10="д",E$10="l"),E$11/$B75,  IF( OR( E$10="g",E$10="п"),E$11*(LN($B75)+1),  $B75^(E$10-1)*E$10*E$11))</f>
        <v>0</v>
      </c>
      <c r="R75">
        <f>IF( OR( F$10="д",F$10="l"),F$11/$B75,  IF( OR( F$10="g",F$10="п"),F$11*(LN($B75)+1),  $B75^(F$10-1)*F$10*F$11))</f>
        <v>92.539694999999995</v>
      </c>
      <c r="S75">
        <f>IF( OR( G$10="д",G$10="l"),G$11/$B75,  IF( OR( G$10="g",G$10="п"),G$11*(LN($B75)+1),  $B75^(G$10-1)*G$10*G$11))</f>
        <v>-139.77023224006069</v>
      </c>
      <c r="T75">
        <f>IF( OR( H$10="д",H$10="l"),H$11/$B75,  IF( OR( H$10="g",H$10="п"),H$11*(LN($B75)+1),  $B75^(H$10-1)*H$10*H$11))</f>
        <v>-13.424810810810826</v>
      </c>
      <c r="U75">
        <f>IF( OR( I$10="д",I$10="l"),I$11/$B75,  IF( OR( I$10="g",I$10="п"),I$11*(LN($B75)+1),  $B75^(I$10-1)*I$10*I$11))</f>
        <v>2.3933915552958411</v>
      </c>
      <c r="V75">
        <f>IF( OR( J$10="д",J$10="l"),J$11/$B75,  IF( OR( J$10="g",J$10="п"),J$11*(LN($B75)+1),  $B75^(J$10-1)*J$10*J$11))</f>
        <v>0</v>
      </c>
      <c r="W75">
        <f>IF( OR( K$10="д",K$10="l"),K$11/$B75,  IF( OR( K$10="g",K$10="п"),K$11*(LN($B75)+1),  $B75^(K$10-1)*K$10*K$11))</f>
        <v>0</v>
      </c>
      <c r="X75">
        <f>IF( OR( L$10="д",L$10="l"),L$11/$B75,  IF( OR( L$10="g",L$10="п"),L$11*(LN($B75)+1),  $B75^(L$10-1)*L$10*L$11))</f>
        <v>0</v>
      </c>
      <c r="Z75">
        <f>IF( OR( E$10="д",E$10="l"),E$11*LN($B75),  IF( OR( E$10="g",E$10="п"),E$11*$B75*LN($B75),  ($B75^E$10)*E$11))</f>
        <v>-6657.6530000000002</v>
      </c>
      <c r="AA75">
        <f>IF( OR( F$10="д",F$10="l"),F$11*LN($B75),  IF( OR( F$10="g",F$10="п"),F$11*$B75*LN($B75),  ($B75^F$10)*F$11))</f>
        <v>50521.671324324372</v>
      </c>
      <c r="AB75">
        <f>IF( OR( G$10="д",G$10="l"),G$11*LN($B75),  IF( OR( G$10="g",G$10="п"),G$11*$B75*LN($B75),  ($B75^G$10)*G$11))</f>
        <v>-65857.586249979155</v>
      </c>
      <c r="AC75">
        <f>IF( OR( H$10="д",H$10="l"),H$11*LN($B75),  IF( OR( H$10="g",H$10="п"),H$11*$B75*LN($B75),  ($B75^H$10)*H$11))</f>
        <v>-3664.6105186267428</v>
      </c>
      <c r="AD75">
        <f>IF( OR( I$10="д",I$10="l"),I$11*LN($B75),  IF( OR( I$10="g",I$10="п"),I$11*$B75*LN($B75),  ($B75^I$10)*I$11))</f>
        <v>435.55413889167608</v>
      </c>
      <c r="AE75">
        <f>IF( OR( J$10="д",J$10="l"),J$11*LN($B75),  IF( OR( J$10="g",J$10="п"),J$11*$B75*LN($B75),  ($B75^J$10)*J$11))</f>
        <v>0</v>
      </c>
      <c r="AF75">
        <f>IF( OR( K$10="д",K$10="l"),K$11*LN($B75),  IF( OR( K$10="g",K$10="п"),K$11*$B75*LN($B75),  ($B75^K$10)*K$11))</f>
        <v>0</v>
      </c>
      <c r="AG75">
        <f>IF( OR( L$10="д",L$10="l"),L$11*LN($B75),  IF( OR( L$10="g",L$10="п"),L$11*$B75*LN($B75),  ($B75^L$10)*L$11))</f>
        <v>0</v>
      </c>
      <c r="AP75" s="8">
        <f>(H75-D75)</f>
        <v>2.2547393657735411</v>
      </c>
      <c r="AQ75" s="8">
        <f>I75-E75</f>
        <v>4.4908608069563343</v>
      </c>
      <c r="AR75" s="8">
        <f>(J75-F75)</f>
        <v>-0.19702788559174067</v>
      </c>
      <c r="AS75" s="8">
        <f>K75-G75</f>
        <v>44.190081525076039</v>
      </c>
      <c r="AT75" s="8">
        <f>H75-L75</f>
        <v>-6578.7623924650188</v>
      </c>
      <c r="AU75" s="3">
        <f>I75-M75</f>
        <v>-1.6129672099655821</v>
      </c>
      <c r="AV75" s="8">
        <f>J75-N75</f>
        <v>25198.189273131218</v>
      </c>
      <c r="AX75" s="5"/>
    </row>
    <row r="76" spans="1:50" hidden="1" x14ac:dyDescent="0.35">
      <c r="A76" s="1" t="s">
        <v>0</v>
      </c>
      <c r="B76" s="4">
        <f>B75+($C$2-$C$1)/$C$48</f>
        <v>555.40540540540599</v>
      </c>
      <c r="C76" s="7">
        <f>B76/10000</f>
        <v>5.5540540540540598E-2</v>
      </c>
      <c r="D76" s="9">
        <f>10*$B$3*(C76*$G$3-$H$3*2/C76+$J$3*C76^2+$K$3*2*C76^3+$L$3*3*C76^4-$I$3+$E$3)</f>
        <v>4.0422517992854621</v>
      </c>
      <c r="E76" s="6">
        <f>$B$3*($F$3+$G$3+$G$3*LN(C76)-$H$3/C76^2+$J$3*2*C76+$K$3*3*C76^2+$L$3*4*C76^3)</f>
        <v>51.803664173158737</v>
      </c>
      <c r="F76" s="3">
        <f>($E$3-C76*($F$3+$G$3*LN(C76)+$H$3*C76^(-2)+$I$3*C76^(-1)+$J$3*C76+$K$3*C76^2+$L$3*C76^3))*$B$3*10</f>
        <v>-24.72978330229331</v>
      </c>
      <c r="G76" s="6">
        <f>$B$3*($G$3+2*$H$3*C76^(-2)+2*$J$3*C76+ 6*$K$3*C76^2+ 12*$L$3*C76^3)</f>
        <v>-23.347781358692835</v>
      </c>
      <c r="H76" s="9">
        <f>10*$B$3*(C76*$G$7-$H$7*2/C76+$J$7*C76^2+$K$7*2*C76^3+$L$7*3*C76^4-$I$7+$E$7)</f>
        <v>6.7400916216216382</v>
      </c>
      <c r="I76" s="6">
        <f>$B$3*($F$7+$G$7+$G$7*LN(C76)-$H$7/C76^2+$J$7*2*C76+$K$7*3*C76^2+$L$7*4*C76^3)</f>
        <v>57.099061702829303</v>
      </c>
      <c r="J76" s="3">
        <f>($E$7-C76*($F$7+$G$7*LN(C76)+$H$7*C76^(-2)+$I$7*C76^(-1)+$J$7*C76+$K$7*C76^2+$L$7*C76^3))*$B$3*10</f>
        <v>-24.973035891706562</v>
      </c>
      <c r="K76" s="6">
        <f>$B$3*($G$7+2*$H$7*C76^(-2)+2*$J$7*C76+ 6*$K$7*C76^2+ 12*$L$7*C76^3)</f>
        <v>26.2</v>
      </c>
      <c r="L76" s="6">
        <f>N76+M76*B76</f>
        <v>6848.3308542808081</v>
      </c>
      <c r="M76" s="6">
        <f>-SUM(Q76:X76)</f>
        <v>58.739700120005494</v>
      </c>
      <c r="N76" s="8">
        <f>SUM(Z76:AG76)</f>
        <v>-25776.016104262817</v>
      </c>
      <c r="O76" s="8"/>
      <c r="Q76">
        <f>IF( OR( E$10="д",E$10="l"),E$11/$B76,  IF( OR( E$10="g",E$10="п"),E$11*(LN($B76)+1),  $B76^(E$10-1)*E$10*E$11))</f>
        <v>0</v>
      </c>
      <c r="R76">
        <f>IF( OR( F$10="д",F$10="l"),F$11/$B76,  IF( OR( F$10="g",F$10="п"),F$11*(LN($B76)+1),  $B76^(F$10-1)*F$10*F$11))</f>
        <v>92.539694999999995</v>
      </c>
      <c r="S76">
        <f>IF( OR( G$10="д",G$10="l"),G$11/$B76,  IF( OR( G$10="g",G$10="п"),G$11*(LN($B76)+1),  $B76^(G$10-1)*G$10*G$11))</f>
        <v>-140.09902560134222</v>
      </c>
      <c r="T76">
        <f>IF( OR( H$10="д",H$10="l"),H$11/$B76,  IF( OR( H$10="g",H$10="п"),H$11*(LN($B76)+1),  $B76^(H$10-1)*H$10*H$11))</f>
        <v>-13.657418918918934</v>
      </c>
      <c r="U76">
        <f>IF( OR( I$10="д",I$10="l"),I$11/$B76,  IF( OR( I$10="g",I$10="п"),I$11*(LN($B76)+1),  $B76^(I$10-1)*I$10*I$11))</f>
        <v>2.477049400255666</v>
      </c>
      <c r="V76">
        <f>IF( OR( J$10="д",J$10="l"),J$11/$B76,  IF( OR( J$10="g",J$10="п"),J$11*(LN($B76)+1),  $B76^(J$10-1)*J$10*J$11))</f>
        <v>0</v>
      </c>
      <c r="W76">
        <f>IF( OR( K$10="д",K$10="l"),K$11/$B76,  IF( OR( K$10="g",K$10="п"),K$11*(LN($B76)+1),  $B76^(K$10-1)*K$10*K$11))</f>
        <v>0</v>
      </c>
      <c r="X76">
        <f>IF( OR( L$10="д",L$10="l"),L$11/$B76,  IF( OR( L$10="g",L$10="п"),L$11*(LN($B76)+1),  $B76^(L$10-1)*L$10*L$11))</f>
        <v>0</v>
      </c>
      <c r="Z76">
        <f>IF( OR( E$10="д",E$10="l"),E$11*LN($B76),  IF( OR( E$10="g",E$10="п"),E$11*$B76*LN($B76),  ($B76^E$10)*E$11))</f>
        <v>-6657.6530000000002</v>
      </c>
      <c r="AA76">
        <f>IF( OR( F$10="д",F$10="l"),F$11*LN($B76),  IF( OR( F$10="g",F$10="п"),F$11*$B76*LN($B76),  ($B76^F$10)*F$11))</f>
        <v>51397.046817567621</v>
      </c>
      <c r="AB76">
        <f>IF( OR( G$10="д",G$10="l"),G$11*LN($B76),  IF( OR( G$10="g",G$10="п"),G$11*$B76*LN($B76),  ($B76^G$10)*G$11))</f>
        <v>-67181.29665155636</v>
      </c>
      <c r="AC76">
        <f>IF( OR( H$10="д",H$10="l"),H$11*LN($B76),  IF( OR( H$10="g",H$10="п"),H$11*$B76*LN($B76),  ($B76^H$10)*H$11))</f>
        <v>-3792.7021457268156</v>
      </c>
      <c r="AD76">
        <f>IF( OR( I$10="д",I$10="l"),I$11*LN($B76),  IF( OR( I$10="g",I$10="п"),I$11*$B76*LN($B76),  ($B76^I$10)*I$11))</f>
        <v>458.58887545273865</v>
      </c>
      <c r="AE76">
        <f>IF( OR( J$10="д",J$10="l"),J$11*LN($B76),  IF( OR( J$10="g",J$10="п"),J$11*$B76*LN($B76),  ($B76^J$10)*J$11))</f>
        <v>0</v>
      </c>
      <c r="AF76">
        <f>IF( OR( K$10="д",K$10="l"),K$11*LN($B76),  IF( OR( K$10="g",K$10="п"),K$11*$B76*LN($B76),  ($B76^K$10)*K$11))</f>
        <v>0</v>
      </c>
      <c r="AG76">
        <f>IF( OR( L$10="д",L$10="l"),L$11*LN($B76),  IF( OR( L$10="g",L$10="п"),L$11*$B76*LN($B76),  ($B76^L$10)*L$11))</f>
        <v>0</v>
      </c>
      <c r="AP76" s="8">
        <f>(H76-D76)</f>
        <v>2.6978398223361761</v>
      </c>
      <c r="AQ76" s="8">
        <f>I76-E76</f>
        <v>5.2953975296705664</v>
      </c>
      <c r="AR76" s="8">
        <f>(J76-F76)</f>
        <v>-0.24325258941325245</v>
      </c>
      <c r="AS76" s="8">
        <f>K76-G76</f>
        <v>49.547781358692831</v>
      </c>
      <c r="AT76" s="8">
        <f>H76-L76</f>
        <v>-6841.5907626591861</v>
      </c>
      <c r="AU76" s="3">
        <f>I76-M76</f>
        <v>-1.6406384171761914</v>
      </c>
      <c r="AV76" s="8">
        <f>J76-N76</f>
        <v>25751.043068371109</v>
      </c>
      <c r="AX76" s="5"/>
    </row>
    <row r="77" spans="1:50" hidden="1" x14ac:dyDescent="0.35">
      <c r="A77" s="1" t="s">
        <v>0</v>
      </c>
      <c r="B77" s="4">
        <f>B76+($C$2-$C$1)/$C$48</f>
        <v>564.86486486486547</v>
      </c>
      <c r="C77" s="7">
        <f>B77/10000</f>
        <v>5.6486486486486548E-2</v>
      </c>
      <c r="D77" s="9">
        <f>10*$B$3*(C77*$G$3-$H$3*2/C77+$J$3*C77^2+$K$3*2*C77^3+$L$3*3*C77^4-$I$3+$E$3)</f>
        <v>3.7947783928510255</v>
      </c>
      <c r="E77" s="6">
        <f>$B$3*($F$3+$G$3+$G$3*LN(C77)-$H$3/C77^2+$J$3*2*C77+$K$3*3*C77^2+$L$3*4*C77^3)</f>
        <v>51.361978521366304</v>
      </c>
      <c r="F77" s="3">
        <f>($E$3-C77*($F$3+$G$3*LN(C77)+$H$3*C77^(-2)+$I$3*C77^(-1)+$J$3*C77+$K$3*C77^2+$L$3*C77^3))*$B$3*10</f>
        <v>-25.217798663812715</v>
      </c>
      <c r="G77" s="6">
        <f>$B$3*($G$3+2*$H$3*C77^(-2)+2*$J$3*C77+ 6*$K$3*C77^2+ 12*$L$3*C77^3)</f>
        <v>-29.029353864560662</v>
      </c>
      <c r="H77" s="9">
        <f>10*$B$3*(C77*$G$7-$H$7*2/C77+$J$7*C77^2+$K$7*2*C77^3+$L$7*3*C77^4-$I$7+$E$7)</f>
        <v>6.9879294594594752</v>
      </c>
      <c r="I77" s="6">
        <f>$B$3*($F$7+$G$7+$G$7*LN(C77)-$H$7/C77^2+$J$7*2*C77+$K$7*3*C77^2+$L$7*4*C77^3)</f>
        <v>57.541533015176583</v>
      </c>
      <c r="J77" s="3">
        <f>($E$7-C77*($F$7+$G$7*LN(C77)+$H$7*C77^(-2)+$I$7*C77^(-1)+$J$7*C77+$K$7*C77^2+$L$7*C77^3))*$B$3*10</f>
        <v>-25.515260811275443</v>
      </c>
      <c r="K77" s="6">
        <f>$B$3*($G$7+2*$H$7*C77^(-2)+2*$J$7*C77+ 6*$K$7*C77^2+ 12*$L$7*C77^3)</f>
        <v>26.2</v>
      </c>
      <c r="L77" s="6">
        <f>N77+M77*B77</f>
        <v>7112.0110994160423</v>
      </c>
      <c r="M77" s="6">
        <f>-SUM(Q77:X77)</f>
        <v>59.210453808944294</v>
      </c>
      <c r="N77" s="8">
        <f>SUM(Z77:AG77)</f>
        <v>-26333.893889960636</v>
      </c>
      <c r="O77" s="8"/>
      <c r="Q77">
        <f>IF( OR( E$10="д",E$10="l"),E$11/$B77,  IF( OR( E$10="g",E$10="п"),E$11*(LN($B77)+1),  $B77^(E$10-1)*E$10*E$11))</f>
        <v>0</v>
      </c>
      <c r="R77">
        <f>IF( OR( F$10="д",F$10="l"),F$11/$B77,  IF( OR( F$10="g",F$10="п"),F$11*(LN($B77)+1),  $B77^(F$10-1)*F$10*F$11))</f>
        <v>92.539694999999995</v>
      </c>
      <c r="S77">
        <f>IF( OR( G$10="д",G$10="l"),G$11/$B77,  IF( OR( G$10="g",G$10="п"),G$11*(LN($B77)+1),  $B77^(G$10-1)*G$10*G$11))</f>
        <v>-140.42226609440812</v>
      </c>
      <c r="T77">
        <f>IF( OR( H$10="д",H$10="l"),H$11/$B77,  IF( OR( H$10="g",H$10="п"),H$11*(LN($B77)+1),  $B77^(H$10-1)*H$10*H$11))</f>
        <v>-13.890027027027042</v>
      </c>
      <c r="U77">
        <f>IF( OR( I$10="д",I$10="l"),I$11/$B77,  IF( OR( I$10="g",I$10="п"),I$11*(LN($B77)+1),  $B77^(I$10-1)*I$10*I$11))</f>
        <v>2.5621443124908745</v>
      </c>
      <c r="V77">
        <f>IF( OR( J$10="д",J$10="l"),J$11/$B77,  IF( OR( J$10="g",J$10="п"),J$11*(LN($B77)+1),  $B77^(J$10-1)*J$10*J$11))</f>
        <v>0</v>
      </c>
      <c r="W77">
        <f>IF( OR( K$10="д",K$10="l"),K$11/$B77,  IF( OR( K$10="g",K$10="п"),K$11*(LN($B77)+1),  $B77^(K$10-1)*K$10*K$11))</f>
        <v>0</v>
      </c>
      <c r="X77">
        <f>IF( OR( L$10="д",L$10="l"),L$11/$B77,  IF( OR( L$10="g",L$10="п"),L$11*(LN($B77)+1),  $B77^(L$10-1)*L$10*L$11))</f>
        <v>0</v>
      </c>
      <c r="Z77">
        <f>IF( OR( E$10="д",E$10="l"),E$11*LN($B77),  IF( OR( E$10="g",E$10="п"),E$11*$B77*LN($B77),  ($B77^E$10)*E$11))</f>
        <v>-6657.6530000000002</v>
      </c>
      <c r="AA77">
        <f>IF( OR( F$10="д",F$10="l"),F$11*LN($B77),  IF( OR( F$10="g",F$10="п"),F$11*$B77*LN($B77),  ($B77^F$10)*F$11))</f>
        <v>52272.422310810864</v>
      </c>
      <c r="AB77">
        <f>IF( OR( G$10="д",G$10="l"),G$11*LN($B77),  IF( OR( G$10="g",G$10="п"),G$11*$B77*LN($B77),  ($B77^G$10)*G$11))</f>
        <v>-68508.090847922504</v>
      </c>
      <c r="AC77">
        <f>IF( OR( H$10="д",H$10="l"),H$11*LN($B77),  IF( OR( H$10="g",H$10="п"),H$11*$B77*LN($B77),  ($B77^H$10)*H$11))</f>
        <v>-3922.9941197954799</v>
      </c>
      <c r="AD77">
        <f>IF( OR( I$10="д",I$10="l"),I$11*LN($B77),  IF( OR( I$10="g",I$10="п"),I$11*$B77*LN($B77),  ($B77^I$10)*I$11))</f>
        <v>482.42176694648055</v>
      </c>
      <c r="AE77">
        <f>IF( OR( J$10="д",J$10="l"),J$11*LN($B77),  IF( OR( J$10="g",J$10="п"),J$11*$B77*LN($B77),  ($B77^J$10)*J$11))</f>
        <v>0</v>
      </c>
      <c r="AF77">
        <f>IF( OR( K$10="д",K$10="l"),K$11*LN($B77),  IF( OR( K$10="g",K$10="п"),K$11*$B77*LN($B77),  ($B77^K$10)*K$11))</f>
        <v>0</v>
      </c>
      <c r="AG77">
        <f>IF( OR( L$10="д",L$10="l"),L$11*LN($B77),  IF( OR( L$10="g",L$10="п"),L$11*$B77*LN($B77),  ($B77^L$10)*L$11))</f>
        <v>0</v>
      </c>
      <c r="AP77" s="8">
        <f>(H77-D77)</f>
        <v>3.1931510666084497</v>
      </c>
      <c r="AQ77" s="8">
        <f>I77-E77</f>
        <v>6.1795544938102793</v>
      </c>
      <c r="AR77" s="8">
        <f>(J77-F77)</f>
        <v>-0.2974621474627277</v>
      </c>
      <c r="AS77" s="8">
        <f>K77-G77</f>
        <v>55.229353864560665</v>
      </c>
      <c r="AT77" s="8">
        <f>H77-L77</f>
        <v>-7105.0231699565829</v>
      </c>
      <c r="AU77" s="3">
        <f>I77-M77</f>
        <v>-1.6689207937677111</v>
      </c>
      <c r="AV77" s="8">
        <f>J77-N77</f>
        <v>26308.37862914936</v>
      </c>
      <c r="AX77" s="5"/>
    </row>
    <row r="78" spans="1:50" hidden="1" x14ac:dyDescent="0.35">
      <c r="A78" s="1" t="s">
        <v>0</v>
      </c>
      <c r="B78" s="4">
        <f>B77+($C$2-$C$1)/$C$48</f>
        <v>574.32432432432495</v>
      </c>
      <c r="C78" s="7">
        <f>B78/10000</f>
        <v>5.7432432432432498E-2</v>
      </c>
      <c r="D78" s="9">
        <f>10*$B$3*(C78*$G$3-$H$3*2/C78+$J$3*C78^2+$K$3*2*C78^3+$L$3*3*C78^4-$I$3+$E$3)</f>
        <v>3.4920189454438058</v>
      </c>
      <c r="E78" s="6">
        <f>$B$3*($F$3+$G$3+$G$3*LN(C78)-$H$3/C78^2+$J$3*2*C78+$K$3*3*C78^2+$L$3*4*C78^3)</f>
        <v>50.83056941483197</v>
      </c>
      <c r="F78" s="3">
        <f>($E$3-C78*($F$3+$G$3*LN(C78)+$H$3*C78^(-2)+$I$3*C78^(-1)+$J$3*C78+$K$3*C78^2+$L$3*C78^3))*$B$3*10</f>
        <v>-25.701213488750266</v>
      </c>
      <c r="G78" s="6">
        <f>$B$3*($G$3+2*$H$3*C78^(-2)+2*$J$3*C78+ 6*$K$3*C78^2+ 12*$L$3*C78^3)</f>
        <v>-35.037216079206004</v>
      </c>
      <c r="H78" s="9">
        <f>10*$B$3*(C78*$G$7-$H$7*2/C78+$J$7*C78^2+$K$7*2*C78^3+$L$7*3*C78^4-$I$7+$E$7)</f>
        <v>7.2357672972973139</v>
      </c>
      <c r="I78" s="6">
        <f>$B$3*($F$7+$G$7+$G$7*LN(C78)-$H$7/C78^2+$J$7*2*C78+$K$7*3*C78^2+$L$7*4*C78^3)</f>
        <v>57.976655708847687</v>
      </c>
      <c r="J78" s="3">
        <f>($E$7-C78*($F$7+$G$7*LN(C78)+$H$7*C78^(-2)+$I$7*C78^(-1)+$J$7*C78+$K$7*C78^2+$L$7*C78^3))*$B$3*10</f>
        <v>-26.061636319270654</v>
      </c>
      <c r="K78" s="6">
        <f>$B$3*($G$7+2*$H$7*C78^(-2)+2*$J$7*C78+ 6*$K$7*C78^2+ 12*$L$7*C78^3)</f>
        <v>26.2</v>
      </c>
      <c r="L78" s="6">
        <f>N78+M78*B78</f>
        <v>7376.2681938952519</v>
      </c>
      <c r="M78" s="6">
        <f>-SUM(Q78:X78)</f>
        <v>59.674402012231326</v>
      </c>
      <c r="N78" s="8">
        <f>SUM(Z78:AG78)</f>
        <v>-26896.19242123764</v>
      </c>
      <c r="O78" s="8"/>
      <c r="Q78">
        <f>IF( OR( E$10="д",E$10="l"),E$11/$B78,  IF( OR( E$10="g",E$10="п"),E$11*(LN($B78)+1),  $B78^(E$10-1)*E$10*E$11))</f>
        <v>0</v>
      </c>
      <c r="R78">
        <f>IF( OR( F$10="д",F$10="l"),F$11/$B78,  IF( OR( F$10="g",F$10="п"),F$11*(LN($B78)+1),  $B78^(F$10-1)*F$10*F$11))</f>
        <v>92.539694999999995</v>
      </c>
      <c r="S78">
        <f>IF( OR( G$10="д",G$10="l"),G$11/$B78,  IF( OR( G$10="g",G$10="п"),G$11*(LN($B78)+1),  $B78^(G$10-1)*G$10*G$11))</f>
        <v>-140.74013816909763</v>
      </c>
      <c r="T78">
        <f>IF( OR( H$10="д",H$10="l"),H$11/$B78,  IF( OR( H$10="g",H$10="п"),H$11*(LN($B78)+1),  $B78^(H$10-1)*H$10*H$11))</f>
        <v>-14.122635135135152</v>
      </c>
      <c r="U78">
        <f>IF( OR( I$10="д",I$10="l"),I$11/$B78,  IF( OR( I$10="g",I$10="п"),I$11*(LN($B78)+1),  $B78^(I$10-1)*I$10*I$11))</f>
        <v>2.6486762920014666</v>
      </c>
      <c r="V78">
        <f>IF( OR( J$10="д",J$10="l"),J$11/$B78,  IF( OR( J$10="g",J$10="п"),J$11*(LN($B78)+1),  $B78^(J$10-1)*J$10*J$11))</f>
        <v>0</v>
      </c>
      <c r="W78">
        <f>IF( OR( K$10="д",K$10="l"),K$11/$B78,  IF( OR( K$10="g",K$10="п"),K$11*(LN($B78)+1),  $B78^(K$10-1)*K$10*K$11))</f>
        <v>0</v>
      </c>
      <c r="X78">
        <f>IF( OR( L$10="д",L$10="l"),L$11/$B78,  IF( OR( L$10="g",L$10="п"),L$11*(LN($B78)+1),  $B78^(L$10-1)*L$10*L$11))</f>
        <v>0</v>
      </c>
      <c r="Z78">
        <f>IF( OR( E$10="д",E$10="l"),E$11*LN($B78),  IF( OR( E$10="g",E$10="п"),E$11*$B78*LN($B78),  ($B78^E$10)*E$11))</f>
        <v>-6657.6530000000002</v>
      </c>
      <c r="AA78">
        <f>IF( OR( F$10="д",F$10="l"),F$11*LN($B78),  IF( OR( F$10="g",F$10="п"),F$11*$B78*LN($B78),  ($B78^F$10)*F$11))</f>
        <v>53147.797804054106</v>
      </c>
      <c r="AB78">
        <f>IF( OR( G$10="д",G$10="l"),G$11*LN($B78),  IF( OR( G$10="g",G$10="п"),G$11*$B78*LN($B78),  ($B78^G$10)*G$11))</f>
        <v>-69837.917191711545</v>
      </c>
      <c r="AC78">
        <f>IF( OR( H$10="д",H$10="l"),H$11*LN($B78),  IF( OR( H$10="g",H$10="п"),H$11*$B78*LN($B78),  ($B78^H$10)*H$11))</f>
        <v>-4055.4864408327335</v>
      </c>
      <c r="AD78">
        <f>IF( OR( I$10="д",I$10="l"),I$11*LN($B78),  IF( OR( I$10="g",I$10="п"),I$11*$B78*LN($B78),  ($B78^I$10)*I$11))</f>
        <v>507.06640725253351</v>
      </c>
      <c r="AE78">
        <f>IF( OR( J$10="д",J$10="l"),J$11*LN($B78),  IF( OR( J$10="g",J$10="п"),J$11*$B78*LN($B78),  ($B78^J$10)*J$11))</f>
        <v>0</v>
      </c>
      <c r="AF78">
        <f>IF( OR( K$10="д",K$10="l"),K$11*LN($B78),  IF( OR( K$10="g",K$10="п"),K$11*$B78*LN($B78),  ($B78^K$10)*K$11))</f>
        <v>0</v>
      </c>
      <c r="AG78">
        <f>IF( OR( L$10="д",L$10="l"),L$11*LN($B78),  IF( OR( L$10="g",L$10="п"),L$11*$B78*LN($B78),  ($B78^L$10)*L$11))</f>
        <v>0</v>
      </c>
      <c r="AP78" s="8">
        <f>(H78-D78)</f>
        <v>3.7437483518535082</v>
      </c>
      <c r="AQ78" s="8">
        <f>I78-E78</f>
        <v>7.146086294015717</v>
      </c>
      <c r="AR78" s="8">
        <f>(J78-F78)</f>
        <v>-0.36042283052038826</v>
      </c>
      <c r="AS78" s="8">
        <f>K78-G78</f>
        <v>61.237216079206007</v>
      </c>
      <c r="AT78" s="8">
        <f>H78-L78</f>
        <v>-7369.0324265979543</v>
      </c>
      <c r="AU78" s="3">
        <f>I78-M78</f>
        <v>-1.6977463033836386</v>
      </c>
      <c r="AV78" s="8">
        <f>J78-N78</f>
        <v>26870.130784918369</v>
      </c>
      <c r="AX78" s="5"/>
    </row>
    <row r="79" spans="1:50" hidden="1" x14ac:dyDescent="0.35">
      <c r="A79" s="1" t="s">
        <v>0</v>
      </c>
      <c r="B79" s="4">
        <f>B78+($C$2-$C$1)/$C$48</f>
        <v>583.78378378378443</v>
      </c>
      <c r="C79" s="7">
        <f>B79/10000</f>
        <v>5.8378378378378441E-2</v>
      </c>
      <c r="D79" s="9">
        <f>10*$B$3*(C79*$G$3-$H$3*2/C79+$J$3*C79^2+$K$3*2*C79^3+$L$3*3*C79^4-$I$3+$E$3)</f>
        <v>3.1308762739622553</v>
      </c>
      <c r="E79" s="6">
        <f>$B$3*($F$3+$G$3+$G$3*LN(C79)-$H$3/C79^2+$J$3*2*C79+$K$3*3*C79^2+$L$3*4*C79^3)</f>
        <v>50.207019500329913</v>
      </c>
      <c r="F79" s="3">
        <f>($E$3-C79*($F$3+$G$3*LN(C79)+$H$3*C79^(-2)+$I$3*C79^(-1)+$J$3*C79+$K$3*C79^2+$L$3*C79^3))*$B$3*10</f>
        <v>-26.179167542446567</v>
      </c>
      <c r="G79" s="6">
        <f>$B$3*($G$3+2*$H$3*C79^(-2)+2*$J$3*C79+ 6*$K$3*C79^2+ 12*$L$3*C79^3)</f>
        <v>-41.373590814379028</v>
      </c>
      <c r="H79" s="9">
        <f>10*$B$3*(C79*$G$7-$H$7*2/C79+$J$7*C79^2+$K$7*2*C79^3+$L$7*3*C79^4-$I$7+$E$7)</f>
        <v>7.4836051351351536</v>
      </c>
      <c r="I79" s="6">
        <f>$B$3*($F$7+$G$7+$G$7*LN(C79)-$H$7/C79^2+$J$7*2*C79+$K$7*3*C79^2+$L$7*4*C79^3)</f>
        <v>58.404669895023659</v>
      </c>
      <c r="J79" s="3">
        <f>($E$7-C79*($F$7+$G$7*LN(C79)+$H$7*C79^(-2)+$I$7*C79^(-1)+$J$7*C79+$K$7*C79^2+$L$7*C79^3))*$B$3*10</f>
        <v>-26.612094046824645</v>
      </c>
      <c r="K79" s="6">
        <f>$B$3*($G$7+2*$H$7*C79^(-2)+2*$J$7*C79+ 6*$K$7*C79^2+ 12*$L$7*C79^3)</f>
        <v>26.2</v>
      </c>
      <c r="L79" s="6">
        <f>N79+M79*B79</f>
        <v>7641.074949959162</v>
      </c>
      <c r="M79" s="6">
        <f>-SUM(Q79:X79)</f>
        <v>60.13172013933238</v>
      </c>
      <c r="N79" s="8">
        <f>SUM(Z79:AG79)</f>
        <v>-27462.848158407891</v>
      </c>
      <c r="O79" s="8"/>
      <c r="Q79">
        <f>IF( OR( E$10="д",E$10="l"),E$11/$B79,  IF( OR( E$10="g",E$10="п"),E$11*(LN($B79)+1),  $B79^(E$10-1)*E$10*E$11))</f>
        <v>0</v>
      </c>
      <c r="R79">
        <f>IF( OR( F$10="д",F$10="l"),F$11/$B79,  IF( OR( F$10="g",F$10="п"),F$11*(LN($B79)+1),  $B79^(F$10-1)*F$10*F$11))</f>
        <v>92.539694999999995</v>
      </c>
      <c r="S79">
        <f>IF( OR( G$10="д",G$10="l"),G$11/$B79,  IF( OR( G$10="g",G$10="п"),G$11*(LN($B79)+1),  $B79^(G$10-1)*G$10*G$11))</f>
        <v>-141.05281723487656</v>
      </c>
      <c r="T79">
        <f>IF( OR( H$10="д",H$10="l"),H$11/$B79,  IF( OR( H$10="g",H$10="п"),H$11*(LN($B79)+1),  $B79^(H$10-1)*H$10*H$11))</f>
        <v>-14.35524324324326</v>
      </c>
      <c r="U79">
        <f>IF( OR( I$10="д",I$10="l"),I$11/$B79,  IF( OR( I$10="g",I$10="п"),I$11*(LN($B79)+1),  $B79^(I$10-1)*I$10*I$11))</f>
        <v>2.7366453387874419</v>
      </c>
      <c r="V79">
        <f>IF( OR( J$10="д",J$10="l"),J$11/$B79,  IF( OR( J$10="g",J$10="п"),J$11*(LN($B79)+1),  $B79^(J$10-1)*J$10*J$11))</f>
        <v>0</v>
      </c>
      <c r="W79">
        <f>IF( OR( K$10="д",K$10="l"),K$11/$B79,  IF( OR( K$10="g",K$10="п"),K$11*(LN($B79)+1),  $B79^(K$10-1)*K$10*K$11))</f>
        <v>0</v>
      </c>
      <c r="X79">
        <f>IF( OR( L$10="д",L$10="l"),L$11/$B79,  IF( OR( L$10="g",L$10="п"),L$11*(LN($B79)+1),  $B79^(L$10-1)*L$10*L$11))</f>
        <v>0</v>
      </c>
      <c r="Z79">
        <f>IF( OR( E$10="д",E$10="l"),E$11*LN($B79),  IF( OR( E$10="g",E$10="п"),E$11*$B79*LN($B79),  ($B79^E$10)*E$11))</f>
        <v>-6657.6530000000002</v>
      </c>
      <c r="AA79">
        <f>IF( OR( F$10="д",F$10="l"),F$11*LN($B79),  IF( OR( F$10="g",F$10="п"),F$11*$B79*LN($B79),  ($B79^F$10)*F$11))</f>
        <v>54023.173297297355</v>
      </c>
      <c r="AB79">
        <f>IF( OR( G$10="д",G$10="l"),G$11*LN($B79),  IF( OR( G$10="g",G$10="п"),G$11*$B79*LN($B79),  ($B79^G$10)*G$11))</f>
        <v>-71170.725737117202</v>
      </c>
      <c r="AC79">
        <f>IF( OR( H$10="д",H$10="l"),H$11*LN($B79),  IF( OR( H$10="g",H$10="п"),H$11*$B79*LN($B79),  ($B79^H$10)*H$11))</f>
        <v>-4190.1791088385771</v>
      </c>
      <c r="AD79">
        <f>IF( OR( I$10="д",I$10="l"),I$11*LN($B79),  IF( OR( I$10="g",I$10="п"),I$11*$B79*LN($B79),  ($B79^I$10)*I$11))</f>
        <v>532.53639025052985</v>
      </c>
      <c r="AE79">
        <f>IF( OR( J$10="д",J$10="l"),J$11*LN($B79),  IF( OR( J$10="g",J$10="п"),J$11*$B79*LN($B79),  ($B79^J$10)*J$11))</f>
        <v>0</v>
      </c>
      <c r="AF79">
        <f>IF( OR( K$10="д",K$10="l"),K$11*LN($B79),  IF( OR( K$10="g",K$10="п"),K$11*$B79*LN($B79),  ($B79^K$10)*K$11))</f>
        <v>0</v>
      </c>
      <c r="AG79">
        <f>IF( OR( L$10="д",L$10="l"),L$11*LN($B79),  IF( OR( L$10="g",L$10="п"),L$11*$B79*LN($B79),  ($B79^L$10)*L$11))</f>
        <v>0</v>
      </c>
      <c r="AP79" s="8">
        <f>(H79-D79)</f>
        <v>4.3527288611728983</v>
      </c>
      <c r="AQ79" s="8">
        <f>I79-E79</f>
        <v>8.1976503946937456</v>
      </c>
      <c r="AR79" s="8">
        <f>(J79-F79)</f>
        <v>-0.43292650437807723</v>
      </c>
      <c r="AS79" s="8">
        <f>K79-G79</f>
        <v>67.573590814379031</v>
      </c>
      <c r="AT79" s="8">
        <f>H79-L79</f>
        <v>-7633.5913448240271</v>
      </c>
      <c r="AU79" s="3">
        <f>I79-M79</f>
        <v>-1.727050244308721</v>
      </c>
      <c r="AV79" s="8">
        <f>J79-N79</f>
        <v>27436.236064361066</v>
      </c>
      <c r="AX79" s="5"/>
    </row>
    <row r="80" spans="1:50" hidden="1" x14ac:dyDescent="0.35">
      <c r="A80" s="1" t="s">
        <v>0</v>
      </c>
      <c r="B80" s="4">
        <f>B79+($C$2-$C$1)/$C$48</f>
        <v>593.24324324324391</v>
      </c>
      <c r="C80" s="7">
        <f>B80/10000</f>
        <v>5.9324324324324391E-2</v>
      </c>
      <c r="D80" s="9">
        <f>10*$B$3*(C80*$G$3-$H$3*2/C80+$J$3*C80^2+$K$3*2*C80^3+$L$3*3*C80^4-$I$3+$E$3)</f>
        <v>2.7082330138589081</v>
      </c>
      <c r="E80" s="6">
        <f>$B$3*($F$3+$G$3+$G$3*LN(C80)-$H$3/C80^2+$J$3*2*C80+$K$3*3*C80^2+$L$3*4*C80^3)</f>
        <v>49.488993701605409</v>
      </c>
      <c r="F80" s="3">
        <f>($E$3-C80*($F$3+$G$3*LN(C80)+$H$3*C80^(-2)+$I$3*C80^(-1)+$J$3*C80+$K$3*C80^2+$L$3*C80^3))*$B$3*10</f>
        <v>-26.650778114525874</v>
      </c>
      <c r="G80" s="6">
        <f>$B$3*($G$3+2*$H$3*C80^(-2)+2*$J$3*C80+ 6*$K$3*C80^2+ 12*$L$3*C80^3)</f>
        <v>-48.040525089121594</v>
      </c>
      <c r="H80" s="9">
        <f>10*$B$3*(C80*$G$7-$H$7*2/C80+$J$7*C80^2+$K$7*2*C80^3+$L$7*3*C80^4-$I$7+$E$7)</f>
        <v>7.7314429729729905</v>
      </c>
      <c r="I80" s="6">
        <f>$B$3*($F$7+$G$7+$G$7*LN(C80)-$H$7/C80^2+$J$7*2*C80+$K$7*3*C80^2+$L$7*4*C80^3)</f>
        <v>58.825804105597449</v>
      </c>
      <c r="J80" s="3">
        <f>($E$7-C80*($F$7+$G$7*LN(C80)+$H$7*C80^(-2)+$I$7*C80^(-1)+$J$7*C80+$K$7*C80^2+$L$7*C80^3))*$B$3*10</f>
        <v>-27.166567841023372</v>
      </c>
      <c r="K80" s="6">
        <f>$B$3*($G$7+2*$H$7*C80^(-2)+2*$J$7*C80+ 6*$K$7*C80^2+ 12*$L$7*C80^3)</f>
        <v>26.2</v>
      </c>
      <c r="L80" s="6">
        <f>N80+M80*B80</f>
        <v>7906.4041798484868</v>
      </c>
      <c r="M80" s="6">
        <f>-SUM(Q80:X80)</f>
        <v>60.582575140645638</v>
      </c>
      <c r="N80" s="8">
        <f>SUM(Z80:AG80)</f>
        <v>-28033.799180615653</v>
      </c>
      <c r="O80" s="8"/>
      <c r="Q80">
        <f>IF( OR( E$10="д",E$10="l"),E$11/$B80,  IF( OR( E$10="g",E$10="п"),E$11*(LN($B80)+1),  $B80^(E$10-1)*E$10*E$11))</f>
        <v>0</v>
      </c>
      <c r="R80">
        <f>IF( OR( F$10="д",F$10="l"),F$11/$B80,  IF( OR( F$10="g",F$10="п"),F$11*(LN($B80)+1),  $B80^(F$10-1)*F$10*F$11))</f>
        <v>92.539694999999995</v>
      </c>
      <c r="S80">
        <f>IF( OR( G$10="д",G$10="l"),G$11/$B80,  IF( OR( G$10="g",G$10="п"),G$11*(LN($B80)+1),  $B80^(G$10-1)*G$10*G$11))</f>
        <v>-141.36047024214307</v>
      </c>
      <c r="T80">
        <f>IF( OR( H$10="д",H$10="l"),H$11/$B80,  IF( OR( H$10="g",H$10="п"),H$11*(LN($B80)+1),  $B80^(H$10-1)*H$10*H$11))</f>
        <v>-14.587851351351368</v>
      </c>
      <c r="U80">
        <f>IF( OR( I$10="д",I$10="l"),I$11/$B80,  IF( OR( I$10="g",I$10="п"),I$11*(LN($B80)+1),  $B80^(I$10-1)*I$10*I$11))</f>
        <v>2.8260514528488003</v>
      </c>
      <c r="V80">
        <f>IF( OR( J$10="д",J$10="l"),J$11/$B80,  IF( OR( J$10="g",J$10="п"),J$11*(LN($B80)+1),  $B80^(J$10-1)*J$10*J$11))</f>
        <v>0</v>
      </c>
      <c r="W80">
        <f>IF( OR( K$10="д",K$10="l"),K$11/$B80,  IF( OR( K$10="g",K$10="п"),K$11*(LN($B80)+1),  $B80^(K$10-1)*K$10*K$11))</f>
        <v>0</v>
      </c>
      <c r="X80">
        <f>IF( OR( L$10="д",L$10="l"),L$11/$B80,  IF( OR( L$10="g",L$10="п"),L$11*(LN($B80)+1),  $B80^(L$10-1)*L$10*L$11))</f>
        <v>0</v>
      </c>
      <c r="Z80">
        <f>IF( OR( E$10="д",E$10="l"),E$11*LN($B80),  IF( OR( E$10="g",E$10="п"),E$11*$B80*LN($B80),  ($B80^E$10)*E$11))</f>
        <v>-6657.6530000000002</v>
      </c>
      <c r="AA80">
        <f>IF( OR( F$10="д",F$10="l"),F$11*LN($B80),  IF( OR( F$10="g",F$10="п"),F$11*$B80*LN($B80),  ($B80^F$10)*F$11))</f>
        <v>54898.548790540597</v>
      </c>
      <c r="AB80">
        <f>IF( OR( G$10="д",G$10="l"),G$11*LN($B80),  IF( OR( G$10="g",G$10="п"),G$11*$B80*LN($B80),  ($B80^G$10)*G$11))</f>
        <v>-72506.468157163341</v>
      </c>
      <c r="AC80">
        <f>IF( OR( H$10="д",H$10="l"),H$11*LN($B80),  IF( OR( H$10="g",H$10="п"),H$11*$B80*LN($B80),  ($B80^H$10)*H$11))</f>
        <v>-4327.0721238130118</v>
      </c>
      <c r="AD80">
        <f>IF( OR( I$10="д",I$10="l"),I$11*LN($B80),  IF( OR( I$10="g",I$10="п"),I$11*$B80*LN($B80),  ($B80^I$10)*I$11))</f>
        <v>558.84530982010131</v>
      </c>
      <c r="AE80">
        <f>IF( OR( J$10="д",J$10="l"),J$11*LN($B80),  IF( OR( J$10="g",J$10="п"),J$11*$B80*LN($B80),  ($B80^J$10)*J$11))</f>
        <v>0</v>
      </c>
      <c r="AF80">
        <f>IF( OR( K$10="д",K$10="l"),K$11*LN($B80),  IF( OR( K$10="g",K$10="п"),K$11*$B80*LN($B80),  ($B80^K$10)*K$11))</f>
        <v>0</v>
      </c>
      <c r="AG80">
        <f>IF( OR( L$10="д",L$10="l"),L$11*LN($B80),  IF( OR( L$10="g",L$10="п"),L$11*$B80*LN($B80),  ($B80^L$10)*L$11))</f>
        <v>0</v>
      </c>
      <c r="AP80" s="8">
        <f>(H80-D80)</f>
        <v>5.023209959114082</v>
      </c>
      <c r="AQ80" s="8">
        <f>I80-E80</f>
        <v>9.3368104039920397</v>
      </c>
      <c r="AR80" s="8">
        <f>(J80-F80)</f>
        <v>-0.51578972649749844</v>
      </c>
      <c r="AS80" s="8">
        <f>K80-G80</f>
        <v>74.24052508912159</v>
      </c>
      <c r="AT80" s="8">
        <f>H80-L80</f>
        <v>-7898.6727368755137</v>
      </c>
      <c r="AU80" s="3">
        <f>I80-M80</f>
        <v>-1.7567710350481889</v>
      </c>
      <c r="AV80" s="8">
        <f>J80-N80</f>
        <v>28006.632612774629</v>
      </c>
      <c r="AX80" s="5"/>
    </row>
    <row r="81" spans="1:50" hidden="1" x14ac:dyDescent="0.35">
      <c r="A81" s="1" t="s">
        <v>0</v>
      </c>
      <c r="B81" s="4">
        <f>B80+($C$2-$C$1)/$C$48</f>
        <v>602.70270270270339</v>
      </c>
      <c r="C81" s="7">
        <f>B81/10000</f>
        <v>6.0270270270270342E-2</v>
      </c>
      <c r="D81" s="9">
        <f>10*$B$3*(C81*$G$3-$H$3*2/C81+$J$3*C81^2+$K$3*2*C81^3+$L$3*3*C81^4-$I$3+$E$3)</f>
        <v>2.22095320288616</v>
      </c>
      <c r="E81" s="6">
        <f>$B$3*($F$3+$G$3+$G$3*LN(C81)-$H$3/C81^2+$J$3*2*C81+$K$3*3*C81^2+$L$3*4*C81^3)</f>
        <v>48.674236661751401</v>
      </c>
      <c r="F81" s="3">
        <f>($E$3-C81*($F$3+$G$3*LN(C81)+$H$3*C81^(-2)+$I$3*C81^(-1)+$J$3*C81+$K$3*C81^2+$L$3*C81^3))*$B$3*10</f>
        <v>-27.115140785142412</v>
      </c>
      <c r="G81" s="6">
        <f>$B$3*($G$3+2*$H$3*C81^(-2)+2*$J$3*C81+ 6*$K$3*C81^2+ 12*$L$3*C81^3)</f>
        <v>-55.039906552898906</v>
      </c>
      <c r="H81" s="9">
        <f>10*$B$3*(C81*$G$7-$H$7*2/C81+$J$7*C81^2+$K$7*2*C81^3+$L$7*3*C81^4-$I$7+$E$7)</f>
        <v>7.9792808108108293</v>
      </c>
      <c r="I81" s="6">
        <f>$B$3*($F$7+$G$7+$G$7*LN(C81)-$H$7/C81^2+$J$7*2*C81+$K$7*3*C81^2+$L$7*4*C81^3)</f>
        <v>59.240276025953648</v>
      </c>
      <c r="J81" s="3">
        <f>($E$7-C81*($F$7+$G$7*LN(C81)+$H$7*C81^(-2)+$I$7*C81^(-1)+$J$7*C81+$K$7*C81^2+$L$7*C81^3))*$B$3*10</f>
        <v>-27.724993658885598</v>
      </c>
      <c r="K81" s="6">
        <f>$B$3*($G$7+2*$H$7*C81^(-2)+2*$J$7*C81+ 6*$K$7*C81^2+ 12*$L$7*C81^3)</f>
        <v>26.2</v>
      </c>
      <c r="L81" s="6">
        <f>N81+M81*B81</f>
        <v>8172.2286958040204</v>
      </c>
      <c r="M81" s="6">
        <f>-SUM(Q81:X81)</f>
        <v>61.027126042822246</v>
      </c>
      <c r="N81" s="8">
        <f>SUM(Z81:AG81)</f>
        <v>-28608.98510838348</v>
      </c>
      <c r="O81" s="8"/>
      <c r="Q81">
        <f>IF( OR( E$10="д",E$10="l"),E$11/$B81,  IF( OR( E$10="g",E$10="п"),E$11*(LN($B81)+1),  $B81^(E$10-1)*E$10*E$11))</f>
        <v>0</v>
      </c>
      <c r="R81">
        <f>IF( OR( F$10="д",F$10="l"),F$11/$B81,  IF( OR( F$10="g",F$10="п"),F$11*(LN($B81)+1),  $B81^(F$10-1)*F$10*F$11))</f>
        <v>92.539694999999995</v>
      </c>
      <c r="S81">
        <f>IF( OR( G$10="д",G$10="l"),G$11/$B81,  IF( OR( G$10="g",G$10="п"),G$11*(LN($B81)+1),  $B81^(G$10-1)*G$10*G$11))</f>
        <v>-141.66325621754831</v>
      </c>
      <c r="T81">
        <f>IF( OR( H$10="д",H$10="l"),H$11/$B81,  IF( OR( H$10="g",H$10="п"),H$11*(LN($B81)+1),  $B81^(H$10-1)*H$10*H$11))</f>
        <v>-14.820459459459476</v>
      </c>
      <c r="U81">
        <f>IF( OR( I$10="д",I$10="l"),I$11/$B81,  IF( OR( I$10="g",I$10="п"),I$11*(LN($B81)+1),  $B81^(I$10-1)*I$10*I$11))</f>
        <v>2.9168946341855428</v>
      </c>
      <c r="V81">
        <f>IF( OR( J$10="д",J$10="l"),J$11/$B81,  IF( OR( J$10="g",J$10="п"),J$11*(LN($B81)+1),  $B81^(J$10-1)*J$10*J$11))</f>
        <v>0</v>
      </c>
      <c r="W81">
        <f>IF( OR( K$10="д",K$10="l"),K$11/$B81,  IF( OR( K$10="g",K$10="п"),K$11*(LN($B81)+1),  $B81^(K$10-1)*K$10*K$11))</f>
        <v>0</v>
      </c>
      <c r="X81">
        <f>IF( OR( L$10="д",L$10="l"),L$11/$B81,  IF( OR( L$10="g",L$10="п"),L$11*(LN($B81)+1),  $B81^(L$10-1)*L$10*L$11))</f>
        <v>0</v>
      </c>
      <c r="Z81">
        <f>IF( OR( E$10="д",E$10="l"),E$11*LN($B81),  IF( OR( E$10="g",E$10="п"),E$11*$B81*LN($B81),  ($B81^E$10)*E$11))</f>
        <v>-6657.6530000000002</v>
      </c>
      <c r="AA81">
        <f>IF( OR( F$10="д",F$10="l"),F$11*LN($B81),  IF( OR( F$10="g",F$10="п"),F$11*$B81*LN($B81),  ($B81^F$10)*F$11))</f>
        <v>55773.924283783846</v>
      </c>
      <c r="AB81">
        <f>IF( OR( G$10="д",G$10="l"),G$11*LN($B81),  IF( OR( G$10="g",G$10="п"),G$11*$B81*LN($B81),  ($B81^G$10)*G$11))</f>
        <v>-73845.097666252172</v>
      </c>
      <c r="AC81">
        <f>IF( OR( H$10="д",H$10="l"),H$11*LN($B81),  IF( OR( H$10="g",H$10="п"),H$11*$B81*LN($B81),  ($B81^H$10)*H$11))</f>
        <v>-4466.1654857560361</v>
      </c>
      <c r="AD81">
        <f>IF( OR( I$10="д",I$10="l"),I$11*LN($B81),  IF( OR( I$10="g",I$10="п"),I$11*$B81*LN($B81),  ($B81^I$10)*I$11))</f>
        <v>586.00675984088014</v>
      </c>
      <c r="AE81">
        <f>IF( OR( J$10="д",J$10="l"),J$11*LN($B81),  IF( OR( J$10="g",J$10="п"),J$11*$B81*LN($B81),  ($B81^J$10)*J$11))</f>
        <v>0</v>
      </c>
      <c r="AF81">
        <f>IF( OR( K$10="д",K$10="l"),K$11*LN($B81),  IF( OR( K$10="g",K$10="п"),K$11*$B81*LN($B81),  ($B81^K$10)*K$11))</f>
        <v>0</v>
      </c>
      <c r="AG81">
        <f>IF( OR( L$10="д",L$10="l"),L$11*LN($B81),  IF( OR( L$10="g",L$10="п"),L$11*$B81*LN($B81),  ($B81^L$10)*L$11))</f>
        <v>0</v>
      </c>
      <c r="AP81" s="8">
        <f>(H81-D81)</f>
        <v>5.7583276079246692</v>
      </c>
      <c r="AQ81" s="8">
        <f>I81-E81</f>
        <v>10.566039364202247</v>
      </c>
      <c r="AR81" s="8">
        <f>(J81-F81)</f>
        <v>-0.60985287374318631</v>
      </c>
      <c r="AS81" s="8">
        <f>K81-G81</f>
        <v>81.239906552898901</v>
      </c>
      <c r="AT81" s="8">
        <f>H81-L81</f>
        <v>-8164.2494149932099</v>
      </c>
      <c r="AU81" s="3">
        <f>I81-M81</f>
        <v>-1.7868500168685983</v>
      </c>
      <c r="AV81" s="8">
        <f>J81-N81</f>
        <v>28581.260114724595</v>
      </c>
      <c r="AX81" s="5"/>
    </row>
    <row r="82" spans="1:50" hidden="1" x14ac:dyDescent="0.35">
      <c r="A82" s="1" t="s">
        <v>0</v>
      </c>
      <c r="B82" s="4">
        <f>B81+($C$2-$C$1)/$C$48</f>
        <v>612.16216216216287</v>
      </c>
      <c r="C82" s="7">
        <f>B82/10000</f>
        <v>6.1216216216216285E-2</v>
      </c>
      <c r="D82" s="9">
        <f>10*$B$3*(C82*$G$3-$H$3*2/C82+$J$3*C82^2+$K$3*2*C82^3+$L$3*3*C82^4-$I$3+$E$3)</f>
        <v>1.665883718004544</v>
      </c>
      <c r="E82" s="6">
        <f>$B$3*($F$3+$G$3+$G$3*LN(C82)-$H$3/C82^2+$J$3*2*C82+$K$3*3*C82^2+$L$3*4*C82^3)</f>
        <v>47.760570142953796</v>
      </c>
      <c r="F82" s="3">
        <f>($E$3-C82*($F$3+$G$3*LN(C82)+$H$3*C82^(-2)+$I$3*C82^(-1)+$J$3*C82+$K$3*C82^2+$L$3*C82^3))*$B$3*10</f>
        <v>-27.571330166803669</v>
      </c>
      <c r="G82" s="6">
        <f>$B$3*($G$3+2*$H$3*C82^(-2)+2*$J$3*C82+ 6*$K$3*C82^2+ 12*$L$3*C82^3)</f>
        <v>-62.373478146189356</v>
      </c>
      <c r="H82" s="9">
        <f>10*$B$3*(C82*$G$7-$H$7*2/C82+$J$7*C82^2+$K$7*2*C82^3+$L$7*3*C82^4-$I$7+$E$7)</f>
        <v>8.227118648648668</v>
      </c>
      <c r="I82" s="6">
        <f>$B$3*($F$7+$G$7+$G$7*LN(C82)-$H$7/C82^2+$J$7*2*C82+$K$7*3*C82^2+$L$7*4*C82^3)</f>
        <v>59.648293170683459</v>
      </c>
      <c r="J82" s="3">
        <f>($E$7-C82*($F$7+$G$7*LN(C82)+$H$7*C82^(-2)+$I$7*C82^(-1)+$J$7*C82+$K$7*C82^2+$L$7*C82^3))*$B$3*10</f>
        <v>-28.287309467999489</v>
      </c>
      <c r="K82" s="6">
        <f>$B$3*($G$7+2*$H$7*C82^(-2)+2*$J$7*C82+ 6*$K$7*C82^2+ 12*$L$7*C82^3)</f>
        <v>26.2</v>
      </c>
      <c r="L82" s="6">
        <f>N82+M82*B82</f>
        <v>8438.521310066455</v>
      </c>
      <c r="M82" s="6">
        <f>-SUM(Q82:X82)</f>
        <v>61.465524442399484</v>
      </c>
      <c r="N82" s="8">
        <f>SUM(Z82:AG82)</f>
        <v>-29188.347031024081</v>
      </c>
      <c r="O82" s="8"/>
      <c r="Q82">
        <f>IF( OR( E$10="д",E$10="l"),E$11/$B82,  IF( OR( E$10="g",E$10="п"),E$11*(LN($B82)+1),  $B82^(E$10-1)*E$10*E$11))</f>
        <v>0</v>
      </c>
      <c r="R82">
        <f>IF( OR( F$10="д",F$10="l"),F$11/$B82,  IF( OR( F$10="g",F$10="п"),F$11*(LN($B82)+1),  $B82^(F$10-1)*F$10*F$11))</f>
        <v>92.539694999999995</v>
      </c>
      <c r="S82">
        <f>IF( OR( G$10="д",G$10="l"),G$11/$B82,  IF( OR( G$10="g",G$10="п"),G$11*(LN($B82)+1),  $B82^(G$10-1)*G$10*G$11))</f>
        <v>-141.96132675762956</v>
      </c>
      <c r="T82">
        <f>IF( OR( H$10="д",H$10="l"),H$11/$B82,  IF( OR( H$10="g",H$10="п"),H$11*(LN($B82)+1),  $B82^(H$10-1)*H$10*H$11))</f>
        <v>-15.053067567567586</v>
      </c>
      <c r="U82">
        <f>IF( OR( I$10="д",I$10="l"),I$11/$B82,  IF( OR( I$10="g",I$10="п"),I$11*(LN($B82)+1),  $B82^(I$10-1)*I$10*I$11))</f>
        <v>3.0091748827976694</v>
      </c>
      <c r="V82">
        <f>IF( OR( J$10="д",J$10="l"),J$11/$B82,  IF( OR( J$10="g",J$10="п"),J$11*(LN($B82)+1),  $B82^(J$10-1)*J$10*J$11))</f>
        <v>0</v>
      </c>
      <c r="W82">
        <f>IF( OR( K$10="д",K$10="l"),K$11/$B82,  IF( OR( K$10="g",K$10="п"),K$11*(LN($B82)+1),  $B82^(K$10-1)*K$10*K$11))</f>
        <v>0</v>
      </c>
      <c r="X82">
        <f>IF( OR( L$10="д",L$10="l"),L$11/$B82,  IF( OR( L$10="g",L$10="п"),L$11*(LN($B82)+1),  $B82^(L$10-1)*L$10*L$11))</f>
        <v>0</v>
      </c>
      <c r="Z82">
        <f>IF( OR( E$10="д",E$10="l"),E$11*LN($B82),  IF( OR( E$10="g",E$10="п"),E$11*$B82*LN($B82),  ($B82^E$10)*E$11))</f>
        <v>-6657.6530000000002</v>
      </c>
      <c r="AA82">
        <f>IF( OR( F$10="д",F$10="l"),F$11*LN($B82),  IF( OR( F$10="g",F$10="п"),F$11*$B82*LN($B82),  ($B82^F$10)*F$11))</f>
        <v>56649.299777027089</v>
      </c>
      <c r="AB82">
        <f>IF( OR( G$10="д",G$10="l"),G$11*LN($B82),  IF( OR( G$10="g",G$10="п"),G$11*$B82*LN($B82),  ($B82^G$10)*G$11))</f>
        <v>-75186.568947576015</v>
      </c>
      <c r="AC82">
        <f>IF( OR( H$10="д",H$10="l"),H$11*LN($B82),  IF( OR( H$10="g",H$10="п"),H$11*$B82*LN($B82),  ($B82^H$10)*H$11))</f>
        <v>-4607.4591946676519</v>
      </c>
      <c r="AD82">
        <f>IF( OR( I$10="д",I$10="l"),I$11*LN($B82),  IF( OR( I$10="g",I$10="п"),I$11*$B82*LN($B82),  ($B82^I$10)*I$11))</f>
        <v>614.03433419249814</v>
      </c>
      <c r="AE82">
        <f>IF( OR( J$10="д",J$10="l"),J$11*LN($B82),  IF( OR( J$10="g",J$10="п"),J$11*$B82*LN($B82),  ($B82^J$10)*J$11))</f>
        <v>0</v>
      </c>
      <c r="AF82">
        <f>IF( OR( K$10="д",K$10="l"),K$11*LN($B82),  IF( OR( K$10="g",K$10="п"),K$11*$B82*LN($B82),  ($B82^K$10)*K$11))</f>
        <v>0</v>
      </c>
      <c r="AG82">
        <f>IF( OR( L$10="д",L$10="l"),L$11*LN($B82),  IF( OR( L$10="g",L$10="п"),L$11*$B82*LN($B82),  ($B82^L$10)*L$11))</f>
        <v>0</v>
      </c>
      <c r="AP82" s="8">
        <f>(H82-D82)</f>
        <v>6.5612349306441242</v>
      </c>
      <c r="AQ82" s="8">
        <f>I82-E82</f>
        <v>11.887723027729663</v>
      </c>
      <c r="AR82" s="8">
        <f>(J82-F82)</f>
        <v>-0.71597930119581932</v>
      </c>
      <c r="AS82" s="8">
        <f>K82-G82</f>
        <v>88.573478146189359</v>
      </c>
      <c r="AT82" s="8">
        <f>H82-L82</f>
        <v>-8430.2941914178064</v>
      </c>
      <c r="AU82" s="3">
        <f>I82-M82</f>
        <v>-1.8172312717160253</v>
      </c>
      <c r="AV82" s="8">
        <f>J82-N82</f>
        <v>29160.059721556081</v>
      </c>
      <c r="AX82" s="5"/>
    </row>
    <row r="83" spans="1:50" hidden="1" x14ac:dyDescent="0.35">
      <c r="A83" s="1" t="s">
        <v>0</v>
      </c>
      <c r="B83" s="4">
        <f>B82+($C$2-$C$1)/$C$48</f>
        <v>621.62162162162235</v>
      </c>
      <c r="C83" s="7">
        <f>B83/10000</f>
        <v>6.2162162162162235E-2</v>
      </c>
      <c r="D83" s="9">
        <f>10*$B$3*(C83*$G$3-$H$3*2/C83+$J$3*C83^2+$K$3*2*C83^3+$L$3*3*C83^4-$I$3+$E$3)</f>
        <v>1.0398555810952712</v>
      </c>
      <c r="E83" s="6">
        <f>$B$3*($F$3+$G$3+$G$3*LN(C83)-$H$3/C83^2+$J$3*2*C83+$K$3*3*C83^2+$L$3*4*C83^3)</f>
        <v>46.745890412895946</v>
      </c>
      <c r="F83" s="3">
        <f>($E$3-C83*($F$3+$G$3*LN(C83)+$H$3*C83^(-2)+$I$3*C83^(-1)+$J$3*C83+$K$3*C83^2+$L$3*C83^3))*$B$3*10</f>
        <v>-28.018400621515724</v>
      </c>
      <c r="G83" s="6">
        <f>$B$3*($G$3+2*$H$3*C83^(-2)+2*$J$3*C83+ 6*$K$3*C83^2+ 12*$L$3*C83^3)</f>
        <v>-70.042851211444869</v>
      </c>
      <c r="H83" s="9">
        <f>10*$B$3*(C83*$G$7-$H$7*2/C83+$J$7*C83^2+$K$7*2*C83^3+$L$7*3*C83^4-$I$7+$E$7)</f>
        <v>8.474956486486505</v>
      </c>
      <c r="I83" s="6">
        <f>$B$3*($F$7+$G$7+$G$7*LN(C83)-$H$7/C83^2+$J$7*2*C83+$K$7*3*C83^2+$L$7*4*C83^3)</f>
        <v>60.050053507486254</v>
      </c>
      <c r="J83" s="3">
        <f>($E$7-C83*($F$7+$G$7*LN(C83)+$H$7*C83^(-2)+$I$7*C83^(-1)+$J$7*C83+$K$7*C83^2+$L$7*C83^3))*$B$3*10</f>
        <v>-28.853455153302292</v>
      </c>
      <c r="K83" s="6">
        <f>$B$3*($G$7+2*$H$7*C83^(-2)+2*$J$7*C83+ 6*$K$7*C83^2+ 12*$L$7*C83^3)</f>
        <v>26.2</v>
      </c>
      <c r="L83" s="6">
        <f>N83+M83*B83</f>
        <v>8705.2548348765304</v>
      </c>
      <c r="M83" s="6">
        <f>-SUM(Q83:X83)</f>
        <v>61.897914961582124</v>
      </c>
      <c r="N83" s="8">
        <f>SUM(Z83:AG83)</f>
        <v>-29771.827438539429</v>
      </c>
      <c r="O83" s="8"/>
      <c r="Q83">
        <f>IF( OR( E$10="д",E$10="l"),E$11/$B83,  IF( OR( E$10="g",E$10="п"),E$11*(LN($B83)+1),  $B83^(E$10-1)*E$10*E$11))</f>
        <v>0</v>
      </c>
      <c r="R83">
        <f>IF( OR( F$10="д",F$10="l"),F$11/$B83,  IF( OR( F$10="g",F$10="п"),F$11*(LN($B83)+1),  $B83^(F$10-1)*F$10*F$11))</f>
        <v>92.539694999999995</v>
      </c>
      <c r="S83">
        <f>IF( OR( G$10="д",G$10="l"),G$11/$B83,  IF( OR( G$10="g",G$10="п"),G$11*(LN($B83)+1),  $B83^(G$10-1)*G$10*G$11))</f>
        <v>-142.2548264845916</v>
      </c>
      <c r="T83">
        <f>IF( OR( H$10="д",H$10="l"),H$11/$B83,  IF( OR( H$10="g",H$10="п"),H$11*(LN($B83)+1),  $B83^(H$10-1)*H$10*H$11))</f>
        <v>-15.285675675675694</v>
      </c>
      <c r="U83">
        <f>IF( OR( I$10="д",I$10="l"),I$11/$B83,  IF( OR( I$10="g",I$10="п"),I$11*(LN($B83)+1),  $B83^(I$10-1)*I$10*I$11))</f>
        <v>3.1028921986851787</v>
      </c>
      <c r="V83">
        <f>IF( OR( J$10="д",J$10="l"),J$11/$B83,  IF( OR( J$10="g",J$10="п"),J$11*(LN($B83)+1),  $B83^(J$10-1)*J$10*J$11))</f>
        <v>0</v>
      </c>
      <c r="W83">
        <f>IF( OR( K$10="д",K$10="l"),K$11/$B83,  IF( OR( K$10="g",K$10="п"),K$11*(LN($B83)+1),  $B83^(K$10-1)*K$10*K$11))</f>
        <v>0</v>
      </c>
      <c r="X83">
        <f>IF( OR( L$10="д",L$10="l"),L$11/$B83,  IF( OR( L$10="g",L$10="п"),L$11*(LN($B83)+1),  $B83^(L$10-1)*L$10*L$11))</f>
        <v>0</v>
      </c>
      <c r="Z83">
        <f>IF( OR( E$10="д",E$10="l"),E$11*LN($B83),  IF( OR( E$10="g",E$10="п"),E$11*$B83*LN($B83),  ($B83^E$10)*E$11))</f>
        <v>-6657.6530000000002</v>
      </c>
      <c r="AA83">
        <f>IF( OR( F$10="д",F$10="l"),F$11*LN($B83),  IF( OR( F$10="g",F$10="п"),F$11*$B83*LN($B83),  ($B83^F$10)*F$11))</f>
        <v>57524.675270270338</v>
      </c>
      <c r="AB83">
        <f>IF( OR( G$10="д",G$10="l"),G$11*LN($B83),  IF( OR( G$10="g",G$10="п"),G$11*$B83*LN($B83),  ($B83^G$10)*G$11))</f>
        <v>-76530.838085016498</v>
      </c>
      <c r="AC83">
        <f>IF( OR( H$10="д",H$10="l"),H$11*LN($B83),  IF( OR( H$10="g",H$10="п"),H$11*$B83*LN($B83),  ($B83^H$10)*H$11))</f>
        <v>-4750.9532505478564</v>
      </c>
      <c r="AD83">
        <f>IF( OR( I$10="д",I$10="l"),I$11*LN($B83),  IF( OR( I$10="g",I$10="п"),I$11*$B83*LN($B83),  ($B83^I$10)*I$11))</f>
        <v>642.94162675458733</v>
      </c>
      <c r="AE83">
        <f>IF( OR( J$10="д",J$10="l"),J$11*LN($B83),  IF( OR( J$10="g",J$10="п"),J$11*$B83*LN($B83),  ($B83^J$10)*J$11))</f>
        <v>0</v>
      </c>
      <c r="AF83">
        <f>IF( OR( K$10="д",K$10="l"),K$11*LN($B83),  IF( OR( K$10="g",K$10="п"),K$11*$B83*LN($B83),  ($B83^K$10)*K$11))</f>
        <v>0</v>
      </c>
      <c r="AG83">
        <f>IF( OR( L$10="д",L$10="l"),L$11*LN($B83),  IF( OR( L$10="g",L$10="п"),L$11*$B83*LN($B83),  ($B83^L$10)*L$11))</f>
        <v>0</v>
      </c>
      <c r="AP83" s="8">
        <f>(H83-D83)</f>
        <v>7.4351009053912342</v>
      </c>
      <c r="AQ83" s="8">
        <f>I83-E83</f>
        <v>13.304163094590308</v>
      </c>
      <c r="AR83" s="8">
        <f>(J83-F83)</f>
        <v>-0.83505453178656808</v>
      </c>
      <c r="AS83" s="8">
        <f>K83-G83</f>
        <v>96.242851211444872</v>
      </c>
      <c r="AT83" s="8">
        <f>H83-L83</f>
        <v>-8696.7798783900435</v>
      </c>
      <c r="AU83" s="3">
        <f>I83-M83</f>
        <v>-1.8478614540958702</v>
      </c>
      <c r="AV83" s="8">
        <f>J83-N83</f>
        <v>29742.973983386128</v>
      </c>
      <c r="AX83" s="5"/>
    </row>
    <row r="84" spans="1:50" hidden="1" x14ac:dyDescent="0.35">
      <c r="A84" s="1" t="s">
        <v>0</v>
      </c>
      <c r="B84" s="4">
        <f>B83+($C$2-$C$1)/$C$48</f>
        <v>631.08108108108183</v>
      </c>
      <c r="C84" s="7">
        <f>B84/10000</f>
        <v>6.3108108108108185E-2</v>
      </c>
      <c r="D84" s="9">
        <f>10*$B$3*(C84*$G$3-$H$3*2/C84+$J$3*C84^2+$K$3*2*C84^3+$L$3*3*C84^4-$I$3+$E$3)</f>
        <v>0.3396851472423017</v>
      </c>
      <c r="E84" s="6">
        <f>$B$3*($F$3+$G$3+$G$3*LN(C84)-$H$3/C84^2+$J$3*2*C84+$K$3*3*C84^2+$L$3*4*C84^3)</f>
        <v>45.628165641010824</v>
      </c>
      <c r="F84" s="3">
        <f>($E$3-C84*($F$3+$G$3*LN(C84)+$H$3*C84^(-2)+$I$3*C84^(-1)+$J$3*C84+$K$3*C84^2+$L$3*C84^3))*$B$3*10</f>
        <v>-28.455386953233436</v>
      </c>
      <c r="G84" s="6">
        <f>$B$3*($G$3+2*$H$3*C84^(-2)+2*$J$3*C84+ 6*$K$3*C84^2+ 12*$L$3*C84^3)</f>
        <v>-78.049517238829637</v>
      </c>
      <c r="H84" s="9">
        <f>10*$B$3*(C84*$G$7-$H$7*2/C84+$J$7*C84^2+$K$7*2*C84^3+$L$7*3*C84^4-$I$7+$E$7)</f>
        <v>8.7227943243243438</v>
      </c>
      <c r="I84" s="6">
        <f>$B$3*($F$7+$G$7+$G$7*LN(C84)-$H$7/C84^2+$J$7*2*C84+$K$7*3*C84^2+$L$7*4*C84^3)</f>
        <v>60.445746033953071</v>
      </c>
      <c r="J84" s="3">
        <f>($E$7-C84*($F$7+$G$7*LN(C84)+$H$7*C84^(-2)+$I$7*C84^(-1)+$J$7*C84+$K$7*C84^2+$L$7*C84^3))*$B$3*10</f>
        <v>-29.423372429535274</v>
      </c>
      <c r="K84" s="6">
        <f>$B$3*($G$7+2*$H$7*C84^(-2)+2*$J$7*C84+ 6*$K$7*C84^2+ 12*$L$7*C84^3)</f>
        <v>26.2</v>
      </c>
      <c r="L84" s="6">
        <f>N84+M84*B84</f>
        <v>8972.4020824750005</v>
      </c>
      <c r="M84" s="6">
        <f>-SUM(Q84:X84)</f>
        <v>62.324435669602707</v>
      </c>
      <c r="N84" s="8">
        <f>SUM(Z84:AG84)</f>
        <v>-30359.370157666217</v>
      </c>
      <c r="O84" s="8"/>
      <c r="Q84">
        <f>IF( OR( E$10="д",E$10="l"),E$11/$B84,  IF( OR( E$10="g",E$10="п"),E$11*(LN($B84)+1),  $B84^(E$10-1)*E$10*E$11))</f>
        <v>0</v>
      </c>
      <c r="R84">
        <f>IF( OR( F$10="д",F$10="l"),F$11/$B84,  IF( OR( F$10="g",F$10="п"),F$11*(LN($B84)+1),  $B84^(F$10-1)*F$10*F$11))</f>
        <v>92.539694999999995</v>
      </c>
      <c r="S84">
        <f>IF( OR( G$10="д",G$10="l"),G$11/$B84,  IF( OR( G$10="g",G$10="п"),G$11*(LN($B84)+1),  $B84^(G$10-1)*G$10*G$11))</f>
        <v>-142.54389346766698</v>
      </c>
      <c r="T84">
        <f>IF( OR( H$10="д",H$10="l"),H$11/$B84,  IF( OR( H$10="g",H$10="п"),H$11*(LN($B84)+1),  $B84^(H$10-1)*H$10*H$11))</f>
        <v>-15.518283783783803</v>
      </c>
      <c r="U84">
        <f>IF( OR( I$10="д",I$10="l"),I$11/$B84,  IF( OR( I$10="g",I$10="п"),I$11*(LN($B84)+1),  $B84^(I$10-1)*I$10*I$11))</f>
        <v>3.1980465818480717</v>
      </c>
      <c r="V84">
        <f>IF( OR( J$10="д",J$10="l"),J$11/$B84,  IF( OR( J$10="g",J$10="п"),J$11*(LN($B84)+1),  $B84^(J$10-1)*J$10*J$11))</f>
        <v>0</v>
      </c>
      <c r="W84">
        <f>IF( OR( K$10="д",K$10="l"),K$11/$B84,  IF( OR( K$10="g",K$10="п"),K$11*(LN($B84)+1),  $B84^(K$10-1)*K$10*K$11))</f>
        <v>0</v>
      </c>
      <c r="X84">
        <f>IF( OR( L$10="д",L$10="l"),L$11/$B84,  IF( OR( L$10="g",L$10="п"),L$11*(LN($B84)+1),  $B84^(L$10-1)*L$10*L$11))</f>
        <v>0</v>
      </c>
      <c r="Z84">
        <f>IF( OR( E$10="д",E$10="l"),E$11*LN($B84),  IF( OR( E$10="g",E$10="п"),E$11*$B84*LN($B84),  ($B84^E$10)*E$11))</f>
        <v>-6657.6530000000002</v>
      </c>
      <c r="AA84">
        <f>IF( OR( F$10="д",F$10="l"),F$11*LN($B84),  IF( OR( F$10="g",F$10="п"),F$11*$B84*LN($B84),  ($B84^F$10)*F$11))</f>
        <v>58400.05076351358</v>
      </c>
      <c r="AB84">
        <f>IF( OR( G$10="д",G$10="l"),G$11*LN($B84),  IF( OR( G$10="g",G$10="п"),G$11*$B84*LN($B84),  ($B84^G$10)*G$11))</f>
        <v>-77877.862499189927</v>
      </c>
      <c r="AC84">
        <f>IF( OR( H$10="д",H$10="l"),H$11*LN($B84),  IF( OR( H$10="g",H$10="п"),H$11*$B84*LN($B84),  ($B84^H$10)*H$11))</f>
        <v>-4896.6476533966515</v>
      </c>
      <c r="AD84">
        <f>IF( OR( I$10="д",I$10="l"),I$11*LN($B84),  IF( OR( I$10="g",I$10="п"),I$11*$B84*LN($B84),  ($B84^I$10)*I$11))</f>
        <v>672.74223140677987</v>
      </c>
      <c r="AE84">
        <f>IF( OR( J$10="д",J$10="l"),J$11*LN($B84),  IF( OR( J$10="g",J$10="п"),J$11*$B84*LN($B84),  ($B84^J$10)*J$11))</f>
        <v>0</v>
      </c>
      <c r="AF84">
        <f>IF( OR( K$10="д",K$10="l"),K$11*LN($B84),  IF( OR( K$10="g",K$10="п"),K$11*$B84*LN($B84),  ($B84^K$10)*K$11))</f>
        <v>0</v>
      </c>
      <c r="AG84">
        <f>IF( OR( L$10="д",L$10="l"),L$11*LN($B84),  IF( OR( L$10="g",L$10="п"),L$11*$B84*LN($B84),  ($B84^L$10)*L$11))</f>
        <v>0</v>
      </c>
      <c r="AP84" s="8">
        <f>(H84-D84)</f>
        <v>8.3831091770820425</v>
      </c>
      <c r="AQ84" s="8">
        <f>I84-E84</f>
        <v>14.817580392942247</v>
      </c>
      <c r="AR84" s="8">
        <f>(J84-F84)</f>
        <v>-0.96798547630183762</v>
      </c>
      <c r="AS84" s="8">
        <f>K84-G84</f>
        <v>104.24951723882964</v>
      </c>
      <c r="AT84" s="8">
        <f>H84-L84</f>
        <v>-8963.6792881506753</v>
      </c>
      <c r="AU84" s="3">
        <f>I84-M84</f>
        <v>-1.8786896356496356</v>
      </c>
      <c r="AV84" s="8">
        <f>J84-N84</f>
        <v>30329.946785236683</v>
      </c>
      <c r="AX84" s="5"/>
    </row>
    <row r="85" spans="1:50" hidden="1" x14ac:dyDescent="0.35">
      <c r="A85" s="1" t="s">
        <v>0</v>
      </c>
      <c r="B85" s="4">
        <f>B84+($C$2-$C$1)/$C$48</f>
        <v>640.54054054054131</v>
      </c>
      <c r="C85" s="7">
        <f>B85/10000</f>
        <v>6.4054054054054135E-2</v>
      </c>
      <c r="D85" s="9">
        <f>10*$B$3*(C85*$G$3-$H$3*2/C85+$J$3*C85^2+$K$3*2*C85^3+$L$3*3*C85^4-$I$3+$E$3)</f>
        <v>-0.43782481227598896</v>
      </c>
      <c r="E85" s="6">
        <f>$B$3*($F$3+$G$3+$G$3*LN(C85)-$H$3/C85^2+$J$3*2*C85+$K$3*3*C85^2+$L$3*4*C85^3)</f>
        <v>44.405433322803788</v>
      </c>
      <c r="F85" s="3">
        <f>($E$3-C85*($F$3+$G$3*LN(C85)+$H$3*C85^(-2)+$I$3*C85^(-1)+$J$3*C85+$K$3*C85^2+$L$3*C85^3))*$B$3*10</f>
        <v>-28.881305075801684</v>
      </c>
      <c r="G85" s="6">
        <f>$B$3*($G$3+2*$H$3*C85^(-2)+2*$J$3*C85+ 6*$K$3*C85^2+ 12*$L$3*C85^3)</f>
        <v>-86.394858406817434</v>
      </c>
      <c r="H85" s="9">
        <f>10*$B$3*(C85*$G$7-$H$7*2/C85+$J$7*C85^2+$K$7*2*C85^3+$L$7*3*C85^4-$I$7+$E$7)</f>
        <v>8.9706321621621843</v>
      </c>
      <c r="I85" s="6">
        <f>$B$3*($F$7+$G$7+$G$7*LN(C85)-$H$7/C85^2+$J$7*2*C85+$K$7*3*C85^2+$L$7*4*C85^3)</f>
        <v>60.835551311438977</v>
      </c>
      <c r="J85" s="3">
        <f>($E$7-C85*($F$7+$G$7*LN(C85)+$H$7*C85^(-2)+$I$7*C85^(-1)+$J$7*C85+$K$7*C85^2+$L$7*C85^3))*$B$3*10</f>
        <v>-29.997004758948769</v>
      </c>
      <c r="K85" s="6">
        <f>$B$3*($G$7+2*$H$7*C85^(-2)+2*$J$7*C85+ 6*$K$7*C85^2+ 12*$L$7*C85^3)</f>
        <v>26.2</v>
      </c>
      <c r="L85" s="6">
        <f>N85+M85*B85</f>
        <v>9239.9358651025832</v>
      </c>
      <c r="M85" s="6">
        <f>-SUM(Q85:X85)</f>
        <v>62.745218472733619</v>
      </c>
      <c r="N85" s="8">
        <f>SUM(Z85:AG85)</f>
        <v>-30950.920291756571</v>
      </c>
      <c r="O85" s="8"/>
      <c r="Q85">
        <f>IF( OR( E$10="д",E$10="l"),E$11/$B85,  IF( OR( E$10="g",E$10="п"),E$11*(LN($B85)+1),  $B85^(E$10-1)*E$10*E$11))</f>
        <v>0</v>
      </c>
      <c r="R85">
        <f>IF( OR( F$10="д",F$10="l"),F$11/$B85,  IF( OR( F$10="g",F$10="п"),F$11*(LN($B85)+1),  $B85^(F$10-1)*F$10*F$11))</f>
        <v>92.539694999999995</v>
      </c>
      <c r="S85">
        <f>IF( OR( G$10="д",G$10="l"),G$11/$B85,  IF( OR( G$10="g",G$10="п"),G$11*(LN($B85)+1),  $B85^(G$10-1)*G$10*G$11))</f>
        <v>-142.82865961312805</v>
      </c>
      <c r="T85">
        <f>IF( OR( H$10="д",H$10="l"),H$11/$B85,  IF( OR( H$10="g",H$10="п"),H$11*(LN($B85)+1),  $B85^(H$10-1)*H$10*H$11))</f>
        <v>-15.750891891891911</v>
      </c>
      <c r="U85">
        <f>IF( OR( I$10="д",I$10="l"),I$11/$B85,  IF( OR( I$10="g",I$10="п"),I$11*(LN($B85)+1),  $B85^(I$10-1)*I$10*I$11))</f>
        <v>3.2946380322863487</v>
      </c>
      <c r="V85">
        <f>IF( OR( J$10="д",J$10="l"),J$11/$B85,  IF( OR( J$10="g",J$10="п"),J$11*(LN($B85)+1),  $B85^(J$10-1)*J$10*J$11))</f>
        <v>0</v>
      </c>
      <c r="W85">
        <f>IF( OR( K$10="д",K$10="l"),K$11/$B85,  IF( OR( K$10="g",K$10="п"),K$11*(LN($B85)+1),  $B85^(K$10-1)*K$10*K$11))</f>
        <v>0</v>
      </c>
      <c r="X85">
        <f>IF( OR( L$10="д",L$10="l"),L$11/$B85,  IF( OR( L$10="g",L$10="п"),L$11*(LN($B85)+1),  $B85^(L$10-1)*L$10*L$11))</f>
        <v>0</v>
      </c>
      <c r="Z85">
        <f>IF( OR( E$10="д",E$10="l"),E$11*LN($B85),  IF( OR( E$10="g",E$10="п"),E$11*$B85*LN($B85),  ($B85^E$10)*E$11))</f>
        <v>-6657.6530000000002</v>
      </c>
      <c r="AA85">
        <f>IF( OR( F$10="д",F$10="l"),F$11*LN($B85),  IF( OR( F$10="g",F$10="п"),F$11*$B85*LN($B85),  ($B85^F$10)*F$11))</f>
        <v>59275.426256756822</v>
      </c>
      <c r="AB85">
        <f>IF( OR( G$10="д",G$10="l"),G$11*LN($B85),  IF( OR( G$10="g",G$10="п"),G$11*$B85*LN($B85),  ($B85^G$10)*G$11))</f>
        <v>-79227.600887328066</v>
      </c>
      <c r="AC85">
        <f>IF( OR( H$10="д",H$10="l"),H$11*LN($B85),  IF( OR( H$10="g",H$10="п"),H$11*$B85*LN($B85),  ($B85^H$10)*H$11))</f>
        <v>-5044.5424032140372</v>
      </c>
      <c r="AD85">
        <f>IF( OR( I$10="д",I$10="l"),I$11*LN($B85),  IF( OR( I$10="g",I$10="п"),I$11*$B85*LN($B85),  ($B85^I$10)*I$11))</f>
        <v>703.44974202870765</v>
      </c>
      <c r="AE85">
        <f>IF( OR( J$10="д",J$10="l"),J$11*LN($B85),  IF( OR( J$10="g",J$10="п"),J$11*$B85*LN($B85),  ($B85^J$10)*J$11))</f>
        <v>0</v>
      </c>
      <c r="AF85">
        <f>IF( OR( K$10="д",K$10="l"),K$11*LN($B85),  IF( OR( K$10="g",K$10="п"),K$11*$B85*LN($B85),  ($B85^K$10)*K$11))</f>
        <v>0</v>
      </c>
      <c r="AG85">
        <f>IF( OR( L$10="д",L$10="l"),L$11*LN($B85),  IF( OR( L$10="g",L$10="п"),L$11*$B85*LN($B85),  ($B85^L$10)*L$11))</f>
        <v>0</v>
      </c>
      <c r="AP85" s="8">
        <f>(H85-D85)</f>
        <v>9.4084569744381739</v>
      </c>
      <c r="AQ85" s="8">
        <f>I85-E85</f>
        <v>16.430117988635189</v>
      </c>
      <c r="AR85" s="8">
        <f>(J85-F85)</f>
        <v>-1.1156996831470849</v>
      </c>
      <c r="AS85" s="8">
        <f>K85-G85</f>
        <v>112.59485840681744</v>
      </c>
      <c r="AT85" s="8">
        <f>H85-L85</f>
        <v>-9230.9652329404216</v>
      </c>
      <c r="AU85" s="3">
        <f>I85-M85</f>
        <v>-1.9096671612946423</v>
      </c>
      <c r="AV85" s="8">
        <f>J85-N85</f>
        <v>30920.923286997622</v>
      </c>
      <c r="AX85" s="5"/>
    </row>
    <row r="86" spans="1:50" hidden="1" x14ac:dyDescent="0.35">
      <c r="A86" s="1" t="s">
        <v>0</v>
      </c>
      <c r="B86" s="4">
        <f>B85+($C$2-$C$1)/$C$48</f>
        <v>650.0000000000008</v>
      </c>
      <c r="C86" s="7">
        <f>B86/10000</f>
        <v>6.5000000000000085E-2</v>
      </c>
      <c r="D86" s="9">
        <f>10*$B$3*(C86*$G$3-$H$3*2/C86+$J$3*C86^2+$K$3*2*C86^3+$L$3*3*C86^4-$I$3+$E$3)</f>
        <v>-1.2958841215607371</v>
      </c>
      <c r="E86" s="6">
        <f>$B$3*($F$3+$G$3+$G$3*LN(C86)-$H$3/C86^2+$J$3*2*C86+$K$3*3*C86^2+$L$3*4*C86^3)</f>
        <v>43.075797746402941</v>
      </c>
      <c r="F86" s="3">
        <f>($E$3-C86*($F$3+$G$3*LN(C86)+$H$3*C86^(-2)+$I$3*C86^(-1)+$J$3*C86+$K$3*C86^2+$L$3*C86^3))*$B$3*10</f>
        <v>-29.295152656722632</v>
      </c>
      <c r="G86" s="6">
        <f>$B$3*($G$3+2*$H$3*C86^(-2)+2*$J$3*C86+ 6*$K$3*C86^2+ 12*$L$3*C86^3)</f>
        <v>-95.080157056922701</v>
      </c>
      <c r="H86" s="9">
        <f>10*$B$3*(C86*$G$7-$H$7*2/C86+$J$7*C86^2+$K$7*2*C86^3+$L$7*3*C86^4-$I$7+$E$7)</f>
        <v>9.218470000000023</v>
      </c>
      <c r="I86" s="6">
        <f>$B$3*($F$7+$G$7+$G$7*LN(C86)-$H$7/C86^2+$J$7*2*C86+$K$7*3*C86^2+$L$7*4*C86^3)</f>
        <v>61.219641959798913</v>
      </c>
      <c r="J86" s="3">
        <f>($E$7-C86*($F$7+$G$7*LN(C86)+$H$7*C86^(-2)+$I$7*C86^(-1)+$J$7*C86+$K$7*C86^2+$L$7*C86^3))*$B$3*10</f>
        <v>-30.574297273869323</v>
      </c>
      <c r="K86" s="6">
        <f>$B$3*($G$7+2*$H$7*C86^(-2)+2*$J$7*C86+ 6*$K$7*C86^2+ 12*$L$7*C86^3)</f>
        <v>26.2</v>
      </c>
      <c r="L86" s="6">
        <f>N86+M86*B86</f>
        <v>9507.828995000018</v>
      </c>
      <c r="M86" s="6">
        <f>-SUM(Q86:X86)</f>
        <v>63.160389475708563</v>
      </c>
      <c r="N86" s="8">
        <f>SUM(Z86:AG86)</f>
        <v>-31546.424164210599</v>
      </c>
      <c r="O86" s="8"/>
      <c r="Q86">
        <f>IF( OR( E$10="д",E$10="l"),E$11/$B86,  IF( OR( E$10="g",E$10="п"),E$11*(LN($B86)+1),  $B86^(E$10-1)*E$10*E$11))</f>
        <v>0</v>
      </c>
      <c r="R86">
        <f>IF( OR( F$10="д",F$10="l"),F$11/$B86,  IF( OR( F$10="g",F$10="п"),F$11*(LN($B86)+1),  $B86^(F$10-1)*F$10*F$11))</f>
        <v>92.539694999999995</v>
      </c>
      <c r="S86">
        <f>IF( OR( G$10="д",G$10="l"),G$11/$B86,  IF( OR( G$10="g",G$10="п"),G$11*(LN($B86)+1),  $B86^(G$10-1)*G$10*G$11))</f>
        <v>-143.10925102570855</v>
      </c>
      <c r="T86">
        <f>IF( OR( H$10="д",H$10="l"),H$11/$B86,  IF( OR( H$10="g",H$10="п"),H$11*(LN($B86)+1),  $B86^(H$10-1)*H$10*H$11))</f>
        <v>-15.983500000000021</v>
      </c>
      <c r="U86">
        <f>IF( OR( I$10="д",I$10="l"),I$11/$B86,  IF( OR( I$10="g",I$10="п"),I$11*(LN($B86)+1),  $B86^(I$10-1)*I$10*I$11))</f>
        <v>3.3926665500000084</v>
      </c>
      <c r="V86">
        <f>IF( OR( J$10="д",J$10="l"),J$11/$B86,  IF( OR( J$10="g",J$10="п"),J$11*(LN($B86)+1),  $B86^(J$10-1)*J$10*J$11))</f>
        <v>0</v>
      </c>
      <c r="W86">
        <f>IF( OR( K$10="д",K$10="l"),K$11/$B86,  IF( OR( K$10="g",K$10="п"),K$11*(LN($B86)+1),  $B86^(K$10-1)*K$10*K$11))</f>
        <v>0</v>
      </c>
      <c r="X86">
        <f>IF( OR( L$10="д",L$10="l"),L$11/$B86,  IF( OR( L$10="g",L$10="п"),L$11*(LN($B86)+1),  $B86^(L$10-1)*L$10*L$11))</f>
        <v>0</v>
      </c>
      <c r="Z86">
        <f>IF( OR( E$10="д",E$10="l"),E$11*LN($B86),  IF( OR( E$10="g",E$10="п"),E$11*$B86*LN($B86),  ($B86^E$10)*E$11))</f>
        <v>-6657.6530000000002</v>
      </c>
      <c r="AA86">
        <f>IF( OR( F$10="д",F$10="l"),F$11*LN($B86),  IF( OR( F$10="g",F$10="п"),F$11*$B86*LN($B86),  ($B86^F$10)*F$11))</f>
        <v>60150.801750000071</v>
      </c>
      <c r="AB86">
        <f>IF( OR( G$10="д",G$10="l"),G$11*LN($B86),  IF( OR( G$10="g",G$10="п"),G$11*$B86*LN($B86),  ($B86^G$10)*G$11))</f>
        <v>-80580.013166710662</v>
      </c>
      <c r="AC86">
        <f>IF( OR( H$10="д",H$10="l"),H$11*LN($B86),  IF( OR( H$10="g",H$10="п"),H$11*$B86*LN($B86),  ($B86^H$10)*H$11))</f>
        <v>-5194.6375000000135</v>
      </c>
      <c r="AD86">
        <f>IF( OR( I$10="д",I$10="l"),I$11*LN($B86),  IF( OR( I$10="g",I$10="п"),I$11*$B86*LN($B86),  ($B86^I$10)*I$11))</f>
        <v>735.0777525000027</v>
      </c>
      <c r="AE86">
        <f>IF( OR( J$10="д",J$10="l"),J$11*LN($B86),  IF( OR( J$10="g",J$10="п"),J$11*$B86*LN($B86),  ($B86^J$10)*J$11))</f>
        <v>0</v>
      </c>
      <c r="AF86">
        <f>IF( OR( K$10="д",K$10="l"),K$11*LN($B86),  IF( OR( K$10="g",K$10="п"),K$11*$B86*LN($B86),  ($B86^K$10)*K$11))</f>
        <v>0</v>
      </c>
      <c r="AG86">
        <f>IF( OR( L$10="д",L$10="l"),L$11*LN($B86),  IF( OR( L$10="g",L$10="п"),L$11*$B86*LN($B86),  ($B86^L$10)*L$11))</f>
        <v>0</v>
      </c>
      <c r="AP86" s="8">
        <f>(H86-D86)</f>
        <v>10.514354121560761</v>
      </c>
      <c r="AQ86" s="8">
        <f>I86-E86</f>
        <v>18.143844213395973</v>
      </c>
      <c r="AR86" s="8">
        <f>(J86-F86)</f>
        <v>-1.2791446171466916</v>
      </c>
      <c r="AS86" s="8">
        <f>K86-G86</f>
        <v>121.2801570569227</v>
      </c>
      <c r="AT86" s="8">
        <f>H86-L86</f>
        <v>-9498.6105250000182</v>
      </c>
      <c r="AU86" s="3">
        <f>I86-M86</f>
        <v>-1.9407475159096492</v>
      </c>
      <c r="AV86" s="8">
        <f>J86-N86</f>
        <v>31515.849866936729</v>
      </c>
      <c r="AX86" s="5"/>
    </row>
    <row r="87" spans="1:50" hidden="1" x14ac:dyDescent="0.35">
      <c r="A87" s="1" t="s">
        <v>0</v>
      </c>
      <c r="B87" s="4">
        <f>B86+($C$2-$C$1)/$C$48</f>
        <v>659.45945945946028</v>
      </c>
      <c r="C87" s="7">
        <f>B87/10000</f>
        <v>6.5945945945946022E-2</v>
      </c>
      <c r="D87" s="9">
        <f>10*$B$3*(C87*$G$3-$H$3*2/C87+$J$3*C87^2+$K$3*2*C87^3+$L$3*3*C87^4-$I$3+$E$3)</f>
        <v>-2.2377142967349037</v>
      </c>
      <c r="E87" s="6">
        <f>$B$3*($F$3+$G$3+$G$3*LN(C87)-$H$3/C87^2+$J$3*2*C87+$K$3*3*C87^2+$L$3*4*C87^3)</f>
        <v>41.637427512180572</v>
      </c>
      <c r="F87" s="3">
        <f>($E$3-C87*($F$3+$G$3*LN(C87)+$H$3*C87^(-2)+$I$3*C87^(-1)+$J$3*C87+$K$3*C87^2+$L$3*C87^3))*$B$3*10</f>
        <v>-29.695909737200008</v>
      </c>
      <c r="G87" s="6">
        <f>$B$3*($G$3+2*$H$3*C87^(-2)+2*$J$3*C87+ 6*$K$3*C87^2+ 12*$L$3*C87^3)</f>
        <v>-104.10660422398144</v>
      </c>
      <c r="H87" s="9">
        <f>10*$B$3*(C87*$G$7-$H$7*2/C87+$J$7*C87^2+$K$7*2*C87^3+$L$7*3*C87^4-$I$7+$E$7)</f>
        <v>9.46630783783786</v>
      </c>
      <c r="I87" s="6">
        <f>$B$3*($F$7+$G$7+$G$7*LN(C87)-$H$7/C87^2+$J$7*2*C87+$K$7*3*C87^2+$L$7*4*C87^3)</f>
        <v>61.598183116380433</v>
      </c>
      <c r="J87" s="3">
        <f>($E$7-C87*($F$7+$G$7*LN(C87)+$H$7*C87^(-2)+$I$7*C87^(-1)+$J$7*C87+$K$7*C87^2+$L$7*C87^3))*$B$3*10</f>
        <v>-31.155196703775232</v>
      </c>
      <c r="K87" s="6">
        <f>$B$3*($G$7+2*$H$7*C87^(-2)+2*$J$7*C87+ 6*$K$7*C87^2+ 12*$L$7*C87^3)</f>
        <v>26.2</v>
      </c>
      <c r="L87" s="6">
        <f>N87+M87*B87</f>
        <v>9776.0542844080555</v>
      </c>
      <c r="M87" s="6">
        <f>-SUM(Q87:X87)</f>
        <v>63.570069317032619</v>
      </c>
      <c r="N87" s="8">
        <f>SUM(Z87:AG87)</f>
        <v>-32145.829265202694</v>
      </c>
      <c r="O87" s="8"/>
      <c r="Q87">
        <f>IF( OR( E$10="д",E$10="l"),E$11/$B87,  IF( OR( E$10="g",E$10="п"),E$11*(LN($B87)+1),  $B87^(E$10-1)*E$10*E$11))</f>
        <v>0</v>
      </c>
      <c r="R87">
        <f>IF( OR( F$10="д",F$10="l"),F$11/$B87,  IF( OR( F$10="g",F$10="п"),F$11*(LN($B87)+1),  $B87^(F$10-1)*F$10*F$11))</f>
        <v>92.539694999999995</v>
      </c>
      <c r="S87">
        <f>IF( OR( G$10="д",G$10="l"),G$11/$B87,  IF( OR( G$10="g",G$10="п"),G$11*(LN($B87)+1),  $B87^(G$10-1)*G$10*G$11))</f>
        <v>-143.38578834391353</v>
      </c>
      <c r="T87">
        <f>IF( OR( H$10="д",H$10="l"),H$11/$B87,  IF( OR( H$10="g",H$10="п"),H$11*(LN($B87)+1),  $B87^(H$10-1)*H$10*H$11))</f>
        <v>-16.216108108108127</v>
      </c>
      <c r="U87">
        <f>IF( OR( I$10="д",I$10="l"),I$11/$B87,  IF( OR( I$10="g",I$10="п"),I$11*(LN($B87)+1),  $B87^(I$10-1)*I$10*I$11))</f>
        <v>3.4921321349890513</v>
      </c>
      <c r="V87">
        <f>IF( OR( J$10="д",J$10="l"),J$11/$B87,  IF( OR( J$10="g",J$10="п"),J$11*(LN($B87)+1),  $B87^(J$10-1)*J$10*J$11))</f>
        <v>0</v>
      </c>
      <c r="W87">
        <f>IF( OR( K$10="д",K$10="l"),K$11/$B87,  IF( OR( K$10="g",K$10="п"),K$11*(LN($B87)+1),  $B87^(K$10-1)*K$10*K$11))</f>
        <v>0</v>
      </c>
      <c r="X87">
        <f>IF( OR( L$10="д",L$10="l"),L$11/$B87,  IF( OR( L$10="g",L$10="п"),L$11*(LN($B87)+1),  $B87^(L$10-1)*L$10*L$11))</f>
        <v>0</v>
      </c>
      <c r="Z87">
        <f>IF( OR( E$10="д",E$10="l"),E$11*LN($B87),  IF( OR( E$10="g",E$10="п"),E$11*$B87*LN($B87),  ($B87^E$10)*E$11))</f>
        <v>-6657.6530000000002</v>
      </c>
      <c r="AA87">
        <f>IF( OR( F$10="д",F$10="l"),F$11*LN($B87),  IF( OR( F$10="g",F$10="п"),F$11*$B87*LN($B87),  ($B87^F$10)*F$11))</f>
        <v>61026.177243243314</v>
      </c>
      <c r="AB87">
        <f>IF( OR( G$10="д",G$10="l"),G$11*LN($B87),  IF( OR( G$10="g",G$10="п"),G$11*$B87*LN($B87),  ($B87^G$10)*G$11))</f>
        <v>-81935.060421391725</v>
      </c>
      <c r="AC87">
        <f>IF( OR( H$10="д",H$10="l"),H$11*LN($B87),  IF( OR( H$10="g",H$10="п"),H$11*$B87*LN($B87),  ($B87^H$10)*H$11))</f>
        <v>-5346.9329437545784</v>
      </c>
      <c r="AD87">
        <f>IF( OR( I$10="д",I$10="l"),I$11*LN($B87),  IF( OR( I$10="g",I$10="п"),I$11*$B87*LN($B87),  ($B87^I$10)*I$11))</f>
        <v>767.63985670029706</v>
      </c>
      <c r="AE87">
        <f>IF( OR( J$10="д",J$10="l"),J$11*LN($B87),  IF( OR( J$10="g",J$10="п"),J$11*$B87*LN($B87),  ($B87^J$10)*J$11))</f>
        <v>0</v>
      </c>
      <c r="AF87">
        <f>IF( OR( K$10="д",K$10="l"),K$11*LN($B87),  IF( OR( K$10="g",K$10="п"),K$11*$B87*LN($B87),  ($B87^K$10)*K$11))</f>
        <v>0</v>
      </c>
      <c r="AG87">
        <f>IF( OR( L$10="д",L$10="l"),L$11*LN($B87),  IF( OR( L$10="g",L$10="п"),L$11*$B87*LN($B87),  ($B87^L$10)*L$11))</f>
        <v>0</v>
      </c>
      <c r="AP87" s="8">
        <f>(H87-D87)</f>
        <v>11.704022134572764</v>
      </c>
      <c r="AQ87" s="8">
        <f>I87-E87</f>
        <v>19.960755604199861</v>
      </c>
      <c r="AR87" s="8">
        <f>(J87-F87)</f>
        <v>-1.4592869665752239</v>
      </c>
      <c r="AS87" s="8">
        <f>K87-G87</f>
        <v>130.30660422398142</v>
      </c>
      <c r="AT87" s="8">
        <f>H87-L87</f>
        <v>-9766.5879765702175</v>
      </c>
      <c r="AU87" s="3">
        <f>I87-M87</f>
        <v>-1.971886200652186</v>
      </c>
      <c r="AV87" s="8">
        <f>J87-N87</f>
        <v>32114.67406849892</v>
      </c>
      <c r="AX87" s="5"/>
    </row>
    <row r="88" spans="1:50" hidden="1" x14ac:dyDescent="0.35">
      <c r="A88" s="1" t="s">
        <v>0</v>
      </c>
      <c r="B88" s="4">
        <f>B87+($C$2-$C$1)/$C$48</f>
        <v>668.91891891891976</v>
      </c>
      <c r="C88" s="7">
        <f>B88/10000</f>
        <v>6.6891891891891972E-2</v>
      </c>
      <c r="D88" s="9">
        <f>10*$B$3*(C88*$G$3-$H$3*2/C88+$J$3*C88^2+$K$3*2*C88^3+$L$3*3*C88^4-$I$3+$E$3)</f>
        <v>-3.2665477192352181</v>
      </c>
      <c r="E88" s="6">
        <f>$B$3*($F$3+$G$3+$G$3*LN(C88)-$H$3/C88^2+$J$3*2*C88+$K$3*3*C88^2+$L$3*4*C88^3)</f>
        <v>40.088553113597364</v>
      </c>
      <c r="F88" s="3">
        <f>($E$3-C88*($F$3+$G$3*LN(C88)+$H$3*C88^(-2)+$I$3*C88^(-1)+$J$3*C88+$K$3*C88^2+$L$3*C88^3))*$B$3*10</f>
        <v>-30.082539329006419</v>
      </c>
      <c r="G88" s="6">
        <f>$B$3*($G$3+2*$H$3*C88^(-2)+2*$J$3*C88+ 6*$K$3*C88^2+ 12*$L$3*C88^3)</f>
        <v>-113.47530732806743</v>
      </c>
      <c r="H88" s="9">
        <f>10*$B$3*(C88*$G$7-$H$7*2/C88+$J$7*C88^2+$K$7*2*C88^3+$L$7*3*C88^4-$I$7+$E$7)</f>
        <v>9.7141456756756988</v>
      </c>
      <c r="I88" s="6">
        <f>$B$3*($F$7+$G$7+$G$7*LN(C88)-$H$7/C88^2+$J$7*2*C88+$K$7*3*C88^2+$L$7*4*C88^3)</f>
        <v>61.971332862327657</v>
      </c>
      <c r="J88" s="3">
        <f>($E$7-C88*($F$7+$G$7*LN(C88)+$H$7*C88^(-2)+$I$7*C88^(-1)+$J$7*C88+$K$7*C88^2+$L$7*C88^3))*$B$3*10</f>
        <v>-31.73965130655704</v>
      </c>
      <c r="K88" s="6">
        <f>$B$3*($G$7+2*$H$7*C88^(-2)+2*$J$7*C88+ 6*$K$7*C88^2+ 12*$L$7*C88^3)</f>
        <v>26.2</v>
      </c>
      <c r="L88" s="6">
        <f>N88+M88*B88</f>
        <v>10044.584545567413</v>
      </c>
      <c r="M88" s="6">
        <f>-SUM(Q88:X88)</f>
        <v>63.974373480411778</v>
      </c>
      <c r="N88" s="8">
        <f>SUM(Z88:AG88)</f>
        <v>-32749.084201464844</v>
      </c>
      <c r="O88" s="8"/>
      <c r="Q88">
        <f>IF( OR( E$10="д",E$10="l"),E$11/$B88,  IF( OR( E$10="g",E$10="п"),E$11*(LN($B88)+1),  $B88^(E$10-1)*E$10*E$11))</f>
        <v>0</v>
      </c>
      <c r="R88">
        <f>IF( OR( F$10="д",F$10="l"),F$11/$B88,  IF( OR( F$10="g",F$10="п"),F$11*(LN($B88)+1),  $B88^(F$10-1)*F$10*F$11))</f>
        <v>92.539694999999995</v>
      </c>
      <c r="S88">
        <f>IF( OR( G$10="д",G$10="l"),G$11/$B88,  IF( OR( G$10="g",G$10="п"),G$11*(LN($B88)+1),  $B88^(G$10-1)*G$10*G$11))</f>
        <v>-143.65838705144901</v>
      </c>
      <c r="T88">
        <f>IF( OR( H$10="д",H$10="l"),H$11/$B88,  IF( OR( H$10="g",H$10="п"),H$11*(LN($B88)+1),  $B88^(H$10-1)*H$10*H$11))</f>
        <v>-16.448716216216237</v>
      </c>
      <c r="U88">
        <f>IF( OR( I$10="д",I$10="l"),I$11/$B88,  IF( OR( I$10="g",I$10="п"),I$11*(LN($B88)+1),  $B88^(I$10-1)*I$10*I$11))</f>
        <v>3.5930347872534782</v>
      </c>
      <c r="V88">
        <f>IF( OR( J$10="д",J$10="l"),J$11/$B88,  IF( OR( J$10="g",J$10="п"),J$11*(LN($B88)+1),  $B88^(J$10-1)*J$10*J$11))</f>
        <v>0</v>
      </c>
      <c r="W88">
        <f>IF( OR( K$10="д",K$10="l"),K$11/$B88,  IF( OR( K$10="g",K$10="п"),K$11*(LN($B88)+1),  $B88^(K$10-1)*K$10*K$11))</f>
        <v>0</v>
      </c>
      <c r="X88">
        <f>IF( OR( L$10="д",L$10="l"),L$11/$B88,  IF( OR( L$10="g",L$10="п"),L$11*(LN($B88)+1),  $B88^(L$10-1)*L$10*L$11))</f>
        <v>0</v>
      </c>
      <c r="Z88">
        <f>IF( OR( E$10="д",E$10="l"),E$11*LN($B88),  IF( OR( E$10="g",E$10="п"),E$11*$B88*LN($B88),  ($B88^E$10)*E$11))</f>
        <v>-6657.6530000000002</v>
      </c>
      <c r="AA88">
        <f>IF( OR( F$10="д",F$10="l"),F$11*LN($B88),  IF( OR( F$10="g",F$10="п"),F$11*$B88*LN($B88),  ($B88^F$10)*F$11))</f>
        <v>61901.552736486563</v>
      </c>
      <c r="AB88">
        <f>IF( OR( G$10="д",G$10="l"),G$11*LN($B88),  IF( OR( G$10="g",G$10="п"),G$11*$B88*LN($B88),  ($B88^G$10)*G$11))</f>
        <v>-83292.704851982897</v>
      </c>
      <c r="AC88">
        <f>IF( OR( H$10="д",H$10="l"),H$11*LN($B88),  IF( OR( H$10="g",H$10="п"),H$11*$B88*LN($B88),  ($B88^H$10)*H$11))</f>
        <v>-5501.4287344777349</v>
      </c>
      <c r="AD88">
        <f>IF( OR( I$10="д",I$10="l"),I$11*LN($B88),  IF( OR( I$10="g",I$10="п"),I$11*$B88*LN($B88),  ($B88^I$10)*I$11))</f>
        <v>801.14964850922252</v>
      </c>
      <c r="AE88">
        <f>IF( OR( J$10="д",J$10="l"),J$11*LN($B88),  IF( OR( J$10="g",J$10="п"),J$11*$B88*LN($B88),  ($B88^J$10)*J$11))</f>
        <v>0</v>
      </c>
      <c r="AF88">
        <f>IF( OR( K$10="д",K$10="l"),K$11*LN($B88),  IF( OR( K$10="g",K$10="п"),K$11*$B88*LN($B88),  ($B88^K$10)*K$11))</f>
        <v>0</v>
      </c>
      <c r="AG88">
        <f>IF( OR( L$10="д",L$10="l"),L$11*LN($B88),  IF( OR( L$10="g",L$10="п"),L$11*$B88*LN($B88),  ($B88^L$10)*L$11))</f>
        <v>0</v>
      </c>
      <c r="AP88" s="8">
        <f>(H88-D88)</f>
        <v>12.980693394910917</v>
      </c>
      <c r="AQ88" s="8">
        <f>I88-E88</f>
        <v>21.882779748730293</v>
      </c>
      <c r="AR88" s="8">
        <f>(J88-F88)</f>
        <v>-1.6571119775506205</v>
      </c>
      <c r="AS88" s="8">
        <f>K88-G88</f>
        <v>139.67530732806742</v>
      </c>
      <c r="AT88" s="8">
        <f>H88-L88</f>
        <v>-10034.870399891737</v>
      </c>
      <c r="AU88" s="3">
        <f>I88-M88</f>
        <v>-2.0030406180841211</v>
      </c>
      <c r="AV88" s="8">
        <f>J88-N88</f>
        <v>32717.344550158286</v>
      </c>
      <c r="AX88" s="5"/>
    </row>
    <row r="89" spans="1:50" hidden="1" x14ac:dyDescent="0.35">
      <c r="A89" s="1" t="s">
        <v>0</v>
      </c>
      <c r="B89" s="4">
        <f>B88+($C$2-$C$1)/$C$48</f>
        <v>678.37837837837924</v>
      </c>
      <c r="C89" s="7">
        <f>B89/10000</f>
        <v>6.7837837837837922E-2</v>
      </c>
      <c r="D89" s="9">
        <f>10*$B$3*(C89*$G$3-$H$3*2/C89+$J$3*C89^2+$K$3*2*C89^3+$L$3*3*C89^4-$I$3+$E$3)</f>
        <v>-4.3856268782697043</v>
      </c>
      <c r="E89" s="6">
        <f>$B$3*($F$3+$G$3+$G$3*LN(C89)-$H$3/C89^2+$J$3*2*C89+$K$3*3*C89^2+$L$3*4*C89^3)</f>
        <v>38.427464585211951</v>
      </c>
      <c r="F89" s="3">
        <f>($E$3-C89*($F$3+$G$3*LN(C89)+$H$3*C89^(-2)+$I$3*C89^(-1)+$J$3*C89+$K$3*C89^2+$L$3*C89^3))*$B$3*10</f>
        <v>-30.453987988778305</v>
      </c>
      <c r="G89" s="6">
        <f>$B$3*($G$3+2*$H$3*C89^(-2)+2*$J$3*C89+ 6*$K$3*C89^2+ 12*$L$3*C89^3)</f>
        <v>-123.18729712090217</v>
      </c>
      <c r="H89" s="9">
        <f>10*$B$3*(C89*$G$7-$H$7*2/C89+$J$7*C89^2+$K$7*2*C89^3+$L$7*3*C89^4-$I$7+$E$7)</f>
        <v>9.9619835135135357</v>
      </c>
      <c r="I89" s="6">
        <f>$B$3*($F$7+$G$7+$G$7*LN(C89)-$H$7/C89^2+$J$7*2*C89+$K$7*3*C89^2+$L$7*4*C89^3)</f>
        <v>62.339242618951275</v>
      </c>
      <c r="J89" s="3">
        <f>($E$7-C89*($F$7+$G$7*LN(C89)+$H$7*C89^(-2)+$I$7*C89^(-1)+$J$7*C89+$K$7*C89^2+$L$7*C89^3))*$B$3*10</f>
        <v>-32.327610803666978</v>
      </c>
      <c r="K89" s="6">
        <f>$B$3*($G$7+2*$H$7*C89^(-2)+2*$J$7*C89+ 6*$K$7*C89^2+ 12*$L$7*C89^3)</f>
        <v>26.2</v>
      </c>
      <c r="L89" s="6">
        <f>N89+M89*B89</f>
        <v>10313.392590718831</v>
      </c>
      <c r="M89" s="6">
        <f>-SUM(Q89:X89)</f>
        <v>64.373412584315048</v>
      </c>
      <c r="N89" s="8">
        <f>SUM(Z89:AG89)</f>
        <v>-33356.138648911161</v>
      </c>
      <c r="O89" s="8"/>
      <c r="Q89">
        <f>IF( OR( E$10="д",E$10="l"),E$11/$B89,  IF( OR( E$10="g",E$10="п"),E$11*(LN($B89)+1),  $B89^(E$10-1)*E$10*E$11))</f>
        <v>0</v>
      </c>
      <c r="R89">
        <f>IF( OR( F$10="д",F$10="l"),F$11/$B89,  IF( OR( F$10="g",F$10="п"),F$11*(LN($B89)+1),  $B89^(F$10-1)*F$10*F$11))</f>
        <v>92.539694999999995</v>
      </c>
      <c r="S89">
        <f>IF( OR( G$10="д",G$10="l"),G$11/$B89,  IF( OR( G$10="g",G$10="п"),G$11*(LN($B89)+1),  $B89^(G$10-1)*G$10*G$11))</f>
        <v>-143.92715776678398</v>
      </c>
      <c r="T89">
        <f>IF( OR( H$10="д",H$10="l"),H$11/$B89,  IF( OR( H$10="g",H$10="п"),H$11*(LN($B89)+1),  $B89^(H$10-1)*H$10*H$11))</f>
        <v>-16.681324324324347</v>
      </c>
      <c r="U89">
        <f>IF( OR( I$10="д",I$10="l"),I$11/$B89,  IF( OR( I$10="g",I$10="п"),I$11*(LN($B89)+1),  $B89^(I$10-1)*I$10*I$11))</f>
        <v>3.6953745067932888</v>
      </c>
      <c r="V89">
        <f>IF( OR( J$10="д",J$10="l"),J$11/$B89,  IF( OR( J$10="g",J$10="п"),J$11*(LN($B89)+1),  $B89^(J$10-1)*J$10*J$11))</f>
        <v>0</v>
      </c>
      <c r="W89">
        <f>IF( OR( K$10="д",K$10="l"),K$11/$B89,  IF( OR( K$10="g",K$10="п"),K$11*(LN($B89)+1),  $B89^(K$10-1)*K$10*K$11))</f>
        <v>0</v>
      </c>
      <c r="X89">
        <f>IF( OR( L$10="д",L$10="l"),L$11/$B89,  IF( OR( L$10="g",L$10="п"),L$11*(LN($B89)+1),  $B89^(L$10-1)*L$10*L$11))</f>
        <v>0</v>
      </c>
      <c r="Z89">
        <f>IF( OR( E$10="д",E$10="l"),E$11*LN($B89),  IF( OR( E$10="g",E$10="п"),E$11*$B89*LN($B89),  ($B89^E$10)*E$11))</f>
        <v>-6657.6530000000002</v>
      </c>
      <c r="AA89">
        <f>IF( OR( F$10="д",F$10="l"),F$11*LN($B89),  IF( OR( F$10="g",F$10="п"),F$11*$B89*LN($B89),  ($B89^F$10)*F$11))</f>
        <v>62776.928229729805</v>
      </c>
      <c r="AB89">
        <f>IF( OR( G$10="д",G$10="l"),G$11*LN($B89),  IF( OR( G$10="g",G$10="п"),G$11*$B89*LN($B89),  ($B89^G$10)*G$11))</f>
        <v>-84652.909728277897</v>
      </c>
      <c r="AC89">
        <f>IF( OR( H$10="д",H$10="l"),H$11*LN($B89),  IF( OR( H$10="g",H$10="п"),H$11*$B89*LN($B89),  ($B89^H$10)*H$11))</f>
        <v>-5658.1248721694819</v>
      </c>
      <c r="AD89">
        <f>IF( OR( I$10="д",I$10="l"),I$11*LN($B89),  IF( OR( I$10="g",I$10="п"),I$11*$B89*LN($B89),  ($B89^I$10)*I$11))</f>
        <v>835.62072180641155</v>
      </c>
      <c r="AE89">
        <f>IF( OR( J$10="д",J$10="l"),J$11*LN($B89),  IF( OR( J$10="g",J$10="п"),J$11*$B89*LN($B89),  ($B89^J$10)*J$11))</f>
        <v>0</v>
      </c>
      <c r="AF89">
        <f>IF( OR( K$10="д",K$10="l"),K$11*LN($B89),  IF( OR( K$10="g",K$10="п"),K$11*$B89*LN($B89),  ($B89^K$10)*K$11))</f>
        <v>0</v>
      </c>
      <c r="AG89">
        <f>IF( OR( L$10="д",L$10="l"),L$11*LN($B89),  IF( OR( L$10="g",L$10="п"),L$11*$B89*LN($B89),  ($B89^L$10)*L$11))</f>
        <v>0</v>
      </c>
      <c r="AP89" s="8">
        <f>(H89-D89)</f>
        <v>14.34761039178324</v>
      </c>
      <c r="AQ89" s="8">
        <f>I89-E89</f>
        <v>23.911778033739324</v>
      </c>
      <c r="AR89" s="8">
        <f>(J89-F89)</f>
        <v>-1.8736228148886731</v>
      </c>
      <c r="AS89" s="8">
        <f>K89-G89</f>
        <v>149.38729712090216</v>
      </c>
      <c r="AT89" s="8">
        <f>H89-L89</f>
        <v>-10303.430607205319</v>
      </c>
      <c r="AU89" s="3">
        <f>I89-M89</f>
        <v>-2.0341699653637733</v>
      </c>
      <c r="AV89" s="8">
        <f>J89-N89</f>
        <v>33323.811038107495</v>
      </c>
      <c r="AX89" s="5"/>
    </row>
    <row r="90" spans="1:50" hidden="1" x14ac:dyDescent="0.35">
      <c r="A90" s="1" t="s">
        <v>0</v>
      </c>
      <c r="B90" s="4">
        <f>B89+($C$2-$C$1)/$C$48</f>
        <v>687.83783783783872</v>
      </c>
      <c r="C90" s="7">
        <f>B90/10000</f>
        <v>6.8783783783783872E-2</v>
      </c>
      <c r="D90" s="9">
        <f>10*$B$3*(C90*$G$3-$H$3*2/C90+$J$3*C90^2+$K$3*2*C90^3+$L$3*3*C90^4-$I$3+$E$3)</f>
        <v>-5.5982036757849096</v>
      </c>
      <c r="E90" s="6">
        <f>$B$3*($F$3+$G$3+$G$3*LN(C90)-$H$3/C90^2+$J$3*2*C90+$K$3*3*C90^2+$L$3*4*C90^3)</f>
        <v>36.6525092220324</v>
      </c>
      <c r="F90" s="3">
        <f>($E$3-C90*($F$3+$G$3*LN(C90)+$H$3*C90^(-2)+$I$3*C90^(-1)+$J$3*C90+$K$3*C90^2+$L$3*C90^3))*$B$3*10</f>
        <v>-30.809186370399082</v>
      </c>
      <c r="G90" s="6">
        <f>$B$3*($G$3+2*$H$3*C90^(-2)+2*$J$3*C90+ 6*$K$3*C90^2+ 12*$L$3*C90^3)</f>
        <v>-133.24353396820516</v>
      </c>
      <c r="H90" s="9">
        <f>10*$B$3*(C90*$G$7-$H$7*2/C90+$J$7*C90^2+$K$7*2*C90^3+$L$7*3*C90^4-$I$7+$E$7)</f>
        <v>10.209821351351374</v>
      </c>
      <c r="I90" s="6">
        <f>$B$3*($F$7+$G$7+$G$7*LN(C90)-$H$7/C90^2+$J$7*2*C90+$K$7*3*C90^2+$L$7*4*C90^3)</f>
        <v>62.702057516651664</v>
      </c>
      <c r="J90" s="3">
        <f>($E$7-C90*($F$7+$G$7*LN(C90)+$H$7*C90^(-2)+$I$7*C90^(-1)+$J$7*C90+$K$7*C90^2+$L$7*C90^3))*$B$3*10</f>
        <v>-32.919026318886104</v>
      </c>
      <c r="K90" s="6">
        <f>$B$3*($G$7+2*$H$7*C90^(-2)+2*$J$7*C90+ 6*$K$7*C90^2+ 12*$L$7*C90^3)</f>
        <v>26.2</v>
      </c>
      <c r="L90" s="6">
        <f>N90+M90*B90</f>
        <v>10582.451232103071</v>
      </c>
      <c r="M90" s="6">
        <f>-SUM(Q90:X90)</f>
        <v>64.767292651485278</v>
      </c>
      <c r="N90" s="8">
        <f>SUM(Z90:AG90)</f>
        <v>-33966.943307905101</v>
      </c>
      <c r="O90" s="8"/>
      <c r="Q90">
        <f>IF( OR( E$10="д",E$10="l"),E$11/$B90,  IF( OR( E$10="g",E$10="п"),E$11*(LN($B90)+1),  $B90^(E$10-1)*E$10*E$11))</f>
        <v>0</v>
      </c>
      <c r="R90">
        <f>IF( OR( F$10="д",F$10="l"),F$11/$B90,  IF( OR( F$10="g",F$10="п"),F$11*(LN($B90)+1),  $B90^(F$10-1)*F$10*F$11))</f>
        <v>92.539694999999995</v>
      </c>
      <c r="S90">
        <f>IF( OR( G$10="д",G$10="l"),G$11/$B90,  IF( OR( G$10="g",G$10="п"),G$11*(LN($B90)+1),  $B90^(G$10-1)*G$10*G$11))</f>
        <v>-144.1922065126613</v>
      </c>
      <c r="T90">
        <f>IF( OR( H$10="д",H$10="l"),H$11/$B90,  IF( OR( H$10="g",H$10="п"),H$11*(LN($B90)+1),  $B90^(H$10-1)*H$10*H$11))</f>
        <v>-16.913932432432453</v>
      </c>
      <c r="U90">
        <f>IF( OR( I$10="д",I$10="l"),I$11/$B90,  IF( OR( I$10="g",I$10="п"),I$11*(LN($B90)+1),  $B90^(I$10-1)*I$10*I$11))</f>
        <v>3.7991512936084826</v>
      </c>
      <c r="V90">
        <f>IF( OR( J$10="д",J$10="l"),J$11/$B90,  IF( OR( J$10="g",J$10="п"),J$11*(LN($B90)+1),  $B90^(J$10-1)*J$10*J$11))</f>
        <v>0</v>
      </c>
      <c r="W90">
        <f>IF( OR( K$10="д",K$10="l"),K$11/$B90,  IF( OR( K$10="g",K$10="п"),K$11*(LN($B90)+1),  $B90^(K$10-1)*K$10*K$11))</f>
        <v>0</v>
      </c>
      <c r="X90">
        <f>IF( OR( L$10="д",L$10="l"),L$11/$B90,  IF( OR( L$10="g",L$10="п"),L$11*(LN($B90)+1),  $B90^(L$10-1)*L$10*L$11))</f>
        <v>0</v>
      </c>
      <c r="Z90">
        <f>IF( OR( E$10="д",E$10="l"),E$11*LN($B90),  IF( OR( E$10="g",E$10="п"),E$11*$B90*LN($B90),  ($B90^E$10)*E$11))</f>
        <v>-6657.6530000000002</v>
      </c>
      <c r="AA90">
        <f>IF( OR( F$10="д",F$10="l"),F$11*LN($B90),  IF( OR( F$10="g",F$10="п"),F$11*$B90*LN($B90),  ($B90^F$10)*F$11))</f>
        <v>63652.303722973054</v>
      </c>
      <c r="AB90">
        <f>IF( OR( G$10="д",G$10="l"),G$11*LN($B90),  IF( OR( G$10="g",G$10="п"),G$11*$B90*LN($B90),  ($B90^G$10)*G$11))</f>
        <v>-86015.639344519834</v>
      </c>
      <c r="AC90">
        <f>IF( OR( H$10="д",H$10="l"),H$11*LN($B90),  IF( OR( H$10="g",H$10="п"),H$11*$B90*LN($B90),  ($B90^H$10)*H$11))</f>
        <v>-5817.0213568298177</v>
      </c>
      <c r="AD90">
        <f>IF( OR( I$10="д",I$10="l"),I$11*LN($B90),  IF( OR( I$10="g",I$10="п"),I$11*$B90*LN($B90),  ($B90^I$10)*I$11))</f>
        <v>871.06667047149551</v>
      </c>
      <c r="AE90">
        <f>IF( OR( J$10="д",J$10="l"),J$11*LN($B90),  IF( OR( J$10="g",J$10="п"),J$11*$B90*LN($B90),  ($B90^J$10)*J$11))</f>
        <v>0</v>
      </c>
      <c r="AF90">
        <f>IF( OR( K$10="д",K$10="l"),K$11*LN($B90),  IF( OR( K$10="g",K$10="п"),K$11*$B90*LN($B90),  ($B90^K$10)*K$11))</f>
        <v>0</v>
      </c>
      <c r="AG90">
        <f>IF( OR( L$10="д",L$10="l"),L$11*LN($B90),  IF( OR( L$10="g",L$10="п"),L$11*$B90*LN($B90),  ($B90^L$10)*L$11))</f>
        <v>0</v>
      </c>
      <c r="AP90" s="8">
        <f>(H90-D90)</f>
        <v>15.808025027136285</v>
      </c>
      <c r="AQ90" s="8">
        <f>I90-E90</f>
        <v>26.049548294619264</v>
      </c>
      <c r="AR90" s="8">
        <f>(J90-F90)</f>
        <v>-2.1098399484870214</v>
      </c>
      <c r="AS90" s="8">
        <f>K90-G90</f>
        <v>159.44353396820514</v>
      </c>
      <c r="AT90" s="8">
        <f>H90-L90</f>
        <v>-10572.24141075172</v>
      </c>
      <c r="AU90" s="3">
        <f>I90-M90</f>
        <v>-2.065235134833614</v>
      </c>
      <c r="AV90" s="8">
        <f>J90-N90</f>
        <v>33934.024281586215</v>
      </c>
      <c r="AX90" s="5"/>
    </row>
    <row r="91" spans="1:50" hidden="1" x14ac:dyDescent="0.35">
      <c r="A91" s="1" t="s">
        <v>0</v>
      </c>
      <c r="B91" s="4">
        <f>B90+($C$2-$C$1)/$C$48</f>
        <v>697.2972972972982</v>
      </c>
      <c r="C91" s="7">
        <f>B91/10000</f>
        <v>6.9729729729729822E-2</v>
      </c>
      <c r="D91" s="9">
        <f>10*$B$3*(C91*$G$3-$H$3*2/C91+$J$3*C91^2+$K$3*2*C91^3+$L$3*3*C91^4-$I$3+$E$3)</f>
        <v>-6.9075387880046701</v>
      </c>
      <c r="E91" s="6">
        <f>$B$3*($F$3+$G$3+$G$3*LN(C91)-$H$3/C91^2+$J$3*2*C91+$K$3*3*C91^2+$L$3*4*C91^3)</f>
        <v>34.762089372929474</v>
      </c>
      <c r="F91" s="3">
        <f>($E$3-C91*($F$3+$G$3*LN(C91)+$H$3*C91^(-2)+$I$3*C91^(-1)+$J$3*C91+$K$3*C91^2+$L$3*C91^3))*$B$3*10</f>
        <v>-31.14704975615545</v>
      </c>
      <c r="G91" s="6">
        <f>$B$3*($G$3+2*$H$3*C91^(-2)+2*$J$3*C91+ 6*$K$3*C91^2+ 12*$L$3*C91^3)</f>
        <v>-143.6449135395624</v>
      </c>
      <c r="H91" s="9">
        <f>10*$B$3*(C91*$G$7-$H$7*2/C91+$J$7*C91^2+$K$7*2*C91^3+$L$7*3*C91^4-$I$7+$E$7)</f>
        <v>10.457659189189213</v>
      </c>
      <c r="I91" s="6">
        <f>$B$3*($F$7+$G$7+$G$7*LN(C91)-$H$7/C91^2+$J$7*2*C91+$K$7*3*C91^2+$L$7*4*C91^3)</f>
        <v>63.059916738644915</v>
      </c>
      <c r="J91" s="3">
        <f>($E$7-C91*($F$7+$G$7*LN(C91)+$H$7*C91^(-2)+$I$7*C91^(-1)+$J$7*C91+$K$7*C91^2+$L$7*C91^3))*$B$3*10</f>
        <v>-33.513850320460541</v>
      </c>
      <c r="K91" s="6">
        <f>$B$3*($G$7+2*$H$7*C91^(-2)+2*$J$7*C91+ 6*$K$7*C91^2+ 12*$L$7*C91^3)</f>
        <v>26.2</v>
      </c>
      <c r="L91" s="6">
        <f>N91+M91*B91</f>
        <v>10851.733281960842</v>
      </c>
      <c r="M91" s="6">
        <f>-SUM(Q91:X91)</f>
        <v>65.156115360042918</v>
      </c>
      <c r="N91" s="8">
        <f>SUM(Z91:AG91)</f>
        <v>-34581.449860988061</v>
      </c>
      <c r="O91" s="8"/>
      <c r="Q91">
        <f>IF( OR( E$10="д",E$10="l"),E$11/$B91,  IF( OR( E$10="g",E$10="п"),E$11*(LN($B91)+1),  $B91^(E$10-1)*E$10*E$11))</f>
        <v>0</v>
      </c>
      <c r="R91">
        <f>IF( OR( F$10="д",F$10="l"),F$11/$B91,  IF( OR( F$10="g",F$10="п"),F$11*(LN($B91)+1),  $B91^(F$10-1)*F$10*F$11))</f>
        <v>92.539694999999995</v>
      </c>
      <c r="S91">
        <f>IF( OR( G$10="д",G$10="l"),G$11/$B91,  IF( OR( G$10="g",G$10="п"),G$11*(LN($B91)+1),  $B91^(G$10-1)*G$10*G$11))</f>
        <v>-144.4536349672014</v>
      </c>
      <c r="T91">
        <f>IF( OR( H$10="д",H$10="l"),H$11/$B91,  IF( OR( H$10="g",H$10="п"),H$11*(LN($B91)+1),  $B91^(H$10-1)*H$10*H$11))</f>
        <v>-17.146540540540563</v>
      </c>
      <c r="U91">
        <f>IF( OR( I$10="д",I$10="l"),I$11/$B91,  IF( OR( I$10="g",I$10="п"),I$11*(LN($B91)+1),  $B91^(I$10-1)*I$10*I$11))</f>
        <v>3.9043651476990604</v>
      </c>
      <c r="V91">
        <f>IF( OR( J$10="д",J$10="l"),J$11/$B91,  IF( OR( J$10="g",J$10="п"),J$11*(LN($B91)+1),  $B91^(J$10-1)*J$10*J$11))</f>
        <v>0</v>
      </c>
      <c r="W91">
        <f>IF( OR( K$10="д",K$10="l"),K$11/$B91,  IF( OR( K$10="g",K$10="п"),K$11*(LN($B91)+1),  $B91^(K$10-1)*K$10*K$11))</f>
        <v>0</v>
      </c>
      <c r="X91">
        <f>IF( OR( L$10="д",L$10="l"),L$11/$B91,  IF( OR( L$10="g",L$10="п"),L$11*(LN($B91)+1),  $B91^(L$10-1)*L$10*L$11))</f>
        <v>0</v>
      </c>
      <c r="Z91">
        <f>IF( OR( E$10="д",E$10="l"),E$11*LN($B91),  IF( OR( E$10="g",E$10="п"),E$11*$B91*LN($B91),  ($B91^E$10)*E$11))</f>
        <v>-6657.6530000000002</v>
      </c>
      <c r="AA91">
        <f>IF( OR( F$10="д",F$10="l"),F$11*LN($B91),  IF( OR( F$10="g",F$10="п"),F$11*$B91*LN($B91),  ($B91^F$10)*F$11))</f>
        <v>64527.679216216296</v>
      </c>
      <c r="AB91">
        <f>IF( OR( G$10="д",G$10="l"),G$11*LN($B91),  IF( OR( G$10="g",G$10="п"),G$11*$B91*LN($B91),  ($B91^G$10)*G$11))</f>
        <v>-87380.858977129727</v>
      </c>
      <c r="AC91">
        <f>IF( OR( H$10="д",H$10="l"),H$11*LN($B91),  IF( OR( H$10="g",H$10="п"),H$11*$B91*LN($B91),  ($B91^H$10)*H$11))</f>
        <v>-5978.118188458745</v>
      </c>
      <c r="AD91">
        <f>IF( OR( I$10="д",I$10="l"),I$11*LN($B91),  IF( OR( I$10="g",I$10="п"),I$11*$B91*LN($B91),  ($B91^I$10)*I$11))</f>
        <v>907.50108838410711</v>
      </c>
      <c r="AE91">
        <f>IF( OR( J$10="д",J$10="l"),J$11*LN($B91),  IF( OR( J$10="g",J$10="п"),J$11*$B91*LN($B91),  ($B91^J$10)*J$11))</f>
        <v>0</v>
      </c>
      <c r="AF91">
        <f>IF( OR( K$10="д",K$10="l"),K$11*LN($B91),  IF( OR( K$10="g",K$10="п"),K$11*$B91*LN($B91),  ($B91^K$10)*K$11))</f>
        <v>0</v>
      </c>
      <c r="AG91">
        <f>IF( OR( L$10="д",L$10="l"),L$11*LN($B91),  IF( OR( L$10="g",L$10="п"),L$11*$B91*LN($B91),  ($B91^L$10)*L$11))</f>
        <v>0</v>
      </c>
      <c r="AP91" s="8">
        <f>(H91-D91)</f>
        <v>17.365197977193883</v>
      </c>
      <c r="AQ91" s="8">
        <f>I91-E91</f>
        <v>28.297827365715442</v>
      </c>
      <c r="AR91" s="8">
        <f>(J91-F91)</f>
        <v>-2.3668005643050911</v>
      </c>
      <c r="AS91" s="8">
        <f>K91-G91</f>
        <v>169.84491353956238</v>
      </c>
      <c r="AT91" s="8">
        <f>H91-L91</f>
        <v>-10841.275622771653</v>
      </c>
      <c r="AU91" s="3">
        <f>I91-M91</f>
        <v>-2.0961986213980026</v>
      </c>
      <c r="AV91" s="8">
        <f>J91-N91</f>
        <v>34547.936010667603</v>
      </c>
      <c r="AX91" s="5"/>
    </row>
    <row r="92" spans="1:50" hidden="1" x14ac:dyDescent="0.35">
      <c r="A92" s="1" t="s">
        <v>0</v>
      </c>
      <c r="B92" s="4">
        <f>B91+($C$2-$C$1)/$C$48</f>
        <v>706.75675675675768</v>
      </c>
      <c r="C92" s="7">
        <f>B92/10000</f>
        <v>7.0675675675675773E-2</v>
      </c>
      <c r="D92" s="9">
        <f>10*$B$3*(C92*$G$3-$H$3*2/C92+$J$3*C92^2+$K$3*2*C92^3+$L$3*3*C92^4-$I$3+$E$3)</f>
        <v>-8.3169010782412638</v>
      </c>
      <c r="E92" s="6">
        <f>$B$3*($F$3+$G$3+$G$3*LN(C92)-$H$3/C92^2+$J$3*2*C92+$K$3*3*C92^2+$L$3*4*C92^3)</f>
        <v>32.754660309679373</v>
      </c>
      <c r="F92" s="3">
        <f>($E$3-C92*($F$3+$G$3*LN(C92)+$H$3*C92^(-2)+$I$3*C92^(-1)+$J$3*C92+$K$3*C92^2+$L$3*C92^3))*$B$3*10</f>
        <v>-31.466478567379571</v>
      </c>
      <c r="G92" s="6">
        <f>$B$3*($G$3+2*$H$3*C92^(-2)+2*$J$3*C92+ 6*$K$3*C92^2+ 12*$L$3*C92^3)</f>
        <v>-154.39227196881555</v>
      </c>
      <c r="H92" s="9">
        <f>10*$B$3*(C92*$G$7-$H$7*2/C92+$J$7*C92^2+$K$7*2*C92^3+$L$7*3*C92^4-$I$7+$E$7)</f>
        <v>10.705497027027052</v>
      </c>
      <c r="I92" s="6">
        <f>$B$3*($F$7+$G$7+$G$7*LN(C92)-$H$7/C92^2+$J$7*2*C92+$K$7*3*C92^2+$L$7*4*C92^3)</f>
        <v>63.412953841528946</v>
      </c>
      <c r="J92" s="3">
        <f>($E$7-C92*($F$7+$G$7*LN(C92)+$H$7*C92^(-2)+$I$7*C92^(-1)+$J$7*C92+$K$7*C92^2+$L$7*C92^3))*$B$3*10</f>
        <v>-34.112036566377924</v>
      </c>
      <c r="K92" s="6">
        <f>$B$3*($G$7+2*$H$7*C92^(-2)+2*$J$7*C92+ 6*$K$7*C92^2+ 12*$L$7*C92^3)</f>
        <v>26.2</v>
      </c>
      <c r="L92" s="6">
        <f>N92+M92*B92</f>
        <v>11121.211552532841</v>
      </c>
      <c r="M92" s="6">
        <f>-SUM(Q92:X92)</f>
        <v>65.539978277670571</v>
      </c>
      <c r="N92" s="8">
        <f>SUM(Z92:AG92)</f>
        <v>-35199.61093290196</v>
      </c>
      <c r="O92" s="8"/>
      <c r="Q92">
        <f>IF( OR( E$10="д",E$10="l"),E$11/$B92,  IF( OR( E$10="g",E$10="п"),E$11*(LN($B92)+1),  $B92^(E$10-1)*E$10*E$11))</f>
        <v>0</v>
      </c>
      <c r="R92">
        <f>IF( OR( F$10="д",F$10="l"),F$11/$B92,  IF( OR( F$10="g",F$10="п"),F$11*(LN($B92)+1),  $B92^(F$10-1)*F$10*F$11))</f>
        <v>92.539694999999995</v>
      </c>
      <c r="S92">
        <f>IF( OR( G$10="д",G$10="l"),G$11/$B92,  IF( OR( G$10="g",G$10="п"),G$11*(LN($B92)+1),  $B92^(G$10-1)*G$10*G$11))</f>
        <v>-144.71154069808691</v>
      </c>
      <c r="T92">
        <f>IF( OR( H$10="д",H$10="l"),H$11/$B92,  IF( OR( H$10="g",H$10="п"),H$11*(LN($B92)+1),  $B92^(H$10-1)*H$10*H$11))</f>
        <v>-17.379148648648673</v>
      </c>
      <c r="U92">
        <f>IF( OR( I$10="д",I$10="l"),I$11/$B92,  IF( OR( I$10="g",I$10="п"),I$11*(LN($B92)+1),  $B92^(I$10-1)*I$10*I$11))</f>
        <v>4.011016069065021</v>
      </c>
      <c r="V92">
        <f>IF( OR( J$10="д",J$10="l"),J$11/$B92,  IF( OR( J$10="g",J$10="п"),J$11*(LN($B92)+1),  $B92^(J$10-1)*J$10*J$11))</f>
        <v>0</v>
      </c>
      <c r="W92">
        <f>IF( OR( K$10="д",K$10="l"),K$11/$B92,  IF( OR( K$10="g",K$10="п"),K$11*(LN($B92)+1),  $B92^(K$10-1)*K$10*K$11))</f>
        <v>0</v>
      </c>
      <c r="X92">
        <f>IF( OR( L$10="д",L$10="l"),L$11/$B92,  IF( OR( L$10="g",L$10="п"),L$11*(LN($B92)+1),  $B92^(L$10-1)*L$10*L$11))</f>
        <v>0</v>
      </c>
      <c r="Z92">
        <f>IF( OR( E$10="д",E$10="l"),E$11*LN($B92),  IF( OR( E$10="g",E$10="п"),E$11*$B92*LN($B92),  ($B92^E$10)*E$11))</f>
        <v>-6657.6530000000002</v>
      </c>
      <c r="AA92">
        <f>IF( OR( F$10="д",F$10="l"),F$11*LN($B92),  IF( OR( F$10="g",F$10="п"),F$11*$B92*LN($B92),  ($B92^F$10)*F$11))</f>
        <v>65403.054709459539</v>
      </c>
      <c r="AB92">
        <f>IF( OR( G$10="д",G$10="l"),G$11*LN($B92),  IF( OR( G$10="g",G$10="п"),G$11*$B92*LN($B92),  ($B92^G$10)*G$11))</f>
        <v>-88748.534844729118</v>
      </c>
      <c r="AC92">
        <f>IF( OR( H$10="д",H$10="l"),H$11*LN($B92),  IF( OR( H$10="g",H$10="п"),H$11*$B92*LN($B92),  ($B92^H$10)*H$11))</f>
        <v>-6141.4153670562619</v>
      </c>
      <c r="AD92">
        <f>IF( OR( I$10="д",I$10="l"),I$11*LN($B92),  IF( OR( I$10="g",I$10="п"),I$11*$B92*LN($B92),  ($B92^I$10)*I$11))</f>
        <v>944.9375694238779</v>
      </c>
      <c r="AE92">
        <f>IF( OR( J$10="д",J$10="l"),J$11*LN($B92),  IF( OR( J$10="g",J$10="п"),J$11*$B92*LN($B92),  ($B92^J$10)*J$11))</f>
        <v>0</v>
      </c>
      <c r="AF92">
        <f>IF( OR( K$10="д",K$10="l"),K$11*LN($B92),  IF( OR( K$10="g",K$10="п"),K$11*$B92*LN($B92),  ($B92^K$10)*K$11))</f>
        <v>0</v>
      </c>
      <c r="AG92">
        <f>IF( OR( L$10="д",L$10="l"),L$11*LN($B92),  IF( OR( L$10="g",L$10="п"),L$11*$B92*LN($B92),  ($B92^L$10)*L$11))</f>
        <v>0</v>
      </c>
      <c r="AP92" s="8">
        <f>(H92-D92)</f>
        <v>19.022398105268316</v>
      </c>
      <c r="AQ92" s="8">
        <f>I92-E92</f>
        <v>30.658293531849573</v>
      </c>
      <c r="AR92" s="8">
        <f>(J92-F92)</f>
        <v>-2.6455579989983526</v>
      </c>
      <c r="AS92" s="8">
        <f>K92-G92</f>
        <v>180.59227196881554</v>
      </c>
      <c r="AT92" s="8">
        <f>H92-L92</f>
        <v>-11110.506055505813</v>
      </c>
      <c r="AU92" s="3">
        <f>I92-M92</f>
        <v>-2.1270244361416246</v>
      </c>
      <c r="AV92" s="8">
        <f>J92-N92</f>
        <v>35165.498896335579</v>
      </c>
      <c r="AX92" s="5"/>
    </row>
    <row r="93" spans="1:50" hidden="1" x14ac:dyDescent="0.35">
      <c r="A93" s="1" t="s">
        <v>0</v>
      </c>
      <c r="B93" s="4">
        <f>B92+($C$2-$C$1)/$C$48</f>
        <v>716.21621621621716</v>
      </c>
      <c r="C93" s="7">
        <f>B93/10000</f>
        <v>7.1621621621621723E-2</v>
      </c>
      <c r="D93" s="9">
        <f>10*$B$3*(C93*$G$3-$H$3*2/C93+$J$3*C93^2+$K$3*2*C93^3+$L$3*3*C93^4-$I$3+$E$3)</f>
        <v>-9.8295670562392257</v>
      </c>
      <c r="E93" s="6">
        <f>$B$3*($F$3+$G$3+$G$3*LN(C93)-$H$3/C93^2+$J$3*2*C93+$K$3*3*C93^2+$L$3*4*C93^3)</f>
        <v>30.628728172261667</v>
      </c>
      <c r="F93" s="3">
        <f>($E$3-C93*($F$3+$G$3*LN(C93)+$H$3*C93^(-2)+$I$3*C93^(-1)+$J$3*C93+$K$3*C93^2+$L$3*C93^3))*$B$3*10</f>
        <v>-31.766358855291482</v>
      </c>
      <c r="G93" s="6">
        <f>$B$3*($G$3+2*$H$3*C93^(-2)+2*$J$3*C93+ 6*$K$3*C93^2+ 12*$L$3*C93^3)</f>
        <v>-165.48639054054772</v>
      </c>
      <c r="H93" s="9">
        <f>10*$B$3*(C93*$G$7-$H$7*2/C93+$J$7*C93^2+$K$7*2*C93^3+$L$7*3*C93^4-$I$7+$E$7)</f>
        <v>10.953334864864892</v>
      </c>
      <c r="I93" s="6">
        <f>$B$3*($F$7+$G$7+$G$7*LN(C93)-$H$7/C93^2+$J$7*2*C93+$K$7*3*C93^2+$L$7*4*C93^3)</f>
        <v>63.761297054537557</v>
      </c>
      <c r="J93" s="3">
        <f>($E$7-C93*($F$7+$G$7*LN(C93)+$H$7*C93^(-2)+$I$7*C93^(-1)+$J$7*C93+$K$7*C93^2+$L$7*C93^3))*$B$3*10</f>
        <v>-34.713540052574238</v>
      </c>
      <c r="K93" s="6">
        <f>$B$3*($G$7+2*$H$7*C93^(-2)+2*$J$7*C93+ 6*$K$7*C93^2+ 12*$L$7*C93^3)</f>
        <v>26.2</v>
      </c>
      <c r="L93" s="6">
        <f>N93+M93*B93</f>
        <v>11390.858856059887</v>
      </c>
      <c r="M93" s="6">
        <f>-SUM(Q93:X93)</f>
        <v>65.918975080228364</v>
      </c>
      <c r="N93" s="8">
        <f>SUM(Z93:AG93)</f>
        <v>-35821.380052752378</v>
      </c>
      <c r="O93" s="8"/>
      <c r="Q93">
        <f>IF( OR( E$10="д",E$10="l"),E$11/$B93,  IF( OR( E$10="g",E$10="п"),E$11*(LN($B93)+1),  $B93^(E$10-1)*E$10*E$11))</f>
        <v>0</v>
      </c>
      <c r="R93">
        <f>IF( OR( F$10="д",F$10="l"),F$11/$B93,  IF( OR( F$10="g",F$10="п"),F$11*(LN($B93)+1),  $B93^(F$10-1)*F$10*F$11))</f>
        <v>92.539694999999995</v>
      </c>
      <c r="S93">
        <f>IF( OR( G$10="д",G$10="l"),G$11/$B93,  IF( OR( G$10="g",G$10="п"),G$11*(LN($B93)+1),  $B93^(G$10-1)*G$10*G$11))</f>
        <v>-144.96601738117795</v>
      </c>
      <c r="T93">
        <f>IF( OR( H$10="д",H$10="l"),H$11/$B93,  IF( OR( H$10="g",H$10="п"),H$11*(LN($B93)+1),  $B93^(H$10-1)*H$10*H$11))</f>
        <v>-17.61175675675678</v>
      </c>
      <c r="U93">
        <f>IF( OR( I$10="д",I$10="l"),I$11/$B93,  IF( OR( I$10="g",I$10="п"),I$11*(LN($B93)+1),  $B93^(I$10-1)*I$10*I$11))</f>
        <v>4.119104057706366</v>
      </c>
      <c r="V93">
        <f>IF( OR( J$10="д",J$10="l"),J$11/$B93,  IF( OR( J$10="g",J$10="п"),J$11*(LN($B93)+1),  $B93^(J$10-1)*J$10*J$11))</f>
        <v>0</v>
      </c>
      <c r="W93">
        <f>IF( OR( K$10="д",K$10="l"),K$11/$B93,  IF( OR( K$10="g",K$10="п"),K$11*(LN($B93)+1),  $B93^(K$10-1)*K$10*K$11))</f>
        <v>0</v>
      </c>
      <c r="X93">
        <f>IF( OR( L$10="д",L$10="l"),L$11/$B93,  IF( OR( L$10="g",L$10="п"),L$11*(LN($B93)+1),  $B93^(L$10-1)*L$10*L$11))</f>
        <v>0</v>
      </c>
      <c r="Z93">
        <f>IF( OR( E$10="д",E$10="l"),E$11*LN($B93),  IF( OR( E$10="g",E$10="п"),E$11*$B93*LN($B93),  ($B93^E$10)*E$11))</f>
        <v>-6657.6530000000002</v>
      </c>
      <c r="AA93">
        <f>IF( OR( F$10="д",F$10="l"),F$11*LN($B93),  IF( OR( F$10="g",F$10="п"),F$11*$B93*LN($B93),  ($B93^F$10)*F$11))</f>
        <v>66278.430202702788</v>
      </c>
      <c r="AB93">
        <f>IF( OR( G$10="д",G$10="l"),G$11*LN($B93),  IF( OR( G$10="g",G$10="п"),G$11*$B93*LN($B93),  ($B93^G$10)*G$11))</f>
        <v>-90118.634070303233</v>
      </c>
      <c r="AC93">
        <f>IF( OR( H$10="д",H$10="l"),H$11*LN($B93),  IF( OR( H$10="g",H$10="п"),H$11*$B93*LN($B93),  ($B93^H$10)*H$11))</f>
        <v>-6306.9128926223684</v>
      </c>
      <c r="AD93">
        <f>IF( OR( I$10="д",I$10="l"),I$11*LN($B93),  IF( OR( I$10="g",I$10="п"),I$11*$B93*LN($B93),  ($B93^I$10)*I$11))</f>
        <v>983.38970747043993</v>
      </c>
      <c r="AE93">
        <f>IF( OR( J$10="д",J$10="l"),J$11*LN($B93),  IF( OR( J$10="g",J$10="п"),J$11*$B93*LN($B93),  ($B93^J$10)*J$11))</f>
        <v>0</v>
      </c>
      <c r="AF93">
        <f>IF( OR( K$10="д",K$10="l"),K$11*LN($B93),  IF( OR( K$10="g",K$10="п"),K$11*$B93*LN($B93),  ($B93^K$10)*K$11))</f>
        <v>0</v>
      </c>
      <c r="AG93">
        <f>IF( OR( L$10="д",L$10="l"),L$11*LN($B93),  IF( OR( L$10="g",L$10="п"),L$11*$B93*LN($B93),  ($B93^L$10)*L$11))</f>
        <v>0</v>
      </c>
      <c r="AP93" s="8">
        <f>(H93-D93)</f>
        <v>20.78290192110412</v>
      </c>
      <c r="AQ93" s="8">
        <f>I93-E93</f>
        <v>33.132568882275891</v>
      </c>
      <c r="AR93" s="8">
        <f>(J93-F93)</f>
        <v>-2.947181197282756</v>
      </c>
      <c r="AS93" s="8">
        <f>K93-G93</f>
        <v>191.68639054054771</v>
      </c>
      <c r="AT93" s="8">
        <f>H93-L93</f>
        <v>-11379.905521195022</v>
      </c>
      <c r="AU93" s="3">
        <f>I93-M93</f>
        <v>-2.1576780256908066</v>
      </c>
      <c r="AV93" s="8">
        <f>J93-N93</f>
        <v>35786.666512699805</v>
      </c>
      <c r="AX93" s="5"/>
    </row>
    <row r="94" spans="1:50" hidden="1" x14ac:dyDescent="0.35">
      <c r="A94" s="1" t="s">
        <v>0</v>
      </c>
      <c r="B94" s="4">
        <f>B93+($C$2-$C$1)/$C$48</f>
        <v>725.67567567567664</v>
      </c>
      <c r="C94" s="7">
        <f>B94/10000</f>
        <v>7.2567567567567659E-2</v>
      </c>
      <c r="D94" s="9">
        <f>10*$B$3*(C94*$G$3-$H$3*2/C94+$J$3*C94^2+$K$3*2*C94^3+$L$3*3*C94^4-$I$3+$E$3)</f>
        <v>-11.448820379803553</v>
      </c>
      <c r="E94" s="6">
        <f>$B$3*($F$3+$G$3+$G$3*LN(C94)-$H$3/C94^2+$J$3*2*C94+$K$3*3*C94^2+$L$3*4*C94^3)</f>
        <v>28.382847990304377</v>
      </c>
      <c r="F94" s="3">
        <f>($E$3-C94*($F$3+$G$3*LN(C94)+$H$3*C94^(-2)+$I$3*C94^(-1)+$J$3*C94+$K$3*C94^2+$L$3*C94^3))*$B$3*10</f>
        <v>-32.045562772767717</v>
      </c>
      <c r="G94" s="6">
        <f>$B$3*($G$3+2*$H$3*C94^(-2)+2*$J$3*C94+ 6*$K$3*C94^2+ 12*$L$3*C94^3)</f>
        <v>-176.92799995175642</v>
      </c>
      <c r="H94" s="9">
        <f>10*$B$3*(C94*$G$7-$H$7*2/C94+$J$7*C94^2+$K$7*2*C94^3+$L$7*3*C94^4-$I$7+$E$7)</f>
        <v>11.201172702702729</v>
      </c>
      <c r="I94" s="6">
        <f>$B$3*($F$7+$G$7+$G$7*LN(C94)-$H$7/C94^2+$J$7*2*C94+$K$7*3*C94^2+$L$7*4*C94^3)</f>
        <v>64.105069559160228</v>
      </c>
      <c r="J94" s="3">
        <f>($E$7-C94*($F$7+$G$7*LN(C94)+$H$7*C94^(-2)+$I$7*C94^(-1)+$J$7*C94+$K$7*C94^2+$L$7*C94^3))*$B$3*10</f>
        <v>-35.318316963877116</v>
      </c>
      <c r="K94" s="6">
        <f>$B$3*($G$7+2*$H$7*C94^(-2)+2*$J$7*C94+ 6*$K$7*C94^2+ 12*$L$7*C94^3)</f>
        <v>26.2</v>
      </c>
      <c r="L94" s="6">
        <f>N94+M94*B94</f>
        <v>11660.648004782677</v>
      </c>
      <c r="M94" s="6">
        <f>-SUM(Q94:X94)</f>
        <v>66.293195756025753</v>
      </c>
      <c r="N94" s="8">
        <f>SUM(Z94:AG94)</f>
        <v>-36446.711618171212</v>
      </c>
      <c r="O94" s="8"/>
      <c r="Q94">
        <f>IF( OR( E$10="д",E$10="l"),E$11/$B94,  IF( OR( E$10="g",E$10="п"),E$11*(LN($B94)+1),  $B94^(E$10-1)*E$10*E$11))</f>
        <v>0</v>
      </c>
      <c r="R94">
        <f>IF( OR( F$10="д",F$10="l"),F$11/$B94,  IF( OR( F$10="g",F$10="п"),F$11*(LN($B94)+1),  $B94^(F$10-1)*F$10*F$11))</f>
        <v>92.539694999999995</v>
      </c>
      <c r="S94">
        <f>IF( OR( G$10="д",G$10="l"),G$11/$B94,  IF( OR( G$10="g",G$10="п"),G$11*(LN($B94)+1),  $B94^(G$10-1)*G$10*G$11))</f>
        <v>-145.21715500478396</v>
      </c>
      <c r="T94">
        <f>IF( OR( H$10="д",H$10="l"),H$11/$B94,  IF( OR( H$10="g",H$10="п"),H$11*(LN($B94)+1),  $B94^(H$10-1)*H$10*H$11))</f>
        <v>-17.84436486486489</v>
      </c>
      <c r="U94">
        <f>IF( OR( I$10="д",I$10="l"),I$11/$B94,  IF( OR( I$10="g",I$10="п"),I$11*(LN($B94)+1),  $B94^(I$10-1)*I$10*I$11))</f>
        <v>4.2286291136230938</v>
      </c>
      <c r="V94">
        <f>IF( OR( J$10="д",J$10="l"),J$11/$B94,  IF( OR( J$10="g",J$10="п"),J$11*(LN($B94)+1),  $B94^(J$10-1)*J$10*J$11))</f>
        <v>0</v>
      </c>
      <c r="W94">
        <f>IF( OR( K$10="д",K$10="l"),K$11/$B94,  IF( OR( K$10="g",K$10="п"),K$11*(LN($B94)+1),  $B94^(K$10-1)*K$10*K$11))</f>
        <v>0</v>
      </c>
      <c r="X94">
        <f>IF( OR( L$10="д",L$10="l"),L$11/$B94,  IF( OR( L$10="g",L$10="п"),L$11*(LN($B94)+1),  $B94^(L$10-1)*L$10*L$11))</f>
        <v>0</v>
      </c>
      <c r="Z94">
        <f>IF( OR( E$10="д",E$10="l"),E$11*LN($B94),  IF( OR( E$10="g",E$10="п"),E$11*$B94*LN($B94),  ($B94^E$10)*E$11))</f>
        <v>-6657.6530000000002</v>
      </c>
      <c r="AA94">
        <f>IF( OR( F$10="д",F$10="l"),F$11*LN($B94),  IF( OR( F$10="g",F$10="п"),F$11*$B94*LN($B94),  ($B94^F$10)*F$11))</f>
        <v>67153.805695946037</v>
      </c>
      <c r="AB94">
        <f>IF( OR( G$10="д",G$10="l"),G$11*LN($B94),  IF( OR( G$10="g",G$10="п"),G$11*$B94*LN($B94),  ($B94^G$10)*G$11))</f>
        <v>-91491.124645363612</v>
      </c>
      <c r="AC94">
        <f>IF( OR( H$10="д",H$10="l"),H$11*LN($B94),  IF( OR( H$10="g",H$10="п"),H$11*$B94*LN($B94),  ($B94^H$10)*H$11))</f>
        <v>-6474.6107651570665</v>
      </c>
      <c r="AD94">
        <f>IF( OR( I$10="д",I$10="l"),I$11*LN($B94),  IF( OR( I$10="g",I$10="п"),I$11*$B94*LN($B94),  ($B94^I$10)*I$11))</f>
        <v>1022.8710964034254</v>
      </c>
      <c r="AE94">
        <f>IF( OR( J$10="д",J$10="l"),J$11*LN($B94),  IF( OR( J$10="g",J$10="п"),J$11*$B94*LN($B94),  ($B94^J$10)*J$11))</f>
        <v>0</v>
      </c>
      <c r="AF94">
        <f>IF( OR( K$10="д",K$10="l"),K$11*LN($B94),  IF( OR( K$10="g",K$10="п"),K$11*$B94*LN($B94),  ($B94^K$10)*K$11))</f>
        <v>0</v>
      </c>
      <c r="AG94">
        <f>IF( OR( L$10="д",L$10="l"),L$11*LN($B94),  IF( OR( L$10="g",L$10="п"),L$11*$B94*LN($B94),  ($B94^L$10)*L$11))</f>
        <v>0</v>
      </c>
      <c r="AP94" s="8">
        <f>(H94-D94)</f>
        <v>22.649993082506285</v>
      </c>
      <c r="AQ94" s="8">
        <f>I94-E94</f>
        <v>35.722221568855851</v>
      </c>
      <c r="AR94" s="8">
        <f>(J94-F94)</f>
        <v>-3.2727541911093994</v>
      </c>
      <c r="AS94" s="8">
        <f>K94-G94</f>
        <v>203.12799995175641</v>
      </c>
      <c r="AT94" s="8">
        <f>H94-L94</f>
        <v>-11649.446832079975</v>
      </c>
      <c r="AU94" s="3">
        <f>I94-M94</f>
        <v>-2.1881261968655252</v>
      </c>
      <c r="AV94" s="8">
        <f>J94-N94</f>
        <v>36411.393301207332</v>
      </c>
      <c r="AX94" s="5"/>
    </row>
    <row r="95" spans="1:50" hidden="1" x14ac:dyDescent="0.35">
      <c r="A95" s="1" t="s">
        <v>0</v>
      </c>
      <c r="B95" s="4">
        <f>B94+($C$2-$C$1)/$C$48</f>
        <v>735.13513513513612</v>
      </c>
      <c r="C95" s="7">
        <f>B95/10000</f>
        <v>7.3513513513513609E-2</v>
      </c>
      <c r="D95" s="9">
        <f>10*$B$3*(C95*$G$3-$H$3*2/C95+$J$3*C95^2+$K$3*2*C95^3+$L$3*3*C95^4-$I$3+$E$3)</f>
        <v>-13.177951394906986</v>
      </c>
      <c r="E95" s="6">
        <f>$B$3*($F$3+$G$3+$G$3*LN(C95)-$H$3/C95^2+$J$3*2*C95+$K$3*3*C95^2+$L$3*4*C95^3)</f>
        <v>26.015621779971042</v>
      </c>
      <c r="F95" s="3">
        <f>($E$3-C95*($F$3+$G$3*LN(C95)+$H$3*C95^(-2)+$I$3*C95^(-1)+$J$3*C95+$K$3*C95^2+$L$3*C95^3))*$B$3*10</f>
        <v>-32.3029490277506</v>
      </c>
      <c r="G95" s="6">
        <f>$B$3*($G$3+2*$H$3*C95^(-2)+2*$J$3*C95+ 6*$K$3*C95^2+ 12*$L$3*C95^3)</f>
        <v>-188.71778419216042</v>
      </c>
      <c r="H95" s="9">
        <f>10*$B$3*(C95*$G$7-$H$7*2/C95+$J$7*C95^2+$K$7*2*C95^3+$L$7*3*C95^4-$I$7+$E$7)</f>
        <v>11.449010540540568</v>
      </c>
      <c r="I95" s="6">
        <f>$B$3*($F$7+$G$7+$G$7*LN(C95)-$H$7/C95^2+$J$7*2*C95+$K$7*3*C95^2+$L$7*4*C95^3)</f>
        <v>64.44438975065367</v>
      </c>
      <c r="J95" s="3">
        <f>($E$7-C95*($F$7+$G$7*LN(C95)+$H$7*C95^(-2)+$I$7*C95^(-1)+$J$7*C95+$K$7*C95^2+$L$7*C95^3))*$B$3*10</f>
        <v>-35.926324627507597</v>
      </c>
      <c r="K95" s="6">
        <f>$B$3*($G$7+2*$H$7*C95^(-2)+2*$J$7*C95+ 6*$K$7*C95^2+ 12*$L$7*C95^3)</f>
        <v>26.2</v>
      </c>
      <c r="L95" s="6">
        <f>N95+M95*B95</f>
        <v>11930.551810941906</v>
      </c>
      <c r="M95" s="6">
        <f>-SUM(Q95:X95)</f>
        <v>66.662726796864817</v>
      </c>
      <c r="N95" s="8">
        <f>SUM(Z95:AG95)</f>
        <v>-37075.560861347971</v>
      </c>
      <c r="O95" s="8"/>
      <c r="Q95">
        <f>IF( OR( E$10="д",E$10="l"),E$11/$B95,  IF( OR( E$10="g",E$10="п"),E$11*(LN($B95)+1),  $B95^(E$10-1)*E$10*E$11))</f>
        <v>0</v>
      </c>
      <c r="R95">
        <f>IF( OR( F$10="д",F$10="l"),F$11/$B95,  IF( OR( F$10="g",F$10="п"),F$11*(LN($B95)+1),  $B95^(F$10-1)*F$10*F$11))</f>
        <v>92.539694999999995</v>
      </c>
      <c r="S95">
        <f>IF( OR( G$10="д",G$10="l"),G$11/$B95,  IF( OR( G$10="g",G$10="п"),G$11*(LN($B95)+1),  $B95^(G$10-1)*G$10*G$11))</f>
        <v>-145.46504006070703</v>
      </c>
      <c r="T95">
        <f>IF( OR( H$10="д",H$10="l"),H$11/$B95,  IF( OR( H$10="g",H$10="п"),H$11*(LN($B95)+1),  $B95^(H$10-1)*H$10*H$11))</f>
        <v>-18.076972972973</v>
      </c>
      <c r="U95">
        <f>IF( OR( I$10="д",I$10="l"),I$11/$B95,  IF( OR( I$10="g",I$10="п"),I$11*(LN($B95)+1),  $B95^(I$10-1)*I$10*I$11))</f>
        <v>4.3395912368152052</v>
      </c>
      <c r="V95">
        <f>IF( OR( J$10="д",J$10="l"),J$11/$B95,  IF( OR( J$10="g",J$10="п"),J$11*(LN($B95)+1),  $B95^(J$10-1)*J$10*J$11))</f>
        <v>0</v>
      </c>
      <c r="W95">
        <f>IF( OR( K$10="д",K$10="l"),K$11/$B95,  IF( OR( K$10="g",K$10="п"),K$11*(LN($B95)+1),  $B95^(K$10-1)*K$10*K$11))</f>
        <v>0</v>
      </c>
      <c r="X95">
        <f>IF( OR( L$10="д",L$10="l"),L$11/$B95,  IF( OR( L$10="g",L$10="п"),L$11*(LN($B95)+1),  $B95^(L$10-1)*L$10*L$11))</f>
        <v>0</v>
      </c>
      <c r="Z95">
        <f>IF( OR( E$10="д",E$10="l"),E$11*LN($B95),  IF( OR( E$10="g",E$10="п"),E$11*$B95*LN($B95),  ($B95^E$10)*E$11))</f>
        <v>-6657.6530000000002</v>
      </c>
      <c r="AA95">
        <f>IF( OR( F$10="д",F$10="l"),F$11*LN($B95),  IF( OR( F$10="g",F$10="п"),F$11*$B95*LN($B95),  ($B95^F$10)*F$11))</f>
        <v>68029.181189189272</v>
      </c>
      <c r="AB95">
        <f>IF( OR( G$10="д",G$10="l"),G$11*LN($B95),  IF( OR( G$10="g",G$10="п"),G$11*$B95*LN($B95),  ($B95^G$10)*G$11))</f>
        <v>-92865.97539597936</v>
      </c>
      <c r="AC95">
        <f>IF( OR( H$10="д",H$10="l"),H$11*LN($B95),  IF( OR( H$10="g",H$10="п"),H$11*$B95*LN($B95),  ($B95^H$10)*H$11))</f>
        <v>-6644.5089846603541</v>
      </c>
      <c r="AD95">
        <f>IF( OR( I$10="д",I$10="l"),I$11*LN($B95),  IF( OR( I$10="g",I$10="п"),I$11*$B95*LN($B95),  ($B95^I$10)*I$11))</f>
        <v>1063.3953301024662</v>
      </c>
      <c r="AE95">
        <f>IF( OR( J$10="д",J$10="l"),J$11*LN($B95),  IF( OR( J$10="g",J$10="п"),J$11*$B95*LN($B95),  ($B95^J$10)*J$11))</f>
        <v>0</v>
      </c>
      <c r="AF95">
        <f>IF( OR( K$10="д",K$10="l"),K$11*LN($B95),  IF( OR( K$10="g",K$10="п"),K$11*$B95*LN($B95),  ($B95^K$10)*K$11))</f>
        <v>0</v>
      </c>
      <c r="AG95">
        <f>IF( OR( L$10="д",L$10="l"),L$11*LN($B95),  IF( OR( L$10="g",L$10="п"),L$11*$B95*LN($B95),  ($B95^L$10)*L$11))</f>
        <v>0</v>
      </c>
      <c r="AP95" s="8">
        <f>(H95-D95)</f>
        <v>24.626961935447554</v>
      </c>
      <c r="AQ95" s="8">
        <f>I95-E95</f>
        <v>38.428767970682628</v>
      </c>
      <c r="AR95" s="8">
        <f>(J95-F95)</f>
        <v>-3.6233755997569972</v>
      </c>
      <c r="AS95" s="8">
        <f>K95-G95</f>
        <v>214.91778419216041</v>
      </c>
      <c r="AT95" s="8">
        <f>H95-L95</f>
        <v>-11919.102800401366</v>
      </c>
      <c r="AU95" s="3">
        <f>I95-M95</f>
        <v>-2.2183370462111469</v>
      </c>
      <c r="AV95" s="8">
        <f>J95-N95</f>
        <v>37039.634536720463</v>
      </c>
      <c r="AX95" s="5"/>
    </row>
    <row r="96" spans="1:50" hidden="1" x14ac:dyDescent="0.35">
      <c r="A96" s="1" t="s">
        <v>0</v>
      </c>
      <c r="B96" s="4">
        <f>B95+($C$2-$C$1)/$C$48</f>
        <v>744.59459459459561</v>
      </c>
      <c r="C96" s="7">
        <f>B96/10000</f>
        <v>7.4459459459459559E-2</v>
      </c>
      <c r="D96" s="9">
        <f>10*$B$3*(C96*$G$3-$H$3*2/C96+$J$3*C96^2+$K$3*2*C96^3+$L$3*3*C96^4-$I$3+$E$3)</f>
        <v>-15.020256710851392</v>
      </c>
      <c r="E96" s="6">
        <f>$B$3*($F$3+$G$3+$G$3*LN(C96)-$H$3/C96^2+$J$3*2*C96+$K$3*3*C96^2+$L$3*4*C96^3)</f>
        <v>23.525696715127875</v>
      </c>
      <c r="F96" s="3">
        <f>($E$3-C96*($F$3+$G$3*LN(C96)+$H$3*C96^(-2)+$I$3*C96^(-1)+$J$3*C96+$K$3*C96^2+$L$3*C96^3))*$B$3*10</f>
        <v>-32.537363319007483</v>
      </c>
      <c r="G96" s="6">
        <f>$B$3*($G$3+2*$H$3*C96^(-2)+2*$J$3*C96+ 6*$K$3*C96^2+ 12*$L$3*C96^3)</f>
        <v>-200.85638408164945</v>
      </c>
      <c r="H96" s="9">
        <f>10*$B$3*(C96*$G$7-$H$7*2/C96+$J$7*C96^2+$K$7*2*C96^3+$L$7*3*C96^4-$I$7+$E$7)</f>
        <v>11.696848378378405</v>
      </c>
      <c r="I96" s="6">
        <f>$B$3*($F$7+$G$7+$G$7*LN(C96)-$H$7/C96^2+$J$7*2*C96+$K$7*3*C96^2+$L$7*4*C96^3)</f>
        <v>64.779371482834335</v>
      </c>
      <c r="J96" s="3">
        <f>($E$7-C96*($F$7+$G$7*LN(C96)+$H$7*C96^(-2)+$I$7*C96^(-1)+$J$7*C96+$K$7*C96^2+$L$7*C96^3))*$B$3*10</f>
        <v>-36.537521468975328</v>
      </c>
      <c r="K96" s="6">
        <f>$B$3*($G$7+2*$H$7*C96^(-2)+2*$J$7*C96+ 6*$K$7*C96^2+ 12*$L$7*C96^3)</f>
        <v>26.2</v>
      </c>
      <c r="L96" s="6">
        <f>N96+M96*B96</f>
        <v>12200.543086778423</v>
      </c>
      <c r="M96" s="6">
        <f>-SUM(Q96:X96)</f>
        <v>67.0276513768695</v>
      </c>
      <c r="N96" s="8">
        <f>SUM(Z96:AG96)</f>
        <v>-37707.883816809612</v>
      </c>
      <c r="O96" s="8"/>
      <c r="Q96">
        <f>IF( OR( E$10="д",E$10="l"),E$11/$B96,  IF( OR( E$10="g",E$10="п"),E$11*(LN($B96)+1),  $B96^(E$10-1)*E$10*E$11))</f>
        <v>0</v>
      </c>
      <c r="R96">
        <f>IF( OR( F$10="д",F$10="l"),F$11/$B96,  IF( OR( F$10="g",F$10="п"),F$11*(LN($B96)+1),  $B96^(F$10-1)*F$10*F$11))</f>
        <v>92.539694999999995</v>
      </c>
      <c r="S96">
        <f>IF( OR( G$10="д",G$10="l"),G$11/$B96,  IF( OR( G$10="g",G$10="п"),G$11*(LN($B96)+1),  $B96^(G$10-1)*G$10*G$11))</f>
        <v>-145.70975572307108</v>
      </c>
      <c r="T96">
        <f>IF( OR( H$10="д",H$10="l"),H$11/$B96,  IF( OR( H$10="g",H$10="п"),H$11*(LN($B96)+1),  $B96^(H$10-1)*H$10*H$11))</f>
        <v>-18.309581081081106</v>
      </c>
      <c r="U96">
        <f>IF( OR( I$10="д",I$10="l"),I$11/$B96,  IF( OR( I$10="g",I$10="п"),I$11*(LN($B96)+1),  $B96^(I$10-1)*I$10*I$11))</f>
        <v>4.4519904272827002</v>
      </c>
      <c r="V96">
        <f>IF( OR( J$10="д",J$10="l"),J$11/$B96,  IF( OR( J$10="g",J$10="п"),J$11*(LN($B96)+1),  $B96^(J$10-1)*J$10*J$11))</f>
        <v>0</v>
      </c>
      <c r="W96">
        <f>IF( OR( K$10="д",K$10="l"),K$11/$B96,  IF( OR( K$10="g",K$10="п"),K$11*(LN($B96)+1),  $B96^(K$10-1)*K$10*K$11))</f>
        <v>0</v>
      </c>
      <c r="X96">
        <f>IF( OR( L$10="д",L$10="l"),L$11/$B96,  IF( OR( L$10="g",L$10="п"),L$11*(LN($B96)+1),  $B96^(L$10-1)*L$10*L$11))</f>
        <v>0</v>
      </c>
      <c r="Z96">
        <f>IF( OR( E$10="д",E$10="l"),E$11*LN($B96),  IF( OR( E$10="g",E$10="п"),E$11*$B96*LN($B96),  ($B96^E$10)*E$11))</f>
        <v>-6657.6530000000002</v>
      </c>
      <c r="AA96">
        <f>IF( OR( F$10="д",F$10="l"),F$11*LN($B96),  IF( OR( F$10="g",F$10="п"),F$11*$B96*LN($B96),  ($B96^F$10)*F$11))</f>
        <v>68904.556682432521</v>
      </c>
      <c r="AB96">
        <f>IF( OR( G$10="д",G$10="l"),G$11*LN($B96),  IF( OR( G$10="g",G$10="п"),G$11*$B96*LN($B96),  ($B96^G$10)*G$11))</f>
        <v>-94243.155950557091</v>
      </c>
      <c r="AC96">
        <f>IF( OR( H$10="д",H$10="l"),H$11*LN($B96),  IF( OR( H$10="g",H$10="п"),H$11*$B96*LN($B96),  ($B96^H$10)*H$11))</f>
        <v>-6816.6075511322315</v>
      </c>
      <c r="AD96">
        <f>IF( OR( I$10="д",I$10="l"),I$11*LN($B96),  IF( OR( I$10="g",I$10="п"),I$11*$B96*LN($B96),  ($B96^I$10)*I$11))</f>
        <v>1104.9760024471941</v>
      </c>
      <c r="AE96">
        <f>IF( OR( J$10="д",J$10="l"),J$11*LN($B96),  IF( OR( J$10="g",J$10="п"),J$11*$B96*LN($B96),  ($B96^J$10)*J$11))</f>
        <v>0</v>
      </c>
      <c r="AF96">
        <f>IF( OR( K$10="д",K$10="l"),K$11*LN($B96),  IF( OR( K$10="g",K$10="п"),K$11*$B96*LN($B96),  ($B96^K$10)*K$11))</f>
        <v>0</v>
      </c>
      <c r="AG96">
        <f>IF( OR( L$10="д",L$10="l"),L$11*LN($B96),  IF( OR( L$10="g",L$10="п"),L$11*$B96*LN($B96),  ($B96^L$10)*L$11))</f>
        <v>0</v>
      </c>
      <c r="AP96" s="8">
        <f>(H96-D96)</f>
        <v>26.717105089229797</v>
      </c>
      <c r="AQ96" s="8">
        <f>I96-E96</f>
        <v>41.253674767706457</v>
      </c>
      <c r="AR96" s="8">
        <f>(J96-F96)</f>
        <v>-4.0001581499678451</v>
      </c>
      <c r="AS96" s="8">
        <f>K96-G96</f>
        <v>227.05638408164944</v>
      </c>
      <c r="AT96" s="8">
        <f>H96-L96</f>
        <v>-12188.846238400045</v>
      </c>
      <c r="AU96" s="3">
        <f>I96-M96</f>
        <v>-2.2482798940351643</v>
      </c>
      <c r="AV96" s="8">
        <f>J96-N96</f>
        <v>37671.346295340634</v>
      </c>
      <c r="AX96" s="5"/>
    </row>
    <row r="97" spans="1:50" hidden="1" x14ac:dyDescent="0.35">
      <c r="A97" s="1" t="s">
        <v>0</v>
      </c>
      <c r="B97" s="4">
        <f>B96+($C$2-$C$1)/$C$48</f>
        <v>754.05405405405509</v>
      </c>
      <c r="C97" s="7">
        <f>B97/10000</f>
        <v>7.540540540540551E-2</v>
      </c>
      <c r="D97" s="9">
        <f>10*$B$3*(C97*$G$3-$H$3*2/C97+$J$3*C97^2+$K$3*2*C97^3+$L$3*3*C97^4-$I$3+$E$3)</f>
        <v>-16.979038807406514</v>
      </c>
      <c r="E97" s="6">
        <f>$B$3*($F$3+$G$3+$G$3*LN(C97)-$H$3/C97^2+$J$3*2*C97+$K$3*3*C97^2+$L$3*4*C97^3)</f>
        <v>20.911763371274823</v>
      </c>
      <c r="F97" s="3">
        <f>($E$3-C97*($F$3+$G$3*LN(C97)+$H$3*C97^(-2)+$I$3*C97^(-1)+$J$3*C97+$K$3*C97^2+$L$3*C97^3))*$B$3*10</f>
        <v>-32.747638754935508</v>
      </c>
      <c r="G97" s="6">
        <f>$B$3*($G$3+2*$H$3*C97^(-2)+2*$J$3*C97+ 6*$K$3*C97^2+ 12*$L$3*C97^3)</f>
        <v>-213.34440049906735</v>
      </c>
      <c r="H97" s="9">
        <f>10*$B$3*(C97*$G$7-$H$7*2/C97+$J$7*C97^2+$K$7*2*C97^3+$L$7*3*C97^4-$I$7+$E$7)</f>
        <v>11.944686216216244</v>
      </c>
      <c r="I97" s="6">
        <f>$B$3*($F$7+$G$7+$G$7*LN(C97)-$H$7/C97^2+$J$7*2*C97+$K$7*3*C97^2+$L$7*4*C97^3)</f>
        <v>65.110124297418309</v>
      </c>
      <c r="J97" s="3">
        <f>($E$7-C97*($F$7+$G$7*LN(C97)+$H$7*C97^(-2)+$I$7*C97^(-1)+$J$7*C97+$K$7*C97^2+$L$7*C97^3))*$B$3*10</f>
        <v>-37.15186697021548</v>
      </c>
      <c r="K97" s="6">
        <f>$B$3*($G$7+2*$H$7*C97^(-2)+2*$J$7*C97+ 6*$K$7*C97^2+ 12*$L$7*C97^3)</f>
        <v>26.2</v>
      </c>
      <c r="L97" s="6">
        <f>N97+M97*B97</f>
        <v>12470.59464453283</v>
      </c>
      <c r="M97" s="6">
        <f>-SUM(Q97:X97)</f>
        <v>67.388049520026215</v>
      </c>
      <c r="N97" s="8">
        <f>SUM(Z97:AG97)</f>
        <v>-38343.637290838356</v>
      </c>
      <c r="O97" s="8"/>
      <c r="Q97">
        <f>IF( OR( E$10="д",E$10="l"),E$11/$B97,  IF( OR( E$10="g",E$10="п"),E$11*(LN($B97)+1),  $B97^(E$10-1)*E$10*E$11))</f>
        <v>0</v>
      </c>
      <c r="R97">
        <f>IF( OR( F$10="д",F$10="l"),F$11/$B97,  IF( OR( F$10="g",F$10="п"),F$11*(LN($B97)+1),  $B97^(F$10-1)*F$10*F$11))</f>
        <v>92.539694999999995</v>
      </c>
      <c r="S97">
        <f>IF( OR( G$10="д",G$10="l"),G$11/$B97,  IF( OR( G$10="g",G$10="п"),G$11*(LN($B97)+1),  $B97^(G$10-1)*G$10*G$11))</f>
        <v>-145.95138201586258</v>
      </c>
      <c r="T97">
        <f>IF( OR( H$10="д",H$10="l"),H$11/$B97,  IF( OR( H$10="g",H$10="п"),H$11*(LN($B97)+1),  $B97^(H$10-1)*H$10*H$11))</f>
        <v>-18.542189189189216</v>
      </c>
      <c r="U97">
        <f>IF( OR( I$10="д",I$10="l"),I$11/$B97,  IF( OR( I$10="g",I$10="п"),I$11*(LN($B97)+1),  $B97^(I$10-1)*I$10*I$11))</f>
        <v>4.5658266850255789</v>
      </c>
      <c r="V97">
        <f>IF( OR( J$10="д",J$10="l"),J$11/$B97,  IF( OR( J$10="g",J$10="п"),J$11*(LN($B97)+1),  $B97^(J$10-1)*J$10*J$11))</f>
        <v>0</v>
      </c>
      <c r="W97">
        <f>IF( OR( K$10="д",K$10="l"),K$11/$B97,  IF( OR( K$10="g",K$10="п"),K$11*(LN($B97)+1),  $B97^(K$10-1)*K$10*K$11))</f>
        <v>0</v>
      </c>
      <c r="X97">
        <f>IF( OR( L$10="д",L$10="l"),L$11/$B97,  IF( OR( L$10="g",L$10="п"),L$11*(LN($B97)+1),  $B97^(L$10-1)*L$10*L$11))</f>
        <v>0</v>
      </c>
      <c r="Z97">
        <f>IF( OR( E$10="д",E$10="l"),E$11*LN($B97),  IF( OR( E$10="g",E$10="п"),E$11*$B97*LN($B97),  ($B97^E$10)*E$11))</f>
        <v>-6657.6530000000002</v>
      </c>
      <c r="AA97">
        <f>IF( OR( F$10="д",F$10="l"),F$11*LN($B97),  IF( OR( F$10="g",F$10="п"),F$11*$B97*LN($B97),  ($B97^F$10)*F$11))</f>
        <v>69779.932175675771</v>
      </c>
      <c r="AB97">
        <f>IF( OR( G$10="д",G$10="l"),G$11*LN($B97),  IF( OR( G$10="g",G$10="п"),G$11*$B97*LN($B97),  ($B97^G$10)*G$11))</f>
        <v>-95622.636709258673</v>
      </c>
      <c r="AC97">
        <f>IF( OR( H$10="д",H$10="l"),H$11*LN($B97),  IF( OR( H$10="g",H$10="п"),H$11*$B97*LN($B97),  ($B97^H$10)*H$11))</f>
        <v>-6990.9064645727003</v>
      </c>
      <c r="AD97">
        <f>IF( OR( I$10="д",I$10="l"),I$11*LN($B97),  IF( OR( I$10="g",I$10="п"),I$11*$B97*LN($B97),  ($B97^I$10)*I$11))</f>
        <v>1147.6267073172417</v>
      </c>
      <c r="AE97">
        <f>IF( OR( J$10="д",J$10="l"),J$11*LN($B97),  IF( OR( J$10="g",J$10="п"),J$11*$B97*LN($B97),  ($B97^J$10)*J$11))</f>
        <v>0</v>
      </c>
      <c r="AF97">
        <f>IF( OR( K$10="д",K$10="l"),K$11*LN($B97),  IF( OR( K$10="g",K$10="п"),K$11*$B97*LN($B97),  ($B97^K$10)*K$11))</f>
        <v>0</v>
      </c>
      <c r="AG97">
        <f>IF( OR( L$10="д",L$10="l"),L$11*LN($B97),  IF( OR( L$10="g",L$10="п"),L$11*$B97*LN($B97),  ($B97^L$10)*L$11))</f>
        <v>0</v>
      </c>
      <c r="AP97" s="8">
        <f>(H97-D97)</f>
        <v>28.923725023622758</v>
      </c>
      <c r="AQ97" s="8">
        <f>I97-E97</f>
        <v>44.198360926143486</v>
      </c>
      <c r="AR97" s="8">
        <f>(J97-F97)</f>
        <v>-4.4042282152799714</v>
      </c>
      <c r="AS97" s="8">
        <f>K97-G97</f>
        <v>239.54440049906734</v>
      </c>
      <c r="AT97" s="8">
        <f>H97-L97</f>
        <v>-12458.649958316613</v>
      </c>
      <c r="AU97" s="3">
        <f>I97-M97</f>
        <v>-2.2779252226079052</v>
      </c>
      <c r="AV97" s="8">
        <f>J97-N97</f>
        <v>38306.485423868144</v>
      </c>
      <c r="AX97" s="5"/>
    </row>
    <row r="98" spans="1:50" hidden="1" x14ac:dyDescent="0.35">
      <c r="A98" s="1" t="s">
        <v>0</v>
      </c>
      <c r="B98" s="4">
        <f>B97+($C$2-$C$1)/$C$48</f>
        <v>763.51351351351457</v>
      </c>
      <c r="C98" s="7">
        <f>B98/10000</f>
        <v>7.635135135135146E-2</v>
      </c>
      <c r="D98" s="9">
        <f>10*$B$3*(C98*$G$3-$H$3*2/C98+$J$3*C98^2+$K$3*2*C98^3+$L$3*3*C98^4-$I$3+$E$3)</f>
        <v>-19.05760567115302</v>
      </c>
      <c r="E98" s="6">
        <f>$B$3*($F$3+$G$3+$G$3*LN(C98)-$H$3/C98^2+$J$3*2*C98+$K$3*3*C98^2+$L$3*4*C98^3)</f>
        <v>18.172554040452415</v>
      </c>
      <c r="F98" s="3">
        <f>($E$3-C98*($F$3+$G$3*LN(C98)+$H$3*C98^(-2)+$I$3*C98^(-1)+$J$3*C98+$K$3*C98^2+$L$3*C98^3))*$B$3*10</f>
        <v>-32.932596256093028</v>
      </c>
      <c r="G98" s="6">
        <f>$B$3*($G$3+2*$H$3*C98^(-2)+2*$J$3*C98+ 6*$K$3*C98^2+ 12*$L$3*C98^3)</f>
        <v>-226.18239733273199</v>
      </c>
      <c r="H98" s="9">
        <f>10*$B$3*(C98*$G$7-$H$7*2/C98+$J$7*C98^2+$K$7*2*C98^3+$L$7*3*C98^4-$I$7+$E$7)</f>
        <v>12.192524054054083</v>
      </c>
      <c r="I98" s="6">
        <f>$B$3*($F$7+$G$7+$G$7*LN(C98)-$H$7/C98^2+$J$7*2*C98+$K$7*3*C98^2+$L$7*4*C98^3)</f>
        <v>65.436753639064719</v>
      </c>
      <c r="J98" s="3">
        <f>($E$7-C98*($F$7+$G$7*LN(C98)+$H$7*C98^(-2)+$I$7*C98^(-1)+$J$7*C98+$K$7*C98^2+$L$7*C98^3))*$B$3*10</f>
        <v>-37.769321629826479</v>
      </c>
      <c r="K98" s="6">
        <f>$B$3*($G$7+2*$H$7*C98^(-2)+2*$J$7*C98+ 6*$K$7*C98^2+ 12*$L$7*C98^3)</f>
        <v>26.2</v>
      </c>
      <c r="L98" s="6">
        <f>N98+M98*B98</f>
        <v>12740.679296445938</v>
      </c>
      <c r="M98" s="6">
        <f>-SUM(Q98:X98)</f>
        <v>67.743998257280651</v>
      </c>
      <c r="N98" s="8">
        <f>SUM(Z98:AG98)</f>
        <v>-38982.778832423821</v>
      </c>
      <c r="O98" s="8"/>
      <c r="Q98">
        <f>IF( OR( E$10="д",E$10="l"),E$11/$B98,  IF( OR( E$10="g",E$10="п"),E$11*(LN($B98)+1),  $B98^(E$10-1)*E$10*E$11))</f>
        <v>0</v>
      </c>
      <c r="R98">
        <f>IF( OR( F$10="д",F$10="l"),F$11/$B98,  IF( OR( F$10="g",F$10="п"),F$11*(LN($B98)+1),  $B98^(F$10-1)*F$10*F$11))</f>
        <v>92.539694999999995</v>
      </c>
      <c r="S98">
        <f>IF( OR( G$10="д",G$10="l"),G$11/$B98,  IF( OR( G$10="g",G$10="п"),G$11*(LN($B98)+1),  $B98^(G$10-1)*G$10*G$11))</f>
        <v>-146.18999597002716</v>
      </c>
      <c r="T98">
        <f>IF( OR( H$10="д",H$10="l"),H$11/$B98,  IF( OR( H$10="g",H$10="п"),H$11*(LN($B98)+1),  $B98^(H$10-1)*H$10*H$11))</f>
        <v>-18.774797297297322</v>
      </c>
      <c r="U98">
        <f>IF( OR( I$10="д",I$10="l"),I$11/$B98,  IF( OR( I$10="g",I$10="п"),I$11*(LN($B98)+1),  $B98^(I$10-1)*I$10*I$11))</f>
        <v>4.6811000100438402</v>
      </c>
      <c r="V98">
        <f>IF( OR( J$10="д",J$10="l"),J$11/$B98,  IF( OR( J$10="g",J$10="п"),J$11*(LN($B98)+1),  $B98^(J$10-1)*J$10*J$11))</f>
        <v>0</v>
      </c>
      <c r="W98">
        <f>IF( OR( K$10="д",K$10="l"),K$11/$B98,  IF( OR( K$10="g",K$10="п"),K$11*(LN($B98)+1),  $B98^(K$10-1)*K$10*K$11))</f>
        <v>0</v>
      </c>
      <c r="X98">
        <f>IF( OR( L$10="д",L$10="l"),L$11/$B98,  IF( OR( L$10="g",L$10="п"),L$11*(LN($B98)+1),  $B98^(L$10-1)*L$10*L$11))</f>
        <v>0</v>
      </c>
      <c r="Z98">
        <f>IF( OR( E$10="д",E$10="l"),E$11*LN($B98),  IF( OR( E$10="g",E$10="п"),E$11*$B98*LN($B98),  ($B98^E$10)*E$11))</f>
        <v>-6657.6530000000002</v>
      </c>
      <c r="AA98">
        <f>IF( OR( F$10="д",F$10="l"),F$11*LN($B98),  IF( OR( F$10="g",F$10="п"),F$11*$B98*LN($B98),  ($B98^F$10)*F$11))</f>
        <v>70655.307668919006</v>
      </c>
      <c r="AB98">
        <f>IF( OR( G$10="д",G$10="l"),G$11*LN($B98),  IF( OR( G$10="g",G$10="п"),G$11*$B98*LN($B98),  ($B98^G$10)*G$11))</f>
        <v>-97004.388814953316</v>
      </c>
      <c r="AC98">
        <f>IF( OR( H$10="д",H$10="l"),H$11*LN($B98),  IF( OR( H$10="g",H$10="п"),H$11*$B98*LN($B98),  ($B98^H$10)*H$11))</f>
        <v>-7167.4057249817588</v>
      </c>
      <c r="AD98">
        <f>IF( OR( I$10="д",I$10="l"),I$11*LN($B98),  IF( OR( I$10="g",I$10="п"),I$11*$B98*LN($B98),  ($B98^I$10)*I$11))</f>
        <v>1191.3610385922402</v>
      </c>
      <c r="AE98">
        <f>IF( OR( J$10="д",J$10="l"),J$11*LN($B98),  IF( OR( J$10="g",J$10="п"),J$11*$B98*LN($B98),  ($B98^J$10)*J$11))</f>
        <v>0</v>
      </c>
      <c r="AF98">
        <f>IF( OR( K$10="д",K$10="l"),K$11*LN($B98),  IF( OR( K$10="g",K$10="п"),K$11*$B98*LN($B98),  ($B98^K$10)*K$11))</f>
        <v>0</v>
      </c>
      <c r="AG98">
        <f>IF( OR( L$10="д",L$10="l"),L$11*LN($B98),  IF( OR( L$10="g",L$10="п"),L$11*$B98*LN($B98),  ($B98^L$10)*L$11))</f>
        <v>0</v>
      </c>
      <c r="AP98" s="8">
        <f>(H98-D98)</f>
        <v>31.250129725207103</v>
      </c>
      <c r="AQ98" s="8">
        <f>I98-E98</f>
        <v>47.264199598612308</v>
      </c>
      <c r="AR98" s="8">
        <f>(J98-F98)</f>
        <v>-4.8367253737334508</v>
      </c>
      <c r="AS98" s="8">
        <f>K98-G98</f>
        <v>252.38239733273198</v>
      </c>
      <c r="AT98" s="8">
        <f>H98-L98</f>
        <v>-12728.486772391883</v>
      </c>
      <c r="AU98" s="3">
        <f>I98-M98</f>
        <v>-2.3072446182159325</v>
      </c>
      <c r="AV98" s="8">
        <f>J98-N98</f>
        <v>38945.009510793992</v>
      </c>
      <c r="AX98" s="5"/>
    </row>
    <row r="99" spans="1:50" hidden="1" x14ac:dyDescent="0.35">
      <c r="A99" s="1" t="s">
        <v>0</v>
      </c>
      <c r="B99" s="4">
        <f>B98+($C$2-$C$1)/$C$48</f>
        <v>772.97297297297405</v>
      </c>
      <c r="C99" s="7">
        <f>B99/10000</f>
        <v>7.729729729729741E-2</v>
      </c>
      <c r="D99" s="9">
        <f>10*$B$3*(C99*$G$3-$H$3*2/C99+$J$3*C99^2+$K$3*2*C99^3+$L$3*3*C99^4-$I$3+$E$3)</f>
        <v>-21.25927045852686</v>
      </c>
      <c r="E99" s="6">
        <f>$B$3*($F$3+$G$3+$G$3*LN(C99)-$H$3/C99^2+$J$3*2*C99+$K$3*3*C99^2+$L$3*4*C99^3)</f>
        <v>15.30684111513458</v>
      </c>
      <c r="F99" s="3">
        <f>($E$3-C99*($F$3+$G$3*LN(C99)+$H$3*C99^(-2)+$I$3*C99^(-1)+$J$3*C99+$K$3*C99^2+$L$3*C99^3))*$B$3*10</f>
        <v>-33.091044942117357</v>
      </c>
      <c r="G99" s="6">
        <f>$B$3*($G$3+2*$H$3*C99^(-2)+2*$J$3*C99+ 6*$K$3*C99^2+ 12*$L$3*C99^3)</f>
        <v>-239.37090417976202</v>
      </c>
      <c r="H99" s="9">
        <f>10*$B$3*(C99*$G$7-$H$7*2/C99+$J$7*C99^2+$K$7*2*C99^3+$L$7*3*C99^4-$I$7+$E$7)</f>
        <v>12.440361891891921</v>
      </c>
      <c r="I99" s="6">
        <f>$B$3*($F$7+$G$7+$G$7*LN(C99)-$H$7/C99^2+$J$7*2*C99+$K$7*3*C99^2+$L$7*4*C99^3)</f>
        <v>65.75936105717868</v>
      </c>
      <c r="J99" s="3">
        <f>($E$7-C99*($F$7+$G$7*LN(C99)+$H$7*C99^(-2)+$I$7*C99^(-1)+$J$7*C99+$K$7*C99^2+$L$7*C99^3))*$B$3*10</f>
        <v>-38.389846925278704</v>
      </c>
      <c r="K99" s="6">
        <f>$B$3*($G$7+2*$H$7*C99^(-2)+2*$J$7*C99+ 6*$K$7*C99^2+ 12*$L$7*C99^3)</f>
        <v>26.2</v>
      </c>
      <c r="L99" s="6">
        <f>N99+M99*B99</f>
        <v>13010.769854758466</v>
      </c>
      <c r="M99" s="6">
        <f>-SUM(Q99:X99)</f>
        <v>68.095571773961566</v>
      </c>
      <c r="N99" s="8">
        <f>SUM(Z99:AG99)</f>
        <v>-39625.266705655144</v>
      </c>
      <c r="O99" s="8"/>
      <c r="Q99">
        <f>IF( OR( E$10="д",E$10="l"),E$11/$B99,  IF( OR( E$10="g",E$10="п"),E$11*(LN($B99)+1),  $B99^(E$10-1)*E$10*E$11))</f>
        <v>0</v>
      </c>
      <c r="R99">
        <f>IF( OR( F$10="д",F$10="l"),F$11/$B99,  IF( OR( F$10="g",F$10="п"),F$11*(LN($B99)+1),  $B99^(F$10-1)*F$10*F$11))</f>
        <v>92.539694999999995</v>
      </c>
      <c r="S99">
        <f>IF( OR( G$10="д",G$10="l"),G$11/$B99,  IF( OR( G$10="g",G$10="п"),G$11*(LN($B99)+1),  $B99^(G$10-1)*G$10*G$11))</f>
        <v>-146.42567177089362</v>
      </c>
      <c r="T99">
        <f>IF( OR( H$10="д",H$10="l"),H$11/$B99,  IF( OR( H$10="g",H$10="п"),H$11*(LN($B99)+1),  $B99^(H$10-1)*H$10*H$11))</f>
        <v>-19.007405405405432</v>
      </c>
      <c r="U99">
        <f>IF( OR( I$10="д",I$10="l"),I$11/$B99,  IF( OR( I$10="g",I$10="п"),I$11*(LN($B99)+1),  $B99^(I$10-1)*I$10*I$11))</f>
        <v>4.7978104023374861</v>
      </c>
      <c r="V99">
        <f>IF( OR( J$10="д",J$10="l"),J$11/$B99,  IF( OR( J$10="g",J$10="п"),J$11*(LN($B99)+1),  $B99^(J$10-1)*J$10*J$11))</f>
        <v>0</v>
      </c>
      <c r="W99">
        <f>IF( OR( K$10="д",K$10="l"),K$11/$B99,  IF( OR( K$10="g",K$10="п"),K$11*(LN($B99)+1),  $B99^(K$10-1)*K$10*K$11))</f>
        <v>0</v>
      </c>
      <c r="X99">
        <f>IF( OR( L$10="д",L$10="l"),L$11/$B99,  IF( OR( L$10="g",L$10="п"),L$11*(LN($B99)+1),  $B99^(L$10-1)*L$10*L$11))</f>
        <v>0</v>
      </c>
      <c r="Z99">
        <f>IF( OR( E$10="д",E$10="l"),E$11*LN($B99),  IF( OR( E$10="g",E$10="п"),E$11*$B99*LN($B99),  ($B99^E$10)*E$11))</f>
        <v>-6657.6530000000002</v>
      </c>
      <c r="AA99">
        <f>IF( OR( F$10="д",F$10="l"),F$11*LN($B99),  IF( OR( F$10="g",F$10="п"),F$11*$B99*LN($B99),  ($B99^F$10)*F$11))</f>
        <v>71530.683162162255</v>
      </c>
      <c r="AB99">
        <f>IF( OR( G$10="д",G$10="l"),G$11*LN($B99),  IF( OR( G$10="g",G$10="п"),G$11*$B99*LN($B99),  ($B99^G$10)*G$11))</f>
        <v>-98388.384125609809</v>
      </c>
      <c r="AC99">
        <f>IF( OR( H$10="д",H$10="l"),H$11*LN($B99),  IF( OR( H$10="g",H$10="п"),H$11*$B99*LN($B99),  ($B99^H$10)*H$11))</f>
        <v>-7346.1053323594078</v>
      </c>
      <c r="AD99">
        <f>IF( OR( I$10="д",I$10="l"),I$11*LN($B99),  IF( OR( I$10="g",I$10="п"),I$11*$B99*LN($B99),  ($B99^I$10)*I$11))</f>
        <v>1236.1925901518225</v>
      </c>
      <c r="AE99">
        <f>IF( OR( J$10="д",J$10="l"),J$11*LN($B99),  IF( OR( J$10="g",J$10="п"),J$11*$B99*LN($B99),  ($B99^J$10)*J$11))</f>
        <v>0</v>
      </c>
      <c r="AF99">
        <f>IF( OR( K$10="д",K$10="l"),K$11*LN($B99),  IF( OR( K$10="g",K$10="п"),K$11*$B99*LN($B99),  ($B99^K$10)*K$11))</f>
        <v>0</v>
      </c>
      <c r="AG99">
        <f>IF( OR( L$10="д",L$10="l"),L$11*LN($B99),  IF( OR( L$10="g",L$10="п"),L$11*$B99*LN($B99),  ($B99^L$10)*L$11))</f>
        <v>0</v>
      </c>
      <c r="AP99" s="8">
        <f>(H99-D99)</f>
        <v>33.699632350418781</v>
      </c>
      <c r="AQ99" s="8">
        <f>I99-E99</f>
        <v>50.452519942044098</v>
      </c>
      <c r="AR99" s="8">
        <f>(J99-F99)</f>
        <v>-5.2988019831613471</v>
      </c>
      <c r="AS99" s="8">
        <f>K99-G99</f>
        <v>265.57090417976201</v>
      </c>
      <c r="AT99" s="8">
        <f>H99-L99</f>
        <v>-12998.329492866575</v>
      </c>
      <c r="AU99" s="3">
        <f>I99-M99</f>
        <v>-2.3362107167828867</v>
      </c>
      <c r="AV99" s="8">
        <f>J99-N99</f>
        <v>39586.876858729862</v>
      </c>
      <c r="AX99" s="5"/>
    </row>
    <row r="100" spans="1:50" hidden="1" x14ac:dyDescent="0.35">
      <c r="A100" s="1" t="s">
        <v>0</v>
      </c>
      <c r="B100" s="4">
        <f>B99+($C$2-$C$1)/$C$48</f>
        <v>782.43243243243353</v>
      </c>
      <c r="C100" s="7">
        <f>B100/10000</f>
        <v>7.8243243243243346E-2</v>
      </c>
      <c r="D100" s="9">
        <f>10*$B$3*(C100*$G$3-$H$3*2/C100+$J$3*C100^2+$K$3*2*C100^3+$L$3*3*C100^4-$I$3+$E$3)</f>
        <v>-23.587351183306737</v>
      </c>
      <c r="E100" s="6">
        <f>$B$3*($F$3+$G$3+$G$3*LN(C100)-$H$3/C100^2+$J$3*2*C100+$K$3*3*C100^2+$L$3*4*C100^3)</f>
        <v>12.31343553898563</v>
      </c>
      <c r="F100" s="3">
        <f>($E$3-C100*($F$3+$G$3*LN(C100)+$H$3*C100^(-2)+$I$3*C100^(-1)+$J$3*C100+$K$3*C100^2+$L$3*C100^3))*$B$3*10</f>
        <v>-33.221782503675307</v>
      </c>
      <c r="G100" s="6">
        <f>$B$3*($G$3+2*$H$3*C100^(-2)+2*$J$3*C100+ 6*$K$3*C100^2+ 12*$L$3*C100^3)</f>
        <v>-252.91041881835889</v>
      </c>
      <c r="H100" s="9">
        <f>10*$B$3*(C100*$G$7-$H$7*2/C100+$J$7*C100^2+$K$7*2*C100^3+$L$7*3*C100^4-$I$7+$E$7)</f>
        <v>12.688199729729758</v>
      </c>
      <c r="I100" s="6">
        <f>$B$3*($F$7+$G$7+$G$7*LN(C100)-$H$7/C100^2+$J$7*2*C100+$K$7*3*C100^2+$L$7*4*C100^3)</f>
        <v>66.078044395440443</v>
      </c>
      <c r="J100" s="3">
        <f>($E$7-C100*($F$7+$G$7*LN(C100)+$H$7*C100^(-2)+$I$7*C100^(-1)+$J$7*C100+$K$7*C100^2+$L$7*C100^3))*$B$3*10</f>
        <v>-39.013405276973046</v>
      </c>
      <c r="K100" s="6">
        <f>$B$3*($G$7+2*$H$7*C100^(-2)+2*$J$7*C100+ 6*$K$7*C100^2+ 12*$L$7*C100^3)</f>
        <v>26.2</v>
      </c>
      <c r="L100" s="6">
        <f>N100+M100*B100</f>
        <v>13280.839131711167</v>
      </c>
      <c r="M100" s="6">
        <f>-SUM(Q100:X100)</f>
        <v>68.442841548238434</v>
      </c>
      <c r="N100" s="8">
        <f>SUM(Z100:AG100)</f>
        <v>-40271.059863464652</v>
      </c>
      <c r="O100" s="8"/>
      <c r="Q100">
        <f>IF( OR( E$10="д",E$10="l"),E$11/$B100,  IF( OR( E$10="g",E$10="п"),E$11*(LN($B100)+1),  $B100^(E$10-1)*E$10*E$11))</f>
        <v>0</v>
      </c>
      <c r="R100">
        <f>IF( OR( F$10="д",F$10="l"),F$11/$B100,  IF( OR( F$10="g",F$10="п"),F$11*(LN($B100)+1),  $B100^(F$10-1)*F$10*F$11))</f>
        <v>92.539694999999995</v>
      </c>
      <c r="S100">
        <f>IF( OR( G$10="д",G$10="l"),G$11/$B100,  IF( OR( G$10="g",G$10="п"),G$11*(LN($B100)+1),  $B100^(G$10-1)*G$10*G$11))</f>
        <v>-146.6584808966314</v>
      </c>
      <c r="T100">
        <f>IF( OR( H$10="д",H$10="l"),H$11/$B100,  IF( OR( H$10="g",H$10="п"),H$11*(LN($B100)+1),  $B100^(H$10-1)*H$10*H$11))</f>
        <v>-19.240013513513542</v>
      </c>
      <c r="U100">
        <f>IF( OR( I$10="д",I$10="l"),I$11/$B100,  IF( OR( I$10="g",I$10="п"),I$11*(LN($B100)+1),  $B100^(I$10-1)*I$10*I$11))</f>
        <v>4.9159578619065147</v>
      </c>
      <c r="V100">
        <f>IF( OR( J$10="д",J$10="l"),J$11/$B100,  IF( OR( J$10="g",J$10="п"),J$11*(LN($B100)+1),  $B100^(J$10-1)*J$10*J$11))</f>
        <v>0</v>
      </c>
      <c r="W100">
        <f>IF( OR( K$10="д",K$10="l"),K$11/$B100,  IF( OR( K$10="g",K$10="п"),K$11*(LN($B100)+1),  $B100^(K$10-1)*K$10*K$11))</f>
        <v>0</v>
      </c>
      <c r="X100">
        <f>IF( OR( L$10="д",L$10="l"),L$11/$B100,  IF( OR( L$10="g",L$10="п"),L$11*(LN($B100)+1),  $B100^(L$10-1)*L$10*L$11))</f>
        <v>0</v>
      </c>
      <c r="Z100">
        <f>IF( OR( E$10="д",E$10="l"),E$11*LN($B100),  IF( OR( E$10="g",E$10="п"),E$11*$B100*LN($B100),  ($B100^E$10)*E$11))</f>
        <v>-6657.6530000000002</v>
      </c>
      <c r="AA100">
        <f>IF( OR( F$10="д",F$10="l"),F$11*LN($B100),  IF( OR( F$10="g",F$10="п"),F$11*$B100*LN($B100),  ($B100^F$10)*F$11))</f>
        <v>72406.058655405504</v>
      </c>
      <c r="AB100">
        <f>IF( OR( G$10="д",G$10="l"),G$11*LN($B100),  IF( OR( G$10="g",G$10="п"),G$11*$B100*LN($B100),  ($B100^G$10)*G$11))</f>
        <v>-99774.595188040126</v>
      </c>
      <c r="AC100">
        <f>IF( OR( H$10="д",H$10="l"),H$11*LN($B100),  IF( OR( H$10="g",H$10="п"),H$11*$B100*LN($B100),  ($B100^H$10)*H$11))</f>
        <v>-7527.0052867056456</v>
      </c>
      <c r="AD100">
        <f>IF( OR( I$10="д",I$10="l"),I$11*LN($B100),  IF( OR( I$10="g",I$10="п"),I$11*$B100*LN($B100),  ($B100^I$10)*I$11))</f>
        <v>1282.1349558756199</v>
      </c>
      <c r="AE100">
        <f>IF( OR( J$10="д",J$10="l"),J$11*LN($B100),  IF( OR( J$10="g",J$10="п"),J$11*$B100*LN($B100),  ($B100^J$10)*J$11))</f>
        <v>0</v>
      </c>
      <c r="AF100">
        <f>IF( OR( K$10="д",K$10="l"),K$11*LN($B100),  IF( OR( K$10="g",K$10="п"),K$11*$B100*LN($B100),  ($B100^K$10)*K$11))</f>
        <v>0</v>
      </c>
      <c r="AG100">
        <f>IF( OR( L$10="д",L$10="l"),L$11*LN($B100),  IF( OR( L$10="g",L$10="п"),L$11*$B100*LN($B100),  ($B100^L$10)*L$11))</f>
        <v>0</v>
      </c>
      <c r="AP100" s="8">
        <f>(H100-D100)</f>
        <v>36.275550913036497</v>
      </c>
      <c r="AQ100" s="8">
        <f>I100-E100</f>
        <v>53.764608856454814</v>
      </c>
      <c r="AR100" s="8">
        <f>(J100-F100)</f>
        <v>-5.791622773297739</v>
      </c>
      <c r="AS100" s="8">
        <f>K100-G100</f>
        <v>279.11041881835888</v>
      </c>
      <c r="AT100" s="8">
        <f>H100-L100</f>
        <v>-13268.150931981438</v>
      </c>
      <c r="AU100" s="3">
        <f>I100-M100</f>
        <v>-2.3647971527979905</v>
      </c>
      <c r="AV100" s="8">
        <f>J100-N100</f>
        <v>40232.04645818768</v>
      </c>
      <c r="AX100" s="5"/>
    </row>
    <row r="101" spans="1:50" hidden="1" x14ac:dyDescent="0.35">
      <c r="A101" s="1" t="s">
        <v>0</v>
      </c>
      <c r="B101" s="4">
        <f>B100+($C$2-$C$1)/$C$48</f>
        <v>791.89189189189301</v>
      </c>
      <c r="C101" s="7">
        <f>B101/10000</f>
        <v>7.9189189189189296E-2</v>
      </c>
      <c r="D101" s="9">
        <f>10*$B$3*(C101*$G$3-$H$3*2/C101+$J$3*C101^2+$K$3*2*C101^3+$L$3*3*C101^4-$I$3+$E$3)</f>
        <v>-26.045170426499833</v>
      </c>
      <c r="E101" s="6">
        <f>$B$3*($F$3+$G$3+$G$3*LN(C101)-$H$3/C101^2+$J$3*2*C101+$K$3*3*C101^2+$L$3*4*C101^3)</f>
        <v>9.1911853222463034</v>
      </c>
      <c r="F101" s="3">
        <f>($E$3-C101*($F$3+$G$3*LN(C101)+$H$3*C101^(-2)+$I$3*C101^(-1)+$J$3*C101+$K$3*C101^2+$L$3*C101^3))*$B$3*10</f>
        <v>-33.3235955600625</v>
      </c>
      <c r="G101" s="6">
        <f>$B$3*($G$3+2*$H$3*C101^(-2)+2*$J$3*C101+ 6*$K$3*C101^2+ 12*$L$3*C101^3)</f>
        <v>-266.80140947461058</v>
      </c>
      <c r="H101" s="9">
        <f>10*$B$3*(C101*$G$7-$H$7*2/C101+$J$7*C101^2+$K$7*2*C101^3+$L$7*3*C101^4-$I$7+$E$7)</f>
        <v>12.936037567567597</v>
      </c>
      <c r="I101" s="6">
        <f>$B$3*($F$7+$G$7+$G$7*LN(C101)-$H$7/C101^2+$J$7*2*C101+$K$7*3*C101^2+$L$7*4*C101^3)</f>
        <v>66.392897969945707</v>
      </c>
      <c r="J101" s="3">
        <f>($E$7-C101*($F$7+$G$7*LN(C101)+$H$7*C101^(-2)+$I$7*C101^(-1)+$J$7*C101+$K$7*C101^2+$L$7*C101^3))*$B$3*10</f>
        <v>-39.639960014038131</v>
      </c>
      <c r="K101" s="6">
        <f>$B$3*($G$7+2*$H$7*C101^(-2)+2*$J$7*C101+ 6*$K$7*C101^2+ 12*$L$7*C101^3)</f>
        <v>26.2</v>
      </c>
      <c r="L101" s="6">
        <f>N101+M101*B101</f>
        <v>13550.859939544767</v>
      </c>
      <c r="M101" s="6">
        <f>-SUM(Q101:X101)</f>
        <v>68.785876481259024</v>
      </c>
      <c r="N101" s="8">
        <f>SUM(Z101:AG101)</f>
        <v>-40920.117922641512</v>
      </c>
      <c r="O101" s="8"/>
      <c r="Q101">
        <f>IF( OR( E$10="д",E$10="l"),E$11/$B101,  IF( OR( E$10="g",E$10="п"),E$11*(LN($B101)+1),  $B101^(E$10-1)*E$10*E$11))</f>
        <v>0</v>
      </c>
      <c r="R101">
        <f>IF( OR( F$10="д",F$10="l"),F$11/$B101,  IF( OR( F$10="g",F$10="п"),F$11*(LN($B101)+1),  $B101^(F$10-1)*F$10*F$11))</f>
        <v>92.539694999999995</v>
      </c>
      <c r="S101">
        <f>IF( OR( G$10="д",G$10="l"),G$11/$B101,  IF( OR( G$10="g",G$10="п"),G$11*(LN($B101)+1),  $B101^(G$10-1)*G$10*G$11))</f>
        <v>-146.8884922483883</v>
      </c>
      <c r="T101">
        <f>IF( OR( H$10="д",H$10="l"),H$11/$B101,  IF( OR( H$10="g",H$10="п"),H$11*(LN($B101)+1),  $B101^(H$10-1)*H$10*H$11))</f>
        <v>-19.472621621621649</v>
      </c>
      <c r="U101">
        <f>IF( OR( I$10="д",I$10="l"),I$11/$B101,  IF( OR( I$10="g",I$10="п"),I$11*(LN($B101)+1),  $B101^(I$10-1)*I$10*I$11))</f>
        <v>5.035542388750927</v>
      </c>
      <c r="V101">
        <f>IF( OR( J$10="д",J$10="l"),J$11/$B101,  IF( OR( J$10="g",J$10="п"),J$11*(LN($B101)+1),  $B101^(J$10-1)*J$10*J$11))</f>
        <v>0</v>
      </c>
      <c r="W101">
        <f>IF( OR( K$10="д",K$10="l"),K$11/$B101,  IF( OR( K$10="g",K$10="п"),K$11*(LN($B101)+1),  $B101^(K$10-1)*K$10*K$11))</f>
        <v>0</v>
      </c>
      <c r="X101">
        <f>IF( OR( L$10="д",L$10="l"),L$11/$B101,  IF( OR( L$10="g",L$10="п"),L$11*(LN($B101)+1),  $B101^(L$10-1)*L$10*L$11))</f>
        <v>0</v>
      </c>
      <c r="Z101">
        <f>IF( OR( E$10="д",E$10="l"),E$11*LN($B101),  IF( OR( E$10="g",E$10="п"),E$11*$B101*LN($B101),  ($B101^E$10)*E$11))</f>
        <v>-6657.6530000000002</v>
      </c>
      <c r="AA101">
        <f>IF( OR( F$10="д",F$10="l"),F$11*LN($B101),  IF( OR( F$10="g",F$10="п"),F$11*$B101*LN($B101),  ($B101^F$10)*F$11))</f>
        <v>73281.434148648754</v>
      </c>
      <c r="AB101">
        <f>IF( OR( G$10="д",G$10="l"),G$11*LN($B101),  IF( OR( G$10="g",G$10="п"),G$11*$B101*LN($B101),  ($B101^G$10)*G$11))</f>
        <v>-101162.99521291305</v>
      </c>
      <c r="AC101">
        <f>IF( OR( H$10="д",H$10="l"),H$11*LN($B101),  IF( OR( H$10="g",H$10="п"),H$11*$B101*LN($B101),  ($B101^H$10)*H$11))</f>
        <v>-7710.1055880204749</v>
      </c>
      <c r="AD101">
        <f>IF( OR( I$10="д",I$10="l"),I$11*LN($B101),  IF( OR( I$10="g",I$10="п"),I$11*$B101*LN($B101),  ($B101^I$10)*I$11))</f>
        <v>1329.2017296432646</v>
      </c>
      <c r="AE101">
        <f>IF( OR( J$10="д",J$10="l"),J$11*LN($B101),  IF( OR( J$10="g",J$10="п"),J$11*$B101*LN($B101),  ($B101^J$10)*J$11))</f>
        <v>0</v>
      </c>
      <c r="AF101">
        <f>IF( OR( K$10="д",K$10="l"),K$11*LN($B101),  IF( OR( K$10="g",K$10="п"),K$11*$B101*LN($B101),  ($B101^K$10)*K$11))</f>
        <v>0</v>
      </c>
      <c r="AG101">
        <f>IF( OR( L$10="д",L$10="l"),L$11*LN($B101),  IF( OR( L$10="g",L$10="п"),L$11*$B101*LN($B101),  ($B101^L$10)*L$11))</f>
        <v>0</v>
      </c>
      <c r="AP101" s="8">
        <f>(H101-D101)</f>
        <v>38.981207994067432</v>
      </c>
      <c r="AQ101" s="8">
        <f>I101-E101</f>
        <v>57.201712647699402</v>
      </c>
      <c r="AR101" s="8">
        <f>(J101-F101)</f>
        <v>-6.3163644539756305</v>
      </c>
      <c r="AS101" s="8">
        <f>K101-G101</f>
        <v>293.00140947461057</v>
      </c>
      <c r="AT101" s="8">
        <f>H101-L101</f>
        <v>-13537.923901977199</v>
      </c>
      <c r="AU101" s="3">
        <f>I101-M101</f>
        <v>-2.3929785113133164</v>
      </c>
      <c r="AV101" s="8">
        <f>J101-N101</f>
        <v>40880.477962627476</v>
      </c>
      <c r="AX101" s="5"/>
    </row>
    <row r="102" spans="1:50" hidden="1" x14ac:dyDescent="0.35">
      <c r="A102" s="1" t="s">
        <v>0</v>
      </c>
      <c r="B102" s="4">
        <f>B101+($C$2-$C$1)/$C$48</f>
        <v>801.35135135135249</v>
      </c>
      <c r="C102" s="7">
        <f>B102/10000</f>
        <v>8.0135135135135246E-2</v>
      </c>
      <c r="D102" s="9">
        <f>10*$B$3*(C102*$G$3-$H$3*2/C102+$J$3*C102^2+$K$3*2*C102^3+$L$3*3*C102^4-$I$3+$E$3)</f>
        <v>-28.636055066774727</v>
      </c>
      <c r="E102" s="6">
        <f>$B$3*($F$3+$G$3+$G$3*LN(C102)-$H$3/C102^2+$J$3*2*C102+$K$3*3*C102^2+$L$3*4*C102^3)</f>
        <v>5.938974119479294</v>
      </c>
      <c r="F102" s="3">
        <f>($E$3-C102*($F$3+$G$3*LN(C102)+$H$3*C102^(-2)+$I$3*C102^(-1)+$J$3*C102+$K$3*C102^2+$L$3*C102^3))*$B$3*10</f>
        <v>-33.395260003060272</v>
      </c>
      <c r="G102" s="6">
        <f>$B$3*($G$3+2*$H$3*C102^(-2)+2*$J$3*C102+ 6*$K$3*C102^2+ 12*$L$3*C102^3)</f>
        <v>-281.044316903104</v>
      </c>
      <c r="H102" s="9">
        <f>10*$B$3*(C102*$G$7-$H$7*2/C102+$J$7*C102^2+$K$7*2*C102^3+$L$7*3*C102^4-$I$7+$E$7)</f>
        <v>13.183875405405434</v>
      </c>
      <c r="I102" s="6">
        <f>$B$3*($F$7+$G$7+$G$7*LN(C102)-$H$7/C102^2+$J$7*2*C102+$K$7*3*C102^2+$L$7*4*C102^3)</f>
        <v>66.704012736768391</v>
      </c>
      <c r="J102" s="3">
        <f>($E$7-C102*($F$7+$G$7*LN(C102)+$H$7*C102^(-2)+$I$7*C102^(-1)+$J$7*C102+$K$7*C102^2+$L$7*C102^3))*$B$3*10</f>
        <v>-40.269475341761733</v>
      </c>
      <c r="K102" s="6">
        <f>$B$3*($G$7+2*$H$7*C102^(-2)+2*$J$7*C102+ 6*$K$7*C102^2+ 12*$L$7*C102^3)</f>
        <v>26.2</v>
      </c>
      <c r="L102" s="6">
        <f>N102+M102*B102</f>
        <v>13820.805090499976</v>
      </c>
      <c r="M102" s="6">
        <f>-SUM(Q102:X102)</f>
        <v>69.124743019559787</v>
      </c>
      <c r="N102" s="8">
        <f>SUM(Z102:AG102)</f>
        <v>-41572.401140039226</v>
      </c>
      <c r="O102" s="8"/>
      <c r="Q102">
        <f>IF( OR( E$10="д",E$10="l"),E$11/$B102,  IF( OR( E$10="g",E$10="п"),E$11*(LN($B102)+1),  $B102^(E$10-1)*E$10*E$11))</f>
        <v>0</v>
      </c>
      <c r="R102">
        <f>IF( OR( F$10="д",F$10="l"),F$11/$B102,  IF( OR( F$10="g",F$10="п"),F$11*(LN($B102)+1),  $B102^(F$10-1)*F$10*F$11))</f>
        <v>92.539694999999995</v>
      </c>
      <c r="S102">
        <f>IF( OR( G$10="д",G$10="l"),G$11/$B102,  IF( OR( G$10="g",G$10="п"),G$11*(LN($B102)+1),  $B102^(G$10-1)*G$10*G$11))</f>
        <v>-147.11577227270075</v>
      </c>
      <c r="T102">
        <f>IF( OR( H$10="д",H$10="l"),H$11/$B102,  IF( OR( H$10="g",H$10="п"),H$11*(LN($B102)+1),  $B102^(H$10-1)*H$10*H$11))</f>
        <v>-19.705229729729759</v>
      </c>
      <c r="U102">
        <f>IF( OR( I$10="д",I$10="l"),I$11/$B102,  IF( OR( I$10="g",I$10="п"),I$11*(LN($B102)+1),  $B102^(I$10-1)*I$10*I$11))</f>
        <v>5.1565639828707237</v>
      </c>
      <c r="V102">
        <f>IF( OR( J$10="д",J$10="l"),J$11/$B102,  IF( OR( J$10="g",J$10="п"),J$11*(LN($B102)+1),  $B102^(J$10-1)*J$10*J$11))</f>
        <v>0</v>
      </c>
      <c r="W102">
        <f>IF( OR( K$10="д",K$10="l"),K$11/$B102,  IF( OR( K$10="g",K$10="п"),K$11*(LN($B102)+1),  $B102^(K$10-1)*K$10*K$11))</f>
        <v>0</v>
      </c>
      <c r="X102">
        <f>IF( OR( L$10="д",L$10="l"),L$11/$B102,  IF( OR( L$10="g",L$10="п"),L$11*(LN($B102)+1),  $B102^(L$10-1)*L$10*L$11))</f>
        <v>0</v>
      </c>
      <c r="Z102">
        <f>IF( OR( E$10="д",E$10="l"),E$11*LN($B102),  IF( OR( E$10="g",E$10="п"),E$11*$B102*LN($B102),  ($B102^E$10)*E$11))</f>
        <v>-6657.6530000000002</v>
      </c>
      <c r="AA102">
        <f>IF( OR( F$10="д",F$10="l"),F$11*LN($B102),  IF( OR( F$10="g",F$10="п"),F$11*$B102*LN($B102),  ($B102^F$10)*F$11))</f>
        <v>74156.809641891989</v>
      </c>
      <c r="AB102">
        <f>IF( OR( G$10="д",G$10="l"),G$11*LN($B102),  IF( OR( G$10="g",G$10="п"),G$11*$B102*LN($B102),  ($B102^G$10)*G$11))</f>
        <v>-102553.5580509617</v>
      </c>
      <c r="AC102">
        <f>IF( OR( H$10="д",H$10="l"),H$11*LN($B102),  IF( OR( H$10="g",H$10="п"),H$11*$B102*LN($B102),  ($B102^H$10)*H$11))</f>
        <v>-7895.4062363038947</v>
      </c>
      <c r="AD102">
        <f>IF( OR( I$10="д",I$10="l"),I$11*LN($B102),  IF( OR( I$10="g",I$10="п"),I$11*$B102*LN($B102),  ($B102^I$10)*I$11))</f>
        <v>1377.4065053343888</v>
      </c>
      <c r="AE102">
        <f>IF( OR( J$10="д",J$10="l"),J$11*LN($B102),  IF( OR( J$10="g",J$10="п"),J$11*$B102*LN($B102),  ($B102^J$10)*J$11))</f>
        <v>0</v>
      </c>
      <c r="AF102">
        <f>IF( OR( K$10="д",K$10="l"),K$11*LN($B102),  IF( OR( K$10="g",K$10="п"),K$11*$B102*LN($B102),  ($B102^K$10)*K$11))</f>
        <v>0</v>
      </c>
      <c r="AG102">
        <f>IF( OR( L$10="д",L$10="l"),L$11*LN($B102),  IF( OR( L$10="g",L$10="п"),L$11*$B102*LN($B102),  ($B102^L$10)*L$11))</f>
        <v>0</v>
      </c>
      <c r="AP102" s="8">
        <f>(H102-D102)</f>
        <v>41.819930472180161</v>
      </c>
      <c r="AQ102" s="8">
        <f>I102-E102</f>
        <v>60.765038617289093</v>
      </c>
      <c r="AR102" s="8">
        <f>(J102-F102)</f>
        <v>-6.8742153387014611</v>
      </c>
      <c r="AS102" s="8">
        <f>K102-G102</f>
        <v>307.24431690310399</v>
      </c>
      <c r="AT102" s="8">
        <f>H102-L102</f>
        <v>-13807.62121509457</v>
      </c>
      <c r="AU102" s="3">
        <f>I102-M102</f>
        <v>-2.4207302827913963</v>
      </c>
      <c r="AV102" s="8">
        <f>J102-N102</f>
        <v>41532.131664697466</v>
      </c>
      <c r="AX102" s="5"/>
    </row>
    <row r="103" spans="1:50" hidden="1" x14ac:dyDescent="0.35">
      <c r="A103" s="1" t="s">
        <v>0</v>
      </c>
      <c r="B103" s="4">
        <f>B102+($C$2-$C$1)/$C$48</f>
        <v>810.81081081081197</v>
      </c>
      <c r="C103" s="7">
        <f>B103/10000</f>
        <v>8.1081081081081197E-2</v>
      </c>
      <c r="D103" s="9">
        <f>10*$B$3*(C103*$G$3-$H$3*2/C103+$J$3*C103^2+$K$3*2*C103^3+$L$3*3*C103^4-$I$3+$E$3)</f>
        <v>-31.363336029765335</v>
      </c>
      <c r="E103" s="6">
        <f>$B$3*($F$3+$G$3+$G$3*LN(C103)-$H$3/C103^2+$J$3*2*C103+$K$3*3*C103^2+$L$3*4*C103^3)</f>
        <v>2.5557198673550232</v>
      </c>
      <c r="F103" s="3">
        <f>($E$3-C103*($F$3+$G$3*LN(C103)+$H$3*C103^(-2)+$I$3*C103^(-1)+$J$3*C103+$K$3*C103^2+$L$3*C103^3))*$B$3*10</f>
        <v>-33.435541327620804</v>
      </c>
      <c r="G103" s="6">
        <f>$B$3*($G$3+2*$H$3*C103^(-2)+2*$J$3*C103+ 6*$K$3*C103^2+ 12*$L$3*C103^3)</f>
        <v>-295.63955629862164</v>
      </c>
      <c r="H103" s="9">
        <f>10*$B$3*(C103*$G$7-$H$7*2/C103+$J$7*C103^2+$K$7*2*C103^3+$L$7*3*C103^4-$I$7+$E$7)</f>
        <v>13.431713243243273</v>
      </c>
      <c r="I103" s="6">
        <f>$B$3*($F$7+$G$7+$G$7*LN(C103)-$H$7/C103^2+$J$7*2*C103+$K$7*3*C103^2+$L$7*4*C103^3)</f>
        <v>67.011476449691003</v>
      </c>
      <c r="J103" s="3">
        <f>($E$7-C103*($F$7+$G$7*LN(C103)+$H$7*C103^(-2)+$I$7*C103^(-1)+$J$7*C103+$K$7*C103^2+$L$7*C103^3))*$B$3*10</f>
        <v>-40.901916310560324</v>
      </c>
      <c r="K103" s="6">
        <f>$B$3*($G$7+2*$H$7*C103^(-2)+2*$J$7*C103+ 6*$K$7*C103^2+ 12*$L$7*C103^3)</f>
        <v>26.2</v>
      </c>
      <c r="L103" s="6">
        <f>N103+M103*B103</f>
        <v>14090.647396817578</v>
      </c>
      <c r="M103" s="6">
        <f>-SUM(Q103:X103)</f>
        <v>69.459505270293292</v>
      </c>
      <c r="N103" s="8">
        <f>SUM(Z103:AG103)</f>
        <v>-42227.870389906791</v>
      </c>
      <c r="O103" s="8"/>
      <c r="Q103">
        <f>IF( OR( E$10="д",E$10="l"),E$11/$B103,  IF( OR( E$10="g",E$10="п"),E$11*(LN($B103)+1),  $B103^(E$10-1)*E$10*E$11))</f>
        <v>0</v>
      </c>
      <c r="R103">
        <f>IF( OR( F$10="д",F$10="l"),F$11/$B103,  IF( OR( F$10="g",F$10="п"),F$11*(LN($B103)+1),  $B103^(F$10-1)*F$10*F$11))</f>
        <v>92.539694999999995</v>
      </c>
      <c r="S103">
        <f>IF( OR( G$10="д",G$10="l"),G$11/$B103,  IF( OR( G$10="g",G$10="п"),G$11*(LN($B103)+1),  $B103^(G$10-1)*G$10*G$11))</f>
        <v>-147.34038507672133</v>
      </c>
      <c r="T103">
        <f>IF( OR( H$10="д",H$10="l"),H$11/$B103,  IF( OR( H$10="g",H$10="п"),H$11*(LN($B103)+1),  $B103^(H$10-1)*H$10*H$11))</f>
        <v>-19.937837837837868</v>
      </c>
      <c r="U103">
        <f>IF( OR( I$10="д",I$10="l"),I$11/$B103,  IF( OR( I$10="g",I$10="п"),I$11*(LN($B103)+1),  $B103^(I$10-1)*I$10*I$11))</f>
        <v>5.2790226442659023</v>
      </c>
      <c r="V103">
        <f>IF( OR( J$10="д",J$10="l"),J$11/$B103,  IF( OR( J$10="g",J$10="п"),J$11*(LN($B103)+1),  $B103^(J$10-1)*J$10*J$11))</f>
        <v>0</v>
      </c>
      <c r="W103">
        <f>IF( OR( K$10="д",K$10="l"),K$11/$B103,  IF( OR( K$10="g",K$10="п"),K$11*(LN($B103)+1),  $B103^(K$10-1)*K$10*K$11))</f>
        <v>0</v>
      </c>
      <c r="X103">
        <f>IF( OR( L$10="д",L$10="l"),L$11/$B103,  IF( OR( L$10="g",L$10="п"),L$11*(LN($B103)+1),  $B103^(L$10-1)*L$10*L$11))</f>
        <v>0</v>
      </c>
      <c r="Z103">
        <f>IF( OR( E$10="д",E$10="l"),E$11*LN($B103),  IF( OR( E$10="g",E$10="п"),E$11*$B103*LN($B103),  ($B103^E$10)*E$11))</f>
        <v>-6657.6530000000002</v>
      </c>
      <c r="AA103">
        <f>IF( OR( F$10="д",F$10="l"),F$11*LN($B103),  IF( OR( F$10="g",F$10="п"),F$11*$B103*LN($B103),  ($B103^F$10)*F$11))</f>
        <v>75032.185135135238</v>
      </c>
      <c r="AB103">
        <f>IF( OR( G$10="д",G$10="l"),G$11*LN($B103),  IF( OR( G$10="g",G$10="п"),G$11*$B103*LN($B103),  ($B103^G$10)*G$11))</f>
        <v>-103946.25817031474</v>
      </c>
      <c r="AC103">
        <f>IF( OR( H$10="д",H$10="l"),H$11*LN($B103),  IF( OR( H$10="g",H$10="п"),H$11*$B103*LN($B103),  ($B103^H$10)*H$11))</f>
        <v>-8082.9072315559033</v>
      </c>
      <c r="AD103">
        <f>IF( OR( I$10="д",I$10="l"),I$11*LN($B103),  IF( OR( I$10="g",I$10="п"),I$11*$B103*LN($B103),  ($B103^I$10)*I$11))</f>
        <v>1426.7628768286243</v>
      </c>
      <c r="AE103">
        <f>IF( OR( J$10="д",J$10="l"),J$11*LN($B103),  IF( OR( J$10="g",J$10="п"),J$11*$B103*LN($B103),  ($B103^J$10)*J$11))</f>
        <v>0</v>
      </c>
      <c r="AF103">
        <f>IF( OR( K$10="д",K$10="l"),K$11*LN($B103),  IF( OR( K$10="g",K$10="п"),K$11*$B103*LN($B103),  ($B103^K$10)*K$11))</f>
        <v>0</v>
      </c>
      <c r="AG103">
        <f>IF( OR( L$10="д",L$10="l"),L$11*LN($B103),  IF( OR( L$10="g",L$10="п"),L$11*$B103*LN($B103),  ($B103^L$10)*L$11))</f>
        <v>0</v>
      </c>
      <c r="AP103" s="8">
        <f>(H103-D103)</f>
        <v>44.795049273008608</v>
      </c>
      <c r="AQ103" s="8">
        <f>I103-E103</f>
        <v>64.455756582335979</v>
      </c>
      <c r="AR103" s="8">
        <f>(J103-F103)</f>
        <v>-7.4663749829395201</v>
      </c>
      <c r="AS103" s="8">
        <f>K103-G103</f>
        <v>321.83955629862163</v>
      </c>
      <c r="AT103" s="8">
        <f>H103-L103</f>
        <v>-14077.215683574335</v>
      </c>
      <c r="AU103" s="3">
        <f>I103-M103</f>
        <v>-2.4480288206022891</v>
      </c>
      <c r="AV103" s="8">
        <f>J103-N103</f>
        <v>42186.968473596229</v>
      </c>
      <c r="AX103" s="5"/>
    </row>
    <row r="104" spans="1:50" hidden="1" x14ac:dyDescent="0.35">
      <c r="A104" s="1" t="s">
        <v>0</v>
      </c>
      <c r="B104" s="4">
        <f>B103+($C$2-$C$1)/$C$48</f>
        <v>820.27027027027145</v>
      </c>
      <c r="C104" s="7">
        <f>B104/10000</f>
        <v>8.2027027027027147E-2</v>
      </c>
      <c r="D104" s="9">
        <f>10*$B$3*(C104*$G$3-$H$3*2/C104+$J$3*C104^2+$K$3*2*C104^3+$L$3*3*C104^4-$I$3+$E$3)</f>
        <v>-34.230348054719229</v>
      </c>
      <c r="E104" s="6">
        <f>$B$3*($F$3+$G$3+$G$3*LN(C104)-$H$3/C104^2+$J$3*2*C104+$K$3*3*C104^2+$L$3*4*C104^3)</f>
        <v>-0.95962651982500413</v>
      </c>
      <c r="F104" s="3">
        <f>($E$3-C104*($F$3+$G$3*LN(C104)+$H$3*C104^(-2)+$I$3*C104^(-1)+$J$3*C104+$K$3*C104^2+$L$3*C104^3))*$B$3*10</f>
        <v>-33.443194949943809</v>
      </c>
      <c r="G104" s="6">
        <f>$B$3*($G$3+2*$H$3*C104^(-2)+2*$J$3*C104+ 6*$K$3*C104^2+ 12*$L$3*C104^3)</f>
        <v>-310.58751905441682</v>
      </c>
      <c r="H104" s="9">
        <f>10*$B$3*(C104*$G$7-$H$7*2/C104+$J$7*C104^2+$K$7*2*C104^3+$L$7*3*C104^4-$I$7+$E$7)</f>
        <v>13.679551081081113</v>
      </c>
      <c r="I104" s="6">
        <f>$B$3*($F$7+$G$7+$G$7*LN(C104)-$H$7/C104^2+$J$7*2*C104+$K$7*3*C104^2+$L$7*4*C104^3)</f>
        <v>67.315373808786831</v>
      </c>
      <c r="J104" s="3">
        <f>($E$7-C104*($F$7+$G$7*LN(C104)+$H$7*C104^(-2)+$I$7*C104^(-1)+$J$7*C104+$K$7*C104^2+$L$7*C104^3))*$B$3*10</f>
        <v>-41.537248786396816</v>
      </c>
      <c r="K104" s="6">
        <f>$B$3*($G$7+2*$H$7*C104^(-2)+2*$J$7*C104+ 6*$K$7*C104^2+ 12*$L$7*C104^3)</f>
        <v>26.2</v>
      </c>
      <c r="L104" s="6">
        <f>N104+M104*B104</f>
        <v>14360.359670738297</v>
      </c>
      <c r="M104" s="6">
        <f>-SUM(Q104:X104)</f>
        <v>69.790225109772607</v>
      </c>
      <c r="N104" s="8">
        <f>SUM(Z104:AG104)</f>
        <v>-42886.487142277962</v>
      </c>
      <c r="O104" s="8"/>
      <c r="Q104">
        <f>IF( OR( E$10="д",E$10="l"),E$11/$B104,  IF( OR( E$10="g",E$10="п"),E$11*(LN($B104)+1),  $B104^(E$10-1)*E$10*E$11))</f>
        <v>0</v>
      </c>
      <c r="R104">
        <f>IF( OR( F$10="д",F$10="l"),F$11/$B104,  IF( OR( F$10="g",F$10="п"),F$11*(LN($B104)+1),  $B104^(F$10-1)*F$10*F$11))</f>
        <v>92.539694999999995</v>
      </c>
      <c r="S104">
        <f>IF( OR( G$10="д",G$10="l"),G$11/$B104,  IF( OR( G$10="g",G$10="п"),G$11*(LN($B104)+1),  $B104^(G$10-1)*G$10*G$11))</f>
        <v>-147.5623925367631</v>
      </c>
      <c r="T104">
        <f>IF( OR( H$10="д",H$10="l"),H$11/$B104,  IF( OR( H$10="g",H$10="п"),H$11*(LN($B104)+1),  $B104^(H$10-1)*H$10*H$11))</f>
        <v>-20.170445945945975</v>
      </c>
      <c r="U104">
        <f>IF( OR( I$10="д",I$10="l"),I$11/$B104,  IF( OR( I$10="g",I$10="п"),I$11*(LN($B104)+1),  $B104^(I$10-1)*I$10*I$11))</f>
        <v>5.4029183729364645</v>
      </c>
      <c r="V104">
        <f>IF( OR( J$10="д",J$10="l"),J$11/$B104,  IF( OR( J$10="g",J$10="п"),J$11*(LN($B104)+1),  $B104^(J$10-1)*J$10*J$11))</f>
        <v>0</v>
      </c>
      <c r="W104">
        <f>IF( OR( K$10="д",K$10="l"),K$11/$B104,  IF( OR( K$10="g",K$10="п"),K$11*(LN($B104)+1),  $B104^(K$10-1)*K$10*K$11))</f>
        <v>0</v>
      </c>
      <c r="X104">
        <f>IF( OR( L$10="д",L$10="l"),L$11/$B104,  IF( OR( L$10="g",L$10="п"),L$11*(LN($B104)+1),  $B104^(L$10-1)*L$10*L$11))</f>
        <v>0</v>
      </c>
      <c r="Z104">
        <f>IF( OR( E$10="д",E$10="l"),E$11*LN($B104),  IF( OR( E$10="g",E$10="п"),E$11*$B104*LN($B104),  ($B104^E$10)*E$11))</f>
        <v>-6657.6530000000002</v>
      </c>
      <c r="AA104">
        <f>IF( OR( F$10="д",F$10="l"),F$11*LN($B104),  IF( OR( F$10="g",F$10="п"),F$11*$B104*LN($B104),  ($B104^F$10)*F$11))</f>
        <v>75907.560628378487</v>
      </c>
      <c r="AB104">
        <f>IF( OR( G$10="д",G$10="l"),G$11*LN($B104),  IF( OR( G$10="g",G$10="п"),G$11*$B104*LN($B104),  ($B104^G$10)*G$11))</f>
        <v>-105341.07063488555</v>
      </c>
      <c r="AC104">
        <f>IF( OR( H$10="д",H$10="l"),H$11*LN($B104),  IF( OR( H$10="g",H$10="п"),H$11*$B104*LN($B104),  ($B104^H$10)*H$11))</f>
        <v>-8272.6085737765025</v>
      </c>
      <c r="AD104">
        <f>IF( OR( I$10="д",I$10="l"),I$11*LN($B104),  IF( OR( I$10="g",I$10="п"),I$11*$B104*LN($B104),  ($B104^I$10)*I$11))</f>
        <v>1477.2844380056031</v>
      </c>
      <c r="AE104">
        <f>IF( OR( J$10="д",J$10="l"),J$11*LN($B104),  IF( OR( J$10="g",J$10="п"),J$11*$B104*LN($B104),  ($B104^J$10)*J$11))</f>
        <v>0</v>
      </c>
      <c r="AF104">
        <f>IF( OR( K$10="д",K$10="l"),K$11*LN($B104),  IF( OR( K$10="g",K$10="п"),K$11*$B104*LN($B104),  ($B104^K$10)*K$11))</f>
        <v>0</v>
      </c>
      <c r="AG104">
        <f>IF( OR( L$10="д",L$10="l"),L$11*LN($B104),  IF( OR( L$10="g",L$10="п"),L$11*$B104*LN($B104),  ($B104^L$10)*L$11))</f>
        <v>0</v>
      </c>
      <c r="AP104" s="8">
        <f>(H104-D104)</f>
        <v>47.909899135800345</v>
      </c>
      <c r="AQ104" s="8">
        <f>I104-E104</f>
        <v>68.275000328611839</v>
      </c>
      <c r="AR104" s="8">
        <f>(J104-F104)</f>
        <v>-8.094053836453007</v>
      </c>
      <c r="AS104" s="8">
        <f>K104-G104</f>
        <v>336.7875190544168</v>
      </c>
      <c r="AT104" s="8">
        <f>H104-L104</f>
        <v>-14346.680119657216</v>
      </c>
      <c r="AU104" s="3">
        <f>I104-M104</f>
        <v>-2.474851300985776</v>
      </c>
      <c r="AV104" s="8">
        <f>J104-N104</f>
        <v>42844.949893491568</v>
      </c>
      <c r="AX104" s="5"/>
    </row>
    <row r="105" spans="1:50" hidden="1" x14ac:dyDescent="0.35">
      <c r="A105" s="1" t="s">
        <v>0</v>
      </c>
      <c r="B105" s="4">
        <f>B104+($C$2-$C$1)/$C$48</f>
        <v>829.72972972973093</v>
      </c>
      <c r="C105" s="7">
        <f>B105/10000</f>
        <v>8.2972972972973097E-2</v>
      </c>
      <c r="D105" s="9">
        <f>10*$B$3*(C105*$G$3-$H$3*2/C105+$J$3*C105^2+$K$3*2*C105^3+$L$3*3*C105^4-$I$3+$E$3)</f>
        <v>-37.240429477110133</v>
      </c>
      <c r="E105" s="6">
        <f>$B$3*($F$3+$G$3+$G$3*LN(C105)-$H$3/C105^2+$J$3*2*C105+$K$3*3*C105^2+$L$3*4*C105^3)</f>
        <v>-4.6080823991678672</v>
      </c>
      <c r="F105" s="3">
        <f>($E$3-C105*($F$3+$G$3*LN(C105)+$H$3*C105^(-2)+$I$3*C105^(-1)+$J$3*C105+$K$3*C105^2+$L$3*C105^3))*$B$3*10</f>
        <v>-33.416966513476268</v>
      </c>
      <c r="G105" s="6">
        <f>$B$3*($G$3+2*$H$3*C105^(-2)+2*$J$3*C105+ 6*$K$3*C105^2+ 12*$L$3*C105^3)</f>
        <v>-325.88857438097693</v>
      </c>
      <c r="H105" s="9">
        <f>10*$B$3*(C105*$G$7-$H$7*2/C105+$J$7*C105^2+$K$7*2*C105^3+$L$7*3*C105^4-$I$7+$E$7)</f>
        <v>13.927388918918952</v>
      </c>
      <c r="I105" s="6">
        <f>$B$3*($F$7+$G$7+$G$7*LN(C105)-$H$7/C105^2+$J$7*2*C105+$K$7*3*C105^2+$L$7*4*C105^3)</f>
        <v>67.615786600483105</v>
      </c>
      <c r="J105" s="3">
        <f>($E$7-C105*($F$7+$G$7*LN(C105)+$H$7*C105^(-2)+$I$7*C105^(-1)+$J$7*C105+$K$7*C105^2+$L$7*C105^3))*$B$3*10</f>
        <v>-42.175439422563066</v>
      </c>
      <c r="K105" s="6">
        <f>$B$3*($G$7+2*$H$7*C105^(-2)+2*$J$7*C105+ 6*$K$7*C105^2+ 12*$L$7*C105^3)</f>
        <v>26.2</v>
      </c>
      <c r="L105" s="6">
        <f>N105+M105*B105</f>
        <v>14629.914724502822</v>
      </c>
      <c r="M105" s="6">
        <f>-SUM(Q105:X105)</f>
        <v>70.116962285792283</v>
      </c>
      <c r="N105" s="8">
        <f>SUM(Z105:AG105)</f>
        <v>-43548.213442357344</v>
      </c>
      <c r="O105" s="8"/>
      <c r="Q105">
        <f>IF( OR( E$10="д",E$10="l"),E$11/$B105,  IF( OR( E$10="g",E$10="п"),E$11*(LN($B105)+1),  $B105^(E$10-1)*E$10*E$11))</f>
        <v>0</v>
      </c>
      <c r="R105">
        <f>IF( OR( F$10="д",F$10="l"),F$11/$B105,  IF( OR( F$10="g",F$10="п"),F$11*(LN($B105)+1),  $B105^(F$10-1)*F$10*F$11))</f>
        <v>92.539694999999995</v>
      </c>
      <c r="S105">
        <f>IF( OR( G$10="д",G$10="l"),G$11/$B105,  IF( OR( G$10="g",G$10="п"),G$11*(LN($B105)+1),  $B105^(G$10-1)*G$10*G$11))</f>
        <v>-147.7818544006206</v>
      </c>
      <c r="T105">
        <f>IF( OR( H$10="д",H$10="l"),H$11/$B105,  IF( OR( H$10="g",H$10="п"),H$11*(LN($B105)+1),  $B105^(H$10-1)*H$10*H$11))</f>
        <v>-20.403054054054085</v>
      </c>
      <c r="U105">
        <f>IF( OR( I$10="д",I$10="l"),I$11/$B105,  IF( OR( I$10="g",I$10="п"),I$11*(LN($B105)+1),  $B105^(I$10-1)*I$10*I$11))</f>
        <v>5.5282511688824112</v>
      </c>
      <c r="V105">
        <f>IF( OR( J$10="д",J$10="l"),J$11/$B105,  IF( OR( J$10="g",J$10="п"),J$11*(LN($B105)+1),  $B105^(J$10-1)*J$10*J$11))</f>
        <v>0</v>
      </c>
      <c r="W105">
        <f>IF( OR( K$10="д",K$10="l"),K$11/$B105,  IF( OR( K$10="g",K$10="п"),K$11*(LN($B105)+1),  $B105^(K$10-1)*K$10*K$11))</f>
        <v>0</v>
      </c>
      <c r="X105">
        <f>IF( OR( L$10="д",L$10="l"),L$11/$B105,  IF( OR( L$10="g",L$10="п"),L$11*(LN($B105)+1),  $B105^(L$10-1)*L$10*L$11))</f>
        <v>0</v>
      </c>
      <c r="Z105">
        <f>IF( OR( E$10="д",E$10="l"),E$11*LN($B105),  IF( OR( E$10="g",E$10="п"),E$11*$B105*LN($B105),  ($B105^E$10)*E$11))</f>
        <v>-6657.6530000000002</v>
      </c>
      <c r="AA105">
        <f>IF( OR( F$10="д",F$10="l"),F$11*LN($B105),  IF( OR( F$10="g",F$10="п"),F$11*$B105*LN($B105),  ($B105^F$10)*F$11))</f>
        <v>76782.936121621722</v>
      </c>
      <c r="AB105">
        <f>IF( OR( G$10="д",G$10="l"),G$11*LN($B105),  IF( OR( G$10="g",G$10="п"),G$11*$B105*LN($B105),  ($B105^G$10)*G$11))</f>
        <v>-106737.97108375833</v>
      </c>
      <c r="AC105">
        <f>IF( OR( H$10="д",H$10="l"),H$11*LN($B105),  IF( OR( H$10="g",H$10="п"),H$11*$B105*LN($B105),  ($B105^H$10)*H$11))</f>
        <v>-8464.5102629656922</v>
      </c>
      <c r="AD105">
        <f>IF( OR( I$10="д",I$10="l"),I$11*LN($B105),  IF( OR( I$10="g",I$10="п"),I$11*$B105*LN($B105),  ($B105^I$10)*I$11))</f>
        <v>1528.9847827449573</v>
      </c>
      <c r="AE105">
        <f>IF( OR( J$10="д",J$10="l"),J$11*LN($B105),  IF( OR( J$10="g",J$10="п"),J$11*$B105*LN($B105),  ($B105^J$10)*J$11))</f>
        <v>0</v>
      </c>
      <c r="AF105">
        <f>IF( OR( K$10="д",K$10="l"),K$11*LN($B105),  IF( OR( K$10="g",K$10="п"),K$11*$B105*LN($B105),  ($B105^K$10)*K$11))</f>
        <v>0</v>
      </c>
      <c r="AG105">
        <f>IF( OR( L$10="д",L$10="l"),L$11*LN($B105),  IF( OR( L$10="g",L$10="п"),L$11*$B105*LN($B105),  ($B105^L$10)*L$11))</f>
        <v>0</v>
      </c>
      <c r="AP105" s="8">
        <f>(H105-D105)</f>
        <v>51.167818396029084</v>
      </c>
      <c r="AQ105" s="8">
        <f>I105-E105</f>
        <v>72.223868999650975</v>
      </c>
      <c r="AR105" s="8">
        <f>(J105-F105)</f>
        <v>-8.7584729090867981</v>
      </c>
      <c r="AS105" s="8">
        <f>K105-G105</f>
        <v>352.08857438097692</v>
      </c>
      <c r="AT105" s="8">
        <f>H105-L105</f>
        <v>-14615.987335583903</v>
      </c>
      <c r="AU105" s="3">
        <f>I105-M105</f>
        <v>-2.5011756853091782</v>
      </c>
      <c r="AV105" s="8">
        <f>J105-N105</f>
        <v>43506.03800293478</v>
      </c>
      <c r="AX105" s="5"/>
    </row>
    <row r="106" spans="1:50" hidden="1" x14ac:dyDescent="0.35">
      <c r="A106" s="1" t="s">
        <v>0</v>
      </c>
      <c r="B106" s="4">
        <f>B105+($C$2-$C$1)/$C$48</f>
        <v>839.18918918919042</v>
      </c>
      <c r="C106" s="7">
        <f>B106/10000</f>
        <v>8.3918918918919047E-2</v>
      </c>
      <c r="D106" s="9">
        <f>10*$B$3*(C106*$G$3-$H$3*2/C106+$J$3*C106^2+$K$3*2*C106^3+$L$3*3*C106^4-$I$3+$E$3)</f>
        <v>-40.396922025951909</v>
      </c>
      <c r="E106" s="6">
        <f>$B$3*($F$3+$G$3+$G$3*LN(C106)-$H$3/C106^2+$J$3*2*C106+$K$3*3*C106^2+$L$3*4*C106^3)</f>
        <v>-8.3906345950482262</v>
      </c>
      <c r="F106" s="3">
        <f>($E$3-C106*($F$3+$G$3*LN(C106)+$H$3*C106^(-2)+$I$3*C106^(-1)+$J$3*C106+$K$3*C106^2+$L$3*C106^3))*$B$3*10</f>
        <v>-33.355592183350744</v>
      </c>
      <c r="G106" s="6">
        <f>$B$3*($G$3+2*$H$3*C106^(-2)+2*$J$3*C106+ 6*$K$3*C106^2+ 12*$L$3*C106^3)</f>
        <v>-341.5430707977863</v>
      </c>
      <c r="H106" s="9">
        <f>10*$B$3*(C106*$G$7-$H$7*2/C106+$J$7*C106^2+$K$7*2*C106^3+$L$7*3*C106^4-$I$7+$E$7)</f>
        <v>14.175226756756791</v>
      </c>
      <c r="I106" s="6">
        <f>$B$3*($F$7+$G$7+$G$7*LN(C106)-$H$7/C106^2+$J$7*2*C106+$K$7*3*C106^2+$L$7*4*C106^3)</f>
        <v>67.912793829685128</v>
      </c>
      <c r="J106" s="3">
        <f>($E$7-C106*($F$7+$G$7*LN(C106)+$H$7*C106^(-2)+$I$7*C106^(-1)+$J$7*C106+$K$7*C106^2+$L$7*C106^3))*$B$3*10</f>
        <v>-42.816455632749324</v>
      </c>
      <c r="K106" s="6">
        <f>$B$3*($G$7+2*$H$7*C106^(-2)+2*$J$7*C106+ 6*$K$7*C106^2+ 12*$L$7*C106^3)</f>
        <v>26.2</v>
      </c>
      <c r="L106" s="6">
        <f>N106+M106*B106</f>
        <v>14899.285370351907</v>
      </c>
      <c r="M106" s="6">
        <f>-SUM(Q106:X106)</f>
        <v>70.439774514149519</v>
      </c>
      <c r="N106" s="8">
        <f>SUM(Z106:AG106)</f>
        <v>-44213.011890846625</v>
      </c>
      <c r="O106" s="8"/>
      <c r="Q106">
        <f>IF( OR( E$10="д",E$10="l"),E$11/$B106,  IF( OR( E$10="g",E$10="п"),E$11*(LN($B106)+1),  $B106^(E$10-1)*E$10*E$11))</f>
        <v>0</v>
      </c>
      <c r="R106">
        <f>IF( OR( F$10="д",F$10="l"),F$11/$B106,  IF( OR( F$10="g",F$10="п"),F$11*(LN($B106)+1),  $B106^(F$10-1)*F$10*F$11))</f>
        <v>92.539694999999995</v>
      </c>
      <c r="S106">
        <f>IF( OR( G$10="д",G$10="l"),G$11/$B106,  IF( OR( G$10="g",G$10="п"),G$11*(LN($B106)+1),  $B106^(G$10-1)*G$10*G$11))</f>
        <v>-147.99882838409107</v>
      </c>
      <c r="T106">
        <f>IF( OR( H$10="д",H$10="l"),H$11/$B106,  IF( OR( H$10="g",H$10="п"),H$11*(LN($B106)+1),  $B106^(H$10-1)*H$10*H$11))</f>
        <v>-20.635662162162191</v>
      </c>
      <c r="U106">
        <f>IF( OR( I$10="д",I$10="l"),I$11/$B106,  IF( OR( I$10="g",I$10="п"),I$11*(LN($B106)+1),  $B106^(I$10-1)*I$10*I$11))</f>
        <v>5.6550210321037424</v>
      </c>
      <c r="V106">
        <f>IF( OR( J$10="д",J$10="l"),J$11/$B106,  IF( OR( J$10="g",J$10="п"),J$11*(LN($B106)+1),  $B106^(J$10-1)*J$10*J$11))</f>
        <v>0</v>
      </c>
      <c r="W106">
        <f>IF( OR( K$10="д",K$10="l"),K$11/$B106,  IF( OR( K$10="g",K$10="п"),K$11*(LN($B106)+1),  $B106^(K$10-1)*K$10*K$11))</f>
        <v>0</v>
      </c>
      <c r="X106">
        <f>IF( OR( L$10="д",L$10="l"),L$11/$B106,  IF( OR( L$10="g",L$10="п"),L$11*(LN($B106)+1),  $B106^(L$10-1)*L$10*L$11))</f>
        <v>0</v>
      </c>
      <c r="Z106">
        <f>IF( OR( E$10="д",E$10="l"),E$11*LN($B106),  IF( OR( E$10="g",E$10="п"),E$11*$B106*LN($B106),  ($B106^E$10)*E$11))</f>
        <v>-6657.6530000000002</v>
      </c>
      <c r="AA106">
        <f>IF( OR( F$10="д",F$10="l"),F$11*LN($B106),  IF( OR( F$10="g",F$10="п"),F$11*$B106*LN($B106),  ($B106^F$10)*F$11))</f>
        <v>77658.311614864971</v>
      </c>
      <c r="AB106">
        <f>IF( OR( G$10="д",G$10="l"),G$11*LN($B106),  IF( OR( G$10="g",G$10="п"),G$11*$B106*LN($B106),  ($B106^G$10)*G$11))</f>
        <v>-108136.93571151444</v>
      </c>
      <c r="AC106">
        <f>IF( OR( H$10="д",H$10="l"),H$11*LN($B106),  IF( OR( H$10="g",H$10="п"),H$11*$B106*LN($B106),  ($B106^H$10)*H$11))</f>
        <v>-8658.6122991234733</v>
      </c>
      <c r="AD106">
        <f>IF( OR( I$10="д",I$10="l"),I$11*LN($B106),  IF( OR( I$10="g",I$10="п"),I$11*$B106*LN($B106),  ($B106^I$10)*I$11))</f>
        <v>1581.8775049263195</v>
      </c>
      <c r="AE106">
        <f>IF( OR( J$10="д",J$10="l"),J$11*LN($B106),  IF( OR( J$10="g",J$10="п"),J$11*$B106*LN($B106),  ($B106^J$10)*J$11))</f>
        <v>0</v>
      </c>
      <c r="AF106">
        <f>IF( OR( K$10="д",K$10="l"),K$11*LN($B106),  IF( OR( K$10="g",K$10="п"),K$11*$B106*LN($B106),  ($B106^K$10)*K$11))</f>
        <v>0</v>
      </c>
      <c r="AG106">
        <f>IF( OR( L$10="д",L$10="l"),L$11*LN($B106),  IF( OR( L$10="g",L$10="п"),L$11*$B106*LN($B106),  ($B106^L$10)*L$11))</f>
        <v>0</v>
      </c>
      <c r="AP106" s="8">
        <f>(H106-D106)</f>
        <v>54.572148782708702</v>
      </c>
      <c r="AQ106" s="8">
        <f>I106-E106</f>
        <v>76.303428424733355</v>
      </c>
      <c r="AR106" s="8">
        <f>(J106-F106)</f>
        <v>-9.4608634493985804</v>
      </c>
      <c r="AS106" s="8">
        <f>K106-G106</f>
        <v>367.74307079778629</v>
      </c>
      <c r="AT106" s="8">
        <f>H106-L106</f>
        <v>-14885.11014359515</v>
      </c>
      <c r="AU106" s="3">
        <f>I106-M106</f>
        <v>-2.5269806844643909</v>
      </c>
      <c r="AV106" s="8">
        <f>J106-N106</f>
        <v>44170.195435213878</v>
      </c>
      <c r="AX106" s="5"/>
    </row>
    <row r="107" spans="1:50" hidden="1" x14ac:dyDescent="0.35">
      <c r="A107" s="1" t="s">
        <v>0</v>
      </c>
      <c r="B107" s="4">
        <f>B106+($C$2-$C$1)/$C$48</f>
        <v>848.6486486486499</v>
      </c>
      <c r="C107" s="7">
        <f>B107/10000</f>
        <v>8.4864864864864983E-2</v>
      </c>
      <c r="D107" s="9">
        <f>10*$B$3*(C107*$G$3-$H$3*2/C107+$J$3*C107^2+$K$3*2*C107^3+$L$3*3*C107^4-$I$3+$E$3)</f>
        <v>-43.703170634667863</v>
      </c>
      <c r="E107" s="6">
        <f>$B$3*($F$3+$G$3+$G$3*LN(C107)-$H$3/C107^2+$J$3*2*C107+$K$3*3*C107^2+$L$3*4*C107^3)</f>
        <v>-12.308240544006937</v>
      </c>
      <c r="F107" s="3">
        <f>($E$3-C107*($F$3+$G$3*LN(C107)+$H$3*C107^(-2)+$I$3*C107^(-1)+$J$3*C107+$K$3*C107^2+$L$3*C107^3))*$B$3*10</f>
        <v>-33.25779892975379</v>
      </c>
      <c r="G107" s="6">
        <f>$B$3*($G$3+2*$H$3*C107^(-2)+2*$J$3*C107+ 6*$K$3*C107^2+ 12*$L$3*C107^3)</f>
        <v>-357.55133750934556</v>
      </c>
      <c r="H107" s="9">
        <f>10*$B$3*(C107*$G$7-$H$7*2/C107+$J$7*C107^2+$K$7*2*C107^3+$L$7*3*C107^4-$I$7+$E$7)</f>
        <v>14.423064594594626</v>
      </c>
      <c r="I107" s="6">
        <f>$B$3*($F$7+$G$7+$G$7*LN(C107)-$H$7/C107^2+$J$7*2*C107+$K$7*3*C107^2+$L$7*4*C107^3)</f>
        <v>68.2064718444948</v>
      </c>
      <c r="J107" s="3">
        <f>($E$7-C107*($F$7+$G$7*LN(C107)+$H$7*C107^(-2)+$I$7*C107^(-1)+$J$7*C107+$K$7*C107^2+$L$7*C107^3))*$B$3*10</f>
        <v>-43.460265565328058</v>
      </c>
      <c r="K107" s="6">
        <f>$B$3*($G$7+2*$H$7*C107^(-2)+2*$J$7*C107+ 6*$K$7*C107^2+ 12*$L$7*C107^3)</f>
        <v>26.2</v>
      </c>
      <c r="L107" s="6">
        <f>N107+M107*B107</f>
        <v>15168.444420526364</v>
      </c>
      <c r="M107" s="6">
        <f>-SUM(Q107:X107)</f>
        <v>70.758717569755476</v>
      </c>
      <c r="N107" s="8">
        <f>SUM(Z107:AG107)</f>
        <v>-44880.845625158101</v>
      </c>
      <c r="O107" s="8"/>
      <c r="Q107">
        <f>IF( OR( E$10="д",E$10="l"),E$11/$B107,  IF( OR( E$10="g",E$10="п"),E$11*(LN($B107)+1),  $B107^(E$10-1)*E$10*E$11))</f>
        <v>0</v>
      </c>
      <c r="R107">
        <f>IF( OR( F$10="д",F$10="l"),F$11/$B107,  IF( OR( F$10="g",F$10="п"),F$11*(LN($B107)+1),  $B107^(F$10-1)*F$10*F$11))</f>
        <v>92.539694999999995</v>
      </c>
      <c r="S107">
        <f>IF( OR( G$10="д",G$10="l"),G$11/$B107,  IF( OR( G$10="g",G$10="п"),G$11*(LN($B107)+1),  $B107^(G$10-1)*G$10*G$11))</f>
        <v>-148.21337026208562</v>
      </c>
      <c r="T107">
        <f>IF( OR( H$10="д",H$10="l"),H$11/$B107,  IF( OR( H$10="g",H$10="п"),H$11*(LN($B107)+1),  $B107^(H$10-1)*H$10*H$11))</f>
        <v>-20.868270270270301</v>
      </c>
      <c r="U107">
        <f>IF( OR( I$10="д",I$10="l"),I$11/$B107,  IF( OR( I$10="g",I$10="п"),I$11*(LN($B107)+1),  $B107^(I$10-1)*I$10*I$11))</f>
        <v>5.7832279626004546</v>
      </c>
      <c r="V107">
        <f>IF( OR( J$10="д",J$10="l"),J$11/$B107,  IF( OR( J$10="g",J$10="п"),J$11*(LN($B107)+1),  $B107^(J$10-1)*J$10*J$11))</f>
        <v>0</v>
      </c>
      <c r="W107">
        <f>IF( OR( K$10="д",K$10="l"),K$11/$B107,  IF( OR( K$10="g",K$10="п"),K$11*(LN($B107)+1),  $B107^(K$10-1)*K$10*K$11))</f>
        <v>0</v>
      </c>
      <c r="X107">
        <f>IF( OR( L$10="д",L$10="l"),L$11/$B107,  IF( OR( L$10="g",L$10="п"),L$11*(LN($B107)+1),  $B107^(L$10-1)*L$10*L$11))</f>
        <v>0</v>
      </c>
      <c r="Z107">
        <f>IF( OR( E$10="д",E$10="l"),E$11*LN($B107),  IF( OR( E$10="g",E$10="п"),E$11*$B107*LN($B107),  ($B107^E$10)*E$11))</f>
        <v>-6657.6530000000002</v>
      </c>
      <c r="AA107">
        <f>IF( OR( F$10="д",F$10="l"),F$11*LN($B107),  IF( OR( F$10="g",F$10="п"),F$11*$B107*LN($B107),  ($B107^F$10)*F$11))</f>
        <v>78533.687108108221</v>
      </c>
      <c r="AB107">
        <f>IF( OR( G$10="д",G$10="l"),G$11*LN($B107),  IF( OR( G$10="g",G$10="п"),G$11*$B107*LN($B107),  ($B107^G$10)*G$11))</f>
        <v>-109537.94124944579</v>
      </c>
      <c r="AC107">
        <f>IF( OR( H$10="д",H$10="l"),H$11*LN($B107),  IF( OR( H$10="g",H$10="п"),H$11*$B107*LN($B107),  ($B107^H$10)*H$11))</f>
        <v>-8854.9146822498442</v>
      </c>
      <c r="AD107">
        <f>IF( OR( I$10="д",I$10="l"),I$11*LN($B107),  IF( OR( I$10="g",I$10="п"),I$11*$B107*LN($B107),  ($B107^I$10)*I$11))</f>
        <v>1635.9761984293204</v>
      </c>
      <c r="AE107">
        <f>IF( OR( J$10="д",J$10="l"),J$11*LN($B107),  IF( OR( J$10="g",J$10="п"),J$11*$B107*LN($B107),  ($B107^J$10)*J$11))</f>
        <v>0</v>
      </c>
      <c r="AF107">
        <f>IF( OR( K$10="д",K$10="l"),K$11*LN($B107),  IF( OR( K$10="g",K$10="п"),K$11*$B107*LN($B107),  ($B107^K$10)*K$11))</f>
        <v>0</v>
      </c>
      <c r="AG107">
        <f>IF( OR( L$10="д",L$10="l"),L$11*LN($B107),  IF( OR( L$10="g",L$10="п"),L$11*$B107*LN($B107),  ($B107^L$10)*L$11))</f>
        <v>0</v>
      </c>
      <c r="AP107" s="8">
        <f>(H107-D107)</f>
        <v>58.126235229262491</v>
      </c>
      <c r="AQ107" s="8">
        <f>I107-E107</f>
        <v>80.514712388501735</v>
      </c>
      <c r="AR107" s="8">
        <f>(J107-F107)</f>
        <v>-10.202466635574268</v>
      </c>
      <c r="AS107" s="8">
        <f>K107-G107</f>
        <v>383.75133750934555</v>
      </c>
      <c r="AT107" s="8">
        <f>H107-L107</f>
        <v>-15154.021355931769</v>
      </c>
      <c r="AU107" s="3">
        <f>I107-M107</f>
        <v>-2.5522457252606756</v>
      </c>
      <c r="AV107" s="8">
        <f>J107-N107</f>
        <v>44837.385359592772</v>
      </c>
      <c r="AX107" s="5"/>
    </row>
    <row r="108" spans="1:50" hidden="1" x14ac:dyDescent="0.35">
      <c r="A108" s="1" t="s">
        <v>0</v>
      </c>
      <c r="B108" s="4">
        <f>B107+($C$2-$C$1)/$C$48</f>
        <v>858.10810810810938</v>
      </c>
      <c r="C108" s="7">
        <f>B108/10000</f>
        <v>8.5810810810810934E-2</v>
      </c>
      <c r="D108" s="9">
        <f>10*$B$3*(C108*$G$3-$H$3*2/C108+$J$3*C108^2+$K$3*2*C108^3+$L$3*3*C108^4-$I$3+$E$3)</f>
        <v>-47.162523264469762</v>
      </c>
      <c r="E108" s="6">
        <f>$B$3*($F$3+$G$3+$G$3*LN(C108)-$H$3/C108^2+$J$3*2*C108+$K$3*3*C108^2+$L$3*4*C108^3)</f>
        <v>-16.361829390851984</v>
      </c>
      <c r="F108" s="3">
        <f>($E$3-C108*($F$3+$G$3*LN(C108)+$H$3*C108^(-2)+$I$3*C108^(-1)+$J$3*C108+$K$3*C108^2+$L$3*C108^3))*$B$3*10</f>
        <v>-33.122304800698153</v>
      </c>
      <c r="G108" s="6">
        <f>$B$3*($G$3+2*$H$3*C108^(-2)+2*$J$3*C108+ 6*$K$3*C108^2+ 12*$L$3*C108^3)</f>
        <v>-373.91368567560687</v>
      </c>
      <c r="H108" s="9">
        <f>10*$B$3*(C108*$G$7-$H$7*2/C108+$J$7*C108^2+$K$7*2*C108^3+$L$7*3*C108^4-$I$7+$E$7)</f>
        <v>14.670902432432465</v>
      </c>
      <c r="I108" s="6">
        <f>$B$3*($F$7+$G$7+$G$7*LN(C108)-$H$7/C108^2+$J$7*2*C108+$K$7*3*C108^2+$L$7*4*C108^3)</f>
        <v>68.496894454016498</v>
      </c>
      <c r="J108" s="3">
        <f>($E$7-C108*($F$7+$G$7*LN(C108)+$H$7*C108^(-2)+$I$7*C108^(-1)+$J$7*C108+$K$7*C108^2+$L$7*C108^3))*$B$3*10</f>
        <v>-44.106838078784477</v>
      </c>
      <c r="K108" s="6">
        <f>$B$3*($G$7+2*$H$7*C108^(-2)+2*$J$7*C108+ 6*$K$7*C108^2+ 12*$L$7*C108^3)</f>
        <v>26.2</v>
      </c>
      <c r="L108" s="6">
        <f>N108+M108*B108</f>
        <v>15437.364687266818</v>
      </c>
      <c r="M108" s="6">
        <f>-SUM(Q108:X108)</f>
        <v>71.073845372696283</v>
      </c>
      <c r="N108" s="8">
        <f>SUM(Z108:AG108)</f>
        <v>-45551.678301465894</v>
      </c>
      <c r="O108" s="8"/>
      <c r="Q108">
        <f>IF( OR( E$10="д",E$10="l"),E$11/$B108,  IF( OR( E$10="g",E$10="п"),E$11*(LN($B108)+1),  $B108^(E$10-1)*E$10*E$11))</f>
        <v>0</v>
      </c>
      <c r="R108">
        <f>IF( OR( F$10="д",F$10="l"),F$11/$B108,  IF( OR( F$10="g",F$10="п"),F$11*(LN($B108)+1),  $B108^(F$10-1)*F$10*F$11))</f>
        <v>92.539694999999995</v>
      </c>
      <c r="S108">
        <f>IF( OR( G$10="д",G$10="l"),G$11/$B108,  IF( OR( G$10="g",G$10="п"),G$11*(LN($B108)+1),  $B108^(G$10-1)*G$10*G$11))</f>
        <v>-148.42553395469042</v>
      </c>
      <c r="T108">
        <f>IF( OR( H$10="д",H$10="l"),H$11/$B108,  IF( OR( H$10="g",H$10="п"),H$11*(LN($B108)+1),  $B108^(H$10-1)*H$10*H$11))</f>
        <v>-21.100878378378411</v>
      </c>
      <c r="U108">
        <f>IF( OR( I$10="д",I$10="l"),I$11/$B108,  IF( OR( I$10="g",I$10="п"),I$11*(LN($B108)+1),  $B108^(I$10-1)*I$10*I$11))</f>
        <v>5.9128719603725521</v>
      </c>
      <c r="V108">
        <f>IF( OR( J$10="д",J$10="l"),J$11/$B108,  IF( OR( J$10="g",J$10="п"),J$11*(LN($B108)+1),  $B108^(J$10-1)*J$10*J$11))</f>
        <v>0</v>
      </c>
      <c r="W108">
        <f>IF( OR( K$10="д",K$10="l"),K$11/$B108,  IF( OR( K$10="g",K$10="п"),K$11*(LN($B108)+1),  $B108^(K$10-1)*K$10*K$11))</f>
        <v>0</v>
      </c>
      <c r="X108">
        <f>IF( OR( L$10="д",L$10="l"),L$11/$B108,  IF( OR( L$10="g",L$10="п"),L$11*(LN($B108)+1),  $B108^(L$10-1)*L$10*L$11))</f>
        <v>0</v>
      </c>
      <c r="Z108">
        <f>IF( OR( E$10="д",E$10="l"),E$11*LN($B108),  IF( OR( E$10="g",E$10="п"),E$11*$B108*LN($B108),  ($B108^E$10)*E$11))</f>
        <v>-6657.6530000000002</v>
      </c>
      <c r="AA108">
        <f>IF( OR( F$10="д",F$10="l"),F$11*LN($B108),  IF( OR( F$10="g",F$10="п"),F$11*$B108*LN($B108),  ($B108^F$10)*F$11))</f>
        <v>79409.06260135147</v>
      </c>
      <c r="AB108">
        <f>IF( OR( G$10="д",G$10="l"),G$11*LN($B108),  IF( OR( G$10="g",G$10="п"),G$11*$B108*LN($B108),  ($B108^G$10)*G$11))</f>
        <v>-110940.96494760615</v>
      </c>
      <c r="AC108">
        <f>IF( OR( H$10="д",H$10="l"),H$11*LN($B108),  IF( OR( H$10="g",H$10="п"),H$11*$B108*LN($B108),  ($B108^H$10)*H$11))</f>
        <v>-9053.4174123448047</v>
      </c>
      <c r="AD108">
        <f>IF( OR( I$10="д",I$10="l"),I$11*LN($B108),  IF( OR( I$10="g",I$10="п"),I$11*$B108*LN($B108),  ($B108^I$10)*I$11))</f>
        <v>1691.2944571335929</v>
      </c>
      <c r="AE108">
        <f>IF( OR( J$10="д",J$10="l"),J$11*LN($B108),  IF( OR( J$10="g",J$10="п"),J$11*$B108*LN($B108),  ($B108^J$10)*J$11))</f>
        <v>0</v>
      </c>
      <c r="AF108">
        <f>IF( OR( K$10="д",K$10="l"),K$11*LN($B108),  IF( OR( K$10="g",K$10="п"),K$11*$B108*LN($B108),  ($B108^K$10)*K$11))</f>
        <v>0</v>
      </c>
      <c r="AG108">
        <f>IF( OR( L$10="д",L$10="l"),L$11*LN($B108),  IF( OR( L$10="g",L$10="п"),L$11*$B108*LN($B108),  ($B108^L$10)*L$11))</f>
        <v>0</v>
      </c>
      <c r="AP108" s="8">
        <f>(H108-D108)</f>
        <v>61.833425696902225</v>
      </c>
      <c r="AQ108" s="8">
        <f>I108-E108</f>
        <v>84.858723844868479</v>
      </c>
      <c r="AR108" s="8">
        <f>(J108-F108)</f>
        <v>-10.984533278086325</v>
      </c>
      <c r="AS108" s="8">
        <f>K108-G108</f>
        <v>400.11368567560686</v>
      </c>
      <c r="AT108" s="8">
        <f>H108-L108</f>
        <v>-15422.693784834386</v>
      </c>
      <c r="AU108" s="3">
        <f>I108-M108</f>
        <v>-2.5769509186797848</v>
      </c>
      <c r="AV108" s="8">
        <f>J108-N108</f>
        <v>45507.57146338711</v>
      </c>
      <c r="AX108" s="5"/>
    </row>
    <row r="109" spans="1:50" hidden="1" x14ac:dyDescent="0.35">
      <c r="A109" s="1" t="s">
        <v>0</v>
      </c>
      <c r="B109" s="4">
        <f>B108+($C$2-$C$1)/$C$48</f>
        <v>867.56756756756886</v>
      </c>
      <c r="C109" s="7">
        <f>B109/10000</f>
        <v>8.6756756756756884E-2</v>
      </c>
      <c r="D109" s="9">
        <f>10*$B$3*(C109*$G$3-$H$3*2/C109+$J$3*C109^2+$K$3*2*C109^3+$L$3*3*C109^4-$I$3+$E$3)</f>
        <v>-50.778330739291761</v>
      </c>
      <c r="E109" s="6">
        <f>$B$3*($F$3+$G$3+$G$3*LN(C109)-$H$3/C109^2+$J$3*2*C109+$K$3*3*C109^2+$L$3*4*C109^3)</f>
        <v>-20.552303038065059</v>
      </c>
      <c r="F109" s="3">
        <f>($E$3-C109*($F$3+$G$3*LN(C109)+$H$3*C109^(-2)+$I$3*C109^(-1)+$J$3*C109+$K$3*C109^2+$L$3*C109^3))*$B$3*10</f>
        <v>-32.947819184646136</v>
      </c>
      <c r="G109" s="6">
        <f>$B$3*($G$3+2*$H$3*C109^(-2)+2*$J$3*C109+ 6*$K$3*C109^2+ 12*$L$3*C109^3)</f>
        <v>-390.63040958597128</v>
      </c>
      <c r="H109" s="9">
        <f>10*$B$3*(C109*$G$7-$H$7*2/C109+$J$7*C109^2+$K$7*2*C109^3+$L$7*3*C109^4-$I$7+$E$7)</f>
        <v>14.918740270270304</v>
      </c>
      <c r="I109" s="6">
        <f>$B$3*($F$7+$G$7+$G$7*LN(C109)-$H$7/C109^2+$J$7*2*C109+$K$7*3*C109^2+$L$7*4*C109^3)</f>
        <v>68.784133039704955</v>
      </c>
      <c r="J109" s="3">
        <f>($E$7-C109*($F$7+$G$7*LN(C109)+$H$7*C109^(-2)+$I$7*C109^(-1)+$J$7*C109+$K$7*C109^2+$L$7*C109^3))*$B$3*10</f>
        <v>-44.756142718230556</v>
      </c>
      <c r="K109" s="6">
        <f>$B$3*($G$7+2*$H$7*C109^(-2)+2*$J$7*C109+ 6*$K$7*C109^2+ 12*$L$7*C109^3)</f>
        <v>26.2</v>
      </c>
      <c r="L109" s="6">
        <f>N109+M109*B109</f>
        <v>15706.018982814072</v>
      </c>
      <c r="M109" s="6">
        <f>-SUM(Q109:X109)</f>
        <v>71.385210069576644</v>
      </c>
      <c r="N109" s="8">
        <f>SUM(Z109:AG109)</f>
        <v>-46225.474077548461</v>
      </c>
      <c r="O109" s="8"/>
      <c r="Q109">
        <f>IF( OR( E$10="д",E$10="l"),E$11/$B109,  IF( OR( E$10="g",E$10="п"),E$11*(LN($B109)+1),  $B109^(E$10-1)*E$10*E$11))</f>
        <v>0</v>
      </c>
      <c r="R109">
        <f>IF( OR( F$10="д",F$10="l"),F$11/$B109,  IF( OR( F$10="g",F$10="п"),F$11*(LN($B109)+1),  $B109^(F$10-1)*F$10*F$11))</f>
        <v>92.539694999999995</v>
      </c>
      <c r="S109">
        <f>IF( OR( G$10="д",G$10="l"),G$11/$B109,  IF( OR( G$10="g",G$10="п"),G$11*(LN($B109)+1),  $B109^(G$10-1)*G$10*G$11))</f>
        <v>-148.63537160851016</v>
      </c>
      <c r="T109">
        <f>IF( OR( H$10="д",H$10="l"),H$11/$B109,  IF( OR( H$10="g",H$10="п"),H$11*(LN($B109)+1),  $B109^(H$10-1)*H$10*H$11))</f>
        <v>-21.333486486486517</v>
      </c>
      <c r="U109">
        <f>IF( OR( I$10="д",I$10="l"),I$11/$B109,  IF( OR( I$10="g",I$10="п"),I$11*(LN($B109)+1),  $B109^(I$10-1)*I$10*I$11))</f>
        <v>6.0439530254200315</v>
      </c>
      <c r="V109">
        <f>IF( OR( J$10="д",J$10="l"),J$11/$B109,  IF( OR( J$10="g",J$10="п"),J$11*(LN($B109)+1),  $B109^(J$10-1)*J$10*J$11))</f>
        <v>0</v>
      </c>
      <c r="W109">
        <f>IF( OR( K$10="д",K$10="l"),K$11/$B109,  IF( OR( K$10="g",K$10="п"),K$11*(LN($B109)+1),  $B109^(K$10-1)*K$10*K$11))</f>
        <v>0</v>
      </c>
      <c r="X109">
        <f>IF( OR( L$10="д",L$10="l"),L$11/$B109,  IF( OR( L$10="g",L$10="п"),L$11*(LN($B109)+1),  $B109^(L$10-1)*L$10*L$11))</f>
        <v>0</v>
      </c>
      <c r="Z109">
        <f>IF( OR( E$10="д",E$10="l"),E$11*LN($B109),  IF( OR( E$10="g",E$10="п"),E$11*$B109*LN($B109),  ($B109^E$10)*E$11))</f>
        <v>-6657.6530000000002</v>
      </c>
      <c r="AA109">
        <f>IF( OR( F$10="д",F$10="l"),F$11*LN($B109),  IF( OR( F$10="g",F$10="п"),F$11*$B109*LN($B109),  ($B109^F$10)*F$11))</f>
        <v>80284.438094594705</v>
      </c>
      <c r="AB109">
        <f>IF( OR( G$10="д",G$10="l"),G$11*LN($B109),  IF( OR( G$10="g",G$10="п"),G$11*$B109*LN($B109),  ($B109^G$10)*G$11))</f>
        <v>-112345.98455765357</v>
      </c>
      <c r="AC109">
        <f>IF( OR( H$10="д",H$10="l"),H$11*LN($B109),  IF( OR( H$10="g",H$10="п"),H$11*$B109*LN($B109),  ($B109^H$10)*H$11))</f>
        <v>-9254.1204894083548</v>
      </c>
      <c r="AD109">
        <f>IF( OR( I$10="д",I$10="l"),I$11*LN($B109),  IF( OR( I$10="g",I$10="п"),I$11*$B109*LN($B109),  ($B109^I$10)*I$11))</f>
        <v>1747.8458749187687</v>
      </c>
      <c r="AE109">
        <f>IF( OR( J$10="д",J$10="l"),J$11*LN($B109),  IF( OR( J$10="g",J$10="п"),J$11*$B109*LN($B109),  ($B109^J$10)*J$11))</f>
        <v>0</v>
      </c>
      <c r="AF109">
        <f>IF( OR( K$10="д",K$10="l"),K$11*LN($B109),  IF( OR( K$10="g",K$10="п"),K$11*$B109*LN($B109),  ($B109^K$10)*K$11))</f>
        <v>0</v>
      </c>
      <c r="AG109">
        <f>IF( OR( L$10="д",L$10="l"),L$11*LN($B109),  IF( OR( L$10="g",L$10="п"),L$11*$B109*LN($B109),  ($B109^L$10)*L$11))</f>
        <v>0</v>
      </c>
      <c r="AP109" s="8">
        <f>(H109-D109)</f>
        <v>65.697071009562066</v>
      </c>
      <c r="AQ109" s="8">
        <f>I109-E109</f>
        <v>89.336436077770017</v>
      </c>
      <c r="AR109" s="8">
        <f>(J109-F109)</f>
        <v>-11.808323533584421</v>
      </c>
      <c r="AS109" s="8">
        <f>K109-G109</f>
        <v>416.83040958597127</v>
      </c>
      <c r="AT109" s="8">
        <f>H109-L109</f>
        <v>-15691.100242543802</v>
      </c>
      <c r="AU109" s="3">
        <f>I109-M109</f>
        <v>-2.6010770298716892</v>
      </c>
      <c r="AV109" s="8">
        <f>J109-N109</f>
        <v>46180.717934830231</v>
      </c>
      <c r="AX109" s="5"/>
    </row>
    <row r="110" spans="1:50" hidden="1" x14ac:dyDescent="0.35">
      <c r="A110" s="1" t="s">
        <v>0</v>
      </c>
      <c r="B110" s="4">
        <f>B109+($C$2-$C$1)/$C$48</f>
        <v>877.02702702702834</v>
      </c>
      <c r="C110" s="7">
        <f>B110/10000</f>
        <v>8.7702702702702834E-2</v>
      </c>
      <c r="D110" s="9">
        <f>10*$B$3*(C110*$G$3-$H$3*2/C110+$J$3*C110^2+$K$3*2*C110^3+$L$3*3*C110^4-$I$3+$E$3)</f>
        <v>-54.553946591406238</v>
      </c>
      <c r="E110" s="6">
        <f>$B$3*($F$3+$G$3+$G$3*LN(C110)-$H$3/C110^2+$J$3*2*C110+$K$3*3*C110^2+$L$3*4*C110^3)</f>
        <v>-24.880537150551394</v>
      </c>
      <c r="F110" s="3">
        <f>($E$3-C110*($F$3+$G$3*LN(C110)+$H$3*C110^(-2)+$I$3*C110^(-1)+$J$3*C110+$K$3*C110^2+$L$3*C110^3))*$B$3*10</f>
        <v>-32.733043063422556</v>
      </c>
      <c r="G110" s="6">
        <f>$B$3*($G$3+2*$H$3*C110^(-2)+2*$J$3*C110+ 6*$K$3*C110^2+ 12*$L$3*C110^3)</f>
        <v>-407.70178774513539</v>
      </c>
      <c r="H110" s="9">
        <f>10*$B$3*(C110*$G$7-$H$7*2/C110+$J$7*C110^2+$K$7*2*C110^3+$L$7*3*C110^4-$I$7+$E$7)</f>
        <v>15.166578108108142</v>
      </c>
      <c r="I110" s="6">
        <f>$B$3*($F$7+$G$7+$G$7*LN(C110)-$H$7/C110^2+$J$7*2*C110+$K$7*3*C110^2+$L$7*4*C110^3)</f>
        <v>69.068256660675132</v>
      </c>
      <c r="J110" s="3">
        <f>($E$7-C110*($F$7+$G$7*LN(C110)+$H$7*C110^(-2)+$I$7*C110^(-1)+$J$7*C110+$K$7*C110^2+$L$7*C110^3))*$B$3*10</f>
        <v>-45.40814969294351</v>
      </c>
      <c r="K110" s="6">
        <f>$B$3*($G$7+2*$H$7*C110^(-2)+2*$J$7*C110+ 6*$K$7*C110^2+ 12*$L$7*C110^3)</f>
        <v>26.2</v>
      </c>
      <c r="L110" s="6">
        <f>N110+M110*B110</f>
        <v>15974.380119408866</v>
      </c>
      <c r="M110" s="6">
        <f>-SUM(Q110:X110)</f>
        <v>71.692862110452324</v>
      </c>
      <c r="N110" s="8">
        <f>SUM(Z110:AG110)</f>
        <v>-46902.197596379818</v>
      </c>
      <c r="O110" s="8"/>
      <c r="Q110">
        <f>IF( OR( E$10="д",E$10="l"),E$11/$B110,  IF( OR( E$10="g",E$10="п"),E$11*(LN($B110)+1),  $B110^(E$10-1)*E$10*E$11))</f>
        <v>0</v>
      </c>
      <c r="R110">
        <f>IF( OR( F$10="д",F$10="l"),F$11/$B110,  IF( OR( F$10="g",F$10="п"),F$11*(LN($B110)+1),  $B110^(F$10-1)*F$10*F$11))</f>
        <v>92.539694999999995</v>
      </c>
      <c r="S110">
        <f>IF( OR( G$10="д",G$10="l"),G$11/$B110,  IF( OR( G$10="g",G$10="п"),G$11*(LN($B110)+1),  $B110^(G$10-1)*G$10*G$11))</f>
        <v>-148.84293367360058</v>
      </c>
      <c r="T110">
        <f>IF( OR( H$10="д",H$10="l"),H$11/$B110,  IF( OR( H$10="g",H$10="п"),H$11*(LN($B110)+1),  $B110^(H$10-1)*H$10*H$11))</f>
        <v>-21.566094594594627</v>
      </c>
      <c r="U110">
        <f>IF( OR( I$10="д",I$10="l"),I$11/$B110,  IF( OR( I$10="g",I$10="п"),I$11*(LN($B110)+1),  $B110^(I$10-1)*I$10*I$11))</f>
        <v>6.1764711577428972</v>
      </c>
      <c r="V110">
        <f>IF( OR( J$10="д",J$10="l"),J$11/$B110,  IF( OR( J$10="g",J$10="п"),J$11*(LN($B110)+1),  $B110^(J$10-1)*J$10*J$11))</f>
        <v>0</v>
      </c>
      <c r="W110">
        <f>IF( OR( K$10="д",K$10="l"),K$11/$B110,  IF( OR( K$10="g",K$10="п"),K$11*(LN($B110)+1),  $B110^(K$10-1)*K$10*K$11))</f>
        <v>0</v>
      </c>
      <c r="X110">
        <f>IF( OR( L$10="д",L$10="l"),L$11/$B110,  IF( OR( L$10="g",L$10="п"),L$11*(LN($B110)+1),  $B110^(L$10-1)*L$10*L$11))</f>
        <v>0</v>
      </c>
      <c r="Z110">
        <f>IF( OR( E$10="д",E$10="l"),E$11*LN($B110),  IF( OR( E$10="g",E$10="п"),E$11*$B110*LN($B110),  ($B110^E$10)*E$11))</f>
        <v>-6657.6530000000002</v>
      </c>
      <c r="AA110">
        <f>IF( OR( F$10="д",F$10="l"),F$11*LN($B110),  IF( OR( F$10="g",F$10="п"),F$11*$B110*LN($B110),  ($B110^F$10)*F$11))</f>
        <v>81159.813587837954</v>
      </c>
      <c r="AB110">
        <f>IF( OR( G$10="д",G$10="l"),G$11*LN($B110),  IF( OR( G$10="g",G$10="п"),G$11*$B110*LN($B110),  ($B110^G$10)*G$11))</f>
        <v>-113752.97831644175</v>
      </c>
      <c r="AC110">
        <f>IF( OR( H$10="д",H$10="l"),H$11*LN($B110),  IF( OR( H$10="g",H$10="п"),H$11*$B110*LN($B110),  ($B110^H$10)*H$11))</f>
        <v>-9457.0239134404965</v>
      </c>
      <c r="AD110">
        <f>IF( OR( I$10="д",I$10="l"),I$11*LN($B110),  IF( OR( I$10="g",I$10="п"),I$11*$B110*LN($B110),  ($B110^I$10)*I$11))</f>
        <v>1805.64404566448</v>
      </c>
      <c r="AE110">
        <f>IF( OR( J$10="д",J$10="l"),J$11*LN($B110),  IF( OR( J$10="g",J$10="п"),J$11*$B110*LN($B110),  ($B110^J$10)*J$11))</f>
        <v>0</v>
      </c>
      <c r="AF110">
        <f>IF( OR( K$10="д",K$10="l"),K$11*LN($B110),  IF( OR( K$10="g",K$10="п"),K$11*$B110*LN($B110),  ($B110^K$10)*K$11))</f>
        <v>0</v>
      </c>
      <c r="AG110">
        <f>IF( OR( L$10="д",L$10="l"),L$11*LN($B110),  IF( OR( L$10="g",L$10="п"),L$11*$B110*LN($B110),  ($B110^L$10)*L$11))</f>
        <v>0</v>
      </c>
      <c r="AP110" s="8">
        <f>(H110-D110)</f>
        <v>69.720524699514385</v>
      </c>
      <c r="AQ110" s="8">
        <f>I110-E110</f>
        <v>93.948793811226523</v>
      </c>
      <c r="AR110" s="8">
        <f>(J110-F110)</f>
        <v>-12.675106629520954</v>
      </c>
      <c r="AS110" s="8">
        <f>K110-G110</f>
        <v>433.90178774513538</v>
      </c>
      <c r="AT110" s="8">
        <f>H110-L110</f>
        <v>-15959.213541300758</v>
      </c>
      <c r="AU110" s="3">
        <f>I110-M110</f>
        <v>-2.6246054497771922</v>
      </c>
      <c r="AV110" s="8">
        <f>J110-N110</f>
        <v>46856.789446686875</v>
      </c>
      <c r="AX110" s="5"/>
    </row>
    <row r="111" spans="1:50" hidden="1" x14ac:dyDescent="0.35">
      <c r="A111" s="1" t="s">
        <v>0</v>
      </c>
      <c r="B111" s="4">
        <f>B110+($C$2-$C$1)/$C$48</f>
        <v>886.48648648648782</v>
      </c>
      <c r="C111" s="7">
        <f>B111/10000</f>
        <v>8.8648648648648784E-2</v>
      </c>
      <c r="D111" s="9">
        <f>10*$B$3*(C111*$G$3-$H$3*2/C111+$J$3*C111^2+$K$3*2*C111^3+$L$3*3*C111^4-$I$3+$E$3)</f>
        <v>-58.492726916923722</v>
      </c>
      <c r="E111" s="6">
        <f>$B$3*($F$3+$G$3+$G$3*LN(C111)-$H$3/C111^2+$J$3*2*C111+$K$3*3*C111^2+$L$3*4*C111^3)</f>
        <v>-29.347382117704804</v>
      </c>
      <c r="F111" s="3">
        <f>($E$3-C111*($F$3+$G$3*LN(C111)+$H$3*C111^(-2)+$I$3*C111^(-1)+$J$3*C111+$K$3*C111^2+$L$3*C111^3))*$B$3*10</f>
        <v>-32.476669255823097</v>
      </c>
      <c r="G111" s="6">
        <f>$B$3*($G$3+2*$H$3*C111^(-2)+2*$J$3*C111+ 6*$K$3*C111^2+ 12*$L$3*C111^3)</f>
        <v>-425.12808387826487</v>
      </c>
      <c r="H111" s="9">
        <f>10*$B$3*(C111*$G$7-$H$7*2/C111+$J$7*C111^2+$K$7*2*C111^3+$L$7*3*C111^4-$I$7+$E$7)</f>
        <v>15.414415945945983</v>
      </c>
      <c r="I111" s="6">
        <f>$B$3*($F$7+$G$7+$G$7*LN(C111)-$H$7/C111^2+$J$7*2*C111+$K$7*3*C111^2+$L$7*4*C111^3)</f>
        <v>69.349332153363108</v>
      </c>
      <c r="J111" s="3">
        <f>($E$7-C111*($F$7+$G$7*LN(C111)+$H$7*C111^(-2)+$I$7*C111^(-1)+$J$7*C111+$K$7*C111^2+$L$7*C111^3))*$B$3*10</f>
        <v>-46.062829854873293</v>
      </c>
      <c r="K111" s="6">
        <f>$B$3*($G$7+2*$H$7*C111^(-2)+2*$J$7*C111+ 6*$K$7*C111^2+ 12*$L$7*C111^3)</f>
        <v>26.2</v>
      </c>
      <c r="L111" s="6">
        <f>N111+M111*B111</f>
        <v>16242.420909291875</v>
      </c>
      <c r="M111" s="6">
        <f>-SUM(Q111:X111)</f>
        <v>71.996850321635762</v>
      </c>
      <c r="N111" s="8">
        <f>SUM(Z111:AG111)</f>
        <v>-47581.813970428571</v>
      </c>
      <c r="O111" s="8"/>
      <c r="Q111">
        <f>IF( OR( E$10="д",E$10="l"),E$11/$B111,  IF( OR( E$10="g",E$10="п"),E$11*(LN($B111)+1),  $B111^(E$10-1)*E$10*E$11))</f>
        <v>0</v>
      </c>
      <c r="R111">
        <f>IF( OR( F$10="д",F$10="l"),F$11/$B111,  IF( OR( F$10="g",F$10="п"),F$11*(LN($B111)+1),  $B111^(F$10-1)*F$10*F$11))</f>
        <v>92.539694999999995</v>
      </c>
      <c r="S111">
        <f>IF( OR( G$10="д",G$10="l"),G$11/$B111,  IF( OR( G$10="g",G$10="п"),G$11*(LN($B111)+1),  $B111^(G$10-1)*G$10*G$11))</f>
        <v>-149.04826897627416</v>
      </c>
      <c r="T111">
        <f>IF( OR( H$10="д",H$10="l"),H$11/$B111,  IF( OR( H$10="g",H$10="п"),H$11*(LN($B111)+1),  $B111^(H$10-1)*H$10*H$11))</f>
        <v>-21.798702702702737</v>
      </c>
      <c r="U111">
        <f>IF( OR( I$10="д",I$10="l"),I$11/$B111,  IF( OR( I$10="g",I$10="п"),I$11*(LN($B111)+1),  $B111^(I$10-1)*I$10*I$11))</f>
        <v>6.310426357341143</v>
      </c>
      <c r="V111">
        <f>IF( OR( J$10="д",J$10="l"),J$11/$B111,  IF( OR( J$10="g",J$10="п"),J$11*(LN($B111)+1),  $B111^(J$10-1)*J$10*J$11))</f>
        <v>0</v>
      </c>
      <c r="W111">
        <f>IF( OR( K$10="д",K$10="l"),K$11/$B111,  IF( OR( K$10="g",K$10="п"),K$11*(LN($B111)+1),  $B111^(K$10-1)*K$10*K$11))</f>
        <v>0</v>
      </c>
      <c r="X111">
        <f>IF( OR( L$10="д",L$10="l"),L$11/$B111,  IF( OR( L$10="g",L$10="п"),L$11*(LN($B111)+1),  $B111^(L$10-1)*L$10*L$11))</f>
        <v>0</v>
      </c>
      <c r="Z111">
        <f>IF( OR( E$10="д",E$10="l"),E$11*LN($B111),  IF( OR( E$10="g",E$10="п"),E$11*$B111*LN($B111),  ($B111^E$10)*E$11))</f>
        <v>-6657.6530000000002</v>
      </c>
      <c r="AA111">
        <f>IF( OR( F$10="д",F$10="l"),F$11*LN($B111),  IF( OR( F$10="g",F$10="п"),F$11*$B111*LN($B111),  ($B111^F$10)*F$11))</f>
        <v>82035.189081081204</v>
      </c>
      <c r="AB111">
        <f>IF( OR( G$10="д",G$10="l"),G$11*LN($B111),  IF( OR( G$10="g",G$10="п"),G$11*$B111*LN($B111),  ($B111^G$10)*G$11))</f>
        <v>-115161.9249303189</v>
      </c>
      <c r="AC111">
        <f>IF( OR( H$10="д",H$10="l"),H$11*LN($B111),  IF( OR( H$10="g",H$10="п"),H$11*$B111*LN($B111),  ($B111^H$10)*H$11))</f>
        <v>-9662.1276844412278</v>
      </c>
      <c r="AD111">
        <f>IF( OR( I$10="д",I$10="l"),I$11*LN($B111),  IF( OR( I$10="g",I$10="п"),I$11*$B111*LN($B111),  ($B111^I$10)*I$11))</f>
        <v>1864.7025632503585</v>
      </c>
      <c r="AE111">
        <f>IF( OR( J$10="д",J$10="l"),J$11*LN($B111),  IF( OR( J$10="g",J$10="п"),J$11*$B111*LN($B111),  ($B111^J$10)*J$11))</f>
        <v>0</v>
      </c>
      <c r="AF111">
        <f>IF( OR( K$10="д",K$10="l"),K$11*LN($B111),  IF( OR( K$10="g",K$10="п"),K$11*$B111*LN($B111),  ($B111^K$10)*K$11))</f>
        <v>0</v>
      </c>
      <c r="AG111">
        <f>IF( OR( L$10="д",L$10="l"),L$11*LN($B111),  IF( OR( L$10="g",L$10="п"),L$11*$B111*LN($B111),  ($B111^L$10)*L$11))</f>
        <v>0</v>
      </c>
      <c r="AP111" s="8">
        <f>(H111-D111)</f>
        <v>73.907142862869705</v>
      </c>
      <c r="AQ111" s="8">
        <f>I111-E111</f>
        <v>98.696714271067918</v>
      </c>
      <c r="AR111" s="8">
        <f>(J111-F111)</f>
        <v>-13.586160599050196</v>
      </c>
      <c r="AS111" s="8">
        <f>K111-G111</f>
        <v>451.32808387826486</v>
      </c>
      <c r="AT111" s="8">
        <f>H111-L111</f>
        <v>-16227.006493345929</v>
      </c>
      <c r="AU111" s="3">
        <f>I111-M111</f>
        <v>-2.6475181682726543</v>
      </c>
      <c r="AV111" s="8">
        <f>J111-N111</f>
        <v>47535.751140573695</v>
      </c>
      <c r="AX111" s="5"/>
    </row>
    <row r="112" spans="1:50" hidden="1" x14ac:dyDescent="0.35">
      <c r="A112" s="1" t="s">
        <v>0</v>
      </c>
      <c r="B112" s="4">
        <f>B111+($C$2-$C$1)/$C$48</f>
        <v>895.9459459459473</v>
      </c>
      <c r="C112" s="7">
        <f>B112/10000</f>
        <v>8.9594594594594734E-2</v>
      </c>
      <c r="D112" s="9">
        <f>10*$B$3*(C112*$G$3-$H$3*2/C112+$J$3*C112^2+$K$3*2*C112^3+$L$3*3*C112^4-$I$3+$E$3)</f>
        <v>-62.598030240447287</v>
      </c>
      <c r="E112" s="6">
        <f>$B$3*($F$3+$G$3+$G$3*LN(C112)-$H$3/C112^2+$J$3*2*C112+$K$3*3*C112^2+$L$3*4*C112^3)</f>
        <v>-33.953663974682463</v>
      </c>
      <c r="F112" s="3">
        <f>($E$3-C112*($F$3+$G$3*LN(C112)+$H$3*C112^(-2)+$I$3*C112^(-1)+$J$3*C112+$K$3*C112^2+$L$3*C112^3))*$B$3*10</f>
        <v>-32.177382652319608</v>
      </c>
      <c r="G112" s="6">
        <f>$B$3*($G$3+2*$H$3*C112^(-2)+2*$J$3*C112+ 6*$K$3*C112^2+ 12*$L$3*C112^3)</f>
        <v>-442.90954786227735</v>
      </c>
      <c r="H112" s="9">
        <f>10*$B$3*(C112*$G$7-$H$7*2/C112+$J$7*C112^2+$K$7*2*C112^3+$L$7*3*C112^4-$I$7+$E$7)</f>
        <v>15.662253783783822</v>
      </c>
      <c r="I112" s="6">
        <f>$B$3*($F$7+$G$7+$G$7*LN(C112)-$H$7/C112^2+$J$7*2*C112+$K$7*3*C112^2+$L$7*4*C112^3)</f>
        <v>69.627424225897585</v>
      </c>
      <c r="J112" s="3">
        <f>($E$7-C112*($F$7+$G$7*LN(C112)+$H$7*C112^(-2)+$I$7*C112^(-1)+$J$7*C112+$K$7*C112^2+$L$7*C112^3))*$B$3*10</f>
        <v>-46.720154678067765</v>
      </c>
      <c r="K112" s="6">
        <f>$B$3*($G$7+2*$H$7*C112^(-2)+2*$J$7*C112+ 6*$K$7*C112^2+ 12*$L$7*C112^3)</f>
        <v>26.2</v>
      </c>
      <c r="L112" s="6">
        <f>N112+M112*B112</f>
        <v>16510.114164703897</v>
      </c>
      <c r="M112" s="6">
        <f>-SUM(Q112:X112)</f>
        <v>72.297221974637779</v>
      </c>
      <c r="N112" s="8">
        <f>SUM(Z112:AG112)</f>
        <v>-48264.288766627076</v>
      </c>
      <c r="O112" s="8"/>
      <c r="Q112">
        <f>IF( OR( E$10="д",E$10="l"),E$11/$B112,  IF( OR( E$10="g",E$10="п"),E$11*(LN($B112)+1),  $B112^(E$10-1)*E$10*E$11))</f>
        <v>0</v>
      </c>
      <c r="R112">
        <f>IF( OR( F$10="д",F$10="l"),F$11/$B112,  IF( OR( F$10="g",F$10="п"),F$11*(LN($B112)+1),  $B112^(F$10-1)*F$10*F$11))</f>
        <v>92.539694999999995</v>
      </c>
      <c r="S112">
        <f>IF( OR( G$10="д",G$10="l"),G$11/$B112,  IF( OR( G$10="g",G$10="п"),G$11*(LN($B112)+1),  $B112^(G$10-1)*G$10*G$11))</f>
        <v>-149.2514247880417</v>
      </c>
      <c r="T112">
        <f>IF( OR( H$10="д",H$10="l"),H$11/$B112,  IF( OR( H$10="g",H$10="п"),H$11*(LN($B112)+1),  $B112^(H$10-1)*H$10*H$11))</f>
        <v>-22.031310810810844</v>
      </c>
      <c r="U112">
        <f>IF( OR( I$10="д",I$10="l"),I$11/$B112,  IF( OR( I$10="g",I$10="п"),I$11*(LN($B112)+1),  $B112^(I$10-1)*I$10*I$11))</f>
        <v>6.4458186242147741</v>
      </c>
      <c r="V112">
        <f>IF( OR( J$10="д",J$10="l"),J$11/$B112,  IF( OR( J$10="g",J$10="п"),J$11*(LN($B112)+1),  $B112^(J$10-1)*J$10*J$11))</f>
        <v>0</v>
      </c>
      <c r="W112">
        <f>IF( OR( K$10="д",K$10="l"),K$11/$B112,  IF( OR( K$10="g",K$10="п"),K$11*(LN($B112)+1),  $B112^(K$10-1)*K$10*K$11))</f>
        <v>0</v>
      </c>
      <c r="X112">
        <f>IF( OR( L$10="д",L$10="l"),L$11/$B112,  IF( OR( L$10="g",L$10="п"),L$11*(LN($B112)+1),  $B112^(L$10-1)*L$10*L$11))</f>
        <v>0</v>
      </c>
      <c r="Z112">
        <f>IF( OR( E$10="д",E$10="l"),E$11*LN($B112),  IF( OR( E$10="g",E$10="п"),E$11*$B112*LN($B112),  ($B112^E$10)*E$11))</f>
        <v>-6657.6530000000002</v>
      </c>
      <c r="AA112">
        <f>IF( OR( F$10="д",F$10="l"),F$11*LN($B112),  IF( OR( F$10="g",F$10="п"),F$11*$B112*LN($B112),  ($B112^F$10)*F$11))</f>
        <v>82910.564574324439</v>
      </c>
      <c r="AB112">
        <f>IF( OR( G$10="д",G$10="l"),G$11*LN($B112),  IF( OR( G$10="g",G$10="п"),G$11*$B112*LN($B112),  ($B112^G$10)*G$11))</f>
        <v>-116572.803560097</v>
      </c>
      <c r="AC112">
        <f>IF( OR( H$10="д",H$10="l"),H$11*LN($B112),  IF( OR( H$10="g",H$10="п"),H$11*$B112*LN($B112),  ($B112^H$10)*H$11))</f>
        <v>-9869.4318024105487</v>
      </c>
      <c r="AD112">
        <f>IF( OR( I$10="д",I$10="l"),I$11*LN($B112),  IF( OR( I$10="g",I$10="п"),I$11*$B112*LN($B112),  ($B112^I$10)*I$11))</f>
        <v>1925.035021556037</v>
      </c>
      <c r="AE112">
        <f>IF( OR( J$10="д",J$10="l"),J$11*LN($B112),  IF( OR( J$10="g",J$10="п"),J$11*$B112*LN($B112),  ($B112^J$10)*J$11))</f>
        <v>0</v>
      </c>
      <c r="AF112">
        <f>IF( OR( K$10="д",K$10="l"),K$11*LN($B112),  IF( OR( K$10="g",K$10="п"),K$11*$B112*LN($B112),  ($B112^K$10)*K$11))</f>
        <v>0</v>
      </c>
      <c r="AG112">
        <f>IF( OR( L$10="д",L$10="l"),L$11*LN($B112),  IF( OR( L$10="g",L$10="п"),L$11*$B112*LN($B112),  ($B112^L$10)*L$11))</f>
        <v>0</v>
      </c>
      <c r="AP112" s="8">
        <f>(H112-D112)</f>
        <v>78.260284024231112</v>
      </c>
      <c r="AQ112" s="8">
        <f>I112-E112</f>
        <v>103.58108820058004</v>
      </c>
      <c r="AR112" s="8">
        <f>(J112-F112)</f>
        <v>-14.542772025748157</v>
      </c>
      <c r="AS112" s="8">
        <f>K112-G112</f>
        <v>469.10954786227734</v>
      </c>
      <c r="AT112" s="8">
        <f>H112-L112</f>
        <v>-16494.451910920114</v>
      </c>
      <c r="AU112" s="3">
        <f>I112-M112</f>
        <v>-2.6697977487401943</v>
      </c>
      <c r="AV112" s="8">
        <f>J112-N112</f>
        <v>48217.568611949006</v>
      </c>
      <c r="AX112" s="5"/>
    </row>
    <row r="113" spans="1:50" hidden="1" x14ac:dyDescent="0.35">
      <c r="A113" s="1" t="s">
        <v>0</v>
      </c>
      <c r="B113" s="4">
        <f>B112+($C$2-$C$1)/$C$48</f>
        <v>905.40540540540678</v>
      </c>
      <c r="C113" s="7">
        <f>B113/10000</f>
        <v>9.0540540540540684E-2</v>
      </c>
      <c r="D113" s="9">
        <f>10*$B$3*(C113*$G$3-$H$3*2/C113+$J$3*C113^2+$K$3*2*C113^3+$L$3*3*C113^4-$I$3+$E$3)</f>
        <v>-66.873217388211259</v>
      </c>
      <c r="E113" s="6">
        <f>$B$3*($F$3+$G$3+$G$3*LN(C113)-$H$3/C113^2+$J$3*2*C113+$K$3*3*C113^2+$L$3*4*C113^3)</f>
        <v>-38.70018528472081</v>
      </c>
      <c r="F113" s="3">
        <f>($E$3-C113*($F$3+$G$3*LN(C113)+$H$3*C113^(-2)+$I$3*C113^(-1)+$J$3*C113+$K$3*C113^2+$L$3*C113^3))*$B$3*10</f>
        <v>-31.833860441234393</v>
      </c>
      <c r="G113" s="6">
        <f>$B$3*($G$3+2*$H$3*C113^(-2)+2*$J$3*C113+ 6*$K$3*C113^2+ 12*$L$3*C113^3)</f>
        <v>-461.046416589373</v>
      </c>
      <c r="H113" s="9">
        <f>10*$B$3*(C113*$G$7-$H$7*2/C113+$J$7*C113^2+$K$7*2*C113^3+$L$7*3*C113^4-$I$7+$E$7)</f>
        <v>15.91009162162166</v>
      </c>
      <c r="I113" s="6">
        <f>$B$3*($F$7+$G$7+$G$7*LN(C113)-$H$7/C113^2+$J$7*2*C113+$K$7*3*C113^2+$L$7*4*C113^3)</f>
        <v>69.90259554751529</v>
      </c>
      <c r="J113" s="3">
        <f>($E$7-C113*($F$7+$G$7*LN(C113)+$H$7*C113^(-2)+$I$7*C113^(-1)+$J$7*C113+$K$7*C113^2+$L$7*C113^3))*$B$3*10</f>
        <v>-47.380096238966615</v>
      </c>
      <c r="K113" s="6">
        <f>$B$3*($G$7+2*$H$7*C113^(-2)+2*$J$7*C113+ 6*$K$7*C113^2+ 12*$L$7*C113^3)</f>
        <v>26.2</v>
      </c>
      <c r="L113" s="6">
        <f>N113+M113*B113</f>
        <v>16777.432697885662</v>
      </c>
      <c r="M113" s="6">
        <f>-SUM(Q113:X113)</f>
        <v>72.594022851488603</v>
      </c>
      <c r="N113" s="8">
        <f>SUM(Z113:AG113)</f>
        <v>-48949.587991975735</v>
      </c>
      <c r="O113" s="8"/>
      <c r="Q113">
        <f>IF( OR( E$10="д",E$10="l"),E$11/$B113,  IF( OR( E$10="g",E$10="п"),E$11*(LN($B113)+1),  $B113^(E$10-1)*E$10*E$11))</f>
        <v>0</v>
      </c>
      <c r="R113">
        <f>IF( OR( F$10="д",F$10="l"),F$11/$B113,  IF( OR( F$10="g",F$10="п"),F$11*(LN($B113)+1),  $B113^(F$10-1)*F$10*F$11))</f>
        <v>92.539694999999995</v>
      </c>
      <c r="S113">
        <f>IF( OR( G$10="д",G$10="l"),G$11/$B113,  IF( OR( G$10="g",G$10="п"),G$11*(LN($B113)+1),  $B113^(G$10-1)*G$10*G$11))</f>
        <v>-149.45244689093343</v>
      </c>
      <c r="T113">
        <f>IF( OR( H$10="д",H$10="l"),H$11/$B113,  IF( OR( H$10="g",H$10="п"),H$11*(LN($B113)+1),  $B113^(H$10-1)*H$10*H$11))</f>
        <v>-22.263918918918954</v>
      </c>
      <c r="U113">
        <f>IF( OR( I$10="д",I$10="l"),I$11/$B113,  IF( OR( I$10="g",I$10="п"),I$11*(LN($B113)+1),  $B113^(I$10-1)*I$10*I$11))</f>
        <v>6.5826479583637889</v>
      </c>
      <c r="V113">
        <f>IF( OR( J$10="д",J$10="l"),J$11/$B113,  IF( OR( J$10="g",J$10="п"),J$11*(LN($B113)+1),  $B113^(J$10-1)*J$10*J$11))</f>
        <v>0</v>
      </c>
      <c r="W113">
        <f>IF( OR( K$10="д",K$10="l"),K$11/$B113,  IF( OR( K$10="g",K$10="п"),K$11*(LN($B113)+1),  $B113^(K$10-1)*K$10*K$11))</f>
        <v>0</v>
      </c>
      <c r="X113">
        <f>IF( OR( L$10="д",L$10="l"),L$11/$B113,  IF( OR( L$10="g",L$10="п"),L$11*(LN($B113)+1),  $B113^(L$10-1)*L$10*L$11))</f>
        <v>0</v>
      </c>
      <c r="Z113">
        <f>IF( OR( E$10="д",E$10="l"),E$11*LN($B113),  IF( OR( E$10="g",E$10="п"),E$11*$B113*LN($B113),  ($B113^E$10)*E$11))</f>
        <v>-6657.6530000000002</v>
      </c>
      <c r="AA113">
        <f>IF( OR( F$10="д",F$10="l"),F$11*LN($B113),  IF( OR( F$10="g",F$10="п"),F$11*$B113*LN($B113),  ($B113^F$10)*F$11))</f>
        <v>83785.940067567688</v>
      </c>
      <c r="AB113">
        <f>IF( OR( G$10="д",G$10="l"),G$11*LN($B113),  IF( OR( G$10="g",G$10="п"),G$11*$B113*LN($B113),  ($B113^G$10)*G$11))</f>
        <v>-117985.59380665611</v>
      </c>
      <c r="AC113">
        <f>IF( OR( H$10="д",H$10="l"),H$11*LN($B113),  IF( OR( H$10="g",H$10="п"),H$11*$B113*LN($B113),  ($B113^H$10)*H$11))</f>
        <v>-10078.936267348459</v>
      </c>
      <c r="AD113">
        <f>IF( OR( I$10="д",I$10="l"),I$11*LN($B113),  IF( OR( I$10="g",I$10="п"),I$11*$B113*LN($B113),  ($B113^I$10)*I$11))</f>
        <v>1986.6550144611465</v>
      </c>
      <c r="AE113">
        <f>IF( OR( J$10="д",J$10="l"),J$11*LN($B113),  IF( OR( J$10="g",J$10="п"),J$11*$B113*LN($B113),  ($B113^J$10)*J$11))</f>
        <v>0</v>
      </c>
      <c r="AF113">
        <f>IF( OR( K$10="д",K$10="l"),K$11*LN($B113),  IF( OR( K$10="g",K$10="п"),K$11*$B113*LN($B113),  ($B113^K$10)*K$11))</f>
        <v>0</v>
      </c>
      <c r="AG113">
        <f>IF( OR( L$10="д",L$10="l"),L$11*LN($B113),  IF( OR( L$10="g",L$10="п"),L$11*$B113*LN($B113),  ($B113^L$10)*L$11))</f>
        <v>0</v>
      </c>
      <c r="AP113" s="8">
        <f>(H113-D113)</f>
        <v>82.783309009832919</v>
      </c>
      <c r="AQ113" s="8">
        <f>I113-E113</f>
        <v>108.60278083223611</v>
      </c>
      <c r="AR113" s="8">
        <f>(J113-F113)</f>
        <v>-15.546235797732223</v>
      </c>
      <c r="AS113" s="8">
        <f>K113-G113</f>
        <v>487.24641658937298</v>
      </c>
      <c r="AT113" s="8">
        <f>H113-L113</f>
        <v>-16761.522606264039</v>
      </c>
      <c r="AU113" s="3">
        <f>I113-M113</f>
        <v>-2.6914273039733132</v>
      </c>
      <c r="AV113" s="8">
        <f>J113-N113</f>
        <v>48902.20789573677</v>
      </c>
      <c r="AX113" s="5"/>
    </row>
    <row r="114" spans="1:50" hidden="1" x14ac:dyDescent="0.35">
      <c r="A114" s="1" t="s">
        <v>0</v>
      </c>
      <c r="B114" s="4">
        <f>B113+($C$2-$C$1)/$C$48</f>
        <v>914.86486486486626</v>
      </c>
      <c r="C114" s="7">
        <f>B114/10000</f>
        <v>9.1486486486486621E-2</v>
      </c>
      <c r="D114" s="9">
        <f>10*$B$3*(C114*$G$3-$H$3*2/C114+$J$3*C114^2+$K$3*2*C114^3+$L$3*3*C114^4-$I$3+$E$3)</f>
        <v>-71.321651369089153</v>
      </c>
      <c r="E114" s="6">
        <f>$B$3*($F$3+$G$3+$G$3*LN(C114)-$H$3/C114^2+$J$3*2*C114+$K$3*3*C114^2+$L$3*4*C114^3)</f>
        <v>-43.587725984245324</v>
      </c>
      <c r="F114" s="3">
        <f>($E$3-C114*($F$3+$G$3*LN(C114)+$H$3*C114^(-2)+$I$3*C114^(-1)+$J$3*C114+$K$3*C114^2+$L$3*C114^3))*$B$3*10</f>
        <v>-31.444772326745685</v>
      </c>
      <c r="G114" s="6">
        <f>$B$3*($G$3+2*$H$3*C114^(-2)+2*$J$3*C114+ 6*$K$3*C114^2+ 12*$L$3*C114^3)</f>
        <v>-479.53891476838953</v>
      </c>
      <c r="H114" s="9">
        <f>10*$B$3*(C114*$G$7-$H$7*2/C114+$J$7*C114^2+$K$7*2*C114^3+$L$7*3*C114^4-$I$7+$E$7)</f>
        <v>16.157929459459496</v>
      </c>
      <c r="I114" s="6">
        <f>$B$3*($F$7+$G$7+$G$7*LN(C114)-$H$7/C114^2+$J$7*2*C114+$K$7*3*C114^2+$L$7*4*C114^3)</f>
        <v>70.174906833329572</v>
      </c>
      <c r="J114" s="3">
        <f>($E$7-C114*($F$7+$G$7*LN(C114)+$H$7*C114^(-2)+$I$7*C114^(-1)+$J$7*C114+$K$7*C114^2+$L$7*C114^3))*$B$3*10</f>
        <v>-48.042627197519145</v>
      </c>
      <c r="K114" s="6">
        <f>$B$3*($G$7+2*$H$7*C114^(-2)+2*$J$7*C114+ 6*$K$7*C114^2+ 12*$L$7*C114^3)</f>
        <v>26.2</v>
      </c>
      <c r="L114" s="6">
        <f>N114+M114*B114</f>
        <v>17044.349321077854</v>
      </c>
      <c r="M114" s="6">
        <f>-SUM(Q114:X114)</f>
        <v>72.887297306664138</v>
      </c>
      <c r="N114" s="8">
        <f>SUM(Z114:AG114)</f>
        <v>-49637.678079748759</v>
      </c>
      <c r="O114" s="8"/>
      <c r="Q114">
        <f>IF( OR( E$10="д",E$10="l"),E$11/$B114,  IF( OR( E$10="g",E$10="п"),E$11*(LN($B114)+1),  $B114^(E$10-1)*E$10*E$11))</f>
        <v>0</v>
      </c>
      <c r="R114">
        <f>IF( OR( F$10="д",F$10="l"),F$11/$B114,  IF( OR( F$10="g",F$10="п"),F$11*(LN($B114)+1),  $B114^(F$10-1)*F$10*F$11))</f>
        <v>92.539694999999995</v>
      </c>
      <c r="S114">
        <f>IF( OR( G$10="д",G$10="l"),G$11/$B114,  IF( OR( G$10="g",G$10="п"),G$11*(LN($B114)+1),  $B114^(G$10-1)*G$10*G$11))</f>
        <v>-149.65137963942524</v>
      </c>
      <c r="T114">
        <f>IF( OR( H$10="д",H$10="l"),H$11/$B114,  IF( OR( H$10="g",H$10="п"),H$11*(LN($B114)+1),  $B114^(H$10-1)*H$10*H$11))</f>
        <v>-22.496527027027064</v>
      </c>
      <c r="U114">
        <f>IF( OR( I$10="д",I$10="l"),I$11/$B114,  IF( OR( I$10="g",I$10="п"),I$11*(LN($B114)+1),  $B114^(I$10-1)*I$10*I$11))</f>
        <v>6.7209143597881864</v>
      </c>
      <c r="V114">
        <f>IF( OR( J$10="д",J$10="l"),J$11/$B114,  IF( OR( J$10="g",J$10="п"),J$11*(LN($B114)+1),  $B114^(J$10-1)*J$10*J$11))</f>
        <v>0</v>
      </c>
      <c r="W114">
        <f>IF( OR( K$10="д",K$10="l"),K$11/$B114,  IF( OR( K$10="g",K$10="п"),K$11*(LN($B114)+1),  $B114^(K$10-1)*K$10*K$11))</f>
        <v>0</v>
      </c>
      <c r="X114">
        <f>IF( OR( L$10="д",L$10="l"),L$11/$B114,  IF( OR( L$10="g",L$10="п"),L$11*(LN($B114)+1),  $B114^(L$10-1)*L$10*L$11))</f>
        <v>0</v>
      </c>
      <c r="Z114">
        <f>IF( OR( E$10="д",E$10="l"),E$11*LN($B114),  IF( OR( E$10="g",E$10="п"),E$11*$B114*LN($B114),  ($B114^E$10)*E$11))</f>
        <v>-6657.6530000000002</v>
      </c>
      <c r="AA114">
        <f>IF( OR( F$10="д",F$10="l"),F$11*LN($B114),  IF( OR( F$10="g",F$10="п"),F$11*$B114*LN($B114),  ($B114^F$10)*F$11))</f>
        <v>84661.315560810937</v>
      </c>
      <c r="AB114">
        <f>IF( OR( G$10="д",G$10="l"),G$11*LN($B114),  IF( OR( G$10="g",G$10="п"),G$11*$B114*LN($B114),  ($B114^G$10)*G$11))</f>
        <v>-119400.27569715005</v>
      </c>
      <c r="AC114">
        <f>IF( OR( H$10="д",H$10="l"),H$11*LN($B114),  IF( OR( H$10="g",H$10="п"),H$11*$B114*LN($B114),  ($B114^H$10)*H$11))</f>
        <v>-10290.641079254961</v>
      </c>
      <c r="AD114">
        <f>IF( OR( I$10="д",I$10="l"),I$11*LN($B114),  IF( OR( I$10="g",I$10="п"),I$11*$B114*LN($B114),  ($B114^I$10)*I$11))</f>
        <v>2049.5761358453196</v>
      </c>
      <c r="AE114">
        <f>IF( OR( J$10="д",J$10="l"),J$11*LN($B114),  IF( OR( J$10="g",J$10="п"),J$11*$B114*LN($B114),  ($B114^J$10)*J$11))</f>
        <v>0</v>
      </c>
      <c r="AF114">
        <f>IF( OR( K$10="д",K$10="l"),K$11*LN($B114),  IF( OR( K$10="g",K$10="п"),K$11*$B114*LN($B114),  ($B114^K$10)*K$11))</f>
        <v>0</v>
      </c>
      <c r="AG114">
        <f>IF( OR( L$10="д",L$10="l"),L$11*LN($B114),  IF( OR( L$10="g",L$10="п"),L$11*$B114*LN($B114),  ($B114^L$10)*L$11))</f>
        <v>0</v>
      </c>
      <c r="AP114" s="8">
        <f>(H114-D114)</f>
        <v>87.479580828548649</v>
      </c>
      <c r="AQ114" s="8">
        <f>I114-E114</f>
        <v>113.7626328175749</v>
      </c>
      <c r="AR114" s="8">
        <f>(J114-F114)</f>
        <v>-16.59785487077346</v>
      </c>
      <c r="AS114" s="8">
        <f>K114-G114</f>
        <v>505.73891476838952</v>
      </c>
      <c r="AT114" s="8">
        <f>H114-L114</f>
        <v>-17028.191391618395</v>
      </c>
      <c r="AU114" s="3">
        <f>I114-M114</f>
        <v>-2.7123904733345654</v>
      </c>
      <c r="AV114" s="8">
        <f>J114-N114</f>
        <v>49589.635452551243</v>
      </c>
      <c r="AX114" s="5"/>
    </row>
    <row r="115" spans="1:50" hidden="1" x14ac:dyDescent="0.35">
      <c r="A115" s="1" t="s">
        <v>0</v>
      </c>
      <c r="B115" s="4">
        <f>B114+($C$2-$C$1)/$C$48</f>
        <v>924.32432432432574</v>
      </c>
      <c r="C115" s="7">
        <f>B115/10000</f>
        <v>9.2432432432432571E-2</v>
      </c>
      <c r="D115" s="9">
        <f>10*$B$3*(C115*$G$3-$H$3*2/C115+$J$3*C115^2+$K$3*2*C115^3+$L$3*3*C115^4-$I$3+$E$3)</f>
        <v>-75.946697262909723</v>
      </c>
      <c r="E115" s="6">
        <f>$B$3*($F$3+$G$3+$G$3*LN(C115)-$H$3/C115^2+$J$3*2*C115+$K$3*3*C115^2+$L$3*4*C115^3)</f>
        <v>-48.617044192459304</v>
      </c>
      <c r="F115" s="3">
        <f>($E$3-C115*($F$3+$G$3*LN(C115)+$H$3*C115^(-2)+$I$3*C115^(-1)+$J$3*C115+$K$3*C115^2+$L$3*C115^3))*$B$3*10</f>
        <v>-31.008780739068676</v>
      </c>
      <c r="G115" s="6">
        <f>$B$3*($G$3+2*$H$3*C115^(-2)+2*$J$3*C115+ 6*$K$3*C115^2+ 12*$L$3*C115^3)</f>
        <v>-498.3872556690539</v>
      </c>
      <c r="H115" s="9">
        <f>10*$B$3*(C115*$G$7-$H$7*2/C115+$J$7*C115^2+$K$7*2*C115^3+$L$7*3*C115^4-$I$7+$E$7)</f>
        <v>16.405767297297334</v>
      </c>
      <c r="I115" s="6">
        <f>$B$3*($F$7+$G$7+$G$7*LN(C115)-$H$7/C115^2+$J$7*2*C115+$K$7*3*C115^2+$L$7*4*C115^3)</f>
        <v>70.444416924738803</v>
      </c>
      <c r="J115" s="3">
        <f>($E$7-C115*($F$7+$G$7*LN(C115)+$H$7*C115^(-2)+$I$7*C115^(-1)+$J$7*C115+$K$7*C115^2+$L$7*C115^3))*$B$3*10</f>
        <v>-48.707720779082955</v>
      </c>
      <c r="K115" s="6">
        <f>$B$3*($G$7+2*$H$7*C115^(-2)+2*$J$7*C115+ 6*$K$7*C115^2+ 12*$L$7*C115^3)</f>
        <v>26.2</v>
      </c>
      <c r="L115" s="6">
        <f>N115+M115*B115</f>
        <v>17310.836846521255</v>
      </c>
      <c r="M115" s="6">
        <f>-SUM(Q115:X115)</f>
        <v>73.1770883258271</v>
      </c>
      <c r="N115" s="8">
        <f>SUM(Z115:AG115)</f>
        <v>-50328.525876270389</v>
      </c>
      <c r="O115" s="8"/>
      <c r="Q115">
        <f>IF( OR( E$10="д",E$10="l"),E$11/$B115,  IF( OR( E$10="g",E$10="п"),E$11*(LN($B115)+1),  $B115^(E$10-1)*E$10*E$11))</f>
        <v>0</v>
      </c>
      <c r="R115">
        <f>IF( OR( F$10="д",F$10="l"),F$11/$B115,  IF( OR( F$10="g",F$10="п"),F$11*(LN($B115)+1),  $B115^(F$10-1)*F$10*F$11))</f>
        <v>92.539694999999995</v>
      </c>
      <c r="S115">
        <f>IF( OR( G$10="д",G$10="l"),G$11/$B115,  IF( OR( G$10="g",G$10="п"),G$11*(LN($B115)+1),  $B115^(G$10-1)*G$10*G$11))</f>
        <v>-149.8482660191799</v>
      </c>
      <c r="T115">
        <f>IF( OR( H$10="д",H$10="l"),H$11/$B115,  IF( OR( H$10="g",H$10="п"),H$11*(LN($B115)+1),  $B115^(H$10-1)*H$10*H$11))</f>
        <v>-22.72913513513517</v>
      </c>
      <c r="U115">
        <f>IF( OR( I$10="д",I$10="l"),I$11/$B115,  IF( OR( I$10="g",I$10="п"),I$11*(LN($B115)+1),  $B115^(I$10-1)*I$10*I$11))</f>
        <v>6.8606178284879684</v>
      </c>
      <c r="V115">
        <f>IF( OR( J$10="д",J$10="l"),J$11/$B115,  IF( OR( J$10="g",J$10="п"),J$11*(LN($B115)+1),  $B115^(J$10-1)*J$10*J$11))</f>
        <v>0</v>
      </c>
      <c r="W115">
        <f>IF( OR( K$10="д",K$10="l"),K$11/$B115,  IF( OR( K$10="g",K$10="п"),K$11*(LN($B115)+1),  $B115^(K$10-1)*K$10*K$11))</f>
        <v>0</v>
      </c>
      <c r="X115">
        <f>IF( OR( L$10="д",L$10="l"),L$11/$B115,  IF( OR( L$10="g",L$10="п"),L$11*(LN($B115)+1),  $B115^(L$10-1)*L$10*L$11))</f>
        <v>0</v>
      </c>
      <c r="Z115">
        <f>IF( OR( E$10="д",E$10="l"),E$11*LN($B115),  IF( OR( E$10="g",E$10="п"),E$11*$B115*LN($B115),  ($B115^E$10)*E$11))</f>
        <v>-6657.6530000000002</v>
      </c>
      <c r="AA115">
        <f>IF( OR( F$10="д",F$10="l"),F$11*LN($B115),  IF( OR( F$10="g",F$10="п"),F$11*$B115*LN($B115),  ($B115^F$10)*F$11))</f>
        <v>85536.691054054187</v>
      </c>
      <c r="AB115">
        <f>IF( OR( G$10="д",G$10="l"),G$11*LN($B115),  IF( OR( G$10="g",G$10="п"),G$11*$B115*LN($B115),  ($B115^G$10)*G$11))</f>
        <v>-120816.8296717827</v>
      </c>
      <c r="AC115">
        <f>IF( OR( H$10="д",H$10="l"),H$11*LN($B115),  IF( OR( H$10="g",H$10="п"),H$11*$B115*LN($B115),  ($B115^H$10)*H$11))</f>
        <v>-10504.546238130055</v>
      </c>
      <c r="AD115">
        <f>IF( OR( I$10="д",I$10="l"),I$11*LN($B115),  IF( OR( I$10="g",I$10="п"),I$11*$B115*LN($B115),  ($B115^I$10)*I$11))</f>
        <v>2113.811979588188</v>
      </c>
      <c r="AE115">
        <f>IF( OR( J$10="д",J$10="l"),J$11*LN($B115),  IF( OR( J$10="g",J$10="п"),J$11*$B115*LN($B115),  ($B115^J$10)*J$11))</f>
        <v>0</v>
      </c>
      <c r="AF115">
        <f>IF( OR( K$10="д",K$10="l"),K$11*LN($B115),  IF( OR( K$10="g",K$10="п"),K$11*$B115*LN($B115),  ($B115^K$10)*K$11))</f>
        <v>0</v>
      </c>
      <c r="AG115">
        <f>IF( OR( L$10="д",L$10="l"),L$11*LN($B115),  IF( OR( L$10="g",L$10="п"),L$11*$B115*LN($B115),  ($B115^L$10)*L$11))</f>
        <v>0</v>
      </c>
      <c r="AP115" s="8">
        <f>(H115-D115)</f>
        <v>92.352464560207054</v>
      </c>
      <c r="AQ115" s="8">
        <f>I115-E115</f>
        <v>119.06146111719811</v>
      </c>
      <c r="AR115" s="8">
        <f>(J115-F115)</f>
        <v>-17.698940040014278</v>
      </c>
      <c r="AS115" s="8">
        <f>K115-G115</f>
        <v>524.58725566905389</v>
      </c>
      <c r="AT115" s="8">
        <f>H115-L115</f>
        <v>-17294.431079223959</v>
      </c>
      <c r="AU115" s="3">
        <f>I115-M115</f>
        <v>-2.7326714010882966</v>
      </c>
      <c r="AV115" s="8">
        <f>J115-N115</f>
        <v>50279.818155491303</v>
      </c>
      <c r="AX115" s="5"/>
    </row>
    <row r="116" spans="1:50" hidden="1" x14ac:dyDescent="0.35">
      <c r="A116" s="1" t="s">
        <v>0</v>
      </c>
      <c r="B116" s="4">
        <f>B115+($C$2-$C$1)/$C$48</f>
        <v>933.78378378378522</v>
      </c>
      <c r="C116" s="7">
        <f>B116/10000</f>
        <v>9.3378378378378521E-2</v>
      </c>
      <c r="D116" s="9">
        <f>10*$B$3*(C116*$G$3-$H$3*2/C116+$J$3*C116^2+$K$3*2*C116^3+$L$3*3*C116^4-$I$3+$E$3)</f>
        <v>-80.751722115559687</v>
      </c>
      <c r="E116" s="6">
        <f>$B$3*($F$3+$G$3+$G$3*LN(C116)-$H$3/C116^2+$J$3*2*C116+$K$3*3*C116^2+$L$3*4*C116^3)</f>
        <v>-53.788876987018853</v>
      </c>
      <c r="F116" s="3">
        <f>($E$3-C116*($F$3+$G$3*LN(C116)+$H$3*C116^(-2)+$I$3*C116^(-1)+$J$3*C116+$K$3*C116^2+$L$3*C116^3))*$B$3*10</f>
        <v>-30.524541037140544</v>
      </c>
      <c r="G116" s="6">
        <f>$B$3*($G$3+2*$H$3*C116^(-2)+2*$J$3*C116+ 6*$K$3*C116^2+ 12*$L$3*C116^3)</f>
        <v>-517.59164181371682</v>
      </c>
      <c r="H116" s="9">
        <f>10*$B$3*(C116*$G$7-$H$7*2/C116+$J$7*C116^2+$K$7*2*C116^3+$L$7*3*C116^4-$I$7+$E$7)</f>
        <v>16.653605135135173</v>
      </c>
      <c r="I116" s="6">
        <f>$B$3*($F$7+$G$7+$G$7*LN(C116)-$H$7/C116^2+$J$7*2*C116+$K$7*3*C116^2+$L$7*4*C116^3)</f>
        <v>70.711182865740938</v>
      </c>
      <c r="J116" s="3">
        <f>($E$7-C116*($F$7+$G$7*LN(C116)+$H$7*C116^(-2)+$I$7*C116^(-1)+$J$7*C116+$K$7*C116^2+$L$7*C116^3))*$B$3*10</f>
        <v>-49.375350757063558</v>
      </c>
      <c r="K116" s="6">
        <f>$B$3*($G$7+2*$H$7*C116^(-2)+2*$J$7*C116+ 6*$K$7*C116^2+ 12*$L$7*C116^3)</f>
        <v>26.2</v>
      </c>
      <c r="L116" s="6">
        <f>N116+M116*B116</f>
        <v>17576.868086456612</v>
      </c>
      <c r="M116" s="6">
        <f>-SUM(Q116:X116)</f>
        <v>73.463437581577637</v>
      </c>
      <c r="N116" s="8">
        <f>SUM(Z116:AG116)</f>
        <v>-51022.098628232881</v>
      </c>
      <c r="O116" s="8"/>
      <c r="Q116">
        <f>IF( OR( E$10="д",E$10="l"),E$11/$B116,  IF( OR( E$10="g",E$10="п"),E$11*(LN($B116)+1),  $B116^(E$10-1)*E$10*E$11))</f>
        <v>0</v>
      </c>
      <c r="R116">
        <f>IF( OR( F$10="д",F$10="l"),F$11/$B116,  IF( OR( F$10="g",F$10="п"),F$11*(LN($B116)+1),  $B116^(F$10-1)*F$10*F$11))</f>
        <v>92.539694999999995</v>
      </c>
      <c r="S116">
        <f>IF( OR( G$10="д",G$10="l"),G$11/$B116,  IF( OR( G$10="g",G$10="п"),G$11*(LN($B116)+1),  $B116^(G$10-1)*G$10*G$11))</f>
        <v>-150.04314770279748</v>
      </c>
      <c r="T116">
        <f>IF( OR( H$10="д",H$10="l"),H$11/$B116,  IF( OR( H$10="g",H$10="п"),H$11*(LN($B116)+1),  $B116^(H$10-1)*H$10*H$11))</f>
        <v>-22.96174324324328</v>
      </c>
      <c r="U116">
        <f>IF( OR( I$10="д",I$10="l"),I$11/$B116,  IF( OR( I$10="g",I$10="п"),I$11*(LN($B116)+1),  $B116^(I$10-1)*I$10*I$11))</f>
        <v>7.0017583644631332</v>
      </c>
      <c r="V116">
        <f>IF( OR( J$10="д",J$10="l"),J$11/$B116,  IF( OR( J$10="g",J$10="п"),J$11*(LN($B116)+1),  $B116^(J$10-1)*J$10*J$11))</f>
        <v>0</v>
      </c>
      <c r="W116">
        <f>IF( OR( K$10="д",K$10="l"),K$11/$B116,  IF( OR( K$10="g",K$10="п"),K$11*(LN($B116)+1),  $B116^(K$10-1)*K$10*K$11))</f>
        <v>0</v>
      </c>
      <c r="X116">
        <f>IF( OR( L$10="д",L$10="l"),L$11/$B116,  IF( OR( L$10="g",L$10="п"),L$11*(LN($B116)+1),  $B116^(L$10-1)*L$10*L$11))</f>
        <v>0</v>
      </c>
      <c r="Z116">
        <f>IF( OR( E$10="д",E$10="l"),E$11*LN($B116),  IF( OR( E$10="g",E$10="п"),E$11*$B116*LN($B116),  ($B116^E$10)*E$11))</f>
        <v>-6657.6530000000002</v>
      </c>
      <c r="AA116">
        <f>IF( OR( F$10="д",F$10="l"),F$11*LN($B116),  IF( OR( F$10="g",F$10="п"),F$11*$B116*LN($B116),  ($B116^F$10)*F$11))</f>
        <v>86412.066547297421</v>
      </c>
      <c r="AB116">
        <f>IF( OR( G$10="д",G$10="l"),G$11*LN($B116),  IF( OR( G$10="g",G$10="п"),G$11*$B116*LN($B116),  ($B116^G$10)*G$11))</f>
        <v>-122235.23657112595</v>
      </c>
      <c r="AC116">
        <f>IF( OR( H$10="д",H$10="l"),H$11*LN($B116),  IF( OR( H$10="g",H$10="п"),H$11*$B116*LN($B116),  ($B116^H$10)*H$11))</f>
        <v>-10720.651743973736</v>
      </c>
      <c r="AD116">
        <f>IF( OR( I$10="д",I$10="l"),I$11*LN($B116),  IF( OR( I$10="g",I$10="п"),I$11*$B116*LN($B116),  ($B116^I$10)*I$11))</f>
        <v>2179.3761395693841</v>
      </c>
      <c r="AE116">
        <f>IF( OR( J$10="д",J$10="l"),J$11*LN($B116),  IF( OR( J$10="g",J$10="п"),J$11*$B116*LN($B116),  ($B116^J$10)*J$11))</f>
        <v>0</v>
      </c>
      <c r="AF116">
        <f>IF( OR( K$10="д",K$10="l"),K$11*LN($B116),  IF( OR( K$10="g",K$10="п"),K$11*$B116*LN($B116),  ($B116^K$10)*K$11))</f>
        <v>0</v>
      </c>
      <c r="AG116">
        <f>IF( OR( L$10="д",L$10="l"),L$11*LN($B116),  IF( OR( L$10="g",L$10="п"),L$11*$B116*LN($B116),  ($B116^L$10)*L$11))</f>
        <v>0</v>
      </c>
      <c r="AP116" s="8">
        <f>(H116-D116)</f>
        <v>97.405327250694853</v>
      </c>
      <c r="AQ116" s="8">
        <f>I116-E116</f>
        <v>124.50005985275979</v>
      </c>
      <c r="AR116" s="8">
        <f>(J116-F116)</f>
        <v>-18.850809719923014</v>
      </c>
      <c r="AS116" s="8">
        <f>K116-G116</f>
        <v>543.79164181371686</v>
      </c>
      <c r="AT116" s="8">
        <f>H116-L116</f>
        <v>-17560.214481321476</v>
      </c>
      <c r="AU116" s="3">
        <f>I116-M116</f>
        <v>-2.752254715836699</v>
      </c>
      <c r="AV116" s="8">
        <f>J116-N116</f>
        <v>50972.723277475816</v>
      </c>
      <c r="AX116" s="5"/>
    </row>
    <row r="117" spans="1:50" hidden="1" x14ac:dyDescent="0.35">
      <c r="A117" s="1" t="s">
        <v>0</v>
      </c>
      <c r="B117" s="4">
        <f>B116+($C$2-$C$1)/$C$48</f>
        <v>943.24324324324471</v>
      </c>
      <c r="C117" s="7">
        <f>B117/10000</f>
        <v>9.4324324324324471E-2</v>
      </c>
      <c r="D117" s="9">
        <f>10*$B$3*(C117*$G$3-$H$3*2/C117+$J$3*C117^2+$K$3*2*C117^3+$L$3*3*C117^4-$I$3+$E$3)</f>
        <v>-85.740094840400545</v>
      </c>
      <c r="E117" s="6">
        <f>$B$3*($F$3+$G$3+$G$3*LN(C117)-$H$3/C117^2+$J$3*2*C117+$K$3*3*C117^2+$L$3*4*C117^3)</f>
        <v>-59.103941147345132</v>
      </c>
      <c r="F117" s="3">
        <f>($E$3-C117*($F$3+$G$3*LN(C117)+$H$3*C117^(-2)+$I$3*C117^(-1)+$J$3*C117+$K$3*C117^2+$L$3*C117^3))*$B$3*10</f>
        <v>-29.990701704120752</v>
      </c>
      <c r="G117" s="6">
        <f>$B$3*($G$3+2*$H$3*C117^(-2)+2*$J$3*C117+ 6*$K$3*C117^2+ 12*$L$3*C117^3)</f>
        <v>-537.15226562078033</v>
      </c>
      <c r="H117" s="9">
        <f>10*$B$3*(C117*$G$7-$H$7*2/C117+$J$7*C117^2+$K$7*2*C117^3+$L$7*3*C117^4-$I$7+$E$7)</f>
        <v>16.901442972973012</v>
      </c>
      <c r="I117" s="6">
        <f>$B$3*($F$7+$G$7+$G$7*LN(C117)-$H$7/C117^2+$J$7*2*C117+$K$7*3*C117^2+$L$7*4*C117^3)</f>
        <v>70.975259975402153</v>
      </c>
      <c r="J117" s="3">
        <f>($E$7-C117*($F$7+$G$7*LN(C117)+$H$7*C117^(-2)+$I$7*C117^(-1)+$J$7*C117+$K$7*C117^2+$L$7*C117^3))*$B$3*10</f>
        <v>-50.045491436257748</v>
      </c>
      <c r="K117" s="6">
        <f>$B$3*($G$7+2*$H$7*C117^(-2)+2*$J$7*C117+ 6*$K$7*C117^2+ 12*$L$7*C117^3)</f>
        <v>26.2</v>
      </c>
      <c r="L117" s="6">
        <f>N117+M117*B117</f>
        <v>17842.415853124614</v>
      </c>
      <c r="M117" s="6">
        <f>-SUM(Q117:X117)</f>
        <v>73.746385486393805</v>
      </c>
      <c r="N117" s="8">
        <f>SUM(Z117:AG117)</f>
        <v>-51718.363970528029</v>
      </c>
      <c r="O117" s="8"/>
      <c r="Q117">
        <f>IF( OR( E$10="д",E$10="l"),E$11/$B117,  IF( OR( E$10="g",E$10="п"),E$11*(LN($B117)+1),  $B117^(E$10-1)*E$10*E$11))</f>
        <v>0</v>
      </c>
      <c r="R117">
        <f>IF( OR( F$10="д",F$10="l"),F$11/$B117,  IF( OR( F$10="g",F$10="п"),F$11*(LN($B117)+1),  $B117^(F$10-1)*F$10*F$11))</f>
        <v>92.539694999999995</v>
      </c>
      <c r="S117">
        <f>IF( OR( G$10="д",G$10="l"),G$11/$B117,  IF( OR( G$10="g",G$10="п"),G$11*(LN($B117)+1),  $B117^(G$10-1)*G$10*G$11))</f>
        <v>-150.2360651027561</v>
      </c>
      <c r="T117">
        <f>IF( OR( H$10="д",H$10="l"),H$11/$B117,  IF( OR( H$10="g",H$10="п"),H$11*(LN($B117)+1),  $B117^(H$10-1)*H$10*H$11))</f>
        <v>-23.194351351351386</v>
      </c>
      <c r="U117">
        <f>IF( OR( I$10="д",I$10="l"),I$11/$B117,  IF( OR( I$10="g",I$10="п"),I$11*(LN($B117)+1),  $B117^(I$10-1)*I$10*I$11))</f>
        <v>7.1443359677136815</v>
      </c>
      <c r="V117">
        <f>IF( OR( J$10="д",J$10="l"),J$11/$B117,  IF( OR( J$10="g",J$10="п"),J$11*(LN($B117)+1),  $B117^(J$10-1)*J$10*J$11))</f>
        <v>0</v>
      </c>
      <c r="W117">
        <f>IF( OR( K$10="д",K$10="l"),K$11/$B117,  IF( OR( K$10="g",K$10="п"),K$11*(LN($B117)+1),  $B117^(K$10-1)*K$10*K$11))</f>
        <v>0</v>
      </c>
      <c r="X117">
        <f>IF( OR( L$10="д",L$10="l"),L$11/$B117,  IF( OR( L$10="g",L$10="п"),L$11*(LN($B117)+1),  $B117^(L$10-1)*L$10*L$11))</f>
        <v>0</v>
      </c>
      <c r="Z117">
        <f>IF( OR( E$10="д",E$10="l"),E$11*LN($B117),  IF( OR( E$10="g",E$10="п"),E$11*$B117*LN($B117),  ($B117^E$10)*E$11))</f>
        <v>-6657.6530000000002</v>
      </c>
      <c r="AA117">
        <f>IF( OR( F$10="д",F$10="l"),F$11*LN($B117),  IF( OR( F$10="g",F$10="п"),F$11*$B117*LN($B117),  ($B117^F$10)*F$11))</f>
        <v>87287.442040540671</v>
      </c>
      <c r="AB117">
        <f>IF( OR( G$10="д",G$10="l"),G$11*LN($B117),  IF( OR( G$10="g",G$10="п"),G$11*$B117*LN($B117),  ($B117^G$10)*G$11))</f>
        <v>-123655.47762395123</v>
      </c>
      <c r="AC117">
        <f>IF( OR( H$10="д",H$10="l"),H$11*LN($B117),  IF( OR( H$10="g",H$10="п"),H$11*$B117*LN($B117),  ($B117^H$10)*H$11))</f>
        <v>-10938.957596786009</v>
      </c>
      <c r="AD117">
        <f>IF( OR( I$10="д",I$10="l"),I$11*LN($B117),  IF( OR( I$10="g",I$10="п"),I$11*$B117*LN($B117),  ($B117^I$10)*I$11))</f>
        <v>2246.2822096685391</v>
      </c>
      <c r="AE117">
        <f>IF( OR( J$10="д",J$10="l"),J$11*LN($B117),  IF( OR( J$10="g",J$10="п"),J$11*$B117*LN($B117),  ($B117^J$10)*J$11))</f>
        <v>0</v>
      </c>
      <c r="AF117">
        <f>IF( OR( K$10="д",K$10="l"),K$11*LN($B117),  IF( OR( K$10="g",K$10="п"),K$11*$B117*LN($B117),  ($B117^K$10)*K$11))</f>
        <v>0</v>
      </c>
      <c r="AG117">
        <f>IF( OR( L$10="д",L$10="l"),L$11*LN($B117),  IF( OR( L$10="g",L$10="п"),L$11*$B117*LN($B117),  ($B117^L$10)*L$11))</f>
        <v>0</v>
      </c>
      <c r="AP117" s="8">
        <f>(H117-D117)</f>
        <v>102.64153781337356</v>
      </c>
      <c r="AQ117" s="8">
        <f>I117-E117</f>
        <v>130.07920112274729</v>
      </c>
      <c r="AR117" s="8">
        <f>(J117-F117)</f>
        <v>-20.054789732136996</v>
      </c>
      <c r="AS117" s="8">
        <f>K117-G117</f>
        <v>563.35226562078037</v>
      </c>
      <c r="AT117" s="8">
        <f>H117-L117</f>
        <v>-17825.514410151642</v>
      </c>
      <c r="AU117" s="3">
        <f>I117-M117</f>
        <v>-2.7711255109916522</v>
      </c>
      <c r="AV117" s="8">
        <f>J117-N117</f>
        <v>51668.318479091773</v>
      </c>
      <c r="AX117" s="5"/>
    </row>
    <row r="118" spans="1:50" hidden="1" x14ac:dyDescent="0.35">
      <c r="A118" s="1" t="s">
        <v>0</v>
      </c>
      <c r="B118" s="4">
        <f>B117+($C$2-$C$1)/$C$48</f>
        <v>952.70270270270419</v>
      </c>
      <c r="C118" s="7">
        <f>B118/10000</f>
        <v>9.5270270270270421E-2</v>
      </c>
      <c r="D118" s="9">
        <f>10*$B$3*(C118*$G$3-$H$3*2/C118+$J$3*C118^2+$K$3*2*C118^3+$L$3*3*C118^4-$I$3+$E$3)</f>
        <v>-90.915186125555167</v>
      </c>
      <c r="E118" s="6">
        <f>$B$3*($F$3+$G$3+$G$3*LN(C118)-$H$3/C118^2+$J$3*2*C118+$K$3*3*C118^2+$L$3*4*C118^3)</f>
        <v>-64.562933867042204</v>
      </c>
      <c r="F118" s="3">
        <f>($E$3-C118*($F$3+$G$3*LN(C118)+$H$3*C118^(-2)+$I$3*C118^(-1)+$J$3*C118+$K$3*C118^2+$L$3*C118^3))*$B$3*10</f>
        <v>-29.405904536008048</v>
      </c>
      <c r="G118" s="6">
        <f>$B$3*($G$3+2*$H$3*C118^(-2)+2*$J$3*C118+ 6*$K$3*C118^2+ 12*$L$3*C118^3)</f>
        <v>-557.06931000362556</v>
      </c>
      <c r="H118" s="9">
        <f>10*$B$3*(C118*$G$7-$H$7*2/C118+$J$7*C118^2+$K$7*2*C118^3+$L$7*3*C118^4-$I$7+$E$7)</f>
        <v>17.149280810810851</v>
      </c>
      <c r="I118" s="6">
        <f>$B$3*($F$7+$G$7+$G$7*LN(C118)-$H$7/C118^2+$J$7*2*C118+$K$7*3*C118^2+$L$7*4*C118^3)</f>
        <v>71.236701916709421</v>
      </c>
      <c r="J118" s="3">
        <f>($E$7-C118*($F$7+$G$7*LN(C118)+$H$7*C118^(-2)+$I$7*C118^(-1)+$J$7*C118+$K$7*C118^2+$L$7*C118^3))*$B$3*10</f>
        <v>-50.718117636865124</v>
      </c>
      <c r="K118" s="6">
        <f>$B$3*($G$7+2*$H$7*C118^(-2)+2*$J$7*C118+ 6*$K$7*C118^2+ 12*$L$7*C118^3)</f>
        <v>26.2</v>
      </c>
      <c r="L118" s="6">
        <f>N118+M118*B118</f>
        <v>18107.452958766058</v>
      </c>
      <c r="M118" s="6">
        <f>-SUM(Q118:X118)</f>
        <v>74.025971242931007</v>
      </c>
      <c r="N118" s="8">
        <f>SUM(Z118:AG118)</f>
        <v>-52417.289914566973</v>
      </c>
      <c r="O118" s="8"/>
      <c r="Q118">
        <f>IF( OR( E$10="д",E$10="l"),E$11/$B118,  IF( OR( E$10="g",E$10="п"),E$11*(LN($B118)+1),  $B118^(E$10-1)*E$10*E$11))</f>
        <v>0</v>
      </c>
      <c r="R118">
        <f>IF( OR( F$10="д",F$10="l"),F$11/$B118,  IF( OR( F$10="g",F$10="п"),F$11*(LN($B118)+1),  $B118^(F$10-1)*F$10*F$11))</f>
        <v>92.539694999999995</v>
      </c>
      <c r="S118">
        <f>IF( OR( G$10="д",G$10="l"),G$11/$B118,  IF( OR( G$10="g",G$10="п"),G$11*(LN($B118)+1),  $B118^(G$10-1)*G$10*G$11))</f>
        <v>-150.42705742171111</v>
      </c>
      <c r="T118">
        <f>IF( OR( H$10="д",H$10="l"),H$11/$B118,  IF( OR( H$10="g",H$10="п"),H$11*(LN($B118)+1),  $B118^(H$10-1)*H$10*H$11))</f>
        <v>-23.426959459459496</v>
      </c>
      <c r="U118">
        <f>IF( OR( I$10="д",I$10="l"),I$11/$B118,  IF( OR( I$10="g",I$10="п"),I$11*(LN($B118)+1),  $B118^(I$10-1)*I$10*I$11))</f>
        <v>7.2883506382396135</v>
      </c>
      <c r="V118">
        <f>IF( OR( J$10="д",J$10="l"),J$11/$B118,  IF( OR( J$10="g",J$10="п"),J$11*(LN($B118)+1),  $B118^(J$10-1)*J$10*J$11))</f>
        <v>0</v>
      </c>
      <c r="W118">
        <f>IF( OR( K$10="д",K$10="l"),K$11/$B118,  IF( OR( K$10="g",K$10="п"),K$11*(LN($B118)+1),  $B118^(K$10-1)*K$10*K$11))</f>
        <v>0</v>
      </c>
      <c r="X118">
        <f>IF( OR( L$10="д",L$10="l"),L$11/$B118,  IF( OR( L$10="g",L$10="п"),L$11*(LN($B118)+1),  $B118^(L$10-1)*L$10*L$11))</f>
        <v>0</v>
      </c>
      <c r="Z118">
        <f>IF( OR( E$10="д",E$10="l"),E$11*LN($B118),  IF( OR( E$10="g",E$10="п"),E$11*$B118*LN($B118),  ($B118^E$10)*E$11))</f>
        <v>-6657.6530000000002</v>
      </c>
      <c r="AA118">
        <f>IF( OR( F$10="д",F$10="l"),F$11*LN($B118),  IF( OR( F$10="g",F$10="п"),F$11*$B118*LN($B118),  ($B118^F$10)*F$11))</f>
        <v>88162.81753378392</v>
      </c>
      <c r="AB118">
        <f>IF( OR( G$10="д",G$10="l"),G$11*LN($B118),  IF( OR( G$10="g",G$10="п"),G$11*$B118*LN($B118),  ($B118^G$10)*G$11))</f>
        <v>-125077.5344355493</v>
      </c>
      <c r="AC118">
        <f>IF( OR( H$10="д",H$10="l"),H$11*LN($B118),  IF( OR( H$10="g",H$10="п"),H$11*$B118*LN($B118),  ($B118^H$10)*H$11))</f>
        <v>-11159.463796566872</v>
      </c>
      <c r="AD118">
        <f>IF( OR( I$10="д",I$10="l"),I$11*LN($B118),  IF( OR( I$10="g",I$10="п"),I$11*$B118*LN($B118),  ($B118^I$10)*I$11))</f>
        <v>2314.5437837652862</v>
      </c>
      <c r="AE118">
        <f>IF( OR( J$10="д",J$10="l"),J$11*LN($B118),  IF( OR( J$10="g",J$10="п"),J$11*$B118*LN($B118),  ($B118^J$10)*J$11))</f>
        <v>0</v>
      </c>
      <c r="AF118">
        <f>IF( OR( K$10="д",K$10="l"),K$11*LN($B118),  IF( OR( K$10="g",K$10="п"),K$11*$B118*LN($B118),  ($B118^K$10)*K$11))</f>
        <v>0</v>
      </c>
      <c r="AG118">
        <f>IF( OR( L$10="д",L$10="l"),L$11*LN($B118),  IF( OR( L$10="g",L$10="п"),L$11*$B118*LN($B118),  ($B118^L$10)*L$11))</f>
        <v>0</v>
      </c>
      <c r="AP118" s="8">
        <f>(H118-D118)</f>
        <v>108.06446693636602</v>
      </c>
      <c r="AQ118" s="8">
        <f>I118-E118</f>
        <v>135.79963578375163</v>
      </c>
      <c r="AR118" s="8">
        <f>(J118-F118)</f>
        <v>-21.312213100857075</v>
      </c>
      <c r="AS118" s="8">
        <f>K118-G118</f>
        <v>583.26931000362561</v>
      </c>
      <c r="AT118" s="8">
        <f>H118-L118</f>
        <v>-18090.303677955246</v>
      </c>
      <c r="AU118" s="3">
        <f>I118-M118</f>
        <v>-2.7892693262215857</v>
      </c>
      <c r="AV118" s="8">
        <f>J118-N118</f>
        <v>52366.571796930104</v>
      </c>
      <c r="AX118" s="5"/>
    </row>
    <row r="119" spans="1:50" hidden="1" x14ac:dyDescent="0.35">
      <c r="A119" s="1" t="s">
        <v>0</v>
      </c>
      <c r="B119" s="4">
        <f>B118+($C$2-$C$1)/$C$48</f>
        <v>962.16216216216367</v>
      </c>
      <c r="C119" s="7">
        <f>B119/10000</f>
        <v>9.6216216216216371E-2</v>
      </c>
      <c r="D119" s="9">
        <f>10*$B$3*(C119*$G$3-$H$3*2/C119+$J$3*C119^2+$K$3*2*C119^3+$L$3*3*C119^4-$I$3+$E$3)</f>
        <v>-96.280368346667245</v>
      </c>
      <c r="E119" s="6">
        <f>$B$3*($F$3+$G$3+$G$3*LN(C119)-$H$3/C119^2+$J$3*2*C119+$K$3*3*C119^2+$L$3*4*C119^3)</f>
        <v>-70.166533436833305</v>
      </c>
      <c r="F119" s="3">
        <f>($E$3-C119*($F$3+$G$3*LN(C119)+$H$3*C119^(-2)+$I$3*C119^(-1)+$J$3*C119+$K$3*C119^2+$L$3*C119^3))*$B$3*10</f>
        <v>-28.768784823659821</v>
      </c>
      <c r="G119" s="6">
        <f>$B$3*($G$3+2*$H$3*C119^(-2)+2*$J$3*C119+ 6*$K$3*C119^2+ 12*$L$3*C119^3)</f>
        <v>-577.34294892852779</v>
      </c>
      <c r="H119" s="9">
        <f>10*$B$3*(C119*$G$7-$H$7*2/C119+$J$7*C119^2+$K$7*2*C119^3+$L$7*3*C119^4-$I$7+$E$7)</f>
        <v>17.397118648648689</v>
      </c>
      <c r="I119" s="6">
        <f>$B$3*($F$7+$G$7+$G$7*LN(C119)-$H$7/C119^2+$J$7*2*C119+$K$7*3*C119^2+$L$7*4*C119^3)</f>
        <v>71.495560762021739</v>
      </c>
      <c r="J119" s="3">
        <f>($E$7-C119*($F$7+$G$7*LN(C119)+$H$7*C119^(-2)+$I$7*C119^(-1)+$J$7*C119+$K$7*C119^2+$L$7*C119^3))*$B$3*10</f>
        <v>-51.393204679134499</v>
      </c>
      <c r="K119" s="6">
        <f>$B$3*($G$7+2*$H$7*C119^(-2)+2*$J$7*C119+ 6*$K$7*C119^2+ 12*$L$7*C119^3)</f>
        <v>26.2</v>
      </c>
      <c r="L119" s="6">
        <f>N119+M119*B119</f>
        <v>18371.952215621612</v>
      </c>
      <c r="M119" s="6">
        <f>-SUM(Q119:X119)</f>
        <v>74.302232891836184</v>
      </c>
      <c r="N119" s="8">
        <f>SUM(Z119:AG119)</f>
        <v>-53118.844837064127</v>
      </c>
      <c r="O119" s="8"/>
      <c r="Q119">
        <f>IF( OR( E$10="д",E$10="l"),E$11/$B119,  IF( OR( E$10="g",E$10="п"),E$11*(LN($B119)+1),  $B119^(E$10-1)*E$10*E$11))</f>
        <v>0</v>
      </c>
      <c r="R119">
        <f>IF( OR( F$10="д",F$10="l"),F$11/$B119,  IF( OR( F$10="g",F$10="п"),F$11*(LN($B119)+1),  $B119^(F$10-1)*F$10*F$11))</f>
        <v>92.539694999999995</v>
      </c>
      <c r="S119">
        <f>IF( OR( G$10="д",G$10="l"),G$11/$B119,  IF( OR( G$10="g",G$10="п"),G$11*(LN($B119)+1),  $B119^(G$10-1)*G$10*G$11))</f>
        <v>-150.6161627003095</v>
      </c>
      <c r="T119">
        <f>IF( OR( H$10="д",H$10="l"),H$11/$B119,  IF( OR( H$10="g",H$10="п"),H$11*(LN($B119)+1),  $B119^(H$10-1)*H$10*H$11))</f>
        <v>-23.659567567567606</v>
      </c>
      <c r="U119">
        <f>IF( OR( I$10="д",I$10="l"),I$11/$B119,  IF( OR( I$10="g",I$10="п"),I$11*(LN($B119)+1),  $B119^(I$10-1)*I$10*I$11))</f>
        <v>7.4338023760409282</v>
      </c>
      <c r="V119">
        <f>IF( OR( J$10="д",J$10="l"),J$11/$B119,  IF( OR( J$10="g",J$10="п"),J$11*(LN($B119)+1),  $B119^(J$10-1)*J$10*J$11))</f>
        <v>0</v>
      </c>
      <c r="W119">
        <f>IF( OR( K$10="д",K$10="l"),K$11/$B119,  IF( OR( K$10="g",K$10="п"),K$11*(LN($B119)+1),  $B119^(K$10-1)*K$10*K$11))</f>
        <v>0</v>
      </c>
      <c r="X119">
        <f>IF( OR( L$10="д",L$10="l"),L$11/$B119,  IF( OR( L$10="g",L$10="п"),L$11*(LN($B119)+1),  $B119^(L$10-1)*L$10*L$11))</f>
        <v>0</v>
      </c>
      <c r="Z119">
        <f>IF( OR( E$10="д",E$10="l"),E$11*LN($B119),  IF( OR( E$10="g",E$10="п"),E$11*$B119*LN($B119),  ($B119^E$10)*E$11))</f>
        <v>-6657.6530000000002</v>
      </c>
      <c r="AA119">
        <f>IF( OR( F$10="д",F$10="l"),F$11*LN($B119),  IF( OR( F$10="g",F$10="п"),F$11*$B119*LN($B119),  ($B119^F$10)*F$11))</f>
        <v>89038.193027027155</v>
      </c>
      <c r="AB119">
        <f>IF( OR( G$10="д",G$10="l"),G$11*LN($B119),  IF( OR( G$10="g",G$10="п"),G$11*$B119*LN($B119),  ($B119^G$10)*G$11))</f>
        <v>-126501.38897651421</v>
      </c>
      <c r="AC119">
        <f>IF( OR( H$10="д",H$10="l"),H$11*LN($B119),  IF( OR( H$10="g",H$10="п"),H$11*$B119*LN($B119),  ($B119^H$10)*H$11))</f>
        <v>-11382.170343316326</v>
      </c>
      <c r="AD119">
        <f>IF( OR( I$10="д",I$10="l"),I$11*LN($B119),  IF( OR( I$10="g",I$10="п"),I$11*$B119*LN($B119),  ($B119^I$10)*I$11))</f>
        <v>2384.1744557392567</v>
      </c>
      <c r="AE119">
        <f>IF( OR( J$10="д",J$10="l"),J$11*LN($B119),  IF( OR( J$10="g",J$10="п"),J$11*$B119*LN($B119),  ($B119^J$10)*J$11))</f>
        <v>0</v>
      </c>
      <c r="AF119">
        <f>IF( OR( K$10="д",K$10="l"),K$11*LN($B119),  IF( OR( K$10="g",K$10="п"),K$11*$B119*LN($B119),  ($B119^K$10)*K$11))</f>
        <v>0</v>
      </c>
      <c r="AG119">
        <f>IF( OR( L$10="д",L$10="l"),L$11*LN($B119),  IF( OR( L$10="g",L$10="п"),L$11*$B119*LN($B119),  ($B119^L$10)*L$11))</f>
        <v>0</v>
      </c>
      <c r="AP119" s="8">
        <f>(H119-D119)</f>
        <v>113.67748699531593</v>
      </c>
      <c r="AQ119" s="8">
        <f>I119-E119</f>
        <v>141.66209419885504</v>
      </c>
      <c r="AR119" s="8">
        <f>(J119-F119)</f>
        <v>-22.624419855474677</v>
      </c>
      <c r="AS119" s="8">
        <f>K119-G119</f>
        <v>603.54294892852784</v>
      </c>
      <c r="AT119" s="8">
        <f>H119-L119</f>
        <v>-18354.555096972963</v>
      </c>
      <c r="AU119" s="3">
        <f>I119-M119</f>
        <v>-2.8066721298144444</v>
      </c>
      <c r="AV119" s="8">
        <f>J119-N119</f>
        <v>53067.451632384989</v>
      </c>
      <c r="AX119" s="5"/>
    </row>
    <row r="120" spans="1:50" hidden="1" x14ac:dyDescent="0.35">
      <c r="A120" s="1" t="s">
        <v>0</v>
      </c>
      <c r="B120" s="4">
        <f>B119+($C$2-$C$1)/$C$48</f>
        <v>971.62162162162315</v>
      </c>
      <c r="C120" s="7">
        <f>B120/10000</f>
        <v>9.7162162162162322E-2</v>
      </c>
      <c r="D120" s="9">
        <f>10*$B$3*(C120*$G$3-$H$3*2/C120+$J$3*C120^2+$K$3*2*C120^3+$L$3*3*C120^4-$I$3+$E$3)</f>
        <v>-101.83901548475322</v>
      </c>
      <c r="E120" s="6">
        <f>$B$3*($F$3+$G$3+$G$3*LN(C120)-$H$3/C120^2+$J$3*2*C120+$K$3*3*C120^2+$L$3*4*C120^3)</f>
        <v>-75.915399899360338</v>
      </c>
      <c r="F120" s="3">
        <f>($E$3-C120*($F$3+$G$3*LN(C120)+$H$3*C120^(-2)+$I$3*C120^(-1)+$J$3*C120+$K$3*C120^2+$L$3*C120^3))*$B$3*10</f>
        <v>-28.077971528482571</v>
      </c>
      <c r="G120" s="6">
        <f>$B$3*($G$3+2*$H$3*C120^(-2)+2*$J$3*C120+ 6*$K$3*C120^2+ 12*$L$3*C120^3)</f>
        <v>-597.97334793473635</v>
      </c>
      <c r="H120" s="9">
        <f>10*$B$3*(C120*$G$7-$H$7*2/C120+$J$7*C120^2+$K$7*2*C120^3+$L$7*3*C120^4-$I$7+$E$7)</f>
        <v>17.644956486486528</v>
      </c>
      <c r="I120" s="6">
        <f>$B$3*($F$7+$G$7+$G$7*LN(C120)-$H$7/C120^2+$J$7*2*C120+$K$7*3*C120^2+$L$7*4*C120^3)</f>
        <v>71.751887055319401</v>
      </c>
      <c r="J120" s="3">
        <f>($E$7-C120*($F$7+$G$7*LN(C120)+$H$7*C120^(-2)+$I$7*C120^(-1)+$J$7*C120+$K$7*C120^2+$L$7*C120^3))*$B$3*10</f>
        <v>-52.070728368614461</v>
      </c>
      <c r="K120" s="6">
        <f>$B$3*($G$7+2*$H$7*C120^(-2)+2*$J$7*C120+ 6*$K$7*C120^2+ 12*$L$7*C120^3)</f>
        <v>26.2</v>
      </c>
      <c r="L120" s="6">
        <f>N120+M120*B120</f>
        <v>18635.886435932065</v>
      </c>
      <c r="M120" s="6">
        <f>-SUM(Q120:X120)</f>
        <v>74.575207357223221</v>
      </c>
      <c r="N120" s="8">
        <f>SUM(Z120:AG120)</f>
        <v>-53822.997469261965</v>
      </c>
      <c r="O120" s="8"/>
      <c r="Q120">
        <f>IF( OR( E$10="д",E$10="l"),E$11/$B120,  IF( OR( E$10="g",E$10="п"),E$11*(LN($B120)+1),  $B120^(E$10-1)*E$10*E$11))</f>
        <v>0</v>
      </c>
      <c r="R120">
        <f>IF( OR( F$10="д",F$10="l"),F$11/$B120,  IF( OR( F$10="g",F$10="п"),F$11*(LN($B120)+1),  $B120^(F$10-1)*F$10*F$11))</f>
        <v>92.539694999999995</v>
      </c>
      <c r="S120">
        <f>IF( OR( G$10="д",G$10="l"),G$11/$B120,  IF( OR( G$10="g",G$10="п"),G$11*(LN($B120)+1),  $B120^(G$10-1)*G$10*G$11))</f>
        <v>-150.80341786266513</v>
      </c>
      <c r="T120">
        <f>IF( OR( H$10="д",H$10="l"),H$11/$B120,  IF( OR( H$10="g",H$10="п"),H$11*(LN($B120)+1),  $B120^(H$10-1)*H$10*H$11))</f>
        <v>-23.892175675675713</v>
      </c>
      <c r="U120">
        <f>IF( OR( I$10="д",I$10="l"),I$11/$B120,  IF( OR( I$10="g",I$10="п"),I$11*(LN($B120)+1),  $B120^(I$10-1)*I$10*I$11))</f>
        <v>7.5806911811176274</v>
      </c>
      <c r="V120">
        <f>IF( OR( J$10="д",J$10="l"),J$11/$B120,  IF( OR( J$10="g",J$10="п"),J$11*(LN($B120)+1),  $B120^(J$10-1)*J$10*J$11))</f>
        <v>0</v>
      </c>
      <c r="W120">
        <f>IF( OR( K$10="д",K$10="l"),K$11/$B120,  IF( OR( K$10="g",K$10="п"),K$11*(LN($B120)+1),  $B120^(K$10-1)*K$10*K$11))</f>
        <v>0</v>
      </c>
      <c r="X120">
        <f>IF( OR( L$10="д",L$10="l"),L$11/$B120,  IF( OR( L$10="g",L$10="п"),L$11*(LN($B120)+1),  $B120^(L$10-1)*L$10*L$11))</f>
        <v>0</v>
      </c>
      <c r="Z120">
        <f>IF( OR( E$10="д",E$10="l"),E$11*LN($B120),  IF( OR( E$10="g",E$10="п"),E$11*$B120*LN($B120),  ($B120^E$10)*E$11))</f>
        <v>-6657.6530000000002</v>
      </c>
      <c r="AA120">
        <f>IF( OR( F$10="д",F$10="l"),F$11*LN($B120),  IF( OR( F$10="g",F$10="п"),F$11*$B120*LN($B120),  ($B120^F$10)*F$11))</f>
        <v>89913.568520270404</v>
      </c>
      <c r="AB120">
        <f>IF( OR( G$10="д",G$10="l"),G$11*LN($B120),  IF( OR( G$10="g",G$10="п"),G$11*$B120*LN($B120),  ($B120^G$10)*G$11))</f>
        <v>-127927.02357196808</v>
      </c>
      <c r="AC120">
        <f>IF( OR( H$10="д",H$10="l"),H$11*LN($B120),  IF( OR( H$10="g",H$10="п"),H$11*$B120*LN($B120),  ($B120^H$10)*H$11))</f>
        <v>-11607.077237034367</v>
      </c>
      <c r="AD120">
        <f>IF( OR( I$10="д",I$10="l"),I$11*LN($B120),  IF( OR( I$10="g",I$10="п"),I$11*$B120*LN($B120),  ($B120^I$10)*I$11))</f>
        <v>2455.1878194700821</v>
      </c>
      <c r="AE120">
        <f>IF( OR( J$10="д",J$10="l"),J$11*LN($B120),  IF( OR( J$10="g",J$10="п"),J$11*$B120*LN($B120),  ($B120^J$10)*J$11))</f>
        <v>0</v>
      </c>
      <c r="AF120">
        <f>IF( OR( K$10="д",K$10="l"),K$11*LN($B120),  IF( OR( K$10="g",K$10="п"),K$11*$B120*LN($B120),  ($B120^K$10)*K$11))</f>
        <v>0</v>
      </c>
      <c r="AG120">
        <f>IF( OR( L$10="д",L$10="l"),L$11*LN($B120),  IF( OR( L$10="g",L$10="п"),L$11*$B120*LN($B120),  ($B120^L$10)*L$11))</f>
        <v>0</v>
      </c>
      <c r="AP120" s="8">
        <f>(H120-D120)</f>
        <v>119.48397197123975</v>
      </c>
      <c r="AQ120" s="8">
        <f>I120-E120</f>
        <v>147.66728695467975</v>
      </c>
      <c r="AR120" s="8">
        <f>(J120-F120)</f>
        <v>-23.992756840131889</v>
      </c>
      <c r="AS120" s="8">
        <f>K120-G120</f>
        <v>624.1733479347364</v>
      </c>
      <c r="AT120" s="8">
        <f>H120-L120</f>
        <v>-18618.24147944558</v>
      </c>
      <c r="AU120" s="3">
        <f>I120-M120</f>
        <v>-2.82332030190382</v>
      </c>
      <c r="AV120" s="8">
        <f>J120-N120</f>
        <v>53770.926740893352</v>
      </c>
      <c r="AX120" s="5"/>
    </row>
    <row r="121" spans="1:50" hidden="1" x14ac:dyDescent="0.35">
      <c r="A121" s="1" t="s">
        <v>0</v>
      </c>
      <c r="B121" s="4">
        <f>B120+($C$2-$C$1)/$C$48</f>
        <v>981.08108108108263</v>
      </c>
      <c r="C121" s="7">
        <f>B121/10000</f>
        <v>9.8108108108108258E-2</v>
      </c>
      <c r="D121" s="9">
        <f>10*$B$3*(C121*$G$3-$H$3*2/C121+$J$3*C121^2+$K$3*2*C121^3+$L$3*3*C121^4-$I$3+$E$3)</f>
        <v>-107.59450304880968</v>
      </c>
      <c r="E121" s="6">
        <f>$B$3*($F$3+$G$3+$G$3*LN(C121)-$H$3/C121^2+$J$3*2*C121+$K$3*3*C121^2+$L$3*4*C121^3)</f>
        <v>-81.810175677126935</v>
      </c>
      <c r="F121" s="3">
        <f>($E$3-C121*($F$3+$G$3*LN(C121)+$H$3*C121^(-2)+$I$3*C121^(-1)+$J$3*C121+$K$3*C121^2+$L$3*C121^3))*$B$3*10</f>
        <v>-27.332087452060637</v>
      </c>
      <c r="G121" s="6">
        <f>$B$3*($G$3+2*$H$3*C121^(-2)+2*$J$3*C121+ 6*$K$3*C121^2+ 12*$L$3*C121^3)</f>
        <v>-618.96066461962164</v>
      </c>
      <c r="H121" s="9">
        <f>10*$B$3*(C121*$G$7-$H$7*2/C121+$J$7*C121^2+$K$7*2*C121^3+$L$7*3*C121^4-$I$7+$E$7)</f>
        <v>17.892794324324363</v>
      </c>
      <c r="I121" s="6">
        <f>$B$3*($F$7+$G$7+$G$7*LN(C121)-$H$7/C121^2+$J$7*2*C121+$K$7*3*C121^2+$L$7*4*C121^3)</f>
        <v>72.005729871437637</v>
      </c>
      <c r="J121" s="3">
        <f>($E$7-C121*($F$7+$G$7*LN(C121)+$H$7*C121^(-2)+$I$7*C121^(-1)+$J$7*C121+$K$7*C121^2+$L$7*C121^3))*$B$3*10</f>
        <v>-52.750664981978076</v>
      </c>
      <c r="K121" s="6">
        <f>$B$3*($G$7+2*$H$7*C121^(-2)+2*$J$7*C121+ 6*$K$7*C121^2+ 12*$L$7*C121^3)</f>
        <v>26.2</v>
      </c>
      <c r="L121" s="6">
        <f>N121+M121*B121</f>
        <v>18899.228431938114</v>
      </c>
      <c r="M121" s="6">
        <f>-SUM(Q121:X121)</f>
        <v>74.844930489945</v>
      </c>
      <c r="N121" s="8">
        <f>SUM(Z121:AG121)</f>
        <v>-54529.71688657561</v>
      </c>
      <c r="O121" s="8"/>
      <c r="Q121">
        <f>IF( OR( E$10="д",E$10="l"),E$11/$B121,  IF( OR( E$10="g",E$10="п"),E$11*(LN($B121)+1),  $B121^(E$10-1)*E$10*E$11))</f>
        <v>0</v>
      </c>
      <c r="R121">
        <f>IF( OR( F$10="д",F$10="l"),F$11/$B121,  IF( OR( F$10="g",F$10="п"),F$11*(LN($B121)+1),  $B121^(F$10-1)*F$10*F$11))</f>
        <v>92.539694999999995</v>
      </c>
      <c r="S121">
        <f>IF( OR( G$10="д",G$10="l"),G$11/$B121,  IF( OR( G$10="g",G$10="п"),G$11*(LN($B121)+1),  $B121^(G$10-1)*G$10*G$11))</f>
        <v>-150.98885875963089</v>
      </c>
      <c r="T121">
        <f>IF( OR( H$10="д",H$10="l"),H$11/$B121,  IF( OR( H$10="g",H$10="п"),H$11*(LN($B121)+1),  $B121^(H$10-1)*H$10*H$11))</f>
        <v>-24.124783783783823</v>
      </c>
      <c r="U121">
        <f>IF( OR( I$10="д",I$10="l"),I$11/$B121,  IF( OR( I$10="g",I$10="п"),I$11*(LN($B121)+1),  $B121^(I$10-1)*I$10*I$11))</f>
        <v>7.7290170534697111</v>
      </c>
      <c r="V121">
        <f>IF( OR( J$10="д",J$10="l"),J$11/$B121,  IF( OR( J$10="g",J$10="п"),J$11*(LN($B121)+1),  $B121^(J$10-1)*J$10*J$11))</f>
        <v>0</v>
      </c>
      <c r="W121">
        <f>IF( OR( K$10="д",K$10="l"),K$11/$B121,  IF( OR( K$10="g",K$10="п"),K$11*(LN($B121)+1),  $B121^(K$10-1)*K$10*K$11))</f>
        <v>0</v>
      </c>
      <c r="X121">
        <f>IF( OR( L$10="д",L$10="l"),L$11/$B121,  IF( OR( L$10="g",L$10="п"),L$11*(LN($B121)+1),  $B121^(L$10-1)*L$10*L$11))</f>
        <v>0</v>
      </c>
      <c r="Z121">
        <f>IF( OR( E$10="д",E$10="l"),E$11*LN($B121),  IF( OR( E$10="g",E$10="п"),E$11*$B121*LN($B121),  ($B121^E$10)*E$11))</f>
        <v>-6657.6530000000002</v>
      </c>
      <c r="AA121">
        <f>IF( OR( F$10="д",F$10="l"),F$11*LN($B121),  IF( OR( F$10="g",F$10="п"),F$11*$B121*LN($B121),  ($B121^F$10)*F$11))</f>
        <v>90788.944013513654</v>
      </c>
      <c r="AB121">
        <f>IF( OR( G$10="д",G$10="l"),G$11*LN($B121),  IF( OR( G$10="g",G$10="п"),G$11*$B121*LN($B121),  ($B121^G$10)*G$11))</f>
        <v>-129354.42089120565</v>
      </c>
      <c r="AC121">
        <f>IF( OR( H$10="д",H$10="l"),H$11*LN($B121),  IF( OR( H$10="g",H$10="п"),H$11*$B121*LN($B121),  ($B121^H$10)*H$11))</f>
        <v>-11834.184477721003</v>
      </c>
      <c r="AD121">
        <f>IF( OR( I$10="д",I$10="l"),I$11*LN($B121),  IF( OR( I$10="g",I$10="п"),I$11*$B121*LN($B121),  ($B121^I$10)*I$11))</f>
        <v>2527.5974688373958</v>
      </c>
      <c r="AE121">
        <f>IF( OR( J$10="д",J$10="l"),J$11*LN($B121),  IF( OR( J$10="g",J$10="п"),J$11*$B121*LN($B121),  ($B121^J$10)*J$11))</f>
        <v>0</v>
      </c>
      <c r="AF121">
        <f>IF( OR( K$10="д",K$10="l"),K$11*LN($B121),  IF( OR( K$10="g",K$10="п"),K$11*$B121*LN($B121),  ($B121^K$10)*K$11))</f>
        <v>0</v>
      </c>
      <c r="AG121">
        <f>IF( OR( L$10="д",L$10="l"),L$11*LN($B121),  IF( OR( L$10="g",L$10="п"),L$11*$B121*LN($B121),  ($B121^L$10)*L$11))</f>
        <v>0</v>
      </c>
      <c r="AP121" s="8">
        <f>(H121-D121)</f>
        <v>125.48729737313406</v>
      </c>
      <c r="AQ121" s="8">
        <f>I121-E121</f>
        <v>153.81590554856456</v>
      </c>
      <c r="AR121" s="8">
        <f>(J121-F121)</f>
        <v>-25.418577529917439</v>
      </c>
      <c r="AS121" s="8">
        <f>K121-G121</f>
        <v>645.16066461962168</v>
      </c>
      <c r="AT121" s="8">
        <f>H121-L121</f>
        <v>-18881.335637613789</v>
      </c>
      <c r="AU121" s="3">
        <f>I121-M121</f>
        <v>-2.8392006185073626</v>
      </c>
      <c r="AV121" s="8">
        <f>J121-N121</f>
        <v>54476.966221593633</v>
      </c>
      <c r="AX121" s="5"/>
    </row>
    <row r="122" spans="1:50" hidden="1" x14ac:dyDescent="0.35">
      <c r="A122" s="1" t="s">
        <v>0</v>
      </c>
      <c r="B122" s="4">
        <f>B121+($C$2-$C$1)/$C$48</f>
        <v>990.54054054054211</v>
      </c>
      <c r="C122" s="7">
        <f>B122/10000</f>
        <v>9.9054054054054208E-2</v>
      </c>
      <c r="D122" s="9">
        <f>10*$B$3*(C122*$G$3-$H$3*2/C122+$J$3*C122^2+$K$3*2*C122^3+$L$3*3*C122^4-$I$3+$E$3)</f>
        <v>-113.5502080028529</v>
      </c>
      <c r="E122" s="6">
        <f>$B$3*($F$3+$G$3+$G$3*LN(C122)-$H$3/C122^2+$J$3*2*C122+$K$3*3*C122^2+$L$3*4*C122^3)</f>
        <v>-87.851486174814184</v>
      </c>
      <c r="F122" s="3">
        <f>($E$3-C122*($F$3+$G$3*LN(C122)+$H$3*C122^(-2)+$I$3*C122^(-1)+$J$3*C122+$K$3*C122^2+$L$3*C122^3))*$B$3*10</f>
        <v>-26.52974939996264</v>
      </c>
      <c r="G122" s="6">
        <f>$B$3*($G$3+2*$H$3*C122^(-2)+2*$J$3*C122+ 6*$K$3*C122^2+ 12*$L$3*C122^3)</f>
        <v>-640.30504909154877</v>
      </c>
      <c r="H122" s="9">
        <f>10*$B$3*(C122*$G$7-$H$7*2/C122+$J$7*C122^2+$K$7*2*C122^3+$L$7*3*C122^4-$I$7+$E$7)</f>
        <v>18.140632162162202</v>
      </c>
      <c r="I122" s="6">
        <f>$B$3*($F$7+$G$7+$G$7*LN(C122)-$H$7/C122^2+$J$7*2*C122+$K$7*3*C122^2+$L$7*4*C122^3)</f>
        <v>72.257136872458247</v>
      </c>
      <c r="J122" s="3">
        <f>($E$7-C122*($F$7+$G$7*LN(C122)+$H$7*C122^(-2)+$I$7*C122^(-1)+$J$7*C122+$K$7*C122^2+$L$7*C122^3))*$B$3*10</f>
        <v>-53.432991253394519</v>
      </c>
      <c r="K122" s="6">
        <f>$B$3*($G$7+2*$H$7*C122^(-2)+2*$J$7*C122+ 6*$K$7*C122^2+ 12*$L$7*C122^3)</f>
        <v>26.2</v>
      </c>
      <c r="L122" s="6">
        <f>N122+M122*B122</f>
        <v>19161.951015880557</v>
      </c>
      <c r="M122" s="6">
        <f>-SUM(Q122:X122)</f>
        <v>75.111437108789573</v>
      </c>
      <c r="N122" s="8">
        <f>SUM(Z122:AG122)</f>
        <v>-55238.972498636802</v>
      </c>
      <c r="O122" s="8"/>
      <c r="Q122">
        <f>IF( OR( E$10="д",E$10="l"),E$11/$B122,  IF( OR( E$10="g",E$10="п"),E$11*(LN($B122)+1),  $B122^(E$10-1)*E$10*E$11))</f>
        <v>0</v>
      </c>
      <c r="R122">
        <f>IF( OR( F$10="д",F$10="l"),F$11/$B122,  IF( OR( F$10="g",F$10="п"),F$11*(LN($B122)+1),  $B122^(F$10-1)*F$10*F$11))</f>
        <v>92.539694999999995</v>
      </c>
      <c r="S122">
        <f>IF( OR( G$10="д",G$10="l"),G$11/$B122,  IF( OR( G$10="g",G$10="п"),G$11*(LN($B122)+1),  $B122^(G$10-1)*G$10*G$11))</f>
        <v>-151.17252020999481</v>
      </c>
      <c r="T122">
        <f>IF( OR( H$10="д",H$10="l"),H$11/$B122,  IF( OR( H$10="g",H$10="п"),H$11*(LN($B122)+1),  $B122^(H$10-1)*H$10*H$11))</f>
        <v>-24.357391891891933</v>
      </c>
      <c r="U122">
        <f>IF( OR( I$10="д",I$10="l"),I$11/$B122,  IF( OR( I$10="g",I$10="п"),I$11*(LN($B122)+1),  $B122^(I$10-1)*I$10*I$11))</f>
        <v>7.8787799930971758</v>
      </c>
      <c r="V122">
        <f>IF( OR( J$10="д",J$10="l"),J$11/$B122,  IF( OR( J$10="g",J$10="п"),J$11*(LN($B122)+1),  $B122^(J$10-1)*J$10*J$11))</f>
        <v>0</v>
      </c>
      <c r="W122">
        <f>IF( OR( K$10="д",K$10="l"),K$11/$B122,  IF( OR( K$10="g",K$10="п"),K$11*(LN($B122)+1),  $B122^(K$10-1)*K$10*K$11))</f>
        <v>0</v>
      </c>
      <c r="X122">
        <f>IF( OR( L$10="д",L$10="l"),L$11/$B122,  IF( OR( L$10="g",L$10="п"),L$11*(LN($B122)+1),  $B122^(L$10-1)*L$10*L$11))</f>
        <v>0</v>
      </c>
      <c r="Z122">
        <f>IF( OR( E$10="д",E$10="l"),E$11*LN($B122),  IF( OR( E$10="g",E$10="п"),E$11*$B122*LN($B122),  ($B122^E$10)*E$11))</f>
        <v>-6657.6530000000002</v>
      </c>
      <c r="AA122">
        <f>IF( OR( F$10="д",F$10="l"),F$11*LN($B122),  IF( OR( F$10="g",F$10="п"),F$11*$B122*LN($B122),  ($B122^F$10)*F$11))</f>
        <v>91664.319506756903</v>
      </c>
      <c r="AB122">
        <f>IF( OR( G$10="д",G$10="l"),G$11*LN($B122),  IF( OR( G$10="g",G$10="п"),G$11*$B122*LN($B122),  ($B122^G$10)*G$11))</f>
        <v>-130783.5639377383</v>
      </c>
      <c r="AC122">
        <f>IF( OR( H$10="д",H$10="l"),H$11*LN($B122),  IF( OR( H$10="g",H$10="п"),H$11*$B122*LN($B122),  ($B122^H$10)*H$11))</f>
        <v>-12063.492065376226</v>
      </c>
      <c r="AD122">
        <f>IF( OR( I$10="д",I$10="l"),I$11*LN($B122),  IF( OR( I$10="g",I$10="п"),I$11*$B122*LN($B122),  ($B122^I$10)*I$11))</f>
        <v>2601.4169977208285</v>
      </c>
      <c r="AE122">
        <f>IF( OR( J$10="д",J$10="l"),J$11*LN($B122),  IF( OR( J$10="g",J$10="п"),J$11*$B122*LN($B122),  ($B122^J$10)*J$11))</f>
        <v>0</v>
      </c>
      <c r="AF122">
        <f>IF( OR( K$10="д",K$10="l"),K$11*LN($B122),  IF( OR( K$10="g",K$10="п"),K$11*$B122*LN($B122),  ($B122^K$10)*K$11))</f>
        <v>0</v>
      </c>
      <c r="AG122">
        <f>IF( OR( L$10="д",L$10="l"),L$11*LN($B122),  IF( OR( L$10="g",L$10="п"),L$11*$B122*LN($B122),  ($B122^L$10)*L$11))</f>
        <v>0</v>
      </c>
      <c r="AP122" s="8">
        <f>(H122-D122)</f>
        <v>131.69084016501509</v>
      </c>
      <c r="AQ122" s="8">
        <f>I122-E122</f>
        <v>160.10862304727243</v>
      </c>
      <c r="AR122" s="8">
        <f>(J122-F122)</f>
        <v>-26.903241853431879</v>
      </c>
      <c r="AS122" s="8">
        <f>K122-G122</f>
        <v>666.50504909154881</v>
      </c>
      <c r="AT122" s="8">
        <f>H122-L122</f>
        <v>-19143.810383718395</v>
      </c>
      <c r="AU122" s="3">
        <f>I122-M122</f>
        <v>-2.8543002363313263</v>
      </c>
      <c r="AV122" s="8">
        <f>J122-N122</f>
        <v>55185.539507383408</v>
      </c>
      <c r="AX122" s="5"/>
    </row>
    <row r="123" spans="1:50" x14ac:dyDescent="0.35">
      <c r="A123" s="1" t="s">
        <v>0</v>
      </c>
      <c r="B123" s="4">
        <f>B122+($C$2-$C$1)/$C$48</f>
        <v>1000.0000000000016</v>
      </c>
      <c r="C123" s="7">
        <f>B123/10000</f>
        <v>0.10000000000000016</v>
      </c>
      <c r="D123" s="9">
        <f>10*$B$3*(C123*$G$3-$H$3*2/C123+$J$3*C123^2+$K$3*2*C123^3+$L$3*3*C123^4-$I$3+$E$3)</f>
        <v>-119.70950869710103</v>
      </c>
      <c r="E123" s="6">
        <f>$B$3*($F$3+$G$3+$G$3*LN(C123)-$H$3/C123^2+$J$3*2*C123+$K$3*3*C123^2+$L$3*4*C123^3)</f>
        <v>-94.039940357130703</v>
      </c>
      <c r="F123" s="3">
        <f>($E$3-C123*($F$3+$G$3*LN(C123)+$H$3*C123^(-2)+$I$3*C123^(-1)+$J$3*C123+$K$3*C123^2+$L$3*C123^3))*$B$3*10</f>
        <v>-25.669568339970219</v>
      </c>
      <c r="G123" s="6">
        <f>$B$3*($G$3+2*$H$3*C123^(-2)+2*$J$3*C123+ 6*$K$3*C123^2+ 12*$L$3*C123^3)</f>
        <v>-662.00664439290358</v>
      </c>
      <c r="H123" s="9">
        <f>10*$B$3*(C123*$G$7-$H$7*2/C123+$J$7*C123^2+$K$7*2*C123^3+$L$7*3*C123^4-$I$7+$E$7)</f>
        <v>18.388470000000041</v>
      </c>
      <c r="I123" s="6">
        <f>$B$3*($F$7+$G$7+$G$7*LN(C123)-$H$7/C123^2+$J$7*2*C123+$K$7*3*C123^2+$L$7*4*C123^3)</f>
        <v>72.50615436142121</v>
      </c>
      <c r="J123" s="3">
        <f>($E$7-C123*($F$7+$G$7*LN(C123)+$H$7*C123^(-2)+$I$7*C123^(-1)+$J$7*C123+$K$7*C123^2+$L$7*C123^3))*$B$3*10</f>
        <v>-54.117684361421297</v>
      </c>
      <c r="K123" s="6">
        <f>$B$3*($G$7+2*$H$7*C123^(-2)+2*$J$7*C123+ 6*$K$7*C123^2+ 12*$L$7*C123^3)</f>
        <v>26.2</v>
      </c>
      <c r="L123" s="6">
        <f>N123+M123*B123</f>
        <v>19424.027000000016</v>
      </c>
      <c r="M123" s="6">
        <f>-SUM(Q123:X123)</f>
        <v>75.374761039718152</v>
      </c>
      <c r="N123" s="8">
        <f>SUM(Z123:AG123)</f>
        <v>-55950.734039718256</v>
      </c>
      <c r="O123" s="8"/>
      <c r="Q123">
        <f>IF( OR( E$10="д",E$10="l"),E$11/$B123,  IF( OR( E$10="g",E$10="п"),E$11*(LN($B123)+1),  $B123^(E$10-1)*E$10*E$11))</f>
        <v>0</v>
      </c>
      <c r="R123">
        <f>IF( OR( F$10="д",F$10="l"),F$11/$B123,  IF( OR( F$10="g",F$10="п"),F$11*(LN($B123)+1),  $B123^(F$10-1)*F$10*F$11))</f>
        <v>92.539694999999995</v>
      </c>
      <c r="S123">
        <f>IF( OR( G$10="д",G$10="l"),G$11/$B123,  IF( OR( G$10="g",G$10="п"),G$11*(LN($B123)+1),  $B123^(G$10-1)*G$10*G$11))</f>
        <v>-151.35443603971814</v>
      </c>
      <c r="T123">
        <f>IF( OR( H$10="д",H$10="l"),H$11/$B123,  IF( OR( H$10="g",H$10="п"),H$11*(LN($B123)+1),  $B123^(H$10-1)*H$10*H$11))</f>
        <v>-24.590000000000039</v>
      </c>
      <c r="U123">
        <f>IF( OR( I$10="д",I$10="l"),I$11/$B123,  IF( OR( I$10="g",I$10="п"),I$11*(LN($B123)+1),  $B123^(I$10-1)*I$10*I$11))</f>
        <v>8.029980000000025</v>
      </c>
      <c r="V123">
        <f>IF( OR( J$10="д",J$10="l"),J$11/$B123,  IF( OR( J$10="g",J$10="п"),J$11*(LN($B123)+1),  $B123^(J$10-1)*J$10*J$11))</f>
        <v>0</v>
      </c>
      <c r="W123">
        <f>IF( OR( K$10="д",K$10="l"),K$11/$B123,  IF( OR( K$10="g",K$10="п"),K$11*(LN($B123)+1),  $B123^(K$10-1)*K$10*K$11))</f>
        <v>0</v>
      </c>
      <c r="X123">
        <f>IF( OR( L$10="д",L$10="l"),L$11/$B123,  IF( OR( L$10="g",L$10="п"),L$11*(LN($B123)+1),  $B123^(L$10-1)*L$10*L$11))</f>
        <v>0</v>
      </c>
      <c r="Z123">
        <f>IF( OR( E$10="д",E$10="l"),E$11*LN($B123),  IF( OR( E$10="g",E$10="п"),E$11*$B123*LN($B123),  ($B123^E$10)*E$11))</f>
        <v>-6657.6530000000002</v>
      </c>
      <c r="AA123">
        <f>IF( OR( F$10="д",F$10="l"),F$11*LN($B123),  IF( OR( F$10="g",F$10="п"),F$11*$B123*LN($B123),  ($B123^F$10)*F$11))</f>
        <v>92539.695000000138</v>
      </c>
      <c r="AB123">
        <f>IF( OR( G$10="д",G$10="l"),G$11*LN($B123),  IF( OR( G$10="g",G$10="п"),G$11*$B123*LN($B123),  ($B123^G$10)*G$11))</f>
        <v>-132214.43603971836</v>
      </c>
      <c r="AC123">
        <f>IF( OR( H$10="д",H$10="l"),H$11*LN($B123),  IF( OR( H$10="g",H$10="п"),H$11*$B123*LN($B123),  ($B123^H$10)*H$11))</f>
        <v>-12295.000000000038</v>
      </c>
      <c r="AD123">
        <f>IF( OR( I$10="д",I$10="l"),I$11*LN($B123),  IF( OR( I$10="g",I$10="п"),I$11*$B123*LN($B123),  ($B123^I$10)*I$11))</f>
        <v>2676.6600000000126</v>
      </c>
      <c r="AE123">
        <f>IF( OR( J$10="д",J$10="l"),J$11*LN($B123),  IF( OR( J$10="g",J$10="п"),J$11*$B123*LN($B123),  ($B123^J$10)*J$11))</f>
        <v>0</v>
      </c>
      <c r="AF123">
        <f>IF( OR( K$10="д",K$10="l"),K$11*LN($B123),  IF( OR( K$10="g",K$10="п"),K$11*$B123*LN($B123),  ($B123^K$10)*K$11))</f>
        <v>0</v>
      </c>
      <c r="AG123">
        <f>IF( OR( L$10="д",L$10="l"),L$11*LN($B123),  IF( OR( L$10="g",L$10="п"),L$11*$B123*LN($B123),  ($B123^L$10)*L$11))</f>
        <v>0</v>
      </c>
      <c r="AP123" s="8">
        <f>(H123-D123)</f>
        <v>138.09797869710107</v>
      </c>
      <c r="AQ123" s="8">
        <f>I123-E123</f>
        <v>166.5460947185519</v>
      </c>
      <c r="AR123" s="8">
        <f>(J123-F123)</f>
        <v>-28.448116021451078</v>
      </c>
      <c r="AS123" s="8">
        <f>K123-G123</f>
        <v>688.20664439290363</v>
      </c>
      <c r="AT123" s="8">
        <f>H123-L123</f>
        <v>-19405.638530000015</v>
      </c>
      <c r="AU123" s="3">
        <f>I123-M123</f>
        <v>-2.8686066782969419</v>
      </c>
      <c r="AV123" s="8">
        <f>J123-N123</f>
        <v>55896.616355356833</v>
      </c>
      <c r="AX123" s="5"/>
    </row>
    <row r="124" spans="1:50" x14ac:dyDescent="0.35">
      <c r="B124" s="4"/>
      <c r="C124" s="7"/>
      <c r="D124" s="9"/>
      <c r="E124" s="6"/>
      <c r="F124" s="3"/>
      <c r="G124" s="6"/>
      <c r="H124" s="9"/>
      <c r="I124" s="6"/>
      <c r="J124" s="3"/>
      <c r="K124" s="6"/>
      <c r="L124" s="8"/>
      <c r="M124" s="8"/>
      <c r="AP124" s="8"/>
      <c r="AQ124" s="8"/>
      <c r="AR124" s="8"/>
      <c r="AS124" s="8"/>
      <c r="AT124" s="8"/>
      <c r="AU124" s="3"/>
      <c r="AV124" s="3"/>
      <c r="AW124" s="3"/>
      <c r="AX124" s="5"/>
    </row>
    <row r="125" spans="1:50" x14ac:dyDescent="0.35">
      <c r="B125" s="4"/>
      <c r="C125" s="7"/>
      <c r="D125" s="9"/>
      <c r="E125" s="6"/>
      <c r="F125" s="3"/>
      <c r="G125" s="6"/>
      <c r="H125" s="9"/>
      <c r="I125" s="6"/>
      <c r="J125" s="3"/>
      <c r="K125" s="6"/>
      <c r="L125" s="8"/>
      <c r="M125" s="8"/>
      <c r="AP125" s="8"/>
      <c r="AQ125" s="8"/>
      <c r="AR125" s="8"/>
      <c r="AS125" s="8"/>
      <c r="AT125" s="8"/>
      <c r="AU125" s="3"/>
      <c r="AV125" s="3"/>
      <c r="AW125" s="3"/>
      <c r="AX125" s="5"/>
    </row>
    <row r="126" spans="1:50" x14ac:dyDescent="0.35">
      <c r="B126" s="4"/>
      <c r="C126" s="7"/>
      <c r="D126" s="9"/>
      <c r="E126" s="6"/>
      <c r="F126" s="3"/>
      <c r="G126" s="6"/>
      <c r="H126" s="9"/>
      <c r="I126" s="6"/>
      <c r="J126" s="3"/>
      <c r="K126" s="6"/>
      <c r="L126" s="8"/>
      <c r="M126" s="8"/>
      <c r="AP126" s="8"/>
      <c r="AQ126" s="8"/>
      <c r="AR126" s="8"/>
      <c r="AS126" s="8"/>
      <c r="AT126" s="8"/>
      <c r="AU126" s="3"/>
      <c r="AV126" s="3"/>
      <c r="AW126" s="3"/>
      <c r="AX126" s="5"/>
    </row>
    <row r="127" spans="1:50" x14ac:dyDescent="0.35">
      <c r="B127" s="4"/>
      <c r="C127" s="7"/>
      <c r="D127" s="9"/>
      <c r="E127" s="6"/>
      <c r="F127" s="3"/>
      <c r="G127" s="6"/>
      <c r="H127" s="9"/>
      <c r="I127" s="6"/>
      <c r="J127" s="3"/>
      <c r="K127" s="6"/>
      <c r="L127" s="8"/>
      <c r="M127" s="8"/>
      <c r="AP127" s="8"/>
      <c r="AQ127" s="8"/>
      <c r="AR127" s="8"/>
      <c r="AS127" s="8"/>
      <c r="AT127" s="8"/>
      <c r="AU127" s="3"/>
      <c r="AV127" s="3"/>
      <c r="AW127" s="3"/>
      <c r="AX127" s="5"/>
    </row>
    <row r="128" spans="1:50" x14ac:dyDescent="0.35">
      <c r="B128" s="4"/>
      <c r="C128" s="7"/>
      <c r="D128" s="9"/>
      <c r="E128" s="6"/>
      <c r="F128" s="3"/>
      <c r="G128" s="6"/>
      <c r="H128" s="9"/>
      <c r="I128" s="6"/>
      <c r="J128" s="3"/>
      <c r="K128" s="6"/>
      <c r="L128" s="8"/>
      <c r="M128" s="8"/>
      <c r="AP128" s="8"/>
      <c r="AQ128" s="8"/>
      <c r="AR128" s="8"/>
      <c r="AS128" s="8"/>
      <c r="AT128" s="8"/>
      <c r="AU128" s="3"/>
      <c r="AV128" s="3"/>
      <c r="AW128" s="3"/>
      <c r="AX128" s="5"/>
    </row>
    <row r="129" spans="2:50" x14ac:dyDescent="0.35">
      <c r="B129" s="4"/>
      <c r="C129" s="7"/>
      <c r="D129" s="9"/>
      <c r="E129" s="6"/>
      <c r="F129" s="3"/>
      <c r="G129" s="6"/>
      <c r="H129" s="9"/>
      <c r="I129" s="6"/>
      <c r="J129" s="3"/>
      <c r="K129" s="6"/>
      <c r="L129" s="8"/>
      <c r="M129" s="8"/>
      <c r="AP129" s="8"/>
      <c r="AQ129" s="8"/>
      <c r="AR129" s="8"/>
      <c r="AS129" s="8"/>
      <c r="AT129" s="8"/>
      <c r="AU129" s="3"/>
      <c r="AV129" s="3"/>
      <c r="AW129" s="3"/>
      <c r="AX129" s="5"/>
    </row>
    <row r="130" spans="2:50" x14ac:dyDescent="0.35">
      <c r="B130" s="4"/>
      <c r="C130" s="7"/>
      <c r="D130" s="9"/>
      <c r="E130" s="6"/>
      <c r="F130" s="3"/>
      <c r="G130" s="6"/>
      <c r="H130" s="9"/>
      <c r="I130" s="6"/>
      <c r="J130" s="3"/>
      <c r="K130" s="6"/>
      <c r="L130" s="8"/>
      <c r="M130" s="8"/>
      <c r="AP130" s="8"/>
      <c r="AQ130" s="8"/>
      <c r="AR130" s="8"/>
      <c r="AS130" s="8"/>
      <c r="AT130" s="8"/>
      <c r="AU130" s="3"/>
      <c r="AV130" s="3"/>
      <c r="AW130" s="3"/>
      <c r="AX130" s="5"/>
    </row>
    <row r="131" spans="2:50" x14ac:dyDescent="0.35">
      <c r="B131" s="4"/>
      <c r="C131" s="7"/>
      <c r="D131" s="9"/>
      <c r="E131" s="6"/>
      <c r="F131" s="3"/>
      <c r="G131" s="6"/>
      <c r="H131" s="9"/>
      <c r="I131" s="6"/>
      <c r="J131" s="3"/>
      <c r="K131" s="6"/>
      <c r="L131" s="8"/>
      <c r="M131" s="8"/>
      <c r="AP131" s="8"/>
      <c r="AQ131" s="8"/>
      <c r="AR131" s="8"/>
      <c r="AS131" s="8"/>
      <c r="AT131" s="8"/>
      <c r="AU131" s="3"/>
      <c r="AV131" s="3"/>
      <c r="AW131" s="3"/>
      <c r="AX131" s="5"/>
    </row>
    <row r="132" spans="2:50" x14ac:dyDescent="0.35">
      <c r="B132" s="4"/>
      <c r="C132" s="7"/>
      <c r="D132" s="9"/>
      <c r="E132" s="6"/>
      <c r="F132" s="3"/>
      <c r="G132" s="6"/>
      <c r="H132" s="9"/>
      <c r="I132" s="6"/>
      <c r="J132" s="3"/>
      <c r="K132" s="6"/>
      <c r="L132" s="8"/>
      <c r="M132" s="8"/>
      <c r="AP132" s="8"/>
      <c r="AQ132" s="8"/>
      <c r="AR132" s="8"/>
      <c r="AS132" s="8"/>
      <c r="AT132" s="8"/>
      <c r="AU132" s="3"/>
      <c r="AV132" s="3"/>
      <c r="AW132" s="3"/>
      <c r="AX132" s="5"/>
    </row>
    <row r="133" spans="2:50" x14ac:dyDescent="0.35">
      <c r="B133" s="4"/>
      <c r="C133" s="7"/>
      <c r="D133" s="9"/>
      <c r="E133" s="6"/>
      <c r="F133" s="3"/>
      <c r="G133" s="6"/>
      <c r="H133" s="9"/>
      <c r="I133" s="6"/>
      <c r="J133" s="3"/>
      <c r="K133" s="6"/>
      <c r="L133" s="8"/>
      <c r="M133" s="8"/>
      <c r="AP133" s="8"/>
      <c r="AQ133" s="8"/>
      <c r="AR133" s="8"/>
      <c r="AS133" s="8"/>
      <c r="AT133" s="8"/>
      <c r="AU133" s="3"/>
      <c r="AV133" s="3"/>
      <c r="AW133" s="3"/>
      <c r="AX133" s="5"/>
    </row>
    <row r="134" spans="2:50" x14ac:dyDescent="0.35">
      <c r="B134" s="4"/>
      <c r="C134" s="7"/>
      <c r="D134" s="9"/>
      <c r="E134" s="6"/>
      <c r="F134" s="3"/>
      <c r="G134" s="6"/>
      <c r="H134" s="9"/>
      <c r="I134" s="6"/>
      <c r="J134" s="3"/>
      <c r="K134" s="6"/>
      <c r="L134" s="8"/>
      <c r="M134" s="8"/>
      <c r="AP134" s="8"/>
      <c r="AQ134" s="8"/>
      <c r="AR134" s="8"/>
      <c r="AS134" s="8"/>
      <c r="AT134" s="8"/>
      <c r="AU134" s="3"/>
      <c r="AV134" s="3"/>
      <c r="AW134" s="3"/>
      <c r="AX134" s="5"/>
    </row>
    <row r="135" spans="2:50" x14ac:dyDescent="0.35">
      <c r="B135" s="4"/>
      <c r="C135" s="7"/>
      <c r="D135" s="9"/>
      <c r="E135" s="6"/>
      <c r="F135" s="3"/>
      <c r="G135" s="6"/>
      <c r="H135" s="9"/>
      <c r="I135" s="6"/>
      <c r="J135" s="3"/>
      <c r="K135" s="6"/>
      <c r="L135" s="8"/>
      <c r="M135" s="8"/>
      <c r="AP135" s="8"/>
      <c r="AQ135" s="8"/>
      <c r="AR135" s="8"/>
      <c r="AS135" s="8"/>
      <c r="AT135" s="8"/>
      <c r="AU135" s="3"/>
      <c r="AV135" s="3"/>
      <c r="AW135" s="3"/>
      <c r="AX135" s="5"/>
    </row>
    <row r="136" spans="2:50" x14ac:dyDescent="0.35">
      <c r="B136" s="4"/>
      <c r="C136" s="7"/>
      <c r="D136" s="9"/>
      <c r="E136" s="6"/>
      <c r="F136" s="3"/>
      <c r="G136" s="6"/>
      <c r="H136" s="9"/>
      <c r="I136" s="6"/>
      <c r="J136" s="3"/>
      <c r="K136" s="6"/>
      <c r="L136" s="8"/>
      <c r="M136" s="8"/>
      <c r="AP136" s="8"/>
      <c r="AQ136" s="8"/>
      <c r="AR136" s="8"/>
      <c r="AS136" s="8"/>
      <c r="AT136" s="8"/>
      <c r="AU136" s="3"/>
      <c r="AV136" s="3"/>
      <c r="AW136" s="3"/>
      <c r="AX136" s="5"/>
    </row>
    <row r="137" spans="2:50" x14ac:dyDescent="0.35">
      <c r="B137" s="4"/>
      <c r="C137" s="7"/>
      <c r="D137" s="9"/>
      <c r="E137" s="6"/>
      <c r="F137" s="3"/>
      <c r="G137" s="6"/>
      <c r="H137" s="9"/>
      <c r="I137" s="6"/>
      <c r="J137" s="3"/>
      <c r="K137" s="6"/>
      <c r="L137" s="8"/>
      <c r="M137" s="8"/>
      <c r="AP137" s="8"/>
      <c r="AQ137" s="8"/>
      <c r="AR137" s="8"/>
      <c r="AS137" s="8"/>
      <c r="AT137" s="8"/>
      <c r="AU137" s="3"/>
      <c r="AV137" s="3"/>
      <c r="AW137" s="3"/>
      <c r="AX137" s="5"/>
    </row>
    <row r="138" spans="2:50" x14ac:dyDescent="0.35">
      <c r="B138" s="4"/>
      <c r="C138" s="7"/>
      <c r="D138" s="9"/>
      <c r="E138" s="6"/>
      <c r="F138" s="3"/>
      <c r="G138" s="6"/>
      <c r="H138" s="9"/>
      <c r="I138" s="6"/>
      <c r="J138" s="3"/>
      <c r="K138" s="6"/>
      <c r="L138" s="8"/>
      <c r="M138" s="8"/>
      <c r="AP138" s="8"/>
      <c r="AQ138" s="8"/>
      <c r="AR138" s="8"/>
      <c r="AS138" s="8"/>
      <c r="AT138" s="8"/>
      <c r="AU138" s="3"/>
      <c r="AV138" s="3"/>
      <c r="AW138" s="3"/>
      <c r="AX138" s="5"/>
    </row>
    <row r="139" spans="2:50" x14ac:dyDescent="0.35">
      <c r="B139" s="4"/>
      <c r="C139" s="7"/>
      <c r="D139" s="9"/>
      <c r="E139" s="6"/>
      <c r="F139" s="3"/>
      <c r="G139" s="6"/>
      <c r="H139" s="9"/>
      <c r="I139" s="6"/>
      <c r="J139" s="3"/>
      <c r="K139" s="6"/>
      <c r="L139" s="8"/>
      <c r="M139" s="8"/>
      <c r="AP139" s="8"/>
      <c r="AQ139" s="8"/>
      <c r="AR139" s="8"/>
      <c r="AS139" s="8"/>
      <c r="AT139" s="8"/>
      <c r="AU139" s="3"/>
      <c r="AV139" s="3"/>
      <c r="AW139" s="3"/>
      <c r="AX139" s="5"/>
    </row>
    <row r="140" spans="2:50" x14ac:dyDescent="0.35">
      <c r="B140" s="4"/>
      <c r="C140" s="7"/>
      <c r="D140" s="9"/>
      <c r="E140" s="6"/>
      <c r="F140" s="3"/>
      <c r="G140" s="6"/>
      <c r="H140" s="9"/>
      <c r="I140" s="6"/>
      <c r="J140" s="3"/>
      <c r="K140" s="6"/>
      <c r="L140" s="8"/>
      <c r="M140" s="8"/>
      <c r="AP140" s="8"/>
      <c r="AQ140" s="8"/>
      <c r="AR140" s="8"/>
      <c r="AS140" s="8"/>
      <c r="AT140" s="8"/>
      <c r="AU140" s="3"/>
      <c r="AV140" s="3"/>
      <c r="AW140" s="3"/>
      <c r="AX140" s="5"/>
    </row>
    <row r="141" spans="2:50" x14ac:dyDescent="0.35">
      <c r="B141" s="4"/>
      <c r="C141" s="7"/>
      <c r="D141" s="9"/>
      <c r="E141" s="6"/>
      <c r="F141" s="3"/>
      <c r="G141" s="6"/>
      <c r="H141" s="9"/>
      <c r="I141" s="6"/>
      <c r="J141" s="3"/>
      <c r="K141" s="6"/>
      <c r="L141" s="8"/>
      <c r="M141" s="8"/>
      <c r="AP141" s="8"/>
      <c r="AQ141" s="8"/>
      <c r="AR141" s="8"/>
      <c r="AS141" s="8"/>
      <c r="AT141" s="8"/>
      <c r="AU141" s="3"/>
      <c r="AV141" s="3"/>
      <c r="AW141" s="3"/>
      <c r="AX141" s="5"/>
    </row>
    <row r="142" spans="2:50" x14ac:dyDescent="0.35">
      <c r="B142" s="4"/>
      <c r="C142" s="7"/>
      <c r="D142" s="9"/>
      <c r="E142" s="6"/>
      <c r="F142" s="3"/>
      <c r="G142" s="6"/>
      <c r="H142" s="9"/>
      <c r="I142" s="6"/>
      <c r="J142" s="3"/>
      <c r="K142" s="6"/>
      <c r="L142" s="8"/>
      <c r="M142" s="8"/>
      <c r="AP142" s="8"/>
      <c r="AQ142" s="8"/>
      <c r="AR142" s="8"/>
      <c r="AS142" s="8"/>
      <c r="AT142" s="8"/>
      <c r="AU142" s="3"/>
      <c r="AV142" s="3"/>
      <c r="AW142" s="3"/>
      <c r="AX142" s="5"/>
    </row>
    <row r="143" spans="2:50" x14ac:dyDescent="0.35">
      <c r="B143" s="4"/>
      <c r="C143" s="7"/>
      <c r="D143" s="9"/>
      <c r="E143" s="6"/>
      <c r="F143" s="3"/>
      <c r="G143" s="6"/>
      <c r="H143" s="9"/>
      <c r="I143" s="6"/>
      <c r="J143" s="3"/>
      <c r="K143" s="6"/>
      <c r="L143" s="8"/>
      <c r="M143" s="8"/>
      <c r="AP143" s="8"/>
      <c r="AQ143" s="8"/>
      <c r="AR143" s="8"/>
      <c r="AS143" s="8"/>
      <c r="AT143" s="8"/>
      <c r="AU143" s="3"/>
      <c r="AV143" s="3"/>
      <c r="AW143" s="3"/>
      <c r="AX143" s="5"/>
    </row>
    <row r="144" spans="2:50" x14ac:dyDescent="0.35">
      <c r="B144" s="4"/>
      <c r="C144" s="7"/>
      <c r="D144" s="9"/>
      <c r="E144" s="6"/>
      <c r="F144" s="3"/>
      <c r="G144" s="6"/>
      <c r="H144" s="9"/>
      <c r="I144" s="6"/>
      <c r="J144" s="3"/>
      <c r="K144" s="6"/>
      <c r="L144" s="8"/>
      <c r="M144" s="8"/>
      <c r="AP144" s="8"/>
      <c r="AQ144" s="8"/>
      <c r="AR144" s="8"/>
      <c r="AS144" s="8"/>
      <c r="AT144" s="8"/>
      <c r="AU144" s="3"/>
      <c r="AV144" s="3"/>
      <c r="AW144" s="3"/>
      <c r="AX144" s="5"/>
    </row>
    <row r="145" spans="2:50" x14ac:dyDescent="0.35">
      <c r="B145" s="4"/>
      <c r="C145" s="7"/>
      <c r="D145" s="9"/>
      <c r="E145" s="6"/>
      <c r="F145" s="3"/>
      <c r="G145" s="6"/>
      <c r="H145" s="9"/>
      <c r="I145" s="6"/>
      <c r="J145" s="3"/>
      <c r="K145" s="6"/>
      <c r="L145" s="8"/>
      <c r="M145" s="8"/>
      <c r="AP145" s="8"/>
      <c r="AQ145" s="8"/>
      <c r="AR145" s="8"/>
      <c r="AS145" s="8"/>
      <c r="AT145" s="8"/>
      <c r="AU145" s="3"/>
      <c r="AV145" s="3"/>
      <c r="AW145" s="3"/>
      <c r="AX145" s="5"/>
    </row>
    <row r="146" spans="2:50" x14ac:dyDescent="0.35">
      <c r="B146" s="4"/>
      <c r="C146" s="7"/>
      <c r="D146" s="9"/>
      <c r="E146" s="6"/>
      <c r="F146" s="3"/>
      <c r="G146" s="6"/>
      <c r="H146" s="9"/>
      <c r="I146" s="6"/>
      <c r="J146" s="3"/>
      <c r="K146" s="6"/>
      <c r="L146" s="8"/>
      <c r="M146" s="8"/>
      <c r="AP146" s="8"/>
      <c r="AQ146" s="8"/>
      <c r="AR146" s="8"/>
      <c r="AS146" s="8"/>
      <c r="AT146" s="8"/>
      <c r="AU146" s="3"/>
      <c r="AV146" s="3"/>
      <c r="AW146" s="3"/>
      <c r="AX146" s="5"/>
    </row>
    <row r="147" spans="2:50" x14ac:dyDescent="0.35">
      <c r="B147" s="4"/>
      <c r="C147" s="7"/>
      <c r="D147" s="9"/>
      <c r="E147" s="6"/>
      <c r="F147" s="3"/>
      <c r="G147" s="6"/>
      <c r="H147" s="9"/>
      <c r="I147" s="6"/>
      <c r="J147" s="3"/>
      <c r="K147" s="6"/>
      <c r="L147" s="8"/>
      <c r="M147" s="8"/>
      <c r="AP147" s="8"/>
      <c r="AQ147" s="8"/>
      <c r="AR147" s="8"/>
      <c r="AS147" s="8"/>
      <c r="AT147" s="8"/>
      <c r="AU147" s="3"/>
      <c r="AV147" s="3"/>
      <c r="AW147" s="3"/>
      <c r="AX147" s="5"/>
    </row>
    <row r="148" spans="2:50" x14ac:dyDescent="0.35">
      <c r="B148" s="4"/>
      <c r="C148" s="7"/>
      <c r="D148" s="9"/>
      <c r="E148" s="6"/>
      <c r="F148" s="3"/>
      <c r="G148" s="6"/>
      <c r="H148" s="9"/>
      <c r="I148" s="6"/>
      <c r="J148" s="3"/>
      <c r="K148" s="6"/>
      <c r="L148" s="8"/>
      <c r="M148" s="8"/>
      <c r="AP148" s="8"/>
      <c r="AQ148" s="8"/>
      <c r="AR148" s="8"/>
      <c r="AS148" s="8"/>
      <c r="AT148" s="8"/>
      <c r="AU148" s="3"/>
      <c r="AV148" s="3"/>
      <c r="AW148" s="3"/>
      <c r="AX148" s="5"/>
    </row>
    <row r="149" spans="2:50" x14ac:dyDescent="0.35">
      <c r="B149" s="4"/>
      <c r="C149" s="7"/>
      <c r="D149" s="9"/>
      <c r="E149" s="6"/>
      <c r="F149" s="3"/>
      <c r="G149" s="6"/>
      <c r="H149" s="9"/>
      <c r="I149" s="6"/>
      <c r="J149" s="3"/>
      <c r="K149" s="6"/>
      <c r="L149" s="8"/>
      <c r="M149" s="8"/>
      <c r="AP149" s="8"/>
      <c r="AQ149" s="8"/>
      <c r="AR149" s="8"/>
      <c r="AS149" s="8"/>
      <c r="AT149" s="8"/>
      <c r="AU149" s="3"/>
      <c r="AV149" s="3"/>
      <c r="AW149" s="3"/>
      <c r="AX149" s="5"/>
    </row>
    <row r="150" spans="2:50" x14ac:dyDescent="0.35">
      <c r="B150" s="4"/>
      <c r="C150" s="7"/>
      <c r="D150" s="9"/>
      <c r="E150" s="6"/>
      <c r="F150" s="3"/>
      <c r="G150" s="6"/>
      <c r="H150" s="9"/>
      <c r="I150" s="6"/>
      <c r="J150" s="3"/>
      <c r="K150" s="6"/>
      <c r="L150" s="8"/>
      <c r="M150" s="8"/>
      <c r="AP150" s="8"/>
      <c r="AQ150" s="8"/>
      <c r="AR150" s="8"/>
      <c r="AS150" s="8"/>
      <c r="AT150" s="8"/>
      <c r="AU150" s="3"/>
      <c r="AV150" s="3"/>
      <c r="AW150" s="3"/>
      <c r="AX150" s="5"/>
    </row>
    <row r="151" spans="2:50" x14ac:dyDescent="0.35">
      <c r="B151" s="4"/>
      <c r="C151" s="7"/>
      <c r="D151" s="9"/>
      <c r="E151" s="6"/>
      <c r="F151" s="3"/>
      <c r="G151" s="6"/>
      <c r="H151" s="9"/>
      <c r="I151" s="6"/>
      <c r="J151" s="3"/>
      <c r="K151" s="6"/>
      <c r="L151" s="8"/>
      <c r="M151" s="8"/>
      <c r="AP151" s="8"/>
      <c r="AQ151" s="8"/>
      <c r="AR151" s="8"/>
      <c r="AS151" s="8"/>
      <c r="AT151" s="8"/>
      <c r="AU151" s="3"/>
      <c r="AV151" s="3"/>
      <c r="AW151" s="3"/>
      <c r="AX151" s="5"/>
    </row>
    <row r="152" spans="2:50" x14ac:dyDescent="0.35">
      <c r="B152" s="4"/>
      <c r="C152" s="7"/>
      <c r="D152" s="9"/>
      <c r="E152" s="6"/>
      <c r="F152" s="3"/>
      <c r="G152" s="6"/>
      <c r="H152" s="9"/>
      <c r="I152" s="6"/>
      <c r="J152" s="3"/>
      <c r="K152" s="6"/>
      <c r="L152" s="8"/>
      <c r="M152" s="8"/>
      <c r="AP152" s="8"/>
      <c r="AQ152" s="8"/>
      <c r="AR152" s="8"/>
      <c r="AS152" s="8"/>
      <c r="AT152" s="8"/>
      <c r="AU152" s="3"/>
      <c r="AV152" s="3"/>
      <c r="AW152" s="3"/>
      <c r="AX152" s="5"/>
    </row>
    <row r="153" spans="2:50" x14ac:dyDescent="0.35">
      <c r="B153" s="4"/>
      <c r="C153" s="7"/>
      <c r="D153" s="9"/>
      <c r="E153" s="6"/>
      <c r="F153" s="3"/>
      <c r="G153" s="6"/>
      <c r="H153" s="9"/>
      <c r="I153" s="6"/>
      <c r="J153" s="3"/>
      <c r="K153" s="6"/>
      <c r="L153" s="8"/>
      <c r="M153" s="8"/>
      <c r="AP153" s="8"/>
      <c r="AQ153" s="8"/>
      <c r="AR153" s="8"/>
      <c r="AS153" s="8"/>
      <c r="AT153" s="8"/>
      <c r="AU153" s="3"/>
      <c r="AV153" s="3"/>
      <c r="AW153" s="3"/>
      <c r="AX153" s="5"/>
    </row>
    <row r="154" spans="2:50" x14ac:dyDescent="0.35">
      <c r="B154" s="4"/>
      <c r="C154" s="7"/>
      <c r="D154" s="9"/>
      <c r="E154" s="6"/>
      <c r="F154" s="3"/>
      <c r="G154" s="6"/>
      <c r="H154" s="9"/>
      <c r="I154" s="6"/>
      <c r="J154" s="3"/>
      <c r="K154" s="6"/>
      <c r="L154" s="8"/>
      <c r="M154" s="8"/>
      <c r="AP154" s="8"/>
      <c r="AQ154" s="8"/>
      <c r="AR154" s="8"/>
      <c r="AS154" s="8"/>
      <c r="AT154" s="8"/>
      <c r="AU154" s="3"/>
      <c r="AV154" s="3"/>
      <c r="AW154" s="3"/>
      <c r="AX154" s="5"/>
    </row>
    <row r="155" spans="2:50" x14ac:dyDescent="0.35">
      <c r="B155" s="4"/>
      <c r="C155" s="7"/>
      <c r="D155" s="9"/>
      <c r="E155" s="6"/>
      <c r="F155" s="3"/>
      <c r="G155" s="6"/>
      <c r="H155" s="9"/>
      <c r="I155" s="6"/>
      <c r="J155" s="3"/>
      <c r="K155" s="6"/>
      <c r="L155" s="8"/>
      <c r="M155" s="8"/>
      <c r="AP155" s="8"/>
      <c r="AQ155" s="8"/>
      <c r="AR155" s="8"/>
      <c r="AS155" s="8"/>
      <c r="AT155" s="8"/>
      <c r="AU155" s="3"/>
      <c r="AV155" s="3"/>
      <c r="AW155" s="3"/>
      <c r="AX155" s="5"/>
    </row>
    <row r="156" spans="2:50" x14ac:dyDescent="0.35">
      <c r="B156" s="4"/>
      <c r="C156" s="7"/>
      <c r="D156" s="9"/>
      <c r="E156" s="6"/>
      <c r="F156" s="3"/>
      <c r="G156" s="6"/>
      <c r="H156" s="9"/>
      <c r="I156" s="6"/>
      <c r="J156" s="3"/>
      <c r="K156" s="6"/>
      <c r="L156" s="8"/>
      <c r="M156" s="8"/>
      <c r="AP156" s="8"/>
      <c r="AQ156" s="8"/>
      <c r="AR156" s="8"/>
      <c r="AS156" s="8"/>
      <c r="AT156" s="8"/>
      <c r="AU156" s="3"/>
      <c r="AV156" s="3"/>
      <c r="AW156" s="3"/>
      <c r="AX156" s="5"/>
    </row>
    <row r="157" spans="2:50" x14ac:dyDescent="0.35">
      <c r="B157" s="4"/>
      <c r="C157" s="7"/>
      <c r="D157" s="9"/>
      <c r="E157" s="6"/>
      <c r="F157" s="3"/>
      <c r="G157" s="6"/>
      <c r="H157" s="9"/>
      <c r="I157" s="6"/>
      <c r="J157" s="3"/>
      <c r="K157" s="6"/>
      <c r="L157" s="8"/>
      <c r="M157" s="8"/>
      <c r="AP157" s="8"/>
      <c r="AQ157" s="8"/>
      <c r="AR157" s="8"/>
      <c r="AS157" s="8"/>
      <c r="AT157" s="8"/>
      <c r="AU157" s="3"/>
      <c r="AV157" s="3"/>
      <c r="AW157" s="3"/>
      <c r="AX157" s="5"/>
    </row>
    <row r="158" spans="2:50" x14ac:dyDescent="0.35">
      <c r="B158" s="4"/>
      <c r="C158" s="7"/>
      <c r="D158" s="9"/>
      <c r="E158" s="6"/>
      <c r="F158" s="3"/>
      <c r="G158" s="6"/>
      <c r="H158" s="9"/>
      <c r="I158" s="6"/>
      <c r="J158" s="3"/>
      <c r="K158" s="6"/>
      <c r="L158" s="8"/>
      <c r="M158" s="8"/>
      <c r="AP158" s="8"/>
      <c r="AQ158" s="8"/>
      <c r="AR158" s="8"/>
      <c r="AS158" s="8"/>
      <c r="AT158" s="8"/>
      <c r="AU158" s="3"/>
      <c r="AV158" s="3"/>
      <c r="AW158" s="3"/>
      <c r="AX158" s="5"/>
    </row>
    <row r="159" spans="2:50" x14ac:dyDescent="0.35">
      <c r="B159" s="4"/>
      <c r="C159" s="7"/>
      <c r="D159" s="9"/>
      <c r="E159" s="6"/>
      <c r="F159" s="3"/>
      <c r="G159" s="6"/>
      <c r="H159" s="9"/>
      <c r="I159" s="6"/>
      <c r="J159" s="3"/>
      <c r="K159" s="6"/>
      <c r="L159" s="8"/>
      <c r="M159" s="8"/>
      <c r="AP159" s="8"/>
      <c r="AQ159" s="8"/>
      <c r="AR159" s="8"/>
      <c r="AS159" s="8"/>
      <c r="AT159" s="8"/>
      <c r="AU159" s="3"/>
      <c r="AV159" s="3"/>
      <c r="AW159" s="3"/>
      <c r="AX159" s="5"/>
    </row>
    <row r="160" spans="2:50" x14ac:dyDescent="0.35">
      <c r="B160" s="4"/>
      <c r="C160" s="7"/>
      <c r="D160" s="9"/>
      <c r="E160" s="6"/>
      <c r="F160" s="3"/>
      <c r="G160" s="6"/>
      <c r="H160" s="9"/>
      <c r="I160" s="6"/>
      <c r="J160" s="3"/>
      <c r="K160" s="6"/>
      <c r="L160" s="8"/>
      <c r="M160" s="8"/>
      <c r="AP160" s="8"/>
      <c r="AQ160" s="8"/>
      <c r="AR160" s="8"/>
      <c r="AS160" s="8"/>
      <c r="AT160" s="8"/>
      <c r="AU160" s="3"/>
      <c r="AV160" s="3"/>
      <c r="AW160" s="3"/>
      <c r="AX160" s="5"/>
    </row>
    <row r="161" spans="2:50" x14ac:dyDescent="0.35">
      <c r="B161" s="4"/>
      <c r="C161" s="7"/>
      <c r="D161" s="9"/>
      <c r="E161" s="6"/>
      <c r="F161" s="3"/>
      <c r="G161" s="6"/>
      <c r="H161" s="9"/>
      <c r="I161" s="6"/>
      <c r="J161" s="3"/>
      <c r="K161" s="6"/>
      <c r="L161" s="8"/>
      <c r="M161" s="8"/>
      <c r="AP161" s="8"/>
      <c r="AQ161" s="8"/>
      <c r="AR161" s="8"/>
      <c r="AS161" s="8"/>
      <c r="AT161" s="8"/>
      <c r="AU161" s="3"/>
      <c r="AV161" s="3"/>
      <c r="AW161" s="3"/>
      <c r="AX161" s="5"/>
    </row>
    <row r="162" spans="2:50" x14ac:dyDescent="0.35">
      <c r="B162" s="4"/>
      <c r="C162" s="7"/>
      <c r="D162" s="9"/>
      <c r="E162" s="6"/>
      <c r="F162" s="3"/>
      <c r="G162" s="6"/>
      <c r="H162" s="9"/>
      <c r="I162" s="6"/>
      <c r="J162" s="3"/>
      <c r="K162" s="6"/>
      <c r="L162" s="8"/>
      <c r="M162" s="8"/>
      <c r="AP162" s="8"/>
      <c r="AQ162" s="8"/>
      <c r="AR162" s="8"/>
      <c r="AS162" s="8"/>
      <c r="AT162" s="8"/>
      <c r="AU162" s="3"/>
      <c r="AV162" s="3"/>
      <c r="AW162" s="3"/>
      <c r="AX162" s="5"/>
    </row>
    <row r="163" spans="2:50" x14ac:dyDescent="0.35">
      <c r="B163" s="4"/>
      <c r="C163" s="7"/>
      <c r="D163" s="9"/>
      <c r="E163" s="6"/>
      <c r="F163" s="3"/>
      <c r="G163" s="6"/>
      <c r="H163" s="9"/>
      <c r="I163" s="6"/>
      <c r="J163" s="3"/>
      <c r="K163" s="6"/>
      <c r="L163" s="8"/>
      <c r="M163" s="8"/>
      <c r="AP163" s="8"/>
      <c r="AQ163" s="8"/>
      <c r="AR163" s="8"/>
      <c r="AS163" s="8"/>
      <c r="AT163" s="8"/>
      <c r="AU163" s="3"/>
      <c r="AV163" s="3"/>
      <c r="AW163" s="3"/>
      <c r="AX163" s="5"/>
    </row>
    <row r="164" spans="2:50" x14ac:dyDescent="0.35">
      <c r="B164" s="4"/>
      <c r="C164" s="7"/>
      <c r="D164" s="9"/>
      <c r="E164" s="6"/>
      <c r="F164" s="3"/>
      <c r="G164" s="6"/>
      <c r="H164" s="9"/>
      <c r="I164" s="6"/>
      <c r="J164" s="3"/>
      <c r="K164" s="6"/>
      <c r="L164" s="8"/>
      <c r="M164" s="8"/>
      <c r="AP164" s="8"/>
      <c r="AQ164" s="8"/>
      <c r="AR164" s="8"/>
      <c r="AS164" s="8"/>
      <c r="AT164" s="8"/>
      <c r="AU164" s="3"/>
      <c r="AV164" s="3"/>
      <c r="AW164" s="3"/>
      <c r="AX164" s="5"/>
    </row>
    <row r="165" spans="2:50" x14ac:dyDescent="0.35">
      <c r="B165" s="4"/>
      <c r="C165" s="7"/>
      <c r="D165" s="9"/>
      <c r="E165" s="6"/>
      <c r="F165" s="3"/>
      <c r="G165" s="6"/>
      <c r="H165" s="9"/>
      <c r="I165" s="6"/>
      <c r="J165" s="3"/>
      <c r="K165" s="6"/>
      <c r="L165" s="8"/>
      <c r="M165" s="8"/>
      <c r="AP165" s="8"/>
      <c r="AQ165" s="8"/>
      <c r="AR165" s="8"/>
      <c r="AS165" s="8"/>
      <c r="AT165" s="8"/>
      <c r="AU165" s="3"/>
      <c r="AV165" s="3"/>
      <c r="AW165" s="3"/>
      <c r="AX165" s="5"/>
    </row>
    <row r="166" spans="2:50" x14ac:dyDescent="0.35">
      <c r="B166" s="4"/>
      <c r="C166" s="7"/>
      <c r="D166" s="9"/>
      <c r="E166" s="6"/>
      <c r="F166" s="3"/>
      <c r="G166" s="6"/>
      <c r="H166" s="9"/>
      <c r="I166" s="6"/>
      <c r="J166" s="3"/>
      <c r="K166" s="6"/>
      <c r="L166" s="8"/>
      <c r="M166" s="8"/>
      <c r="AP166" s="8"/>
      <c r="AQ166" s="8"/>
      <c r="AR166" s="8"/>
      <c r="AS166" s="8"/>
      <c r="AT166" s="8"/>
      <c r="AU166" s="3"/>
      <c r="AV166" s="3"/>
      <c r="AW166" s="3"/>
      <c r="AX166" s="5"/>
    </row>
    <row r="167" spans="2:50" x14ac:dyDescent="0.35">
      <c r="B167" s="4"/>
      <c r="C167" s="7"/>
      <c r="D167" s="9"/>
      <c r="E167" s="6"/>
      <c r="F167" s="3"/>
      <c r="G167" s="6"/>
      <c r="H167" s="9"/>
      <c r="I167" s="6"/>
      <c r="J167" s="3"/>
      <c r="K167" s="6"/>
      <c r="L167" s="8"/>
      <c r="M167" s="8"/>
      <c r="AP167" s="8"/>
      <c r="AQ167" s="8"/>
      <c r="AR167" s="8"/>
      <c r="AS167" s="8"/>
      <c r="AT167" s="8"/>
      <c r="AU167" s="3"/>
      <c r="AV167" s="3"/>
      <c r="AW167" s="3"/>
      <c r="AX167" s="5"/>
    </row>
    <row r="168" spans="2:50" x14ac:dyDescent="0.35">
      <c r="B168" s="4"/>
      <c r="C168" s="7"/>
      <c r="D168" s="9"/>
      <c r="E168" s="6"/>
      <c r="F168" s="3"/>
      <c r="G168" s="6"/>
      <c r="H168" s="9"/>
      <c r="I168" s="6"/>
      <c r="J168" s="3"/>
      <c r="K168" s="6"/>
      <c r="L168" s="8"/>
      <c r="M168" s="8"/>
      <c r="AP168" s="8"/>
      <c r="AQ168" s="8"/>
      <c r="AR168" s="8"/>
      <c r="AS168" s="8"/>
      <c r="AT168" s="8"/>
      <c r="AU168" s="3"/>
      <c r="AV168" s="3"/>
      <c r="AW168" s="3"/>
      <c r="AX168" s="5"/>
    </row>
    <row r="169" spans="2:50" x14ac:dyDescent="0.35">
      <c r="B169" s="4"/>
      <c r="C169" s="7"/>
      <c r="D169" s="9"/>
      <c r="E169" s="6"/>
      <c r="F169" s="3"/>
      <c r="G169" s="6"/>
      <c r="H169" s="9"/>
      <c r="I169" s="6"/>
      <c r="J169" s="3"/>
      <c r="K169" s="6"/>
      <c r="L169" s="8"/>
      <c r="M169" s="8"/>
      <c r="AP169" s="8"/>
      <c r="AQ169" s="8"/>
      <c r="AR169" s="8"/>
      <c r="AS169" s="8"/>
      <c r="AT169" s="8"/>
      <c r="AU169" s="3"/>
      <c r="AV169" s="3"/>
      <c r="AW169" s="3"/>
      <c r="AX169" s="5"/>
    </row>
    <row r="170" spans="2:50" ht="21.75" customHeight="1" x14ac:dyDescent="0.35">
      <c r="B170" s="4"/>
      <c r="C170" s="7"/>
      <c r="D170" s="6"/>
      <c r="E170" s="6"/>
      <c r="F170" s="5"/>
      <c r="G170" s="6"/>
      <c r="H170" s="5"/>
      <c r="I170" s="6"/>
      <c r="J170" s="5"/>
      <c r="K170" s="4"/>
      <c r="L170" s="2"/>
      <c r="M170" s="2"/>
      <c r="U170" s="2"/>
      <c r="V170" s="2"/>
      <c r="W170" s="2"/>
      <c r="X170" s="2"/>
      <c r="Y170" s="2"/>
      <c r="Z170" s="2"/>
      <c r="AA170" s="2"/>
      <c r="AB170" s="2"/>
      <c r="AP170" s="8"/>
      <c r="AQ170" s="8"/>
      <c r="AR170" s="8"/>
      <c r="AS170" s="8"/>
      <c r="AT170" s="8"/>
      <c r="AU170" s="3"/>
      <c r="AV170" s="3"/>
      <c r="AW170" s="3"/>
    </row>
    <row r="171" spans="2:50" ht="21.75" customHeight="1" x14ac:dyDescent="0.35">
      <c r="B171" s="4"/>
      <c r="C171" s="7"/>
      <c r="D171" s="6"/>
      <c r="E171" s="6"/>
      <c r="F171" s="5"/>
      <c r="G171" s="6"/>
      <c r="H171" s="5"/>
      <c r="I171" s="6"/>
      <c r="J171" s="5"/>
      <c r="K171" s="4"/>
      <c r="L171" s="2"/>
      <c r="M171" s="2"/>
      <c r="U171" s="2"/>
      <c r="V171" s="2"/>
      <c r="W171" s="2"/>
      <c r="X171" s="2"/>
      <c r="Y171" s="2"/>
      <c r="Z171" s="2"/>
      <c r="AA171" s="2"/>
      <c r="AB171" s="2"/>
      <c r="AP171" s="8"/>
      <c r="AQ171" s="8"/>
      <c r="AR171" s="8"/>
      <c r="AS171" s="8"/>
      <c r="AT171" s="8"/>
      <c r="AU171" s="3"/>
      <c r="AV171" s="3"/>
      <c r="AW171" s="3"/>
    </row>
    <row r="172" spans="2:50" ht="21.75" customHeight="1" x14ac:dyDescent="0.35">
      <c r="B172" s="4"/>
      <c r="C172" s="7"/>
      <c r="D172" s="6"/>
      <c r="E172" s="6"/>
      <c r="F172" s="5"/>
      <c r="G172" s="6"/>
      <c r="H172" s="5"/>
      <c r="I172" s="6"/>
      <c r="J172" s="5"/>
      <c r="K172" s="4"/>
      <c r="L172" s="2"/>
      <c r="M172" s="2"/>
      <c r="U172" s="2"/>
      <c r="V172" s="2"/>
      <c r="W172" s="2"/>
      <c r="X172" s="2"/>
      <c r="Y172" s="2"/>
      <c r="Z172" s="2"/>
      <c r="AA172" s="2"/>
      <c r="AB172" s="2"/>
      <c r="AP172" s="8"/>
      <c r="AQ172" s="8"/>
      <c r="AR172" s="8"/>
      <c r="AS172" s="8"/>
      <c r="AT172" s="8"/>
      <c r="AU172" s="3"/>
      <c r="AV172" s="3"/>
      <c r="AW172" s="3"/>
    </row>
    <row r="173" spans="2:50" ht="21.75" customHeight="1" x14ac:dyDescent="0.35">
      <c r="B173" s="4"/>
      <c r="C173" s="7"/>
      <c r="D173" s="6"/>
      <c r="E173" s="6"/>
      <c r="F173" s="5"/>
      <c r="G173" s="6"/>
      <c r="H173" s="5"/>
      <c r="I173" s="6"/>
      <c r="J173" s="5"/>
      <c r="K173" s="4"/>
      <c r="L173" s="2"/>
      <c r="M173" s="2"/>
      <c r="U173" s="2"/>
      <c r="V173" s="2"/>
      <c r="W173" s="2"/>
      <c r="X173" s="2"/>
      <c r="Y173" s="2"/>
      <c r="Z173" s="2"/>
      <c r="AA173" s="2"/>
      <c r="AB173" s="2"/>
      <c r="AP173" s="8"/>
      <c r="AQ173" s="8"/>
      <c r="AR173" s="8"/>
      <c r="AS173" s="8"/>
      <c r="AT173" s="8"/>
      <c r="AU173" s="3"/>
      <c r="AV173" s="3"/>
      <c r="AW173" s="3"/>
    </row>
    <row r="174" spans="2:50" ht="21.75" customHeight="1" x14ac:dyDescent="0.35">
      <c r="B174" s="4"/>
      <c r="C174" s="7"/>
      <c r="D174" s="6"/>
      <c r="E174" s="6"/>
      <c r="F174" s="5"/>
      <c r="G174" s="6"/>
      <c r="H174" s="5"/>
      <c r="I174" s="6"/>
      <c r="J174" s="5"/>
      <c r="K174" s="4"/>
      <c r="L174" s="2"/>
      <c r="M174" s="2"/>
      <c r="U174" s="2"/>
      <c r="V174" s="2"/>
      <c r="W174" s="2"/>
      <c r="X174" s="2"/>
      <c r="Y174" s="2"/>
      <c r="Z174" s="2"/>
      <c r="AA174" s="2"/>
      <c r="AB174" s="2"/>
      <c r="AP174" s="8"/>
      <c r="AQ174" s="8"/>
      <c r="AR174" s="8"/>
      <c r="AS174" s="8"/>
      <c r="AT174" s="8"/>
      <c r="AU174" s="3"/>
      <c r="AV174" s="3"/>
      <c r="AW174" s="3"/>
    </row>
    <row r="175" spans="2:50" ht="21.75" customHeight="1" x14ac:dyDescent="0.35">
      <c r="B175" s="4"/>
      <c r="C175" s="7"/>
      <c r="D175" s="6"/>
      <c r="E175" s="6"/>
      <c r="F175" s="5"/>
      <c r="G175" s="6"/>
      <c r="H175" s="5"/>
      <c r="I175" s="6"/>
      <c r="J175" s="5"/>
      <c r="K175" s="4"/>
      <c r="L175" s="2"/>
      <c r="M175" s="2"/>
      <c r="U175" s="2"/>
      <c r="V175" s="2"/>
      <c r="W175" s="2"/>
      <c r="X175" s="2"/>
      <c r="Y175" s="2"/>
      <c r="Z175" s="2"/>
      <c r="AA175" s="2"/>
      <c r="AB175" s="2"/>
      <c r="AP175" s="8"/>
      <c r="AQ175" s="8"/>
      <c r="AR175" s="8"/>
      <c r="AS175" s="8"/>
      <c r="AT175" s="8"/>
      <c r="AU175" s="3"/>
      <c r="AV175" s="3"/>
      <c r="AW175" s="3"/>
    </row>
    <row r="176" spans="2:50" ht="21.75" customHeight="1" x14ac:dyDescent="0.35">
      <c r="B176" s="4"/>
      <c r="C176" s="7"/>
      <c r="D176" s="6"/>
      <c r="E176" s="6"/>
      <c r="F176" s="5"/>
      <c r="G176" s="6"/>
      <c r="H176" s="5"/>
      <c r="I176" s="6"/>
      <c r="J176" s="5"/>
      <c r="K176" s="4"/>
      <c r="L176" s="2"/>
      <c r="M176" s="2"/>
      <c r="U176" s="2"/>
      <c r="V176" s="2"/>
      <c r="W176" s="2"/>
      <c r="X176" s="2"/>
      <c r="Y176" s="2"/>
      <c r="Z176" s="2"/>
      <c r="AA176" s="2"/>
      <c r="AB176" s="2"/>
      <c r="AP176" s="8"/>
      <c r="AQ176" s="8"/>
      <c r="AR176" s="8"/>
      <c r="AS176" s="8"/>
      <c r="AT176" s="8"/>
      <c r="AU176" s="3"/>
      <c r="AV176" s="3"/>
      <c r="AW176" s="3"/>
    </row>
    <row r="177" spans="2:49" ht="21.75" customHeight="1" x14ac:dyDescent="0.35">
      <c r="B177" s="4"/>
      <c r="C177" s="7"/>
      <c r="D177" s="6"/>
      <c r="E177" s="6"/>
      <c r="F177" s="5"/>
      <c r="G177" s="6"/>
      <c r="H177" s="5"/>
      <c r="I177" s="6"/>
      <c r="J177" s="5"/>
      <c r="K177" s="4"/>
      <c r="L177" s="2"/>
      <c r="M177" s="2"/>
      <c r="U177" s="2"/>
      <c r="V177" s="2"/>
      <c r="W177" s="2"/>
      <c r="X177" s="2"/>
      <c r="Y177" s="2"/>
      <c r="Z177" s="2"/>
      <c r="AA177" s="2"/>
      <c r="AB177" s="2"/>
      <c r="AP177" s="8"/>
      <c r="AQ177" s="8"/>
      <c r="AR177" s="8"/>
      <c r="AS177" s="8"/>
      <c r="AT177" s="8"/>
      <c r="AU177" s="3"/>
      <c r="AV177" s="3"/>
      <c r="AW177" s="3"/>
    </row>
    <row r="178" spans="2:49" ht="21.75" customHeight="1" x14ac:dyDescent="0.35">
      <c r="B178" s="4"/>
      <c r="C178" s="7"/>
      <c r="D178" s="6"/>
      <c r="E178" s="6"/>
      <c r="F178" s="5"/>
      <c r="G178" s="6"/>
      <c r="H178" s="5"/>
      <c r="I178" s="6"/>
      <c r="J178" s="5"/>
      <c r="K178" s="4"/>
      <c r="L178" s="2"/>
      <c r="M178" s="2"/>
      <c r="U178" s="2"/>
      <c r="V178" s="2"/>
      <c r="W178" s="2"/>
      <c r="X178" s="2"/>
      <c r="Y178" s="2"/>
      <c r="Z178" s="2"/>
      <c r="AA178" s="2"/>
      <c r="AB178" s="2"/>
      <c r="AP178" s="8"/>
      <c r="AQ178" s="8"/>
      <c r="AR178" s="8"/>
      <c r="AS178" s="8"/>
      <c r="AT178" s="8"/>
      <c r="AU178" s="3"/>
      <c r="AV178" s="3"/>
      <c r="AW178" s="3"/>
    </row>
    <row r="179" spans="2:49" ht="21.75" customHeight="1" x14ac:dyDescent="0.35">
      <c r="B179" s="4"/>
      <c r="C179" s="7"/>
      <c r="D179" s="6"/>
      <c r="E179" s="6"/>
      <c r="F179" s="5"/>
      <c r="G179" s="6"/>
      <c r="H179" s="5"/>
      <c r="I179" s="6"/>
      <c r="J179" s="5"/>
      <c r="K179" s="4"/>
      <c r="L179" s="2"/>
      <c r="M179" s="2"/>
      <c r="U179" s="2"/>
      <c r="V179" s="2"/>
      <c r="W179" s="2"/>
      <c r="X179" s="2"/>
      <c r="Y179" s="2"/>
      <c r="Z179" s="2"/>
      <c r="AA179" s="2"/>
      <c r="AB179" s="2"/>
      <c r="AP179" s="8"/>
      <c r="AQ179" s="8"/>
      <c r="AR179" s="8"/>
      <c r="AS179" s="8"/>
      <c r="AT179" s="8"/>
      <c r="AU179" s="3"/>
      <c r="AV179" s="3"/>
      <c r="AW179" s="3"/>
    </row>
    <row r="180" spans="2:49" ht="21.75" customHeight="1" x14ac:dyDescent="0.35">
      <c r="B180" s="4"/>
      <c r="C180" s="7"/>
      <c r="D180" s="6"/>
      <c r="E180" s="6"/>
      <c r="F180" s="5"/>
      <c r="G180" s="6"/>
      <c r="H180" s="5"/>
      <c r="I180" s="6"/>
      <c r="J180" s="5"/>
      <c r="K180" s="4"/>
      <c r="L180" s="2"/>
      <c r="M180" s="2"/>
      <c r="U180" s="2"/>
      <c r="V180" s="2"/>
      <c r="W180" s="2"/>
      <c r="X180" s="2"/>
      <c r="Y180" s="2"/>
      <c r="Z180" s="2"/>
      <c r="AA180" s="2"/>
      <c r="AB180" s="2"/>
      <c r="AP180" s="8"/>
      <c r="AQ180" s="8"/>
      <c r="AR180" s="8"/>
      <c r="AS180" s="8"/>
      <c r="AT180" s="8"/>
      <c r="AU180" s="3"/>
      <c r="AV180" s="3"/>
      <c r="AW180" s="3"/>
    </row>
    <row r="181" spans="2:49" ht="21.75" customHeight="1" x14ac:dyDescent="0.35">
      <c r="B181" s="4"/>
      <c r="C181" s="7"/>
      <c r="D181" s="6"/>
      <c r="E181" s="6"/>
      <c r="F181" s="5"/>
      <c r="G181" s="6"/>
      <c r="H181" s="5"/>
      <c r="I181" s="6"/>
      <c r="J181" s="5"/>
      <c r="K181" s="4"/>
      <c r="L181" s="2"/>
      <c r="M181" s="2"/>
      <c r="U181" s="2"/>
      <c r="V181" s="2"/>
      <c r="W181" s="2"/>
      <c r="X181" s="2"/>
      <c r="Y181" s="2"/>
      <c r="Z181" s="2"/>
      <c r="AA181" s="2"/>
      <c r="AB181" s="2"/>
      <c r="AP181" s="8"/>
      <c r="AQ181" s="8"/>
      <c r="AR181" s="8"/>
      <c r="AS181" s="8"/>
      <c r="AT181" s="8"/>
      <c r="AU181" s="3"/>
      <c r="AV181" s="3"/>
      <c r="AW181" s="3"/>
    </row>
    <row r="182" spans="2:49" ht="21.75" customHeight="1" x14ac:dyDescent="0.35">
      <c r="B182" s="4"/>
      <c r="C182" s="7"/>
      <c r="D182" s="6"/>
      <c r="E182" s="6"/>
      <c r="F182" s="5"/>
      <c r="G182" s="6"/>
      <c r="H182" s="5"/>
      <c r="I182" s="6"/>
      <c r="J182" s="5"/>
      <c r="K182" s="4"/>
      <c r="L182" s="2"/>
      <c r="M182" s="2"/>
      <c r="U182" s="2"/>
      <c r="V182" s="2"/>
      <c r="W182" s="2"/>
      <c r="X182" s="2"/>
      <c r="Y182" s="2"/>
      <c r="Z182" s="2"/>
      <c r="AA182" s="2"/>
      <c r="AB182" s="2"/>
      <c r="AP182" s="8"/>
      <c r="AQ182" s="8"/>
      <c r="AR182" s="8"/>
      <c r="AS182" s="8"/>
      <c r="AT182" s="8"/>
      <c r="AU182" s="3"/>
      <c r="AV182" s="3"/>
      <c r="AW182" s="3"/>
    </row>
    <row r="183" spans="2:49" ht="21.75" customHeight="1" x14ac:dyDescent="0.35">
      <c r="B183" s="4"/>
      <c r="C183" s="7"/>
      <c r="D183" s="6"/>
      <c r="E183" s="6"/>
      <c r="F183" s="5"/>
      <c r="G183" s="6"/>
      <c r="H183" s="5"/>
      <c r="I183" s="6"/>
      <c r="J183" s="5"/>
      <c r="K183" s="4"/>
      <c r="L183" s="2"/>
      <c r="M183" s="2"/>
      <c r="U183" s="2"/>
      <c r="V183" s="2"/>
      <c r="W183" s="2"/>
      <c r="X183" s="2"/>
      <c r="Y183" s="2"/>
      <c r="Z183" s="2"/>
      <c r="AA183" s="2"/>
      <c r="AB183" s="2"/>
      <c r="AP183" s="8"/>
      <c r="AQ183" s="8"/>
      <c r="AR183" s="8"/>
      <c r="AS183" s="8"/>
      <c r="AT183" s="8"/>
      <c r="AU183" s="3"/>
      <c r="AV183" s="3"/>
      <c r="AW183" s="3"/>
    </row>
    <row r="184" spans="2:49" ht="21.75" customHeight="1" x14ac:dyDescent="0.35">
      <c r="B184" s="4"/>
      <c r="C184" s="7"/>
      <c r="D184" s="6"/>
      <c r="E184" s="6"/>
      <c r="F184" s="5"/>
      <c r="G184" s="6"/>
      <c r="H184" s="5"/>
      <c r="I184" s="6"/>
      <c r="J184" s="5"/>
      <c r="K184" s="4"/>
      <c r="L184" s="2"/>
      <c r="M184" s="2"/>
      <c r="U184" s="2"/>
      <c r="V184" s="2"/>
      <c r="W184" s="2"/>
      <c r="X184" s="2"/>
      <c r="Y184" s="2"/>
      <c r="Z184" s="2"/>
      <c r="AA184" s="2"/>
      <c r="AB184" s="2"/>
      <c r="AP184" s="8"/>
      <c r="AQ184" s="8"/>
      <c r="AR184" s="8"/>
      <c r="AS184" s="8"/>
      <c r="AT184" s="8"/>
      <c r="AU184" s="3"/>
      <c r="AV184" s="3"/>
      <c r="AW184" s="3"/>
    </row>
    <row r="185" spans="2:49" ht="21.75" customHeight="1" x14ac:dyDescent="0.35">
      <c r="B185" s="4"/>
      <c r="C185" s="7"/>
      <c r="D185" s="6"/>
      <c r="E185" s="6"/>
      <c r="F185" s="5"/>
      <c r="G185" s="6"/>
      <c r="H185" s="5"/>
      <c r="I185" s="6"/>
      <c r="J185" s="5"/>
      <c r="K185" s="4"/>
      <c r="L185" s="2"/>
      <c r="M185" s="2"/>
      <c r="U185" s="2"/>
      <c r="V185" s="2"/>
      <c r="W185" s="2"/>
      <c r="X185" s="2"/>
      <c r="Y185" s="2"/>
      <c r="Z185" s="2"/>
      <c r="AA185" s="2"/>
      <c r="AB185" s="2"/>
      <c r="AP185" s="8"/>
      <c r="AQ185" s="8"/>
      <c r="AR185" s="8"/>
      <c r="AS185" s="8"/>
      <c r="AT185" s="8"/>
      <c r="AU185" s="3"/>
      <c r="AV185" s="3"/>
      <c r="AW185" s="3"/>
    </row>
    <row r="186" spans="2:49" ht="21.75" customHeight="1" x14ac:dyDescent="0.35">
      <c r="B186" s="4"/>
      <c r="C186" s="7"/>
      <c r="D186" s="6"/>
      <c r="E186" s="6"/>
      <c r="F186" s="5"/>
      <c r="G186" s="6"/>
      <c r="H186" s="5"/>
      <c r="I186" s="6"/>
      <c r="J186" s="5"/>
      <c r="K186" s="4"/>
      <c r="L186" s="2"/>
      <c r="M186" s="2"/>
      <c r="U186" s="2"/>
      <c r="V186" s="2"/>
      <c r="W186" s="2"/>
      <c r="X186" s="2"/>
      <c r="Y186" s="2"/>
      <c r="Z186" s="2"/>
      <c r="AA186" s="2"/>
      <c r="AB186" s="2"/>
      <c r="AP186" s="8"/>
      <c r="AQ186" s="8"/>
      <c r="AR186" s="8"/>
      <c r="AS186" s="8"/>
      <c r="AT186" s="8"/>
      <c r="AU186" s="3"/>
      <c r="AV186" s="3"/>
      <c r="AW186" s="3"/>
    </row>
    <row r="187" spans="2:49" ht="21.75" customHeight="1" x14ac:dyDescent="0.35">
      <c r="B187" s="4"/>
      <c r="C187" s="7"/>
      <c r="D187" s="6"/>
      <c r="E187" s="6"/>
      <c r="F187" s="5"/>
      <c r="G187" s="6"/>
      <c r="H187" s="5"/>
      <c r="I187" s="6"/>
      <c r="J187" s="5"/>
      <c r="K187" s="4"/>
      <c r="L187" s="2"/>
      <c r="M187" s="2"/>
      <c r="U187" s="2"/>
      <c r="V187" s="2"/>
      <c r="W187" s="2"/>
      <c r="X187" s="2"/>
      <c r="Y187" s="2"/>
      <c r="Z187" s="2"/>
      <c r="AA187" s="2"/>
      <c r="AB187" s="2"/>
      <c r="AP187" s="8"/>
      <c r="AQ187" s="8"/>
      <c r="AR187" s="8"/>
      <c r="AS187" s="8"/>
      <c r="AT187" s="8"/>
      <c r="AU187" s="3"/>
      <c r="AV187" s="3"/>
      <c r="AW187" s="3"/>
    </row>
    <row r="188" spans="2:49" ht="21.75" customHeight="1" x14ac:dyDescent="0.35">
      <c r="B188" s="4"/>
      <c r="C188" s="7"/>
      <c r="D188" s="6"/>
      <c r="E188" s="6"/>
      <c r="F188" s="5"/>
      <c r="G188" s="6"/>
      <c r="H188" s="5"/>
      <c r="I188" s="6"/>
      <c r="J188" s="5"/>
      <c r="K188" s="4"/>
      <c r="L188" s="2"/>
      <c r="M188" s="2"/>
      <c r="U188" s="2"/>
      <c r="V188" s="2"/>
      <c r="W188" s="2"/>
      <c r="X188" s="2"/>
      <c r="Y188" s="2"/>
      <c r="Z188" s="2"/>
      <c r="AA188" s="2"/>
      <c r="AB188" s="2"/>
      <c r="AP188" s="8"/>
      <c r="AQ188" s="8"/>
      <c r="AR188" s="8"/>
      <c r="AS188" s="8"/>
      <c r="AT188" s="8"/>
      <c r="AU188" s="3"/>
      <c r="AV188" s="3"/>
      <c r="AW188" s="3"/>
    </row>
    <row r="189" spans="2:49" ht="21.75" customHeight="1" x14ac:dyDescent="0.35">
      <c r="B189" s="4"/>
      <c r="C189" s="7"/>
      <c r="D189" s="6"/>
      <c r="E189" s="6"/>
      <c r="F189" s="5"/>
      <c r="G189" s="6"/>
      <c r="H189" s="5"/>
      <c r="I189" s="6"/>
      <c r="J189" s="5"/>
      <c r="K189" s="4"/>
      <c r="L189" s="2"/>
      <c r="M189" s="2"/>
      <c r="U189" s="2"/>
      <c r="V189" s="2"/>
      <c r="W189" s="2"/>
      <c r="X189" s="2"/>
      <c r="Y189" s="2"/>
      <c r="Z189" s="2"/>
      <c r="AA189" s="2"/>
      <c r="AB189" s="2"/>
      <c r="AP189" s="8"/>
      <c r="AQ189" s="8"/>
      <c r="AR189" s="8"/>
      <c r="AS189" s="8"/>
      <c r="AT189" s="8"/>
      <c r="AU189" s="3"/>
      <c r="AV189" s="3"/>
      <c r="AW189" s="3"/>
    </row>
    <row r="190" spans="2:49" ht="21.75" customHeight="1" x14ac:dyDescent="0.35">
      <c r="B190" s="4"/>
      <c r="C190" s="7"/>
      <c r="D190" s="6"/>
      <c r="E190" s="6"/>
      <c r="F190" s="5"/>
      <c r="G190" s="6"/>
      <c r="H190" s="5"/>
      <c r="I190" s="6"/>
      <c r="J190" s="5"/>
      <c r="K190" s="4"/>
      <c r="L190" s="2"/>
      <c r="M190" s="2"/>
      <c r="U190" s="2"/>
      <c r="V190" s="2"/>
      <c r="W190" s="2"/>
      <c r="X190" s="2"/>
      <c r="Y190" s="2"/>
      <c r="Z190" s="2"/>
      <c r="AA190" s="2"/>
      <c r="AB190" s="2"/>
      <c r="AP190" s="8"/>
      <c r="AQ190" s="8"/>
      <c r="AR190" s="8"/>
      <c r="AS190" s="8"/>
      <c r="AT190" s="8"/>
      <c r="AU190" s="3"/>
      <c r="AV190" s="3"/>
      <c r="AW190" s="3"/>
    </row>
    <row r="191" spans="2:49" ht="21.75" customHeight="1" x14ac:dyDescent="0.35">
      <c r="B191" s="4"/>
      <c r="C191" s="7"/>
      <c r="D191" s="6"/>
      <c r="E191" s="6"/>
      <c r="F191" s="5"/>
      <c r="G191" s="6"/>
      <c r="H191" s="5"/>
      <c r="I191" s="6"/>
      <c r="J191" s="5"/>
      <c r="K191" s="4"/>
      <c r="L191" s="2"/>
      <c r="M191" s="2"/>
      <c r="U191" s="2"/>
      <c r="V191" s="2"/>
      <c r="W191" s="2"/>
      <c r="X191" s="2"/>
      <c r="Y191" s="2"/>
      <c r="Z191" s="2"/>
      <c r="AA191" s="2"/>
      <c r="AB191" s="2"/>
      <c r="AP191" s="8"/>
      <c r="AQ191" s="8"/>
      <c r="AR191" s="8"/>
      <c r="AS191" s="8"/>
      <c r="AT191" s="8"/>
      <c r="AU191" s="3"/>
      <c r="AV191" s="3"/>
      <c r="AW191" s="3"/>
    </row>
    <row r="192" spans="2:49" ht="21.75" customHeight="1" x14ac:dyDescent="0.35">
      <c r="B192" s="4"/>
      <c r="C192" s="7"/>
      <c r="D192" s="6"/>
      <c r="E192" s="6"/>
      <c r="F192" s="5"/>
      <c r="G192" s="6"/>
      <c r="H192" s="5"/>
      <c r="I192" s="6"/>
      <c r="J192" s="5"/>
      <c r="K192" s="4"/>
      <c r="L192" s="2"/>
      <c r="M192" s="2"/>
      <c r="U192" s="2"/>
      <c r="V192" s="2"/>
      <c r="W192" s="2"/>
      <c r="X192" s="2"/>
      <c r="Y192" s="2"/>
      <c r="Z192" s="2"/>
      <c r="AA192" s="2"/>
      <c r="AB192" s="2"/>
      <c r="AP192" s="8"/>
      <c r="AQ192" s="8"/>
      <c r="AR192" s="8"/>
      <c r="AS192" s="8"/>
      <c r="AT192" s="8"/>
      <c r="AU192" s="3"/>
      <c r="AV192" s="3"/>
      <c r="AW192" s="3"/>
    </row>
    <row r="193" spans="2:49" ht="21.75" customHeight="1" x14ac:dyDescent="0.35">
      <c r="B193" s="4"/>
      <c r="C193" s="7"/>
      <c r="D193" s="6"/>
      <c r="E193" s="6"/>
      <c r="F193" s="5"/>
      <c r="G193" s="6"/>
      <c r="H193" s="5"/>
      <c r="I193" s="6"/>
      <c r="J193" s="5"/>
      <c r="K193" s="4"/>
      <c r="L193" s="2"/>
      <c r="M193" s="2"/>
      <c r="U193" s="2"/>
      <c r="V193" s="2"/>
      <c r="W193" s="2"/>
      <c r="X193" s="2"/>
      <c r="Y193" s="2"/>
      <c r="Z193" s="2"/>
      <c r="AA193" s="2"/>
      <c r="AB193" s="2"/>
      <c r="AP193" s="8"/>
      <c r="AQ193" s="8"/>
      <c r="AR193" s="8"/>
      <c r="AS193" s="8"/>
      <c r="AT193" s="8"/>
      <c r="AU193" s="3"/>
      <c r="AV193" s="3"/>
      <c r="AW193" s="3"/>
    </row>
    <row r="194" spans="2:49" ht="21.75" customHeight="1" x14ac:dyDescent="0.35">
      <c r="B194" s="4"/>
      <c r="C194" s="7"/>
      <c r="D194" s="6"/>
      <c r="E194" s="6"/>
      <c r="F194" s="5"/>
      <c r="G194" s="6"/>
      <c r="H194" s="5"/>
      <c r="I194" s="6"/>
      <c r="J194" s="5"/>
      <c r="K194" s="4"/>
      <c r="L194" s="2"/>
      <c r="M194" s="2"/>
      <c r="U194" s="2"/>
      <c r="V194" s="2"/>
      <c r="W194" s="2"/>
      <c r="X194" s="2"/>
      <c r="Y194" s="2"/>
      <c r="Z194" s="2"/>
      <c r="AA194" s="2"/>
      <c r="AB194" s="2"/>
      <c r="AP194" s="8"/>
      <c r="AQ194" s="8"/>
      <c r="AR194" s="8"/>
      <c r="AS194" s="8"/>
      <c r="AT194" s="8"/>
      <c r="AU194" s="3"/>
      <c r="AV194" s="3"/>
      <c r="AW194" s="3"/>
    </row>
    <row r="195" spans="2:49" ht="21.75" customHeight="1" x14ac:dyDescent="0.35">
      <c r="B195" s="4"/>
      <c r="C195" s="7"/>
      <c r="D195" s="6"/>
      <c r="E195" s="6"/>
      <c r="F195" s="5"/>
      <c r="G195" s="6"/>
      <c r="H195" s="5"/>
      <c r="I195" s="6"/>
      <c r="J195" s="5"/>
      <c r="K195" s="4"/>
      <c r="L195" s="2"/>
      <c r="M195" s="2"/>
      <c r="U195" s="2"/>
      <c r="V195" s="2"/>
      <c r="W195" s="2"/>
      <c r="X195" s="2"/>
      <c r="Y195" s="2"/>
      <c r="Z195" s="2"/>
      <c r="AA195" s="2"/>
      <c r="AB195" s="2"/>
      <c r="AP195" s="8"/>
      <c r="AQ195" s="8"/>
      <c r="AR195" s="8"/>
      <c r="AS195" s="8"/>
      <c r="AT195" s="8"/>
      <c r="AU195" s="3"/>
      <c r="AV195" s="3"/>
      <c r="AW195" s="3"/>
    </row>
    <row r="196" spans="2:49" ht="21.75" customHeight="1" x14ac:dyDescent="0.35">
      <c r="B196" s="4"/>
      <c r="C196" s="7"/>
      <c r="D196" s="6"/>
      <c r="E196" s="6"/>
      <c r="F196" s="5"/>
      <c r="G196" s="6"/>
      <c r="H196" s="5"/>
      <c r="I196" s="6"/>
      <c r="J196" s="5"/>
      <c r="K196" s="4"/>
      <c r="L196" s="2"/>
      <c r="M196" s="2"/>
      <c r="U196" s="2"/>
      <c r="V196" s="2"/>
      <c r="W196" s="2"/>
      <c r="X196" s="2"/>
      <c r="Y196" s="2"/>
      <c r="Z196" s="2"/>
      <c r="AA196" s="2"/>
      <c r="AB196" s="2"/>
      <c r="AP196" s="8"/>
      <c r="AQ196" s="8"/>
      <c r="AR196" s="8"/>
      <c r="AS196" s="8"/>
      <c r="AT196" s="8"/>
      <c r="AU196" s="3"/>
      <c r="AV196" s="3"/>
      <c r="AW196" s="3"/>
    </row>
    <row r="197" spans="2:49" ht="21.75" customHeight="1" x14ac:dyDescent="0.35">
      <c r="B197" s="4"/>
      <c r="C197" s="7"/>
      <c r="D197" s="6"/>
      <c r="E197" s="6"/>
      <c r="F197" s="5"/>
      <c r="G197" s="6"/>
      <c r="H197" s="5"/>
      <c r="I197" s="6"/>
      <c r="J197" s="5"/>
      <c r="K197" s="4"/>
      <c r="L197" s="2"/>
      <c r="M197" s="2"/>
      <c r="U197" s="2"/>
      <c r="V197" s="2"/>
      <c r="W197" s="2"/>
      <c r="X197" s="2"/>
      <c r="Y197" s="2"/>
      <c r="Z197" s="2"/>
      <c r="AA197" s="2"/>
      <c r="AB197" s="2"/>
      <c r="AP197" s="8"/>
      <c r="AQ197" s="8"/>
      <c r="AR197" s="8"/>
      <c r="AS197" s="8"/>
      <c r="AT197" s="8"/>
      <c r="AU197" s="3"/>
      <c r="AV197" s="3"/>
      <c r="AW197" s="3"/>
    </row>
    <row r="198" spans="2:49" ht="21.75" customHeight="1" x14ac:dyDescent="0.35">
      <c r="B198" s="4"/>
      <c r="C198" s="7"/>
      <c r="D198" s="6"/>
      <c r="E198" s="6"/>
      <c r="F198" s="5"/>
      <c r="G198" s="6"/>
      <c r="H198" s="5"/>
      <c r="I198" s="6"/>
      <c r="J198" s="5"/>
      <c r="K198" s="4"/>
      <c r="L198" s="2"/>
      <c r="M198" s="2"/>
      <c r="U198" s="2"/>
      <c r="V198" s="2"/>
      <c r="W198" s="2"/>
      <c r="X198" s="2"/>
      <c r="Y198" s="2"/>
      <c r="Z198" s="2"/>
      <c r="AA198" s="2"/>
      <c r="AB198" s="2"/>
      <c r="AP198" s="8"/>
      <c r="AQ198" s="8"/>
      <c r="AR198" s="8"/>
      <c r="AS198" s="8"/>
      <c r="AT198" s="8"/>
      <c r="AU198" s="3"/>
      <c r="AV198" s="3"/>
      <c r="AW198" s="3"/>
    </row>
    <row r="199" spans="2:49" ht="21.75" customHeight="1" x14ac:dyDescent="0.35">
      <c r="B199" s="4"/>
      <c r="C199" s="7"/>
      <c r="D199" s="6"/>
      <c r="E199" s="6"/>
      <c r="F199" s="5"/>
      <c r="G199" s="6"/>
      <c r="H199" s="5"/>
      <c r="I199" s="6"/>
      <c r="J199" s="5"/>
      <c r="K199" s="4"/>
      <c r="L199" s="2"/>
      <c r="M199" s="2"/>
      <c r="U199" s="2"/>
      <c r="V199" s="2"/>
      <c r="W199" s="2"/>
      <c r="X199" s="2"/>
      <c r="Y199" s="2"/>
      <c r="Z199" s="2"/>
      <c r="AA199" s="2"/>
      <c r="AB199" s="2"/>
      <c r="AP199" s="8"/>
      <c r="AQ199" s="8"/>
      <c r="AR199" s="8"/>
      <c r="AS199" s="8"/>
      <c r="AT199" s="8"/>
      <c r="AU199" s="3"/>
      <c r="AV199" s="3"/>
      <c r="AW199" s="3"/>
    </row>
    <row r="200" spans="2:49" ht="21.75" customHeight="1" x14ac:dyDescent="0.35">
      <c r="B200" s="4"/>
      <c r="C200" s="7"/>
      <c r="D200" s="6"/>
      <c r="E200" s="6"/>
      <c r="F200" s="5"/>
      <c r="G200" s="6"/>
      <c r="H200" s="5"/>
      <c r="I200" s="6"/>
      <c r="J200" s="5"/>
      <c r="K200" s="4"/>
      <c r="L200" s="2"/>
      <c r="M200" s="2"/>
      <c r="U200" s="2"/>
      <c r="V200" s="2"/>
      <c r="W200" s="2"/>
      <c r="X200" s="2"/>
      <c r="Y200" s="2"/>
      <c r="Z200" s="2"/>
      <c r="AA200" s="2"/>
      <c r="AB200" s="2"/>
      <c r="AP200" s="8"/>
      <c r="AQ200" s="8"/>
      <c r="AR200" s="8"/>
      <c r="AS200" s="8"/>
      <c r="AT200" s="8"/>
      <c r="AU200" s="3"/>
      <c r="AV200" s="3"/>
      <c r="AW200" s="3"/>
    </row>
    <row r="201" spans="2:49" ht="21.75" customHeight="1" x14ac:dyDescent="0.35">
      <c r="B201" s="4"/>
      <c r="C201" s="7"/>
      <c r="D201" s="6"/>
      <c r="E201" s="6"/>
      <c r="F201" s="5"/>
      <c r="G201" s="6"/>
      <c r="H201" s="5"/>
      <c r="I201" s="6"/>
      <c r="J201" s="5"/>
      <c r="K201" s="4"/>
      <c r="L201" s="2"/>
      <c r="M201" s="2"/>
      <c r="U201" s="2"/>
      <c r="V201" s="2"/>
      <c r="W201" s="2"/>
      <c r="X201" s="2"/>
      <c r="Y201" s="2"/>
      <c r="Z201" s="2"/>
      <c r="AA201" s="2"/>
      <c r="AB201" s="2"/>
      <c r="AP201" s="8"/>
      <c r="AQ201" s="8"/>
      <c r="AR201" s="8"/>
      <c r="AS201" s="8"/>
      <c r="AT201" s="8"/>
      <c r="AU201" s="3"/>
      <c r="AV201" s="3"/>
      <c r="AW201" s="3"/>
    </row>
    <row r="202" spans="2:49" ht="21.75" customHeight="1" x14ac:dyDescent="0.35">
      <c r="B202" s="4"/>
      <c r="C202" s="7"/>
      <c r="D202" s="6"/>
      <c r="E202" s="6"/>
      <c r="F202" s="5"/>
      <c r="G202" s="6"/>
      <c r="H202" s="5"/>
      <c r="I202" s="6"/>
      <c r="J202" s="5"/>
      <c r="K202" s="4"/>
      <c r="L202" s="2"/>
      <c r="M202" s="2"/>
      <c r="U202" s="2"/>
      <c r="V202" s="2"/>
      <c r="W202" s="2"/>
      <c r="X202" s="2"/>
      <c r="Y202" s="2"/>
      <c r="Z202" s="2"/>
      <c r="AA202" s="2"/>
      <c r="AB202" s="2"/>
      <c r="AP202" s="8"/>
      <c r="AQ202" s="8"/>
      <c r="AR202" s="8"/>
      <c r="AS202" s="8"/>
      <c r="AT202" s="8"/>
      <c r="AU202" s="3"/>
      <c r="AV202" s="3"/>
      <c r="AW202" s="3"/>
    </row>
    <row r="203" spans="2:49" ht="21.75" customHeight="1" x14ac:dyDescent="0.35">
      <c r="B203" s="4"/>
      <c r="C203" s="7"/>
      <c r="D203" s="6"/>
      <c r="E203" s="6"/>
      <c r="F203" s="5"/>
      <c r="G203" s="6"/>
      <c r="H203" s="5"/>
      <c r="I203" s="6"/>
      <c r="J203" s="5"/>
      <c r="K203" s="4"/>
      <c r="L203" s="2"/>
      <c r="M203" s="2"/>
      <c r="U203" s="2"/>
      <c r="V203" s="2"/>
      <c r="W203" s="2"/>
      <c r="X203" s="2"/>
      <c r="Y203" s="2"/>
      <c r="Z203" s="2"/>
      <c r="AA203" s="2"/>
      <c r="AB203" s="2"/>
      <c r="AP203" s="8"/>
      <c r="AQ203" s="8"/>
      <c r="AR203" s="8"/>
      <c r="AS203" s="8"/>
      <c r="AT203" s="8"/>
      <c r="AU203" s="3"/>
      <c r="AV203" s="3"/>
      <c r="AW203" s="3"/>
    </row>
    <row r="204" spans="2:49" ht="21.75" customHeight="1" x14ac:dyDescent="0.35">
      <c r="B204" s="4"/>
      <c r="C204" s="7"/>
      <c r="D204" s="6"/>
      <c r="E204" s="6"/>
      <c r="F204" s="5"/>
      <c r="G204" s="6"/>
      <c r="H204" s="5"/>
      <c r="I204" s="6"/>
      <c r="J204" s="5"/>
      <c r="K204" s="4"/>
      <c r="L204" s="2"/>
      <c r="M204" s="2"/>
      <c r="U204" s="2"/>
      <c r="V204" s="2"/>
      <c r="W204" s="2"/>
      <c r="X204" s="2"/>
      <c r="Y204" s="2"/>
      <c r="Z204" s="2"/>
      <c r="AA204" s="2"/>
      <c r="AB204" s="2"/>
      <c r="AP204" s="8"/>
      <c r="AQ204" s="8"/>
      <c r="AR204" s="8"/>
      <c r="AS204" s="8"/>
      <c r="AT204" s="8"/>
      <c r="AU204" s="3"/>
      <c r="AV204" s="3"/>
      <c r="AW204" s="3"/>
    </row>
    <row r="205" spans="2:49" ht="21.75" customHeight="1" x14ac:dyDescent="0.35">
      <c r="B205" s="4"/>
      <c r="C205" s="7"/>
      <c r="D205" s="6"/>
      <c r="E205" s="6"/>
      <c r="F205" s="5"/>
      <c r="G205" s="6"/>
      <c r="H205" s="5"/>
      <c r="I205" s="6"/>
      <c r="J205" s="5"/>
      <c r="K205" s="4"/>
      <c r="L205" s="2"/>
      <c r="M205" s="2"/>
      <c r="U205" s="2"/>
      <c r="V205" s="2"/>
      <c r="W205" s="2"/>
      <c r="X205" s="2"/>
      <c r="Y205" s="2"/>
      <c r="Z205" s="2"/>
      <c r="AA205" s="2"/>
      <c r="AB205" s="2"/>
      <c r="AP205" s="8"/>
      <c r="AQ205" s="8"/>
      <c r="AR205" s="8"/>
      <c r="AS205" s="8"/>
      <c r="AT205" s="8"/>
      <c r="AU205" s="3"/>
      <c r="AV205" s="3"/>
      <c r="AW205" s="3"/>
    </row>
    <row r="206" spans="2:49" ht="21.75" customHeight="1" x14ac:dyDescent="0.35">
      <c r="B206" s="4"/>
      <c r="C206" s="7"/>
      <c r="D206" s="6"/>
      <c r="E206" s="6"/>
      <c r="F206" s="5"/>
      <c r="G206" s="6"/>
      <c r="H206" s="5"/>
      <c r="I206" s="6"/>
      <c r="J206" s="5"/>
      <c r="K206" s="4"/>
      <c r="L206" s="2"/>
      <c r="M206" s="2"/>
      <c r="U206" s="2"/>
      <c r="V206" s="2"/>
      <c r="W206" s="2"/>
      <c r="X206" s="2"/>
      <c r="Y206" s="2"/>
      <c r="Z206" s="2"/>
      <c r="AA206" s="2"/>
      <c r="AB206" s="2"/>
      <c r="AP206" s="8"/>
      <c r="AQ206" s="8"/>
      <c r="AR206" s="8"/>
      <c r="AS206" s="8"/>
      <c r="AT206" s="8"/>
      <c r="AU206" s="3"/>
      <c r="AV206" s="3"/>
      <c r="AW206" s="3"/>
    </row>
    <row r="207" spans="2:49" ht="21.75" customHeight="1" x14ac:dyDescent="0.35">
      <c r="B207" s="4"/>
      <c r="C207" s="7"/>
      <c r="D207" s="6"/>
      <c r="E207" s="6"/>
      <c r="F207" s="5"/>
      <c r="G207" s="6"/>
      <c r="H207" s="5"/>
      <c r="I207" s="6"/>
      <c r="J207" s="5"/>
      <c r="K207" s="4"/>
      <c r="L207" s="2"/>
      <c r="M207" s="2"/>
      <c r="U207" s="2"/>
      <c r="V207" s="2"/>
      <c r="W207" s="2"/>
      <c r="X207" s="2"/>
      <c r="Y207" s="2"/>
      <c r="Z207" s="2"/>
      <c r="AA207" s="2"/>
      <c r="AB207" s="2"/>
      <c r="AP207" s="8"/>
      <c r="AQ207" s="8"/>
      <c r="AR207" s="8"/>
      <c r="AS207" s="8"/>
      <c r="AT207" s="8"/>
      <c r="AU207" s="3"/>
      <c r="AV207" s="3"/>
      <c r="AW207" s="3"/>
    </row>
    <row r="208" spans="2:49" ht="21.75" customHeight="1" x14ac:dyDescent="0.35">
      <c r="B208" s="4"/>
      <c r="C208" s="7"/>
      <c r="D208" s="6"/>
      <c r="E208" s="6"/>
      <c r="F208" s="5"/>
      <c r="G208" s="6"/>
      <c r="H208" s="5"/>
      <c r="I208" s="6"/>
      <c r="J208" s="5"/>
      <c r="K208" s="4"/>
      <c r="L208" s="2"/>
      <c r="M208" s="2"/>
      <c r="U208" s="2"/>
      <c r="V208" s="2"/>
      <c r="W208" s="2"/>
      <c r="X208" s="2"/>
      <c r="Y208" s="2"/>
      <c r="Z208" s="2"/>
      <c r="AA208" s="2"/>
      <c r="AB208" s="2"/>
      <c r="AP208" s="8"/>
      <c r="AQ208" s="8"/>
      <c r="AR208" s="8"/>
      <c r="AS208" s="8"/>
      <c r="AT208" s="8"/>
      <c r="AU208" s="3"/>
      <c r="AV208" s="3"/>
      <c r="AW208" s="3"/>
    </row>
    <row r="209" spans="2:49" ht="21.75" customHeight="1" x14ac:dyDescent="0.35">
      <c r="B209" s="4"/>
      <c r="C209" s="7"/>
      <c r="D209" s="6"/>
      <c r="E209" s="6"/>
      <c r="F209" s="5"/>
      <c r="G209" s="6"/>
      <c r="H209" s="5"/>
      <c r="I209" s="6"/>
      <c r="J209" s="5"/>
      <c r="K209" s="4"/>
      <c r="L209" s="2"/>
      <c r="M209" s="2"/>
      <c r="U209" s="2"/>
      <c r="V209" s="2"/>
      <c r="W209" s="2"/>
      <c r="X209" s="2"/>
      <c r="Y209" s="2"/>
      <c r="Z209" s="2"/>
      <c r="AA209" s="2"/>
      <c r="AB209" s="2"/>
      <c r="AP209" s="8"/>
      <c r="AQ209" s="8"/>
      <c r="AR209" s="8"/>
      <c r="AS209" s="8"/>
      <c r="AT209" s="8"/>
      <c r="AU209" s="3"/>
      <c r="AV209" s="3"/>
      <c r="AW209" s="3"/>
    </row>
    <row r="210" spans="2:49" ht="21.75" customHeight="1" x14ac:dyDescent="0.35">
      <c r="B210" s="4"/>
      <c r="C210" s="7"/>
      <c r="D210" s="6"/>
      <c r="E210" s="6"/>
      <c r="F210" s="5"/>
      <c r="G210" s="6"/>
      <c r="H210" s="5"/>
      <c r="I210" s="6"/>
      <c r="J210" s="5"/>
      <c r="K210" s="4"/>
      <c r="L210" s="2"/>
      <c r="M210" s="2"/>
      <c r="U210" s="2"/>
      <c r="V210" s="2"/>
      <c r="W210" s="2"/>
      <c r="X210" s="2"/>
      <c r="Y210" s="2"/>
      <c r="Z210" s="2"/>
      <c r="AA210" s="2"/>
      <c r="AB210" s="2"/>
      <c r="AP210" s="8"/>
      <c r="AQ210" s="8"/>
      <c r="AR210" s="8"/>
      <c r="AS210" s="8"/>
      <c r="AT210" s="8"/>
      <c r="AU210" s="3"/>
      <c r="AV210" s="3"/>
      <c r="AW210" s="3"/>
    </row>
    <row r="211" spans="2:49" ht="21.75" customHeight="1" x14ac:dyDescent="0.35">
      <c r="B211" s="4"/>
      <c r="C211" s="7"/>
      <c r="D211" s="6"/>
      <c r="E211" s="6"/>
      <c r="F211" s="5"/>
      <c r="G211" s="6"/>
      <c r="H211" s="5"/>
      <c r="I211" s="6"/>
      <c r="J211" s="5"/>
      <c r="K211" s="4"/>
      <c r="L211" s="2"/>
      <c r="M211" s="2"/>
      <c r="U211" s="2"/>
      <c r="V211" s="2"/>
      <c r="W211" s="2"/>
      <c r="X211" s="2"/>
      <c r="Y211" s="2"/>
      <c r="Z211" s="2"/>
      <c r="AA211" s="2"/>
      <c r="AB211" s="2"/>
      <c r="AP211" s="8"/>
      <c r="AQ211" s="8"/>
      <c r="AR211" s="8"/>
      <c r="AS211" s="8"/>
      <c r="AT211" s="8"/>
      <c r="AU211" s="3"/>
      <c r="AV211" s="3"/>
      <c r="AW211" s="3"/>
    </row>
    <row r="212" spans="2:49" ht="21.75" customHeight="1" x14ac:dyDescent="0.35">
      <c r="B212" s="4"/>
      <c r="C212" s="7"/>
      <c r="D212" s="6"/>
      <c r="E212" s="6"/>
      <c r="F212" s="5"/>
      <c r="G212" s="6"/>
      <c r="H212" s="5"/>
      <c r="I212" s="6"/>
      <c r="J212" s="5"/>
      <c r="K212" s="4"/>
      <c r="L212" s="2"/>
      <c r="M212" s="2"/>
      <c r="U212" s="2"/>
      <c r="V212" s="2"/>
      <c r="W212" s="2"/>
      <c r="X212" s="2"/>
      <c r="Y212" s="2"/>
      <c r="Z212" s="2"/>
      <c r="AA212" s="2"/>
      <c r="AB212" s="2"/>
      <c r="AP212" s="8"/>
      <c r="AQ212" s="8"/>
      <c r="AR212" s="8"/>
      <c r="AS212" s="8"/>
      <c r="AT212" s="8"/>
      <c r="AU212" s="3"/>
      <c r="AV212" s="3"/>
      <c r="AW212" s="3"/>
    </row>
    <row r="213" spans="2:49" ht="21.75" customHeight="1" x14ac:dyDescent="0.35">
      <c r="B213" s="4"/>
      <c r="C213" s="7"/>
      <c r="D213" s="6"/>
      <c r="E213" s="6"/>
      <c r="F213" s="5"/>
      <c r="G213" s="6"/>
      <c r="H213" s="5"/>
      <c r="I213" s="6"/>
      <c r="J213" s="5"/>
      <c r="K213" s="4"/>
      <c r="L213" s="2"/>
      <c r="M213" s="2"/>
      <c r="U213" s="2"/>
      <c r="V213" s="2"/>
      <c r="W213" s="2"/>
      <c r="X213" s="2"/>
      <c r="Y213" s="2"/>
      <c r="Z213" s="2"/>
      <c r="AA213" s="2"/>
      <c r="AB213" s="2"/>
      <c r="AP213" s="8"/>
      <c r="AQ213" s="8"/>
      <c r="AR213" s="8"/>
      <c r="AS213" s="8"/>
      <c r="AT213" s="8"/>
      <c r="AU213" s="3"/>
      <c r="AV213" s="3"/>
      <c r="AW213" s="3"/>
    </row>
    <row r="214" spans="2:49" ht="21.75" customHeight="1" x14ac:dyDescent="0.35">
      <c r="B214" s="4"/>
      <c r="C214" s="7"/>
      <c r="D214" s="6"/>
      <c r="E214" s="6"/>
      <c r="F214" s="5"/>
      <c r="G214" s="6"/>
      <c r="H214" s="5"/>
      <c r="I214" s="6"/>
      <c r="J214" s="5"/>
      <c r="K214" s="4"/>
      <c r="L214" s="2"/>
      <c r="M214" s="2"/>
      <c r="U214" s="2"/>
      <c r="V214" s="2"/>
      <c r="W214" s="2"/>
      <c r="X214" s="2"/>
      <c r="Y214" s="2"/>
      <c r="Z214" s="2"/>
      <c r="AA214" s="2"/>
      <c r="AB214" s="2"/>
      <c r="AP214" s="8"/>
      <c r="AQ214" s="8"/>
      <c r="AR214" s="8"/>
      <c r="AS214" s="8"/>
      <c r="AT214" s="8"/>
      <c r="AU214" s="3"/>
      <c r="AV214" s="3"/>
      <c r="AW214" s="3"/>
    </row>
    <row r="215" spans="2:49" ht="21.75" customHeight="1" x14ac:dyDescent="0.35">
      <c r="B215" s="4"/>
      <c r="C215" s="7"/>
      <c r="D215" s="6"/>
      <c r="E215" s="6"/>
      <c r="F215" s="5"/>
      <c r="G215" s="6"/>
      <c r="H215" s="5"/>
      <c r="I215" s="6"/>
      <c r="J215" s="5"/>
      <c r="K215" s="4"/>
      <c r="L215" s="2"/>
      <c r="M215" s="2"/>
      <c r="U215" s="2"/>
      <c r="V215" s="2"/>
      <c r="W215" s="2"/>
      <c r="X215" s="2"/>
      <c r="Y215" s="2"/>
      <c r="Z215" s="2"/>
      <c r="AA215" s="2"/>
      <c r="AB215" s="2"/>
      <c r="AP215" s="8"/>
      <c r="AQ215" s="8"/>
      <c r="AR215" s="8"/>
      <c r="AS215" s="8"/>
      <c r="AT215" s="8"/>
      <c r="AU215" s="3"/>
      <c r="AV215" s="3"/>
      <c r="AW215" s="3"/>
    </row>
    <row r="216" spans="2:49" ht="21.75" customHeight="1" x14ac:dyDescent="0.35">
      <c r="B216" s="4"/>
      <c r="C216" s="7"/>
      <c r="D216" s="6"/>
      <c r="E216" s="6"/>
      <c r="F216" s="5"/>
      <c r="G216" s="6"/>
      <c r="H216" s="5"/>
      <c r="I216" s="6"/>
      <c r="J216" s="5"/>
      <c r="K216" s="4"/>
      <c r="L216" s="2"/>
      <c r="M216" s="2"/>
      <c r="U216" s="2"/>
      <c r="V216" s="2"/>
      <c r="W216" s="2"/>
      <c r="X216" s="2"/>
      <c r="Y216" s="2"/>
      <c r="Z216" s="2"/>
      <c r="AA216" s="2"/>
      <c r="AB216" s="2"/>
      <c r="AP216" s="8"/>
      <c r="AQ216" s="8"/>
      <c r="AR216" s="8"/>
      <c r="AS216" s="8"/>
      <c r="AT216" s="8"/>
      <c r="AU216" s="3"/>
      <c r="AV216" s="3"/>
      <c r="AW216" s="3"/>
    </row>
    <row r="217" spans="2:49" ht="21.75" customHeight="1" x14ac:dyDescent="0.35">
      <c r="B217" s="4"/>
      <c r="C217" s="7"/>
      <c r="D217" s="6"/>
      <c r="E217" s="6"/>
      <c r="F217" s="5"/>
      <c r="G217" s="6"/>
      <c r="H217" s="5"/>
      <c r="I217" s="6"/>
      <c r="J217" s="5"/>
      <c r="K217" s="4"/>
      <c r="L217" s="2"/>
      <c r="M217" s="2"/>
      <c r="U217" s="2"/>
      <c r="V217" s="2"/>
      <c r="W217" s="2"/>
      <c r="X217" s="2"/>
      <c r="Y217" s="2"/>
      <c r="Z217" s="2"/>
      <c r="AA217" s="2"/>
      <c r="AB217" s="2"/>
      <c r="AP217" s="8"/>
      <c r="AQ217" s="8"/>
      <c r="AR217" s="8"/>
      <c r="AS217" s="8"/>
      <c r="AT217" s="8"/>
      <c r="AU217" s="3"/>
      <c r="AV217" s="3"/>
      <c r="AW217" s="3"/>
    </row>
    <row r="218" spans="2:49" ht="21.75" customHeight="1" x14ac:dyDescent="0.35">
      <c r="B218" s="4"/>
      <c r="C218" s="7"/>
      <c r="D218" s="6"/>
      <c r="E218" s="6"/>
      <c r="F218" s="5"/>
      <c r="G218" s="6"/>
      <c r="H218" s="5"/>
      <c r="I218" s="6"/>
      <c r="J218" s="5"/>
      <c r="K218" s="4"/>
      <c r="L218" s="2"/>
      <c r="M218" s="2"/>
      <c r="U218" s="2"/>
      <c r="V218" s="2"/>
      <c r="W218" s="2"/>
      <c r="X218" s="2"/>
      <c r="Y218" s="2"/>
      <c r="Z218" s="2"/>
      <c r="AA218" s="2"/>
      <c r="AB218" s="2"/>
      <c r="AP218" s="8"/>
      <c r="AQ218" s="8"/>
      <c r="AR218" s="8"/>
      <c r="AS218" s="8"/>
      <c r="AT218" s="8"/>
      <c r="AU218" s="3"/>
      <c r="AV218" s="3"/>
      <c r="AW218" s="3"/>
    </row>
    <row r="219" spans="2:49" ht="21.75" customHeight="1" x14ac:dyDescent="0.35">
      <c r="B219" s="4"/>
      <c r="C219" s="7"/>
      <c r="D219" s="6"/>
      <c r="E219" s="6"/>
      <c r="F219" s="5"/>
      <c r="G219" s="6"/>
      <c r="H219" s="5"/>
      <c r="I219" s="6"/>
      <c r="J219" s="5"/>
      <c r="K219" s="4"/>
      <c r="L219" s="2"/>
      <c r="M219" s="2"/>
      <c r="U219" s="2"/>
      <c r="V219" s="2"/>
      <c r="W219" s="2"/>
      <c r="X219" s="2"/>
      <c r="Y219" s="2"/>
      <c r="Z219" s="2"/>
      <c r="AA219" s="2"/>
      <c r="AB219" s="2"/>
      <c r="AP219" s="8"/>
      <c r="AQ219" s="8"/>
      <c r="AR219" s="8"/>
      <c r="AS219" s="8"/>
      <c r="AT219" s="8"/>
      <c r="AU219" s="3"/>
      <c r="AV219" s="3"/>
      <c r="AW219" s="3"/>
    </row>
    <row r="220" spans="2:49" ht="21.75" customHeight="1" x14ac:dyDescent="0.35">
      <c r="B220" s="4"/>
      <c r="C220" s="7"/>
      <c r="D220" s="6"/>
      <c r="E220" s="6"/>
      <c r="F220" s="5"/>
      <c r="G220" s="6"/>
      <c r="H220" s="5"/>
      <c r="I220" s="6"/>
      <c r="J220" s="5"/>
      <c r="K220" s="4"/>
      <c r="L220" s="2"/>
      <c r="M220" s="2"/>
      <c r="U220" s="2"/>
      <c r="V220" s="2"/>
      <c r="W220" s="2"/>
      <c r="X220" s="2"/>
      <c r="Y220" s="2"/>
      <c r="Z220" s="2"/>
      <c r="AA220" s="2"/>
      <c r="AB220" s="2"/>
      <c r="AP220" s="8"/>
      <c r="AQ220" s="8"/>
      <c r="AR220" s="8"/>
      <c r="AS220" s="8"/>
      <c r="AT220" s="8"/>
      <c r="AU220" s="3"/>
      <c r="AV220" s="3"/>
      <c r="AW220" s="3"/>
    </row>
    <row r="221" spans="2:49" ht="21.75" customHeight="1" x14ac:dyDescent="0.35">
      <c r="B221" s="4"/>
      <c r="C221" s="7"/>
      <c r="D221" s="6"/>
      <c r="E221" s="6"/>
      <c r="F221" s="5"/>
      <c r="G221" s="6"/>
      <c r="H221" s="5"/>
      <c r="I221" s="6"/>
      <c r="J221" s="5"/>
      <c r="K221" s="4"/>
      <c r="L221" s="2"/>
      <c r="M221" s="2"/>
      <c r="U221" s="2"/>
      <c r="V221" s="2"/>
      <c r="W221" s="2"/>
      <c r="X221" s="2"/>
      <c r="Y221" s="2"/>
      <c r="Z221" s="2"/>
      <c r="AA221" s="2"/>
      <c r="AB221" s="2"/>
      <c r="AP221" s="8"/>
      <c r="AQ221" s="8"/>
      <c r="AR221" s="8"/>
      <c r="AS221" s="8"/>
      <c r="AT221" s="8"/>
      <c r="AU221" s="3"/>
      <c r="AV221" s="3"/>
      <c r="AW221" s="3"/>
    </row>
    <row r="222" spans="2:49" ht="21.75" customHeight="1" x14ac:dyDescent="0.35">
      <c r="B222" s="4"/>
      <c r="C222" s="7"/>
      <c r="D222" s="6"/>
      <c r="E222" s="6"/>
      <c r="F222" s="5"/>
      <c r="G222" s="6"/>
      <c r="H222" s="5"/>
      <c r="I222" s="6"/>
      <c r="J222" s="5"/>
      <c r="K222" s="4"/>
      <c r="L222" s="2"/>
      <c r="M222" s="2"/>
      <c r="U222" s="2"/>
      <c r="V222" s="2"/>
      <c r="W222" s="2"/>
      <c r="X222" s="2"/>
      <c r="Y222" s="2"/>
      <c r="Z222" s="2"/>
      <c r="AA222" s="2"/>
      <c r="AB222" s="2"/>
      <c r="AP222" s="8"/>
      <c r="AQ222" s="8"/>
      <c r="AR222" s="8"/>
      <c r="AS222" s="8"/>
      <c r="AT222" s="8"/>
      <c r="AU222" s="3"/>
      <c r="AV222" s="3"/>
      <c r="AW222" s="3"/>
    </row>
    <row r="223" spans="2:49" ht="21.75" customHeight="1" x14ac:dyDescent="0.35">
      <c r="B223" s="4"/>
      <c r="C223" s="7"/>
      <c r="D223" s="6"/>
      <c r="E223" s="6"/>
      <c r="F223" s="5"/>
      <c r="G223" s="6"/>
      <c r="H223" s="5"/>
      <c r="I223" s="6"/>
      <c r="J223" s="5"/>
      <c r="K223" s="4"/>
      <c r="L223" s="2"/>
      <c r="M223" s="2"/>
      <c r="U223" s="2"/>
      <c r="V223" s="2"/>
      <c r="W223" s="2"/>
      <c r="X223" s="2"/>
      <c r="Y223" s="2"/>
      <c r="Z223" s="2"/>
      <c r="AA223" s="2"/>
      <c r="AB223" s="2"/>
      <c r="AP223" s="8"/>
      <c r="AQ223" s="8"/>
      <c r="AR223" s="8"/>
      <c r="AS223" s="8"/>
      <c r="AT223" s="8"/>
      <c r="AU223" s="3"/>
      <c r="AV223" s="3"/>
      <c r="AW223" s="3"/>
    </row>
    <row r="224" spans="2:49" ht="21.75" customHeight="1" x14ac:dyDescent="0.35">
      <c r="B224" s="4"/>
      <c r="C224" s="7"/>
      <c r="D224" s="6"/>
      <c r="E224" s="6"/>
      <c r="F224" s="5"/>
      <c r="G224" s="6"/>
      <c r="H224" s="5"/>
      <c r="I224" s="6"/>
      <c r="J224" s="5"/>
      <c r="K224" s="4"/>
      <c r="L224" s="2"/>
      <c r="M224" s="2"/>
      <c r="U224" s="2"/>
      <c r="V224" s="2"/>
      <c r="W224" s="2"/>
      <c r="X224" s="2"/>
      <c r="Y224" s="2"/>
      <c r="Z224" s="2"/>
      <c r="AA224" s="2"/>
      <c r="AB224" s="2"/>
      <c r="AP224" s="8"/>
      <c r="AQ224" s="8"/>
      <c r="AR224" s="8"/>
      <c r="AS224" s="8"/>
      <c r="AT224" s="8"/>
      <c r="AU224" s="3"/>
      <c r="AV224" s="3"/>
      <c r="AW224" s="3"/>
    </row>
    <row r="225" spans="2:49" ht="21.75" customHeight="1" x14ac:dyDescent="0.35">
      <c r="B225" s="4"/>
      <c r="C225" s="7"/>
      <c r="D225" s="6"/>
      <c r="E225" s="6"/>
      <c r="F225" s="5"/>
      <c r="G225" s="6"/>
      <c r="H225" s="5"/>
      <c r="I225" s="6"/>
      <c r="J225" s="5"/>
      <c r="K225" s="4"/>
      <c r="L225" s="2"/>
      <c r="M225" s="2"/>
      <c r="U225" s="2"/>
      <c r="V225" s="2"/>
      <c r="W225" s="2"/>
      <c r="X225" s="2"/>
      <c r="Y225" s="2"/>
      <c r="Z225" s="2"/>
      <c r="AA225" s="2"/>
      <c r="AB225" s="2"/>
      <c r="AP225" s="8"/>
      <c r="AQ225" s="8"/>
      <c r="AR225" s="8"/>
      <c r="AS225" s="8"/>
      <c r="AT225" s="8"/>
      <c r="AU225" s="3"/>
      <c r="AV225" s="3"/>
      <c r="AW225" s="3"/>
    </row>
    <row r="226" spans="2:49" ht="21.75" customHeight="1" x14ac:dyDescent="0.35">
      <c r="B226" s="4"/>
      <c r="C226" s="7"/>
      <c r="D226" s="6"/>
      <c r="E226" s="6"/>
      <c r="F226" s="5"/>
      <c r="G226" s="6"/>
      <c r="H226" s="5"/>
      <c r="I226" s="6"/>
      <c r="J226" s="5"/>
      <c r="K226" s="4"/>
      <c r="L226" s="2"/>
      <c r="M226" s="2"/>
      <c r="U226" s="2"/>
      <c r="V226" s="2"/>
      <c r="W226" s="2"/>
      <c r="X226" s="2"/>
      <c r="Y226" s="2"/>
      <c r="Z226" s="2"/>
      <c r="AA226" s="2"/>
      <c r="AB226" s="2"/>
      <c r="AP226" s="8"/>
      <c r="AQ226" s="8"/>
      <c r="AR226" s="8"/>
      <c r="AS226" s="8"/>
      <c r="AT226" s="8"/>
      <c r="AU226" s="3"/>
      <c r="AV226" s="3"/>
      <c r="AW226" s="3"/>
    </row>
    <row r="227" spans="2:49" ht="21.75" customHeight="1" x14ac:dyDescent="0.35">
      <c r="B227" s="4"/>
      <c r="C227" s="7"/>
      <c r="D227" s="6"/>
      <c r="E227" s="6"/>
      <c r="F227" s="5"/>
      <c r="G227" s="6"/>
      <c r="H227" s="5"/>
      <c r="I227" s="6"/>
      <c r="J227" s="5"/>
      <c r="K227" s="4"/>
      <c r="L227" s="2"/>
      <c r="M227" s="2"/>
      <c r="U227" s="2"/>
      <c r="V227" s="2"/>
      <c r="W227" s="2"/>
      <c r="X227" s="2"/>
      <c r="Y227" s="2"/>
      <c r="Z227" s="2"/>
      <c r="AA227" s="2"/>
      <c r="AB227" s="2"/>
      <c r="AP227" s="8"/>
      <c r="AQ227" s="8"/>
      <c r="AR227" s="8"/>
      <c r="AS227" s="8"/>
      <c r="AT227" s="8"/>
      <c r="AU227" s="3"/>
      <c r="AV227" s="3"/>
      <c r="AW227" s="3"/>
    </row>
    <row r="228" spans="2:49" ht="21.75" customHeight="1" x14ac:dyDescent="0.35">
      <c r="B228" s="4"/>
      <c r="C228" s="7"/>
      <c r="D228" s="6"/>
      <c r="E228" s="6"/>
      <c r="F228" s="5"/>
      <c r="G228" s="6"/>
      <c r="H228" s="5"/>
      <c r="I228" s="6"/>
      <c r="J228" s="5"/>
      <c r="K228" s="4"/>
      <c r="L228" s="2"/>
      <c r="M228" s="2"/>
      <c r="U228" s="2"/>
      <c r="V228" s="2"/>
      <c r="W228" s="2"/>
      <c r="X228" s="2"/>
      <c r="Y228" s="2"/>
      <c r="Z228" s="2"/>
      <c r="AA228" s="2"/>
      <c r="AB228" s="2"/>
      <c r="AP228" s="8"/>
      <c r="AQ228" s="8"/>
      <c r="AR228" s="8"/>
      <c r="AS228" s="8"/>
      <c r="AT228" s="8"/>
      <c r="AU228" s="3"/>
      <c r="AV228" s="3"/>
      <c r="AW228" s="3"/>
    </row>
    <row r="229" spans="2:49" ht="21.75" customHeight="1" x14ac:dyDescent="0.35">
      <c r="B229" s="4"/>
      <c r="C229" s="7"/>
      <c r="D229" s="6"/>
      <c r="E229" s="6"/>
      <c r="F229" s="5"/>
      <c r="G229" s="6"/>
      <c r="H229" s="5"/>
      <c r="I229" s="6"/>
      <c r="J229" s="5"/>
      <c r="K229" s="4"/>
      <c r="L229" s="2"/>
      <c r="M229" s="2"/>
      <c r="U229" s="2"/>
      <c r="V229" s="2"/>
      <c r="W229" s="2"/>
      <c r="X229" s="2"/>
      <c r="Y229" s="2"/>
      <c r="Z229" s="2"/>
      <c r="AA229" s="2"/>
      <c r="AB229" s="2"/>
      <c r="AP229" s="8"/>
      <c r="AQ229" s="8"/>
      <c r="AR229" s="8"/>
      <c r="AS229" s="8"/>
      <c r="AT229" s="8"/>
      <c r="AU229" s="3"/>
      <c r="AV229" s="3"/>
      <c r="AW229" s="3"/>
    </row>
    <row r="230" spans="2:49" ht="21.75" customHeight="1" x14ac:dyDescent="0.35">
      <c r="B230" s="4"/>
      <c r="C230" s="7"/>
      <c r="D230" s="6"/>
      <c r="E230" s="6"/>
      <c r="F230" s="5"/>
      <c r="G230" s="6"/>
      <c r="H230" s="5"/>
      <c r="I230" s="6"/>
      <c r="J230" s="5"/>
      <c r="K230" s="4"/>
      <c r="L230" s="2"/>
      <c r="M230" s="2"/>
      <c r="U230" s="2"/>
      <c r="V230" s="2"/>
      <c r="W230" s="2"/>
      <c r="X230" s="2"/>
      <c r="Y230" s="2"/>
      <c r="Z230" s="2"/>
      <c r="AA230" s="2"/>
      <c r="AB230" s="2"/>
      <c r="AP230" s="8"/>
      <c r="AQ230" s="8"/>
      <c r="AR230" s="8"/>
      <c r="AS230" s="8"/>
      <c r="AT230" s="8"/>
      <c r="AU230" s="3"/>
      <c r="AV230" s="3"/>
      <c r="AW230" s="3"/>
    </row>
    <row r="231" spans="2:49" ht="21.75" customHeight="1" x14ac:dyDescent="0.35">
      <c r="B231" s="4"/>
      <c r="C231" s="7"/>
      <c r="D231" s="6"/>
      <c r="E231" s="6"/>
      <c r="F231" s="5"/>
      <c r="G231" s="6"/>
      <c r="H231" s="5"/>
      <c r="I231" s="6"/>
      <c r="J231" s="5"/>
      <c r="K231" s="4"/>
      <c r="L231" s="2"/>
      <c r="M231" s="2"/>
      <c r="U231" s="2"/>
      <c r="V231" s="2"/>
      <c r="W231" s="2"/>
      <c r="X231" s="2"/>
      <c r="Y231" s="2"/>
      <c r="Z231" s="2"/>
      <c r="AA231" s="2"/>
      <c r="AB231" s="2"/>
      <c r="AP231" s="8"/>
      <c r="AQ231" s="8"/>
      <c r="AR231" s="8"/>
      <c r="AS231" s="8"/>
      <c r="AT231" s="8"/>
      <c r="AU231" s="3"/>
      <c r="AV231" s="3"/>
      <c r="AW231" s="3"/>
    </row>
    <row r="232" spans="2:49" ht="21.75" customHeight="1" x14ac:dyDescent="0.35">
      <c r="B232" s="4"/>
      <c r="C232" s="7"/>
      <c r="D232" s="6"/>
      <c r="E232" s="6"/>
      <c r="F232" s="5"/>
      <c r="G232" s="6"/>
      <c r="H232" s="5"/>
      <c r="I232" s="6"/>
      <c r="J232" s="5"/>
      <c r="K232" s="4"/>
      <c r="L232" s="2"/>
      <c r="M232" s="2"/>
      <c r="U232" s="2"/>
      <c r="V232" s="2"/>
      <c r="W232" s="2"/>
      <c r="X232" s="2"/>
      <c r="Y232" s="2"/>
      <c r="Z232" s="2"/>
      <c r="AA232" s="2"/>
      <c r="AB232" s="2"/>
      <c r="AP232" s="8"/>
      <c r="AQ232" s="8"/>
      <c r="AR232" s="8"/>
      <c r="AS232" s="8"/>
      <c r="AT232" s="8"/>
      <c r="AU232" s="3"/>
      <c r="AV232" s="3"/>
      <c r="AW232" s="3"/>
    </row>
    <row r="233" spans="2:49" ht="21.75" customHeight="1" x14ac:dyDescent="0.35">
      <c r="B233" s="4"/>
      <c r="C233" s="7"/>
      <c r="D233" s="6"/>
      <c r="E233" s="6"/>
      <c r="F233" s="5"/>
      <c r="G233" s="6"/>
      <c r="H233" s="5"/>
      <c r="I233" s="6"/>
      <c r="J233" s="5"/>
      <c r="K233" s="4"/>
      <c r="L233" s="2"/>
      <c r="M233" s="2"/>
      <c r="U233" s="2"/>
      <c r="V233" s="2"/>
      <c r="W233" s="2"/>
      <c r="X233" s="2"/>
      <c r="Y233" s="2"/>
      <c r="Z233" s="2"/>
      <c r="AA233" s="2"/>
      <c r="AB233" s="2"/>
      <c r="AP233" s="8"/>
      <c r="AQ233" s="8"/>
      <c r="AR233" s="8"/>
      <c r="AS233" s="8"/>
      <c r="AT233" s="8"/>
      <c r="AU233" s="3"/>
      <c r="AV233" s="3"/>
      <c r="AW233" s="3"/>
    </row>
    <row r="234" spans="2:49" ht="21.75" customHeight="1" x14ac:dyDescent="0.35">
      <c r="B234" s="4"/>
      <c r="C234" s="7"/>
      <c r="D234" s="6"/>
      <c r="E234" s="6"/>
      <c r="F234" s="5"/>
      <c r="G234" s="6"/>
      <c r="H234" s="5"/>
      <c r="I234" s="6"/>
      <c r="J234" s="5"/>
      <c r="K234" s="4"/>
      <c r="L234" s="2"/>
      <c r="M234" s="2"/>
      <c r="U234" s="2"/>
      <c r="V234" s="2"/>
      <c r="W234" s="2"/>
      <c r="X234" s="2"/>
      <c r="Y234" s="2"/>
      <c r="Z234" s="2"/>
      <c r="AA234" s="2"/>
      <c r="AB234" s="2"/>
      <c r="AP234" s="8"/>
      <c r="AQ234" s="8"/>
      <c r="AR234" s="8"/>
      <c r="AS234" s="8"/>
      <c r="AT234" s="8"/>
      <c r="AU234" s="3"/>
      <c r="AV234" s="3"/>
      <c r="AW234" s="3"/>
    </row>
    <row r="235" spans="2:49" ht="21.75" customHeight="1" x14ac:dyDescent="0.35">
      <c r="B235" s="4"/>
      <c r="C235" s="7"/>
      <c r="D235" s="6"/>
      <c r="E235" s="6"/>
      <c r="F235" s="5"/>
      <c r="G235" s="6"/>
      <c r="H235" s="5"/>
      <c r="I235" s="6"/>
      <c r="J235" s="5"/>
      <c r="K235" s="4"/>
      <c r="L235" s="2"/>
      <c r="M235" s="2"/>
      <c r="U235" s="2"/>
      <c r="V235" s="2"/>
      <c r="W235" s="2"/>
      <c r="X235" s="2"/>
      <c r="Y235" s="2"/>
      <c r="Z235" s="2"/>
      <c r="AA235" s="2"/>
      <c r="AB235" s="2"/>
      <c r="AP235" s="8"/>
      <c r="AQ235" s="8"/>
      <c r="AR235" s="8"/>
      <c r="AS235" s="8"/>
      <c r="AT235" s="8"/>
      <c r="AU235" s="3"/>
      <c r="AV235" s="3"/>
      <c r="AW235" s="3"/>
    </row>
    <row r="236" spans="2:49" ht="21.75" customHeight="1" x14ac:dyDescent="0.35">
      <c r="B236" s="4"/>
      <c r="C236" s="7"/>
      <c r="D236" s="6"/>
      <c r="E236" s="6"/>
      <c r="F236" s="5"/>
      <c r="G236" s="6"/>
      <c r="H236" s="5"/>
      <c r="I236" s="6"/>
      <c r="J236" s="5"/>
      <c r="K236" s="4"/>
      <c r="L236" s="2"/>
      <c r="M236" s="2"/>
      <c r="U236" s="2"/>
      <c r="V236" s="2"/>
      <c r="W236" s="2"/>
      <c r="X236" s="2"/>
      <c r="Y236" s="2"/>
      <c r="Z236" s="2"/>
      <c r="AA236" s="2"/>
      <c r="AB236" s="2"/>
      <c r="AP236" s="8"/>
      <c r="AQ236" s="8"/>
      <c r="AR236" s="8"/>
      <c r="AS236" s="8"/>
      <c r="AT236" s="8"/>
      <c r="AU236" s="3"/>
      <c r="AV236" s="3"/>
      <c r="AW236" s="3"/>
    </row>
    <row r="237" spans="2:49" ht="21.75" customHeight="1" x14ac:dyDescent="0.35">
      <c r="B237" s="4"/>
      <c r="C237" s="7"/>
      <c r="D237" s="6"/>
      <c r="E237" s="6"/>
      <c r="F237" s="5"/>
      <c r="G237" s="6"/>
      <c r="H237" s="5"/>
      <c r="I237" s="6"/>
      <c r="J237" s="5"/>
      <c r="K237" s="4"/>
      <c r="L237" s="2"/>
      <c r="M237" s="2"/>
      <c r="U237" s="2"/>
      <c r="V237" s="2"/>
      <c r="W237" s="2"/>
      <c r="X237" s="2"/>
      <c r="Y237" s="2"/>
      <c r="Z237" s="2"/>
      <c r="AA237" s="2"/>
      <c r="AB237" s="2"/>
      <c r="AP237" s="8"/>
      <c r="AQ237" s="8"/>
      <c r="AR237" s="8"/>
      <c r="AS237" s="8"/>
      <c r="AT237" s="8"/>
      <c r="AU237" s="3"/>
      <c r="AV237" s="3"/>
      <c r="AW237" s="3"/>
    </row>
    <row r="238" spans="2:49" ht="21.75" customHeight="1" x14ac:dyDescent="0.35">
      <c r="B238" s="4"/>
      <c r="C238" s="7"/>
      <c r="D238" s="6"/>
      <c r="E238" s="6"/>
      <c r="F238" s="5"/>
      <c r="G238" s="6"/>
      <c r="H238" s="5"/>
      <c r="I238" s="6"/>
      <c r="J238" s="5"/>
      <c r="K238" s="4"/>
      <c r="L238" s="2"/>
      <c r="M238" s="2"/>
      <c r="U238" s="2"/>
      <c r="V238" s="2"/>
      <c r="W238" s="2"/>
      <c r="X238" s="2"/>
      <c r="Y238" s="2"/>
      <c r="Z238" s="2"/>
      <c r="AA238" s="2"/>
      <c r="AB238" s="2"/>
      <c r="AP238" s="8"/>
      <c r="AQ238" s="8"/>
      <c r="AR238" s="8"/>
      <c r="AS238" s="8"/>
      <c r="AT238" s="8"/>
      <c r="AU238" s="3"/>
      <c r="AV238" s="3"/>
      <c r="AW238" s="3"/>
    </row>
    <row r="239" spans="2:49" ht="21.75" customHeight="1" x14ac:dyDescent="0.35">
      <c r="B239" s="4"/>
      <c r="C239" s="7"/>
      <c r="D239" s="6"/>
      <c r="E239" s="6"/>
      <c r="F239" s="5"/>
      <c r="G239" s="6"/>
      <c r="H239" s="5"/>
      <c r="I239" s="6"/>
      <c r="J239" s="5"/>
      <c r="K239" s="4"/>
      <c r="L239" s="2"/>
      <c r="M239" s="2"/>
      <c r="U239" s="2"/>
      <c r="V239" s="2"/>
      <c r="W239" s="2"/>
      <c r="X239" s="2"/>
      <c r="Y239" s="2"/>
      <c r="Z239" s="2"/>
      <c r="AA239" s="2"/>
      <c r="AB239" s="2"/>
      <c r="AP239" s="8"/>
      <c r="AQ239" s="8"/>
      <c r="AR239" s="8"/>
      <c r="AS239" s="8"/>
      <c r="AT239" s="8"/>
      <c r="AU239" s="3"/>
      <c r="AV239" s="3"/>
      <c r="AW239" s="3"/>
    </row>
    <row r="240" spans="2:49" ht="21.75" customHeight="1" x14ac:dyDescent="0.35">
      <c r="B240" s="4"/>
      <c r="C240" s="7"/>
      <c r="D240" s="6"/>
      <c r="E240" s="6"/>
      <c r="F240" s="5"/>
      <c r="G240" s="6"/>
      <c r="H240" s="5"/>
      <c r="I240" s="6"/>
      <c r="J240" s="5"/>
      <c r="K240" s="4"/>
      <c r="L240" s="2"/>
      <c r="M240" s="2"/>
      <c r="U240" s="2"/>
      <c r="V240" s="2"/>
      <c r="W240" s="2"/>
      <c r="X240" s="2"/>
      <c r="Y240" s="2"/>
      <c r="Z240" s="2"/>
      <c r="AA240" s="2"/>
      <c r="AB240" s="2"/>
      <c r="AP240" s="8"/>
      <c r="AQ240" s="8"/>
      <c r="AR240" s="8"/>
      <c r="AS240" s="8"/>
      <c r="AT240" s="8"/>
      <c r="AU240" s="3"/>
      <c r="AV240" s="3"/>
      <c r="AW240" s="3"/>
    </row>
    <row r="241" spans="2:49" ht="21.75" customHeight="1" x14ac:dyDescent="0.35">
      <c r="B241" s="4"/>
      <c r="C241" s="7"/>
      <c r="D241" s="6"/>
      <c r="E241" s="6"/>
      <c r="F241" s="5"/>
      <c r="G241" s="6"/>
      <c r="H241" s="5"/>
      <c r="I241" s="6"/>
      <c r="J241" s="5"/>
      <c r="K241" s="4"/>
      <c r="L241" s="2"/>
      <c r="M241" s="2"/>
      <c r="U241" s="2"/>
      <c r="V241" s="2"/>
      <c r="W241" s="2"/>
      <c r="X241" s="2"/>
      <c r="Y241" s="2"/>
      <c r="Z241" s="2"/>
      <c r="AA241" s="2"/>
      <c r="AB241" s="2"/>
      <c r="AP241" s="8"/>
      <c r="AQ241" s="8"/>
      <c r="AR241" s="8"/>
      <c r="AS241" s="8"/>
      <c r="AT241" s="8"/>
      <c r="AU241" s="3"/>
      <c r="AV241" s="3"/>
      <c r="AW241" s="3"/>
    </row>
    <row r="242" spans="2:49" ht="21.75" customHeight="1" x14ac:dyDescent="0.35">
      <c r="B242" s="4"/>
      <c r="C242" s="7"/>
      <c r="D242" s="6"/>
      <c r="E242" s="6"/>
      <c r="F242" s="5"/>
      <c r="G242" s="6"/>
      <c r="H242" s="5"/>
      <c r="I242" s="6"/>
      <c r="J242" s="5"/>
      <c r="K242" s="4"/>
      <c r="L242" s="2"/>
      <c r="M242" s="2"/>
      <c r="U242" s="2"/>
      <c r="V242" s="2"/>
      <c r="W242" s="2"/>
      <c r="X242" s="2"/>
      <c r="Y242" s="2"/>
      <c r="Z242" s="2"/>
      <c r="AA242" s="2"/>
      <c r="AB242" s="2"/>
      <c r="AP242" s="8"/>
      <c r="AQ242" s="8"/>
      <c r="AR242" s="8"/>
      <c r="AS242" s="8"/>
      <c r="AT242" s="8"/>
      <c r="AU242" s="3"/>
      <c r="AV242" s="3"/>
      <c r="AW242" s="3"/>
    </row>
    <row r="243" spans="2:49" ht="21.75" customHeight="1" x14ac:dyDescent="0.35">
      <c r="B243" s="4"/>
      <c r="C243" s="7"/>
      <c r="D243" s="6"/>
      <c r="E243" s="6"/>
      <c r="F243" s="5"/>
      <c r="G243" s="6"/>
      <c r="H243" s="5"/>
      <c r="I243" s="6"/>
      <c r="J243" s="5"/>
      <c r="K243" s="4"/>
      <c r="L243" s="2"/>
      <c r="M243" s="2"/>
      <c r="U243" s="2"/>
      <c r="V243" s="2"/>
      <c r="W243" s="2"/>
      <c r="X243" s="2"/>
      <c r="Y243" s="2"/>
      <c r="Z243" s="2"/>
      <c r="AA243" s="2"/>
      <c r="AB243" s="2"/>
      <c r="AP243" s="8"/>
      <c r="AQ243" s="8"/>
      <c r="AR243" s="8"/>
      <c r="AS243" s="8"/>
      <c r="AT243" s="8"/>
      <c r="AU243" s="3"/>
      <c r="AV243" s="3"/>
      <c r="AW243" s="3"/>
    </row>
    <row r="244" spans="2:49" ht="21.75" customHeight="1" x14ac:dyDescent="0.35">
      <c r="B244" s="4"/>
      <c r="C244" s="7"/>
      <c r="D244" s="6"/>
      <c r="E244" s="6"/>
      <c r="F244" s="5"/>
      <c r="G244" s="6"/>
      <c r="H244" s="5"/>
      <c r="I244" s="6"/>
      <c r="J244" s="5"/>
      <c r="K244" s="4"/>
      <c r="L244" s="2"/>
      <c r="M244" s="2"/>
      <c r="U244" s="2"/>
      <c r="V244" s="2"/>
      <c r="W244" s="2"/>
      <c r="X244" s="2"/>
      <c r="Y244" s="2"/>
      <c r="Z244" s="2"/>
      <c r="AA244" s="2"/>
      <c r="AB244" s="2"/>
      <c r="AP244" s="8"/>
      <c r="AQ244" s="8"/>
      <c r="AR244" s="8"/>
      <c r="AS244" s="8"/>
      <c r="AT244" s="8"/>
      <c r="AU244" s="3"/>
      <c r="AV244" s="3"/>
      <c r="AW244" s="3"/>
    </row>
    <row r="245" spans="2:49" ht="21.75" customHeight="1" x14ac:dyDescent="0.35">
      <c r="B245" s="4"/>
      <c r="C245" s="7"/>
      <c r="D245" s="6"/>
      <c r="E245" s="6"/>
      <c r="F245" s="5"/>
      <c r="G245" s="6"/>
      <c r="H245" s="5"/>
      <c r="I245" s="6"/>
      <c r="J245" s="5"/>
      <c r="K245" s="4"/>
      <c r="L245" s="2"/>
      <c r="M245" s="2"/>
      <c r="U245" s="2"/>
      <c r="V245" s="2"/>
      <c r="W245" s="2"/>
      <c r="X245" s="2"/>
      <c r="Y245" s="2"/>
      <c r="Z245" s="2"/>
      <c r="AA245" s="2"/>
      <c r="AB245" s="2"/>
      <c r="AP245" s="8"/>
      <c r="AQ245" s="8"/>
      <c r="AR245" s="8"/>
      <c r="AS245" s="8"/>
      <c r="AT245" s="8"/>
      <c r="AU245" s="3"/>
      <c r="AV245" s="3"/>
      <c r="AW245" s="3"/>
    </row>
    <row r="246" spans="2:49" ht="21.75" customHeight="1" x14ac:dyDescent="0.35">
      <c r="B246" s="4"/>
      <c r="C246" s="7"/>
      <c r="D246" s="6"/>
      <c r="E246" s="6"/>
      <c r="F246" s="5"/>
      <c r="G246" s="6"/>
      <c r="H246" s="5"/>
      <c r="I246" s="6"/>
      <c r="J246" s="5"/>
      <c r="K246" s="4"/>
      <c r="L246" s="2"/>
      <c r="M246" s="2"/>
      <c r="U246" s="2"/>
      <c r="V246" s="2"/>
      <c r="W246" s="2"/>
      <c r="X246" s="2"/>
      <c r="Y246" s="2"/>
      <c r="Z246" s="2"/>
      <c r="AA246" s="2"/>
      <c r="AB246" s="2"/>
      <c r="AP246" s="8"/>
      <c r="AQ246" s="8"/>
      <c r="AR246" s="8"/>
      <c r="AS246" s="8"/>
      <c r="AT246" s="8"/>
      <c r="AU246" s="3"/>
      <c r="AV246" s="3"/>
      <c r="AW246" s="3"/>
    </row>
    <row r="247" spans="2:49" ht="21.75" customHeight="1" x14ac:dyDescent="0.35">
      <c r="B247" s="4"/>
      <c r="C247" s="7"/>
      <c r="D247" s="6"/>
      <c r="E247" s="6"/>
      <c r="F247" s="5"/>
      <c r="G247" s="6"/>
      <c r="H247" s="5"/>
      <c r="I247" s="6"/>
      <c r="J247" s="5"/>
      <c r="K247" s="4"/>
      <c r="L247" s="2"/>
      <c r="M247" s="2"/>
      <c r="U247" s="2"/>
      <c r="V247" s="2"/>
      <c r="W247" s="2"/>
      <c r="X247" s="2"/>
      <c r="Y247" s="2"/>
      <c r="Z247" s="2"/>
      <c r="AA247" s="2"/>
      <c r="AB247" s="2"/>
      <c r="AP247" s="8"/>
      <c r="AQ247" s="8"/>
      <c r="AR247" s="8"/>
      <c r="AS247" s="8"/>
      <c r="AT247" s="8"/>
      <c r="AU247" s="3"/>
      <c r="AV247" s="3"/>
      <c r="AW247" s="3"/>
    </row>
    <row r="248" spans="2:49" ht="21.75" customHeight="1" x14ac:dyDescent="0.35">
      <c r="B248" s="4"/>
      <c r="C248" s="7"/>
      <c r="D248" s="6"/>
      <c r="E248" s="6"/>
      <c r="F248" s="5"/>
      <c r="G248" s="6"/>
      <c r="H248" s="5"/>
      <c r="I248" s="6"/>
      <c r="J248" s="5"/>
      <c r="K248" s="4"/>
      <c r="L248" s="2"/>
      <c r="M248" s="2"/>
      <c r="U248" s="2"/>
      <c r="V248" s="2"/>
      <c r="W248" s="2"/>
      <c r="X248" s="2"/>
      <c r="Y248" s="2"/>
      <c r="Z248" s="2"/>
      <c r="AA248" s="2"/>
      <c r="AB248" s="2"/>
      <c r="AP248" s="8"/>
      <c r="AQ248" s="8"/>
      <c r="AR248" s="8"/>
      <c r="AS248" s="8"/>
      <c r="AT248" s="8"/>
      <c r="AU248" s="3"/>
      <c r="AV248" s="3"/>
      <c r="AW248" s="3"/>
    </row>
    <row r="249" spans="2:49" ht="21.75" customHeight="1" x14ac:dyDescent="0.35">
      <c r="B249" s="4"/>
      <c r="C249" s="7"/>
      <c r="D249" s="6"/>
      <c r="E249" s="6"/>
      <c r="F249" s="5"/>
      <c r="G249" s="6"/>
      <c r="H249" s="5"/>
      <c r="I249" s="6"/>
      <c r="J249" s="5"/>
      <c r="K249" s="4"/>
      <c r="L249" s="2"/>
      <c r="M249" s="2"/>
      <c r="U249" s="2"/>
      <c r="V249" s="2"/>
      <c r="W249" s="2"/>
      <c r="X249" s="2"/>
      <c r="Y249" s="2"/>
      <c r="Z249" s="2"/>
      <c r="AA249" s="2"/>
      <c r="AB249" s="2"/>
      <c r="AP249" s="8"/>
      <c r="AQ249" s="8"/>
      <c r="AR249" s="8"/>
      <c r="AS249" s="8"/>
      <c r="AT249" s="8"/>
      <c r="AU249" s="3"/>
      <c r="AV249" s="3"/>
      <c r="AW249" s="3"/>
    </row>
    <row r="250" spans="2:49" ht="21.75" customHeight="1" x14ac:dyDescent="0.35">
      <c r="B250" s="4"/>
      <c r="C250" s="7"/>
      <c r="D250" s="6"/>
      <c r="E250" s="6"/>
      <c r="F250" s="5"/>
      <c r="G250" s="6"/>
      <c r="H250" s="5"/>
      <c r="I250" s="6"/>
      <c r="J250" s="5"/>
      <c r="K250" s="4"/>
      <c r="L250" s="2"/>
      <c r="M250" s="2"/>
      <c r="U250" s="2"/>
      <c r="V250" s="2"/>
      <c r="W250" s="2"/>
      <c r="X250" s="2"/>
      <c r="Y250" s="2"/>
      <c r="Z250" s="2"/>
      <c r="AA250" s="2"/>
      <c r="AB250" s="2"/>
      <c r="AP250" s="8"/>
      <c r="AQ250" s="8"/>
      <c r="AR250" s="8"/>
      <c r="AS250" s="8"/>
      <c r="AT250" s="8"/>
      <c r="AU250" s="3"/>
      <c r="AV250" s="3"/>
      <c r="AW250" s="3"/>
    </row>
    <row r="251" spans="2:49" ht="21.75" customHeight="1" x14ac:dyDescent="0.35">
      <c r="B251" s="4"/>
      <c r="C251" s="7"/>
      <c r="D251" s="6"/>
      <c r="E251" s="6"/>
      <c r="F251" s="5"/>
      <c r="G251" s="6"/>
      <c r="H251" s="5"/>
      <c r="I251" s="6"/>
      <c r="J251" s="5"/>
      <c r="K251" s="4"/>
      <c r="L251" s="2"/>
      <c r="M251" s="2"/>
      <c r="U251" s="2"/>
      <c r="V251" s="2"/>
      <c r="W251" s="2"/>
      <c r="X251" s="2"/>
      <c r="Y251" s="2"/>
      <c r="Z251" s="2"/>
      <c r="AA251" s="2"/>
      <c r="AB251" s="2"/>
      <c r="AP251" s="8"/>
      <c r="AQ251" s="8"/>
      <c r="AR251" s="8"/>
      <c r="AS251" s="8"/>
      <c r="AT251" s="8"/>
      <c r="AU251" s="3"/>
      <c r="AV251" s="3"/>
      <c r="AW251" s="3"/>
    </row>
    <row r="252" spans="2:49" ht="21.75" customHeight="1" x14ac:dyDescent="0.35">
      <c r="B252" s="4"/>
      <c r="C252" s="7"/>
      <c r="D252" s="6"/>
      <c r="E252" s="6"/>
      <c r="F252" s="5"/>
      <c r="G252" s="6"/>
      <c r="H252" s="5"/>
      <c r="I252" s="6"/>
      <c r="J252" s="5"/>
      <c r="K252" s="4"/>
      <c r="L252" s="2"/>
      <c r="M252" s="2"/>
      <c r="U252" s="2"/>
      <c r="V252" s="2"/>
      <c r="W252" s="2"/>
      <c r="X252" s="2"/>
      <c r="Y252" s="2"/>
      <c r="Z252" s="2"/>
      <c r="AA252" s="2"/>
      <c r="AB252" s="2"/>
      <c r="AP252" s="8"/>
      <c r="AQ252" s="8"/>
      <c r="AR252" s="8"/>
      <c r="AS252" s="8"/>
      <c r="AT252" s="8"/>
      <c r="AU252" s="3"/>
      <c r="AV252" s="3"/>
      <c r="AW252" s="3"/>
    </row>
    <row r="253" spans="2:49" ht="21.75" customHeight="1" x14ac:dyDescent="0.35">
      <c r="B253" s="4"/>
      <c r="C253" s="7"/>
      <c r="D253" s="6"/>
      <c r="E253" s="6"/>
      <c r="F253" s="5"/>
      <c r="G253" s="6"/>
      <c r="H253" s="5"/>
      <c r="I253" s="6"/>
      <c r="J253" s="5"/>
      <c r="K253" s="4"/>
      <c r="L253" s="2"/>
      <c r="M253" s="2"/>
      <c r="U253" s="2"/>
      <c r="V253" s="2"/>
      <c r="W253" s="2"/>
      <c r="X253" s="2"/>
      <c r="Y253" s="2"/>
      <c r="Z253" s="2"/>
      <c r="AA253" s="2"/>
      <c r="AB253" s="2"/>
      <c r="AP253" s="8"/>
      <c r="AQ253" s="8"/>
      <c r="AR253" s="8"/>
      <c r="AS253" s="8"/>
      <c r="AT253" s="8"/>
      <c r="AU253" s="3"/>
      <c r="AV253" s="3"/>
      <c r="AW253" s="3"/>
    </row>
    <row r="254" spans="2:49" ht="21.75" customHeight="1" x14ac:dyDescent="0.35">
      <c r="B254" s="4"/>
      <c r="C254" s="7"/>
      <c r="D254" s="6"/>
      <c r="E254" s="6"/>
      <c r="F254" s="5"/>
      <c r="G254" s="6"/>
      <c r="H254" s="5"/>
      <c r="I254" s="6"/>
      <c r="J254" s="5"/>
      <c r="K254" s="4"/>
      <c r="L254" s="2"/>
      <c r="M254" s="2"/>
      <c r="U254" s="2"/>
      <c r="V254" s="2"/>
      <c r="W254" s="2"/>
      <c r="X254" s="2"/>
      <c r="Y254" s="2"/>
      <c r="Z254" s="2"/>
      <c r="AA254" s="2"/>
      <c r="AB254" s="2"/>
      <c r="AP254" s="8"/>
      <c r="AQ254" s="8"/>
      <c r="AR254" s="8"/>
      <c r="AS254" s="8"/>
      <c r="AT254" s="8"/>
      <c r="AU254" s="3"/>
      <c r="AV254" s="3"/>
      <c r="AW254" s="3"/>
    </row>
    <row r="255" spans="2:49" ht="21.75" customHeight="1" x14ac:dyDescent="0.35">
      <c r="B255" s="4"/>
      <c r="C255" s="7"/>
      <c r="D255" s="6"/>
      <c r="E255" s="6"/>
      <c r="F255" s="5"/>
      <c r="G255" s="6"/>
      <c r="H255" s="5"/>
      <c r="I255" s="6"/>
      <c r="J255" s="5"/>
      <c r="K255" s="4"/>
      <c r="L255" s="2"/>
      <c r="M255" s="2"/>
      <c r="U255" s="2"/>
      <c r="V255" s="2"/>
      <c r="W255" s="2"/>
      <c r="X255" s="2"/>
      <c r="Y255" s="2"/>
      <c r="Z255" s="2"/>
      <c r="AA255" s="2"/>
      <c r="AB255" s="2"/>
      <c r="AP255" s="8"/>
      <c r="AQ255" s="8"/>
      <c r="AR255" s="8"/>
      <c r="AS255" s="8"/>
      <c r="AT255" s="8"/>
      <c r="AU255" s="3"/>
      <c r="AV255" s="3"/>
      <c r="AW255" s="3"/>
    </row>
    <row r="256" spans="2:49" ht="21.75" customHeight="1" x14ac:dyDescent="0.35">
      <c r="B256" s="4"/>
      <c r="C256" s="7"/>
      <c r="D256" s="6"/>
      <c r="E256" s="6"/>
      <c r="F256" s="5"/>
      <c r="G256" s="6"/>
      <c r="H256" s="5"/>
      <c r="I256" s="6"/>
      <c r="J256" s="5"/>
      <c r="K256" s="4"/>
      <c r="L256" s="2"/>
      <c r="M256" s="2"/>
      <c r="U256" s="2"/>
      <c r="V256" s="2"/>
      <c r="W256" s="2"/>
      <c r="X256" s="2"/>
      <c r="Y256" s="2"/>
      <c r="Z256" s="2"/>
      <c r="AA256" s="2"/>
      <c r="AB256" s="2"/>
      <c r="AP256" s="8"/>
      <c r="AQ256" s="8"/>
      <c r="AR256" s="8"/>
      <c r="AS256" s="8"/>
      <c r="AT256" s="8"/>
      <c r="AU256" s="3"/>
      <c r="AV256" s="3"/>
      <c r="AW256" s="3"/>
    </row>
    <row r="257" spans="2:49" ht="21.75" customHeight="1" x14ac:dyDescent="0.35">
      <c r="B257" s="4"/>
      <c r="C257" s="7"/>
      <c r="D257" s="6"/>
      <c r="E257" s="6"/>
      <c r="F257" s="5"/>
      <c r="G257" s="6"/>
      <c r="H257" s="5"/>
      <c r="I257" s="6"/>
      <c r="J257" s="5"/>
      <c r="K257" s="4"/>
      <c r="L257" s="2"/>
      <c r="M257" s="2"/>
      <c r="U257" s="2"/>
      <c r="V257" s="2"/>
      <c r="W257" s="2"/>
      <c r="X257" s="2"/>
      <c r="Y257" s="2"/>
      <c r="Z257" s="2"/>
      <c r="AA257" s="2"/>
      <c r="AB257" s="2"/>
      <c r="AP257" s="8"/>
      <c r="AQ257" s="8"/>
      <c r="AR257" s="8"/>
      <c r="AS257" s="8"/>
      <c r="AT257" s="8"/>
      <c r="AU257" s="3"/>
      <c r="AV257" s="3"/>
      <c r="AW257" s="3"/>
    </row>
    <row r="258" spans="2:49" ht="21.75" customHeight="1" x14ac:dyDescent="0.35">
      <c r="B258" s="4"/>
      <c r="C258" s="7"/>
      <c r="D258" s="6"/>
      <c r="E258" s="6"/>
      <c r="F258" s="5"/>
      <c r="G258" s="6"/>
      <c r="H258" s="5"/>
      <c r="I258" s="6"/>
      <c r="J258" s="5"/>
      <c r="K258" s="4"/>
      <c r="L258" s="2"/>
      <c r="M258" s="2"/>
      <c r="U258" s="2"/>
      <c r="V258" s="2"/>
      <c r="W258" s="2"/>
      <c r="X258" s="2"/>
      <c r="Y258" s="2"/>
      <c r="Z258" s="2"/>
      <c r="AA258" s="2"/>
      <c r="AB258" s="2"/>
      <c r="AP258" s="8"/>
      <c r="AQ258" s="8"/>
      <c r="AR258" s="8"/>
      <c r="AS258" s="8"/>
      <c r="AT258" s="8"/>
      <c r="AU258" s="3"/>
      <c r="AV258" s="3"/>
      <c r="AW258" s="3"/>
    </row>
    <row r="259" spans="2:49" ht="21.75" customHeight="1" x14ac:dyDescent="0.35">
      <c r="B259" s="4"/>
      <c r="C259" s="7"/>
      <c r="D259" s="6"/>
      <c r="E259" s="6"/>
      <c r="F259" s="5"/>
      <c r="G259" s="6"/>
      <c r="H259" s="5"/>
      <c r="I259" s="6"/>
      <c r="J259" s="5"/>
      <c r="K259" s="4"/>
      <c r="L259" s="2"/>
      <c r="M259" s="2"/>
      <c r="U259" s="2"/>
      <c r="V259" s="2"/>
      <c r="W259" s="2"/>
      <c r="X259" s="2"/>
      <c r="Y259" s="2"/>
      <c r="Z259" s="2"/>
      <c r="AA259" s="2"/>
      <c r="AB259" s="2"/>
      <c r="AP259" s="8"/>
      <c r="AQ259" s="8"/>
      <c r="AR259" s="8"/>
      <c r="AS259" s="8"/>
      <c r="AT259" s="8"/>
      <c r="AU259" s="3"/>
      <c r="AV259" s="3"/>
      <c r="AW259" s="3"/>
    </row>
    <row r="260" spans="2:49" ht="21.75" customHeight="1" x14ac:dyDescent="0.35">
      <c r="B260" s="4"/>
      <c r="C260" s="7"/>
      <c r="D260" s="6"/>
      <c r="E260" s="6"/>
      <c r="F260" s="5"/>
      <c r="G260" s="6"/>
      <c r="H260" s="5"/>
      <c r="I260" s="6"/>
      <c r="J260" s="5"/>
      <c r="K260" s="4"/>
      <c r="L260" s="2"/>
      <c r="M260" s="2"/>
      <c r="U260" s="2"/>
      <c r="V260" s="2"/>
      <c r="W260" s="2"/>
      <c r="X260" s="2"/>
      <c r="Y260" s="2"/>
      <c r="Z260" s="2"/>
      <c r="AA260" s="2"/>
      <c r="AB260" s="2"/>
      <c r="AP260" s="8"/>
      <c r="AQ260" s="8"/>
      <c r="AR260" s="8"/>
      <c r="AS260" s="8"/>
      <c r="AT260" s="8"/>
      <c r="AU260" s="3"/>
      <c r="AV260" s="3"/>
      <c r="AW260" s="3"/>
    </row>
    <row r="261" spans="2:49" ht="21.75" customHeight="1" x14ac:dyDescent="0.35">
      <c r="B261" s="4"/>
      <c r="C261" s="7"/>
      <c r="D261" s="6"/>
      <c r="E261" s="6"/>
      <c r="F261" s="5"/>
      <c r="G261" s="6"/>
      <c r="H261" s="5"/>
      <c r="I261" s="6"/>
      <c r="J261" s="5"/>
      <c r="K261" s="4"/>
      <c r="L261" s="2"/>
      <c r="M261" s="2"/>
      <c r="U261" s="2"/>
      <c r="V261" s="2"/>
      <c r="W261" s="2"/>
      <c r="X261" s="2"/>
      <c r="Y261" s="2"/>
      <c r="Z261" s="2"/>
      <c r="AA261" s="2"/>
      <c r="AB261" s="2"/>
      <c r="AP261" s="8"/>
      <c r="AQ261" s="8"/>
      <c r="AR261" s="8"/>
      <c r="AS261" s="8"/>
      <c r="AT261" s="8"/>
      <c r="AU261" s="3"/>
      <c r="AV261" s="3"/>
      <c r="AW261" s="3"/>
    </row>
    <row r="262" spans="2:49" ht="21.75" customHeight="1" x14ac:dyDescent="0.35">
      <c r="B262" s="4"/>
      <c r="C262" s="7"/>
      <c r="D262" s="6"/>
      <c r="E262" s="6"/>
      <c r="F262" s="5"/>
      <c r="G262" s="6"/>
      <c r="H262" s="5"/>
      <c r="I262" s="6"/>
      <c r="J262" s="5"/>
      <c r="K262" s="4"/>
      <c r="L262" s="2"/>
      <c r="M262" s="2"/>
      <c r="U262" s="2"/>
      <c r="V262" s="2"/>
      <c r="W262" s="2"/>
      <c r="X262" s="2"/>
      <c r="Y262" s="2"/>
      <c r="Z262" s="2"/>
      <c r="AA262" s="2"/>
      <c r="AB262" s="2"/>
      <c r="AP262" s="8"/>
      <c r="AQ262" s="8"/>
      <c r="AR262" s="8"/>
      <c r="AS262" s="8"/>
      <c r="AT262" s="8"/>
      <c r="AU262" s="3"/>
      <c r="AV262" s="3"/>
      <c r="AW262" s="3"/>
    </row>
    <row r="263" spans="2:49" ht="21.75" customHeight="1" x14ac:dyDescent="0.35">
      <c r="B263" s="4"/>
      <c r="C263" s="7"/>
      <c r="D263" s="6"/>
      <c r="E263" s="6"/>
      <c r="F263" s="5"/>
      <c r="G263" s="6"/>
      <c r="H263" s="5"/>
      <c r="I263" s="6"/>
      <c r="J263" s="5"/>
      <c r="K263" s="4"/>
      <c r="L263" s="2"/>
      <c r="M263" s="2"/>
      <c r="U263" s="2"/>
      <c r="V263" s="2"/>
      <c r="W263" s="2"/>
      <c r="X263" s="2"/>
      <c r="Y263" s="2"/>
      <c r="Z263" s="2"/>
      <c r="AA263" s="2"/>
      <c r="AB263" s="2"/>
      <c r="AP263" s="8"/>
      <c r="AQ263" s="8"/>
      <c r="AR263" s="8"/>
      <c r="AS263" s="8"/>
      <c r="AT263" s="8"/>
      <c r="AU263" s="3"/>
      <c r="AV263" s="3"/>
      <c r="AW263" s="3"/>
    </row>
    <row r="264" spans="2:49" ht="21.75" customHeight="1" x14ac:dyDescent="0.35">
      <c r="B264" s="4"/>
      <c r="C264" s="7"/>
      <c r="D264" s="6"/>
      <c r="E264" s="6"/>
      <c r="F264" s="5"/>
      <c r="G264" s="6"/>
      <c r="H264" s="5"/>
      <c r="I264" s="6"/>
      <c r="J264" s="5"/>
      <c r="K264" s="4"/>
      <c r="L264" s="2"/>
      <c r="M264" s="2"/>
      <c r="U264" s="2"/>
      <c r="V264" s="2"/>
      <c r="W264" s="2"/>
      <c r="X264" s="2"/>
      <c r="Y264" s="2"/>
      <c r="Z264" s="2"/>
      <c r="AA264" s="2"/>
      <c r="AB264" s="2"/>
      <c r="AP264" s="8"/>
      <c r="AQ264" s="8"/>
      <c r="AR264" s="8"/>
      <c r="AS264" s="8"/>
      <c r="AT264" s="8"/>
      <c r="AU264" s="3"/>
      <c r="AV264" s="3"/>
      <c r="AW264" s="3"/>
    </row>
    <row r="265" spans="2:49" ht="21.75" customHeight="1" x14ac:dyDescent="0.35">
      <c r="B265" s="4"/>
      <c r="C265" s="7"/>
      <c r="D265" s="6"/>
      <c r="E265" s="6"/>
      <c r="F265" s="5"/>
      <c r="G265" s="6"/>
      <c r="H265" s="5"/>
      <c r="I265" s="6"/>
      <c r="J265" s="5"/>
      <c r="K265" s="4"/>
      <c r="L265" s="2"/>
      <c r="M265" s="2"/>
      <c r="U265" s="2"/>
      <c r="V265" s="2"/>
      <c r="W265" s="2"/>
      <c r="X265" s="2"/>
      <c r="Y265" s="2"/>
      <c r="Z265" s="2"/>
      <c r="AA265" s="2"/>
      <c r="AB265" s="2"/>
      <c r="AP265" s="8"/>
      <c r="AQ265" s="8"/>
      <c r="AR265" s="8"/>
      <c r="AS265" s="8"/>
      <c r="AT265" s="8"/>
      <c r="AU265" s="3"/>
      <c r="AV265" s="3"/>
      <c r="AW265" s="3"/>
    </row>
    <row r="266" spans="2:49" ht="21.75" customHeight="1" x14ac:dyDescent="0.35">
      <c r="B266" s="4"/>
      <c r="C266" s="7"/>
      <c r="D266" s="6"/>
      <c r="E266" s="6"/>
      <c r="F266" s="5"/>
      <c r="G266" s="6"/>
      <c r="H266" s="5"/>
      <c r="I266" s="6"/>
      <c r="J266" s="5"/>
      <c r="K266" s="4"/>
      <c r="L266" s="2"/>
      <c r="M266" s="2"/>
      <c r="U266" s="2"/>
      <c r="V266" s="2"/>
      <c r="W266" s="2"/>
      <c r="X266" s="2"/>
      <c r="Y266" s="2"/>
      <c r="Z266" s="2"/>
      <c r="AA266" s="2"/>
      <c r="AB266" s="2"/>
      <c r="AP266" s="8"/>
      <c r="AQ266" s="8"/>
      <c r="AR266" s="8"/>
      <c r="AS266" s="8"/>
      <c r="AT266" s="8"/>
      <c r="AU266" s="3"/>
      <c r="AV266" s="3"/>
      <c r="AW266" s="3"/>
    </row>
    <row r="267" spans="2:49" ht="21.75" customHeight="1" x14ac:dyDescent="0.35">
      <c r="B267" s="4"/>
      <c r="C267" s="7"/>
      <c r="D267" s="6"/>
      <c r="E267" s="6"/>
      <c r="F267" s="5"/>
      <c r="G267" s="6"/>
      <c r="H267" s="5"/>
      <c r="I267" s="6"/>
      <c r="J267" s="5"/>
      <c r="K267" s="4"/>
      <c r="L267" s="2"/>
      <c r="M267" s="2"/>
      <c r="U267" s="2"/>
      <c r="V267" s="2"/>
      <c r="W267" s="2"/>
      <c r="X267" s="2"/>
      <c r="Y267" s="2"/>
      <c r="Z267" s="2"/>
      <c r="AA267" s="2"/>
      <c r="AB267" s="2"/>
      <c r="AP267" s="8"/>
      <c r="AQ267" s="8"/>
      <c r="AR267" s="8"/>
      <c r="AS267" s="8"/>
      <c r="AT267" s="8"/>
      <c r="AU267" s="3"/>
      <c r="AV267" s="3"/>
      <c r="AW267" s="3"/>
    </row>
    <row r="268" spans="2:49" ht="21.75" customHeight="1" x14ac:dyDescent="0.35">
      <c r="B268" s="4"/>
      <c r="C268" s="7"/>
      <c r="D268" s="6"/>
      <c r="E268" s="6"/>
      <c r="F268" s="5"/>
      <c r="G268" s="6"/>
      <c r="H268" s="5"/>
      <c r="I268" s="6"/>
      <c r="J268" s="5"/>
      <c r="K268" s="4"/>
      <c r="L268" s="2"/>
      <c r="M268" s="2"/>
      <c r="U268" s="2"/>
      <c r="V268" s="2"/>
      <c r="W268" s="2"/>
      <c r="X268" s="2"/>
      <c r="Y268" s="2"/>
      <c r="Z268" s="2"/>
      <c r="AA268" s="2"/>
      <c r="AB268" s="2"/>
      <c r="AP268" s="8"/>
      <c r="AQ268" s="8"/>
      <c r="AR268" s="8"/>
      <c r="AS268" s="8"/>
      <c r="AT268" s="8"/>
      <c r="AU268" s="3"/>
      <c r="AV268" s="3"/>
      <c r="AW268" s="3"/>
    </row>
    <row r="269" spans="2:49" ht="21.75" customHeight="1" x14ac:dyDescent="0.35">
      <c r="B269" s="4"/>
      <c r="C269" s="7"/>
      <c r="D269" s="6"/>
      <c r="E269" s="6"/>
      <c r="F269" s="5"/>
      <c r="G269" s="6"/>
      <c r="H269" s="5"/>
      <c r="I269" s="6"/>
      <c r="J269" s="5"/>
      <c r="K269" s="4"/>
      <c r="L269" s="2"/>
      <c r="M269" s="2"/>
      <c r="U269" s="2"/>
      <c r="V269" s="2"/>
      <c r="W269" s="2"/>
      <c r="X269" s="2"/>
      <c r="Y269" s="2"/>
      <c r="Z269" s="2"/>
      <c r="AA269" s="2"/>
      <c r="AB269" s="2"/>
      <c r="AP269" s="8"/>
      <c r="AQ269" s="8"/>
      <c r="AR269" s="8"/>
      <c r="AS269" s="8"/>
      <c r="AT269" s="8"/>
      <c r="AU269" s="3"/>
      <c r="AV269" s="3"/>
      <c r="AW269" s="3"/>
    </row>
    <row r="270" spans="2:49" ht="21.75" customHeight="1" x14ac:dyDescent="0.35">
      <c r="B270" s="4"/>
      <c r="C270" s="7"/>
      <c r="D270" s="6"/>
      <c r="E270" s="6"/>
      <c r="F270" s="5"/>
      <c r="G270" s="6"/>
      <c r="H270" s="5"/>
      <c r="I270" s="6"/>
      <c r="J270" s="5"/>
      <c r="K270" s="4"/>
      <c r="L270" s="2"/>
      <c r="M270" s="2"/>
      <c r="U270" s="2"/>
      <c r="V270" s="2"/>
      <c r="W270" s="2"/>
      <c r="X270" s="2"/>
      <c r="Y270" s="2"/>
      <c r="Z270" s="2"/>
      <c r="AA270" s="2"/>
      <c r="AB270" s="2"/>
      <c r="AP270" s="8"/>
      <c r="AQ270" s="8"/>
      <c r="AR270" s="8"/>
      <c r="AS270" s="8"/>
      <c r="AT270" s="8"/>
      <c r="AU270" s="3"/>
      <c r="AV270" s="3"/>
      <c r="AW270" s="3"/>
    </row>
    <row r="271" spans="2:49" ht="21.75" customHeight="1" x14ac:dyDescent="0.35">
      <c r="B271" s="4"/>
      <c r="C271" s="7"/>
      <c r="D271" s="6"/>
      <c r="E271" s="6"/>
      <c r="F271" s="5"/>
      <c r="G271" s="6"/>
      <c r="H271" s="5"/>
      <c r="I271" s="6"/>
      <c r="J271" s="5"/>
      <c r="K271" s="4"/>
      <c r="L271" s="2"/>
      <c r="M271" s="2"/>
      <c r="U271" s="2"/>
      <c r="V271" s="2"/>
      <c r="W271" s="2"/>
      <c r="X271" s="2"/>
      <c r="Y271" s="2"/>
      <c r="Z271" s="2"/>
      <c r="AA271" s="2"/>
      <c r="AB271" s="2"/>
      <c r="AP271" s="8"/>
      <c r="AQ271" s="8"/>
      <c r="AR271" s="8"/>
      <c r="AS271" s="8"/>
      <c r="AT271" s="8"/>
      <c r="AU271" s="3"/>
      <c r="AV271" s="3"/>
      <c r="AW271" s="3"/>
    </row>
    <row r="272" spans="2:49" ht="21.75" customHeight="1" x14ac:dyDescent="0.35">
      <c r="B272" s="4"/>
      <c r="C272" s="7"/>
      <c r="D272" s="6"/>
      <c r="E272" s="6"/>
      <c r="F272" s="5"/>
      <c r="G272" s="6"/>
      <c r="H272" s="5"/>
      <c r="I272" s="6"/>
      <c r="J272" s="5"/>
      <c r="K272" s="4"/>
      <c r="L272" s="2"/>
      <c r="M272" s="2"/>
      <c r="U272" s="2"/>
      <c r="V272" s="2"/>
      <c r="W272" s="2"/>
      <c r="X272" s="2"/>
      <c r="Y272" s="2"/>
      <c r="Z272" s="2"/>
      <c r="AA272" s="2"/>
      <c r="AB272" s="2"/>
      <c r="AP272" s="8"/>
      <c r="AQ272" s="8"/>
      <c r="AR272" s="8"/>
      <c r="AS272" s="8"/>
      <c r="AT272" s="8"/>
      <c r="AU272" s="3"/>
      <c r="AV272" s="3"/>
      <c r="AW272" s="3"/>
    </row>
    <row r="273" spans="2:49" ht="21.75" customHeight="1" x14ac:dyDescent="0.35">
      <c r="B273" s="4"/>
      <c r="C273" s="7"/>
      <c r="D273" s="6"/>
      <c r="E273" s="6"/>
      <c r="F273" s="5"/>
      <c r="G273" s="6"/>
      <c r="H273" s="5"/>
      <c r="I273" s="6"/>
      <c r="J273" s="5"/>
      <c r="K273" s="4"/>
      <c r="L273" s="2"/>
      <c r="M273" s="2"/>
      <c r="U273" s="2"/>
      <c r="V273" s="2"/>
      <c r="W273" s="2"/>
      <c r="X273" s="2"/>
      <c r="Y273" s="2"/>
      <c r="Z273" s="2"/>
      <c r="AA273" s="2"/>
      <c r="AB273" s="2"/>
      <c r="AP273" s="8"/>
      <c r="AQ273" s="8"/>
      <c r="AR273" s="8"/>
      <c r="AS273" s="8"/>
      <c r="AT273" s="8"/>
      <c r="AU273" s="3"/>
      <c r="AV273" s="3"/>
      <c r="AW273" s="3"/>
    </row>
    <row r="274" spans="2:49" ht="21.75" customHeight="1" x14ac:dyDescent="0.35">
      <c r="B274" s="4"/>
      <c r="C274" s="7"/>
      <c r="D274" s="6"/>
      <c r="E274" s="6"/>
      <c r="F274" s="5"/>
      <c r="G274" s="6"/>
      <c r="H274" s="5"/>
      <c r="I274" s="6"/>
      <c r="J274" s="5"/>
      <c r="K274" s="4"/>
      <c r="L274" s="2"/>
      <c r="M274" s="2"/>
      <c r="U274" s="2"/>
      <c r="V274" s="2"/>
      <c r="W274" s="2"/>
      <c r="X274" s="2"/>
      <c r="Y274" s="2"/>
      <c r="Z274" s="2"/>
      <c r="AA274" s="2"/>
      <c r="AB274" s="2"/>
      <c r="AP274" s="8"/>
      <c r="AQ274" s="8"/>
      <c r="AR274" s="8"/>
      <c r="AS274" s="8"/>
      <c r="AT274" s="8"/>
      <c r="AU274" s="3"/>
      <c r="AV274" s="3"/>
      <c r="AW274" s="3"/>
    </row>
    <row r="275" spans="2:49" ht="21.75" customHeight="1" x14ac:dyDescent="0.35">
      <c r="B275" s="4"/>
      <c r="C275" s="7"/>
      <c r="D275" s="6"/>
      <c r="E275" s="6"/>
      <c r="F275" s="5"/>
      <c r="G275" s="6"/>
      <c r="H275" s="5"/>
      <c r="I275" s="6"/>
      <c r="J275" s="5"/>
      <c r="K275" s="4"/>
      <c r="L275" s="2"/>
      <c r="M275" s="2"/>
      <c r="U275" s="2"/>
      <c r="V275" s="2"/>
      <c r="W275" s="2"/>
      <c r="X275" s="2"/>
      <c r="Y275" s="2"/>
      <c r="Z275" s="2"/>
      <c r="AA275" s="2"/>
      <c r="AB275" s="2"/>
      <c r="AP275" s="8"/>
      <c r="AQ275" s="8"/>
      <c r="AR275" s="8"/>
      <c r="AS275" s="8"/>
      <c r="AT275" s="8"/>
      <c r="AU275" s="3"/>
      <c r="AV275" s="3"/>
      <c r="AW275" s="3"/>
    </row>
    <row r="276" spans="2:49" ht="21.75" customHeight="1" x14ac:dyDescent="0.35">
      <c r="B276" s="4"/>
      <c r="C276" s="7"/>
      <c r="D276" s="6"/>
      <c r="E276" s="6"/>
      <c r="F276" s="5"/>
      <c r="G276" s="6"/>
      <c r="H276" s="5"/>
      <c r="I276" s="6"/>
      <c r="J276" s="5"/>
      <c r="K276" s="4"/>
      <c r="L276" s="2"/>
      <c r="M276" s="2"/>
      <c r="U276" s="2"/>
      <c r="V276" s="2"/>
      <c r="W276" s="2"/>
      <c r="X276" s="2"/>
      <c r="Y276" s="2"/>
      <c r="Z276" s="2"/>
      <c r="AA276" s="2"/>
      <c r="AB276" s="2"/>
      <c r="AP276" s="8"/>
      <c r="AQ276" s="8"/>
      <c r="AR276" s="8"/>
      <c r="AS276" s="8"/>
      <c r="AT276" s="8"/>
      <c r="AU276" s="3"/>
      <c r="AV276" s="3"/>
      <c r="AW276" s="3"/>
    </row>
    <row r="277" spans="2:49" ht="21.75" customHeight="1" x14ac:dyDescent="0.35">
      <c r="B277" s="4"/>
      <c r="C277" s="7"/>
      <c r="D277" s="6"/>
      <c r="E277" s="6"/>
      <c r="F277" s="5"/>
      <c r="G277" s="6"/>
      <c r="H277" s="5"/>
      <c r="I277" s="6"/>
      <c r="J277" s="5"/>
      <c r="K277" s="4"/>
      <c r="L277" s="2"/>
      <c r="M277" s="2"/>
      <c r="U277" s="2"/>
      <c r="V277" s="2"/>
      <c r="W277" s="2"/>
      <c r="X277" s="2"/>
      <c r="Y277" s="2"/>
      <c r="Z277" s="2"/>
      <c r="AA277" s="2"/>
      <c r="AB277" s="2"/>
      <c r="AP277" s="8"/>
      <c r="AQ277" s="8"/>
      <c r="AR277" s="8"/>
      <c r="AS277" s="8"/>
      <c r="AT277" s="8"/>
      <c r="AU277" s="3"/>
      <c r="AV277" s="3"/>
      <c r="AW277" s="3"/>
    </row>
    <row r="278" spans="2:49" ht="21.75" customHeight="1" x14ac:dyDescent="0.35">
      <c r="B278" s="4"/>
      <c r="C278" s="7"/>
      <c r="D278" s="6"/>
      <c r="E278" s="6"/>
      <c r="F278" s="5"/>
      <c r="G278" s="6"/>
      <c r="H278" s="5"/>
      <c r="I278" s="6"/>
      <c r="J278" s="5"/>
      <c r="K278" s="4"/>
      <c r="L278" s="2"/>
      <c r="M278" s="2"/>
      <c r="U278" s="2"/>
      <c r="V278" s="2"/>
      <c r="W278" s="2"/>
      <c r="X278" s="2"/>
      <c r="Y278" s="2"/>
      <c r="Z278" s="2"/>
      <c r="AA278" s="2"/>
      <c r="AB278" s="2"/>
      <c r="AP278" s="8"/>
      <c r="AQ278" s="8"/>
      <c r="AR278" s="8"/>
      <c r="AS278" s="8"/>
      <c r="AT278" s="8"/>
      <c r="AU278" s="3"/>
      <c r="AV278" s="3"/>
      <c r="AW278" s="3"/>
    </row>
    <row r="279" spans="2:49" ht="21.75" customHeight="1" x14ac:dyDescent="0.35">
      <c r="B279" s="4"/>
      <c r="C279" s="7"/>
      <c r="D279" s="6"/>
      <c r="E279" s="6"/>
      <c r="F279" s="5"/>
      <c r="G279" s="6"/>
      <c r="H279" s="5"/>
      <c r="I279" s="6"/>
      <c r="J279" s="5"/>
      <c r="K279" s="4"/>
      <c r="L279" s="2"/>
      <c r="M279" s="2"/>
      <c r="U279" s="2"/>
      <c r="V279" s="2"/>
      <c r="W279" s="2"/>
      <c r="X279" s="2"/>
      <c r="Y279" s="2"/>
      <c r="Z279" s="2"/>
      <c r="AA279" s="2"/>
      <c r="AB279" s="2"/>
      <c r="AP279" s="8"/>
      <c r="AQ279" s="8"/>
      <c r="AR279" s="8"/>
      <c r="AS279" s="8"/>
      <c r="AT279" s="8"/>
      <c r="AU279" s="3"/>
      <c r="AV279" s="3"/>
      <c r="AW279" s="3"/>
    </row>
    <row r="280" spans="2:49" ht="21.75" customHeight="1" x14ac:dyDescent="0.35">
      <c r="B280" s="4"/>
      <c r="C280" s="7"/>
      <c r="D280" s="6"/>
      <c r="E280" s="6"/>
      <c r="F280" s="5"/>
      <c r="G280" s="6"/>
      <c r="H280" s="5"/>
      <c r="I280" s="6"/>
      <c r="J280" s="5"/>
      <c r="K280" s="4"/>
      <c r="L280" s="2"/>
      <c r="M280" s="2"/>
      <c r="U280" s="2"/>
      <c r="V280" s="2"/>
      <c r="W280" s="2"/>
      <c r="X280" s="2"/>
      <c r="Y280" s="2"/>
      <c r="Z280" s="2"/>
      <c r="AA280" s="2"/>
      <c r="AB280" s="2"/>
      <c r="AP280" s="8"/>
      <c r="AQ280" s="8"/>
      <c r="AR280" s="8"/>
      <c r="AS280" s="8"/>
      <c r="AT280" s="8"/>
      <c r="AU280" s="3"/>
      <c r="AV280" s="3"/>
      <c r="AW280" s="3"/>
    </row>
    <row r="281" spans="2:49" ht="21.75" customHeight="1" x14ac:dyDescent="0.35">
      <c r="B281" s="4"/>
      <c r="C281" s="7"/>
      <c r="D281" s="6"/>
      <c r="E281" s="6"/>
      <c r="F281" s="5"/>
      <c r="G281" s="6"/>
      <c r="H281" s="5"/>
      <c r="I281" s="6"/>
      <c r="J281" s="5"/>
      <c r="K281" s="4"/>
      <c r="L281" s="2"/>
      <c r="M281" s="2"/>
      <c r="U281" s="2"/>
      <c r="V281" s="2"/>
      <c r="W281" s="2"/>
      <c r="X281" s="2"/>
      <c r="Y281" s="2"/>
      <c r="Z281" s="2"/>
      <c r="AA281" s="2"/>
      <c r="AB281" s="2"/>
      <c r="AP281" s="8"/>
      <c r="AQ281" s="8"/>
      <c r="AR281" s="8"/>
      <c r="AS281" s="8"/>
      <c r="AT281" s="8"/>
      <c r="AU281" s="3"/>
      <c r="AV281" s="3"/>
      <c r="AW281" s="3"/>
    </row>
    <row r="282" spans="2:49" ht="21.75" customHeight="1" x14ac:dyDescent="0.35">
      <c r="B282" s="4"/>
      <c r="C282" s="7"/>
      <c r="D282" s="6"/>
      <c r="E282" s="6"/>
      <c r="F282" s="5"/>
      <c r="G282" s="6"/>
      <c r="H282" s="5"/>
      <c r="I282" s="6"/>
      <c r="J282" s="5"/>
      <c r="K282" s="4"/>
      <c r="L282" s="2"/>
      <c r="M282" s="2"/>
      <c r="U282" s="2"/>
      <c r="V282" s="2"/>
      <c r="W282" s="2"/>
      <c r="X282" s="2"/>
      <c r="Y282" s="2"/>
      <c r="Z282" s="2"/>
      <c r="AA282" s="2"/>
      <c r="AB282" s="2"/>
      <c r="AP282" s="8"/>
      <c r="AQ282" s="8"/>
      <c r="AR282" s="8"/>
      <c r="AS282" s="8"/>
      <c r="AT282" s="8"/>
      <c r="AU282" s="3"/>
      <c r="AV282" s="3"/>
      <c r="AW282" s="3"/>
    </row>
    <row r="283" spans="2:49" ht="21.75" customHeight="1" x14ac:dyDescent="0.35">
      <c r="B283" s="4"/>
      <c r="C283" s="7"/>
      <c r="D283" s="6"/>
      <c r="E283" s="6"/>
      <c r="F283" s="5"/>
      <c r="G283" s="6"/>
      <c r="H283" s="5"/>
      <c r="I283" s="6"/>
      <c r="J283" s="5"/>
      <c r="K283" s="4"/>
      <c r="L283" s="2"/>
      <c r="M283" s="2"/>
      <c r="U283" s="2"/>
      <c r="V283" s="2"/>
      <c r="W283" s="2"/>
      <c r="X283" s="2"/>
      <c r="Y283" s="2"/>
      <c r="Z283" s="2"/>
      <c r="AA283" s="2"/>
      <c r="AB283" s="2"/>
      <c r="AP283" s="8"/>
      <c r="AQ283" s="8"/>
      <c r="AR283" s="8"/>
      <c r="AS283" s="8"/>
      <c r="AT283" s="8"/>
      <c r="AU283" s="3"/>
      <c r="AV283" s="3"/>
      <c r="AW283" s="3"/>
    </row>
    <row r="284" spans="2:49" ht="21.75" customHeight="1" x14ac:dyDescent="0.35">
      <c r="B284" s="4"/>
      <c r="C284" s="7"/>
      <c r="D284" s="6"/>
      <c r="E284" s="6"/>
      <c r="F284" s="5"/>
      <c r="G284" s="6"/>
      <c r="H284" s="5"/>
      <c r="I284" s="6"/>
      <c r="J284" s="5"/>
      <c r="K284" s="4"/>
      <c r="L284" s="2"/>
      <c r="M284" s="2"/>
      <c r="U284" s="2"/>
      <c r="V284" s="2"/>
      <c r="W284" s="2"/>
      <c r="X284" s="2"/>
      <c r="Y284" s="2"/>
      <c r="Z284" s="2"/>
      <c r="AA284" s="2"/>
      <c r="AB284" s="2"/>
      <c r="AP284" s="8"/>
      <c r="AQ284" s="8"/>
      <c r="AR284" s="8"/>
      <c r="AS284" s="8"/>
      <c r="AT284" s="8"/>
      <c r="AU284" s="3"/>
      <c r="AV284" s="3"/>
      <c r="AW284" s="3"/>
    </row>
    <row r="285" spans="2:49" ht="21.75" customHeight="1" x14ac:dyDescent="0.35">
      <c r="B285" s="4"/>
      <c r="C285" s="7"/>
      <c r="D285" s="6"/>
      <c r="E285" s="6"/>
      <c r="F285" s="5"/>
      <c r="G285" s="6"/>
      <c r="H285" s="5"/>
      <c r="I285" s="6"/>
      <c r="J285" s="5"/>
      <c r="K285" s="4"/>
      <c r="L285" s="2"/>
      <c r="M285" s="2"/>
      <c r="U285" s="2"/>
      <c r="V285" s="2"/>
      <c r="W285" s="2"/>
      <c r="X285" s="2"/>
      <c r="Y285" s="2"/>
      <c r="Z285" s="2"/>
      <c r="AA285" s="2"/>
      <c r="AB285" s="2"/>
      <c r="AP285" s="8"/>
      <c r="AQ285" s="8"/>
      <c r="AR285" s="8"/>
      <c r="AS285" s="8"/>
      <c r="AT285" s="8"/>
      <c r="AU285" s="3"/>
      <c r="AV285" s="3"/>
      <c r="AW285" s="3"/>
    </row>
    <row r="286" spans="2:49" ht="21.75" customHeight="1" x14ac:dyDescent="0.35">
      <c r="B286" s="4"/>
      <c r="C286" s="7"/>
      <c r="D286" s="6"/>
      <c r="E286" s="6"/>
      <c r="F286" s="5"/>
      <c r="G286" s="6"/>
      <c r="H286" s="5"/>
      <c r="I286" s="6"/>
      <c r="J286" s="5"/>
      <c r="K286" s="4"/>
      <c r="L286" s="2"/>
      <c r="M286" s="2"/>
      <c r="U286" s="2"/>
      <c r="V286" s="2"/>
      <c r="W286" s="2"/>
      <c r="X286" s="2"/>
      <c r="Y286" s="2"/>
      <c r="Z286" s="2"/>
      <c r="AA286" s="2"/>
      <c r="AB286" s="2"/>
      <c r="AP286" s="8"/>
      <c r="AQ286" s="8"/>
      <c r="AR286" s="8"/>
      <c r="AS286" s="8"/>
      <c r="AT286" s="8"/>
      <c r="AU286" s="3"/>
      <c r="AV286" s="3"/>
      <c r="AW286" s="3"/>
    </row>
    <row r="287" spans="2:49" ht="21.75" customHeight="1" x14ac:dyDescent="0.35">
      <c r="B287" s="4"/>
      <c r="C287" s="7"/>
      <c r="D287" s="6"/>
      <c r="E287" s="6"/>
      <c r="F287" s="5"/>
      <c r="G287" s="6"/>
      <c r="H287" s="5"/>
      <c r="I287" s="6"/>
      <c r="J287" s="5"/>
      <c r="K287" s="4"/>
      <c r="L287" s="2"/>
      <c r="M287" s="2"/>
      <c r="U287" s="2"/>
      <c r="V287" s="2"/>
      <c r="W287" s="2"/>
      <c r="X287" s="2"/>
      <c r="Y287" s="2"/>
      <c r="Z287" s="2"/>
      <c r="AA287" s="2"/>
      <c r="AB287" s="2"/>
      <c r="AP287" s="8"/>
      <c r="AQ287" s="8"/>
      <c r="AR287" s="8"/>
      <c r="AS287" s="8"/>
      <c r="AT287" s="8"/>
      <c r="AU287" s="3"/>
      <c r="AV287" s="3"/>
      <c r="AW287" s="3"/>
    </row>
    <row r="288" spans="2:49" ht="21.75" customHeight="1" x14ac:dyDescent="0.35">
      <c r="B288" s="4"/>
      <c r="C288" s="7"/>
      <c r="D288" s="6"/>
      <c r="E288" s="6"/>
      <c r="F288" s="5"/>
      <c r="G288" s="6"/>
      <c r="H288" s="5"/>
      <c r="I288" s="6"/>
      <c r="J288" s="5"/>
      <c r="K288" s="4"/>
      <c r="L288" s="2"/>
      <c r="M288" s="2"/>
      <c r="U288" s="2"/>
      <c r="V288" s="2"/>
      <c r="W288" s="2"/>
      <c r="X288" s="2"/>
      <c r="Y288" s="2"/>
      <c r="Z288" s="2"/>
      <c r="AA288" s="2"/>
      <c r="AB288" s="2"/>
      <c r="AP288" s="8"/>
      <c r="AQ288" s="8"/>
      <c r="AR288" s="8"/>
      <c r="AS288" s="8"/>
      <c r="AT288" s="8"/>
      <c r="AU288" s="3"/>
      <c r="AV288" s="3"/>
      <c r="AW288" s="3"/>
    </row>
    <row r="289" spans="2:49" ht="21.75" customHeight="1" x14ac:dyDescent="0.35">
      <c r="B289" s="4"/>
      <c r="C289" s="7"/>
      <c r="D289" s="6"/>
      <c r="E289" s="6"/>
      <c r="F289" s="5"/>
      <c r="G289" s="6"/>
      <c r="H289" s="5"/>
      <c r="I289" s="6"/>
      <c r="J289" s="5"/>
      <c r="K289" s="4"/>
      <c r="L289" s="2"/>
      <c r="M289" s="2"/>
      <c r="U289" s="2"/>
      <c r="V289" s="2"/>
      <c r="W289" s="2"/>
      <c r="X289" s="2"/>
      <c r="Y289" s="2"/>
      <c r="Z289" s="2"/>
      <c r="AA289" s="2"/>
      <c r="AB289" s="2"/>
      <c r="AP289" s="8"/>
      <c r="AQ289" s="8"/>
      <c r="AR289" s="8"/>
      <c r="AS289" s="8"/>
      <c r="AT289" s="8"/>
      <c r="AU289" s="3"/>
      <c r="AV289" s="3"/>
      <c r="AW289" s="3"/>
    </row>
    <row r="290" spans="2:49" ht="21.75" customHeight="1" x14ac:dyDescent="0.35">
      <c r="B290" s="4"/>
      <c r="C290" s="7"/>
      <c r="D290" s="6"/>
      <c r="E290" s="6"/>
      <c r="F290" s="5"/>
      <c r="G290" s="6"/>
      <c r="H290" s="5"/>
      <c r="I290" s="6"/>
      <c r="J290" s="5"/>
      <c r="K290" s="4"/>
      <c r="L290" s="2"/>
      <c r="M290" s="2"/>
      <c r="U290" s="2"/>
      <c r="V290" s="2"/>
      <c r="W290" s="2"/>
      <c r="X290" s="2"/>
      <c r="Y290" s="2"/>
      <c r="Z290" s="2"/>
      <c r="AA290" s="2"/>
      <c r="AB290" s="2"/>
      <c r="AP290" s="8"/>
      <c r="AQ290" s="8"/>
      <c r="AR290" s="8"/>
      <c r="AS290" s="8"/>
      <c r="AT290" s="8"/>
      <c r="AU290" s="3"/>
      <c r="AV290" s="3"/>
      <c r="AW290" s="3"/>
    </row>
    <row r="291" spans="2:49" ht="21.75" customHeight="1" x14ac:dyDescent="0.35">
      <c r="B291" s="4"/>
      <c r="C291" s="7"/>
      <c r="D291" s="6"/>
      <c r="E291" s="6"/>
      <c r="F291" s="5"/>
      <c r="G291" s="6"/>
      <c r="H291" s="5"/>
      <c r="I291" s="6"/>
      <c r="J291" s="5"/>
      <c r="K291" s="4"/>
      <c r="L291" s="2"/>
      <c r="M291" s="2"/>
      <c r="U291" s="2"/>
      <c r="V291" s="2"/>
      <c r="W291" s="2"/>
      <c r="X291" s="2"/>
      <c r="Y291" s="2"/>
      <c r="Z291" s="2"/>
      <c r="AA291" s="2"/>
      <c r="AB291" s="2"/>
      <c r="AP291" s="8"/>
      <c r="AQ291" s="8"/>
      <c r="AR291" s="8"/>
      <c r="AS291" s="8"/>
      <c r="AT291" s="8"/>
      <c r="AU291" s="3"/>
      <c r="AV291" s="3"/>
      <c r="AW291" s="3"/>
    </row>
    <row r="292" spans="2:49" ht="21.75" customHeight="1" x14ac:dyDescent="0.35">
      <c r="B292" s="4"/>
      <c r="C292" s="7"/>
      <c r="D292" s="6"/>
      <c r="E292" s="6"/>
      <c r="F292" s="5"/>
      <c r="G292" s="6"/>
      <c r="H292" s="5"/>
      <c r="I292" s="6"/>
      <c r="J292" s="5"/>
      <c r="K292" s="4"/>
      <c r="L292" s="2"/>
      <c r="M292" s="2"/>
      <c r="U292" s="2"/>
      <c r="V292" s="2"/>
      <c r="W292" s="2"/>
      <c r="X292" s="2"/>
      <c r="Y292" s="2"/>
      <c r="Z292" s="2"/>
      <c r="AA292" s="2"/>
      <c r="AB292" s="2"/>
      <c r="AP292" s="8"/>
      <c r="AQ292" s="8"/>
      <c r="AR292" s="8"/>
      <c r="AS292" s="8"/>
      <c r="AT292" s="8"/>
      <c r="AU292" s="3"/>
      <c r="AV292" s="3"/>
      <c r="AW292" s="3"/>
    </row>
    <row r="293" spans="2:49" ht="21.75" customHeight="1" x14ac:dyDescent="0.35">
      <c r="B293" s="4"/>
      <c r="C293" s="7"/>
      <c r="D293" s="6"/>
      <c r="E293" s="6"/>
      <c r="F293" s="5"/>
      <c r="G293" s="6"/>
      <c r="H293" s="5"/>
      <c r="I293" s="6"/>
      <c r="J293" s="5"/>
      <c r="K293" s="4"/>
      <c r="L293" s="2"/>
      <c r="M293" s="2"/>
      <c r="U293" s="2"/>
      <c r="V293" s="2"/>
      <c r="W293" s="2"/>
      <c r="X293" s="2"/>
      <c r="Y293" s="2"/>
      <c r="Z293" s="2"/>
      <c r="AA293" s="2"/>
      <c r="AB293" s="2"/>
      <c r="AP293" s="8"/>
      <c r="AQ293" s="8"/>
      <c r="AR293" s="8"/>
      <c r="AS293" s="8"/>
      <c r="AT293" s="8"/>
      <c r="AU293" s="3"/>
      <c r="AV293" s="3"/>
      <c r="AW293" s="3"/>
    </row>
    <row r="294" spans="2:49" ht="21.75" customHeight="1" x14ac:dyDescent="0.35">
      <c r="B294" s="4"/>
      <c r="C294" s="7"/>
      <c r="D294" s="6"/>
      <c r="E294" s="6"/>
      <c r="F294" s="5"/>
      <c r="G294" s="6"/>
      <c r="H294" s="5"/>
      <c r="I294" s="6"/>
      <c r="J294" s="5"/>
      <c r="K294" s="4"/>
      <c r="L294" s="2"/>
      <c r="M294" s="2"/>
      <c r="U294" s="2"/>
      <c r="V294" s="2"/>
      <c r="W294" s="2"/>
      <c r="X294" s="2"/>
      <c r="Y294" s="2"/>
      <c r="Z294" s="2"/>
      <c r="AA294" s="2"/>
      <c r="AB294" s="2"/>
      <c r="AP294" s="8"/>
      <c r="AQ294" s="8"/>
      <c r="AR294" s="8"/>
      <c r="AS294" s="8"/>
      <c r="AT294" s="8"/>
      <c r="AU294" s="3"/>
      <c r="AV294" s="3"/>
      <c r="AW294" s="3"/>
    </row>
    <row r="295" spans="2:49" ht="21.75" customHeight="1" x14ac:dyDescent="0.35">
      <c r="B295" s="4"/>
      <c r="C295" s="7"/>
      <c r="D295" s="6"/>
      <c r="E295" s="6"/>
      <c r="F295" s="5"/>
      <c r="G295" s="6"/>
      <c r="H295" s="5"/>
      <c r="I295" s="6"/>
      <c r="J295" s="5"/>
      <c r="K295" s="4"/>
      <c r="L295" s="2"/>
      <c r="M295" s="2"/>
      <c r="U295" s="2"/>
      <c r="V295" s="2"/>
      <c r="W295" s="2"/>
      <c r="X295" s="2"/>
      <c r="Y295" s="2"/>
      <c r="Z295" s="2"/>
      <c r="AA295" s="2"/>
      <c r="AB295" s="2"/>
      <c r="AP295" s="8"/>
      <c r="AQ295" s="8"/>
      <c r="AR295" s="8"/>
      <c r="AS295" s="8"/>
      <c r="AT295" s="8"/>
      <c r="AU295" s="3"/>
      <c r="AV295" s="3"/>
      <c r="AW295" s="3"/>
    </row>
    <row r="296" spans="2:49" ht="21.75" customHeight="1" x14ac:dyDescent="0.35">
      <c r="B296" s="4"/>
      <c r="C296" s="7"/>
      <c r="D296" s="6"/>
      <c r="E296" s="6"/>
      <c r="F296" s="5"/>
      <c r="G296" s="6"/>
      <c r="H296" s="5"/>
      <c r="I296" s="6"/>
      <c r="J296" s="5"/>
      <c r="K296" s="4"/>
      <c r="L296" s="2"/>
      <c r="M296" s="2"/>
      <c r="U296" s="2"/>
      <c r="V296" s="2"/>
      <c r="W296" s="2"/>
      <c r="X296" s="2"/>
      <c r="Y296" s="2"/>
      <c r="Z296" s="2"/>
      <c r="AA296" s="2"/>
      <c r="AB296" s="2"/>
      <c r="AP296" s="8"/>
      <c r="AQ296" s="8"/>
      <c r="AR296" s="8"/>
      <c r="AS296" s="8"/>
      <c r="AT296" s="8"/>
      <c r="AU296" s="3"/>
      <c r="AV296" s="3"/>
      <c r="AW296" s="3"/>
    </row>
    <row r="297" spans="2:49" ht="21.75" customHeight="1" x14ac:dyDescent="0.35">
      <c r="B297" s="4"/>
      <c r="C297" s="7"/>
      <c r="D297" s="6"/>
      <c r="E297" s="6"/>
      <c r="F297" s="5"/>
      <c r="G297" s="6"/>
      <c r="H297" s="5"/>
      <c r="I297" s="6"/>
      <c r="J297" s="5"/>
      <c r="K297" s="4"/>
      <c r="L297" s="2"/>
      <c r="M297" s="2"/>
      <c r="U297" s="2"/>
      <c r="V297" s="2"/>
      <c r="W297" s="2"/>
      <c r="X297" s="2"/>
      <c r="Y297" s="2"/>
      <c r="Z297" s="2"/>
      <c r="AA297" s="2"/>
      <c r="AB297" s="2"/>
      <c r="AP297" s="8"/>
      <c r="AQ297" s="8"/>
      <c r="AR297" s="8"/>
      <c r="AS297" s="8"/>
      <c r="AT297" s="8"/>
      <c r="AU297" s="3"/>
      <c r="AV297" s="3"/>
      <c r="AW297" s="3"/>
    </row>
    <row r="298" spans="2:49" ht="21.75" customHeight="1" x14ac:dyDescent="0.35">
      <c r="B298" s="4"/>
      <c r="C298" s="7"/>
      <c r="D298" s="6"/>
      <c r="E298" s="6"/>
      <c r="F298" s="5"/>
      <c r="G298" s="6"/>
      <c r="H298" s="5"/>
      <c r="I298" s="6"/>
      <c r="J298" s="5"/>
      <c r="K298" s="4"/>
      <c r="L298" s="2"/>
      <c r="M298" s="2"/>
      <c r="U298" s="2"/>
      <c r="V298" s="2"/>
      <c r="W298" s="2"/>
      <c r="X298" s="2"/>
      <c r="Y298" s="2"/>
      <c r="Z298" s="2"/>
      <c r="AA298" s="2"/>
      <c r="AB298" s="2"/>
      <c r="AP298" s="8"/>
      <c r="AQ298" s="8"/>
      <c r="AR298" s="8"/>
      <c r="AS298" s="8"/>
      <c r="AT298" s="8"/>
      <c r="AU298" s="3"/>
      <c r="AV298" s="3"/>
      <c r="AW298" s="3"/>
    </row>
    <row r="299" spans="2:49" ht="21.75" customHeight="1" x14ac:dyDescent="0.35">
      <c r="B299" s="4"/>
      <c r="C299" s="7"/>
      <c r="D299" s="6"/>
      <c r="E299" s="6"/>
      <c r="F299" s="5"/>
      <c r="G299" s="6"/>
      <c r="H299" s="5"/>
      <c r="I299" s="6"/>
      <c r="J299" s="5"/>
      <c r="K299" s="4"/>
      <c r="L299" s="2"/>
      <c r="M299" s="2"/>
      <c r="U299" s="2"/>
      <c r="V299" s="2"/>
      <c r="W299" s="2"/>
      <c r="X299" s="2"/>
      <c r="Y299" s="2"/>
      <c r="Z299" s="2"/>
      <c r="AA299" s="2"/>
      <c r="AB299" s="2"/>
      <c r="AP299" s="8"/>
      <c r="AQ299" s="8"/>
      <c r="AR299" s="8"/>
      <c r="AS299" s="8"/>
      <c r="AT299" s="8"/>
      <c r="AU299" s="3"/>
      <c r="AV299" s="3"/>
      <c r="AW299" s="3"/>
    </row>
    <row r="300" spans="2:49" ht="21.75" customHeight="1" x14ac:dyDescent="0.35">
      <c r="B300" s="4"/>
      <c r="C300" s="7"/>
      <c r="D300" s="6"/>
      <c r="E300" s="6"/>
      <c r="F300" s="5"/>
      <c r="G300" s="6"/>
      <c r="H300" s="5"/>
      <c r="I300" s="6"/>
      <c r="J300" s="5"/>
      <c r="K300" s="4"/>
      <c r="L300" s="2"/>
      <c r="M300" s="2"/>
      <c r="U300" s="2"/>
      <c r="V300" s="2"/>
      <c r="W300" s="2"/>
      <c r="X300" s="2"/>
      <c r="Y300" s="2"/>
      <c r="Z300" s="2"/>
      <c r="AA300" s="2"/>
      <c r="AB300" s="2"/>
      <c r="AP300" s="8"/>
      <c r="AQ300" s="8"/>
      <c r="AR300" s="8"/>
      <c r="AS300" s="8"/>
      <c r="AT300" s="8"/>
      <c r="AU300" s="3"/>
      <c r="AV300" s="3"/>
      <c r="AW300" s="3"/>
    </row>
    <row r="301" spans="2:49" ht="21.75" customHeight="1" x14ac:dyDescent="0.35">
      <c r="B301" s="4"/>
      <c r="C301" s="7"/>
      <c r="D301" s="6"/>
      <c r="E301" s="6"/>
      <c r="F301" s="5"/>
      <c r="G301" s="6"/>
      <c r="H301" s="5"/>
      <c r="I301" s="6"/>
      <c r="J301" s="5"/>
      <c r="K301" s="4"/>
      <c r="L301" s="2"/>
      <c r="M301" s="2"/>
      <c r="U301" s="2"/>
      <c r="V301" s="2"/>
      <c r="W301" s="2"/>
      <c r="X301" s="2"/>
      <c r="Y301" s="2"/>
      <c r="Z301" s="2"/>
      <c r="AA301" s="2"/>
      <c r="AB301" s="2"/>
      <c r="AP301" s="8"/>
      <c r="AQ301" s="8"/>
      <c r="AR301" s="8"/>
      <c r="AS301" s="8"/>
      <c r="AT301" s="8"/>
      <c r="AU301" s="3"/>
      <c r="AV301" s="3"/>
      <c r="AW301" s="3"/>
    </row>
    <row r="302" spans="2:49" ht="21.75" customHeight="1" x14ac:dyDescent="0.35">
      <c r="B302" s="4"/>
      <c r="C302" s="7"/>
      <c r="D302" s="6"/>
      <c r="E302" s="6"/>
      <c r="F302" s="5"/>
      <c r="G302" s="6"/>
      <c r="H302" s="5"/>
      <c r="I302" s="6"/>
      <c r="J302" s="5"/>
      <c r="K302" s="4"/>
      <c r="L302" s="2"/>
      <c r="M302" s="2"/>
      <c r="U302" s="2"/>
      <c r="V302" s="2"/>
      <c r="W302" s="2"/>
      <c r="X302" s="2"/>
      <c r="Y302" s="2"/>
      <c r="Z302" s="2"/>
      <c r="AA302" s="2"/>
      <c r="AB302" s="2"/>
      <c r="AP302" s="8"/>
      <c r="AQ302" s="8"/>
      <c r="AR302" s="8"/>
      <c r="AS302" s="8"/>
      <c r="AT302" s="8"/>
      <c r="AU302" s="3"/>
      <c r="AV302" s="3"/>
      <c r="AW302" s="3"/>
    </row>
    <row r="303" spans="2:49" ht="21.75" customHeight="1" x14ac:dyDescent="0.35">
      <c r="B303" s="4"/>
      <c r="C303" s="7"/>
      <c r="D303" s="6"/>
      <c r="E303" s="6"/>
      <c r="F303" s="5"/>
      <c r="G303" s="6"/>
      <c r="H303" s="5"/>
      <c r="I303" s="6"/>
      <c r="J303" s="5"/>
      <c r="K303" s="4"/>
      <c r="L303" s="2"/>
      <c r="M303" s="2"/>
      <c r="U303" s="2"/>
      <c r="V303" s="2"/>
      <c r="W303" s="2"/>
      <c r="X303" s="2"/>
      <c r="Y303" s="2"/>
      <c r="Z303" s="2"/>
      <c r="AA303" s="2"/>
      <c r="AB303" s="2"/>
      <c r="AP303" s="8"/>
      <c r="AQ303" s="8"/>
      <c r="AR303" s="8"/>
      <c r="AS303" s="8"/>
      <c r="AT303" s="8"/>
      <c r="AU303" s="3"/>
      <c r="AV303" s="3"/>
      <c r="AW303" s="3"/>
    </row>
    <row r="304" spans="2:49" ht="21.75" customHeight="1" x14ac:dyDescent="0.35">
      <c r="B304" s="4"/>
      <c r="C304" s="7"/>
      <c r="D304" s="6"/>
      <c r="E304" s="6"/>
      <c r="F304" s="5"/>
      <c r="G304" s="6"/>
      <c r="H304" s="5"/>
      <c r="I304" s="6"/>
      <c r="J304" s="5"/>
      <c r="K304" s="4"/>
      <c r="L304" s="2"/>
      <c r="M304" s="2"/>
      <c r="U304" s="2"/>
      <c r="V304" s="2"/>
      <c r="W304" s="2"/>
      <c r="X304" s="2"/>
      <c r="Y304" s="2"/>
      <c r="Z304" s="2"/>
      <c r="AA304" s="2"/>
      <c r="AB304" s="2"/>
      <c r="AP304" s="8"/>
      <c r="AQ304" s="8"/>
      <c r="AR304" s="8"/>
      <c r="AS304" s="8"/>
      <c r="AT304" s="8"/>
      <c r="AU304" s="3"/>
      <c r="AV304" s="3"/>
      <c r="AW304" s="3"/>
    </row>
    <row r="305" spans="2:49" ht="21.75" customHeight="1" x14ac:dyDescent="0.35">
      <c r="B305" s="4"/>
      <c r="C305" s="7"/>
      <c r="D305" s="6"/>
      <c r="E305" s="6"/>
      <c r="F305" s="5"/>
      <c r="G305" s="6"/>
      <c r="H305" s="5"/>
      <c r="I305" s="6"/>
      <c r="J305" s="5"/>
      <c r="K305" s="4"/>
      <c r="L305" s="2"/>
      <c r="M305" s="2"/>
      <c r="U305" s="2"/>
      <c r="V305" s="2"/>
      <c r="W305" s="2"/>
      <c r="X305" s="2"/>
      <c r="Y305" s="2"/>
      <c r="Z305" s="2"/>
      <c r="AA305" s="2"/>
      <c r="AB305" s="2"/>
      <c r="AP305" s="8"/>
      <c r="AQ305" s="8"/>
      <c r="AR305" s="8"/>
      <c r="AS305" s="8"/>
      <c r="AT305" s="8"/>
      <c r="AU305" s="3"/>
      <c r="AV305" s="3"/>
      <c r="AW305" s="3"/>
    </row>
    <row r="306" spans="2:49" ht="21.75" customHeight="1" x14ac:dyDescent="0.35">
      <c r="B306" s="4"/>
      <c r="C306" s="7"/>
      <c r="D306" s="6"/>
      <c r="E306" s="6"/>
      <c r="F306" s="5"/>
      <c r="G306" s="6"/>
      <c r="H306" s="5"/>
      <c r="I306" s="6"/>
      <c r="J306" s="5"/>
      <c r="K306" s="4"/>
      <c r="L306" s="2"/>
      <c r="M306" s="2"/>
      <c r="U306" s="2"/>
      <c r="V306" s="2"/>
      <c r="W306" s="2"/>
      <c r="X306" s="2"/>
      <c r="Y306" s="2"/>
      <c r="Z306" s="2"/>
      <c r="AA306" s="2"/>
      <c r="AB306" s="2"/>
      <c r="AP306" s="8"/>
      <c r="AQ306" s="8"/>
      <c r="AR306" s="8"/>
      <c r="AS306" s="8"/>
      <c r="AT306" s="8"/>
      <c r="AU306" s="3"/>
      <c r="AV306" s="3"/>
      <c r="AW306" s="3"/>
    </row>
    <row r="307" spans="2:49" ht="21.75" customHeight="1" x14ac:dyDescent="0.35">
      <c r="B307" s="4"/>
      <c r="C307" s="7"/>
      <c r="D307" s="6"/>
      <c r="E307" s="6"/>
      <c r="F307" s="5"/>
      <c r="G307" s="6"/>
      <c r="H307" s="5"/>
      <c r="I307" s="6"/>
      <c r="J307" s="5"/>
      <c r="K307" s="4"/>
      <c r="L307" s="2"/>
      <c r="M307" s="2"/>
      <c r="U307" s="2"/>
      <c r="V307" s="2"/>
      <c r="W307" s="2"/>
      <c r="X307" s="2"/>
      <c r="Y307" s="2"/>
      <c r="Z307" s="2"/>
      <c r="AA307" s="2"/>
      <c r="AB307" s="2"/>
      <c r="AP307" s="8"/>
      <c r="AQ307" s="8"/>
      <c r="AR307" s="8"/>
      <c r="AS307" s="8"/>
      <c r="AT307" s="8"/>
      <c r="AU307" s="3"/>
      <c r="AV307" s="3"/>
      <c r="AW307" s="3"/>
    </row>
    <row r="308" spans="2:49" ht="21.75" customHeight="1" x14ac:dyDescent="0.35">
      <c r="B308" s="4"/>
      <c r="C308" s="7"/>
      <c r="D308" s="6"/>
      <c r="E308" s="6"/>
      <c r="F308" s="5"/>
      <c r="G308" s="6"/>
      <c r="H308" s="5"/>
      <c r="I308" s="6"/>
      <c r="J308" s="5"/>
      <c r="K308" s="4"/>
      <c r="L308" s="2"/>
      <c r="M308" s="2"/>
      <c r="U308" s="2"/>
      <c r="V308" s="2"/>
      <c r="W308" s="2"/>
      <c r="X308" s="2"/>
      <c r="Y308" s="2"/>
      <c r="Z308" s="2"/>
      <c r="AA308" s="2"/>
      <c r="AB308" s="2"/>
      <c r="AP308" s="8"/>
      <c r="AQ308" s="8"/>
      <c r="AR308" s="8"/>
      <c r="AS308" s="8"/>
      <c r="AT308" s="8"/>
      <c r="AU308" s="3"/>
      <c r="AV308" s="3"/>
      <c r="AW308" s="3"/>
    </row>
    <row r="309" spans="2:49" ht="21.75" customHeight="1" x14ac:dyDescent="0.35">
      <c r="B309" s="4"/>
      <c r="C309" s="7"/>
      <c r="D309" s="6"/>
      <c r="E309" s="6"/>
      <c r="F309" s="5"/>
      <c r="G309" s="6"/>
      <c r="H309" s="5"/>
      <c r="I309" s="6"/>
      <c r="J309" s="5"/>
      <c r="K309" s="4"/>
      <c r="L309" s="2"/>
      <c r="M309" s="2"/>
      <c r="U309" s="2"/>
      <c r="V309" s="2"/>
      <c r="W309" s="2"/>
      <c r="X309" s="2"/>
      <c r="Y309" s="2"/>
      <c r="Z309" s="2"/>
      <c r="AA309" s="2"/>
      <c r="AB309" s="2"/>
      <c r="AP309" s="8"/>
      <c r="AQ309" s="8"/>
      <c r="AR309" s="8"/>
      <c r="AS309" s="8"/>
      <c r="AT309" s="8"/>
      <c r="AU309" s="3"/>
      <c r="AV309" s="3"/>
      <c r="AW309" s="3"/>
    </row>
    <row r="310" spans="2:49" ht="21.75" customHeight="1" x14ac:dyDescent="0.35">
      <c r="B310" s="4"/>
      <c r="C310" s="7"/>
      <c r="D310" s="6"/>
      <c r="E310" s="6"/>
      <c r="F310" s="5"/>
      <c r="G310" s="6"/>
      <c r="H310" s="5"/>
      <c r="I310" s="6"/>
      <c r="J310" s="5"/>
      <c r="K310" s="4"/>
      <c r="L310" s="2"/>
      <c r="M310" s="2"/>
      <c r="U310" s="2"/>
      <c r="V310" s="2"/>
      <c r="W310" s="2"/>
      <c r="X310" s="2"/>
      <c r="Y310" s="2"/>
      <c r="Z310" s="2"/>
      <c r="AA310" s="2"/>
      <c r="AB310" s="2"/>
      <c r="AP310" s="8"/>
      <c r="AQ310" s="8"/>
      <c r="AR310" s="8"/>
      <c r="AS310" s="8"/>
      <c r="AT310" s="8"/>
      <c r="AU310" s="3"/>
      <c r="AV310" s="3"/>
      <c r="AW310" s="3"/>
    </row>
    <row r="311" spans="2:49" ht="21.75" customHeight="1" x14ac:dyDescent="0.35">
      <c r="B311" s="4"/>
      <c r="C311" s="7"/>
      <c r="D311" s="6"/>
      <c r="E311" s="6"/>
      <c r="F311" s="5"/>
      <c r="G311" s="6"/>
      <c r="H311" s="5"/>
      <c r="I311" s="6"/>
      <c r="J311" s="5"/>
      <c r="K311" s="4"/>
      <c r="L311" s="2"/>
      <c r="M311" s="2"/>
      <c r="U311" s="2"/>
      <c r="V311" s="2"/>
      <c r="W311" s="2"/>
      <c r="X311" s="2"/>
      <c r="Y311" s="2"/>
      <c r="Z311" s="2"/>
      <c r="AA311" s="2"/>
      <c r="AB311" s="2"/>
      <c r="AP311" s="8"/>
      <c r="AQ311" s="8"/>
      <c r="AR311" s="8"/>
      <c r="AS311" s="8"/>
      <c r="AT311" s="8"/>
      <c r="AU311" s="3"/>
      <c r="AV311" s="3"/>
      <c r="AW311" s="3"/>
    </row>
    <row r="312" spans="2:49" ht="21.75" customHeight="1" x14ac:dyDescent="0.35">
      <c r="B312" s="4"/>
      <c r="C312" s="7"/>
      <c r="D312" s="6"/>
      <c r="E312" s="6"/>
      <c r="F312" s="5"/>
      <c r="G312" s="6"/>
      <c r="H312" s="5"/>
      <c r="I312" s="6"/>
      <c r="J312" s="5"/>
      <c r="K312" s="4"/>
      <c r="L312" s="2"/>
      <c r="M312" s="2"/>
      <c r="U312" s="2"/>
      <c r="V312" s="2"/>
      <c r="W312" s="2"/>
      <c r="X312" s="2"/>
      <c r="Y312" s="2"/>
      <c r="Z312" s="2"/>
      <c r="AA312" s="2"/>
      <c r="AB312" s="2"/>
      <c r="AP312" s="8"/>
      <c r="AQ312" s="8"/>
      <c r="AR312" s="8"/>
      <c r="AS312" s="8"/>
      <c r="AT312" s="8"/>
      <c r="AU312" s="3"/>
      <c r="AV312" s="3"/>
      <c r="AW312" s="3"/>
    </row>
    <row r="313" spans="2:49" ht="21.75" customHeight="1" x14ac:dyDescent="0.35">
      <c r="B313" s="4"/>
      <c r="C313" s="7"/>
      <c r="D313" s="6"/>
      <c r="E313" s="6"/>
      <c r="F313" s="5"/>
      <c r="G313" s="6"/>
      <c r="H313" s="5"/>
      <c r="I313" s="6"/>
      <c r="J313" s="5"/>
      <c r="K313" s="4"/>
      <c r="L313" s="2"/>
      <c r="M313" s="2"/>
      <c r="U313" s="2"/>
      <c r="V313" s="2"/>
      <c r="W313" s="2"/>
      <c r="X313" s="2"/>
      <c r="Y313" s="2"/>
      <c r="Z313" s="2"/>
      <c r="AA313" s="2"/>
      <c r="AB313" s="2"/>
      <c r="AP313" s="8"/>
      <c r="AQ313" s="8"/>
      <c r="AR313" s="8"/>
      <c r="AS313" s="8"/>
      <c r="AT313" s="8"/>
      <c r="AU313" s="3"/>
      <c r="AV313" s="3"/>
      <c r="AW313" s="3"/>
    </row>
    <row r="314" spans="2:49" ht="21.75" customHeight="1" x14ac:dyDescent="0.35">
      <c r="B314" s="4"/>
      <c r="C314" s="7"/>
      <c r="D314" s="6"/>
      <c r="E314" s="6"/>
      <c r="F314" s="5"/>
      <c r="G314" s="6"/>
      <c r="H314" s="5"/>
      <c r="I314" s="6"/>
      <c r="J314" s="5"/>
      <c r="K314" s="4"/>
      <c r="L314" s="2"/>
      <c r="M314" s="2"/>
      <c r="U314" s="2"/>
      <c r="V314" s="2"/>
      <c r="W314" s="2"/>
      <c r="X314" s="2"/>
      <c r="Y314" s="2"/>
      <c r="Z314" s="2"/>
      <c r="AA314" s="2"/>
      <c r="AB314" s="2"/>
      <c r="AP314" s="8"/>
      <c r="AQ314" s="8"/>
      <c r="AR314" s="8"/>
      <c r="AS314" s="8"/>
      <c r="AT314" s="8"/>
      <c r="AU314" s="3"/>
      <c r="AV314" s="3"/>
      <c r="AW314" s="3"/>
    </row>
    <row r="315" spans="2:49" ht="21.75" customHeight="1" x14ac:dyDescent="0.35">
      <c r="B315" s="4"/>
      <c r="C315" s="7"/>
      <c r="D315" s="6"/>
      <c r="E315" s="6"/>
      <c r="F315" s="5"/>
      <c r="G315" s="6"/>
      <c r="H315" s="5"/>
      <c r="I315" s="6"/>
      <c r="J315" s="5"/>
      <c r="K315" s="4"/>
      <c r="L315" s="2"/>
      <c r="M315" s="2"/>
      <c r="U315" s="2"/>
      <c r="V315" s="2"/>
      <c r="W315" s="2"/>
      <c r="X315" s="2"/>
      <c r="Y315" s="2"/>
      <c r="Z315" s="2"/>
      <c r="AA315" s="2"/>
      <c r="AB315" s="2"/>
      <c r="AP315" s="8"/>
      <c r="AQ315" s="8"/>
      <c r="AR315" s="8"/>
      <c r="AS315" s="8"/>
      <c r="AT315" s="8"/>
      <c r="AU315" s="3"/>
      <c r="AV315" s="3"/>
      <c r="AW315" s="3"/>
    </row>
    <row r="316" spans="2:49" ht="21.75" customHeight="1" x14ac:dyDescent="0.35">
      <c r="B316" s="4"/>
      <c r="C316" s="7"/>
      <c r="D316" s="6"/>
      <c r="E316" s="6"/>
      <c r="F316" s="5"/>
      <c r="G316" s="6"/>
      <c r="H316" s="5"/>
      <c r="I316" s="6"/>
      <c r="J316" s="5"/>
      <c r="K316" s="4"/>
      <c r="L316" s="2"/>
      <c r="M316" s="2"/>
      <c r="U316" s="2"/>
      <c r="V316" s="2"/>
      <c r="W316" s="2"/>
      <c r="X316" s="2"/>
      <c r="Y316" s="2"/>
      <c r="Z316" s="2"/>
      <c r="AA316" s="2"/>
      <c r="AB316" s="2"/>
      <c r="AP316" s="8"/>
      <c r="AQ316" s="8"/>
      <c r="AR316" s="8"/>
      <c r="AS316" s="8"/>
      <c r="AT316" s="8"/>
      <c r="AU316" s="3"/>
      <c r="AV316" s="3"/>
      <c r="AW316" s="3"/>
    </row>
    <row r="317" spans="2:49" ht="21.75" customHeight="1" x14ac:dyDescent="0.35">
      <c r="B317" s="4"/>
      <c r="C317" s="7"/>
      <c r="D317" s="6"/>
      <c r="E317" s="6"/>
      <c r="F317" s="5"/>
      <c r="G317" s="6"/>
      <c r="H317" s="5"/>
      <c r="I317" s="6"/>
      <c r="J317" s="5"/>
      <c r="K317" s="4"/>
      <c r="L317" s="2"/>
      <c r="M317" s="2"/>
      <c r="U317" s="2"/>
      <c r="V317" s="2"/>
      <c r="W317" s="2"/>
      <c r="X317" s="2"/>
      <c r="Y317" s="2"/>
      <c r="Z317" s="2"/>
      <c r="AA317" s="2"/>
      <c r="AB317" s="2"/>
      <c r="AP317" s="8"/>
      <c r="AQ317" s="8"/>
      <c r="AR317" s="8"/>
      <c r="AS317" s="8"/>
      <c r="AT317" s="8"/>
      <c r="AU317" s="3"/>
      <c r="AV317" s="3"/>
      <c r="AW317" s="3"/>
    </row>
    <row r="318" spans="2:49" ht="21.75" customHeight="1" x14ac:dyDescent="0.35">
      <c r="B318" s="4"/>
      <c r="C318" s="7"/>
      <c r="D318" s="6"/>
      <c r="E318" s="6"/>
      <c r="F318" s="5"/>
      <c r="G318" s="6"/>
      <c r="H318" s="5"/>
      <c r="I318" s="6"/>
      <c r="J318" s="5"/>
      <c r="K318" s="4"/>
      <c r="L318" s="2"/>
      <c r="M318" s="2"/>
      <c r="U318" s="2"/>
      <c r="V318" s="2"/>
      <c r="W318" s="2"/>
      <c r="X318" s="2"/>
      <c r="Y318" s="2"/>
      <c r="Z318" s="2"/>
      <c r="AA318" s="2"/>
      <c r="AB318" s="2"/>
      <c r="AP318" s="8"/>
      <c r="AQ318" s="8"/>
      <c r="AR318" s="8"/>
      <c r="AS318" s="8"/>
      <c r="AT318" s="8"/>
      <c r="AU318" s="3"/>
      <c r="AV318" s="3"/>
      <c r="AW318" s="3"/>
    </row>
    <row r="319" spans="2:49" ht="21.75" customHeight="1" x14ac:dyDescent="0.35">
      <c r="B319" s="4"/>
      <c r="C319" s="7"/>
      <c r="D319" s="6"/>
      <c r="E319" s="6"/>
      <c r="F319" s="5"/>
      <c r="G319" s="6"/>
      <c r="H319" s="5"/>
      <c r="I319" s="6"/>
      <c r="J319" s="5"/>
      <c r="K319" s="4"/>
      <c r="L319" s="2"/>
      <c r="M319" s="2"/>
      <c r="U319" s="2"/>
      <c r="V319" s="2"/>
      <c r="W319" s="2"/>
      <c r="X319" s="2"/>
      <c r="Y319" s="2"/>
      <c r="Z319" s="2"/>
      <c r="AA319" s="2"/>
      <c r="AB319" s="2"/>
      <c r="AP319" s="8"/>
      <c r="AQ319" s="8"/>
      <c r="AR319" s="8"/>
      <c r="AS319" s="8"/>
      <c r="AT319" s="8"/>
      <c r="AU319" s="3"/>
      <c r="AV319" s="3"/>
      <c r="AW319" s="3"/>
    </row>
    <row r="320" spans="2:49" ht="21.75" customHeight="1" x14ac:dyDescent="0.35">
      <c r="B320" s="4"/>
      <c r="C320" s="7"/>
      <c r="D320" s="6"/>
      <c r="E320" s="6"/>
      <c r="F320" s="5"/>
      <c r="G320" s="6"/>
      <c r="H320" s="5"/>
      <c r="I320" s="6"/>
      <c r="J320" s="5"/>
      <c r="K320" s="4"/>
      <c r="L320" s="2"/>
      <c r="M320" s="2"/>
      <c r="U320" s="2"/>
      <c r="V320" s="2"/>
      <c r="W320" s="2"/>
      <c r="X320" s="2"/>
      <c r="Y320" s="2"/>
      <c r="Z320" s="2"/>
      <c r="AA320" s="2"/>
      <c r="AB320" s="2"/>
      <c r="AP320" s="8"/>
      <c r="AQ320" s="8"/>
      <c r="AR320" s="8"/>
      <c r="AS320" s="8"/>
      <c r="AT320" s="8"/>
      <c r="AU320" s="3"/>
      <c r="AV320" s="3"/>
      <c r="AW320" s="3"/>
    </row>
    <row r="321" spans="2:49" ht="21.75" customHeight="1" x14ac:dyDescent="0.35">
      <c r="B321" s="4"/>
      <c r="C321" s="7"/>
      <c r="D321" s="6"/>
      <c r="E321" s="6"/>
      <c r="F321" s="5"/>
      <c r="G321" s="6"/>
      <c r="H321" s="5"/>
      <c r="I321" s="6"/>
      <c r="J321" s="5"/>
      <c r="K321" s="4"/>
      <c r="L321" s="2"/>
      <c r="M321" s="2"/>
      <c r="U321" s="2"/>
      <c r="V321" s="2"/>
      <c r="W321" s="2"/>
      <c r="X321" s="2"/>
      <c r="Y321" s="2"/>
      <c r="Z321" s="2"/>
      <c r="AA321" s="2"/>
      <c r="AB321" s="2"/>
      <c r="AP321" s="2"/>
      <c r="AQ321" s="2"/>
      <c r="AR321" s="2"/>
      <c r="AS321" s="2"/>
      <c r="AT321" s="3"/>
      <c r="AU321" s="3"/>
      <c r="AV321" s="3"/>
      <c r="AW321" s="3"/>
    </row>
    <row r="322" spans="2:49" x14ac:dyDescent="0.35">
      <c r="L322" s="2"/>
      <c r="M322" s="2"/>
      <c r="U322" s="2"/>
      <c r="V322" s="2"/>
      <c r="W322" s="2"/>
      <c r="X322" s="2"/>
      <c r="Y322" s="2"/>
      <c r="Z322" s="2"/>
      <c r="AA322" s="2"/>
      <c r="AB322" s="2"/>
      <c r="AP322" s="2"/>
      <c r="AQ322" s="2"/>
      <c r="AR322" s="2"/>
      <c r="AS322" s="2"/>
    </row>
    <row r="323" spans="2:49" x14ac:dyDescent="0.35">
      <c r="L323" s="2"/>
      <c r="M323" s="2"/>
      <c r="U323" s="2"/>
      <c r="V323" s="2"/>
      <c r="W323" s="2"/>
      <c r="X323" s="2"/>
      <c r="Y323" s="2"/>
      <c r="Z323" s="2"/>
      <c r="AA323" s="2"/>
      <c r="AB323" s="2"/>
      <c r="AP323" s="2"/>
      <c r="AQ323" s="2"/>
      <c r="AR323" s="2"/>
      <c r="AS323" s="2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Сравнение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2021-04-09T11:30:01Z</dcterms:created>
  <dcterms:modified xsi:type="dcterms:W3CDTF">2021-04-09T11:46:52Z</dcterms:modified>
</cp:coreProperties>
</file>