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5C314F5E-E403-40C1-9578-84E7562F6835}" xr6:coauthVersionLast="46" xr6:coauthVersionMax="46" xr10:uidLastSave="{00000000-0000-0000-0000-000000000000}"/>
  <bookViews>
    <workbookView xWindow="28680" yWindow="-120" windowWidth="29040" windowHeight="15990" xr2:uid="{60846977-53C8-4465-B3EA-F4BCB5E4B753}"/>
  </bookViews>
  <sheets>
    <sheet name="Сравнение" sheetId="1" r:id="rId1"/>
  </sheets>
  <definedNames>
    <definedName name="solver_adj" localSheetId="0" hidden="1">Сравнение!$F$7:$K$7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1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Сравнение!$C$7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1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AW47" i="1"/>
  <c r="C48" i="1"/>
  <c r="Q48" i="1"/>
  <c r="R48" i="1"/>
  <c r="S48" i="1"/>
  <c r="T48" i="1"/>
  <c r="U48" i="1"/>
  <c r="V48" i="1"/>
  <c r="W48" i="1"/>
  <c r="X48" i="1"/>
  <c r="Z48" i="1"/>
  <c r="AA48" i="1"/>
  <c r="AB48" i="1"/>
  <c r="AC48" i="1"/>
  <c r="AD48" i="1"/>
  <c r="AE48" i="1"/>
  <c r="AF48" i="1"/>
  <c r="AG48" i="1"/>
  <c r="B49" i="1"/>
  <c r="C49" i="1" s="1"/>
  <c r="Q49" i="1"/>
  <c r="R49" i="1"/>
  <c r="Z49" i="1"/>
  <c r="AA49" i="1"/>
  <c r="AB49" i="1"/>
  <c r="AE49" i="1"/>
  <c r="AD49" i="1" l="1"/>
  <c r="AG49" i="1"/>
  <c r="X49" i="1"/>
  <c r="AC49" i="1"/>
  <c r="N49" i="1" s="1"/>
  <c r="AF49" i="1"/>
  <c r="W49" i="1"/>
  <c r="V49" i="1"/>
  <c r="U49" i="1"/>
  <c r="T49" i="1"/>
  <c r="S49" i="1"/>
  <c r="F49" i="1"/>
  <c r="H49" i="1"/>
  <c r="I49" i="1"/>
  <c r="K49" i="1"/>
  <c r="D49" i="1"/>
  <c r="E49" i="1"/>
  <c r="G49" i="1"/>
  <c r="B50" i="1"/>
  <c r="C50" i="1" s="1"/>
  <c r="J49" i="1"/>
  <c r="M49" i="1" l="1"/>
  <c r="AU49" i="1" s="1"/>
  <c r="T50" i="1"/>
  <c r="AF50" i="1"/>
  <c r="AG50" i="1"/>
  <c r="W50" i="1"/>
  <c r="U50" i="1"/>
  <c r="B51" i="1"/>
  <c r="X51" i="1" s="1"/>
  <c r="AA50" i="1"/>
  <c r="AS49" i="1"/>
  <c r="AQ49" i="1"/>
  <c r="AP49" i="1"/>
  <c r="S50" i="1"/>
  <c r="AB50" i="1"/>
  <c r="X50" i="1"/>
  <c r="AC50" i="1"/>
  <c r="R50" i="1"/>
  <c r="AE50" i="1"/>
  <c r="V50" i="1"/>
  <c r="Z50" i="1"/>
  <c r="Q50" i="1"/>
  <c r="AD50" i="1"/>
  <c r="AR49" i="1"/>
  <c r="AV49" i="1"/>
  <c r="AE51" i="1"/>
  <c r="W51" i="1"/>
  <c r="J50" i="1"/>
  <c r="K50" i="1"/>
  <c r="D50" i="1"/>
  <c r="E50" i="1"/>
  <c r="F50" i="1"/>
  <c r="G50" i="1"/>
  <c r="H50" i="1"/>
  <c r="I50" i="1"/>
  <c r="V51" i="1" l="1"/>
  <c r="S51" i="1"/>
  <c r="AB51" i="1"/>
  <c r="AA51" i="1"/>
  <c r="L49" i="1"/>
  <c r="AT49" i="1" s="1"/>
  <c r="C51" i="1"/>
  <c r="Q51" i="1"/>
  <c r="AD51" i="1"/>
  <c r="R51" i="1"/>
  <c r="U51" i="1"/>
  <c r="Z51" i="1"/>
  <c r="AC51" i="1"/>
  <c r="B52" i="1"/>
  <c r="U52" i="1" s="1"/>
  <c r="AF51" i="1"/>
  <c r="T51" i="1"/>
  <c r="AG51" i="1"/>
  <c r="N50" i="1"/>
  <c r="AV50" i="1" s="1"/>
  <c r="M50" i="1"/>
  <c r="AU50" i="1" s="1"/>
  <c r="AQ50" i="1"/>
  <c r="F51" i="1"/>
  <c r="G51" i="1"/>
  <c r="H51" i="1"/>
  <c r="I51" i="1"/>
  <c r="J51" i="1"/>
  <c r="K51" i="1"/>
  <c r="D51" i="1"/>
  <c r="E51" i="1"/>
  <c r="AP50" i="1"/>
  <c r="AR50" i="1"/>
  <c r="AS50" i="1"/>
  <c r="S52" i="1" l="1"/>
  <c r="AB52" i="1"/>
  <c r="AG52" i="1"/>
  <c r="N51" i="1"/>
  <c r="AV51" i="1" s="1"/>
  <c r="M51" i="1"/>
  <c r="L51" i="1" s="1"/>
  <c r="AT51" i="1" s="1"/>
  <c r="T52" i="1"/>
  <c r="Q52" i="1"/>
  <c r="C52" i="1"/>
  <c r="F52" i="1" s="1"/>
  <c r="AF52" i="1"/>
  <c r="B53" i="1"/>
  <c r="T53" i="1" s="1"/>
  <c r="AC52" i="1"/>
  <c r="W52" i="1"/>
  <c r="X52" i="1"/>
  <c r="AE52" i="1"/>
  <c r="V52" i="1"/>
  <c r="AA52" i="1"/>
  <c r="R52" i="1"/>
  <c r="AD52" i="1"/>
  <c r="L50" i="1"/>
  <c r="AT50" i="1" s="1"/>
  <c r="Z52" i="1"/>
  <c r="AS51" i="1"/>
  <c r="AQ51" i="1"/>
  <c r="AP51" i="1"/>
  <c r="J52" i="1"/>
  <c r="K52" i="1"/>
  <c r="AR51" i="1"/>
  <c r="D52" i="1" l="1"/>
  <c r="AF53" i="1"/>
  <c r="H52" i="1"/>
  <c r="AE53" i="1"/>
  <c r="AA53" i="1"/>
  <c r="R53" i="1"/>
  <c r="G52" i="1"/>
  <c r="AS52" i="1" s="1"/>
  <c r="V53" i="1"/>
  <c r="Z53" i="1"/>
  <c r="AD53" i="1"/>
  <c r="Q53" i="1"/>
  <c r="AG53" i="1"/>
  <c r="W53" i="1"/>
  <c r="AC53" i="1"/>
  <c r="X53" i="1"/>
  <c r="U53" i="1"/>
  <c r="B54" i="1"/>
  <c r="AC54" i="1" s="1"/>
  <c r="AB53" i="1"/>
  <c r="C53" i="1"/>
  <c r="F53" i="1" s="1"/>
  <c r="S53" i="1"/>
  <c r="M52" i="1"/>
  <c r="N52" i="1"/>
  <c r="AV52" i="1" s="1"/>
  <c r="I52" i="1"/>
  <c r="E52" i="1"/>
  <c r="AU51" i="1"/>
  <c r="I53" i="1"/>
  <c r="AR52" i="1"/>
  <c r="AU52" i="1" l="1"/>
  <c r="AP52" i="1"/>
  <c r="E53" i="1"/>
  <c r="AQ53" i="1" s="1"/>
  <c r="M53" i="1"/>
  <c r="L53" i="1" s="1"/>
  <c r="Q54" i="1"/>
  <c r="N53" i="1"/>
  <c r="K53" i="1"/>
  <c r="D53" i="1"/>
  <c r="H53" i="1"/>
  <c r="J53" i="1"/>
  <c r="AR53" i="1" s="1"/>
  <c r="G53" i="1"/>
  <c r="L52" i="1"/>
  <c r="AT52" i="1" s="1"/>
  <c r="V54" i="1"/>
  <c r="B55" i="1"/>
  <c r="T55" i="1" s="1"/>
  <c r="AB54" i="1"/>
  <c r="AG54" i="1"/>
  <c r="T54" i="1"/>
  <c r="AA54" i="1"/>
  <c r="X54" i="1"/>
  <c r="AF54" i="1"/>
  <c r="W54" i="1"/>
  <c r="C54" i="1"/>
  <c r="I54" i="1" s="1"/>
  <c r="AE54" i="1"/>
  <c r="S54" i="1"/>
  <c r="R54" i="1"/>
  <c r="AD54" i="1"/>
  <c r="Z54" i="1"/>
  <c r="U54" i="1"/>
  <c r="AQ52" i="1"/>
  <c r="R55" i="1"/>
  <c r="W55" i="1"/>
  <c r="AE55" i="1"/>
  <c r="AU53" i="1"/>
  <c r="AV53" i="1" l="1"/>
  <c r="AS53" i="1"/>
  <c r="AP53" i="1"/>
  <c r="AT53" i="1"/>
  <c r="AB55" i="1"/>
  <c r="B56" i="1"/>
  <c r="U55" i="1"/>
  <c r="AA55" i="1"/>
  <c r="V55" i="1"/>
  <c r="E54" i="1"/>
  <c r="AQ54" i="1" s="1"/>
  <c r="M54" i="1"/>
  <c r="H54" i="1"/>
  <c r="N54" i="1"/>
  <c r="D54" i="1"/>
  <c r="Z55" i="1"/>
  <c r="G54" i="1"/>
  <c r="AD55" i="1"/>
  <c r="Q55" i="1"/>
  <c r="F54" i="1"/>
  <c r="K54" i="1"/>
  <c r="AG55" i="1"/>
  <c r="S55" i="1"/>
  <c r="AC55" i="1"/>
  <c r="X55" i="1"/>
  <c r="J54" i="1"/>
  <c r="C55" i="1"/>
  <c r="D55" i="1" s="1"/>
  <c r="AF55" i="1"/>
  <c r="T56" i="1"/>
  <c r="AC56" i="1"/>
  <c r="C56" i="1"/>
  <c r="U56" i="1"/>
  <c r="AD56" i="1"/>
  <c r="V56" i="1"/>
  <c r="AE56" i="1"/>
  <c r="X56" i="1"/>
  <c r="AG56" i="1"/>
  <c r="B57" i="1"/>
  <c r="Q56" i="1"/>
  <c r="Z56" i="1"/>
  <c r="AF56" i="1"/>
  <c r="R56" i="1"/>
  <c r="S56" i="1"/>
  <c r="W56" i="1"/>
  <c r="AA56" i="1"/>
  <c r="AB56" i="1"/>
  <c r="I55" i="1"/>
  <c r="E55" i="1" l="1"/>
  <c r="AQ55" i="1" s="1"/>
  <c r="K55" i="1"/>
  <c r="J55" i="1"/>
  <c r="H55" i="1"/>
  <c r="AV54" i="1"/>
  <c r="G55" i="1"/>
  <c r="F55" i="1"/>
  <c r="AR55" i="1" s="1"/>
  <c r="L54" i="1"/>
  <c r="AT54" i="1" s="1"/>
  <c r="AS54" i="1"/>
  <c r="AU54" i="1"/>
  <c r="AP54" i="1"/>
  <c r="N55" i="1"/>
  <c r="M55" i="1"/>
  <c r="AU55" i="1" s="1"/>
  <c r="AR54" i="1"/>
  <c r="M56" i="1"/>
  <c r="X57" i="1"/>
  <c r="AG57" i="1"/>
  <c r="B58" i="1"/>
  <c r="Q57" i="1"/>
  <c r="Z57" i="1"/>
  <c r="R57" i="1"/>
  <c r="AA57" i="1"/>
  <c r="T57" i="1"/>
  <c r="AC57" i="1"/>
  <c r="C57" i="1"/>
  <c r="U57" i="1"/>
  <c r="AD57" i="1"/>
  <c r="S57" i="1"/>
  <c r="V57" i="1"/>
  <c r="W57" i="1"/>
  <c r="AB57" i="1"/>
  <c r="AE57" i="1"/>
  <c r="AF57" i="1"/>
  <c r="AP55" i="1"/>
  <c r="N56" i="1"/>
  <c r="J56" i="1"/>
  <c r="K56" i="1"/>
  <c r="D56" i="1"/>
  <c r="F56" i="1"/>
  <c r="G56" i="1"/>
  <c r="H56" i="1"/>
  <c r="I56" i="1"/>
  <c r="E56" i="1"/>
  <c r="AS55" i="1" l="1"/>
  <c r="L55" i="1"/>
  <c r="AT55" i="1" s="1"/>
  <c r="AV55" i="1"/>
  <c r="L56" i="1"/>
  <c r="AT56" i="1" s="1"/>
  <c r="AP56" i="1"/>
  <c r="N57" i="1"/>
  <c r="M57" i="1"/>
  <c r="T58" i="1"/>
  <c r="AC58" i="1"/>
  <c r="C58" i="1"/>
  <c r="U58" i="1"/>
  <c r="AD58" i="1"/>
  <c r="V58" i="1"/>
  <c r="AE58" i="1"/>
  <c r="X58" i="1"/>
  <c r="AG58" i="1"/>
  <c r="B59" i="1"/>
  <c r="Q58" i="1"/>
  <c r="Z58" i="1"/>
  <c r="W58" i="1"/>
  <c r="AA58" i="1"/>
  <c r="AB58" i="1"/>
  <c r="AF58" i="1"/>
  <c r="R58" i="1"/>
  <c r="S58" i="1"/>
  <c r="F57" i="1"/>
  <c r="G57" i="1"/>
  <c r="H57" i="1"/>
  <c r="J57" i="1"/>
  <c r="K57" i="1"/>
  <c r="D57" i="1"/>
  <c r="E57" i="1"/>
  <c r="I57" i="1"/>
  <c r="AU56" i="1"/>
  <c r="AQ56" i="1"/>
  <c r="AS56" i="1"/>
  <c r="AR56" i="1"/>
  <c r="AV56" i="1"/>
  <c r="L57" i="1" l="1"/>
  <c r="AT57" i="1" s="1"/>
  <c r="M58" i="1"/>
  <c r="J58" i="1"/>
  <c r="K58" i="1"/>
  <c r="D58" i="1"/>
  <c r="F58" i="1"/>
  <c r="G58" i="1"/>
  <c r="E58" i="1"/>
  <c r="H58" i="1"/>
  <c r="I58" i="1"/>
  <c r="N58" i="1"/>
  <c r="AQ57" i="1"/>
  <c r="AU57" i="1"/>
  <c r="X59" i="1"/>
  <c r="AG59" i="1"/>
  <c r="B60" i="1"/>
  <c r="Q59" i="1"/>
  <c r="Z59" i="1"/>
  <c r="R59" i="1"/>
  <c r="AA59" i="1"/>
  <c r="T59" i="1"/>
  <c r="AC59" i="1"/>
  <c r="C59" i="1"/>
  <c r="U59" i="1"/>
  <c r="AD59" i="1"/>
  <c r="AE59" i="1"/>
  <c r="AF59" i="1"/>
  <c r="S59" i="1"/>
  <c r="V59" i="1"/>
  <c r="W59" i="1"/>
  <c r="AB59" i="1"/>
  <c r="AP57" i="1"/>
  <c r="AS57" i="1"/>
  <c r="AV57" i="1"/>
  <c r="AR57" i="1"/>
  <c r="M59" i="1" l="1"/>
  <c r="AP58" i="1"/>
  <c r="T60" i="1"/>
  <c r="AC60" i="1"/>
  <c r="C60" i="1"/>
  <c r="U60" i="1"/>
  <c r="AD60" i="1"/>
  <c r="V60" i="1"/>
  <c r="AE60" i="1"/>
  <c r="X60" i="1"/>
  <c r="AG60" i="1"/>
  <c r="B61" i="1"/>
  <c r="Q60" i="1"/>
  <c r="Z60" i="1"/>
  <c r="R60" i="1"/>
  <c r="S60" i="1"/>
  <c r="W60" i="1"/>
  <c r="AA60" i="1"/>
  <c r="AB60" i="1"/>
  <c r="AF60" i="1"/>
  <c r="F59" i="1"/>
  <c r="G59" i="1"/>
  <c r="H59" i="1"/>
  <c r="J59" i="1"/>
  <c r="K59" i="1"/>
  <c r="E59" i="1"/>
  <c r="I59" i="1"/>
  <c r="D59" i="1"/>
  <c r="AS58" i="1"/>
  <c r="L58" i="1"/>
  <c r="AT58" i="1" s="1"/>
  <c r="AR58" i="1"/>
  <c r="AV58" i="1"/>
  <c r="N59" i="1"/>
  <c r="L59" i="1" s="1"/>
  <c r="AU58" i="1"/>
  <c r="AQ58" i="1"/>
  <c r="AS59" i="1" l="1"/>
  <c r="AP59" i="1"/>
  <c r="AT59" i="1"/>
  <c r="N60" i="1"/>
  <c r="M60" i="1"/>
  <c r="J60" i="1"/>
  <c r="K60" i="1"/>
  <c r="D60" i="1"/>
  <c r="F60" i="1"/>
  <c r="G60" i="1"/>
  <c r="E60" i="1"/>
  <c r="H60" i="1"/>
  <c r="I60" i="1"/>
  <c r="X61" i="1"/>
  <c r="AG61" i="1"/>
  <c r="B62" i="1"/>
  <c r="Q61" i="1"/>
  <c r="Z61" i="1"/>
  <c r="R61" i="1"/>
  <c r="AA61" i="1"/>
  <c r="T61" i="1"/>
  <c r="AC61" i="1"/>
  <c r="C61" i="1"/>
  <c r="U61" i="1"/>
  <c r="AD61" i="1"/>
  <c r="V61" i="1"/>
  <c r="W61" i="1"/>
  <c r="AB61" i="1"/>
  <c r="AE61" i="1"/>
  <c r="AF61" i="1"/>
  <c r="S61" i="1"/>
  <c r="AR59" i="1"/>
  <c r="AV59" i="1"/>
  <c r="AQ59" i="1"/>
  <c r="AU59" i="1"/>
  <c r="N61" i="1" l="1"/>
  <c r="AS60" i="1"/>
  <c r="M61" i="1"/>
  <c r="T62" i="1"/>
  <c r="AC62" i="1"/>
  <c r="C62" i="1"/>
  <c r="U62" i="1"/>
  <c r="AD62" i="1"/>
  <c r="V62" i="1"/>
  <c r="AE62" i="1"/>
  <c r="X62" i="1"/>
  <c r="AG62" i="1"/>
  <c r="B63" i="1"/>
  <c r="Q62" i="1"/>
  <c r="Z62" i="1"/>
  <c r="AB62" i="1"/>
  <c r="AF62" i="1"/>
  <c r="R62" i="1"/>
  <c r="S62" i="1"/>
  <c r="W62" i="1"/>
  <c r="AA62" i="1"/>
  <c r="F61" i="1"/>
  <c r="G61" i="1"/>
  <c r="H61" i="1"/>
  <c r="J61" i="1"/>
  <c r="K61" i="1"/>
  <c r="D61" i="1"/>
  <c r="E61" i="1"/>
  <c r="I61" i="1"/>
  <c r="AR60" i="1"/>
  <c r="AV60" i="1"/>
  <c r="AU60" i="1"/>
  <c r="AQ60" i="1"/>
  <c r="AP60" i="1"/>
  <c r="L60" i="1"/>
  <c r="AT60" i="1" s="1"/>
  <c r="L61" i="1" l="1"/>
  <c r="AT61" i="1" s="1"/>
  <c r="AS61" i="1"/>
  <c r="AR61" i="1"/>
  <c r="AV61" i="1"/>
  <c r="N62" i="1"/>
  <c r="J62" i="1"/>
  <c r="K62" i="1"/>
  <c r="D62" i="1"/>
  <c r="F62" i="1"/>
  <c r="G62" i="1"/>
  <c r="E62" i="1"/>
  <c r="H62" i="1"/>
  <c r="I62" i="1"/>
  <c r="AP61" i="1"/>
  <c r="M62" i="1"/>
  <c r="AQ61" i="1"/>
  <c r="AU61" i="1"/>
  <c r="X63" i="1"/>
  <c r="AG63" i="1"/>
  <c r="B64" i="1"/>
  <c r="Q63" i="1"/>
  <c r="Z63" i="1"/>
  <c r="R63" i="1"/>
  <c r="AA63" i="1"/>
  <c r="T63" i="1"/>
  <c r="AC63" i="1"/>
  <c r="C63" i="1"/>
  <c r="U63" i="1"/>
  <c r="AD63" i="1"/>
  <c r="S63" i="1"/>
  <c r="V63" i="1"/>
  <c r="W63" i="1"/>
  <c r="AB63" i="1"/>
  <c r="AE63" i="1"/>
  <c r="AF63" i="1"/>
  <c r="M63" i="1" l="1"/>
  <c r="F63" i="1"/>
  <c r="G63" i="1"/>
  <c r="H63" i="1"/>
  <c r="J63" i="1"/>
  <c r="K63" i="1"/>
  <c r="D63" i="1"/>
  <c r="E63" i="1"/>
  <c r="I63" i="1"/>
  <c r="N63" i="1"/>
  <c r="AS62" i="1"/>
  <c r="AR62" i="1"/>
  <c r="AV62" i="1"/>
  <c r="T64" i="1"/>
  <c r="AC64" i="1"/>
  <c r="C64" i="1"/>
  <c r="U64" i="1"/>
  <c r="AD64" i="1"/>
  <c r="V64" i="1"/>
  <c r="AE64" i="1"/>
  <c r="X64" i="1"/>
  <c r="AG64" i="1"/>
  <c r="B65" i="1"/>
  <c r="Q64" i="1"/>
  <c r="Z64" i="1"/>
  <c r="S64" i="1"/>
  <c r="W64" i="1"/>
  <c r="AA64" i="1"/>
  <c r="AB64" i="1"/>
  <c r="AF64" i="1"/>
  <c r="R64" i="1"/>
  <c r="AU62" i="1"/>
  <c r="AQ62" i="1"/>
  <c r="L62" i="1"/>
  <c r="AT62" i="1" s="1"/>
  <c r="AP62" i="1"/>
  <c r="L63" i="1" l="1"/>
  <c r="AT63" i="1" s="1"/>
  <c r="N64" i="1"/>
  <c r="AQ63" i="1"/>
  <c r="AU63" i="1"/>
  <c r="M64" i="1"/>
  <c r="J64" i="1"/>
  <c r="K64" i="1"/>
  <c r="D64" i="1"/>
  <c r="F64" i="1"/>
  <c r="G64" i="1"/>
  <c r="E64" i="1"/>
  <c r="H64" i="1"/>
  <c r="I64" i="1"/>
  <c r="AS63" i="1"/>
  <c r="X65" i="1"/>
  <c r="AG65" i="1"/>
  <c r="B66" i="1"/>
  <c r="Q65" i="1"/>
  <c r="Z65" i="1"/>
  <c r="R65" i="1"/>
  <c r="AA65" i="1"/>
  <c r="T65" i="1"/>
  <c r="AC65" i="1"/>
  <c r="C65" i="1"/>
  <c r="U65" i="1"/>
  <c r="AD65" i="1"/>
  <c r="AB65" i="1"/>
  <c r="AE65" i="1"/>
  <c r="AF65" i="1"/>
  <c r="S65" i="1"/>
  <c r="V65" i="1"/>
  <c r="W65" i="1"/>
  <c r="AR63" i="1"/>
  <c r="AV63" i="1"/>
  <c r="AP63" i="1"/>
  <c r="L64" i="1" l="1"/>
  <c r="AT64" i="1" s="1"/>
  <c r="M65" i="1"/>
  <c r="T66" i="1"/>
  <c r="AC66" i="1"/>
  <c r="C66" i="1"/>
  <c r="U66" i="1"/>
  <c r="AD66" i="1"/>
  <c r="V66" i="1"/>
  <c r="X66" i="1"/>
  <c r="AG66" i="1"/>
  <c r="B67" i="1"/>
  <c r="Q66" i="1"/>
  <c r="Z66" i="1"/>
  <c r="AF66" i="1"/>
  <c r="R66" i="1"/>
  <c r="S66" i="1"/>
  <c r="W66" i="1"/>
  <c r="AA66" i="1"/>
  <c r="AB66" i="1"/>
  <c r="AE66" i="1"/>
  <c r="F65" i="1"/>
  <c r="G65" i="1"/>
  <c r="H65" i="1"/>
  <c r="J65" i="1"/>
  <c r="K65" i="1"/>
  <c r="D65" i="1"/>
  <c r="E65" i="1"/>
  <c r="I65" i="1"/>
  <c r="AS64" i="1"/>
  <c r="AR64" i="1"/>
  <c r="AV64" i="1"/>
  <c r="AU64" i="1"/>
  <c r="AQ64" i="1"/>
  <c r="AP64" i="1"/>
  <c r="N65" i="1"/>
  <c r="L65" i="1" l="1"/>
  <c r="AT65" i="1" s="1"/>
  <c r="AS65" i="1"/>
  <c r="AR65" i="1"/>
  <c r="AV65" i="1"/>
  <c r="AP65" i="1"/>
  <c r="N66" i="1"/>
  <c r="J66" i="1"/>
  <c r="K66" i="1"/>
  <c r="D66" i="1"/>
  <c r="F66" i="1"/>
  <c r="G66" i="1"/>
  <c r="I66" i="1"/>
  <c r="E66" i="1"/>
  <c r="H66" i="1"/>
  <c r="AQ65" i="1"/>
  <c r="AU65" i="1"/>
  <c r="M66" i="1"/>
  <c r="X67" i="1"/>
  <c r="AG67" i="1"/>
  <c r="Q67" i="1"/>
  <c r="Z67" i="1"/>
  <c r="T67" i="1"/>
  <c r="AC67" i="1"/>
  <c r="C67" i="1"/>
  <c r="U67" i="1"/>
  <c r="AD67" i="1"/>
  <c r="AB67" i="1"/>
  <c r="AE67" i="1"/>
  <c r="AF67" i="1"/>
  <c r="R67" i="1"/>
  <c r="S67" i="1"/>
  <c r="V67" i="1"/>
  <c r="W67" i="1"/>
  <c r="AA67" i="1"/>
  <c r="B68" i="1"/>
  <c r="Q68" i="1" l="1"/>
  <c r="C68" i="1"/>
  <c r="Z68" i="1"/>
  <c r="R68" i="1"/>
  <c r="AA68" i="1"/>
  <c r="S68" i="1"/>
  <c r="AB68" i="1"/>
  <c r="T68" i="1"/>
  <c r="AC68" i="1"/>
  <c r="U68" i="1"/>
  <c r="AD68" i="1"/>
  <c r="V68" i="1"/>
  <c r="AE68" i="1"/>
  <c r="W68" i="1"/>
  <c r="AF68" i="1"/>
  <c r="X68" i="1"/>
  <c r="AG68" i="1"/>
  <c r="B69" i="1"/>
  <c r="F67" i="1"/>
  <c r="G67" i="1"/>
  <c r="J67" i="1"/>
  <c r="K67" i="1"/>
  <c r="I67" i="1"/>
  <c r="D67" i="1"/>
  <c r="E67" i="1"/>
  <c r="H67" i="1"/>
  <c r="AS66" i="1"/>
  <c r="AR66" i="1"/>
  <c r="AV66" i="1"/>
  <c r="AP66" i="1"/>
  <c r="L66" i="1"/>
  <c r="AT66" i="1" s="1"/>
  <c r="N67" i="1"/>
  <c r="M67" i="1"/>
  <c r="AQ66" i="1"/>
  <c r="AU66" i="1"/>
  <c r="AS67" i="1" l="1"/>
  <c r="AQ67" i="1"/>
  <c r="AU67" i="1"/>
  <c r="AR67" i="1"/>
  <c r="AV67" i="1"/>
  <c r="N68" i="1"/>
  <c r="F68" i="1"/>
  <c r="G68" i="1"/>
  <c r="D68" i="1"/>
  <c r="E68" i="1"/>
  <c r="H68" i="1"/>
  <c r="I68" i="1"/>
  <c r="J68" i="1"/>
  <c r="K68" i="1"/>
  <c r="AP67" i="1"/>
  <c r="C69" i="1"/>
  <c r="U69" i="1"/>
  <c r="AD69" i="1"/>
  <c r="V69" i="1"/>
  <c r="AE69" i="1"/>
  <c r="W69" i="1"/>
  <c r="AF69" i="1"/>
  <c r="X69" i="1"/>
  <c r="AG69" i="1"/>
  <c r="B70" i="1"/>
  <c r="Q69" i="1"/>
  <c r="Z69" i="1"/>
  <c r="R69" i="1"/>
  <c r="AA69" i="1"/>
  <c r="S69" i="1"/>
  <c r="AB69" i="1"/>
  <c r="T69" i="1"/>
  <c r="AC69" i="1"/>
  <c r="L67" i="1"/>
  <c r="AT67" i="1" s="1"/>
  <c r="M68" i="1"/>
  <c r="Q70" i="1" l="1"/>
  <c r="Z70" i="1"/>
  <c r="R70" i="1"/>
  <c r="AA70" i="1"/>
  <c r="S70" i="1"/>
  <c r="AB70" i="1"/>
  <c r="T70" i="1"/>
  <c r="AC70" i="1"/>
  <c r="C70" i="1"/>
  <c r="U70" i="1"/>
  <c r="AD70" i="1"/>
  <c r="V70" i="1"/>
  <c r="AE70" i="1"/>
  <c r="W70" i="1"/>
  <c r="X70" i="1"/>
  <c r="AF70" i="1"/>
  <c r="AG70" i="1"/>
  <c r="B71" i="1"/>
  <c r="AS68" i="1"/>
  <c r="L68" i="1"/>
  <c r="AT68" i="1" s="1"/>
  <c r="AR68" i="1"/>
  <c r="AV68" i="1"/>
  <c r="AQ68" i="1"/>
  <c r="AU68" i="1"/>
  <c r="N69" i="1"/>
  <c r="M69" i="1"/>
  <c r="AP68" i="1"/>
  <c r="K69" i="1"/>
  <c r="D69" i="1"/>
  <c r="E69" i="1"/>
  <c r="F69" i="1"/>
  <c r="G69" i="1"/>
  <c r="H69" i="1"/>
  <c r="I69" i="1"/>
  <c r="J69" i="1"/>
  <c r="L69" i="1" l="1"/>
  <c r="AT69" i="1" s="1"/>
  <c r="AS69" i="1"/>
  <c r="AV69" i="1"/>
  <c r="AR69" i="1"/>
  <c r="AU69" i="1"/>
  <c r="AQ69" i="1"/>
  <c r="AP69" i="1"/>
  <c r="C71" i="1"/>
  <c r="U71" i="1"/>
  <c r="AD71" i="1"/>
  <c r="V71" i="1"/>
  <c r="AE71" i="1"/>
  <c r="W71" i="1"/>
  <c r="AF71" i="1"/>
  <c r="X71" i="1"/>
  <c r="AG71" i="1"/>
  <c r="B72" i="1"/>
  <c r="Q71" i="1"/>
  <c r="Z71" i="1"/>
  <c r="R71" i="1"/>
  <c r="AA71" i="1"/>
  <c r="S71" i="1"/>
  <c r="T71" i="1"/>
  <c r="AB71" i="1"/>
  <c r="AC71" i="1"/>
  <c r="N70" i="1"/>
  <c r="G70" i="1"/>
  <c r="H70" i="1"/>
  <c r="I70" i="1"/>
  <c r="J70" i="1"/>
  <c r="K70" i="1"/>
  <c r="D70" i="1"/>
  <c r="E70" i="1"/>
  <c r="F70" i="1"/>
  <c r="M70" i="1"/>
  <c r="AS70" i="1" l="1"/>
  <c r="K71" i="1"/>
  <c r="D71" i="1"/>
  <c r="E71" i="1"/>
  <c r="F71" i="1"/>
  <c r="G71" i="1"/>
  <c r="H71" i="1"/>
  <c r="I71" i="1"/>
  <c r="J71" i="1"/>
  <c r="AR70" i="1"/>
  <c r="AV70" i="1"/>
  <c r="AP70" i="1"/>
  <c r="AQ70" i="1"/>
  <c r="AU70" i="1"/>
  <c r="N71" i="1"/>
  <c r="L70" i="1"/>
  <c r="AT70" i="1" s="1"/>
  <c r="M71" i="1"/>
  <c r="Q72" i="1"/>
  <c r="Z72" i="1"/>
  <c r="R72" i="1"/>
  <c r="AA72" i="1"/>
  <c r="S72" i="1"/>
  <c r="AB72" i="1"/>
  <c r="T72" i="1"/>
  <c r="AC72" i="1"/>
  <c r="C72" i="1"/>
  <c r="U72" i="1"/>
  <c r="AD72" i="1"/>
  <c r="V72" i="1"/>
  <c r="AE72" i="1"/>
  <c r="W72" i="1"/>
  <c r="X72" i="1"/>
  <c r="AF72" i="1"/>
  <c r="AG72" i="1"/>
  <c r="B73" i="1"/>
  <c r="AS71" i="1" l="1"/>
  <c r="AV71" i="1"/>
  <c r="AR71" i="1"/>
  <c r="L71" i="1"/>
  <c r="AT71" i="1" s="1"/>
  <c r="AU71" i="1"/>
  <c r="AQ71" i="1"/>
  <c r="G72" i="1"/>
  <c r="H72" i="1"/>
  <c r="I72" i="1"/>
  <c r="J72" i="1"/>
  <c r="K72" i="1"/>
  <c r="D72" i="1"/>
  <c r="E72" i="1"/>
  <c r="F72" i="1"/>
  <c r="AP71" i="1"/>
  <c r="C73" i="1"/>
  <c r="U73" i="1"/>
  <c r="AD73" i="1"/>
  <c r="V73" i="1"/>
  <c r="AE73" i="1"/>
  <c r="W73" i="1"/>
  <c r="AF73" i="1"/>
  <c r="X73" i="1"/>
  <c r="AG73" i="1"/>
  <c r="B74" i="1"/>
  <c r="Q73" i="1"/>
  <c r="Z73" i="1"/>
  <c r="R73" i="1"/>
  <c r="AA73" i="1"/>
  <c r="S73" i="1"/>
  <c r="T73" i="1"/>
  <c r="AB73" i="1"/>
  <c r="AC73" i="1"/>
  <c r="N72" i="1"/>
  <c r="M72" i="1"/>
  <c r="K73" i="1" l="1"/>
  <c r="D73" i="1"/>
  <c r="E73" i="1"/>
  <c r="F73" i="1"/>
  <c r="G73" i="1"/>
  <c r="H73" i="1"/>
  <c r="I73" i="1"/>
  <c r="J73" i="1"/>
  <c r="AP72" i="1"/>
  <c r="AQ72" i="1"/>
  <c r="AU72" i="1"/>
  <c r="Q74" i="1"/>
  <c r="Z74" i="1"/>
  <c r="R74" i="1"/>
  <c r="AA74" i="1"/>
  <c r="S74" i="1"/>
  <c r="AB74" i="1"/>
  <c r="T74" i="1"/>
  <c r="AC74" i="1"/>
  <c r="C74" i="1"/>
  <c r="U74" i="1"/>
  <c r="AD74" i="1"/>
  <c r="V74" i="1"/>
  <c r="AE74" i="1"/>
  <c r="B75" i="1"/>
  <c r="W74" i="1"/>
  <c r="X74" i="1"/>
  <c r="AF74" i="1"/>
  <c r="AG74" i="1"/>
  <c r="N73" i="1"/>
  <c r="L72" i="1"/>
  <c r="AT72" i="1" s="1"/>
  <c r="M73" i="1"/>
  <c r="AS72" i="1"/>
  <c r="AR72" i="1"/>
  <c r="AV72" i="1"/>
  <c r="AS73" i="1" l="1"/>
  <c r="AV73" i="1"/>
  <c r="AR73" i="1"/>
  <c r="L73" i="1"/>
  <c r="AT73" i="1" s="1"/>
  <c r="AU73" i="1"/>
  <c r="AQ73" i="1"/>
  <c r="N74" i="1"/>
  <c r="AP73" i="1"/>
  <c r="G74" i="1"/>
  <c r="H74" i="1"/>
  <c r="I74" i="1"/>
  <c r="J74" i="1"/>
  <c r="K74" i="1"/>
  <c r="D74" i="1"/>
  <c r="E74" i="1"/>
  <c r="F74" i="1"/>
  <c r="M74" i="1"/>
  <c r="C75" i="1"/>
  <c r="U75" i="1"/>
  <c r="AD75" i="1"/>
  <c r="V75" i="1"/>
  <c r="AE75" i="1"/>
  <c r="W75" i="1"/>
  <c r="AF75" i="1"/>
  <c r="Q75" i="1"/>
  <c r="Z75" i="1"/>
  <c r="R75" i="1"/>
  <c r="AA75" i="1"/>
  <c r="AB75" i="1"/>
  <c r="AC75" i="1"/>
  <c r="AG75" i="1"/>
  <c r="S75" i="1"/>
  <c r="B76" i="1"/>
  <c r="T75" i="1"/>
  <c r="X75" i="1"/>
  <c r="N75" i="1" l="1"/>
  <c r="Q76" i="1"/>
  <c r="Z76" i="1"/>
  <c r="R76" i="1"/>
  <c r="AA76" i="1"/>
  <c r="S76" i="1"/>
  <c r="AB76" i="1"/>
  <c r="C76" i="1"/>
  <c r="U76" i="1"/>
  <c r="AD76" i="1"/>
  <c r="V76" i="1"/>
  <c r="AE76" i="1"/>
  <c r="AG76" i="1"/>
  <c r="T76" i="1"/>
  <c r="B77" i="1"/>
  <c r="W76" i="1"/>
  <c r="X76" i="1"/>
  <c r="AC76" i="1"/>
  <c r="AF76" i="1"/>
  <c r="L74" i="1"/>
  <c r="AT74" i="1" s="1"/>
  <c r="AS74" i="1"/>
  <c r="K75" i="1"/>
  <c r="D75" i="1"/>
  <c r="E75" i="1"/>
  <c r="F75" i="1"/>
  <c r="G75" i="1"/>
  <c r="H75" i="1"/>
  <c r="I75" i="1"/>
  <c r="J75" i="1"/>
  <c r="AR74" i="1"/>
  <c r="AV74" i="1"/>
  <c r="AQ74" i="1"/>
  <c r="AU74" i="1"/>
  <c r="AP74" i="1"/>
  <c r="M75" i="1"/>
  <c r="L75" i="1" l="1"/>
  <c r="AT75" i="1" s="1"/>
  <c r="G76" i="1"/>
  <c r="H76" i="1"/>
  <c r="I76" i="1"/>
  <c r="K76" i="1"/>
  <c r="D76" i="1"/>
  <c r="J76" i="1"/>
  <c r="E76" i="1"/>
  <c r="F76" i="1"/>
  <c r="C77" i="1"/>
  <c r="U77" i="1"/>
  <c r="AD77" i="1"/>
  <c r="V77" i="1"/>
  <c r="AE77" i="1"/>
  <c r="Q77" i="1"/>
  <c r="Z77" i="1"/>
  <c r="R77" i="1"/>
  <c r="AA77" i="1"/>
  <c r="AF77" i="1"/>
  <c r="AG77" i="1"/>
  <c r="S77" i="1"/>
  <c r="T77" i="1"/>
  <c r="W77" i="1"/>
  <c r="X77" i="1"/>
  <c r="B78" i="1"/>
  <c r="AB77" i="1"/>
  <c r="AC77" i="1"/>
  <c r="AS75" i="1"/>
  <c r="AP75" i="1"/>
  <c r="AV75" i="1"/>
  <c r="AR75" i="1"/>
  <c r="AU75" i="1"/>
  <c r="AQ75" i="1"/>
  <c r="N76" i="1"/>
  <c r="M76" i="1"/>
  <c r="L76" i="1" l="1"/>
  <c r="AT76" i="1" s="1"/>
  <c r="AS76" i="1"/>
  <c r="N77" i="1"/>
  <c r="M77" i="1"/>
  <c r="AR76" i="1"/>
  <c r="AV76" i="1"/>
  <c r="Q78" i="1"/>
  <c r="Z78" i="1"/>
  <c r="R78" i="1"/>
  <c r="AA78" i="1"/>
  <c r="C78" i="1"/>
  <c r="U78" i="1"/>
  <c r="AD78" i="1"/>
  <c r="V78" i="1"/>
  <c r="AE78" i="1"/>
  <c r="AB78" i="1"/>
  <c r="AC78" i="1"/>
  <c r="AF78" i="1"/>
  <c r="AG78" i="1"/>
  <c r="S78" i="1"/>
  <c r="T78" i="1"/>
  <c r="W78" i="1"/>
  <c r="B79" i="1"/>
  <c r="X78" i="1"/>
  <c r="AQ76" i="1"/>
  <c r="AU76" i="1"/>
  <c r="AP76" i="1"/>
  <c r="K77" i="1"/>
  <c r="D77" i="1"/>
  <c r="G77" i="1"/>
  <c r="H77" i="1"/>
  <c r="E77" i="1"/>
  <c r="F77" i="1"/>
  <c r="I77" i="1"/>
  <c r="J77" i="1"/>
  <c r="L77" i="1" l="1"/>
  <c r="AT77" i="1" s="1"/>
  <c r="M78" i="1"/>
  <c r="N78" i="1"/>
  <c r="AU77" i="1"/>
  <c r="AQ77" i="1"/>
  <c r="C79" i="1"/>
  <c r="U79" i="1"/>
  <c r="AD79" i="1"/>
  <c r="V79" i="1"/>
  <c r="AE79" i="1"/>
  <c r="Q79" i="1"/>
  <c r="Z79" i="1"/>
  <c r="R79" i="1"/>
  <c r="AA79" i="1"/>
  <c r="W79" i="1"/>
  <c r="X79" i="1"/>
  <c r="AB79" i="1"/>
  <c r="B80" i="1"/>
  <c r="AC79" i="1"/>
  <c r="AF79" i="1"/>
  <c r="AG79" i="1"/>
  <c r="S79" i="1"/>
  <c r="T79" i="1"/>
  <c r="AP77" i="1"/>
  <c r="AS77" i="1"/>
  <c r="AR77" i="1"/>
  <c r="AV77" i="1"/>
  <c r="G78" i="1"/>
  <c r="H78" i="1"/>
  <c r="K78" i="1"/>
  <c r="D78" i="1"/>
  <c r="I78" i="1"/>
  <c r="J78" i="1"/>
  <c r="E78" i="1"/>
  <c r="F78" i="1"/>
  <c r="L78" i="1" l="1"/>
  <c r="AT78" i="1" s="1"/>
  <c r="AS78" i="1"/>
  <c r="AR78" i="1"/>
  <c r="AV78" i="1"/>
  <c r="AQ78" i="1"/>
  <c r="AU78" i="1"/>
  <c r="Q80" i="1"/>
  <c r="R80" i="1"/>
  <c r="C80" i="1"/>
  <c r="U80" i="1"/>
  <c r="Z80" i="1"/>
  <c r="AA80" i="1"/>
  <c r="AB80" i="1"/>
  <c r="S80" i="1"/>
  <c r="AC80" i="1"/>
  <c r="T80" i="1"/>
  <c r="AD80" i="1"/>
  <c r="V80" i="1"/>
  <c r="AE80" i="1"/>
  <c r="W80" i="1"/>
  <c r="AF80" i="1"/>
  <c r="X80" i="1"/>
  <c r="AG80" i="1"/>
  <c r="B81" i="1"/>
  <c r="AP78" i="1"/>
  <c r="K79" i="1"/>
  <c r="D79" i="1"/>
  <c r="G79" i="1"/>
  <c r="H79" i="1"/>
  <c r="E79" i="1"/>
  <c r="F79" i="1"/>
  <c r="I79" i="1"/>
  <c r="J79" i="1"/>
  <c r="N79" i="1"/>
  <c r="M79" i="1"/>
  <c r="AS79" i="1" l="1"/>
  <c r="AV79" i="1"/>
  <c r="AR79" i="1"/>
  <c r="AU79" i="1"/>
  <c r="AQ79" i="1"/>
  <c r="G80" i="1"/>
  <c r="H80" i="1"/>
  <c r="K80" i="1"/>
  <c r="D80" i="1"/>
  <c r="E80" i="1"/>
  <c r="F80" i="1"/>
  <c r="I80" i="1"/>
  <c r="J80" i="1"/>
  <c r="C81" i="1"/>
  <c r="U81" i="1"/>
  <c r="AD81" i="1"/>
  <c r="V81" i="1"/>
  <c r="AE81" i="1"/>
  <c r="W81" i="1"/>
  <c r="AF81" i="1"/>
  <c r="X81" i="1"/>
  <c r="AG81" i="1"/>
  <c r="B82" i="1"/>
  <c r="Q81" i="1"/>
  <c r="Z81" i="1"/>
  <c r="R81" i="1"/>
  <c r="AA81" i="1"/>
  <c r="S81" i="1"/>
  <c r="AB81" i="1"/>
  <c r="T81" i="1"/>
  <c r="AC81" i="1"/>
  <c r="M80" i="1"/>
  <c r="AP79" i="1"/>
  <c r="L79" i="1"/>
  <c r="AT79" i="1" s="1"/>
  <c r="N80" i="1"/>
  <c r="N81" i="1" l="1"/>
  <c r="M81" i="1"/>
  <c r="AS80" i="1"/>
  <c r="Q82" i="1"/>
  <c r="Z82" i="1"/>
  <c r="R82" i="1"/>
  <c r="AA82" i="1"/>
  <c r="S82" i="1"/>
  <c r="AB82" i="1"/>
  <c r="T82" i="1"/>
  <c r="AC82" i="1"/>
  <c r="C82" i="1"/>
  <c r="U82" i="1"/>
  <c r="AD82" i="1"/>
  <c r="V82" i="1"/>
  <c r="AE82" i="1"/>
  <c r="W82" i="1"/>
  <c r="AF82" i="1"/>
  <c r="X82" i="1"/>
  <c r="AG82" i="1"/>
  <c r="B83" i="1"/>
  <c r="AP80" i="1"/>
  <c r="AR80" i="1"/>
  <c r="AV80" i="1"/>
  <c r="AQ80" i="1"/>
  <c r="AU80" i="1"/>
  <c r="K81" i="1"/>
  <c r="D81" i="1"/>
  <c r="E81" i="1"/>
  <c r="F81" i="1"/>
  <c r="G81" i="1"/>
  <c r="H81" i="1"/>
  <c r="I81" i="1"/>
  <c r="J81" i="1"/>
  <c r="L80" i="1"/>
  <c r="AT80" i="1" s="1"/>
  <c r="L81" i="1" l="1"/>
  <c r="AT81" i="1" s="1"/>
  <c r="AS81" i="1"/>
  <c r="C83" i="1"/>
  <c r="U83" i="1"/>
  <c r="AD83" i="1"/>
  <c r="V83" i="1"/>
  <c r="AE83" i="1"/>
  <c r="W83" i="1"/>
  <c r="AF83" i="1"/>
  <c r="X83" i="1"/>
  <c r="AG83" i="1"/>
  <c r="B84" i="1"/>
  <c r="Q83" i="1"/>
  <c r="Z83" i="1"/>
  <c r="R83" i="1"/>
  <c r="AA83" i="1"/>
  <c r="S83" i="1"/>
  <c r="AB83" i="1"/>
  <c r="T83" i="1"/>
  <c r="AC83" i="1"/>
  <c r="N82" i="1"/>
  <c r="AV81" i="1"/>
  <c r="AR81" i="1"/>
  <c r="G82" i="1"/>
  <c r="H82" i="1"/>
  <c r="I82" i="1"/>
  <c r="J82" i="1"/>
  <c r="K82" i="1"/>
  <c r="D82" i="1"/>
  <c r="E82" i="1"/>
  <c r="F82" i="1"/>
  <c r="M82" i="1"/>
  <c r="AU81" i="1"/>
  <c r="AQ81" i="1"/>
  <c r="AP81" i="1"/>
  <c r="L82" i="1" l="1"/>
  <c r="AT82" i="1" s="1"/>
  <c r="AS82" i="1"/>
  <c r="AP82" i="1"/>
  <c r="N83" i="1"/>
  <c r="AQ82" i="1"/>
  <c r="AU82" i="1"/>
  <c r="M83" i="1"/>
  <c r="Q84" i="1"/>
  <c r="Z84" i="1"/>
  <c r="R84" i="1"/>
  <c r="AA84" i="1"/>
  <c r="S84" i="1"/>
  <c r="AB84" i="1"/>
  <c r="T84" i="1"/>
  <c r="AC84" i="1"/>
  <c r="C84" i="1"/>
  <c r="U84" i="1"/>
  <c r="AD84" i="1"/>
  <c r="V84" i="1"/>
  <c r="AE84" i="1"/>
  <c r="W84" i="1"/>
  <c r="AF84" i="1"/>
  <c r="B85" i="1"/>
  <c r="X84" i="1"/>
  <c r="AG84" i="1"/>
  <c r="AR82" i="1"/>
  <c r="AV82" i="1"/>
  <c r="K83" i="1"/>
  <c r="D83" i="1"/>
  <c r="E83" i="1"/>
  <c r="F83" i="1"/>
  <c r="G83" i="1"/>
  <c r="H83" i="1"/>
  <c r="I83" i="1"/>
  <c r="J83" i="1"/>
  <c r="AS83" i="1" l="1"/>
  <c r="AP83" i="1"/>
  <c r="G84" i="1"/>
  <c r="H84" i="1"/>
  <c r="I84" i="1"/>
  <c r="J84" i="1"/>
  <c r="K84" i="1"/>
  <c r="D84" i="1"/>
  <c r="E84" i="1"/>
  <c r="F84" i="1"/>
  <c r="M84" i="1"/>
  <c r="N84" i="1"/>
  <c r="C85" i="1"/>
  <c r="U85" i="1"/>
  <c r="AD85" i="1"/>
  <c r="V85" i="1"/>
  <c r="AE85" i="1"/>
  <c r="W85" i="1"/>
  <c r="AF85" i="1"/>
  <c r="X85" i="1"/>
  <c r="AG85" i="1"/>
  <c r="B86" i="1"/>
  <c r="Q85" i="1"/>
  <c r="Z85" i="1"/>
  <c r="R85" i="1"/>
  <c r="AA85" i="1"/>
  <c r="S85" i="1"/>
  <c r="AB85" i="1"/>
  <c r="T85" i="1"/>
  <c r="AC85" i="1"/>
  <c r="L83" i="1"/>
  <c r="AT83" i="1" s="1"/>
  <c r="AV83" i="1"/>
  <c r="AR83" i="1"/>
  <c r="AU83" i="1"/>
  <c r="AQ83" i="1"/>
  <c r="L84" i="1" l="1"/>
  <c r="AS84" i="1"/>
  <c r="M85" i="1"/>
  <c r="Q86" i="1"/>
  <c r="Z86" i="1"/>
  <c r="R86" i="1"/>
  <c r="AA86" i="1"/>
  <c r="S86" i="1"/>
  <c r="AB86" i="1"/>
  <c r="T86" i="1"/>
  <c r="AC86" i="1"/>
  <c r="C86" i="1"/>
  <c r="U86" i="1"/>
  <c r="AD86" i="1"/>
  <c r="V86" i="1"/>
  <c r="AE86" i="1"/>
  <c r="W86" i="1"/>
  <c r="AF86" i="1"/>
  <c r="AG86" i="1"/>
  <c r="B87" i="1"/>
  <c r="X86" i="1"/>
  <c r="AR84" i="1"/>
  <c r="AV84" i="1"/>
  <c r="K85" i="1"/>
  <c r="D85" i="1"/>
  <c r="E85" i="1"/>
  <c r="F85" i="1"/>
  <c r="G85" i="1"/>
  <c r="H85" i="1"/>
  <c r="I85" i="1"/>
  <c r="J85" i="1"/>
  <c r="AQ84" i="1"/>
  <c r="AU84" i="1"/>
  <c r="AP84" i="1"/>
  <c r="AT84" i="1"/>
  <c r="N85" i="1"/>
  <c r="L85" i="1" l="1"/>
  <c r="AT85" i="1" s="1"/>
  <c r="AS85" i="1"/>
  <c r="AV85" i="1"/>
  <c r="AR85" i="1"/>
  <c r="AU85" i="1"/>
  <c r="AQ85" i="1"/>
  <c r="AP85" i="1"/>
  <c r="N86" i="1"/>
  <c r="C87" i="1"/>
  <c r="U87" i="1"/>
  <c r="AD87" i="1"/>
  <c r="V87" i="1"/>
  <c r="AE87" i="1"/>
  <c r="W87" i="1"/>
  <c r="AF87" i="1"/>
  <c r="X87" i="1"/>
  <c r="AG87" i="1"/>
  <c r="B88" i="1"/>
  <c r="Q87" i="1"/>
  <c r="Z87" i="1"/>
  <c r="R87" i="1"/>
  <c r="AA87" i="1"/>
  <c r="S87" i="1"/>
  <c r="AB87" i="1"/>
  <c r="T87" i="1"/>
  <c r="AC87" i="1"/>
  <c r="G86" i="1"/>
  <c r="H86" i="1"/>
  <c r="I86" i="1"/>
  <c r="J86" i="1"/>
  <c r="K86" i="1"/>
  <c r="D86" i="1"/>
  <c r="E86" i="1"/>
  <c r="F86" i="1"/>
  <c r="M86" i="1"/>
  <c r="L86" i="1" l="1"/>
  <c r="AT86" i="1" s="1"/>
  <c r="AS86" i="1"/>
  <c r="AR86" i="1"/>
  <c r="AV86" i="1"/>
  <c r="AP86" i="1"/>
  <c r="N87" i="1"/>
  <c r="AQ86" i="1"/>
  <c r="AU86" i="1"/>
  <c r="M87" i="1"/>
  <c r="Q88" i="1"/>
  <c r="Z88" i="1"/>
  <c r="R88" i="1"/>
  <c r="AA88" i="1"/>
  <c r="S88" i="1"/>
  <c r="AB88" i="1"/>
  <c r="T88" i="1"/>
  <c r="AC88" i="1"/>
  <c r="C88" i="1"/>
  <c r="U88" i="1"/>
  <c r="AD88" i="1"/>
  <c r="V88" i="1"/>
  <c r="AE88" i="1"/>
  <c r="W88" i="1"/>
  <c r="AF88" i="1"/>
  <c r="X88" i="1"/>
  <c r="AG88" i="1"/>
  <c r="B89" i="1"/>
  <c r="K87" i="1"/>
  <c r="D87" i="1"/>
  <c r="E87" i="1"/>
  <c r="F87" i="1"/>
  <c r="G87" i="1"/>
  <c r="H87" i="1"/>
  <c r="I87" i="1"/>
  <c r="J87" i="1"/>
  <c r="AP87" i="1" l="1"/>
  <c r="L87" i="1"/>
  <c r="AT87" i="1" s="1"/>
  <c r="AU87" i="1"/>
  <c r="AQ87" i="1"/>
  <c r="AS87" i="1"/>
  <c r="AV87" i="1"/>
  <c r="AR87" i="1"/>
  <c r="C89" i="1"/>
  <c r="U89" i="1"/>
  <c r="AD89" i="1"/>
  <c r="V89" i="1"/>
  <c r="AE89" i="1"/>
  <c r="W89" i="1"/>
  <c r="AF89" i="1"/>
  <c r="X89" i="1"/>
  <c r="AG89" i="1"/>
  <c r="B90" i="1"/>
  <c r="Q89" i="1"/>
  <c r="Z89" i="1"/>
  <c r="R89" i="1"/>
  <c r="AA89" i="1"/>
  <c r="S89" i="1"/>
  <c r="AB89" i="1"/>
  <c r="T89" i="1"/>
  <c r="AC89" i="1"/>
  <c r="N88" i="1"/>
  <c r="G88" i="1"/>
  <c r="H88" i="1"/>
  <c r="I88" i="1"/>
  <c r="J88" i="1"/>
  <c r="K88" i="1"/>
  <c r="D88" i="1"/>
  <c r="E88" i="1"/>
  <c r="F88" i="1"/>
  <c r="M88" i="1"/>
  <c r="AS88" i="1" l="1"/>
  <c r="AR88" i="1"/>
  <c r="AV88" i="1"/>
  <c r="AQ88" i="1"/>
  <c r="AU88" i="1"/>
  <c r="N89" i="1"/>
  <c r="L88" i="1"/>
  <c r="AT88" i="1" s="1"/>
  <c r="M89" i="1"/>
  <c r="AP88" i="1"/>
  <c r="Q90" i="1"/>
  <c r="Z90" i="1"/>
  <c r="R90" i="1"/>
  <c r="AA90" i="1"/>
  <c r="S90" i="1"/>
  <c r="T90" i="1"/>
  <c r="AC90" i="1"/>
  <c r="C90" i="1"/>
  <c r="U90" i="1"/>
  <c r="AD90" i="1"/>
  <c r="V90" i="1"/>
  <c r="AE90" i="1"/>
  <c r="W90" i="1"/>
  <c r="X90" i="1"/>
  <c r="AB90" i="1"/>
  <c r="AF90" i="1"/>
  <c r="AG90" i="1"/>
  <c r="B91" i="1"/>
  <c r="K89" i="1"/>
  <c r="D89" i="1"/>
  <c r="E89" i="1"/>
  <c r="F89" i="1"/>
  <c r="G89" i="1"/>
  <c r="H89" i="1"/>
  <c r="I89" i="1"/>
  <c r="J89" i="1"/>
  <c r="AS89" i="1" l="1"/>
  <c r="AU89" i="1"/>
  <c r="AQ89" i="1"/>
  <c r="L89" i="1"/>
  <c r="AT89" i="1" s="1"/>
  <c r="AV89" i="1"/>
  <c r="AR89" i="1"/>
  <c r="C91" i="1"/>
  <c r="U91" i="1"/>
  <c r="AD91" i="1"/>
  <c r="V91" i="1"/>
  <c r="AE91" i="1"/>
  <c r="X91" i="1"/>
  <c r="AG91" i="1"/>
  <c r="B92" i="1"/>
  <c r="Q91" i="1"/>
  <c r="Z91" i="1"/>
  <c r="R91" i="1"/>
  <c r="AA91" i="1"/>
  <c r="AC91" i="1"/>
  <c r="AF91" i="1"/>
  <c r="S91" i="1"/>
  <c r="T91" i="1"/>
  <c r="W91" i="1"/>
  <c r="AB91" i="1"/>
  <c r="N90" i="1"/>
  <c r="M90" i="1"/>
  <c r="AP89" i="1"/>
  <c r="G90" i="1"/>
  <c r="H90" i="1"/>
  <c r="I90" i="1"/>
  <c r="J90" i="1"/>
  <c r="K90" i="1"/>
  <c r="D90" i="1"/>
  <c r="E90" i="1"/>
  <c r="F90" i="1"/>
  <c r="L90" i="1" l="1"/>
  <c r="AT90" i="1" s="1"/>
  <c r="AS90" i="1"/>
  <c r="N91" i="1"/>
  <c r="AQ90" i="1"/>
  <c r="AU90" i="1"/>
  <c r="M91" i="1"/>
  <c r="K91" i="1"/>
  <c r="D91" i="1"/>
  <c r="F91" i="1"/>
  <c r="G91" i="1"/>
  <c r="H91" i="1"/>
  <c r="E91" i="1"/>
  <c r="I91" i="1"/>
  <c r="J91" i="1"/>
  <c r="Q92" i="1"/>
  <c r="Z92" i="1"/>
  <c r="R92" i="1"/>
  <c r="AA92" i="1"/>
  <c r="T92" i="1"/>
  <c r="AC92" i="1"/>
  <c r="C92" i="1"/>
  <c r="U92" i="1"/>
  <c r="AD92" i="1"/>
  <c r="V92" i="1"/>
  <c r="AE92" i="1"/>
  <c r="S92" i="1"/>
  <c r="B93" i="1"/>
  <c r="W92" i="1"/>
  <c r="X92" i="1"/>
  <c r="AB92" i="1"/>
  <c r="AF92" i="1"/>
  <c r="AG92" i="1"/>
  <c r="AR90" i="1"/>
  <c r="AV90" i="1"/>
  <c r="AP90" i="1"/>
  <c r="L91" i="1" l="1"/>
  <c r="AT91" i="1" s="1"/>
  <c r="N92" i="1"/>
  <c r="AS91" i="1"/>
  <c r="M92" i="1"/>
  <c r="AR91" i="1"/>
  <c r="AV91" i="1"/>
  <c r="G92" i="1"/>
  <c r="H92" i="1"/>
  <c r="J92" i="1"/>
  <c r="K92" i="1"/>
  <c r="D92" i="1"/>
  <c r="E92" i="1"/>
  <c r="F92" i="1"/>
  <c r="I92" i="1"/>
  <c r="AU91" i="1"/>
  <c r="AQ91" i="1"/>
  <c r="C93" i="1"/>
  <c r="U93" i="1"/>
  <c r="AD93" i="1"/>
  <c r="V93" i="1"/>
  <c r="AE93" i="1"/>
  <c r="Q93" i="1"/>
  <c r="Z93" i="1"/>
  <c r="R93" i="1"/>
  <c r="AA93" i="1"/>
  <c r="AG93" i="1"/>
  <c r="S93" i="1"/>
  <c r="T93" i="1"/>
  <c r="W93" i="1"/>
  <c r="X93" i="1"/>
  <c r="AB93" i="1"/>
  <c r="B94" i="1"/>
  <c r="AC93" i="1"/>
  <c r="AF93" i="1"/>
  <c r="AP91" i="1"/>
  <c r="L92" i="1" l="1"/>
  <c r="AT92" i="1" s="1"/>
  <c r="AS92" i="1"/>
  <c r="K93" i="1"/>
  <c r="D93" i="1"/>
  <c r="G93" i="1"/>
  <c r="H93" i="1"/>
  <c r="E93" i="1"/>
  <c r="F93" i="1"/>
  <c r="I93" i="1"/>
  <c r="J93" i="1"/>
  <c r="AR92" i="1"/>
  <c r="AV92" i="1"/>
  <c r="C94" i="1"/>
  <c r="T94" i="1"/>
  <c r="AC94" i="1"/>
  <c r="U94" i="1"/>
  <c r="AD94" i="1"/>
  <c r="V94" i="1"/>
  <c r="AE94" i="1"/>
  <c r="W94" i="1"/>
  <c r="AF94" i="1"/>
  <c r="X94" i="1"/>
  <c r="AG94" i="1"/>
  <c r="B95" i="1"/>
  <c r="Q94" i="1"/>
  <c r="Z94" i="1"/>
  <c r="R94" i="1"/>
  <c r="AA94" i="1"/>
  <c r="S94" i="1"/>
  <c r="AB94" i="1"/>
  <c r="AP92" i="1"/>
  <c r="N93" i="1"/>
  <c r="M93" i="1"/>
  <c r="AQ92" i="1"/>
  <c r="AU92" i="1"/>
  <c r="AS93" i="1" l="1"/>
  <c r="AR93" i="1"/>
  <c r="AV93" i="1"/>
  <c r="L93" i="1"/>
  <c r="AT93" i="1" s="1"/>
  <c r="M94" i="1"/>
  <c r="AQ93" i="1"/>
  <c r="AU93" i="1"/>
  <c r="N94" i="1"/>
  <c r="X95" i="1"/>
  <c r="AG95" i="1"/>
  <c r="B96" i="1"/>
  <c r="Q95" i="1"/>
  <c r="Z95" i="1"/>
  <c r="R95" i="1"/>
  <c r="AA95" i="1"/>
  <c r="S95" i="1"/>
  <c r="AB95" i="1"/>
  <c r="T95" i="1"/>
  <c r="AC95" i="1"/>
  <c r="C95" i="1"/>
  <c r="U95" i="1"/>
  <c r="AD95" i="1"/>
  <c r="V95" i="1"/>
  <c r="AE95" i="1"/>
  <c r="W95" i="1"/>
  <c r="AF95" i="1"/>
  <c r="AP93" i="1"/>
  <c r="G94" i="1"/>
  <c r="K94" i="1"/>
  <c r="D94" i="1"/>
  <c r="H94" i="1"/>
  <c r="I94" i="1"/>
  <c r="J94" i="1"/>
  <c r="E94" i="1"/>
  <c r="F94" i="1"/>
  <c r="L94" i="1" l="1"/>
  <c r="AT94" i="1" s="1"/>
  <c r="AS94" i="1"/>
  <c r="AU94" i="1"/>
  <c r="AQ94" i="1"/>
  <c r="AV94" i="1"/>
  <c r="AR94" i="1"/>
  <c r="AP94" i="1"/>
  <c r="N95" i="1"/>
  <c r="F95" i="1"/>
  <c r="G95" i="1"/>
  <c r="H95" i="1"/>
  <c r="I95" i="1"/>
  <c r="J95" i="1"/>
  <c r="K95" i="1"/>
  <c r="D95" i="1"/>
  <c r="E95" i="1"/>
  <c r="M95" i="1"/>
  <c r="T96" i="1"/>
  <c r="AC96" i="1"/>
  <c r="C96" i="1"/>
  <c r="U96" i="1"/>
  <c r="AD96" i="1"/>
  <c r="V96" i="1"/>
  <c r="AE96" i="1"/>
  <c r="W96" i="1"/>
  <c r="AF96" i="1"/>
  <c r="X96" i="1"/>
  <c r="AG96" i="1"/>
  <c r="B97" i="1"/>
  <c r="Q96" i="1"/>
  <c r="Z96" i="1"/>
  <c r="R96" i="1"/>
  <c r="AA96" i="1"/>
  <c r="AB96" i="1"/>
  <c r="S96" i="1"/>
  <c r="L95" i="1" l="1"/>
  <c r="AT95" i="1" s="1"/>
  <c r="N96" i="1"/>
  <c r="M96" i="1"/>
  <c r="AS95" i="1"/>
  <c r="X97" i="1"/>
  <c r="AG97" i="1"/>
  <c r="B98" i="1"/>
  <c r="Q97" i="1"/>
  <c r="Z97" i="1"/>
  <c r="R97" i="1"/>
  <c r="AA97" i="1"/>
  <c r="S97" i="1"/>
  <c r="AB97" i="1"/>
  <c r="T97" i="1"/>
  <c r="AC97" i="1"/>
  <c r="C97" i="1"/>
  <c r="U97" i="1"/>
  <c r="AD97" i="1"/>
  <c r="V97" i="1"/>
  <c r="AE97" i="1"/>
  <c r="W97" i="1"/>
  <c r="AF97" i="1"/>
  <c r="AR95" i="1"/>
  <c r="AV95" i="1"/>
  <c r="J96" i="1"/>
  <c r="K96" i="1"/>
  <c r="D96" i="1"/>
  <c r="E96" i="1"/>
  <c r="F96" i="1"/>
  <c r="G96" i="1"/>
  <c r="H96" i="1"/>
  <c r="I96" i="1"/>
  <c r="AQ95" i="1"/>
  <c r="AU95" i="1"/>
  <c r="AP95" i="1"/>
  <c r="L96" i="1" l="1"/>
  <c r="AT96" i="1" s="1"/>
  <c r="AS96" i="1"/>
  <c r="AV96" i="1"/>
  <c r="AR96" i="1"/>
  <c r="AU96" i="1"/>
  <c r="AQ96" i="1"/>
  <c r="F97" i="1"/>
  <c r="G97" i="1"/>
  <c r="H97" i="1"/>
  <c r="I97" i="1"/>
  <c r="J97" i="1"/>
  <c r="K97" i="1"/>
  <c r="D97" i="1"/>
  <c r="E97" i="1"/>
  <c r="M97" i="1"/>
  <c r="AP96" i="1"/>
  <c r="T98" i="1"/>
  <c r="AC98" i="1"/>
  <c r="C98" i="1"/>
  <c r="U98" i="1"/>
  <c r="AD98" i="1"/>
  <c r="V98" i="1"/>
  <c r="AE98" i="1"/>
  <c r="W98" i="1"/>
  <c r="AF98" i="1"/>
  <c r="X98" i="1"/>
  <c r="AG98" i="1"/>
  <c r="B99" i="1"/>
  <c r="Q98" i="1"/>
  <c r="Z98" i="1"/>
  <c r="R98" i="1"/>
  <c r="AA98" i="1"/>
  <c r="S98" i="1"/>
  <c r="AB98" i="1"/>
  <c r="N97" i="1"/>
  <c r="AQ97" i="1" l="1"/>
  <c r="AU97" i="1"/>
  <c r="AP97" i="1"/>
  <c r="N98" i="1"/>
  <c r="M98" i="1"/>
  <c r="X99" i="1"/>
  <c r="AG99" i="1"/>
  <c r="B100" i="1"/>
  <c r="Q99" i="1"/>
  <c r="Z99" i="1"/>
  <c r="R99" i="1"/>
  <c r="AA99" i="1"/>
  <c r="S99" i="1"/>
  <c r="AB99" i="1"/>
  <c r="T99" i="1"/>
  <c r="AC99" i="1"/>
  <c r="C99" i="1"/>
  <c r="U99" i="1"/>
  <c r="AD99" i="1"/>
  <c r="V99" i="1"/>
  <c r="AE99" i="1"/>
  <c r="AF99" i="1"/>
  <c r="W99" i="1"/>
  <c r="L97" i="1"/>
  <c r="AT97" i="1" s="1"/>
  <c r="J98" i="1"/>
  <c r="K98" i="1"/>
  <c r="D98" i="1"/>
  <c r="E98" i="1"/>
  <c r="F98" i="1"/>
  <c r="G98" i="1"/>
  <c r="H98" i="1"/>
  <c r="I98" i="1"/>
  <c r="AS97" i="1"/>
  <c r="AR97" i="1"/>
  <c r="AV97" i="1"/>
  <c r="L98" i="1" l="1"/>
  <c r="AT98" i="1" s="1"/>
  <c r="AP98" i="1"/>
  <c r="AS98" i="1"/>
  <c r="N99" i="1"/>
  <c r="AV98" i="1"/>
  <c r="AR98" i="1"/>
  <c r="F99" i="1"/>
  <c r="G99" i="1"/>
  <c r="H99" i="1"/>
  <c r="I99" i="1"/>
  <c r="J99" i="1"/>
  <c r="K99" i="1"/>
  <c r="D99" i="1"/>
  <c r="E99" i="1"/>
  <c r="M99" i="1"/>
  <c r="AU98" i="1"/>
  <c r="AQ98" i="1"/>
  <c r="T100" i="1"/>
  <c r="AC100" i="1"/>
  <c r="C100" i="1"/>
  <c r="U100" i="1"/>
  <c r="AD100" i="1"/>
  <c r="V100" i="1"/>
  <c r="AE100" i="1"/>
  <c r="W100" i="1"/>
  <c r="AF100" i="1"/>
  <c r="X100" i="1"/>
  <c r="AG100" i="1"/>
  <c r="B101" i="1"/>
  <c r="Q100" i="1"/>
  <c r="Z100" i="1"/>
  <c r="R100" i="1"/>
  <c r="AA100" i="1"/>
  <c r="S100" i="1"/>
  <c r="AB100" i="1"/>
  <c r="L99" i="1" l="1"/>
  <c r="AT99" i="1" s="1"/>
  <c r="AS99" i="1"/>
  <c r="N100" i="1"/>
  <c r="M100" i="1"/>
  <c r="X101" i="1"/>
  <c r="AG101" i="1"/>
  <c r="B102" i="1"/>
  <c r="Q101" i="1"/>
  <c r="Z101" i="1"/>
  <c r="R101" i="1"/>
  <c r="AA101" i="1"/>
  <c r="S101" i="1"/>
  <c r="AB101" i="1"/>
  <c r="T101" i="1"/>
  <c r="AC101" i="1"/>
  <c r="C101" i="1"/>
  <c r="U101" i="1"/>
  <c r="AD101" i="1"/>
  <c r="V101" i="1"/>
  <c r="AE101" i="1"/>
  <c r="W101" i="1"/>
  <c r="AF101" i="1"/>
  <c r="J100" i="1"/>
  <c r="K100" i="1"/>
  <c r="D100" i="1"/>
  <c r="E100" i="1"/>
  <c r="F100" i="1"/>
  <c r="G100" i="1"/>
  <c r="H100" i="1"/>
  <c r="I100" i="1"/>
  <c r="AR99" i="1"/>
  <c r="AV99" i="1"/>
  <c r="AQ99" i="1"/>
  <c r="AU99" i="1"/>
  <c r="AP99" i="1"/>
  <c r="N101" i="1" l="1"/>
  <c r="M101" i="1"/>
  <c r="AS100" i="1"/>
  <c r="F101" i="1"/>
  <c r="G101" i="1"/>
  <c r="H101" i="1"/>
  <c r="I101" i="1"/>
  <c r="J101" i="1"/>
  <c r="K101" i="1"/>
  <c r="D101" i="1"/>
  <c r="E101" i="1"/>
  <c r="AV100" i="1"/>
  <c r="AR100" i="1"/>
  <c r="T102" i="1"/>
  <c r="AC102" i="1"/>
  <c r="C102" i="1"/>
  <c r="U102" i="1"/>
  <c r="AD102" i="1"/>
  <c r="V102" i="1"/>
  <c r="AE102" i="1"/>
  <c r="W102" i="1"/>
  <c r="AF102" i="1"/>
  <c r="X102" i="1"/>
  <c r="AG102" i="1"/>
  <c r="B103" i="1"/>
  <c r="Q102" i="1"/>
  <c r="Z102" i="1"/>
  <c r="R102" i="1"/>
  <c r="AA102" i="1"/>
  <c r="S102" i="1"/>
  <c r="AB102" i="1"/>
  <c r="AU100" i="1"/>
  <c r="AQ100" i="1"/>
  <c r="AP100" i="1"/>
  <c r="L100" i="1"/>
  <c r="AT100" i="1" s="1"/>
  <c r="M102" i="1" l="1"/>
  <c r="AS101" i="1"/>
  <c r="AR101" i="1"/>
  <c r="AV101" i="1"/>
  <c r="AQ101" i="1"/>
  <c r="AU101" i="1"/>
  <c r="AP101" i="1"/>
  <c r="J102" i="1"/>
  <c r="K102" i="1"/>
  <c r="D102" i="1"/>
  <c r="E102" i="1"/>
  <c r="F102" i="1"/>
  <c r="G102" i="1"/>
  <c r="H102" i="1"/>
  <c r="I102" i="1"/>
  <c r="X103" i="1"/>
  <c r="AG103" i="1"/>
  <c r="B104" i="1"/>
  <c r="Q103" i="1"/>
  <c r="Z103" i="1"/>
  <c r="R103" i="1"/>
  <c r="AA103" i="1"/>
  <c r="S103" i="1"/>
  <c r="AB103" i="1"/>
  <c r="T103" i="1"/>
  <c r="AC103" i="1"/>
  <c r="C103" i="1"/>
  <c r="U103" i="1"/>
  <c r="AD103" i="1"/>
  <c r="V103" i="1"/>
  <c r="AE103" i="1"/>
  <c r="AF103" i="1"/>
  <c r="W103" i="1"/>
  <c r="N102" i="1"/>
  <c r="L101" i="1"/>
  <c r="AT101" i="1" s="1"/>
  <c r="L102" i="1" l="1"/>
  <c r="AT102" i="1" s="1"/>
  <c r="AS102" i="1"/>
  <c r="AV102" i="1"/>
  <c r="AR102" i="1"/>
  <c r="AU102" i="1"/>
  <c r="AQ102" i="1"/>
  <c r="AP102" i="1"/>
  <c r="N103" i="1"/>
  <c r="M103" i="1"/>
  <c r="F103" i="1"/>
  <c r="G103" i="1"/>
  <c r="H103" i="1"/>
  <c r="I103" i="1"/>
  <c r="J103" i="1"/>
  <c r="K103" i="1"/>
  <c r="D103" i="1"/>
  <c r="E103" i="1"/>
  <c r="T104" i="1"/>
  <c r="AC104" i="1"/>
  <c r="C104" i="1"/>
  <c r="U104" i="1"/>
  <c r="AD104" i="1"/>
  <c r="V104" i="1"/>
  <c r="AE104" i="1"/>
  <c r="W104" i="1"/>
  <c r="AF104" i="1"/>
  <c r="X104" i="1"/>
  <c r="AG104" i="1"/>
  <c r="B105" i="1"/>
  <c r="Q104" i="1"/>
  <c r="Z104" i="1"/>
  <c r="R104" i="1"/>
  <c r="AA104" i="1"/>
  <c r="S104" i="1"/>
  <c r="AB104" i="1"/>
  <c r="L103" i="1" l="1"/>
  <c r="AT103" i="1" s="1"/>
  <c r="AS103" i="1"/>
  <c r="N104" i="1"/>
  <c r="M104" i="1"/>
  <c r="AR103" i="1"/>
  <c r="AV103" i="1"/>
  <c r="X105" i="1"/>
  <c r="AG105" i="1"/>
  <c r="B106" i="1"/>
  <c r="Q105" i="1"/>
  <c r="Z105" i="1"/>
  <c r="R105" i="1"/>
  <c r="AA105" i="1"/>
  <c r="S105" i="1"/>
  <c r="AB105" i="1"/>
  <c r="T105" i="1"/>
  <c r="AC105" i="1"/>
  <c r="C105" i="1"/>
  <c r="U105" i="1"/>
  <c r="AD105" i="1"/>
  <c r="V105" i="1"/>
  <c r="AE105" i="1"/>
  <c r="W105" i="1"/>
  <c r="AF105" i="1"/>
  <c r="AQ103" i="1"/>
  <c r="AU103" i="1"/>
  <c r="J104" i="1"/>
  <c r="K104" i="1"/>
  <c r="D104" i="1"/>
  <c r="E104" i="1"/>
  <c r="F104" i="1"/>
  <c r="G104" i="1"/>
  <c r="H104" i="1"/>
  <c r="I104" i="1"/>
  <c r="AP103" i="1"/>
  <c r="AS104" i="1" l="1"/>
  <c r="AV104" i="1"/>
  <c r="AR104" i="1"/>
  <c r="N105" i="1"/>
  <c r="L104" i="1"/>
  <c r="AT104" i="1" s="1"/>
  <c r="AU104" i="1"/>
  <c r="AQ104" i="1"/>
  <c r="F105" i="1"/>
  <c r="G105" i="1"/>
  <c r="H105" i="1"/>
  <c r="I105" i="1"/>
  <c r="J105" i="1"/>
  <c r="K105" i="1"/>
  <c r="D105" i="1"/>
  <c r="E105" i="1"/>
  <c r="M105" i="1"/>
  <c r="AP104" i="1"/>
  <c r="T106" i="1"/>
  <c r="AC106" i="1"/>
  <c r="C106" i="1"/>
  <c r="U106" i="1"/>
  <c r="AD106" i="1"/>
  <c r="V106" i="1"/>
  <c r="AE106" i="1"/>
  <c r="W106" i="1"/>
  <c r="AF106" i="1"/>
  <c r="X106" i="1"/>
  <c r="AG106" i="1"/>
  <c r="B107" i="1"/>
  <c r="Q106" i="1"/>
  <c r="Z106" i="1"/>
  <c r="R106" i="1"/>
  <c r="AA106" i="1"/>
  <c r="S106" i="1"/>
  <c r="AB106" i="1"/>
  <c r="AS105" i="1" l="1"/>
  <c r="M106" i="1"/>
  <c r="X107" i="1"/>
  <c r="AG107" i="1"/>
  <c r="B108" i="1"/>
  <c r="Q107" i="1"/>
  <c r="Z107" i="1"/>
  <c r="R107" i="1"/>
  <c r="AA107" i="1"/>
  <c r="T107" i="1"/>
  <c r="AC107" i="1"/>
  <c r="C107" i="1"/>
  <c r="U107" i="1"/>
  <c r="AD107" i="1"/>
  <c r="V107" i="1"/>
  <c r="AE107" i="1"/>
  <c r="S107" i="1"/>
  <c r="W107" i="1"/>
  <c r="AB107" i="1"/>
  <c r="AF107" i="1"/>
  <c r="AR105" i="1"/>
  <c r="AV105" i="1"/>
  <c r="L105" i="1"/>
  <c r="AT105" i="1" s="1"/>
  <c r="N106" i="1"/>
  <c r="AQ105" i="1"/>
  <c r="AU105" i="1"/>
  <c r="J106" i="1"/>
  <c r="K106" i="1"/>
  <c r="D106" i="1"/>
  <c r="E106" i="1"/>
  <c r="F106" i="1"/>
  <c r="G106" i="1"/>
  <c r="H106" i="1"/>
  <c r="I106" i="1"/>
  <c r="AP105" i="1"/>
  <c r="L106" i="1" l="1"/>
  <c r="AT106" i="1" s="1"/>
  <c r="AP106" i="1"/>
  <c r="N107" i="1"/>
  <c r="M107" i="1"/>
  <c r="T108" i="1"/>
  <c r="AC108" i="1"/>
  <c r="C108" i="1"/>
  <c r="U108" i="1"/>
  <c r="AD108" i="1"/>
  <c r="V108" i="1"/>
  <c r="AE108" i="1"/>
  <c r="X108" i="1"/>
  <c r="Q108" i="1"/>
  <c r="Z108" i="1"/>
  <c r="R108" i="1"/>
  <c r="AA108" i="1"/>
  <c r="AG108" i="1"/>
  <c r="AB108" i="1"/>
  <c r="S108" i="1"/>
  <c r="W108" i="1"/>
  <c r="B109" i="1"/>
  <c r="AF108" i="1"/>
  <c r="AS106" i="1"/>
  <c r="F107" i="1"/>
  <c r="G107" i="1"/>
  <c r="H107" i="1"/>
  <c r="J107" i="1"/>
  <c r="K107" i="1"/>
  <c r="D107" i="1"/>
  <c r="E107" i="1"/>
  <c r="I107" i="1"/>
  <c r="AU106" i="1"/>
  <c r="AQ106" i="1"/>
  <c r="AR106" i="1"/>
  <c r="AV106" i="1"/>
  <c r="M108" i="1" l="1"/>
  <c r="L107" i="1"/>
  <c r="AT107" i="1" s="1"/>
  <c r="AQ107" i="1"/>
  <c r="AU107" i="1"/>
  <c r="J108" i="1"/>
  <c r="K108" i="1"/>
  <c r="D108" i="1"/>
  <c r="F108" i="1"/>
  <c r="G108" i="1"/>
  <c r="H108" i="1"/>
  <c r="E108" i="1"/>
  <c r="I108" i="1"/>
  <c r="N108" i="1"/>
  <c r="X109" i="1"/>
  <c r="R109" i="1"/>
  <c r="AA109" i="1"/>
  <c r="V109" i="1"/>
  <c r="U109" i="1"/>
  <c r="AG109" i="1"/>
  <c r="B110" i="1"/>
  <c r="C109" i="1"/>
  <c r="W109" i="1"/>
  <c r="Z109" i="1"/>
  <c r="AB109" i="1"/>
  <c r="AE109" i="1"/>
  <c r="AC109" i="1"/>
  <c r="S109" i="1"/>
  <c r="Q109" i="1"/>
  <c r="AD109" i="1"/>
  <c r="T109" i="1"/>
  <c r="AF109" i="1"/>
  <c r="AS107" i="1"/>
  <c r="AV107" i="1"/>
  <c r="AR107" i="1"/>
  <c r="AP107" i="1"/>
  <c r="L108" i="1" l="1"/>
  <c r="AT108" i="1" s="1"/>
  <c r="AS108" i="1"/>
  <c r="AP108" i="1"/>
  <c r="N109" i="1"/>
  <c r="F109" i="1"/>
  <c r="H109" i="1"/>
  <c r="D109" i="1"/>
  <c r="G109" i="1"/>
  <c r="I109" i="1"/>
  <c r="J109" i="1"/>
  <c r="K109" i="1"/>
  <c r="E109" i="1"/>
  <c r="AR108" i="1"/>
  <c r="AV108" i="1"/>
  <c r="T110" i="1"/>
  <c r="AC110" i="1"/>
  <c r="AA110" i="1"/>
  <c r="C110" i="1"/>
  <c r="U110" i="1"/>
  <c r="AD110" i="1"/>
  <c r="V110" i="1"/>
  <c r="AE110" i="1"/>
  <c r="W110" i="1"/>
  <c r="AF110" i="1"/>
  <c r="X110" i="1"/>
  <c r="AG110" i="1"/>
  <c r="B111" i="1"/>
  <c r="Q110" i="1"/>
  <c r="Z110" i="1"/>
  <c r="R110" i="1"/>
  <c r="AB110" i="1"/>
  <c r="S110" i="1"/>
  <c r="M109" i="1"/>
  <c r="AU108" i="1"/>
  <c r="AQ108" i="1"/>
  <c r="AS109" i="1" l="1"/>
  <c r="AU109" i="1"/>
  <c r="AQ109" i="1"/>
  <c r="AP109" i="1"/>
  <c r="X111" i="1"/>
  <c r="AG111" i="1"/>
  <c r="B112" i="1"/>
  <c r="Q111" i="1"/>
  <c r="Z111" i="1"/>
  <c r="R111" i="1"/>
  <c r="AA111" i="1"/>
  <c r="S111" i="1"/>
  <c r="AB111" i="1"/>
  <c r="V111" i="1"/>
  <c r="T111" i="1"/>
  <c r="AC111" i="1"/>
  <c r="C111" i="1"/>
  <c r="U111" i="1"/>
  <c r="AD111" i="1"/>
  <c r="AE111" i="1"/>
  <c r="W111" i="1"/>
  <c r="AF111" i="1"/>
  <c r="J110" i="1"/>
  <c r="H110" i="1"/>
  <c r="K110" i="1"/>
  <c r="D110" i="1"/>
  <c r="E110" i="1"/>
  <c r="F110" i="1"/>
  <c r="G110" i="1"/>
  <c r="I110" i="1"/>
  <c r="N110" i="1"/>
  <c r="M110" i="1"/>
  <c r="L109" i="1"/>
  <c r="AT109" i="1" s="1"/>
  <c r="AR109" i="1"/>
  <c r="AV109" i="1"/>
  <c r="N111" i="1" l="1"/>
  <c r="M111" i="1"/>
  <c r="AS110" i="1"/>
  <c r="AP110" i="1"/>
  <c r="L110" i="1"/>
  <c r="AT110" i="1" s="1"/>
  <c r="AV110" i="1"/>
  <c r="AR110" i="1"/>
  <c r="T112" i="1"/>
  <c r="AC112" i="1"/>
  <c r="R112" i="1"/>
  <c r="C112" i="1"/>
  <c r="U112" i="1"/>
  <c r="AD112" i="1"/>
  <c r="V112" i="1"/>
  <c r="AE112" i="1"/>
  <c r="W112" i="1"/>
  <c r="AF112" i="1"/>
  <c r="X112" i="1"/>
  <c r="AG112" i="1"/>
  <c r="B113" i="1"/>
  <c r="AA112" i="1"/>
  <c r="Q112" i="1"/>
  <c r="Z112" i="1"/>
  <c r="S112" i="1"/>
  <c r="AB112" i="1"/>
  <c r="AU110" i="1"/>
  <c r="AQ110" i="1"/>
  <c r="F111" i="1"/>
  <c r="G111" i="1"/>
  <c r="H111" i="1"/>
  <c r="D111" i="1"/>
  <c r="I111" i="1"/>
  <c r="J111" i="1"/>
  <c r="K111" i="1"/>
  <c r="E111" i="1"/>
  <c r="L111" i="1" l="1"/>
  <c r="AT111" i="1" s="1"/>
  <c r="AS111" i="1"/>
  <c r="X113" i="1"/>
  <c r="AG113" i="1"/>
  <c r="B114" i="1"/>
  <c r="Q113" i="1"/>
  <c r="Z113" i="1"/>
  <c r="R113" i="1"/>
  <c r="AA113" i="1"/>
  <c r="AE113" i="1"/>
  <c r="S113" i="1"/>
  <c r="AB113" i="1"/>
  <c r="V113" i="1"/>
  <c r="T113" i="1"/>
  <c r="AC113" i="1"/>
  <c r="C113" i="1"/>
  <c r="U113" i="1"/>
  <c r="AD113" i="1"/>
  <c r="W113" i="1"/>
  <c r="AF113" i="1"/>
  <c r="AR111" i="1"/>
  <c r="AV111" i="1"/>
  <c r="AQ111" i="1"/>
  <c r="AU111" i="1"/>
  <c r="N112" i="1"/>
  <c r="AP111" i="1"/>
  <c r="M112" i="1"/>
  <c r="J112" i="1"/>
  <c r="K112" i="1"/>
  <c r="D112" i="1"/>
  <c r="H112" i="1"/>
  <c r="E112" i="1"/>
  <c r="F112" i="1"/>
  <c r="G112" i="1"/>
  <c r="I112" i="1"/>
  <c r="L112" i="1" l="1"/>
  <c r="AT112" i="1" s="1"/>
  <c r="AP112" i="1"/>
  <c r="F113" i="1"/>
  <c r="G113" i="1"/>
  <c r="D113" i="1"/>
  <c r="H113" i="1"/>
  <c r="I113" i="1"/>
  <c r="J113" i="1"/>
  <c r="K113" i="1"/>
  <c r="E113" i="1"/>
  <c r="N113" i="1"/>
  <c r="AU112" i="1"/>
  <c r="AQ112" i="1"/>
  <c r="AS112" i="1"/>
  <c r="M113" i="1"/>
  <c r="AV112" i="1"/>
  <c r="AR112" i="1"/>
  <c r="T114" i="1"/>
  <c r="AC114" i="1"/>
  <c r="C114" i="1"/>
  <c r="U114" i="1"/>
  <c r="AD114" i="1"/>
  <c r="AA114" i="1"/>
  <c r="V114" i="1"/>
  <c r="AE114" i="1"/>
  <c r="W114" i="1"/>
  <c r="AF114" i="1"/>
  <c r="X114" i="1"/>
  <c r="AG114" i="1"/>
  <c r="B115" i="1"/>
  <c r="R114" i="1"/>
  <c r="Q114" i="1"/>
  <c r="Z114" i="1"/>
  <c r="S114" i="1"/>
  <c r="AB114" i="1"/>
  <c r="AS113" i="1" l="1"/>
  <c r="X115" i="1"/>
  <c r="AG115" i="1"/>
  <c r="B116" i="1"/>
  <c r="Q115" i="1"/>
  <c r="Z115" i="1"/>
  <c r="R115" i="1"/>
  <c r="AA115" i="1"/>
  <c r="S115" i="1"/>
  <c r="AB115" i="1"/>
  <c r="T115" i="1"/>
  <c r="AC115" i="1"/>
  <c r="C115" i="1"/>
  <c r="U115" i="1"/>
  <c r="AD115" i="1"/>
  <c r="W115" i="1"/>
  <c r="AE115" i="1"/>
  <c r="AF115" i="1"/>
  <c r="V115" i="1"/>
  <c r="AP113" i="1"/>
  <c r="AQ113" i="1"/>
  <c r="AU113" i="1"/>
  <c r="J114" i="1"/>
  <c r="H114" i="1"/>
  <c r="K114" i="1"/>
  <c r="D114" i="1"/>
  <c r="E114" i="1"/>
  <c r="F114" i="1"/>
  <c r="G114" i="1"/>
  <c r="I114" i="1"/>
  <c r="L113" i="1"/>
  <c r="AT113" i="1" s="1"/>
  <c r="N114" i="1"/>
  <c r="M114" i="1"/>
  <c r="AR113" i="1"/>
  <c r="AV113" i="1"/>
  <c r="AS114" i="1" l="1"/>
  <c r="AV114" i="1"/>
  <c r="AR114" i="1"/>
  <c r="AP114" i="1"/>
  <c r="AU114" i="1"/>
  <c r="AQ114" i="1"/>
  <c r="N115" i="1"/>
  <c r="F115" i="1"/>
  <c r="D115" i="1"/>
  <c r="G115" i="1"/>
  <c r="H115" i="1"/>
  <c r="I115" i="1"/>
  <c r="J115" i="1"/>
  <c r="K115" i="1"/>
  <c r="E115" i="1"/>
  <c r="L114" i="1"/>
  <c r="AT114" i="1" s="1"/>
  <c r="M115" i="1"/>
  <c r="T116" i="1"/>
  <c r="AC116" i="1"/>
  <c r="C116" i="1"/>
  <c r="U116" i="1"/>
  <c r="AD116" i="1"/>
  <c r="V116" i="1"/>
  <c r="AE116" i="1"/>
  <c r="W116" i="1"/>
  <c r="AF116" i="1"/>
  <c r="X116" i="1"/>
  <c r="AG116" i="1"/>
  <c r="B117" i="1"/>
  <c r="Q116" i="1"/>
  <c r="Z116" i="1"/>
  <c r="S116" i="1"/>
  <c r="AA116" i="1"/>
  <c r="AB116" i="1"/>
  <c r="R116" i="1"/>
  <c r="N116" i="1" l="1"/>
  <c r="L115" i="1"/>
  <c r="AT115" i="1" s="1"/>
  <c r="AS115" i="1"/>
  <c r="M116" i="1"/>
  <c r="X117" i="1"/>
  <c r="AG117" i="1"/>
  <c r="B118" i="1"/>
  <c r="Q117" i="1"/>
  <c r="Z117" i="1"/>
  <c r="R117" i="1"/>
  <c r="AA117" i="1"/>
  <c r="S117" i="1"/>
  <c r="AB117" i="1"/>
  <c r="T117" i="1"/>
  <c r="AC117" i="1"/>
  <c r="C117" i="1"/>
  <c r="U117" i="1"/>
  <c r="AD117" i="1"/>
  <c r="V117" i="1"/>
  <c r="W117" i="1"/>
  <c r="AE117" i="1"/>
  <c r="AF117" i="1"/>
  <c r="AR115" i="1"/>
  <c r="AV115" i="1"/>
  <c r="J116" i="1"/>
  <c r="K116" i="1"/>
  <c r="D116" i="1"/>
  <c r="E116" i="1"/>
  <c r="F116" i="1"/>
  <c r="G116" i="1"/>
  <c r="H116" i="1"/>
  <c r="I116" i="1"/>
  <c r="AQ115" i="1"/>
  <c r="AU115" i="1"/>
  <c r="AP115" i="1"/>
  <c r="L116" i="1" l="1"/>
  <c r="AT116" i="1" s="1"/>
  <c r="AS116" i="1"/>
  <c r="AU116" i="1"/>
  <c r="AQ116" i="1"/>
  <c r="F117" i="1"/>
  <c r="G117" i="1"/>
  <c r="H117" i="1"/>
  <c r="I117" i="1"/>
  <c r="J117" i="1"/>
  <c r="K117" i="1"/>
  <c r="D117" i="1"/>
  <c r="E117" i="1"/>
  <c r="M117" i="1"/>
  <c r="AP116" i="1"/>
  <c r="T118" i="1"/>
  <c r="AC118" i="1"/>
  <c r="C118" i="1"/>
  <c r="U118" i="1"/>
  <c r="AD118" i="1"/>
  <c r="V118" i="1"/>
  <c r="AE118" i="1"/>
  <c r="W118" i="1"/>
  <c r="AF118" i="1"/>
  <c r="X118" i="1"/>
  <c r="AG118" i="1"/>
  <c r="B119" i="1"/>
  <c r="Q118" i="1"/>
  <c r="Z118" i="1"/>
  <c r="R118" i="1"/>
  <c r="S118" i="1"/>
  <c r="AA118" i="1"/>
  <c r="AB118" i="1"/>
  <c r="AV116" i="1"/>
  <c r="AR116" i="1"/>
  <c r="N117" i="1"/>
  <c r="L117" i="1" l="1"/>
  <c r="AT117" i="1" s="1"/>
  <c r="AS117" i="1"/>
  <c r="AR117" i="1"/>
  <c r="AV117" i="1"/>
  <c r="AQ117" i="1"/>
  <c r="AU117" i="1"/>
  <c r="AP117" i="1"/>
  <c r="N118" i="1"/>
  <c r="J118" i="1"/>
  <c r="K118" i="1"/>
  <c r="D118" i="1"/>
  <c r="E118" i="1"/>
  <c r="F118" i="1"/>
  <c r="G118" i="1"/>
  <c r="I118" i="1"/>
  <c r="H118" i="1"/>
  <c r="M118" i="1"/>
  <c r="X119" i="1"/>
  <c r="AG119" i="1"/>
  <c r="B120" i="1"/>
  <c r="Q119" i="1"/>
  <c r="Z119" i="1"/>
  <c r="R119" i="1"/>
  <c r="AA119" i="1"/>
  <c r="S119" i="1"/>
  <c r="AB119" i="1"/>
  <c r="T119" i="1"/>
  <c r="AC119" i="1"/>
  <c r="C119" i="1"/>
  <c r="U119" i="1"/>
  <c r="AD119" i="1"/>
  <c r="V119" i="1"/>
  <c r="W119" i="1"/>
  <c r="AE119" i="1"/>
  <c r="AF119" i="1"/>
  <c r="AS118" i="1" l="1"/>
  <c r="AV118" i="1"/>
  <c r="AR118" i="1"/>
  <c r="AP118" i="1"/>
  <c r="L118" i="1"/>
  <c r="AT118" i="1" s="1"/>
  <c r="AU118" i="1"/>
  <c r="AQ118" i="1"/>
  <c r="N119" i="1"/>
  <c r="M119" i="1"/>
  <c r="F119" i="1"/>
  <c r="G119" i="1"/>
  <c r="H119" i="1"/>
  <c r="I119" i="1"/>
  <c r="J119" i="1"/>
  <c r="K119" i="1"/>
  <c r="E119" i="1"/>
  <c r="D119" i="1"/>
  <c r="T120" i="1"/>
  <c r="AC120" i="1"/>
  <c r="C120" i="1"/>
  <c r="U120" i="1"/>
  <c r="AD120" i="1"/>
  <c r="V120" i="1"/>
  <c r="AE120" i="1"/>
  <c r="W120" i="1"/>
  <c r="AF120" i="1"/>
  <c r="X120" i="1"/>
  <c r="AG120" i="1"/>
  <c r="B121" i="1"/>
  <c r="Q120" i="1"/>
  <c r="Z120" i="1"/>
  <c r="R120" i="1"/>
  <c r="S120" i="1"/>
  <c r="AA120" i="1"/>
  <c r="AB120" i="1"/>
  <c r="L119" i="1" l="1"/>
  <c r="AT119" i="1" s="1"/>
  <c r="AS119" i="1"/>
  <c r="N120" i="1"/>
  <c r="M120" i="1"/>
  <c r="AR119" i="1"/>
  <c r="AV119" i="1"/>
  <c r="AQ119" i="1"/>
  <c r="AU119" i="1"/>
  <c r="J120" i="1"/>
  <c r="K120" i="1"/>
  <c r="D120" i="1"/>
  <c r="E120" i="1"/>
  <c r="F120" i="1"/>
  <c r="G120" i="1"/>
  <c r="H120" i="1"/>
  <c r="I120" i="1"/>
  <c r="AP119" i="1"/>
  <c r="X121" i="1"/>
  <c r="AG121" i="1"/>
  <c r="B122" i="1"/>
  <c r="Q121" i="1"/>
  <c r="Z121" i="1"/>
  <c r="R121" i="1"/>
  <c r="AA121" i="1"/>
  <c r="S121" i="1"/>
  <c r="AB121" i="1"/>
  <c r="T121" i="1"/>
  <c r="AC121" i="1"/>
  <c r="C121" i="1"/>
  <c r="U121" i="1"/>
  <c r="AD121" i="1"/>
  <c r="AF121" i="1"/>
  <c r="AE121" i="1"/>
  <c r="V121" i="1"/>
  <c r="W121" i="1"/>
  <c r="AS120" i="1" l="1"/>
  <c r="AV120" i="1"/>
  <c r="AR120" i="1"/>
  <c r="AU120" i="1"/>
  <c r="AQ120" i="1"/>
  <c r="N121" i="1"/>
  <c r="AP120" i="1"/>
  <c r="M121" i="1"/>
  <c r="F121" i="1"/>
  <c r="G121" i="1"/>
  <c r="H121" i="1"/>
  <c r="I121" i="1"/>
  <c r="J121" i="1"/>
  <c r="K121" i="1"/>
  <c r="D121" i="1"/>
  <c r="E121" i="1"/>
  <c r="T122" i="1"/>
  <c r="AC122" i="1"/>
  <c r="C122" i="1"/>
  <c r="U122" i="1"/>
  <c r="AD122" i="1"/>
  <c r="V122" i="1"/>
  <c r="AE122" i="1"/>
  <c r="AF122" i="1"/>
  <c r="W122" i="1"/>
  <c r="X122" i="1"/>
  <c r="AG122" i="1"/>
  <c r="B123" i="1"/>
  <c r="Q122" i="1"/>
  <c r="Z122" i="1"/>
  <c r="AB122" i="1"/>
  <c r="R122" i="1"/>
  <c r="AA122" i="1"/>
  <c r="S122" i="1"/>
  <c r="L120" i="1"/>
  <c r="AT120" i="1" s="1"/>
  <c r="AS121" i="1" l="1"/>
  <c r="N122" i="1"/>
  <c r="M122" i="1"/>
  <c r="L121" i="1"/>
  <c r="AT121" i="1" s="1"/>
  <c r="X123" i="1"/>
  <c r="AG123" i="1"/>
  <c r="Q123" i="1"/>
  <c r="Z123" i="1"/>
  <c r="AB123" i="1"/>
  <c r="R123" i="1"/>
  <c r="AA123" i="1"/>
  <c r="S123" i="1"/>
  <c r="T123" i="1"/>
  <c r="AC123" i="1"/>
  <c r="C123" i="1"/>
  <c r="U123" i="1"/>
  <c r="AD123" i="1"/>
  <c r="W123" i="1"/>
  <c r="V123" i="1"/>
  <c r="AE123" i="1"/>
  <c r="AF123" i="1"/>
  <c r="AQ121" i="1"/>
  <c r="AU121" i="1"/>
  <c r="AR121" i="1"/>
  <c r="AV121" i="1"/>
  <c r="J122" i="1"/>
  <c r="K122" i="1"/>
  <c r="D122" i="1"/>
  <c r="E122" i="1"/>
  <c r="F122" i="1"/>
  <c r="G122" i="1"/>
  <c r="H122" i="1"/>
  <c r="I122" i="1"/>
  <c r="AP121" i="1"/>
  <c r="AS122" i="1" l="1"/>
  <c r="AU122" i="1"/>
  <c r="AQ122" i="1"/>
  <c r="AP122" i="1"/>
  <c r="N123" i="1"/>
  <c r="M123" i="1"/>
  <c r="F123" i="1"/>
  <c r="I123" i="1"/>
  <c r="G123" i="1"/>
  <c r="H123" i="1"/>
  <c r="J123" i="1"/>
  <c r="K123" i="1"/>
  <c r="D123" i="1"/>
  <c r="E123" i="1"/>
  <c r="AV122" i="1"/>
  <c r="AR122" i="1"/>
  <c r="L122" i="1"/>
  <c r="AT122" i="1" s="1"/>
  <c r="L123" i="1" l="1"/>
  <c r="AT123" i="1" s="1"/>
  <c r="AT47" i="1" s="1"/>
  <c r="AS123" i="1"/>
  <c r="AS47" i="1" s="1"/>
  <c r="AQ123" i="1"/>
  <c r="AQ47" i="1" s="1"/>
  <c r="AU123" i="1"/>
  <c r="AU47" i="1" s="1"/>
  <c r="AR123" i="1"/>
  <c r="AR47" i="1" s="1"/>
  <c r="AV123" i="1"/>
  <c r="AV47" i="1" s="1"/>
  <c r="AP123" i="1"/>
  <c r="AP47" i="1" s="1"/>
  <c r="C7" i="1" l="1"/>
  <c r="B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D10" authorId="0" shapeId="0" xr:uid="{00000000-0006-0000-0400-000001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<sst xmlns="http://schemas.openxmlformats.org/spreadsheetml/2006/main" count="124" uniqueCount="43">
  <si>
    <t>а</t>
  </si>
  <si>
    <t>ΔCp (1-2) J</t>
  </si>
  <si>
    <t>ΔG (1-2) kJ</t>
  </si>
  <si>
    <t>ΔS (1-2) J</t>
  </si>
  <si>
    <t>ΔH (1-2) kJ</t>
  </si>
  <si>
    <t>ΔCp (1-0) J</t>
  </si>
  <si>
    <t>ΔG (1-0) kJ</t>
  </si>
  <si>
    <t>ΔS (1-0) J</t>
  </si>
  <si>
    <t>ΔH (1-0) kJ</t>
  </si>
  <si>
    <t>2: Cp(T) Дж</t>
  </si>
  <si>
    <t>2: G(T) Дж</t>
  </si>
  <si>
    <t>2: S(T) Дж</t>
  </si>
  <si>
    <t>2: H(T) Дж</t>
  </si>
  <si>
    <t>1: Cp(T) J</t>
  </si>
  <si>
    <t>1: G(T) KJ</t>
  </si>
  <si>
    <t>1: S(T) J</t>
  </si>
  <si>
    <t>1: H(T) KJ</t>
  </si>
  <si>
    <t>0: Cp(T) J</t>
  </si>
  <si>
    <t>0: G(T) KJ</t>
  </si>
  <si>
    <t>0: S(T) J</t>
  </si>
  <si>
    <t>0: H(T) KJ</t>
  </si>
  <si>
    <t>Т (К)</t>
  </si>
  <si>
    <t>2: Gi</t>
  </si>
  <si>
    <t>2: Si</t>
  </si>
  <si>
    <t>Коэфф</t>
  </si>
  <si>
    <t>п</t>
  </si>
  <si>
    <t>Степень T             [П-&gt; T*Ln(T); l -&gt; ln(T)]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</si>
  <si>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</si>
  <si>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</si>
  <si>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</si>
  <si>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</si>
  <si>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</si>
  <si>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</si>
  <si>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</si>
  <si>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</si>
  <si>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1-2</t>
  </si>
  <si>
    <t>1-0</t>
  </si>
  <si>
    <t>1 сравнения</t>
  </si>
  <si>
    <t>Пересчет</t>
  </si>
  <si>
    <t xml:space="preserve">Конец </t>
  </si>
  <si>
    <t>0 эталон</t>
  </si>
  <si>
    <t xml:space="preserve">Начало </t>
  </si>
  <si>
    <t>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</si>
</sst>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5" x14ac:knownFonts="1">
    <font>
      <sz val="16"/>
      <color theme="1"/>
      <name val="Calibri"/>
      <family val="2"/>
      <charset val="204"/>
      <scheme val="minor"/>
    </font>
    <font>
      <sz val="16"/>
      <color theme="1" tint="4.9989318521683403E-2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3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7" tint="-0.49998474074526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 style="thick">
        <color indexed="64"/>
      </right>
      <top/>
      <bottom style="thick">
        <color indexed="64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8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49" fontId="0" fillId="0" borderId="0" xfId="0" applyNumberFormat="1"/>
    <xf numFmtId="11" fontId="0" fillId="0" borderId="0" xfId="0" applyNumberFormat="1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4" fontId="1" fillId="0" borderId="0" xfId="0" applyNumberFormat="1" applyFont="1"/>
    <xf numFmtId="165" fontId="0" fillId="0" borderId="0" xfId="0" applyNumberFormat="1"/>
    <xf numFmtId="4" fontId="0" fillId="0" borderId="0" xfId="0" applyNumberFormat="1"/>
    <xf numFmtId="3" fontId="1" fillId="0" borderId="0" xfId="0" applyNumberFormat="1" applyFont="1"/>
    <xf numFmtId="0" fontId="2" fillId="2" borderId="1" xfId="0" applyFont="1" applyFill="1" applyBorder="1"/>
    <xf numFmtId="0" fontId="2" fillId="3" borderId="1" xfId="0" applyFont="1" applyFill="1" applyBorder="1" applyAlignment="1">
      <alignment horizontal="left" vertical="center"/>
    </xf>
    <xf numFmtId="0" fontId="0" fillId="4" borderId="0" xfId="0" applyFill="1"/>
    <xf numFmtId="0" fontId="2" fillId="2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0" fontId="0" fillId="0" borderId="3" xfId="0" applyBorder="1"/>
    <xf numFmtId="2" fontId="0" fillId="0" borderId="4" xfId="0" applyNumberFormat="1" applyBorder="1"/>
    <xf numFmtId="49" fontId="3" fillId="0" borderId="0" xfId="0" applyNumberFormat="1" applyFont="1" applyAlignment="1">
      <alignment vertical="top"/>
    </xf>
    <xf numFmtId="16" fontId="0" fillId="0" borderId="0" xfId="0" applyNumberFormat="1"/>
    <xf numFmtId="0" fontId="4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1" fontId="7" fillId="0" borderId="0" xfId="0" applyNumberFormat="1" applyFont="1" applyAlignment="1">
      <alignment vertical="center"/>
    </xf>
    <xf numFmtId="11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top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0" fillId="0" borderId="0" xfId="0" applyNumberFormat="1" applyProtection="1">
      <protection locked="0"/>
    </xf>
    <xf numFmtId="0" fontId="12" fillId="8" borderId="0" xfId="0" applyFont="1" applyFill="1" applyAlignment="1">
      <alignment horizontal="center" vertic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2" xfId="0" applyFill="1" applyBorder="1"/>
    <xf numFmtId="0" fontId="0" fillId="0" borderId="0" xfId="0" applyAlignment="1">
      <alignment horizontal="center"/>
    </xf>
    <xf numFmtId="1" fontId="11" fillId="3" borderId="0" xfId="0" applyNumberFormat="1" applyFont="1" applyFill="1" applyAlignment="1">
      <alignment horizontal="center"/>
    </xf>
    <xf numFmtId="0" fontId="2" fillId="9" borderId="0" xfId="0" applyFont="1" applyFill="1" applyAlignment="1">
      <alignment horizontal="center" vertical="center"/>
    </xf>
    <xf numFmtId="49" fontId="5" fillId="10" borderId="2" xfId="0" applyNumberFormat="1" applyFont="1" applyFill="1" applyBorder="1" applyAlignment="1">
      <alignment horizontal="center"/>
    </xf>
    <xf numFmtId="49" fontId="5" fillId="10" borderId="7" xfId="0" applyNumberFormat="1" applyFont="1" applyFill="1" applyBorder="1" applyAlignment="1">
      <alignment horizontal="center"/>
    </xf>
    <xf numFmtId="49" fontId="5" fillId="10" borderId="6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6" fillId="7" borderId="14" xfId="0" applyFont="1" applyFill="1" applyBorder="1"/>
    <xf numFmtId="0" fontId="6" fillId="0" borderId="14" xfId="0" applyFont="1" applyBorder="1"/>
    <xf numFmtId="0" fontId="6" fillId="11" borderId="14" xfId="0" applyFont="1" applyFill="1" applyBorder="1" applyAlignment="1">
      <alignment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54058204396609E-2"/>
          <c:y val="2.1972418109257621E-2"/>
          <c:w val="0.9003975451279409"/>
          <c:h val="0.90038423826711711"/>
        </c:manualLayout>
      </c:layout>
      <c:scatterChart>
        <c:scatterStyle val="lineMarker"/>
        <c:varyColors val="0"/>
        <c:ser>
          <c:idx val="1"/>
          <c:order val="0"/>
          <c:tx>
            <c:strRef>
              <c:f>Сравнение!$AP$48</c:f>
              <c:strCache>
                <c:ptCount val="1"/>
                <c:pt idx="0">
                  <c:v>ΔH (1-0) kJ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1-47E4-4421-9955-CF6781206618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19050" cap="rnd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7E4-4421-9955-CF6781206618}"/>
              </c:ext>
            </c:extLst>
          </c:dPt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Сравнение!$AP$49:$AP$123</c:f>
              <c:numCache>
                <c:formatCode>#,##0.00</c:formatCode>
                <c:ptCount val="75"/>
                <c:pt idx="0">
                  <c:v>3.9114201318547988</c:v>
                </c:pt>
                <c:pt idx="1">
                  <c:v>4.0511985563286474</c:v>
                </c:pt>
                <c:pt idx="2">
                  <c:v>4.1860888675744841</c:v>
                </c:pt>
                <c:pt idx="3">
                  <c:v>4.3161459788323437</c:v>
                </c:pt>
                <c:pt idx="4">
                  <c:v>4.4414248033422625</c:v>
                </c:pt>
                <c:pt idx="5">
                  <c:v>4.5619802543442676</c:v>
                </c:pt>
                <c:pt idx="6">
                  <c:v>4.6778672450784011</c:v>
                </c:pt>
                <c:pt idx="7">
                  <c:v>4.7891406887846948</c:v>
                </c:pt>
                <c:pt idx="8">
                  <c:v>4.895855498703181</c:v>
                </c:pt>
                <c:pt idx="9">
                  <c:v>4.9980665880738933</c:v>
                </c:pt>
                <c:pt idx="10">
                  <c:v>5.0958288701368648</c:v>
                </c:pt>
                <c:pt idx="11">
                  <c:v>5.1891972581321344</c:v>
                </c:pt>
                <c:pt idx="12">
                  <c:v>5.2782266652997309</c:v>
                </c:pt>
                <c:pt idx="13">
                  <c:v>5.3629720048796941</c:v>
                </c:pt>
                <c:pt idx="14">
                  <c:v>5.4434881901120491</c:v>
                </c:pt>
                <c:pt idx="15">
                  <c:v>5.5198301342368357</c:v>
                </c:pt>
                <c:pt idx="16">
                  <c:v>5.5920527504940898</c:v>
                </c:pt>
                <c:pt idx="17">
                  <c:v>5.6602109521238448</c:v>
                </c:pt>
                <c:pt idx="18">
                  <c:v>5.7243596523661262</c:v>
                </c:pt>
                <c:pt idx="19">
                  <c:v>5.7845537644609788</c:v>
                </c:pt>
                <c:pt idx="20">
                  <c:v>5.8408482016484307</c:v>
                </c:pt>
                <c:pt idx="21">
                  <c:v>5.8932978771685196</c:v>
                </c:pt>
                <c:pt idx="22">
                  <c:v>5.9419577042612755</c:v>
                </c:pt>
                <c:pt idx="23">
                  <c:v>5.9868825961667325</c:v>
                </c:pt>
                <c:pt idx="24">
                  <c:v>6.0281274661249284</c:v>
                </c:pt>
                <c:pt idx="25">
                  <c:v>6.0657472273758959</c:v>
                </c:pt>
                <c:pt idx="26">
                  <c:v>6.0997967931596699</c:v>
                </c:pt>
                <c:pt idx="27">
                  <c:v>6.1303310767162733</c:v>
                </c:pt>
                <c:pt idx="28">
                  <c:v>6.1574049912857571</c:v>
                </c:pt>
                <c:pt idx="29">
                  <c:v>6.1810734501081477</c:v>
                </c:pt>
                <c:pt idx="30">
                  <c:v>6.2013913664234757</c:v>
                </c:pt>
                <c:pt idx="31">
                  <c:v>6.2184136534717833</c:v>
                </c:pt>
                <c:pt idx="32">
                  <c:v>6.2321952244930952</c:v>
                </c:pt>
                <c:pt idx="33">
                  <c:v>6.2427909927274463</c:v>
                </c:pt>
                <c:pt idx="34">
                  <c:v>6.2502558714148879</c:v>
                </c:pt>
                <c:pt idx="35">
                  <c:v>6.2546447737954196</c:v>
                </c:pt>
                <c:pt idx="36">
                  <c:v>6.2560126131091032</c:v>
                </c:pt>
                <c:pt idx="37">
                  <c:v>6.2544143025959773</c:v>
                </c:pt>
                <c:pt idx="38">
                  <c:v>6.249904755496047</c:v>
                </c:pt>
                <c:pt idx="39">
                  <c:v>6.2425388850493739</c:v>
                </c:pt>
                <c:pt idx="40">
                  <c:v>6.2323716044959756</c:v>
                </c:pt>
                <c:pt idx="41">
                  <c:v>6.2194578270758996</c:v>
                </c:pt>
                <c:pt idx="42">
                  <c:v>6.2038524660291685</c:v>
                </c:pt>
                <c:pt idx="43">
                  <c:v>6.1856104345958158</c:v>
                </c:pt>
                <c:pt idx="44">
                  <c:v>6.1647866460158909</c:v>
                </c:pt>
                <c:pt idx="45">
                  <c:v>6.1414360135293968</c:v>
                </c:pt>
                <c:pt idx="46">
                  <c:v>6.1156134503764044</c:v>
                </c:pt>
                <c:pt idx="47">
                  <c:v>6.087373869796922</c:v>
                </c:pt>
                <c:pt idx="48">
                  <c:v>6.0567721850309866</c:v>
                </c:pt>
                <c:pt idx="49">
                  <c:v>6.023863309318644</c:v>
                </c:pt>
                <c:pt idx="50">
                  <c:v>5.9887021558999294</c:v>
                </c:pt>
                <c:pt idx="51">
                  <c:v>5.9513436380148548</c:v>
                </c:pt>
                <c:pt idx="52">
                  <c:v>5.9118426689034766</c:v>
                </c:pt>
                <c:pt idx="53">
                  <c:v>5.8702541618058159</c:v>
                </c:pt>
                <c:pt idx="54">
                  <c:v>5.8266330299619113</c:v>
                </c:pt>
                <c:pt idx="55">
                  <c:v>5.7810341866118051</c:v>
                </c:pt>
                <c:pt idx="56">
                  <c:v>5.7335125449955129</c:v>
                </c:pt>
                <c:pt idx="57">
                  <c:v>5.6841230183530804</c:v>
                </c:pt>
                <c:pt idx="58">
                  <c:v>5.6329205199245536</c:v>
                </c:pt>
                <c:pt idx="59">
                  <c:v>5.579959962949939</c:v>
                </c:pt>
                <c:pt idx="60">
                  <c:v>5.525296260669279</c:v>
                </c:pt>
                <c:pt idx="61">
                  <c:v>5.4689843263226265</c:v>
                </c:pt>
                <c:pt idx="62">
                  <c:v>5.4110790731500025</c:v>
                </c:pt>
                <c:pt idx="63">
                  <c:v>5.3516354143914384</c:v>
                </c:pt>
                <c:pt idx="64">
                  <c:v>5.2907082632869553</c:v>
                </c:pt>
                <c:pt idx="65">
                  <c:v>5.2283525330766203</c:v>
                </c:pt>
                <c:pt idx="66">
                  <c:v>5.1646231370004365</c:v>
                </c:pt>
                <c:pt idx="67">
                  <c:v>5.0995749882984533</c:v>
                </c:pt>
                <c:pt idx="68">
                  <c:v>5.0332630002107059</c:v>
                </c:pt>
                <c:pt idx="69">
                  <c:v>4.965742085977233</c:v>
                </c:pt>
                <c:pt idx="70">
                  <c:v>4.8970671588380483</c:v>
                </c:pt>
                <c:pt idx="71">
                  <c:v>4.8272931320331978</c:v>
                </c:pt>
                <c:pt idx="72">
                  <c:v>4.7564749188027164</c:v>
                </c:pt>
                <c:pt idx="73">
                  <c:v>4.6846674323866289</c:v>
                </c:pt>
                <c:pt idx="74">
                  <c:v>4.6119255860249915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7E4-4421-9955-CF6781206618}"/>
            </c:ext>
          </c:extLst>
        </c:ser>
        <c:ser>
          <c:idx val="3"/>
          <c:order val="2"/>
          <c:tx>
            <c:strRef>
              <c:f>Сравнение!$AR$48</c:f>
              <c:strCache>
                <c:ptCount val="1"/>
                <c:pt idx="0">
                  <c:v>ΔG (1-0) kJ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Сравнение!$AR$49:$AR$123</c:f>
              <c:numCache>
                <c:formatCode>#,##0.00</c:formatCode>
                <c:ptCount val="75"/>
                <c:pt idx="0">
                  <c:v>1.9591126883046677</c:v>
                </c:pt>
                <c:pt idx="1">
                  <c:v>1.8953596192535986</c:v>
                </c:pt>
                <c:pt idx="2">
                  <c:v>1.8274072807836035</c:v>
                </c:pt>
                <c:pt idx="3">
                  <c:v>1.7555244877502432</c:v>
                </c:pt>
                <c:pt idx="4">
                  <c:v>1.6799629785688026</c:v>
                </c:pt>
                <c:pt idx="5">
                  <c:v>1.6009588504193566</c:v>
                </c:pt>
                <c:pt idx="6">
                  <c:v>1.5187338379845858</c:v>
                </c:pt>
                <c:pt idx="7">
                  <c:v>1.4334964564797605</c:v>
                </c:pt>
                <c:pt idx="8">
                  <c:v>1.345443026514296</c:v>
                </c:pt>
                <c:pt idx="9">
                  <c:v>1.2547585956722855</c:v>
                </c:pt>
                <c:pt idx="10">
                  <c:v>1.1616177695038079</c:v>
                </c:pt>
                <c:pt idx="11">
                  <c:v>1.066185462791978</c:v>
                </c:pt>
                <c:pt idx="12">
                  <c:v>0.96861758043348445</c:v>
                </c:pt>
                <c:pt idx="13">
                  <c:v>0.86906163598777653</c:v>
                </c:pt>
                <c:pt idx="14">
                  <c:v>0.76765731486858968</c:v>
                </c:pt>
                <c:pt idx="15">
                  <c:v>0.66453698823567819</c:v>
                </c:pt>
                <c:pt idx="16">
                  <c:v>0.55982618286592256</c:v>
                </c:pt>
                <c:pt idx="17">
                  <c:v>0.45364401161908319</c:v>
                </c:pt>
                <c:pt idx="18">
                  <c:v>0.34610356854427238</c:v>
                </c:pt>
                <c:pt idx="19">
                  <c:v>0.23731229218531169</c:v>
                </c:pt>
                <c:pt idx="20">
                  <c:v>0.127372300220987</c:v>
                </c:pt>
                <c:pt idx="21">
                  <c:v>1.638069821356325E-2</c:v>
                </c:pt>
                <c:pt idx="22">
                  <c:v>-9.5570135078542506E-2</c:v>
                </c:pt>
                <c:pt idx="23">
                  <c:v>-0.20839228364075524</c:v>
                </c:pt>
                <c:pt idx="24">
                  <c:v>-0.3220020494528022</c:v>
                </c:pt>
                <c:pt idx="25">
                  <c:v>-0.43631972531588303</c:v>
                </c:pt>
                <c:pt idx="26">
                  <c:v>-0.55126938370612422</c:v>
                </c:pt>
                <c:pt idx="27">
                  <c:v>-0.66677868026604159</c:v>
                </c:pt>
                <c:pt idx="28">
                  <c:v>-0.7827786706866533</c:v>
                </c:pt>
                <c:pt idx="29">
                  <c:v>-0.89920363985889651</c:v>
                </c:pt>
                <c:pt idx="30">
                  <c:v>-1.0159909422834943</c:v>
                </c:pt>
                <c:pt idx="31">
                  <c:v>-1.1330808528271419</c:v>
                </c:pt>
                <c:pt idx="32">
                  <c:v>-1.250416426999454</c:v>
                </c:pt>
                <c:pt idx="33">
                  <c:v>-1.3679433700039603</c:v>
                </c:pt>
                <c:pt idx="34">
                  <c:v>-1.485609913884506</c:v>
                </c:pt>
                <c:pt idx="35">
                  <c:v>-1.6033667021513018</c:v>
                </c:pt>
                <c:pt idx="36">
                  <c:v>-1.7211666813257303</c:v>
                </c:pt>
                <c:pt idx="37">
                  <c:v>-1.8389649988930259</c:v>
                </c:pt>
                <c:pt idx="38">
                  <c:v>-1.9567189071965174</c:v>
                </c:pt>
                <c:pt idx="39">
                  <c:v>-2.0743876728468607</c:v>
                </c:pt>
                <c:pt idx="40">
                  <c:v>-2.1919324912567149</c:v>
                </c:pt>
                <c:pt idx="41">
                  <c:v>-2.3093164059431359</c:v>
                </c:pt>
                <c:pt idx="42">
                  <c:v>-2.4265042322697639</c:v>
                </c:pt>
                <c:pt idx="43">
                  <c:v>-2.5434624853278649</c:v>
                </c:pt>
                <c:pt idx="44">
                  <c:v>-2.6601593116787754</c:v>
                </c:pt>
                <c:pt idx="45">
                  <c:v>-2.776564424703146</c:v>
                </c:pt>
                <c:pt idx="46">
                  <c:v>-2.892649043321633</c:v>
                </c:pt>
                <c:pt idx="47">
                  <c:v>-3.008385833869994</c:v>
                </c:pt>
                <c:pt idx="48">
                  <c:v>-3.1237488549284222</c:v>
                </c:pt>
                <c:pt idx="49">
                  <c:v>-3.2387135049197155</c:v>
                </c:pt>
                <c:pt idx="50">
                  <c:v>-3.353256472304551</c:v>
                </c:pt>
                <c:pt idx="51">
                  <c:v>-3.4673556882151146</c:v>
                </c:pt>
                <c:pt idx="52">
                  <c:v>-3.5809902813797052</c:v>
                </c:pt>
                <c:pt idx="53">
                  <c:v>-3.694140535201285</c:v>
                </c:pt>
                <c:pt idx="54">
                  <c:v>-3.8067878468629601</c:v>
                </c:pt>
                <c:pt idx="55">
                  <c:v>-3.9189146883419923</c:v>
                </c:pt>
                <c:pt idx="56">
                  <c:v>-4.0305045692225576</c:v>
                </c:pt>
                <c:pt idx="57">
                  <c:v>-4.1415420012043853</c:v>
                </c:pt>
                <c:pt idx="58">
                  <c:v>-4.2520124642118802</c:v>
                </c:pt>
                <c:pt idx="59">
                  <c:v>-4.3619023740144343</c:v>
                </c:pt>
                <c:pt idx="60">
                  <c:v>-4.4711990512747306</c:v>
                </c:pt>
                <c:pt idx="61">
                  <c:v>-4.5798906919469999</c:v>
                </c:pt>
                <c:pt idx="62">
                  <c:v>-4.6879663389525277</c:v>
                </c:pt>
                <c:pt idx="63">
                  <c:v>-4.7954158550644195</c:v>
                </c:pt>
                <c:pt idx="64">
                  <c:v>-4.9022298969372571</c:v>
                </c:pt>
                <c:pt idx="65">
                  <c:v>-5.0083998902226554</c:v>
                </c:pt>
                <c:pt idx="66">
                  <c:v>-5.1139180057137423</c:v>
                </c:pt>
                <c:pt idx="67">
                  <c:v>-5.2187771364663433</c:v>
                </c:pt>
                <c:pt idx="68">
                  <c:v>-5.3229708758474175</c:v>
                </c:pt>
                <c:pt idx="69">
                  <c:v>-5.4264934964641043</c:v>
                </c:pt>
                <c:pt idx="70">
                  <c:v>-5.5293399299295984</c:v>
                </c:pt>
                <c:pt idx="71">
                  <c:v>-5.6315057474250736</c:v>
                </c:pt>
                <c:pt idx="72">
                  <c:v>-5.7329871410182776</c:v>
                </c:pt>
                <c:pt idx="73">
                  <c:v>-5.8337809057029801</c:v>
                </c:pt>
                <c:pt idx="74">
                  <c:v>-5.9338844221244358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7E4-4421-9955-CF6781206618}"/>
            </c:ext>
          </c:extLst>
        </c:ser>
        <c:ser>
          <c:idx val="11"/>
          <c:order val="11"/>
          <c:tx>
            <c:strRef>
              <c:f>Сравнение!$H$48</c:f>
              <c:strCache>
                <c:ptCount val="1"/>
                <c:pt idx="0">
                  <c:v>1: H(T) KJ</c:v>
                </c:pt>
              </c:strCache>
              <c:extLst xmlns:c15="http://schemas.microsoft.com/office/drawing/2012/chart"/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  <c:extLst xmlns:c15="http://schemas.microsoft.com/office/drawing/2012/chart"/>
            </c:numRef>
          </c:xVal>
          <c:yVal>
            <c:numRef>
              <c:f>Сравнение!$H$49:$H$123</c:f>
              <c:numCache>
                <c:formatCode>#,##0</c:formatCode>
                <c:ptCount val="75"/>
                <c:pt idx="0">
                  <c:v>3.9584041794797997</c:v>
                </c:pt>
                <c:pt idx="1">
                  <c:v>4.3397650546475868</c:v>
                </c:pt>
                <c:pt idx="2">
                  <c:v>4.7184837990563171</c:v>
                </c:pt>
                <c:pt idx="3">
                  <c:v>5.0946153259460241</c:v>
                </c:pt>
                <c:pt idx="4">
                  <c:v>5.4682145485567482</c:v>
                </c:pt>
                <c:pt idx="5">
                  <c:v>5.839336380128513</c:v>
                </c:pt>
                <c:pt idx="6">
                  <c:v>6.2080357339013599</c:v>
                </c:pt>
                <c:pt idx="7">
                  <c:v>6.5743675231153249</c:v>
                </c:pt>
                <c:pt idx="8">
                  <c:v>6.9383866610104379</c:v>
                </c:pt>
                <c:pt idx="9">
                  <c:v>7.3001480608267295</c:v>
                </c:pt>
                <c:pt idx="10">
                  <c:v>7.6597066358042394</c:v>
                </c:pt>
                <c:pt idx="11">
                  <c:v>8.0171172991830009</c:v>
                </c:pt>
                <c:pt idx="12">
                  <c:v>8.3724349642030464</c:v>
                </c:pt>
                <c:pt idx="13">
                  <c:v>8.7257145441044113</c:v>
                </c:pt>
                <c:pt idx="14">
                  <c:v>9.0770109521271252</c:v>
                </c:pt>
                <c:pt idx="15">
                  <c:v>9.4263791015112268</c:v>
                </c:pt>
                <c:pt idx="16">
                  <c:v>9.7738739054967496</c:v>
                </c:pt>
                <c:pt idx="17">
                  <c:v>10.119550277323729</c:v>
                </c:pt>
                <c:pt idx="18">
                  <c:v>10.463463130232192</c:v>
                </c:pt>
                <c:pt idx="19">
                  <c:v>10.805667377462182</c:v>
                </c:pt>
                <c:pt idx="20">
                  <c:v>11.146217932253723</c:v>
                </c:pt>
                <c:pt idx="21">
                  <c:v>11.485169707846858</c:v>
                </c:pt>
                <c:pt idx="22">
                  <c:v>11.822577617481619</c:v>
                </c:pt>
                <c:pt idx="23">
                  <c:v>12.158496574398031</c:v>
                </c:pt>
                <c:pt idx="24">
                  <c:v>12.492981491836142</c:v>
                </c:pt>
                <c:pt idx="25">
                  <c:v>12.826087283035978</c:v>
                </c:pt>
                <c:pt idx="26">
                  <c:v>13.157868861237572</c:v>
                </c:pt>
                <c:pt idx="27">
                  <c:v>13.488381139680959</c:v>
                </c:pt>
                <c:pt idx="28">
                  <c:v>13.817679031606177</c:v>
                </c:pt>
                <c:pt idx="29">
                  <c:v>14.14581745025326</c:v>
                </c:pt>
                <c:pt idx="30">
                  <c:v>14.47285130886223</c:v>
                </c:pt>
                <c:pt idx="31">
                  <c:v>14.798835520673142</c:v>
                </c:pt>
                <c:pt idx="32">
                  <c:v>15.123824998926009</c:v>
                </c:pt>
                <c:pt idx="33">
                  <c:v>15.44787465686087</c:v>
                </c:pt>
                <c:pt idx="34">
                  <c:v>15.77103940771778</c:v>
                </c:pt>
                <c:pt idx="35">
                  <c:v>16.093374164736737</c:v>
                </c:pt>
                <c:pt idx="36">
                  <c:v>16.414933841157801</c:v>
                </c:pt>
                <c:pt idx="37">
                  <c:v>16.735773350221006</c:v>
                </c:pt>
                <c:pt idx="38">
                  <c:v>17.055947605166363</c:v>
                </c:pt>
                <c:pt idx="39">
                  <c:v>17.375511519233939</c:v>
                </c:pt>
                <c:pt idx="40">
                  <c:v>17.69452000566374</c:v>
                </c:pt>
                <c:pt idx="41">
                  <c:v>18.013027977695817</c:v>
                </c:pt>
                <c:pt idx="42">
                  <c:v>18.3310903485702</c:v>
                </c:pt>
                <c:pt idx="43">
                  <c:v>18.648762031526914</c:v>
                </c:pt>
                <c:pt idx="44">
                  <c:v>18.966097939806012</c:v>
                </c:pt>
                <c:pt idx="45">
                  <c:v>19.283152986647494</c:v>
                </c:pt>
                <c:pt idx="46">
                  <c:v>19.599982085291433</c:v>
                </c:pt>
                <c:pt idx="47">
                  <c:v>19.916640148977841</c:v>
                </c:pt>
                <c:pt idx="48">
                  <c:v>20.233182090946752</c:v>
                </c:pt>
                <c:pt idx="49">
                  <c:v>20.549662824438208</c:v>
                </c:pt>
                <c:pt idx="50">
                  <c:v>20.866137262692249</c:v>
                </c:pt>
                <c:pt idx="51">
                  <c:v>21.18266031894888</c:v>
                </c:pt>
                <c:pt idx="52">
                  <c:v>21.499286906448166</c:v>
                </c:pt>
                <c:pt idx="53">
                  <c:v>21.816071938430131</c:v>
                </c:pt>
                <c:pt idx="54">
                  <c:v>22.133070328134803</c:v>
                </c:pt>
                <c:pt idx="55">
                  <c:v>22.450336988802228</c:v>
                </c:pt>
                <c:pt idx="56">
                  <c:v>22.767926833672423</c:v>
                </c:pt>
                <c:pt idx="57">
                  <c:v>23.085894775985437</c:v>
                </c:pt>
                <c:pt idx="58">
                  <c:v>23.404295728981303</c:v>
                </c:pt>
                <c:pt idx="59">
                  <c:v>23.723184605900045</c:v>
                </c:pt>
                <c:pt idx="60">
                  <c:v>24.042616319981697</c:v>
                </c:pt>
                <c:pt idx="61">
                  <c:v>24.362645784466306</c:v>
                </c:pt>
                <c:pt idx="62">
                  <c:v>24.683327912593903</c:v>
                </c:pt>
                <c:pt idx="63">
                  <c:v>25.004717617604516</c:v>
                </c:pt>
                <c:pt idx="64">
                  <c:v>25.32686981273817</c:v>
                </c:pt>
                <c:pt idx="65">
                  <c:v>25.649839411234911</c:v>
                </c:pt>
                <c:pt idx="66">
                  <c:v>25.973681326334773</c:v>
                </c:pt>
                <c:pt idx="67">
                  <c:v>26.298450471277786</c:v>
                </c:pt>
                <c:pt idx="68">
                  <c:v>26.624201759303993</c:v>
                </c:pt>
                <c:pt idx="69">
                  <c:v>26.950990103653428</c:v>
                </c:pt>
                <c:pt idx="70">
                  <c:v>27.278870417566107</c:v>
                </c:pt>
                <c:pt idx="71">
                  <c:v>27.607897614282081</c:v>
                </c:pt>
                <c:pt idx="72">
                  <c:v>27.938126607041365</c:v>
                </c:pt>
                <c:pt idx="73">
                  <c:v>28.269612309084014</c:v>
                </c:pt>
                <c:pt idx="74">
                  <c:v>28.602409633650058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7E4-4421-9955-CF6781206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5872"/>
        <c:axId val="51266430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Сравнение!$AV$48</c15:sqref>
                        </c15:formulaRef>
                      </c:ext>
                    </c:extLst>
                    <c:strCache>
                      <c:ptCount val="1"/>
                      <c:pt idx="0">
                        <c:v>ΔG (1-2) kJ</c:v>
                      </c:pt>
                    </c:strCache>
                  </c:strRef>
                </c:tx>
                <c:spPr>
                  <a:ln w="19050" cap="rnd">
                    <a:solidFill>
                      <a:schemeClr val="tx1">
                        <a:lumMod val="95000"/>
                        <a:lumOff val="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Сравнение!$AV$49:$AV$123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12670.412616742815</c:v>
                      </c:pt>
                      <c:pt idx="1">
                        <c:v>13074.968344455421</c:v>
                      </c:pt>
                      <c:pt idx="2">
                        <c:v>13486.803351652507</c:v>
                      </c:pt>
                      <c:pt idx="3">
                        <c:v>13905.740236256093</c:v>
                      </c:pt>
                      <c:pt idx="4">
                        <c:v>14331.611036152155</c:v>
                      </c:pt>
                      <c:pt idx="5">
                        <c:v>14764.256435800224</c:v>
                      </c:pt>
                      <c:pt idx="6">
                        <c:v>15203.525059339016</c:v>
                      </c:pt>
                      <c:pt idx="7">
                        <c:v>15649.272838712304</c:v>
                      </c:pt>
                      <c:pt idx="8">
                        <c:v>16101.362447118951</c:v>
                      </c:pt>
                      <c:pt idx="9">
                        <c:v>16559.662789557329</c:v>
                      </c:pt>
                      <c:pt idx="10">
                        <c:v>17024.0485434482</c:v>
                      </c:pt>
                      <c:pt idx="11">
                        <c:v>17494.399743329392</c:v>
                      </c:pt>
                      <c:pt idx="12">
                        <c:v>17970.60140446086</c:v>
                      </c:pt>
                      <c:pt idx="13">
                        <c:v>18452.54318088674</c:v>
                      </c:pt>
                      <c:pt idx="14">
                        <c:v>18940.119054099538</c:v>
                      </c:pt>
                      <c:pt idx="15">
                        <c:v>19433.227048957538</c:v>
                      </c:pt>
                      <c:pt idx="16">
                        <c:v>19931.768973937029</c:v>
                      </c:pt>
                      <c:pt idx="17">
                        <c:v>20435.650183168222</c:v>
                      </c:pt>
                      <c:pt idx="18">
                        <c:v>20944.779358017811</c:v>
                      </c:pt>
                      <c:pt idx="19">
                        <c:v>21459.068306251564</c:v>
                      </c:pt>
                      <c:pt idx="20">
                        <c:v>21978.431777042912</c:v>
                      </c:pt>
                      <c:pt idx="21">
                        <c:v>22502.787290295084</c:v>
                      </c:pt>
                      <c:pt idx="22">
                        <c:v>23032.054978918208</c:v>
                      </c:pt>
                      <c:pt idx="23">
                        <c:v>23566.157442855372</c:v>
                      </c:pt>
                      <c:pt idx="24">
                        <c:v>24105.019613783646</c:v>
                      </c:pt>
                      <c:pt idx="25">
                        <c:v>24648.568629531266</c:v>
                      </c:pt>
                      <c:pt idx="26">
                        <c:v>25196.733717354691</c:v>
                      </c:pt>
                      <c:pt idx="27">
                        <c:v>25749.44608530738</c:v>
                      </c:pt>
                      <c:pt idx="28">
                        <c:v>26306.638821011056</c:v>
                      </c:pt>
                      <c:pt idx="29">
                        <c:v>26868.246797209529</c:v>
                      </c:pt>
                      <c:pt idx="30">
                        <c:v>27434.206583546296</c:v>
                      </c:pt>
                      <c:pt idx="31">
                        <c:v>28004.456364061582</c:v>
                      </c:pt>
                      <c:pt idx="32">
                        <c:v>28578.935859952533</c:v>
                      </c:pt>
                      <c:pt idx="33">
                        <c:v>29157.58625718391</c:v>
                      </c:pt>
                      <c:pt idx="34">
                        <c:v>29740.350138573674</c:v>
                      </c:pt>
                      <c:pt idx="35">
                        <c:v>30327.171420013605</c:v>
                      </c:pt>
                      <c:pt idx="36">
                        <c:v>30917.995290514664</c:v>
                      </c:pt>
                      <c:pt idx="37">
                        <c:v>31512.768155794463</c:v>
                      </c:pt>
                      <c:pt idx="38">
                        <c:v>32111.437585149462</c:v>
                      </c:pt>
                      <c:pt idx="39">
                        <c:v>32713.95226137582</c:v>
                      </c:pt>
                      <c:pt idx="40">
                        <c:v>33320.261933523652</c:v>
                      </c:pt>
                      <c:pt idx="41">
                        <c:v>33930.317372286772</c:v>
                      </c:pt>
                      <c:pt idx="42">
                        <c:v>34544.070327847061</c:v>
                      </c:pt>
                      <c:pt idx="43">
                        <c:v>35161.473490006523</c:v>
                      </c:pt>
                      <c:pt idx="44">
                        <c:v>35782.480450454044</c:v>
                      </c:pt>
                      <c:pt idx="45">
                        <c:v>36407.045667026214</c:v>
                      </c:pt>
                      <c:pt idx="46">
                        <c:v>37035.124429831638</c:v>
                      </c:pt>
                      <c:pt idx="47">
                        <c:v>37666.672829119016</c:v>
                      </c:pt>
                      <c:pt idx="48">
                        <c:v>38301.647724778712</c:v>
                      </c:pt>
                      <c:pt idx="49">
                        <c:v>38940.006717374439</c:v>
                      </c:pt>
                      <c:pt idx="50">
                        <c:v>39581.708120611002</c:v>
                      </c:pt>
                      <c:pt idx="51">
                        <c:v>40226.710935149866</c:v>
                      </c:pt>
                      <c:pt idx="52">
                        <c:v>40874.974823691227</c:v>
                      </c:pt>
                      <c:pt idx="53">
                        <c:v>41526.460087246705</c:v>
                      </c:pt>
                      <c:pt idx="54">
                        <c:v>42181.127642532527</c:v>
                      </c:pt>
                      <c:pt idx="55">
                        <c:v>42838.939000418031</c:v>
                      </c:pt>
                      <c:pt idx="56">
                        <c:v>43499.856245368188</c:v>
                      </c:pt>
                      <c:pt idx="57">
                        <c:v>44163.842015823706</c:v>
                      </c:pt>
                      <c:pt idx="58">
                        <c:v>44830.859485466033</c:v>
                      </c:pt>
                      <c:pt idx="59">
                        <c:v>45500.872345317708</c:v>
                      </c:pt>
                      <c:pt idx="60">
                        <c:v>46173.844786631867</c:v>
                      </c:pt>
                      <c:pt idx="61">
                        <c:v>46849.7414845284</c:v>
                      </c:pt>
                      <c:pt idx="62">
                        <c:v>47528.527582335999</c:v>
                      </c:pt>
                      <c:pt idx="63">
                        <c:v>48210.168676602458</c:v>
                      </c:pt>
                      <c:pt idx="64">
                        <c:v>48894.630802738422</c:v>
                      </c:pt>
                      <c:pt idx="65">
                        <c:v>49581.880421260896</c:v>
                      </c:pt>
                      <c:pt idx="66">
                        <c:v>50271.884404605706</c:v>
                      </c:pt>
                      <c:pt idx="67">
                        <c:v>50964.610024480222</c:v>
                      </c:pt>
                      <c:pt idx="68">
                        <c:v>51660.024939728173</c:v>
                      </c:pt>
                      <c:pt idx="69">
                        <c:v>52358.097184681486</c:v>
                      </c:pt>
                      <c:pt idx="70">
                        <c:v>53058.795157974884</c:v>
                      </c:pt>
                      <c:pt idx="71">
                        <c:v>53762.087611800242</c:v>
                      </c:pt>
                      <c:pt idx="72">
                        <c:v>54467.943641579463</c:v>
                      </c:pt>
                      <c:pt idx="73">
                        <c:v>55176.332676035774</c:v>
                      </c:pt>
                      <c:pt idx="74">
                        <c:v>55887.224467644301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47E4-4421-9955-CF6781206618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Сравнение!$AT$48</c15:sqref>
                        </c15:formulaRef>
                      </c:ext>
                    </c:extLst>
                    <c:strCache>
                      <c:ptCount val="1"/>
                      <c:pt idx="0">
                        <c:v>ΔH (1-2) kJ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Сравнение!$AT$49:$AT$123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-42.398955820525629</c:v>
                      </c:pt>
                      <c:pt idx="1">
                        <c:v>-279.84593479165142</c:v>
                      </c:pt>
                      <c:pt idx="2">
                        <c:v>-518.60647473765027</c:v>
                      </c:pt>
                      <c:pt idx="3">
                        <c:v>-758.65333298600171</c:v>
                      </c:pt>
                      <c:pt idx="4">
                        <c:v>-999.95926686420171</c:v>
                      </c:pt>
                      <c:pt idx="5">
                        <c:v>-1242.4970336997314</c:v>
                      </c:pt>
                      <c:pt idx="6">
                        <c:v>-1486.2393908201125</c:v>
                      </c:pt>
                      <c:pt idx="7">
                        <c:v>-1731.1590955528134</c:v>
                      </c:pt>
                      <c:pt idx="8">
                        <c:v>-1977.2289052253539</c:v>
                      </c:pt>
                      <c:pt idx="9">
                        <c:v>-2224.4215771652293</c:v>
                      </c:pt>
                      <c:pt idx="10">
                        <c:v>-2472.7098686999202</c:v>
                      </c:pt>
                      <c:pt idx="11">
                        <c:v>-2722.0665371569266</c:v>
                      </c:pt>
                      <c:pt idx="12">
                        <c:v>-2972.4643398637568</c:v>
                      </c:pt>
                      <c:pt idx="13">
                        <c:v>-3223.8760341478946</c:v>
                      </c:pt>
                      <c:pt idx="14">
                        <c:v>-3476.2743773368402</c:v>
                      </c:pt>
                      <c:pt idx="15">
                        <c:v>-3729.6321267580674</c:v>
                      </c:pt>
                      <c:pt idx="16">
                        <c:v>-3983.9220397391091</c:v>
                      </c:pt>
                      <c:pt idx="17">
                        <c:v>-4239.1168736074533</c:v>
                      </c:pt>
                      <c:pt idx="18">
                        <c:v>-4495.1893856905772</c:v>
                      </c:pt>
                      <c:pt idx="19">
                        <c:v>-4752.1123333159931</c:v>
                      </c:pt>
                      <c:pt idx="20">
                        <c:v>-5009.8584738111913</c:v>
                      </c:pt>
                      <c:pt idx="21">
                        <c:v>-5268.4005645036686</c:v>
                      </c:pt>
                      <c:pt idx="22">
                        <c:v>-5527.7113627209101</c:v>
                      </c:pt>
                      <c:pt idx="23">
                        <c:v>-5787.7636257904333</c:v>
                      </c:pt>
                      <c:pt idx="24">
                        <c:v>-6048.5301110397122</c:v>
                      </c:pt>
                      <c:pt idx="25">
                        <c:v>-6309.9835757962537</c:v>
                      </c:pt>
                      <c:pt idx="26">
                        <c:v>-6572.0967773875655</c:v>
                      </c:pt>
                      <c:pt idx="27">
                        <c:v>-6834.8424731411269</c:v>
                      </c:pt>
                      <c:pt idx="28">
                        <c:v>-7098.1934203844357</c:v>
                      </c:pt>
                      <c:pt idx="29">
                        <c:v>-7362.1223764449987</c:v>
                      </c:pt>
                      <c:pt idx="30">
                        <c:v>-7626.6020986502999</c:v>
                      </c:pt>
                      <c:pt idx="31">
                        <c:v>-7891.6053443278133</c:v>
                      </c:pt>
                      <c:pt idx="32">
                        <c:v>-8157.1048708050948</c:v>
                      </c:pt>
                      <c:pt idx="33">
                        <c:v>-8423.0734354095948</c:v>
                      </c:pt>
                      <c:pt idx="34">
                        <c:v>-8689.4837954688119</c:v>
                      </c:pt>
                      <c:pt idx="35">
                        <c:v>-8956.3087083102637</c:v>
                      </c:pt>
                      <c:pt idx="36">
                        <c:v>-9223.5209312614261</c:v>
                      </c:pt>
                      <c:pt idx="37">
                        <c:v>-9491.0932216497968</c:v>
                      </c:pt>
                      <c:pt idx="38">
                        <c:v>-9758.9983368028898</c:v>
                      </c:pt>
                      <c:pt idx="39">
                        <c:v>-10027.209034048179</c:v>
                      </c:pt>
                      <c:pt idx="40">
                        <c:v>-10295.698070713168</c:v>
                      </c:pt>
                      <c:pt idx="41">
                        <c:v>-10564.438204125376</c:v>
                      </c:pt>
                      <c:pt idx="42">
                        <c:v>-10833.402191612271</c:v>
                      </c:pt>
                      <c:pt idx="43">
                        <c:v>-11102.562790501313</c:v>
                      </c:pt>
                      <c:pt idx="44">
                        <c:v>-11371.892758120081</c:v>
                      </c:pt>
                      <c:pt idx="45">
                        <c:v>-11641.36485179603</c:v>
                      </c:pt>
                      <c:pt idx="46">
                        <c:v>-11910.951828856614</c:v>
                      </c:pt>
                      <c:pt idx="47">
                        <c:v>-12180.626446629445</c:v>
                      </c:pt>
                      <c:pt idx="48">
                        <c:v>-12450.361462441882</c:v>
                      </c:pt>
                      <c:pt idx="49">
                        <c:v>-12720.1296336215</c:v>
                      </c:pt>
                      <c:pt idx="50">
                        <c:v>-12989.903717495774</c:v>
                      </c:pt>
                      <c:pt idx="51">
                        <c:v>-13259.656471392218</c:v>
                      </c:pt>
                      <c:pt idx="52">
                        <c:v>-13529.360652638319</c:v>
                      </c:pt>
                      <c:pt idx="53">
                        <c:v>-13798.989018561546</c:v>
                      </c:pt>
                      <c:pt idx="54">
                        <c:v>-14068.514326489443</c:v>
                      </c:pt>
                      <c:pt idx="55">
                        <c:v>-14337.909333749494</c:v>
                      </c:pt>
                      <c:pt idx="56">
                        <c:v>-14607.146797669149</c:v>
                      </c:pt>
                      <c:pt idx="57">
                        <c:v>-14876.199475575921</c:v>
                      </c:pt>
                      <c:pt idx="58">
                        <c:v>-15145.040124797382</c:v>
                      </c:pt>
                      <c:pt idx="59">
                        <c:v>-15413.641502660917</c:v>
                      </c:pt>
                      <c:pt idx="60">
                        <c:v>-15681.976366494091</c:v>
                      </c:pt>
                      <c:pt idx="61">
                        <c:v>-15950.017473624401</c:v>
                      </c:pt>
                      <c:pt idx="62">
                        <c:v>-16217.737581379282</c:v>
                      </c:pt>
                      <c:pt idx="63">
                        <c:v>-16485.109447086292</c:v>
                      </c:pt>
                      <c:pt idx="64">
                        <c:v>-16752.105828072923</c:v>
                      </c:pt>
                      <c:pt idx="65">
                        <c:v>-17018.699481666619</c:v>
                      </c:pt>
                      <c:pt idx="66">
                        <c:v>-17284.863165194922</c:v>
                      </c:pt>
                      <c:pt idx="67">
                        <c:v>-17550.569635985335</c:v>
                      </c:pt>
                      <c:pt idx="68">
                        <c:v>-17815.791651365311</c:v>
                      </c:pt>
                      <c:pt idx="69">
                        <c:v>-18080.501968662404</c:v>
                      </c:pt>
                      <c:pt idx="70">
                        <c:v>-18344.673345204046</c:v>
                      </c:pt>
                      <c:pt idx="71">
                        <c:v>-18608.278538317783</c:v>
                      </c:pt>
                      <c:pt idx="72">
                        <c:v>-18871.290305331073</c:v>
                      </c:pt>
                      <c:pt idx="73">
                        <c:v>-19133.681403571474</c:v>
                      </c:pt>
                      <c:pt idx="74">
                        <c:v>-19395.424590366365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7E4-4421-9955-CF678120661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Сравнение!$F$48</c15:sqref>
                        </c15:formulaRef>
                      </c:ext>
                    </c:extLst>
                    <c:strCache>
                      <c:ptCount val="1"/>
                      <c:pt idx="0">
                        <c:v>0: G(T) KJ</c:v>
                      </c:pt>
                    </c:strCache>
                  </c:strRef>
                </c:tx>
                <c:spPr>
                  <a:ln w="19050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Сравнение!$F$49:$F$123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-12.690145421395385</c:v>
                      </c:pt>
                      <c:pt idx="1">
                        <c:v>-13.09553003987763</c:v>
                      </c:pt>
                      <c:pt idx="2">
                        <c:v>-13.508334407889031</c:v>
                      </c:pt>
                      <c:pt idx="3">
                        <c:v>-13.928405020519998</c:v>
                      </c:pt>
                      <c:pt idx="4">
                        <c:v>-14.355597220548429</c:v>
                      </c:pt>
                      <c:pt idx="5">
                        <c:v>-14.789774454827661</c:v>
                      </c:pt>
                      <c:pt idx="6">
                        <c:v>-15.230807611743721</c:v>
                      </c:pt>
                      <c:pt idx="7">
                        <c:v>-15.678574428985776</c:v>
                      </c:pt>
                      <c:pt idx="8">
                        <c:v>-16.132958962542322</c:v>
                      </c:pt>
                      <c:pt idx="9">
                        <c:v>-16.593851109209623</c:v>
                      </c:pt>
                      <c:pt idx="10">
                        <c:v>-17.061146176036445</c:v>
                      </c:pt>
                      <c:pt idx="11">
                        <c:v>-17.534744491075656</c:v>
                      </c:pt>
                      <c:pt idx="12">
                        <c:v>-18.014551050604798</c:v>
                      </c:pt>
                      <c:pt idx="13">
                        <c:v>-18.500475198641794</c:v>
                      </c:pt>
                      <c:pt idx="14">
                        <c:v>-18.992430335142792</c:v>
                      </c:pt>
                      <c:pt idx="15">
                        <c:v>-19.490333649743302</c:v>
                      </c:pt>
                      <c:pt idx="16">
                        <c:v>-19.994105878307394</c:v>
                      </c:pt>
                      <c:pt idx="17">
                        <c:v>-20.50367107989377</c:v>
                      </c:pt>
                      <c:pt idx="18">
                        <c:v>-21.018956432042156</c:v>
                      </c:pt>
                      <c:pt idx="19">
                        <c:v>-21.539892042536707</c:v>
                      </c:pt>
                      <c:pt idx="20">
                        <c:v>-22.066410776021254</c:v>
                      </c:pt>
                      <c:pt idx="21">
                        <c:v>-22.598448094029926</c:v>
                      </c:pt>
                      <c:pt idx="22">
                        <c:v>-23.135941907160085</c:v>
                      </c:pt>
                      <c:pt idx="23">
                        <c:v>-23.67883243825699</c:v>
                      </c:pt>
                      <c:pt idx="24">
                        <c:v>-24.227062095603568</c:v>
                      </c:pt>
                      <c:pt idx="25">
                        <c:v>-24.780575355216975</c:v>
                      </c:pt>
                      <c:pt idx="26">
                        <c:v>-25.339318651448906</c:v>
                      </c:pt>
                      <c:pt idx="27">
                        <c:v>-25.903240275170127</c:v>
                      </c:pt>
                      <c:pt idx="28">
                        <c:v>-26.47229027889292</c:v>
                      </c:pt>
                      <c:pt idx="29">
                        <c:v>-27.046420388250596</c:v>
                      </c:pt>
                      <c:pt idx="30">
                        <c:v>-27.625583919310294</c:v>
                      </c:pt>
                      <c:pt idx="31">
                        <c:v>-28.209735701246366</c:v>
                      </c:pt>
                      <c:pt idx="32">
                        <c:v>-28.798832003946817</c:v>
                      </c:pt>
                      <c:pt idx="33">
                        <c:v>-29.392830470165539</c:v>
                      </c:pt>
                      <c:pt idx="34">
                        <c:v>-29.991690051869245</c:v>
                      </c:pt>
                      <c:pt idx="35">
                        <c:v>-30.595370950459486</c:v>
                      </c:pt>
                      <c:pt idx="36">
                        <c:v>-31.20383456057974</c:v>
                      </c:pt>
                      <c:pt idx="37">
                        <c:v>-31.817043417242267</c:v>
                      </c:pt>
                      <c:pt idx="38">
                        <c:v>-32.434961146033601</c:v>
                      </c:pt>
                      <c:pt idx="39">
                        <c:v>-33.057552416177472</c:v>
                      </c:pt>
                      <c:pt idx="40">
                        <c:v>-33.684782896253289</c:v>
                      </c:pt>
                      <c:pt idx="41">
                        <c:v>-34.316619212384836</c:v>
                      </c:pt>
                      <c:pt idx="42">
                        <c:v>-34.953028908729479</c:v>
                      </c:pt>
                      <c:pt idx="43">
                        <c:v>-35.593980410111584</c:v>
                      </c:pt>
                      <c:pt idx="44">
                        <c:v>-36.23944298665694</c:v>
                      </c:pt>
                      <c:pt idx="45">
                        <c:v>-36.889386720295526</c:v>
                      </c:pt>
                      <c:pt idx="46">
                        <c:v>-37.543782473011518</c:v>
                      </c:pt>
                      <c:pt idx="47">
                        <c:v>-38.202601856727298</c:v>
                      </c:pt>
                      <c:pt idx="48">
                        <c:v>-38.865817204718482</c:v>
                      </c:pt>
                      <c:pt idx="49">
                        <c:v>-39.533401544463153</c:v>
                      </c:pt>
                      <c:pt idx="50">
                        <c:v>-40.205328571837043</c:v>
                      </c:pt>
                      <c:pt idx="51">
                        <c:v>-40.881572626571938</c:v>
                      </c:pt>
                      <c:pt idx="52">
                        <c:v>-41.562108668901075</c:v>
                      </c:pt>
                      <c:pt idx="53">
                        <c:v>-42.246912257320588</c:v>
                      </c:pt>
                      <c:pt idx="54">
                        <c:v>-42.935959527401096</c:v>
                      </c:pt>
                      <c:pt idx="55">
                        <c:v>-43.629227171588269</c:v>
                      </c:pt>
                      <c:pt idx="56">
                        <c:v>-44.326692419935213</c:v>
                      </c:pt>
                      <c:pt idx="57">
                        <c:v>-45.028333021713621</c:v>
                      </c:pt>
                      <c:pt idx="58">
                        <c:v>-45.734127227854174</c:v>
                      </c:pt>
                      <c:pt idx="59">
                        <c:v>-46.444053774169859</c:v>
                      </c:pt>
                      <c:pt idx="60">
                        <c:v>-47.158091865319207</c:v>
                      </c:pt>
                      <c:pt idx="61">
                        <c:v>-47.876221159468955</c:v>
                      </c:pt>
                      <c:pt idx="62">
                        <c:v>-48.598421753618553</c:v>
                      </c:pt>
                      <c:pt idx="63">
                        <c:v>-49.324674169551024</c:v>
                      </c:pt>
                      <c:pt idx="64">
                        <c:v>-50.054959340377337</c:v>
                      </c:pt>
                      <c:pt idx="65">
                        <c:v>-50.789258597642998</c:v>
                      </c:pt>
                      <c:pt idx="66">
                        <c:v>-51.527553658968124</c:v>
                      </c:pt>
                      <c:pt idx="67">
                        <c:v>-52.269826616193384</c:v>
                      </c:pt>
                      <c:pt idx="68">
                        <c:v>-53.016059924006342</c:v>
                      </c:pt>
                      <c:pt idx="69">
                        <c:v>-53.766236389024186</c:v>
                      </c:pt>
                      <c:pt idx="70">
                        <c:v>-54.520339159309977</c:v>
                      </c:pt>
                      <c:pt idx="71">
                        <c:v>-55.278351714301273</c:v>
                      </c:pt>
                      <c:pt idx="72">
                        <c:v>-56.040257855130911</c:v>
                      </c:pt>
                      <c:pt idx="73">
                        <c:v>-56.806041695321326</c:v>
                      </c:pt>
                      <c:pt idx="74">
                        <c:v>-57.575687651834087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7E4-4421-9955-CF678120661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Сравнение!$J$48</c15:sqref>
                        </c15:formulaRef>
                      </c:ext>
                    </c:extLst>
                    <c:strCache>
                      <c:ptCount val="1"/>
                      <c:pt idx="0">
                        <c:v>1: G(T) KJ</c:v>
                      </c:pt>
                    </c:strCache>
                  </c:strRef>
                </c:tx>
                <c:spPr>
                  <a:ln w="38100" cap="rnd">
                    <a:solidFill>
                      <a:schemeClr val="tx1">
                        <a:lumMod val="95000"/>
                        <a:lumOff val="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Сравнение!$J$49:$J$123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-10.731032733090718</c:v>
                      </c:pt>
                      <c:pt idx="1">
                        <c:v>-11.200170420624032</c:v>
                      </c:pt>
                      <c:pt idx="2">
                        <c:v>-11.680927127105427</c:v>
                      </c:pt>
                      <c:pt idx="3">
                        <c:v>-12.172880532769755</c:v>
                      </c:pt>
                      <c:pt idx="4">
                        <c:v>-12.675634241979626</c:v>
                      </c:pt>
                      <c:pt idx="5">
                        <c:v>-13.188815604408305</c:v>
                      </c:pt>
                      <c:pt idx="6">
                        <c:v>-13.712073773759135</c:v>
                      </c:pt>
                      <c:pt idx="7">
                        <c:v>-14.245077972506015</c:v>
                      </c:pt>
                      <c:pt idx="8">
                        <c:v>-14.787515936028026</c:v>
                      </c:pt>
                      <c:pt idx="9">
                        <c:v>-15.339092513537338</c:v>
                      </c:pt>
                      <c:pt idx="10">
                        <c:v>-15.899528406532637</c:v>
                      </c:pt>
                      <c:pt idx="11">
                        <c:v>-16.468559028283678</c:v>
                      </c:pt>
                      <c:pt idx="12">
                        <c:v>-17.045933470171313</c:v>
                      </c:pt>
                      <c:pt idx="13">
                        <c:v>-17.631413562654018</c:v>
                      </c:pt>
                      <c:pt idx="14">
                        <c:v>-18.224773020274203</c:v>
                      </c:pt>
                      <c:pt idx="15">
                        <c:v>-18.825796661507624</c:v>
                      </c:pt>
                      <c:pt idx="16">
                        <c:v>-19.434279695441472</c:v>
                      </c:pt>
                      <c:pt idx="17">
                        <c:v>-20.050027068274687</c:v>
                      </c:pt>
                      <c:pt idx="18">
                        <c:v>-20.672852863497884</c:v>
                      </c:pt>
                      <c:pt idx="19">
                        <c:v>-21.302579750351395</c:v>
                      </c:pt>
                      <c:pt idx="20">
                        <c:v>-21.939038475800267</c:v>
                      </c:pt>
                      <c:pt idx="21">
                        <c:v>-22.582067395816363</c:v>
                      </c:pt>
                      <c:pt idx="22">
                        <c:v>-23.231512042238627</c:v>
                      </c:pt>
                      <c:pt idx="23">
                        <c:v>-23.887224721897745</c:v>
                      </c:pt>
                      <c:pt idx="24">
                        <c:v>-24.54906414505637</c:v>
                      </c:pt>
                      <c:pt idx="25">
                        <c:v>-25.216895080532858</c:v>
                      </c:pt>
                      <c:pt idx="26">
                        <c:v>-25.89058803515503</c:v>
                      </c:pt>
                      <c:pt idx="27">
                        <c:v>-26.570018955436169</c:v>
                      </c:pt>
                      <c:pt idx="28">
                        <c:v>-27.255068949579574</c:v>
                      </c:pt>
                      <c:pt idx="29">
                        <c:v>-27.945624028109492</c:v>
                      </c:pt>
                      <c:pt idx="30">
                        <c:v>-28.641574861593789</c:v>
                      </c:pt>
                      <c:pt idx="31">
                        <c:v>-29.342816554073508</c:v>
                      </c:pt>
                      <c:pt idx="32">
                        <c:v>-30.049248430946271</c:v>
                      </c:pt>
                      <c:pt idx="33">
                        <c:v>-30.760773840169499</c:v>
                      </c:pt>
                      <c:pt idx="34">
                        <c:v>-31.477299965753751</c:v>
                      </c:pt>
                      <c:pt idx="35">
                        <c:v>-32.198737652610788</c:v>
                      </c:pt>
                      <c:pt idx="36">
                        <c:v>-32.92500124190547</c:v>
                      </c:pt>
                      <c:pt idx="37">
                        <c:v>-33.656008416135293</c:v>
                      </c:pt>
                      <c:pt idx="38">
                        <c:v>-34.391680053230118</c:v>
                      </c:pt>
                      <c:pt idx="39">
                        <c:v>-35.131940089024333</c:v>
                      </c:pt>
                      <c:pt idx="40">
                        <c:v>-35.876715387510004</c:v>
                      </c:pt>
                      <c:pt idx="41">
                        <c:v>-36.625935618327972</c:v>
                      </c:pt>
                      <c:pt idx="42">
                        <c:v>-37.379533140999243</c:v>
                      </c:pt>
                      <c:pt idx="43">
                        <c:v>-38.137442895439449</c:v>
                      </c:pt>
                      <c:pt idx="44">
                        <c:v>-38.899602298335715</c:v>
                      </c:pt>
                      <c:pt idx="45">
                        <c:v>-39.665951144998672</c:v>
                      </c:pt>
                      <c:pt idx="46">
                        <c:v>-40.436431516333151</c:v>
                      </c:pt>
                      <c:pt idx="47">
                        <c:v>-41.210987690597292</c:v>
                      </c:pt>
                      <c:pt idx="48">
                        <c:v>-41.989566059646904</c:v>
                      </c:pt>
                      <c:pt idx="49">
                        <c:v>-42.772115049382869</c:v>
                      </c:pt>
                      <c:pt idx="50">
                        <c:v>-43.558585044141594</c:v>
                      </c:pt>
                      <c:pt idx="51">
                        <c:v>-44.348928314787052</c:v>
                      </c:pt>
                      <c:pt idx="52">
                        <c:v>-45.14309895028078</c:v>
                      </c:pt>
                      <c:pt idx="53">
                        <c:v>-45.941052792521873</c:v>
                      </c:pt>
                      <c:pt idx="54">
                        <c:v>-46.742747374264056</c:v>
                      </c:pt>
                      <c:pt idx="55">
                        <c:v>-47.548141859930261</c:v>
                      </c:pt>
                      <c:pt idx="56">
                        <c:v>-48.357196989157771</c:v>
                      </c:pt>
                      <c:pt idx="57">
                        <c:v>-49.169875022918006</c:v>
                      </c:pt>
                      <c:pt idx="58">
                        <c:v>-49.986139692066054</c:v>
                      </c:pt>
                      <c:pt idx="59">
                        <c:v>-50.805956148184293</c:v>
                      </c:pt>
                      <c:pt idx="60">
                        <c:v>-51.629290916593938</c:v>
                      </c:pt>
                      <c:pt idx="61">
                        <c:v>-52.456111851415955</c:v>
                      </c:pt>
                      <c:pt idx="62">
                        <c:v>-53.28638809257108</c:v>
                      </c:pt>
                      <c:pt idx="63">
                        <c:v>-54.120090024615443</c:v>
                      </c:pt>
                      <c:pt idx="64">
                        <c:v>-54.957189237314594</c:v>
                      </c:pt>
                      <c:pt idx="65">
                        <c:v>-55.797658487865654</c:v>
                      </c:pt>
                      <c:pt idx="66">
                        <c:v>-56.641471664681866</c:v>
                      </c:pt>
                      <c:pt idx="67">
                        <c:v>-57.488603752659728</c:v>
                      </c:pt>
                      <c:pt idx="68">
                        <c:v>-58.339030799853759</c:v>
                      </c:pt>
                      <c:pt idx="69">
                        <c:v>-59.192729885488291</c:v>
                      </c:pt>
                      <c:pt idx="70">
                        <c:v>-60.049679089239575</c:v>
                      </c:pt>
                      <c:pt idx="71">
                        <c:v>-60.909857461726347</c:v>
                      </c:pt>
                      <c:pt idx="72">
                        <c:v>-61.773244996149188</c:v>
                      </c:pt>
                      <c:pt idx="73">
                        <c:v>-62.639822601024306</c:v>
                      </c:pt>
                      <c:pt idx="74">
                        <c:v>-63.509572073958523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7E4-4421-9955-CF678120661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Сравнение!$D$48</c15:sqref>
                        </c15:formulaRef>
                      </c:ext>
                    </c:extLst>
                    <c:strCache>
                      <c:ptCount val="1"/>
                      <c:pt idx="0">
                        <c:v>0: H(T) KJ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Сравнение!$D$49:$D$123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4.6984047625001087E-2</c:v>
                      </c:pt>
                      <c:pt idx="1">
                        <c:v>0.28856649831893932</c:v>
                      </c:pt>
                      <c:pt idx="2">
                        <c:v>0.53239493148183326</c:v>
                      </c:pt>
                      <c:pt idx="3">
                        <c:v>0.77846934711368054</c:v>
                      </c:pt>
                      <c:pt idx="4">
                        <c:v>1.0267897452144858</c:v>
                      </c:pt>
                      <c:pt idx="5">
                        <c:v>1.2773561257842456</c:v>
                      </c:pt>
                      <c:pt idx="6">
                        <c:v>1.5301684888229588</c:v>
                      </c:pt>
                      <c:pt idx="7">
                        <c:v>1.7852268343306299</c:v>
                      </c:pt>
                      <c:pt idx="8">
                        <c:v>2.0425311623072568</c:v>
                      </c:pt>
                      <c:pt idx="9">
                        <c:v>2.3020814727528358</c:v>
                      </c:pt>
                      <c:pt idx="10">
                        <c:v>2.5638777656673741</c:v>
                      </c:pt>
                      <c:pt idx="11">
                        <c:v>2.8279200410508669</c:v>
                      </c:pt>
                      <c:pt idx="12">
                        <c:v>3.0942082989033155</c:v>
                      </c:pt>
                      <c:pt idx="13">
                        <c:v>3.3627425392247172</c:v>
                      </c:pt>
                      <c:pt idx="14">
                        <c:v>3.6335227620150756</c:v>
                      </c:pt>
                      <c:pt idx="15">
                        <c:v>3.9065489672743912</c:v>
                      </c:pt>
                      <c:pt idx="16">
                        <c:v>4.1818211550026598</c:v>
                      </c:pt>
                      <c:pt idx="17">
                        <c:v>4.4593393251998839</c:v>
                      </c:pt>
                      <c:pt idx="18">
                        <c:v>4.7391034778660659</c:v>
                      </c:pt>
                      <c:pt idx="19">
                        <c:v>5.0211136130012033</c:v>
                      </c:pt>
                      <c:pt idx="20">
                        <c:v>5.3053697306052925</c:v>
                      </c:pt>
                      <c:pt idx="21">
                        <c:v>5.5918718306783379</c:v>
                      </c:pt>
                      <c:pt idx="22">
                        <c:v>5.8806199132203432</c:v>
                      </c:pt>
                      <c:pt idx="23">
                        <c:v>6.1716139782312984</c:v>
                      </c:pt>
                      <c:pt idx="24">
                        <c:v>6.4648540257112135</c:v>
                      </c:pt>
                      <c:pt idx="25">
                        <c:v>6.7603400556600821</c:v>
                      </c:pt>
                      <c:pt idx="26">
                        <c:v>7.0580720680779025</c:v>
                      </c:pt>
                      <c:pt idx="27">
                        <c:v>7.3580500629646854</c:v>
                      </c:pt>
                      <c:pt idx="28">
                        <c:v>7.6602740403204201</c:v>
                      </c:pt>
                      <c:pt idx="29">
                        <c:v>7.964744000145112</c:v>
                      </c:pt>
                      <c:pt idx="30">
                        <c:v>8.2714599424387547</c:v>
                      </c:pt>
                      <c:pt idx="31">
                        <c:v>8.580421867201359</c:v>
                      </c:pt>
                      <c:pt idx="32">
                        <c:v>8.8916297744329142</c:v>
                      </c:pt>
                      <c:pt idx="33">
                        <c:v>9.2050836641334239</c:v>
                      </c:pt>
                      <c:pt idx="34">
                        <c:v>9.5207835363028916</c:v>
                      </c:pt>
                      <c:pt idx="35">
                        <c:v>9.8387293909413174</c:v>
                      </c:pt>
                      <c:pt idx="36">
                        <c:v>10.158921228048698</c:v>
                      </c:pt>
                      <c:pt idx="37">
                        <c:v>10.481359047625029</c:v>
                      </c:pt>
                      <c:pt idx="38">
                        <c:v>10.806042849670316</c:v>
                      </c:pt>
                      <c:pt idx="39">
                        <c:v>11.132972634184565</c:v>
                      </c:pt>
                      <c:pt idx="40">
                        <c:v>11.462148401167765</c:v>
                      </c:pt>
                      <c:pt idx="41">
                        <c:v>11.793570150619917</c:v>
                      </c:pt>
                      <c:pt idx="42">
                        <c:v>12.127237882541031</c:v>
                      </c:pt>
                      <c:pt idx="43">
                        <c:v>12.463151596931098</c:v>
                      </c:pt>
                      <c:pt idx="44">
                        <c:v>12.801311293790121</c:v>
                      </c:pt>
                      <c:pt idx="45">
                        <c:v>13.141716973118097</c:v>
                      </c:pt>
                      <c:pt idx="46">
                        <c:v>13.484368634915029</c:v>
                      </c:pt>
                      <c:pt idx="47">
                        <c:v>13.829266279180919</c:v>
                      </c:pt>
                      <c:pt idx="48">
                        <c:v>14.176409905915765</c:v>
                      </c:pt>
                      <c:pt idx="49">
                        <c:v>14.525799515119564</c:v>
                      </c:pt>
                      <c:pt idx="50">
                        <c:v>14.877435106792319</c:v>
                      </c:pt>
                      <c:pt idx="51">
                        <c:v>15.231316680934025</c:v>
                      </c:pt>
                      <c:pt idx="52">
                        <c:v>15.587444237544689</c:v>
                      </c:pt>
                      <c:pt idx="53">
                        <c:v>15.945817776624315</c:v>
                      </c:pt>
                      <c:pt idx="54">
                        <c:v>16.306437298172892</c:v>
                      </c:pt>
                      <c:pt idx="55">
                        <c:v>16.669302802190423</c:v>
                      </c:pt>
                      <c:pt idx="56">
                        <c:v>17.03441428867691</c:v>
                      </c:pt>
                      <c:pt idx="57">
                        <c:v>17.401771757632357</c:v>
                      </c:pt>
                      <c:pt idx="58">
                        <c:v>17.77137520905675</c:v>
                      </c:pt>
                      <c:pt idx="59">
                        <c:v>18.143224642950106</c:v>
                      </c:pt>
                      <c:pt idx="60">
                        <c:v>18.517320059312418</c:v>
                      </c:pt>
                      <c:pt idx="61">
                        <c:v>18.893661458143679</c:v>
                      </c:pt>
                      <c:pt idx="62">
                        <c:v>19.2722488394439</c:v>
                      </c:pt>
                      <c:pt idx="63">
                        <c:v>19.653082203213078</c:v>
                      </c:pt>
                      <c:pt idx="64">
                        <c:v>20.036161549451215</c:v>
                      </c:pt>
                      <c:pt idx="65">
                        <c:v>20.421486878158291</c:v>
                      </c:pt>
                      <c:pt idx="66">
                        <c:v>20.809058189334337</c:v>
                      </c:pt>
                      <c:pt idx="67">
                        <c:v>21.198875482979332</c:v>
                      </c:pt>
                      <c:pt idx="68">
                        <c:v>21.590938759093287</c:v>
                      </c:pt>
                      <c:pt idx="69">
                        <c:v>21.985248017676195</c:v>
                      </c:pt>
                      <c:pt idx="70">
                        <c:v>22.381803258728059</c:v>
                      </c:pt>
                      <c:pt idx="71">
                        <c:v>22.780604482248883</c:v>
                      </c:pt>
                      <c:pt idx="72">
                        <c:v>23.181651688238649</c:v>
                      </c:pt>
                      <c:pt idx="73">
                        <c:v>23.584944876697385</c:v>
                      </c:pt>
                      <c:pt idx="74">
                        <c:v>23.990484047625067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7E4-4421-9955-CF6781206618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1"/>
          <c:tx>
            <c:strRef>
              <c:f>Сравнение!$AQ$48</c:f>
              <c:strCache>
                <c:ptCount val="1"/>
                <c:pt idx="0">
                  <c:v>ΔS (1-0) J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47E4-4421-9955-CF6781206618}"/>
              </c:ext>
            </c:extLst>
          </c:dPt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Сравнение!$AQ$49:$AQ$123</c:f>
              <c:numCache>
                <c:formatCode>#,##0.00</c:formatCode>
                <c:ptCount val="75"/>
                <c:pt idx="0">
                  <c:v>6.5076914785004689</c:v>
                </c:pt>
                <c:pt idx="1">
                  <c:v>6.9664664342163363</c:v>
                </c:pt>
                <c:pt idx="2">
                  <c:v>7.3958659924799051</c:v>
                </c:pt>
                <c:pt idx="3">
                  <c:v>7.7977773802500323</c:v>
                </c:pt>
                <c:pt idx="4">
                  <c:v>8.17392700132946</c:v>
                </c:pt>
                <c:pt idx="5">
                  <c:v>8.5258982058538493</c:v>
                </c:pt>
                <c:pt idx="6">
                  <c:v>8.8551466713993534</c:v>
                </c:pt>
                <c:pt idx="7">
                  <c:v>9.1630137708695756</c:v>
                </c:pt>
                <c:pt idx="8">
                  <c:v>9.4507382353229445</c:v>
                </c:pt>
                <c:pt idx="9">
                  <c:v>9.719466366235757</c:v>
                </c:pt>
                <c:pt idx="10">
                  <c:v>9.9702610084536616</c:v>
                </c:pt>
                <c:pt idx="11">
                  <c:v>10.204109460039199</c:v>
                </c:pt>
                <c:pt idx="12">
                  <c:v>10.421930466670034</c:v>
                </c:pt>
                <c:pt idx="13">
                  <c:v>10.624580424856291</c:v>
                </c:pt>
                <c:pt idx="14">
                  <c:v>10.81285889900051</c:v>
                </c:pt>
                <c:pt idx="15">
                  <c:v>10.987513541409356</c:v>
                </c:pt>
                <c:pt idx="16">
                  <c:v>11.149244491152245</c:v>
                </c:pt>
                <c:pt idx="17">
                  <c:v>11.298708316637907</c:v>
                </c:pt>
                <c:pt idx="18">
                  <c:v>11.43652155755224</c:v>
                </c:pt>
                <c:pt idx="19">
                  <c:v>11.563263914039446</c:v>
                </c:pt>
                <c:pt idx="20">
                  <c:v>11.679481124464949</c:v>
                </c:pt>
                <c:pt idx="21">
                  <c:v>11.785687567551953</c:v>
                </c:pt>
                <c:pt idx="22">
                  <c:v>11.882368619977314</c:v>
                </c:pt>
                <c:pt idx="23">
                  <c:v>11.969982796494875</c:v>
                </c:pt>
                <c:pt idx="24">
                  <c:v>12.048963696224426</c:v>
                </c:pt>
                <c:pt idx="25">
                  <c:v>12.119721775798297</c:v>
                </c:pt>
                <c:pt idx="26">
                  <c:v>12.182645967526469</c:v>
                </c:pt>
                <c:pt idx="27">
                  <c:v>12.238105158556976</c:v>
                </c:pt>
                <c:pt idx="28">
                  <c:v>12.286449545118614</c:v>
                </c:pt>
                <c:pt idx="29">
                  <c:v>12.328011874295555</c:v>
                </c:pt>
                <c:pt idx="30">
                  <c:v>12.363108584359168</c:v>
                </c:pt>
                <c:pt idx="31">
                  <c:v>12.392040853442381</c:v>
                </c:pt>
                <c:pt idx="32">
                  <c:v>12.415095565256692</c:v>
                </c:pt>
                <c:pt idx="33">
                  <c:v>12.43254619960539</c:v>
                </c:pt>
                <c:pt idx="34">
                  <c:v>12.444653654612068</c:v>
                </c:pt>
                <c:pt idx="35">
                  <c:v>12.451667006853484</c:v>
                </c:pt>
                <c:pt idx="36">
                  <c:v>12.453824214940482</c:v>
                </c:pt>
                <c:pt idx="37">
                  <c:v>12.451352771521556</c:v>
                </c:pt>
                <c:pt idx="38">
                  <c:v>12.444470308181366</c:v>
                </c:pt>
                <c:pt idx="39">
                  <c:v>12.433385157259039</c:v>
                </c:pt>
                <c:pt idx="40">
                  <c:v>12.41829687421712</c:v>
                </c:pt>
                <c:pt idx="41">
                  <c:v>12.399396723839075</c:v>
                </c:pt>
                <c:pt idx="42">
                  <c:v>12.376868133219403</c:v>
                </c:pt>
                <c:pt idx="43">
                  <c:v>12.350887114232364</c:v>
                </c:pt>
                <c:pt idx="44">
                  <c:v>12.321622657913295</c:v>
                </c:pt>
                <c:pt idx="45">
                  <c:v>12.289237102964776</c:v>
                </c:pt>
                <c:pt idx="46">
                  <c:v>12.253886480398066</c:v>
                </c:pt>
                <c:pt idx="47">
                  <c:v>12.21572083614069</c:v>
                </c:pt>
                <c:pt idx="48">
                  <c:v>12.174884533279496</c:v>
                </c:pt>
                <c:pt idx="49">
                  <c:v>12.131516535462637</c:v>
                </c:pt>
                <c:pt idx="50">
                  <c:v>12.085750672851944</c:v>
                </c:pt>
                <c:pt idx="51">
                  <c:v>12.037715891900149</c:v>
                </c:pt>
                <c:pt idx="52">
                  <c:v>11.9875364901187</c:v>
                </c:pt>
                <c:pt idx="53">
                  <c:v>11.935332336906015</c:v>
                </c:pt>
                <c:pt idx="54">
                  <c:v>11.88121908141737</c:v>
                </c:pt>
                <c:pt idx="55">
                  <c:v>11.825308348378613</c:v>
                </c:pt>
                <c:pt idx="56">
                  <c:v>11.767707922673253</c:v>
                </c:pt>
                <c:pt idx="57">
                  <c:v>11.708521923466222</c:v>
                </c:pt>
                <c:pt idx="58">
                  <c:v>11.64785096856842</c:v>
                </c:pt>
                <c:pt idx="59">
                  <c:v>11.585792329690761</c:v>
                </c:pt>
                <c:pt idx="60">
                  <c:v>11.522440079187803</c:v>
                </c:pt>
                <c:pt idx="61">
                  <c:v>11.457885228843637</c:v>
                </c:pt>
                <c:pt idx="62">
                  <c:v>11.392215861213216</c:v>
                </c:pt>
                <c:pt idx="63">
                  <c:v>11.325517253992956</c:v>
                </c:pt>
                <c:pt idx="64">
                  <c:v>11.257871997859567</c:v>
                </c:pt>
                <c:pt idx="65">
                  <c:v>11.189360108185326</c:v>
                </c:pt>
                <c:pt idx="66">
                  <c:v>11.120059131006585</c:v>
                </c:pt>
                <c:pt idx="67">
                  <c:v>11.050044243597611</c:v>
                </c:pt>
                <c:pt idx="68">
                  <c:v>10.979388349975665</c:v>
                </c:pt>
                <c:pt idx="69">
                  <c:v>10.908162171640498</c:v>
                </c:pt>
                <c:pt idx="70">
                  <c:v>10.836434333831534</c:v>
                </c:pt>
                <c:pt idx="71">
                  <c:v>10.764271447564823</c:v>
                </c:pt>
                <c:pt idx="72">
                  <c:v>10.691738187696316</c:v>
                </c:pt>
                <c:pt idx="73">
                  <c:v>10.618897367239171</c:v>
                </c:pt>
                <c:pt idx="74">
                  <c:v>10.545810008149431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7E4-4421-9955-CF6781206618}"/>
            </c:ext>
          </c:extLst>
        </c:ser>
        <c:ser>
          <c:idx val="4"/>
          <c:order val="3"/>
          <c:tx>
            <c:strRef>
              <c:f>Сравнение!$AS$48</c:f>
              <c:strCache>
                <c:ptCount val="1"/>
                <c:pt idx="0">
                  <c:v>ΔCp (1-0) J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Сравнение!$AS$49:$AS$123</c:f>
              <c:numCache>
                <c:formatCode>#,##0.00</c:formatCode>
                <c:ptCount val="75"/>
                <c:pt idx="0">
                  <c:v>15.036883038698008</c:v>
                </c:pt>
                <c:pt idx="1">
                  <c:v>14.517237083335061</c:v>
                </c:pt>
                <c:pt idx="2">
                  <c:v>14.003396241918569</c:v>
                </c:pt>
                <c:pt idx="3">
                  <c:v>13.495360514448535</c:v>
                </c:pt>
                <c:pt idx="4">
                  <c:v>12.993129900924941</c:v>
                </c:pt>
                <c:pt idx="5">
                  <c:v>12.496704401347799</c:v>
                </c:pt>
                <c:pt idx="6">
                  <c:v>12.006084015717114</c:v>
                </c:pt>
                <c:pt idx="7">
                  <c:v>11.521268744032863</c:v>
                </c:pt>
                <c:pt idx="8">
                  <c:v>11.042258586295073</c:v>
                </c:pt>
                <c:pt idx="9">
                  <c:v>10.56905354250372</c:v>
                </c:pt>
                <c:pt idx="10">
                  <c:v>10.101653612658833</c:v>
                </c:pt>
                <c:pt idx="11">
                  <c:v>9.6400587967603855</c:v>
                </c:pt>
                <c:pt idx="12">
                  <c:v>9.1842690948083821</c:v>
                </c:pt>
                <c:pt idx="13">
                  <c:v>8.7342845068028403</c:v>
                </c:pt>
                <c:pt idx="14">
                  <c:v>8.2901050327437424</c:v>
                </c:pt>
                <c:pt idx="15">
                  <c:v>7.851730672631092</c:v>
                </c:pt>
                <c:pt idx="16">
                  <c:v>7.4191614264648962</c:v>
                </c:pt>
                <c:pt idx="17">
                  <c:v>6.9923972942451407</c:v>
                </c:pt>
                <c:pt idx="18">
                  <c:v>6.5714382759718397</c:v>
                </c:pt>
                <c:pt idx="19">
                  <c:v>6.1562843716449862</c:v>
                </c:pt>
                <c:pt idx="20">
                  <c:v>5.7469355812645873</c:v>
                </c:pt>
                <c:pt idx="21">
                  <c:v>5.3433919048306358</c:v>
                </c:pt>
                <c:pt idx="22">
                  <c:v>4.9456533423431246</c:v>
                </c:pt>
                <c:pt idx="23">
                  <c:v>4.5537198938020715</c:v>
                </c:pt>
                <c:pt idx="24">
                  <c:v>4.1675915592074695</c:v>
                </c:pt>
                <c:pt idx="25">
                  <c:v>3.7872683385593113</c:v>
                </c:pt>
                <c:pt idx="26">
                  <c:v>3.4127502318576077</c:v>
                </c:pt>
                <c:pt idx="27">
                  <c:v>3.044037239102348</c:v>
                </c:pt>
                <c:pt idx="28">
                  <c:v>2.6811293602935322</c:v>
                </c:pt>
                <c:pt idx="29">
                  <c:v>2.324026595431171</c:v>
                </c:pt>
                <c:pt idx="30">
                  <c:v>1.9727289445152678</c:v>
                </c:pt>
                <c:pt idx="31">
                  <c:v>1.6272364075458015</c:v>
                </c:pt>
                <c:pt idx="32">
                  <c:v>1.2875489845228003</c:v>
                </c:pt>
                <c:pt idx="33">
                  <c:v>0.95366667544622885</c:v>
                </c:pt>
                <c:pt idx="34">
                  <c:v>0.6255894803161155</c:v>
                </c:pt>
                <c:pt idx="35">
                  <c:v>0.30331739913245315</c:v>
                </c:pt>
                <c:pt idx="36">
                  <c:v>-1.3149568104758202E-2</c:v>
                </c:pt>
                <c:pt idx="37">
                  <c:v>-0.32381142139552566</c:v>
                </c:pt>
                <c:pt idx="38">
                  <c:v>-0.62866816073984211</c:v>
                </c:pt>
                <c:pt idx="39">
                  <c:v>-0.92771978613771466</c:v>
                </c:pt>
                <c:pt idx="40">
                  <c:v>-1.220966297589122</c:v>
                </c:pt>
                <c:pt idx="41">
                  <c:v>-1.5084076950940997</c:v>
                </c:pt>
                <c:pt idx="42">
                  <c:v>-1.7900439786526121</c:v>
                </c:pt>
                <c:pt idx="43">
                  <c:v>-2.0658751482646878</c:v>
                </c:pt>
                <c:pt idx="44">
                  <c:v>-2.3359012039302982</c:v>
                </c:pt>
                <c:pt idx="45">
                  <c:v>-2.600122145649479</c:v>
                </c:pt>
                <c:pt idx="46">
                  <c:v>-2.8585379734222016</c:v>
                </c:pt>
                <c:pt idx="47">
                  <c:v>-3.1111486872484804</c:v>
                </c:pt>
                <c:pt idx="48">
                  <c:v>-3.357954287128301</c:v>
                </c:pt>
                <c:pt idx="49">
                  <c:v>-3.5989547730616636</c:v>
                </c:pt>
                <c:pt idx="50">
                  <c:v>-3.8341501450485964</c:v>
                </c:pt>
                <c:pt idx="51">
                  <c:v>-4.0635404030890641</c:v>
                </c:pt>
                <c:pt idx="52">
                  <c:v>-4.2871255471831091</c:v>
                </c:pt>
                <c:pt idx="53">
                  <c:v>-4.5049055773306748</c:v>
                </c:pt>
                <c:pt idx="54">
                  <c:v>-4.7168804935318107</c:v>
                </c:pt>
                <c:pt idx="55">
                  <c:v>-4.9230502957864886</c:v>
                </c:pt>
                <c:pt idx="56">
                  <c:v>-5.1234149840947154</c:v>
                </c:pt>
                <c:pt idx="57">
                  <c:v>-5.3179745584564913</c:v>
                </c:pt>
                <c:pt idx="58">
                  <c:v>-5.5067290188718232</c:v>
                </c:pt>
                <c:pt idx="59">
                  <c:v>-5.689678365340697</c:v>
                </c:pt>
                <c:pt idx="60">
                  <c:v>-5.8668225978631412</c:v>
                </c:pt>
                <c:pt idx="61">
                  <c:v>-6.038161716439113</c:v>
                </c:pt>
                <c:pt idx="62">
                  <c:v>-6.2036957210686623</c:v>
                </c:pt>
                <c:pt idx="63">
                  <c:v>-6.3634246117517392</c:v>
                </c:pt>
                <c:pt idx="64">
                  <c:v>-6.5173483884883723</c:v>
                </c:pt>
                <c:pt idx="65">
                  <c:v>-6.6654670512785614</c:v>
                </c:pt>
                <c:pt idx="66">
                  <c:v>-6.8077806001223067</c:v>
                </c:pt>
                <c:pt idx="67">
                  <c:v>-6.9442890350195796</c:v>
                </c:pt>
                <c:pt idx="68">
                  <c:v>-7.07499235597043</c:v>
                </c:pt>
                <c:pt idx="69">
                  <c:v>-7.199890562974808</c:v>
                </c:pt>
                <c:pt idx="70">
                  <c:v>-7.3189836560327635</c:v>
                </c:pt>
                <c:pt idx="71">
                  <c:v>-7.4322716351442466</c:v>
                </c:pt>
                <c:pt idx="72">
                  <c:v>-7.539754500309293</c:v>
                </c:pt>
                <c:pt idx="73">
                  <c:v>-7.641432251527867</c:v>
                </c:pt>
                <c:pt idx="74">
                  <c:v>-7.7373048888000255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7E4-4421-9955-CF6781206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4696"/>
        <c:axId val="51266626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Сравнение!$AU$48</c15:sqref>
                        </c15:formulaRef>
                      </c:ext>
                    </c:extLst>
                    <c:strCache>
                      <c:ptCount val="1"/>
                      <c:pt idx="0">
                        <c:v>ΔS (1-2) J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Сравнение!$AU$49:$AU$123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6.5397863436487143</c:v>
                      </c:pt>
                      <c:pt idx="1">
                        <c:v>7.0108739423863184</c:v>
                      </c:pt>
                      <c:pt idx="2">
                        <c:v>7.4551917362102458</c:v>
                      </c:pt>
                      <c:pt idx="3">
                        <c:v>7.8745586307616406</c:v>
                      </c:pt>
                      <c:pt idx="4">
                        <c:v>8.2706385306392676</c:v>
                      </c:pt>
                      <c:pt idx="5">
                        <c:v>8.6449574655981465</c:v>
                      </c:pt>
                      <c:pt idx="6">
                        <c:v>8.9989184148308681</c:v>
                      </c:pt>
                      <c:pt idx="7">
                        <c:v>9.3338141909108785</c:v>
                      </c:pt>
                      <c:pt idx="8">
                        <c:v>9.6508386804024155</c:v>
                      </c:pt>
                      <c:pt idx="9">
                        <c:v>9.9510966864199588</c:v>
                      </c:pt>
                      <c:pt idx="10">
                        <c:v>10.235612576740955</c:v>
                      </c:pt>
                      <c:pt idx="11">
                        <c:v>10.505337907301502</c:v>
                      </c:pt>
                      <c:pt idx="12">
                        <c:v>10.761158163383598</c:v>
                      </c:pt>
                      <c:pt idx="13">
                        <c:v>11.003898738263928</c:v>
                      </c:pt>
                      <c:pt idx="14">
                        <c:v>11.234330250545284</c:v>
                      </c:pt>
                      <c:pt idx="15">
                        <c:v>11.453173286054337</c:v>
                      </c:pt>
                      <c:pt idx="16">
                        <c:v>11.661102637452856</c:v>
                      </c:pt>
                      <c:pt idx="17">
                        <c:v>11.8587511040853</c:v>
                      </c:pt>
                      <c:pt idx="18">
                        <c:v>12.046712905691642</c:v>
                      </c:pt>
                      <c:pt idx="19">
                        <c:v>12.225546756133738</c:v>
                      </c:pt>
                      <c:pt idx="20">
                        <c:v>12.395778636977781</c:v>
                      </c:pt>
                      <c:pt idx="21">
                        <c:v>12.557904305428181</c:v>
                      </c:pt>
                      <c:pt idx="22">
                        <c:v>12.712391566574055</c:v>
                      </c:pt>
                      <c:pt idx="23">
                        <c:v>12.859682336035817</c:v>
                      </c:pt>
                      <c:pt idx="24">
                        <c:v>13.000194515794561</c:v>
                      </c:pt>
                      <c:pt idx="25">
                        <c:v>13.134323703147437</c:v>
                      </c:pt>
                      <c:pt idx="26">
                        <c:v>13.262444750291912</c:v>
                      </c:pt>
                      <c:pt idx="27">
                        <c:v>13.384913189937706</c:v>
                      </c:pt>
                      <c:pt idx="28">
                        <c:v>13.502066540523231</c:v>
                      </c:pt>
                      <c:pt idx="29">
                        <c:v>13.614225503035499</c:v>
                      </c:pt>
                      <c:pt idx="30">
                        <c:v>13.721695060059808</c:v>
                      </c:pt>
                      <c:pt idx="31">
                        <c:v>13.824765486489873</c:v>
                      </c:pt>
                      <c:pt idx="32">
                        <c:v>13.923713280284147</c:v>
                      </c:pt>
                      <c:pt idx="33">
                        <c:v>14.018802020740566</c:v>
                      </c:pt>
                      <c:pt idx="34">
                        <c:v>14.11028316095895</c:v>
                      </c:pt>
                      <c:pt idx="35">
                        <c:v>14.198396760455395</c:v>
                      </c:pt>
                      <c:pt idx="36">
                        <c:v>14.283372163272269</c:v>
                      </c:pt>
                      <c:pt idx="37">
                        <c:v>14.365428626377984</c:v>
                      </c:pt>
                      <c:pt idx="38">
                        <c:v>14.444775902666905</c:v>
                      </c:pt>
                      <c:pt idx="39">
                        <c:v>14.52161478243891</c:v>
                      </c:pt>
                      <c:pt idx="40">
                        <c:v>14.596137596857318</c:v>
                      </c:pt>
                      <c:pt idx="41">
                        <c:v>14.668528686545287</c:v>
                      </c:pt>
                      <c:pt idx="42">
                        <c:v>14.738964838176727</c:v>
                      </c:pt>
                      <c:pt idx="43">
                        <c:v>14.807615691650781</c:v>
                      </c:pt>
                      <c:pt idx="44">
                        <c:v>14.874644120195825</c:v>
                      </c:pt>
                      <c:pt idx="45">
                        <c:v>14.94020658553498</c:v>
                      </c:pt>
                      <c:pt idx="46">
                        <c:v>15.00445347005089</c:v>
                      </c:pt>
                      <c:pt idx="47">
                        <c:v>15.067529387714075</c:v>
                      </c:pt>
                      <c:pt idx="48">
                        <c:v>15.129573475384618</c:v>
                      </c:pt>
                      <c:pt idx="49">
                        <c:v>15.190719665953935</c:v>
                      </c:pt>
                      <c:pt idx="50">
                        <c:v>15.251096944669513</c:v>
                      </c:pt>
                      <c:pt idx="51">
                        <c:v>15.31082958986957</c:v>
                      </c:pt>
                      <c:pt idx="52">
                        <c:v>15.370037399251842</c:v>
                      </c:pt>
                      <c:pt idx="53">
                        <c:v>15.428835902707377</c:v>
                      </c:pt>
                      <c:pt idx="54">
                        <c:v>15.487336562665206</c:v>
                      </c:pt>
                      <c:pt idx="55">
                        <c:v>15.545646962817145</c:v>
                      </c:pt>
                      <c:pt idx="56">
                        <c:v>15.6038709860225</c:v>
                      </c:pt>
                      <c:pt idx="57">
                        <c:v>15.662108982128217</c:v>
                      </c:pt>
                      <c:pt idx="58">
                        <c:v>15.720457926383034</c:v>
                      </c:pt>
                      <c:pt idx="59">
                        <c:v>15.779011569071187</c:v>
                      </c:pt>
                      <c:pt idx="60">
                        <c:v>15.837860576943442</c:v>
                      </c:pt>
                      <c:pt idx="61">
                        <c:v>15.897092666978793</c:v>
                      </c:pt>
                      <c:pt idx="62">
                        <c:v>15.956792732970953</c:v>
                      </c:pt>
                      <c:pt idx="63">
                        <c:v>16.017042965396442</c:v>
                      </c:pt>
                      <c:pt idx="64">
                        <c:v>16.077922964987437</c:v>
                      </c:pt>
                      <c:pt idx="65">
                        <c:v>16.139509850402831</c:v>
                      </c:pt>
                      <c:pt idx="66">
                        <c:v>16.201878360360382</c:v>
                      </c:pt>
                      <c:pt idx="67">
                        <c:v>16.265100950569519</c:v>
                      </c:pt>
                      <c:pt idx="68">
                        <c:v>16.329247885779054</c:v>
                      </c:pt>
                      <c:pt idx="69">
                        <c:v>16.394387327231769</c:v>
                      </c:pt>
                      <c:pt idx="70">
                        <c:v>16.460585415798803</c:v>
                      </c:pt>
                      <c:pt idx="71">
                        <c:v>16.527906351046781</c:v>
                      </c:pt>
                      <c:pt idx="72">
                        <c:v>16.596412466475002</c:v>
                      </c:pt>
                      <c:pt idx="73">
                        <c:v>16.666164301142302</c:v>
                      </c:pt>
                      <c:pt idx="74">
                        <c:v>16.737220667890298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47E4-4421-9955-CF678120661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Сравнение!$AW$48</c15:sqref>
                        </c15:formulaRef>
                      </c:ext>
                    </c:extLst>
                    <c:strCache>
                      <c:ptCount val="1"/>
                      <c:pt idx="0">
                        <c:v>ΔCp (1-2) J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Сравнение!$AW$49:$AW$123</c15:sqref>
                        </c15:formulaRef>
                      </c:ext>
                    </c:extLst>
                    <c:numCache>
                      <c:formatCode>General</c:formatCode>
                      <c:ptCount val="7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7E4-4421-9955-CF678120661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Сравнение!$E$48</c15:sqref>
                        </c15:formulaRef>
                      </c:ext>
                    </c:extLst>
                    <c:strCache>
                      <c:ptCount val="1"/>
                      <c:pt idx="0">
                        <c:v>0: S(T) J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Сравнение!$E$49:$E$123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42.457098230067949</c:v>
                      </c:pt>
                      <c:pt idx="1">
                        <c:v>43.24991894439065</c:v>
                      </c:pt>
                      <c:pt idx="2">
                        <c:v>44.026015725145911</c:v>
                      </c:pt>
                      <c:pt idx="3">
                        <c:v>44.786366387032587</c:v>
                      </c:pt>
                      <c:pt idx="4">
                        <c:v>45.531865418658199</c:v>
                      </c:pt>
                      <c:pt idx="5">
                        <c:v>46.263333189310522</c:v>
                      </c:pt>
                      <c:pt idx="6">
                        <c:v>46.981523918255071</c:v>
                      </c:pt>
                      <c:pt idx="7">
                        <c:v>47.687132600937765</c:v>
                      </c:pt>
                      <c:pt idx="8">
                        <c:v>48.380801051757842</c:v>
                      </c:pt>
                      <c:pt idx="9">
                        <c:v>49.063123195270933</c:v>
                      </c:pt>
                      <c:pt idx="10">
                        <c:v>49.734649715276774</c:v>
                      </c:pt>
                      <c:pt idx="11">
                        <c:v>50.395892153089029</c:v>
                      </c:pt>
                      <c:pt idx="12">
                        <c:v>51.047326531490171</c:v>
                      </c:pt>
                      <c:pt idx="13">
                        <c:v>51.689396568757857</c:v>
                      </c:pt>
                      <c:pt idx="14">
                        <c:v>52.322516537177535</c:v>
                      </c:pt>
                      <c:pt idx="15">
                        <c:v>52.947073812211251</c:v>
                      </c:pt>
                      <c:pt idx="16">
                        <c:v>53.563431151644991</c:v>
                      </c:pt>
                      <c:pt idx="17">
                        <c:v>54.171928738326365</c:v>
                      </c:pt>
                      <c:pt idx="18">
                        <c:v>54.77288601532203</c:v>
                      </c:pt>
                      <c:pt idx="19">
                        <c:v>55.366603338304309</c:v>
                      </c:pt>
                      <c:pt idx="20">
                        <c:v>55.953363466584598</c:v>
                      </c:pt>
                      <c:pt idx="21">
                        <c:v>56.533432911339013</c:v>
                      </c:pt>
                      <c:pt idx="22">
                        <c:v>57.107063157131634</c:v>
                      </c:pt>
                      <c:pt idx="23">
                        <c:v>57.674491770760611</c:v>
                      </c:pt>
                      <c:pt idx="24">
                        <c:v>58.235943409674142</c:v>
                      </c:pt>
                      <c:pt idx="25">
                        <c:v>58.791630740677562</c:v>
                      </c:pt>
                      <c:pt idx="26">
                        <c:v>59.341755278341125</c:v>
                      </c:pt>
                      <c:pt idx="27">
                        <c:v>59.886508151386224</c:v>
                      </c:pt>
                      <c:pt idx="28">
                        <c:v>60.42607080434891</c:v>
                      </c:pt>
                      <c:pt idx="29">
                        <c:v>60.96061564097127</c:v>
                      </c:pt>
                      <c:pt idx="30">
                        <c:v>61.49030661503302</c:v>
                      </c:pt>
                      <c:pt idx="31">
                        <c:v>62.01529977369313</c:v>
                      </c:pt>
                      <c:pt idx="32">
                        <c:v>62.535743757849701</c:v>
                      </c:pt>
                      <c:pt idx="33">
                        <c:v>63.05178026353466</c:v>
                      </c:pt>
                      <c:pt idx="34">
                        <c:v>63.563544467929006</c:v>
                      </c:pt>
                      <c:pt idx="35">
                        <c:v>64.071165423204619</c:v>
                      </c:pt>
                      <c:pt idx="36">
                        <c:v>64.574766421065405</c:v>
                      </c:pt>
                      <c:pt idx="37">
                        <c:v>65.07446533056499</c:v>
                      </c:pt>
                      <c:pt idx="38">
                        <c:v>65.570374911518158</c:v>
                      </c:pt>
                      <c:pt idx="39">
                        <c:v>66.062603105591649</c:v>
                      </c:pt>
                      <c:pt idx="40">
                        <c:v>66.551253306955246</c:v>
                      </c:pt>
                      <c:pt idx="41">
                        <c:v>67.036424614191489</c:v>
                      </c:pt>
                      <c:pt idx="42">
                        <c:v>67.518212065000242</c:v>
                      </c:pt>
                      <c:pt idx="43">
                        <c:v>67.996706855088988</c:v>
                      </c:pt>
                      <c:pt idx="44">
                        <c:v>68.471996542510894</c:v>
                      </c:pt>
                      <c:pt idx="45">
                        <c:v>68.944165238595957</c:v>
                      </c:pt>
                      <c:pt idx="46">
                        <c:v>69.413293786517642</c:v>
                      </c:pt>
                      <c:pt idx="47">
                        <c:v>69.879459928442884</c:v>
                      </c:pt>
                      <c:pt idx="48">
                        <c:v>70.342738462131337</c:v>
                      </c:pt>
                      <c:pt idx="49">
                        <c:v>70.803201387771949</c:v>
                      </c:pt>
                      <c:pt idx="50">
                        <c:v>71.260918045779135</c:v>
                      </c:pt>
                      <c:pt idx="51">
                        <c:v>71.715955246207855</c:v>
                      </c:pt>
                      <c:pt idx="52">
                        <c:v>72.168377390392166</c:v>
                      </c:pt>
                      <c:pt idx="53">
                        <c:v>72.618246585361149</c:v>
                      </c:pt>
                      <c:pt idx="54">
                        <c:v>73.065622751541127</c:v>
                      </c:pt>
                      <c:pt idx="55">
                        <c:v>73.510563724211138</c:v>
                      </c:pt>
                      <c:pt idx="56">
                        <c:v>73.95312534914153</c:v>
                      </c:pt>
                      <c:pt idx="57">
                        <c:v>74.393361572811514</c:v>
                      </c:pt>
                      <c:pt idx="58">
                        <c:v>74.831324527570089</c:v>
                      </c:pt>
                      <c:pt idx="59">
                        <c:v>75.267064612076709</c:v>
                      </c:pt>
                      <c:pt idx="60">
                        <c:v>75.700630567332283</c:v>
                      </c:pt>
                      <c:pt idx="61">
                        <c:v>76.132069548587481</c:v>
                      </c:pt>
                      <c:pt idx="62">
                        <c:v>76.561427193393499</c:v>
                      </c:pt>
                      <c:pt idx="63">
                        <c:v>76.988747686041265</c:v>
                      </c:pt>
                      <c:pt idx="64">
                        <c:v>77.414073818616473</c:v>
                      </c:pt>
                      <c:pt idx="65">
                        <c:v>77.837447048881643</c:v>
                      </c:pt>
                      <c:pt idx="66">
                        <c:v>78.258907555180897</c:v>
                      </c:pt>
                      <c:pt idx="67">
                        <c:v>78.678494288549544</c:v>
                      </c:pt>
                      <c:pt idx="68">
                        <c:v>79.096245022197195</c:v>
                      </c:pt>
                      <c:pt idx="69">
                        <c:v>79.512196398522278</c:v>
                      </c:pt>
                      <c:pt idx="70">
                        <c:v>79.926383973803453</c:v>
                      </c:pt>
                      <c:pt idx="71">
                        <c:v>80.338842260705178</c:v>
                      </c:pt>
                      <c:pt idx="72">
                        <c:v>80.749604768723685</c:v>
                      </c:pt>
                      <c:pt idx="73">
                        <c:v>81.158704042692705</c:v>
                      </c:pt>
                      <c:pt idx="74">
                        <c:v>81.566171699459019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7E4-4421-9955-CF678120661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Сравнение!$I$48</c15:sqref>
                        </c15:formulaRef>
                      </c:ext>
                    </c:extLst>
                    <c:strCache>
                      <c:ptCount val="1"/>
                      <c:pt idx="0">
                        <c:v>1: S(T) J</c:v>
                      </c:pt>
                    </c:strCache>
                  </c:strRef>
                </c:tx>
                <c:spPr>
                  <a:ln w="38100" cap="rnd">
                    <a:solidFill>
                      <a:srgbClr val="FF0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Сравнение!$I$49:$I$123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48.964789708568418</c:v>
                      </c:pt>
                      <c:pt idx="1">
                        <c:v>50.216385378606986</c:v>
                      </c:pt>
                      <c:pt idx="2">
                        <c:v>51.421881717625816</c:v>
                      </c:pt>
                      <c:pt idx="3">
                        <c:v>52.584143767282619</c:v>
                      </c:pt>
                      <c:pt idx="4">
                        <c:v>53.70579241998766</c:v>
                      </c:pt>
                      <c:pt idx="5">
                        <c:v>54.789231395164371</c:v>
                      </c:pt>
                      <c:pt idx="6">
                        <c:v>55.836670589654425</c:v>
                      </c:pt>
                      <c:pt idx="7">
                        <c:v>56.850146371807341</c:v>
                      </c:pt>
                      <c:pt idx="8">
                        <c:v>57.831539287080787</c:v>
                      </c:pt>
                      <c:pt idx="9">
                        <c:v>58.78258956150669</c:v>
                      </c:pt>
                      <c:pt idx="10">
                        <c:v>59.704910723730436</c:v>
                      </c:pt>
                      <c:pt idx="11">
                        <c:v>60.600001613128228</c:v>
                      </c:pt>
                      <c:pt idx="12">
                        <c:v>61.469256998160205</c:v>
                      </c:pt>
                      <c:pt idx="13">
                        <c:v>62.313976993614148</c:v>
                      </c:pt>
                      <c:pt idx="14">
                        <c:v>63.135375436178045</c:v>
                      </c:pt>
                      <c:pt idx="15">
                        <c:v>63.934587353620607</c:v>
                      </c:pt>
                      <c:pt idx="16">
                        <c:v>64.712675642797237</c:v>
                      </c:pt>
                      <c:pt idx="17">
                        <c:v>65.470637054964271</c:v>
                      </c:pt>
                      <c:pt idx="18">
                        <c:v>66.209407572874269</c:v>
                      </c:pt>
                      <c:pt idx="19">
                        <c:v>66.929867252343755</c:v>
                      </c:pt>
                      <c:pt idx="20">
                        <c:v>67.632844591049547</c:v>
                      </c:pt>
                      <c:pt idx="21">
                        <c:v>68.319120478890966</c:v>
                      </c:pt>
                      <c:pt idx="22">
                        <c:v>68.989431777108948</c:v>
                      </c:pt>
                      <c:pt idx="23">
                        <c:v>69.644474567255486</c:v>
                      </c:pt>
                      <c:pt idx="24">
                        <c:v>70.284907105898569</c:v>
                      </c:pt>
                      <c:pt idx="25">
                        <c:v>70.911352516475858</c:v>
                      </c:pt>
                      <c:pt idx="26">
                        <c:v>71.524401245867594</c:v>
                      </c:pt>
                      <c:pt idx="27">
                        <c:v>72.1246133099432</c:v>
                      </c:pt>
                      <c:pt idx="28">
                        <c:v>72.712520349467525</c:v>
                      </c:pt>
                      <c:pt idx="29">
                        <c:v>73.288627515266825</c:v>
                      </c:pt>
                      <c:pt idx="30">
                        <c:v>73.853415199392188</c:v>
                      </c:pt>
                      <c:pt idx="31">
                        <c:v>74.407340627135511</c:v>
                      </c:pt>
                      <c:pt idx="32">
                        <c:v>74.950839323106393</c:v>
                      </c:pt>
                      <c:pt idx="33">
                        <c:v>75.48432646314005</c:v>
                      </c:pt>
                      <c:pt idx="34">
                        <c:v>76.008198122541074</c:v>
                      </c:pt>
                      <c:pt idx="35">
                        <c:v>76.522832430058102</c:v>
                      </c:pt>
                      <c:pt idx="36">
                        <c:v>77.028590636005887</c:v>
                      </c:pt>
                      <c:pt idx="37">
                        <c:v>77.525818102086546</c:v>
                      </c:pt>
                      <c:pt idx="38">
                        <c:v>78.014845219699524</c:v>
                      </c:pt>
                      <c:pt idx="39">
                        <c:v>78.495988262850688</c:v>
                      </c:pt>
                      <c:pt idx="40">
                        <c:v>78.969550181172366</c:v>
                      </c:pt>
                      <c:pt idx="41">
                        <c:v>79.435821338030564</c:v>
                      </c:pt>
                      <c:pt idx="42">
                        <c:v>79.895080198219645</c:v>
                      </c:pt>
                      <c:pt idx="43">
                        <c:v>80.347593969321352</c:v>
                      </c:pt>
                      <c:pt idx="44">
                        <c:v>80.793619200424189</c:v>
                      </c:pt>
                      <c:pt idx="45">
                        <c:v>81.233402341560733</c:v>
                      </c:pt>
                      <c:pt idx="46">
                        <c:v>81.667180266915707</c:v>
                      </c:pt>
                      <c:pt idx="47">
                        <c:v>82.095180764583574</c:v>
                      </c:pt>
                      <c:pt idx="48">
                        <c:v>82.517622995410832</c:v>
                      </c:pt>
                      <c:pt idx="49">
                        <c:v>82.934717923234587</c:v>
                      </c:pt>
                      <c:pt idx="50">
                        <c:v>83.346668718631079</c:v>
                      </c:pt>
                      <c:pt idx="51">
                        <c:v>83.753671138108004</c:v>
                      </c:pt>
                      <c:pt idx="52">
                        <c:v>84.155913880510866</c:v>
                      </c:pt>
                      <c:pt idx="53">
                        <c:v>84.553578922267164</c:v>
                      </c:pt>
                      <c:pt idx="54">
                        <c:v>84.946841832958498</c:v>
                      </c:pt>
                      <c:pt idx="55">
                        <c:v>85.335872072589751</c:v>
                      </c:pt>
                      <c:pt idx="56">
                        <c:v>85.720833271814783</c:v>
                      </c:pt>
                      <c:pt idx="57">
                        <c:v>86.101883496277736</c:v>
                      </c:pt>
                      <c:pt idx="58">
                        <c:v>86.47917549613851</c:v>
                      </c:pt>
                      <c:pt idx="59">
                        <c:v>86.85285694176747</c:v>
                      </c:pt>
                      <c:pt idx="60">
                        <c:v>87.223070646520085</c:v>
                      </c:pt>
                      <c:pt idx="61">
                        <c:v>87.589954777431117</c:v>
                      </c:pt>
                      <c:pt idx="62">
                        <c:v>87.953643054606715</c:v>
                      </c:pt>
                      <c:pt idx="63">
                        <c:v>88.314264940034221</c:v>
                      </c:pt>
                      <c:pt idx="64">
                        <c:v>88.67194581647604</c:v>
                      </c:pt>
                      <c:pt idx="65">
                        <c:v>89.026807157066969</c:v>
                      </c:pt>
                      <c:pt idx="66">
                        <c:v>89.378966686187482</c:v>
                      </c:pt>
                      <c:pt idx="67">
                        <c:v>89.728538532147155</c:v>
                      </c:pt>
                      <c:pt idx="68">
                        <c:v>90.075633372172859</c:v>
                      </c:pt>
                      <c:pt idx="69">
                        <c:v>90.420358570162776</c:v>
                      </c:pt>
                      <c:pt idx="70">
                        <c:v>90.762818307634987</c:v>
                      </c:pt>
                      <c:pt idx="71">
                        <c:v>91.103113708270001</c:v>
                      </c:pt>
                      <c:pt idx="72">
                        <c:v>91.441342956420002</c:v>
                      </c:pt>
                      <c:pt idx="73">
                        <c:v>91.777601409931876</c:v>
                      </c:pt>
                      <c:pt idx="74">
                        <c:v>92.11198170760845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7E4-4421-9955-CF6781206618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Сравнение!$G$48</c15:sqref>
                        </c15:formulaRef>
                      </c:ext>
                    </c:extLst>
                    <c:strCache>
                      <c:ptCount val="1"/>
                      <c:pt idx="0">
                        <c:v>0: Cp(T) J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Сравнение!$G$49:$G$123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25.42</c:v>
                      </c:pt>
                      <c:pt idx="1">
                        <c:v>25.657432432432437</c:v>
                      </c:pt>
                      <c:pt idx="2">
                        <c:v>25.894864864864868</c:v>
                      </c:pt>
                      <c:pt idx="3">
                        <c:v>26.132297297297299</c:v>
                      </c:pt>
                      <c:pt idx="4">
                        <c:v>26.369729729729734</c:v>
                      </c:pt>
                      <c:pt idx="5">
                        <c:v>26.607162162162169</c:v>
                      </c:pt>
                      <c:pt idx="6">
                        <c:v>26.844594594594597</c:v>
                      </c:pt>
                      <c:pt idx="7">
                        <c:v>27.082027027027035</c:v>
                      </c:pt>
                      <c:pt idx="8">
                        <c:v>27.31945945945947</c:v>
                      </c:pt>
                      <c:pt idx="9">
                        <c:v>27.556891891891897</c:v>
                      </c:pt>
                      <c:pt idx="10">
                        <c:v>27.794324324324332</c:v>
                      </c:pt>
                      <c:pt idx="11">
                        <c:v>28.031756756756764</c:v>
                      </c:pt>
                      <c:pt idx="12">
                        <c:v>28.269189189189202</c:v>
                      </c:pt>
                      <c:pt idx="13">
                        <c:v>28.50662162162163</c:v>
                      </c:pt>
                      <c:pt idx="14">
                        <c:v>28.744054054054065</c:v>
                      </c:pt>
                      <c:pt idx="15">
                        <c:v>28.981486486486496</c:v>
                      </c:pt>
                      <c:pt idx="16">
                        <c:v>29.218918918918931</c:v>
                      </c:pt>
                      <c:pt idx="17">
                        <c:v>29.456351351351362</c:v>
                      </c:pt>
                      <c:pt idx="18">
                        <c:v>29.693783783783797</c:v>
                      </c:pt>
                      <c:pt idx="19">
                        <c:v>29.931216216216228</c:v>
                      </c:pt>
                      <c:pt idx="20">
                        <c:v>30.168648648648663</c:v>
                      </c:pt>
                      <c:pt idx="21">
                        <c:v>30.406081081081094</c:v>
                      </c:pt>
                      <c:pt idx="22">
                        <c:v>30.643513513513529</c:v>
                      </c:pt>
                      <c:pt idx="23">
                        <c:v>30.880945945945957</c:v>
                      </c:pt>
                      <c:pt idx="24">
                        <c:v>31.118378378378392</c:v>
                      </c:pt>
                      <c:pt idx="25">
                        <c:v>31.355810810810826</c:v>
                      </c:pt>
                      <c:pt idx="26">
                        <c:v>31.593243243243258</c:v>
                      </c:pt>
                      <c:pt idx="27">
                        <c:v>31.830675675675689</c:v>
                      </c:pt>
                      <c:pt idx="28">
                        <c:v>32.06810810810812</c:v>
                      </c:pt>
                      <c:pt idx="29">
                        <c:v>32.305540540540562</c:v>
                      </c:pt>
                      <c:pt idx="30">
                        <c:v>32.54297297297299</c:v>
                      </c:pt>
                      <c:pt idx="31">
                        <c:v>32.780405405405425</c:v>
                      </c:pt>
                      <c:pt idx="32">
                        <c:v>33.017837837837853</c:v>
                      </c:pt>
                      <c:pt idx="33">
                        <c:v>33.255270270270287</c:v>
                      </c:pt>
                      <c:pt idx="34">
                        <c:v>33.492702702702722</c:v>
                      </c:pt>
                      <c:pt idx="35">
                        <c:v>33.730135135135157</c:v>
                      </c:pt>
                      <c:pt idx="36">
                        <c:v>33.967567567567585</c:v>
                      </c:pt>
                      <c:pt idx="37">
                        <c:v>34.20500000000002</c:v>
                      </c:pt>
                      <c:pt idx="38">
                        <c:v>34.442432432432454</c:v>
                      </c:pt>
                      <c:pt idx="39">
                        <c:v>34.679864864864889</c:v>
                      </c:pt>
                      <c:pt idx="40">
                        <c:v>34.917297297297317</c:v>
                      </c:pt>
                      <c:pt idx="41">
                        <c:v>35.154729729729752</c:v>
                      </c:pt>
                      <c:pt idx="42">
                        <c:v>35.392162162162187</c:v>
                      </c:pt>
                      <c:pt idx="43">
                        <c:v>35.629594594594622</c:v>
                      </c:pt>
                      <c:pt idx="44">
                        <c:v>35.867027027027049</c:v>
                      </c:pt>
                      <c:pt idx="45">
                        <c:v>36.104459459459484</c:v>
                      </c:pt>
                      <c:pt idx="46">
                        <c:v>36.341891891891919</c:v>
                      </c:pt>
                      <c:pt idx="47">
                        <c:v>36.579324324324354</c:v>
                      </c:pt>
                      <c:pt idx="48">
                        <c:v>36.816756756756789</c:v>
                      </c:pt>
                      <c:pt idx="49">
                        <c:v>37.054189189189216</c:v>
                      </c:pt>
                      <c:pt idx="50">
                        <c:v>37.291621621621651</c:v>
                      </c:pt>
                      <c:pt idx="51">
                        <c:v>37.529054054054079</c:v>
                      </c:pt>
                      <c:pt idx="52">
                        <c:v>37.766486486486521</c:v>
                      </c:pt>
                      <c:pt idx="53">
                        <c:v>38.003918918918949</c:v>
                      </c:pt>
                      <c:pt idx="54">
                        <c:v>38.241351351351383</c:v>
                      </c:pt>
                      <c:pt idx="55">
                        <c:v>38.478783783783818</c:v>
                      </c:pt>
                      <c:pt idx="56">
                        <c:v>38.716216216216253</c:v>
                      </c:pt>
                      <c:pt idx="57">
                        <c:v>38.953648648648681</c:v>
                      </c:pt>
                      <c:pt idx="58">
                        <c:v>39.191081081081116</c:v>
                      </c:pt>
                      <c:pt idx="59">
                        <c:v>39.428513513513543</c:v>
                      </c:pt>
                      <c:pt idx="60">
                        <c:v>39.665945945945985</c:v>
                      </c:pt>
                      <c:pt idx="61">
                        <c:v>39.903378378378406</c:v>
                      </c:pt>
                      <c:pt idx="62">
                        <c:v>40.140810810810848</c:v>
                      </c:pt>
                      <c:pt idx="63">
                        <c:v>40.378243243243283</c:v>
                      </c:pt>
                      <c:pt idx="64">
                        <c:v>40.615675675675718</c:v>
                      </c:pt>
                      <c:pt idx="65">
                        <c:v>40.853108108108138</c:v>
                      </c:pt>
                      <c:pt idx="66">
                        <c:v>41.09054054054058</c:v>
                      </c:pt>
                      <c:pt idx="67">
                        <c:v>41.327972972973008</c:v>
                      </c:pt>
                      <c:pt idx="68">
                        <c:v>41.56540540540545</c:v>
                      </c:pt>
                      <c:pt idx="69">
                        <c:v>41.80283783783787</c:v>
                      </c:pt>
                      <c:pt idx="70">
                        <c:v>42.040270270270312</c:v>
                      </c:pt>
                      <c:pt idx="71">
                        <c:v>42.277702702702747</c:v>
                      </c:pt>
                      <c:pt idx="72">
                        <c:v>42.515135135135182</c:v>
                      </c:pt>
                      <c:pt idx="73">
                        <c:v>42.752567567567603</c:v>
                      </c:pt>
                      <c:pt idx="74">
                        <c:v>42.990000000000045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7E4-4421-9955-CF6781206618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Сравнение!$K$48</c15:sqref>
                        </c15:formulaRef>
                      </c:ext>
                    </c:extLst>
                    <c:strCache>
                      <c:ptCount val="1"/>
                      <c:pt idx="0">
                        <c:v>1: Cp(T) J</c:v>
                      </c:pt>
                    </c:strCache>
                  </c:strRef>
                </c:tx>
                <c:spPr>
                  <a:ln w="38100" cap="rnd">
                    <a:solidFill>
                      <a:srgbClr val="00B05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Сравнение!$K$49:$K$123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40.45688303869801</c:v>
                      </c:pt>
                      <c:pt idx="1">
                        <c:v>40.174669515767498</c:v>
                      </c:pt>
                      <c:pt idx="2">
                        <c:v>39.898261106783437</c:v>
                      </c:pt>
                      <c:pt idx="3">
                        <c:v>39.627657811745834</c:v>
                      </c:pt>
                      <c:pt idx="4">
                        <c:v>39.362859630654675</c:v>
                      </c:pt>
                      <c:pt idx="5">
                        <c:v>39.103866563509968</c:v>
                      </c:pt>
                      <c:pt idx="6">
                        <c:v>38.850678610311711</c:v>
                      </c:pt>
                      <c:pt idx="7">
                        <c:v>38.603295771059898</c:v>
                      </c:pt>
                      <c:pt idx="8">
                        <c:v>38.361718045754543</c:v>
                      </c:pt>
                      <c:pt idx="9">
                        <c:v>38.125945434395618</c:v>
                      </c:pt>
                      <c:pt idx="10">
                        <c:v>37.895977936983165</c:v>
                      </c:pt>
                      <c:pt idx="11">
                        <c:v>37.671815553517149</c:v>
                      </c:pt>
                      <c:pt idx="12">
                        <c:v>37.453458283997584</c:v>
                      </c:pt>
                      <c:pt idx="13">
                        <c:v>37.24090612842447</c:v>
                      </c:pt>
                      <c:pt idx="14">
                        <c:v>37.034159086797807</c:v>
                      </c:pt>
                      <c:pt idx="15">
                        <c:v>36.833217159117588</c:v>
                      </c:pt>
                      <c:pt idx="16">
                        <c:v>36.638080345383827</c:v>
                      </c:pt>
                      <c:pt idx="17">
                        <c:v>36.448748645596503</c:v>
                      </c:pt>
                      <c:pt idx="18">
                        <c:v>36.265222059755637</c:v>
                      </c:pt>
                      <c:pt idx="19">
                        <c:v>36.087500587861214</c:v>
                      </c:pt>
                      <c:pt idx="20">
                        <c:v>35.91558422991325</c:v>
                      </c:pt>
                      <c:pt idx="21">
                        <c:v>35.74947298591173</c:v>
                      </c:pt>
                      <c:pt idx="22">
                        <c:v>35.589166855856654</c:v>
                      </c:pt>
                      <c:pt idx="23">
                        <c:v>35.434665839748028</c:v>
                      </c:pt>
                      <c:pt idx="24">
                        <c:v>35.285969937585861</c:v>
                      </c:pt>
                      <c:pt idx="25">
                        <c:v>35.143079149370138</c:v>
                      </c:pt>
                      <c:pt idx="26">
                        <c:v>35.005993475100865</c:v>
                      </c:pt>
                      <c:pt idx="27">
                        <c:v>34.874712914778037</c:v>
                      </c:pt>
                      <c:pt idx="28">
                        <c:v>34.749237468401653</c:v>
                      </c:pt>
                      <c:pt idx="29">
                        <c:v>34.629567135971733</c:v>
                      </c:pt>
                      <c:pt idx="30">
                        <c:v>34.515701917488258</c:v>
                      </c:pt>
                      <c:pt idx="31">
                        <c:v>34.407641812951226</c:v>
                      </c:pt>
                      <c:pt idx="32">
                        <c:v>34.305386822360653</c:v>
                      </c:pt>
                      <c:pt idx="33">
                        <c:v>34.208936945716516</c:v>
                      </c:pt>
                      <c:pt idx="34">
                        <c:v>34.118292183018838</c:v>
                      </c:pt>
                      <c:pt idx="35">
                        <c:v>34.03345253426761</c:v>
                      </c:pt>
                      <c:pt idx="36">
                        <c:v>33.954417999462827</c:v>
                      </c:pt>
                      <c:pt idx="37">
                        <c:v>33.881188578604494</c:v>
                      </c:pt>
                      <c:pt idx="38">
                        <c:v>33.813764271692612</c:v>
                      </c:pt>
                      <c:pt idx="39">
                        <c:v>33.752145078727175</c:v>
                      </c:pt>
                      <c:pt idx="40">
                        <c:v>33.696330999708195</c:v>
                      </c:pt>
                      <c:pt idx="41">
                        <c:v>33.646322034635652</c:v>
                      </c:pt>
                      <c:pt idx="42">
                        <c:v>33.602118183509575</c:v>
                      </c:pt>
                      <c:pt idx="43">
                        <c:v>33.563719446329934</c:v>
                      </c:pt>
                      <c:pt idx="44">
                        <c:v>33.531125823096751</c:v>
                      </c:pt>
                      <c:pt idx="45">
                        <c:v>33.504337313810005</c:v>
                      </c:pt>
                      <c:pt idx="46">
                        <c:v>33.483353918469717</c:v>
                      </c:pt>
                      <c:pt idx="47">
                        <c:v>33.468175637075873</c:v>
                      </c:pt>
                      <c:pt idx="48">
                        <c:v>33.458802469628488</c:v>
                      </c:pt>
                      <c:pt idx="49">
                        <c:v>33.455234416127553</c:v>
                      </c:pt>
                      <c:pt idx="50">
                        <c:v>33.457471476573055</c:v>
                      </c:pt>
                      <c:pt idx="51">
                        <c:v>33.465513650965015</c:v>
                      </c:pt>
                      <c:pt idx="52">
                        <c:v>33.479360939303412</c:v>
                      </c:pt>
                      <c:pt idx="53">
                        <c:v>33.499013341588274</c:v>
                      </c:pt>
                      <c:pt idx="54">
                        <c:v>33.524470857819573</c:v>
                      </c:pt>
                      <c:pt idx="55">
                        <c:v>33.55573348799733</c:v>
                      </c:pt>
                      <c:pt idx="56">
                        <c:v>33.592801232121538</c:v>
                      </c:pt>
                      <c:pt idx="57">
                        <c:v>33.63567409019219</c:v>
                      </c:pt>
                      <c:pt idx="58">
                        <c:v>33.684352062209292</c:v>
                      </c:pt>
                      <c:pt idx="59">
                        <c:v>33.738835148172846</c:v>
                      </c:pt>
                      <c:pt idx="60">
                        <c:v>33.799123348082844</c:v>
                      </c:pt>
                      <c:pt idx="61">
                        <c:v>33.865216661939293</c:v>
                      </c:pt>
                      <c:pt idx="62">
                        <c:v>33.937115089742186</c:v>
                      </c:pt>
                      <c:pt idx="63">
                        <c:v>34.014818631491543</c:v>
                      </c:pt>
                      <c:pt idx="64">
                        <c:v>34.098327287187345</c:v>
                      </c:pt>
                      <c:pt idx="65">
                        <c:v>34.187641056829577</c:v>
                      </c:pt>
                      <c:pt idx="66">
                        <c:v>34.282759940418273</c:v>
                      </c:pt>
                      <c:pt idx="67">
                        <c:v>34.383683937953428</c:v>
                      </c:pt>
                      <c:pt idx="68">
                        <c:v>34.49041304943502</c:v>
                      </c:pt>
                      <c:pt idx="69">
                        <c:v>34.602947274863062</c:v>
                      </c:pt>
                      <c:pt idx="70">
                        <c:v>34.721286614237549</c:v>
                      </c:pt>
                      <c:pt idx="71">
                        <c:v>34.845431067558501</c:v>
                      </c:pt>
                      <c:pt idx="72">
                        <c:v>34.975380634825889</c:v>
                      </c:pt>
                      <c:pt idx="73">
                        <c:v>35.111135316039736</c:v>
                      </c:pt>
                      <c:pt idx="74">
                        <c:v>35.252695111200019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7E4-4421-9955-CF6781206618}"/>
                  </c:ext>
                </c:extLst>
              </c15:ser>
            </c15:filteredScatterSeries>
          </c:ext>
        </c:extLst>
      </c:scatterChart>
      <c:valAx>
        <c:axId val="512665872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\K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304"/>
        <c:crosses val="autoZero"/>
        <c:crossBetween val="midCat"/>
      </c:valAx>
      <c:valAx>
        <c:axId val="5126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Dot"/>
              <a:round/>
            </a:ln>
            <a:effectLst/>
          </c:spPr>
        </c:majorGridlines>
        <c:numFmt formatCode="0.00\ \k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2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5872"/>
        <c:crosses val="autoZero"/>
        <c:crossBetween val="midCat"/>
      </c:valAx>
      <c:valAx>
        <c:axId val="512666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numFmt formatCode="0.00\ 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9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696"/>
        <c:crosses val="max"/>
        <c:crossBetween val="midCat"/>
      </c:valAx>
      <c:valAx>
        <c:axId val="51266469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512666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17337035246783"/>
          <c:y val="0.35229931148773891"/>
          <c:w val="9.6668166988241405E-2"/>
          <c:h val="0.188708511010574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15</xdr:row>
      <xdr:rowOff>36739</xdr:rowOff>
    </xdr:from>
    <xdr:to>
      <xdr:col>10</xdr:col>
      <xdr:colOff>830035</xdr:colOff>
      <xdr:row>33</xdr:row>
      <xdr:rowOff>112939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3EC1441-5DE8-4F0D-859B-264C8BE2AC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95250</xdr:colOff>
      <xdr:row>12</xdr:row>
      <xdr:rowOff>55471</xdr:rowOff>
    </xdr:from>
    <xdr:ext cx="15689076" cy="780951"/>
    <xdr:pic>
      <xdr:nvPicPr>
        <xdr:cNvPr id="3" name="Рисунок 2">
          <a:extLst>
            <a:ext uri="{FF2B5EF4-FFF2-40B4-BE49-F238E27FC236}">
              <a16:creationId xmlns:a16="http://schemas.microsoft.com/office/drawing/2014/main" id="{50193F8D-2411-46F7-B0D8-AE9E378E5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3255871"/>
          <a:ext cx="15689076" cy="78095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05C16-04E6-471E-9508-62191A5951A3}">
  <sheetPr codeName="Лист10">
    <tabColor theme="1" tint="4.9989318521683403E-2"/>
  </sheetPr>
  <dimension ref="A1:BJ323"/>
  <sheetViews>
    <sheetView tabSelected="1" topLeftCell="A7" zoomScale="85" zoomScaleNormal="85" workbookViewId="0">
      <selection activeCell="D6" sqref="D6"/>
    </sheetView>
  </sheetViews>
  <sheetFormatPr defaultRowHeight="21" x14ac:dyDescent="0.35"/>
  <cols>
    <col min="1" max="1" width="1.6328125" style="1" customWidth="1"/>
    <col min="2" max="15" width="11.6328125" customWidth="1"/>
    <col min="16" max="16" width="2.7265625" customWidth="1"/>
    <col min="17" max="24" width="11.6328125" hidden="1" customWidth="1"/>
    <col min="25" max="25" width="2.54296875" hidden="1" customWidth="1"/>
    <col min="26" max="40" width="11.6328125" hidden="1" customWidth="1"/>
    <col min="41" max="41" width="2.54296875" customWidth="1"/>
    <col min="42" max="57" width="11.6328125" customWidth="1"/>
    <col min="61" max="61" width="8.6328125" customWidth="1"/>
    <col min="62" max="62" width="12.81640625" bestFit="1" customWidth="1"/>
    <col min="63" max="63" width="10.26953125" bestFit="1" customWidth="1"/>
    <col min="64" max="67" width="8.6328125" customWidth="1"/>
    <col min="68" max="68" width="10.7265625" bestFit="1" customWidth="1"/>
    <col min="69" max="70" width="8.6328125" customWidth="1"/>
  </cols>
  <sheetData>
    <row r="1" spans="2:62" ht="24.95" customHeight="1" thickBot="1" x14ac:dyDescent="0.4">
      <c r="B1" s="36" t="s">
        <v>41</v>
      </c>
      <c r="C1" s="35">
        <v>300</v>
      </c>
      <c r="D1" s="39" t="s">
        <v>42</v>
      </c>
      <c r="E1" s="40" t="s">
        <v>40</v>
      </c>
      <c r="F1" s="41"/>
      <c r="G1" s="41"/>
      <c r="H1" s="41"/>
      <c r="I1" s="41"/>
      <c r="J1" s="41"/>
      <c r="K1" s="41"/>
      <c r="L1" s="42"/>
    </row>
    <row r="2" spans="2:62" ht="24.95" customHeight="1" thickBot="1" x14ac:dyDescent="0.4">
      <c r="B2" s="34" t="s">
        <v>39</v>
      </c>
      <c r="C2" s="33">
        <v>1000</v>
      </c>
      <c r="D2" s="39"/>
      <c r="E2" s="29" t="s">
        <v>34</v>
      </c>
      <c r="F2" s="28" t="s">
        <v>33</v>
      </c>
      <c r="G2" s="28" t="s">
        <v>32</v>
      </c>
      <c r="H2" s="28" t="s">
        <v>31</v>
      </c>
      <c r="I2" s="28" t="s">
        <v>30</v>
      </c>
      <c r="J2" s="28" t="s">
        <v>29</v>
      </c>
      <c r="K2" s="28" t="s">
        <v>28</v>
      </c>
      <c r="L2" s="27" t="s">
        <v>27</v>
      </c>
      <c r="AZ2" s="43"/>
    </row>
    <row r="3" spans="2:62" ht="24.95" customHeight="1" x14ac:dyDescent="0.35">
      <c r="B3" s="32">
        <v>8.3145000000000007</v>
      </c>
      <c r="E3" s="52">
        <v>0</v>
      </c>
      <c r="F3" s="52">
        <v>9.5940127503905739</v>
      </c>
      <c r="G3" s="52">
        <v>2.1516627578327019</v>
      </c>
      <c r="H3" s="52">
        <v>0</v>
      </c>
      <c r="I3" s="52">
        <v>7.7569498495098907E-2</v>
      </c>
      <c r="J3" s="52">
        <v>15.094112694689999</v>
      </c>
      <c r="K3" s="52">
        <v>0</v>
      </c>
      <c r="L3" s="52">
        <v>0</v>
      </c>
      <c r="AP3" s="31"/>
      <c r="AZ3" s="43"/>
    </row>
    <row r="4" spans="2:62" ht="24.95" customHeight="1" thickBot="1" x14ac:dyDescent="0.4">
      <c r="B4" s="23"/>
    </row>
    <row r="5" spans="2:62" ht="24.95" customHeight="1" thickBot="1" x14ac:dyDescent="0.45">
      <c r="B5" s="38" t="s">
        <v>38</v>
      </c>
      <c r="C5" s="38"/>
      <c r="D5" s="2"/>
      <c r="E5" s="44" t="s">
        <v>37</v>
      </c>
      <c r="F5" s="45"/>
      <c r="G5" s="45"/>
      <c r="H5" s="45"/>
      <c r="I5" s="45"/>
      <c r="J5" s="45"/>
      <c r="K5" s="45"/>
      <c r="L5" s="46"/>
    </row>
    <row r="6" spans="2:62" ht="24.95" customHeight="1" thickBot="1" x14ac:dyDescent="0.4">
      <c r="B6" s="30" t="s">
        <v>36</v>
      </c>
      <c r="C6" s="30" t="s">
        <v>35</v>
      </c>
      <c r="D6" s="2"/>
      <c r="E6" s="29" t="s">
        <v>34</v>
      </c>
      <c r="F6" s="28" t="s">
        <v>33</v>
      </c>
      <c r="G6" s="28" t="s">
        <v>32</v>
      </c>
      <c r="H6" s="28" t="s">
        <v>31</v>
      </c>
      <c r="I6" s="28" t="s">
        <v>30</v>
      </c>
      <c r="J6" s="28" t="s">
        <v>29</v>
      </c>
      <c r="K6" s="28" t="s">
        <v>28</v>
      </c>
      <c r="L6" s="27" t="s">
        <v>27</v>
      </c>
      <c r="N6" s="1"/>
      <c r="O6" s="1"/>
      <c r="P6" s="1"/>
      <c r="Q6" s="1"/>
      <c r="R6" s="1"/>
      <c r="S6" s="1"/>
      <c r="T6" s="1"/>
      <c r="BJ6" s="26"/>
    </row>
    <row r="7" spans="2:62" ht="24.95" customHeight="1" thickTop="1" x14ac:dyDescent="0.35">
      <c r="B7" s="25">
        <f>SUM(AP47:AS47)</f>
        <v>781.17214157631065</v>
      </c>
      <c r="C7" s="24">
        <f>SUM(AT47:AW47)</f>
        <v>17274.406659345048</v>
      </c>
      <c r="E7" s="50">
        <v>-6.6260929999999996E-2</v>
      </c>
      <c r="F7" s="51">
        <v>23.305810000000001</v>
      </c>
      <c r="G7" s="50">
        <v>6.3044700000000002</v>
      </c>
      <c r="H7" s="51">
        <v>0</v>
      </c>
      <c r="I7" s="50">
        <v>5.1929419999999997E-2</v>
      </c>
      <c r="J7" s="51">
        <v>-29.829440000000002</v>
      </c>
      <c r="K7" s="50">
        <v>65.022059999999996</v>
      </c>
      <c r="L7" s="51">
        <v>0</v>
      </c>
    </row>
    <row r="8" spans="2:62" ht="24.95" customHeight="1" thickBot="1" x14ac:dyDescent="0.4">
      <c r="B8" s="23"/>
    </row>
    <row r="9" spans="2:62" ht="24.95" customHeight="1" thickBot="1" x14ac:dyDescent="0.4">
      <c r="B9" s="20"/>
      <c r="E9" s="47">
        <v>2</v>
      </c>
      <c r="F9" s="48"/>
      <c r="G9" s="48"/>
      <c r="H9" s="48"/>
      <c r="I9" s="48"/>
      <c r="J9" s="48"/>
      <c r="K9" s="48"/>
      <c r="L9" s="49"/>
      <c r="U9" s="8"/>
      <c r="V9" s="8"/>
      <c r="W9" s="8"/>
      <c r="X9" s="8"/>
      <c r="Y9" s="8"/>
      <c r="Z9" s="8"/>
      <c r="AA9" s="8"/>
      <c r="AB9" s="8"/>
    </row>
    <row r="10" spans="2:62" ht="24.95" customHeight="1" thickBot="1" x14ac:dyDescent="0.4">
      <c r="B10" s="20"/>
      <c r="D10" t="s">
        <v>26</v>
      </c>
      <c r="E10" s="22">
        <v>0</v>
      </c>
      <c r="F10" s="22">
        <v>1</v>
      </c>
      <c r="G10" s="22" t="s">
        <v>25</v>
      </c>
      <c r="H10" s="22">
        <v>2</v>
      </c>
      <c r="I10" s="22">
        <v>3</v>
      </c>
      <c r="J10" s="22"/>
      <c r="K10" s="22"/>
      <c r="L10" s="22"/>
    </row>
    <row r="11" spans="2:62" ht="24.95" customHeight="1" thickTop="1" x14ac:dyDescent="0.35">
      <c r="B11" s="20"/>
      <c r="D11" t="s">
        <v>24</v>
      </c>
      <c r="E11" s="21">
        <v>-6657.6530000000002</v>
      </c>
      <c r="F11" s="8">
        <v>92.539694999999995</v>
      </c>
      <c r="G11" s="8">
        <v>-19.14</v>
      </c>
      <c r="H11" s="8">
        <v>-1.2295E-2</v>
      </c>
      <c r="I11" s="8">
        <v>2.6766599999999999E-6</v>
      </c>
      <c r="J11" s="8"/>
      <c r="K11" s="8"/>
      <c r="L11" s="8"/>
    </row>
    <row r="12" spans="2:62" ht="24.95" customHeight="1" x14ac:dyDescent="0.35">
      <c r="B12" s="20"/>
      <c r="E12">
        <v>-398698</v>
      </c>
      <c r="F12">
        <f>E12/8.3145/10000</f>
        <v>-4.7952131817908468</v>
      </c>
    </row>
    <row r="13" spans="2:62" ht="24.95" customHeight="1" x14ac:dyDescent="0.35">
      <c r="B13" s="20"/>
    </row>
    <row r="14" spans="2:62" ht="24.95" customHeight="1" x14ac:dyDescent="0.35">
      <c r="B14" s="20"/>
    </row>
    <row r="15" spans="2:62" ht="24.95" customHeight="1" x14ac:dyDescent="0.35">
      <c r="B15" s="20"/>
    </row>
    <row r="16" spans="2:62" ht="24.95" customHeight="1" x14ac:dyDescent="0.35">
      <c r="B16" s="20"/>
    </row>
    <row r="17" spans="2:2" ht="24.95" customHeight="1" x14ac:dyDescent="0.35">
      <c r="B17" s="20"/>
    </row>
    <row r="18" spans="2:2" ht="24.95" customHeight="1" x14ac:dyDescent="0.35">
      <c r="B18" s="20"/>
    </row>
    <row r="19" spans="2:2" ht="24.95" customHeight="1" x14ac:dyDescent="0.35">
      <c r="B19" s="20"/>
    </row>
    <row r="20" spans="2:2" ht="24.95" customHeight="1" x14ac:dyDescent="0.35">
      <c r="B20" s="20"/>
    </row>
    <row r="21" spans="2:2" ht="24.95" customHeight="1" x14ac:dyDescent="0.35">
      <c r="B21" s="20"/>
    </row>
    <row r="22" spans="2:2" ht="24.95" customHeight="1" x14ac:dyDescent="0.35">
      <c r="B22" s="20"/>
    </row>
    <row r="23" spans="2:2" ht="24.95" customHeight="1" x14ac:dyDescent="0.35">
      <c r="B23" s="20"/>
    </row>
    <row r="24" spans="2:2" ht="24.95" customHeight="1" x14ac:dyDescent="0.35">
      <c r="B24" s="20"/>
    </row>
    <row r="25" spans="2:2" ht="24.95" customHeight="1" x14ac:dyDescent="0.35">
      <c r="B25" s="20"/>
    </row>
    <row r="26" spans="2:2" ht="24.95" customHeight="1" x14ac:dyDescent="0.35">
      <c r="B26" s="20"/>
    </row>
    <row r="27" spans="2:2" ht="24.95" customHeight="1" x14ac:dyDescent="0.35">
      <c r="B27" s="20"/>
    </row>
    <row r="28" spans="2:2" ht="24.95" customHeight="1" x14ac:dyDescent="0.35">
      <c r="B28" s="20"/>
    </row>
    <row r="29" spans="2:2" ht="24.95" customHeight="1" x14ac:dyDescent="0.35">
      <c r="B29" s="20"/>
    </row>
    <row r="30" spans="2:2" ht="24.95" customHeight="1" x14ac:dyDescent="0.35">
      <c r="B30" s="20"/>
    </row>
    <row r="31" spans="2:2" ht="24.95" customHeight="1" x14ac:dyDescent="0.35">
      <c r="B31" s="20"/>
    </row>
    <row r="32" spans="2:2" ht="24.95" customHeight="1" x14ac:dyDescent="0.35">
      <c r="B32" s="20"/>
    </row>
    <row r="33" spans="1:49" ht="24.95" customHeight="1" x14ac:dyDescent="0.35">
      <c r="B33" s="20"/>
    </row>
    <row r="34" spans="1:49" ht="24.95" customHeight="1" x14ac:dyDescent="0.35">
      <c r="B34" s="20"/>
    </row>
    <row r="35" spans="1:49" ht="24.95" customHeight="1" x14ac:dyDescent="0.35">
      <c r="B35" s="20"/>
    </row>
    <row r="36" spans="1:49" ht="24.95" customHeight="1" x14ac:dyDescent="0.35">
      <c r="B36" s="20"/>
    </row>
    <row r="37" spans="1:49" ht="24.95" customHeight="1" x14ac:dyDescent="0.35">
      <c r="B37" s="20"/>
    </row>
    <row r="38" spans="1:49" ht="24.95" customHeight="1" x14ac:dyDescent="0.35">
      <c r="B38" s="20"/>
    </row>
    <row r="39" spans="1:49" ht="24.95" customHeight="1" x14ac:dyDescent="0.35">
      <c r="B39" s="20"/>
    </row>
    <row r="40" spans="1:49" ht="24.95" customHeight="1" x14ac:dyDescent="0.35">
      <c r="B40" s="20"/>
    </row>
    <row r="41" spans="1:49" ht="24.95" customHeight="1" x14ac:dyDescent="0.35">
      <c r="B41" s="20"/>
      <c r="F41" s="19"/>
    </row>
    <row r="43" spans="1:49" x14ac:dyDescent="0.35">
      <c r="C43" s="18"/>
    </row>
    <row r="47" spans="1:49" ht="21.75" thickBot="1" x14ac:dyDescent="0.4">
      <c r="D47" s="17"/>
      <c r="Q47" s="37" t="s">
        <v>23</v>
      </c>
      <c r="R47" s="37"/>
      <c r="S47" s="37"/>
      <c r="T47" s="37"/>
      <c r="U47" s="37"/>
      <c r="V47" s="37"/>
      <c r="W47" s="37"/>
      <c r="X47" s="37"/>
      <c r="Z47" s="16" t="s">
        <v>22</v>
      </c>
      <c r="AA47" s="16"/>
      <c r="AB47" s="16"/>
      <c r="AC47" s="16"/>
      <c r="AD47" s="16"/>
      <c r="AE47" s="16"/>
      <c r="AF47" s="16"/>
      <c r="AG47" s="16"/>
      <c r="AP47" s="2">
        <f>SUM(AP49:AP327)/1000</f>
        <v>0.41791608968190691</v>
      </c>
      <c r="AQ47" s="2">
        <f>SUM(AQ49:AQ327)</f>
        <v>842.88369478593222</v>
      </c>
      <c r="AR47" s="2">
        <f>SUM(AR49:AR327)</f>
        <v>-139.86849030348463</v>
      </c>
      <c r="AS47" s="2">
        <f>SUM(AS49:AS327)</f>
        <v>77.739021004181211</v>
      </c>
      <c r="AT47" s="2">
        <f>SUM(AT49:AT327)/AT49</f>
        <v>16926.864659154409</v>
      </c>
      <c r="AU47" s="2">
        <f>SUM(AU49:AU327)/AU49</f>
        <v>155.4845601422596</v>
      </c>
      <c r="AV47" s="2">
        <f>SUM(AV49:AV327)/AV49</f>
        <v>192.05744004837996</v>
      </c>
      <c r="AW47" s="2">
        <f>SUM(AW49:AW327)</f>
        <v>0</v>
      </c>
    </row>
    <row r="48" spans="1:49" ht="24.75" thickTop="1" thickBot="1" x14ac:dyDescent="0.4">
      <c r="A48" s="15"/>
      <c r="B48" s="11" t="s">
        <v>21</v>
      </c>
      <c r="C48" s="11">
        <f>COUNTA(A50:A321)</f>
        <v>74</v>
      </c>
      <c r="D48" s="14" t="s">
        <v>20</v>
      </c>
      <c r="E48" s="14" t="s">
        <v>19</v>
      </c>
      <c r="F48" s="14" t="s">
        <v>18</v>
      </c>
      <c r="G48" s="14" t="s">
        <v>17</v>
      </c>
      <c r="H48" s="11" t="s">
        <v>16</v>
      </c>
      <c r="I48" s="11" t="s">
        <v>15</v>
      </c>
      <c r="J48" s="11" t="s">
        <v>14</v>
      </c>
      <c r="K48" s="11" t="s">
        <v>13</v>
      </c>
      <c r="L48" s="13" t="s">
        <v>12</v>
      </c>
      <c r="M48" s="13" t="s">
        <v>11</v>
      </c>
      <c r="N48" s="13" t="s">
        <v>10</v>
      </c>
      <c r="O48" s="13" t="s">
        <v>9</v>
      </c>
      <c r="Q48" s="12">
        <f t="shared" ref="Q48:X48" si="0">E10</f>
        <v>0</v>
      </c>
      <c r="R48" s="12">
        <f t="shared" si="0"/>
        <v>1</v>
      </c>
      <c r="S48" s="12" t="str">
        <f t="shared" si="0"/>
        <v>п</v>
      </c>
      <c r="T48" s="12">
        <f t="shared" si="0"/>
        <v>2</v>
      </c>
      <c r="U48" s="12">
        <f t="shared" si="0"/>
        <v>3</v>
      </c>
      <c r="V48" s="12">
        <f t="shared" si="0"/>
        <v>0</v>
      </c>
      <c r="W48" s="12">
        <f t="shared" si="0"/>
        <v>0</v>
      </c>
      <c r="X48" s="12">
        <f t="shared" si="0"/>
        <v>0</v>
      </c>
      <c r="Z48" s="11">
        <f t="shared" ref="Z48:AG48" si="1">E10</f>
        <v>0</v>
      </c>
      <c r="AA48" s="11">
        <f t="shared" si="1"/>
        <v>1</v>
      </c>
      <c r="AB48" s="11" t="str">
        <f t="shared" si="1"/>
        <v>п</v>
      </c>
      <c r="AC48" s="11">
        <f t="shared" si="1"/>
        <v>2</v>
      </c>
      <c r="AD48" s="11">
        <f t="shared" si="1"/>
        <v>3</v>
      </c>
      <c r="AE48" s="11">
        <f t="shared" si="1"/>
        <v>0</v>
      </c>
      <c r="AF48" s="11">
        <f t="shared" si="1"/>
        <v>0</v>
      </c>
      <c r="AG48" s="11">
        <f t="shared" si="1"/>
        <v>0</v>
      </c>
      <c r="AP48" s="11" t="s">
        <v>8</v>
      </c>
      <c r="AQ48" s="11" t="s">
        <v>7</v>
      </c>
      <c r="AR48" s="11" t="s">
        <v>6</v>
      </c>
      <c r="AS48" s="11" t="s">
        <v>5</v>
      </c>
      <c r="AT48" s="10" t="s">
        <v>4</v>
      </c>
      <c r="AU48" s="10" t="s">
        <v>3</v>
      </c>
      <c r="AV48" s="10" t="s">
        <v>2</v>
      </c>
      <c r="AW48" s="10" t="s">
        <v>1</v>
      </c>
    </row>
    <row r="49" spans="1:50" x14ac:dyDescent="0.35">
      <c r="B49" s="4">
        <f>$C$1</f>
        <v>300</v>
      </c>
      <c r="C49" s="7">
        <f t="shared" ref="C49:C80" si="2">B49/10000</f>
        <v>0.03</v>
      </c>
      <c r="D49" s="9">
        <f t="shared" ref="D49:D80" si="3">10*$B$3*(C49*$G$3-$H$3*2/C49+$J$3*C49^2+$K$3*2*C49^3+$L$3*3*C49^4-$I$3+$E$3)</f>
        <v>4.6984047625001087E-2</v>
      </c>
      <c r="E49" s="6">
        <f t="shared" ref="E49:E80" si="4">$B$3*($F$3+$G$3+$G$3*LN(C49)-$H$3/C49^2+$J$3*2*C49+$K$3*3*C49^2+$L$3*4*C49^3)</f>
        <v>42.457098230067949</v>
      </c>
      <c r="F49" s="3">
        <f t="shared" ref="F49:F80" si="5">($E$3-C49*($F$3+$G$3*LN(C49)+$H$3*C49^(-2)+$I$3*C49^(-1)+$J$3*C49+$K$3*C49^2+$L$3*C49^3))*$B$3*10</f>
        <v>-12.690145421395385</v>
      </c>
      <c r="G49" s="6">
        <f t="shared" ref="G49:G80" si="6">$B$3*($G$3+2*$H$3*C49^(-2)+2*$J$3*C49+ 6*$K$3*C49^2+ 12*$L$3*C49^3)</f>
        <v>25.42</v>
      </c>
      <c r="H49" s="9">
        <f t="shared" ref="H49:H80" si="7">10*$B$3*(C49*$G$7-$H$7*2/C49+$J$7*C49^2+$K$7*2*C49^3+$L$7*3*C49^4-$I$7+$E$7)</f>
        <v>3.9584041794797997</v>
      </c>
      <c r="I49" s="6">
        <f t="shared" ref="I49:I80" si="8">$B$3*($F$7+$G$7+$G$7*LN(C49)-$H$7/C49^2+$J$7*2*C49+$K$7*3*C49^2+$L$7*4*C49^3)</f>
        <v>48.964789708568418</v>
      </c>
      <c r="J49" s="3">
        <f t="shared" ref="J49:J80" si="9">($E$7-C49*($F$7+$G$7*LN(C49)+$H$7*C49^(-2)+$I$7*C49^(-1)+$J$7*C49+$K$7*C49^2+$L$7*C49^3))*$B$3*10</f>
        <v>-10.731032733090718</v>
      </c>
      <c r="K49" s="6">
        <f t="shared" ref="K49:K80" si="10">$B$3*($G$7+2*$H$7*C49^(-2)+2*$J$7*C49+ 6*$K$7*C49^2+ 12*$L$7*C49^3)</f>
        <v>40.45688303869801</v>
      </c>
      <c r="L49" s="6">
        <f t="shared" ref="L49:L80" si="11">N49+M49*B49</f>
        <v>46.357360000005428</v>
      </c>
      <c r="M49" s="6">
        <f t="shared" ref="M49:M80" si="12">-SUM(Q49:X49)</f>
        <v>42.425003364919704</v>
      </c>
      <c r="N49" s="8">
        <f t="shared" ref="N49:N80" si="13">SUM(Z49:AG49)</f>
        <v>-12681.143649475905</v>
      </c>
      <c r="O49" s="8"/>
      <c r="Q49">
        <f t="shared" ref="Q49:Q80" si="14">IF( OR( E$10="д",E$10="l"),E$11/$B49,  IF( OR( E$10="g",E$10="п"),E$11*(LN($B49)+1),  $B49^(E$10-1)*E$10*E$11))</f>
        <v>0</v>
      </c>
      <c r="R49">
        <f t="shared" ref="R49:R80" si="15">IF( OR( F$10="д",F$10="l"),F$11/$B49,  IF( OR( F$10="g",F$10="п"),F$11*(LN($B49)+1),  $B49^(F$10-1)*F$10*F$11))</f>
        <v>92.539694999999995</v>
      </c>
      <c r="S49">
        <f t="shared" ref="S49:S80" si="16">IF( OR( G$10="д",G$10="l"),G$11/$B49,  IF( OR( G$10="g",G$10="п"),G$11*(LN($B49)+1),  $B49^(G$10-1)*G$10*G$11))</f>
        <v>-128.3103965649197</v>
      </c>
      <c r="T49">
        <f t="shared" ref="T49:T80" si="17">IF( OR( H$10="д",H$10="l"),H$11/$B49,  IF( OR( H$10="g",H$10="п"),H$11*(LN($B49)+1),  $B49^(H$10-1)*H$10*H$11))</f>
        <v>-7.3770000000000007</v>
      </c>
      <c r="U49">
        <f t="shared" ref="U49:U80" si="18">IF( OR( I$10="д",I$10="l"),I$11/$B49,  IF( OR( I$10="g",I$10="п"),I$11*(LN($B49)+1),  $B49^(I$10-1)*I$10*I$11))</f>
        <v>0.72269819999999996</v>
      </c>
      <c r="V49">
        <f t="shared" ref="V49:V80" si="19">IF( OR( J$10="д",J$10="l"),J$11/$B49,  IF( OR( J$10="g",J$10="п"),J$11*(LN($B49)+1),  $B49^(J$10-1)*J$10*J$11))</f>
        <v>0</v>
      </c>
      <c r="W49">
        <f t="shared" ref="W49:W80" si="20">IF( OR( K$10="д",K$10="l"),K$11/$B49,  IF( OR( K$10="g",K$10="п"),K$11*(LN($B49)+1),  $B49^(K$10-1)*K$10*K$11))</f>
        <v>0</v>
      </c>
      <c r="X49">
        <f t="shared" ref="X49:X80" si="21">IF( OR( L$10="д",L$10="l"),L$11/$B49,  IF( OR( L$10="g",L$10="п"),L$11*(LN($B49)+1),  $B49^(L$10-1)*L$10*L$11))</f>
        <v>0</v>
      </c>
      <c r="Z49">
        <f t="shared" ref="Z49:Z80" si="22">IF( OR( E$10="д",E$10="l"),E$11*LN($B49),  IF( OR( E$10="g",E$10="п"),E$11*$B49*LN($B49),  ($B49^E$10)*E$11))</f>
        <v>-6657.6530000000002</v>
      </c>
      <c r="AA49">
        <f t="shared" ref="AA49:AA80" si="23">IF( OR( F$10="д",F$10="l"),F$11*LN($B49),  IF( OR( F$10="g",F$10="п"),F$11*$B49*LN($B49),  ($B49^F$10)*F$11))</f>
        <v>27761.908499999998</v>
      </c>
      <c r="AB49">
        <f t="shared" ref="AB49:AB80" si="24">IF( OR( G$10="д",G$10="l"),G$11*LN($B49),  IF( OR( G$10="g",G$10="п"),G$11*$B49*LN($B49),  ($B49^G$10)*G$11))</f>
        <v>-32751.118969475905</v>
      </c>
      <c r="AC49">
        <f t="shared" ref="AC49:AC80" si="25">IF( OR( H$10="д",H$10="l"),H$11*LN($B49),  IF( OR( H$10="g",H$10="п"),H$11*$B49*LN($B49),  ($B49^H$10)*H$11))</f>
        <v>-1106.55</v>
      </c>
      <c r="AD49">
        <f t="shared" ref="AD49:AD80" si="26">IF( OR( I$10="д",I$10="l"),I$11*LN($B49),  IF( OR( I$10="g",I$10="п"),I$11*$B49*LN($B49),  ($B49^I$10)*I$11))</f>
        <v>72.269819999999996</v>
      </c>
      <c r="AE49">
        <f t="shared" ref="AE49:AE80" si="27">IF( OR( J$10="д",J$10="l"),J$11*LN($B49),  IF( OR( J$10="g",J$10="п"),J$11*$B49*LN($B49),  ($B49^J$10)*J$11))</f>
        <v>0</v>
      </c>
      <c r="AF49">
        <f t="shared" ref="AF49:AF80" si="28">IF( OR( K$10="д",K$10="l"),K$11*LN($B49),  IF( OR( K$10="g",K$10="п"),K$11*$B49*LN($B49),  ($B49^K$10)*K$11))</f>
        <v>0</v>
      </c>
      <c r="AG49">
        <f t="shared" ref="AG49:AG80" si="29">IF( OR( L$10="д",L$10="l"),L$11*LN($B49),  IF( OR( L$10="g",L$10="п"),L$11*$B49*LN($B49),  ($B49^L$10)*L$11))</f>
        <v>0</v>
      </c>
      <c r="AP49" s="8">
        <f>(H49-D49)</f>
        <v>3.9114201318547988</v>
      </c>
      <c r="AQ49" s="8">
        <f>(I49-E49)</f>
        <v>6.5076914785004689</v>
      </c>
      <c r="AR49" s="8">
        <f>(J49-F49)</f>
        <v>1.9591126883046677</v>
      </c>
      <c r="AS49" s="8">
        <f t="shared" ref="AS49:AS80" si="30">K49-G49</f>
        <v>15.036883038698008</v>
      </c>
      <c r="AT49" s="8">
        <f t="shared" ref="AT49:AT80" si="31">H49-L49</f>
        <v>-42.398955820525629</v>
      </c>
      <c r="AU49" s="3">
        <f t="shared" ref="AU49:AU80" si="32">I49-M49</f>
        <v>6.5397863436487143</v>
      </c>
      <c r="AV49" s="8">
        <f t="shared" ref="AV49:AV80" si="33">J49-N49</f>
        <v>12670.412616742815</v>
      </c>
      <c r="AX49" s="5"/>
    </row>
    <row r="50" spans="1:50" hidden="1" x14ac:dyDescent="0.35">
      <c r="A50" s="1" t="s">
        <v>0</v>
      </c>
      <c r="B50" s="4">
        <f t="shared" ref="B50:B81" si="34">B49+($C$2-$C$1)/$C$48</f>
        <v>309.45945945945948</v>
      </c>
      <c r="C50" s="7">
        <f t="shared" si="2"/>
        <v>3.0945945945945949E-2</v>
      </c>
      <c r="D50" s="9">
        <f t="shared" si="3"/>
        <v>0.28856649831893932</v>
      </c>
      <c r="E50" s="6">
        <f t="shared" si="4"/>
        <v>43.24991894439065</v>
      </c>
      <c r="F50" s="3">
        <f t="shared" si="5"/>
        <v>-13.09553003987763</v>
      </c>
      <c r="G50" s="6">
        <f t="shared" si="6"/>
        <v>25.657432432432437</v>
      </c>
      <c r="H50" s="9">
        <f t="shared" si="7"/>
        <v>4.3397650546475868</v>
      </c>
      <c r="I50" s="6">
        <f t="shared" si="8"/>
        <v>50.216385378606986</v>
      </c>
      <c r="J50" s="3">
        <f t="shared" si="9"/>
        <v>-11.200170420624032</v>
      </c>
      <c r="K50" s="6">
        <f t="shared" si="10"/>
        <v>40.174669515767498</v>
      </c>
      <c r="L50" s="6">
        <f t="shared" si="11"/>
        <v>284.18569984629903</v>
      </c>
      <c r="M50" s="6">
        <f t="shared" si="12"/>
        <v>43.205511436220668</v>
      </c>
      <c r="N50" s="8">
        <f t="shared" si="13"/>
        <v>-13086.168514876044</v>
      </c>
      <c r="O50" s="8"/>
      <c r="Q50">
        <f t="shared" si="14"/>
        <v>0</v>
      </c>
      <c r="R50">
        <f t="shared" si="15"/>
        <v>92.539694999999995</v>
      </c>
      <c r="S50">
        <f t="shared" si="16"/>
        <v>-128.90459062391241</v>
      </c>
      <c r="T50">
        <f t="shared" si="17"/>
        <v>-7.6096081081081088</v>
      </c>
      <c r="U50">
        <f t="shared" si="18"/>
        <v>0.76899229579985406</v>
      </c>
      <c r="V50">
        <f t="shared" si="19"/>
        <v>0</v>
      </c>
      <c r="W50">
        <f t="shared" si="20"/>
        <v>0</v>
      </c>
      <c r="X50">
        <f t="shared" si="21"/>
        <v>0</v>
      </c>
      <c r="Z50">
        <f t="shared" si="22"/>
        <v>-6657.6530000000002</v>
      </c>
      <c r="AA50">
        <f t="shared" si="23"/>
        <v>28637.283993243243</v>
      </c>
      <c r="AB50">
        <f t="shared" si="24"/>
        <v>-33967.690882264797</v>
      </c>
      <c r="AC50">
        <f t="shared" si="25"/>
        <v>-1177.4326059167277</v>
      </c>
      <c r="AD50">
        <f t="shared" si="26"/>
        <v>79.323980062237197</v>
      </c>
      <c r="AE50">
        <f t="shared" si="27"/>
        <v>0</v>
      </c>
      <c r="AF50">
        <f t="shared" si="28"/>
        <v>0</v>
      </c>
      <c r="AG50">
        <f t="shared" si="29"/>
        <v>0</v>
      </c>
      <c r="AP50" s="8">
        <f t="shared" ref="AP50:AP81" si="35">(H50-D50)</f>
        <v>4.0511985563286474</v>
      </c>
      <c r="AQ50" s="8">
        <f t="shared" ref="AQ50:AQ81" si="36">I50-E50</f>
        <v>6.9664664342163363</v>
      </c>
      <c r="AR50" s="8">
        <f t="shared" ref="AR50:AR81" si="37">(J50-F50)</f>
        <v>1.8953596192535986</v>
      </c>
      <c r="AS50" s="8">
        <f t="shared" si="30"/>
        <v>14.517237083335061</v>
      </c>
      <c r="AT50" s="8">
        <f t="shared" si="31"/>
        <v>-279.84593479165142</v>
      </c>
      <c r="AU50" s="3">
        <f t="shared" si="32"/>
        <v>7.0108739423863184</v>
      </c>
      <c r="AV50" s="8">
        <f t="shared" si="33"/>
        <v>13074.968344455421</v>
      </c>
      <c r="AX50" s="5"/>
    </row>
    <row r="51" spans="1:50" hidden="1" x14ac:dyDescent="0.35">
      <c r="A51" s="1" t="s">
        <v>0</v>
      </c>
      <c r="B51" s="4">
        <f t="shared" si="34"/>
        <v>318.91891891891896</v>
      </c>
      <c r="C51" s="7">
        <f t="shared" si="2"/>
        <v>3.1891891891891899E-2</v>
      </c>
      <c r="D51" s="9">
        <f t="shared" si="3"/>
        <v>0.53239493148183326</v>
      </c>
      <c r="E51" s="6">
        <f t="shared" si="4"/>
        <v>44.026015725145911</v>
      </c>
      <c r="F51" s="3">
        <f t="shared" si="5"/>
        <v>-13.508334407889031</v>
      </c>
      <c r="G51" s="6">
        <f t="shared" si="6"/>
        <v>25.894864864864868</v>
      </c>
      <c r="H51" s="9">
        <f t="shared" si="7"/>
        <v>4.7184837990563171</v>
      </c>
      <c r="I51" s="6">
        <f t="shared" si="8"/>
        <v>51.421881717625816</v>
      </c>
      <c r="J51" s="3">
        <f t="shared" si="9"/>
        <v>-11.680927127105427</v>
      </c>
      <c r="K51" s="6">
        <f t="shared" si="10"/>
        <v>39.898261106783437</v>
      </c>
      <c r="L51" s="6">
        <f t="shared" si="11"/>
        <v>523.32495853670662</v>
      </c>
      <c r="M51" s="6">
        <f t="shared" si="12"/>
        <v>43.96668998141557</v>
      </c>
      <c r="N51" s="8">
        <f t="shared" si="13"/>
        <v>-13498.484278779611</v>
      </c>
      <c r="O51" s="8"/>
      <c r="Q51">
        <f t="shared" si="14"/>
        <v>0</v>
      </c>
      <c r="R51">
        <f t="shared" si="15"/>
        <v>92.539694999999995</v>
      </c>
      <c r="S51">
        <f t="shared" si="16"/>
        <v>-129.48089222407444</v>
      </c>
      <c r="T51">
        <f t="shared" si="17"/>
        <v>-7.8422162162162179</v>
      </c>
      <c r="U51">
        <f t="shared" si="18"/>
        <v>0.81672345887509157</v>
      </c>
      <c r="V51">
        <f t="shared" si="19"/>
        <v>0</v>
      </c>
      <c r="W51">
        <f t="shared" si="20"/>
        <v>0</v>
      </c>
      <c r="X51">
        <f t="shared" si="21"/>
        <v>0</v>
      </c>
      <c r="Z51">
        <f t="shared" si="22"/>
        <v>-6657.6530000000002</v>
      </c>
      <c r="AA51">
        <f t="shared" si="23"/>
        <v>29512.659486486489</v>
      </c>
      <c r="AB51">
        <f t="shared" si="24"/>
        <v>-35189.798060650777</v>
      </c>
      <c r="AC51">
        <f t="shared" si="25"/>
        <v>-1250.5155588020457</v>
      </c>
      <c r="AD51">
        <f t="shared" si="26"/>
        <v>86.822854186721443</v>
      </c>
      <c r="AE51">
        <f t="shared" si="27"/>
        <v>0</v>
      </c>
      <c r="AF51">
        <f t="shared" si="28"/>
        <v>0</v>
      </c>
      <c r="AG51">
        <f t="shared" si="29"/>
        <v>0</v>
      </c>
      <c r="AP51" s="8">
        <f t="shared" si="35"/>
        <v>4.1860888675744841</v>
      </c>
      <c r="AQ51" s="8">
        <f t="shared" si="36"/>
        <v>7.3958659924799051</v>
      </c>
      <c r="AR51" s="8">
        <f t="shared" si="37"/>
        <v>1.8274072807836035</v>
      </c>
      <c r="AS51" s="8">
        <f t="shared" si="30"/>
        <v>14.003396241918569</v>
      </c>
      <c r="AT51" s="8">
        <f t="shared" si="31"/>
        <v>-518.60647473765027</v>
      </c>
      <c r="AU51" s="3">
        <f t="shared" si="32"/>
        <v>7.4551917362102458</v>
      </c>
      <c r="AV51" s="8">
        <f t="shared" si="33"/>
        <v>13486.803351652507</v>
      </c>
      <c r="AX51" s="5"/>
    </row>
    <row r="52" spans="1:50" hidden="1" x14ac:dyDescent="0.35">
      <c r="A52" s="1" t="s">
        <v>0</v>
      </c>
      <c r="B52" s="4">
        <f t="shared" si="34"/>
        <v>328.37837837837844</v>
      </c>
      <c r="C52" s="7">
        <f t="shared" si="2"/>
        <v>3.2837837837837842E-2</v>
      </c>
      <c r="D52" s="9">
        <f t="shared" si="3"/>
        <v>0.77846934711368054</v>
      </c>
      <c r="E52" s="6">
        <f t="shared" si="4"/>
        <v>44.786366387032587</v>
      </c>
      <c r="F52" s="3">
        <f t="shared" si="5"/>
        <v>-13.928405020519998</v>
      </c>
      <c r="G52" s="6">
        <f t="shared" si="6"/>
        <v>26.132297297297299</v>
      </c>
      <c r="H52" s="9">
        <f t="shared" si="7"/>
        <v>5.0946153259460241</v>
      </c>
      <c r="I52" s="6">
        <f t="shared" si="8"/>
        <v>52.584143767282619</v>
      </c>
      <c r="J52" s="3">
        <f t="shared" si="9"/>
        <v>-12.172880532769755</v>
      </c>
      <c r="K52" s="6">
        <f t="shared" si="10"/>
        <v>39.627657811745834</v>
      </c>
      <c r="L52" s="6">
        <f t="shared" si="11"/>
        <v>763.74794831194777</v>
      </c>
      <c r="M52" s="6">
        <f t="shared" si="12"/>
        <v>44.709585136520978</v>
      </c>
      <c r="N52" s="8">
        <f t="shared" si="13"/>
        <v>-13917.913116788863</v>
      </c>
      <c r="O52" s="8"/>
      <c r="Q52">
        <f t="shared" si="14"/>
        <v>0</v>
      </c>
      <c r="R52">
        <f t="shared" si="15"/>
        <v>92.539694999999995</v>
      </c>
      <c r="S52">
        <f t="shared" si="16"/>
        <v>-130.04034750142236</v>
      </c>
      <c r="T52">
        <f t="shared" si="17"/>
        <v>-8.074824324324327</v>
      </c>
      <c r="U52">
        <f t="shared" si="18"/>
        <v>0.86589168922571258</v>
      </c>
      <c r="V52">
        <f t="shared" si="19"/>
        <v>0</v>
      </c>
      <c r="W52">
        <f t="shared" si="20"/>
        <v>0</v>
      </c>
      <c r="X52">
        <f t="shared" si="21"/>
        <v>0</v>
      </c>
      <c r="Z52">
        <f t="shared" si="22"/>
        <v>-6657.6530000000002</v>
      </c>
      <c r="AA52">
        <f t="shared" si="23"/>
        <v>30388.034979729735</v>
      </c>
      <c r="AB52">
        <f t="shared" si="24"/>
        <v>-36417.276274115728</v>
      </c>
      <c r="AC52">
        <f t="shared" si="25"/>
        <v>-1325.7988586559538</v>
      </c>
      <c r="AD52">
        <f t="shared" si="26"/>
        <v>94.780036253084759</v>
      </c>
      <c r="AE52">
        <f t="shared" si="27"/>
        <v>0</v>
      </c>
      <c r="AF52">
        <f t="shared" si="28"/>
        <v>0</v>
      </c>
      <c r="AG52">
        <f t="shared" si="29"/>
        <v>0</v>
      </c>
      <c r="AP52" s="8">
        <f t="shared" si="35"/>
        <v>4.3161459788323437</v>
      </c>
      <c r="AQ52" s="8">
        <f t="shared" si="36"/>
        <v>7.7977773802500323</v>
      </c>
      <c r="AR52" s="8">
        <f t="shared" si="37"/>
        <v>1.7555244877502432</v>
      </c>
      <c r="AS52" s="8">
        <f t="shared" si="30"/>
        <v>13.495360514448535</v>
      </c>
      <c r="AT52" s="8">
        <f t="shared" si="31"/>
        <v>-758.65333298600171</v>
      </c>
      <c r="AU52" s="3">
        <f t="shared" si="32"/>
        <v>7.8745586307616406</v>
      </c>
      <c r="AV52" s="8">
        <f t="shared" si="33"/>
        <v>13905.740236256093</v>
      </c>
      <c r="AX52" s="5"/>
    </row>
    <row r="53" spans="1:50" hidden="1" x14ac:dyDescent="0.35">
      <c r="A53" s="1" t="s">
        <v>0</v>
      </c>
      <c r="B53" s="4">
        <f t="shared" si="34"/>
        <v>337.83783783783792</v>
      </c>
      <c r="C53" s="7">
        <f t="shared" si="2"/>
        <v>3.3783783783783793E-2</v>
      </c>
      <c r="D53" s="9">
        <f t="shared" si="3"/>
        <v>1.0267897452144858</v>
      </c>
      <c r="E53" s="6">
        <f t="shared" si="4"/>
        <v>45.531865418658199</v>
      </c>
      <c r="F53" s="3">
        <f t="shared" si="5"/>
        <v>-14.355597220548429</v>
      </c>
      <c r="G53" s="6">
        <f t="shared" si="6"/>
        <v>26.369729729729734</v>
      </c>
      <c r="H53" s="9">
        <f t="shared" si="7"/>
        <v>5.4682145485567482</v>
      </c>
      <c r="I53" s="6">
        <f t="shared" si="8"/>
        <v>53.70579241998766</v>
      </c>
      <c r="J53" s="3">
        <f t="shared" si="9"/>
        <v>-12.675634241979626</v>
      </c>
      <c r="K53" s="6">
        <f t="shared" si="10"/>
        <v>39.362859630654675</v>
      </c>
      <c r="L53" s="6">
        <f t="shared" si="11"/>
        <v>1005.4274814127584</v>
      </c>
      <c r="M53" s="6">
        <f t="shared" si="12"/>
        <v>45.435153889348392</v>
      </c>
      <c r="N53" s="8">
        <f t="shared" si="13"/>
        <v>-14344.286670394134</v>
      </c>
      <c r="O53" s="8"/>
      <c r="Q53">
        <f t="shared" si="14"/>
        <v>0</v>
      </c>
      <c r="R53">
        <f t="shared" si="15"/>
        <v>92.539694999999995</v>
      </c>
      <c r="S53">
        <f t="shared" si="16"/>
        <v>-130.58391344376767</v>
      </c>
      <c r="T53">
        <f t="shared" si="17"/>
        <v>-8.3074324324324351</v>
      </c>
      <c r="U53">
        <f t="shared" si="18"/>
        <v>0.91649698685171688</v>
      </c>
      <c r="V53">
        <f t="shared" si="19"/>
        <v>0</v>
      </c>
      <c r="W53">
        <f t="shared" si="20"/>
        <v>0</v>
      </c>
      <c r="X53">
        <f t="shared" si="21"/>
        <v>0</v>
      </c>
      <c r="Z53">
        <f t="shared" si="22"/>
        <v>-6657.6530000000002</v>
      </c>
      <c r="AA53">
        <f t="shared" si="23"/>
        <v>31263.410472972981</v>
      </c>
      <c r="AB53">
        <f t="shared" si="24"/>
        <v>-37649.970758029624</v>
      </c>
      <c r="AC53">
        <f t="shared" si="25"/>
        <v>-1403.2825054784521</v>
      </c>
      <c r="AD53">
        <f t="shared" si="26"/>
        <v>103.20912014095913</v>
      </c>
      <c r="AE53">
        <f t="shared" si="27"/>
        <v>0</v>
      </c>
      <c r="AF53">
        <f t="shared" si="28"/>
        <v>0</v>
      </c>
      <c r="AG53">
        <f t="shared" si="29"/>
        <v>0</v>
      </c>
      <c r="AP53" s="8">
        <f t="shared" si="35"/>
        <v>4.4414248033422625</v>
      </c>
      <c r="AQ53" s="8">
        <f t="shared" si="36"/>
        <v>8.17392700132946</v>
      </c>
      <c r="AR53" s="8">
        <f t="shared" si="37"/>
        <v>1.6799629785688026</v>
      </c>
      <c r="AS53" s="8">
        <f t="shared" si="30"/>
        <v>12.993129900924941</v>
      </c>
      <c r="AT53" s="8">
        <f t="shared" si="31"/>
        <v>-999.95926686420171</v>
      </c>
      <c r="AU53" s="3">
        <f t="shared" si="32"/>
        <v>8.2706385306392676</v>
      </c>
      <c r="AV53" s="8">
        <f t="shared" si="33"/>
        <v>14331.611036152155</v>
      </c>
      <c r="AX53" s="5"/>
    </row>
    <row r="54" spans="1:50" hidden="1" x14ac:dyDescent="0.35">
      <c r="A54" s="1" t="s">
        <v>0</v>
      </c>
      <c r="B54" s="4">
        <f t="shared" si="34"/>
        <v>347.2972972972974</v>
      </c>
      <c r="C54" s="7">
        <f t="shared" si="2"/>
        <v>3.4729729729729743E-2</v>
      </c>
      <c r="D54" s="9">
        <f t="shared" si="3"/>
        <v>1.2773561257842456</v>
      </c>
      <c r="E54" s="6">
        <f t="shared" si="4"/>
        <v>46.263333189310522</v>
      </c>
      <c r="F54" s="3">
        <f t="shared" si="5"/>
        <v>-14.789774454827661</v>
      </c>
      <c r="G54" s="6">
        <f t="shared" si="6"/>
        <v>26.607162162162169</v>
      </c>
      <c r="H54" s="9">
        <f t="shared" si="7"/>
        <v>5.839336380128513</v>
      </c>
      <c r="I54" s="6">
        <f t="shared" si="8"/>
        <v>54.789231395164371</v>
      </c>
      <c r="J54" s="3">
        <f t="shared" si="9"/>
        <v>-13.188815604408305</v>
      </c>
      <c r="K54" s="6">
        <f t="shared" si="10"/>
        <v>39.103866563509968</v>
      </c>
      <c r="L54" s="6">
        <f t="shared" si="11"/>
        <v>1248.33637007986</v>
      </c>
      <c r="M54" s="6">
        <f t="shared" si="12"/>
        <v>46.144273929566225</v>
      </c>
      <c r="N54" s="8">
        <f t="shared" si="13"/>
        <v>-14777.445251404632</v>
      </c>
      <c r="O54" s="8"/>
      <c r="Q54">
        <f t="shared" si="14"/>
        <v>0</v>
      </c>
      <c r="R54">
        <f t="shared" si="15"/>
        <v>92.539694999999995</v>
      </c>
      <c r="S54">
        <f t="shared" si="16"/>
        <v>-131.11246774077878</v>
      </c>
      <c r="T54">
        <f t="shared" si="17"/>
        <v>-8.5400405405405433</v>
      </c>
      <c r="U54">
        <f t="shared" si="18"/>
        <v>0.96853935175310502</v>
      </c>
      <c r="V54">
        <f t="shared" si="19"/>
        <v>0</v>
      </c>
      <c r="W54">
        <f t="shared" si="20"/>
        <v>0</v>
      </c>
      <c r="X54">
        <f t="shared" si="21"/>
        <v>0</v>
      </c>
      <c r="Z54">
        <f t="shared" si="22"/>
        <v>-6657.6530000000002</v>
      </c>
      <c r="AA54">
        <f t="shared" si="23"/>
        <v>32138.785966216223</v>
      </c>
      <c r="AB54">
        <f t="shared" si="24"/>
        <v>-38887.735418081291</v>
      </c>
      <c r="AC54">
        <f t="shared" si="25"/>
        <v>-1482.9664992695409</v>
      </c>
      <c r="AD54">
        <f t="shared" si="26"/>
        <v>112.12369972997661</v>
      </c>
      <c r="AE54">
        <f t="shared" si="27"/>
        <v>0</v>
      </c>
      <c r="AF54">
        <f t="shared" si="28"/>
        <v>0</v>
      </c>
      <c r="AG54">
        <f t="shared" si="29"/>
        <v>0</v>
      </c>
      <c r="AP54" s="8">
        <f t="shared" si="35"/>
        <v>4.5619802543442676</v>
      </c>
      <c r="AQ54" s="8">
        <f t="shared" si="36"/>
        <v>8.5258982058538493</v>
      </c>
      <c r="AR54" s="8">
        <f t="shared" si="37"/>
        <v>1.6009588504193566</v>
      </c>
      <c r="AS54" s="8">
        <f t="shared" si="30"/>
        <v>12.496704401347799</v>
      </c>
      <c r="AT54" s="8">
        <f t="shared" si="31"/>
        <v>-1242.4970336997314</v>
      </c>
      <c r="AU54" s="3">
        <f t="shared" si="32"/>
        <v>8.6449574655981465</v>
      </c>
      <c r="AV54" s="8">
        <f t="shared" si="33"/>
        <v>14764.256435800224</v>
      </c>
      <c r="AX54" s="5"/>
    </row>
    <row r="55" spans="1:50" hidden="1" x14ac:dyDescent="0.35">
      <c r="A55" s="1" t="s">
        <v>0</v>
      </c>
      <c r="B55" s="4">
        <f t="shared" si="34"/>
        <v>356.75675675675689</v>
      </c>
      <c r="C55" s="7">
        <f t="shared" si="2"/>
        <v>3.5675675675675686E-2</v>
      </c>
      <c r="D55" s="9">
        <f t="shared" si="3"/>
        <v>1.5301684888229588</v>
      </c>
      <c r="E55" s="6">
        <f t="shared" si="4"/>
        <v>46.981523918255071</v>
      </c>
      <c r="F55" s="3">
        <f t="shared" si="5"/>
        <v>-15.230807611743721</v>
      </c>
      <c r="G55" s="6">
        <f t="shared" si="6"/>
        <v>26.844594594594597</v>
      </c>
      <c r="H55" s="9">
        <f t="shared" si="7"/>
        <v>6.2080357339013599</v>
      </c>
      <c r="I55" s="6">
        <f t="shared" si="8"/>
        <v>55.836670589654425</v>
      </c>
      <c r="J55" s="3">
        <f t="shared" si="9"/>
        <v>-13.712073773759135</v>
      </c>
      <c r="K55" s="6">
        <f t="shared" si="10"/>
        <v>38.850678610311711</v>
      </c>
      <c r="L55" s="6">
        <f t="shared" si="11"/>
        <v>1492.4474265540139</v>
      </c>
      <c r="M55" s="6">
        <f t="shared" si="12"/>
        <v>46.837752174823557</v>
      </c>
      <c r="N55" s="8">
        <f t="shared" si="13"/>
        <v>-15217.237133112774</v>
      </c>
      <c r="O55" s="8"/>
      <c r="Q55">
        <f t="shared" si="14"/>
        <v>0</v>
      </c>
      <c r="R55">
        <f t="shared" si="15"/>
        <v>92.539694999999995</v>
      </c>
      <c r="S55">
        <f t="shared" si="16"/>
        <v>-131.62681731010477</v>
      </c>
      <c r="T55">
        <f t="shared" si="17"/>
        <v>-8.7726486486486515</v>
      </c>
      <c r="U55">
        <f t="shared" si="18"/>
        <v>1.0220187839298764</v>
      </c>
      <c r="V55">
        <f t="shared" si="19"/>
        <v>0</v>
      </c>
      <c r="W55">
        <f t="shared" si="20"/>
        <v>0</v>
      </c>
      <c r="X55">
        <f t="shared" si="21"/>
        <v>0</v>
      </c>
      <c r="Z55">
        <f t="shared" si="22"/>
        <v>-6657.6530000000002</v>
      </c>
      <c r="AA55">
        <f t="shared" si="23"/>
        <v>33014.161459459472</v>
      </c>
      <c r="AB55">
        <f t="shared" si="24"/>
        <v>-40130.432121442798</v>
      </c>
      <c r="AC55">
        <f t="shared" si="25"/>
        <v>-1564.8508400292196</v>
      </c>
      <c r="AD55">
        <f t="shared" si="26"/>
        <v>121.53736889976913</v>
      </c>
      <c r="AE55">
        <f t="shared" si="27"/>
        <v>0</v>
      </c>
      <c r="AF55">
        <f t="shared" si="28"/>
        <v>0</v>
      </c>
      <c r="AG55">
        <f t="shared" si="29"/>
        <v>0</v>
      </c>
      <c r="AP55" s="8">
        <f t="shared" si="35"/>
        <v>4.6778672450784011</v>
      </c>
      <c r="AQ55" s="8">
        <f t="shared" si="36"/>
        <v>8.8551466713993534</v>
      </c>
      <c r="AR55" s="8">
        <f t="shared" si="37"/>
        <v>1.5187338379845858</v>
      </c>
      <c r="AS55" s="8">
        <f t="shared" si="30"/>
        <v>12.006084015717114</v>
      </c>
      <c r="AT55" s="8">
        <f t="shared" si="31"/>
        <v>-1486.2393908201125</v>
      </c>
      <c r="AU55" s="3">
        <f t="shared" si="32"/>
        <v>8.9989184148308681</v>
      </c>
      <c r="AV55" s="8">
        <f t="shared" si="33"/>
        <v>15203.525059339016</v>
      </c>
      <c r="AX55" s="5"/>
    </row>
    <row r="56" spans="1:50" hidden="1" x14ac:dyDescent="0.35">
      <c r="A56" s="1" t="s">
        <v>0</v>
      </c>
      <c r="B56" s="4">
        <f t="shared" si="34"/>
        <v>366.21621621621637</v>
      </c>
      <c r="C56" s="7">
        <f t="shared" si="2"/>
        <v>3.6621621621621636E-2</v>
      </c>
      <c r="D56" s="9">
        <f t="shared" si="3"/>
        <v>1.7852268343306299</v>
      </c>
      <c r="E56" s="6">
        <f t="shared" si="4"/>
        <v>47.687132600937765</v>
      </c>
      <c r="F56" s="3">
        <f t="shared" si="5"/>
        <v>-15.678574428985776</v>
      </c>
      <c r="G56" s="6">
        <f t="shared" si="6"/>
        <v>27.082027027027035</v>
      </c>
      <c r="H56" s="9">
        <f t="shared" si="7"/>
        <v>6.5743675231153249</v>
      </c>
      <c r="I56" s="6">
        <f t="shared" si="8"/>
        <v>56.850146371807341</v>
      </c>
      <c r="J56" s="3">
        <f t="shared" si="9"/>
        <v>-14.245077972506015</v>
      </c>
      <c r="K56" s="6">
        <f t="shared" si="10"/>
        <v>38.603295771059898</v>
      </c>
      <c r="L56" s="6">
        <f t="shared" si="11"/>
        <v>1737.7334630759287</v>
      </c>
      <c r="M56" s="6">
        <f t="shared" si="12"/>
        <v>47.516332180896462</v>
      </c>
      <c r="N56" s="8">
        <f t="shared" si="13"/>
        <v>-15663.51791668481</v>
      </c>
      <c r="O56" s="8"/>
      <c r="Q56">
        <f t="shared" si="14"/>
        <v>0</v>
      </c>
      <c r="R56">
        <f t="shared" si="15"/>
        <v>92.539694999999995</v>
      </c>
      <c r="S56">
        <f t="shared" si="16"/>
        <v>-132.12770570752173</v>
      </c>
      <c r="T56">
        <f t="shared" si="17"/>
        <v>-9.0052567567567614</v>
      </c>
      <c r="U56">
        <f t="shared" si="18"/>
        <v>1.0769352833820316</v>
      </c>
      <c r="V56">
        <f t="shared" si="19"/>
        <v>0</v>
      </c>
      <c r="W56">
        <f t="shared" si="20"/>
        <v>0</v>
      </c>
      <c r="X56">
        <f t="shared" si="21"/>
        <v>0</v>
      </c>
      <c r="Z56">
        <f t="shared" si="22"/>
        <v>-6657.6530000000002</v>
      </c>
      <c r="AA56">
        <f t="shared" si="23"/>
        <v>33889.536952702714</v>
      </c>
      <c r="AB56">
        <f t="shared" si="24"/>
        <v>-41377.930063160005</v>
      </c>
      <c r="AC56">
        <f t="shared" si="25"/>
        <v>-1648.9355277574887</v>
      </c>
      <c r="AD56">
        <f t="shared" si="26"/>
        <v>131.46372152996875</v>
      </c>
      <c r="AE56">
        <f t="shared" si="27"/>
        <v>0</v>
      </c>
      <c r="AF56">
        <f t="shared" si="28"/>
        <v>0</v>
      </c>
      <c r="AG56">
        <f t="shared" si="29"/>
        <v>0</v>
      </c>
      <c r="AP56" s="8">
        <f t="shared" si="35"/>
        <v>4.7891406887846948</v>
      </c>
      <c r="AQ56" s="8">
        <f t="shared" si="36"/>
        <v>9.1630137708695756</v>
      </c>
      <c r="AR56" s="8">
        <f t="shared" si="37"/>
        <v>1.4334964564797605</v>
      </c>
      <c r="AS56" s="8">
        <f t="shared" si="30"/>
        <v>11.521268744032863</v>
      </c>
      <c r="AT56" s="8">
        <f t="shared" si="31"/>
        <v>-1731.1590955528134</v>
      </c>
      <c r="AU56" s="3">
        <f t="shared" si="32"/>
        <v>9.3338141909108785</v>
      </c>
      <c r="AV56" s="8">
        <f t="shared" si="33"/>
        <v>15649.272838712304</v>
      </c>
      <c r="AX56" s="5"/>
    </row>
    <row r="57" spans="1:50" hidden="1" x14ac:dyDescent="0.35">
      <c r="A57" s="1" t="s">
        <v>0</v>
      </c>
      <c r="B57" s="4">
        <f t="shared" si="34"/>
        <v>375.67567567567585</v>
      </c>
      <c r="C57" s="7">
        <f t="shared" si="2"/>
        <v>3.7567567567567586E-2</v>
      </c>
      <c r="D57" s="9">
        <f t="shared" si="3"/>
        <v>2.0425311623072568</v>
      </c>
      <c r="E57" s="6">
        <f t="shared" si="4"/>
        <v>48.380801051757842</v>
      </c>
      <c r="F57" s="3">
        <f t="shared" si="5"/>
        <v>-16.132958962542322</v>
      </c>
      <c r="G57" s="6">
        <f t="shared" si="6"/>
        <v>27.31945945945947</v>
      </c>
      <c r="H57" s="9">
        <f t="shared" si="7"/>
        <v>6.9383866610104379</v>
      </c>
      <c r="I57" s="6">
        <f t="shared" si="8"/>
        <v>57.831539287080787</v>
      </c>
      <c r="J57" s="3">
        <f t="shared" si="9"/>
        <v>-14.787515936028026</v>
      </c>
      <c r="K57" s="6">
        <f t="shared" si="10"/>
        <v>38.361718045754543</v>
      </c>
      <c r="L57" s="6">
        <f t="shared" si="11"/>
        <v>1984.1672918863642</v>
      </c>
      <c r="M57" s="6">
        <f t="shared" si="12"/>
        <v>48.180700606678371</v>
      </c>
      <c r="N57" s="8">
        <f t="shared" si="13"/>
        <v>-16116.149963054979</v>
      </c>
      <c r="O57" s="8"/>
      <c r="Q57">
        <f t="shared" si="14"/>
        <v>0</v>
      </c>
      <c r="R57">
        <f t="shared" si="15"/>
        <v>92.539694999999995</v>
      </c>
      <c r="S57">
        <f t="shared" si="16"/>
        <v>-132.61581959192307</v>
      </c>
      <c r="T57">
        <f t="shared" si="17"/>
        <v>-9.2378648648648696</v>
      </c>
      <c r="U57">
        <f t="shared" si="18"/>
        <v>1.1332888501095699</v>
      </c>
      <c r="V57">
        <f t="shared" si="19"/>
        <v>0</v>
      </c>
      <c r="W57">
        <f t="shared" si="20"/>
        <v>0</v>
      </c>
      <c r="X57">
        <f t="shared" si="21"/>
        <v>0</v>
      </c>
      <c r="Z57">
        <f t="shared" si="22"/>
        <v>-6657.6530000000002</v>
      </c>
      <c r="AA57">
        <f t="shared" si="23"/>
        <v>34764.912445945956</v>
      </c>
      <c r="AB57">
        <f t="shared" si="24"/>
        <v>-42630.105198046796</v>
      </c>
      <c r="AC57">
        <f t="shared" si="25"/>
        <v>-1735.2205624543476</v>
      </c>
      <c r="AD57">
        <f t="shared" si="26"/>
        <v>141.91635150020747</v>
      </c>
      <c r="AE57">
        <f t="shared" si="27"/>
        <v>0</v>
      </c>
      <c r="AF57">
        <f t="shared" si="28"/>
        <v>0</v>
      </c>
      <c r="AG57">
        <f t="shared" si="29"/>
        <v>0</v>
      </c>
      <c r="AP57" s="8">
        <f t="shared" si="35"/>
        <v>4.895855498703181</v>
      </c>
      <c r="AQ57" s="8">
        <f t="shared" si="36"/>
        <v>9.4507382353229445</v>
      </c>
      <c r="AR57" s="8">
        <f t="shared" si="37"/>
        <v>1.345443026514296</v>
      </c>
      <c r="AS57" s="8">
        <f t="shared" si="30"/>
        <v>11.042258586295073</v>
      </c>
      <c r="AT57" s="8">
        <f t="shared" si="31"/>
        <v>-1977.2289052253539</v>
      </c>
      <c r="AU57" s="3">
        <f t="shared" si="32"/>
        <v>9.6508386804024155</v>
      </c>
      <c r="AV57" s="8">
        <f t="shared" si="33"/>
        <v>16101.362447118951</v>
      </c>
      <c r="AX57" s="5"/>
    </row>
    <row r="58" spans="1:50" hidden="1" x14ac:dyDescent="0.35">
      <c r="A58" s="1" t="s">
        <v>0</v>
      </c>
      <c r="B58" s="4">
        <f t="shared" si="34"/>
        <v>385.13513513513533</v>
      </c>
      <c r="C58" s="7">
        <f t="shared" si="2"/>
        <v>3.851351351351353E-2</v>
      </c>
      <c r="D58" s="9">
        <f t="shared" si="3"/>
        <v>2.3020814727528358</v>
      </c>
      <c r="E58" s="6">
        <f t="shared" si="4"/>
        <v>49.063123195270933</v>
      </c>
      <c r="F58" s="3">
        <f t="shared" si="5"/>
        <v>-16.593851109209623</v>
      </c>
      <c r="G58" s="6">
        <f t="shared" si="6"/>
        <v>27.556891891891897</v>
      </c>
      <c r="H58" s="9">
        <f t="shared" si="7"/>
        <v>7.3001480608267295</v>
      </c>
      <c r="I58" s="6">
        <f t="shared" si="8"/>
        <v>58.78258956150669</v>
      </c>
      <c r="J58" s="3">
        <f t="shared" si="9"/>
        <v>-15.339092513537338</v>
      </c>
      <c r="K58" s="6">
        <f t="shared" si="10"/>
        <v>38.125945434395618</v>
      </c>
      <c r="L58" s="6">
        <f t="shared" si="11"/>
        <v>2231.7217252260562</v>
      </c>
      <c r="M58" s="6">
        <f t="shared" si="12"/>
        <v>48.831492875086731</v>
      </c>
      <c r="N58" s="8">
        <f t="shared" si="13"/>
        <v>-16575.001882070868</v>
      </c>
      <c r="O58" s="8"/>
      <c r="Q58">
        <f t="shared" si="14"/>
        <v>0</v>
      </c>
      <c r="R58">
        <f t="shared" si="15"/>
        <v>92.539694999999995</v>
      </c>
      <c r="S58">
        <f t="shared" si="16"/>
        <v>-133.09179438622624</v>
      </c>
      <c r="T58">
        <f t="shared" si="17"/>
        <v>-9.4704729729729777</v>
      </c>
      <c r="U58">
        <f t="shared" si="18"/>
        <v>1.1910794841124919</v>
      </c>
      <c r="V58">
        <f t="shared" si="19"/>
        <v>0</v>
      </c>
      <c r="W58">
        <f t="shared" si="20"/>
        <v>0</v>
      </c>
      <c r="X58">
        <f t="shared" si="21"/>
        <v>0</v>
      </c>
      <c r="Z58">
        <f t="shared" si="22"/>
        <v>-6657.6530000000002</v>
      </c>
      <c r="AA58">
        <f t="shared" si="23"/>
        <v>35640.287939189206</v>
      </c>
      <c r="AB58">
        <f t="shared" si="24"/>
        <v>-43886.839729830397</v>
      </c>
      <c r="AC58">
        <f t="shared" si="25"/>
        <v>-1823.7059441197971</v>
      </c>
      <c r="AD58">
        <f t="shared" si="26"/>
        <v>152.90885269011727</v>
      </c>
      <c r="AE58">
        <f t="shared" si="27"/>
        <v>0</v>
      </c>
      <c r="AF58">
        <f t="shared" si="28"/>
        <v>0</v>
      </c>
      <c r="AG58">
        <f t="shared" si="29"/>
        <v>0</v>
      </c>
      <c r="AP58" s="8">
        <f t="shared" si="35"/>
        <v>4.9980665880738933</v>
      </c>
      <c r="AQ58" s="8">
        <f t="shared" si="36"/>
        <v>9.719466366235757</v>
      </c>
      <c r="AR58" s="8">
        <f t="shared" si="37"/>
        <v>1.2547585956722855</v>
      </c>
      <c r="AS58" s="8">
        <f t="shared" si="30"/>
        <v>10.56905354250372</v>
      </c>
      <c r="AT58" s="8">
        <f t="shared" si="31"/>
        <v>-2224.4215771652293</v>
      </c>
      <c r="AU58" s="3">
        <f t="shared" si="32"/>
        <v>9.9510966864199588</v>
      </c>
      <c r="AV58" s="8">
        <f t="shared" si="33"/>
        <v>16559.662789557329</v>
      </c>
      <c r="AX58" s="5"/>
    </row>
    <row r="59" spans="1:50" hidden="1" x14ac:dyDescent="0.35">
      <c r="A59" s="1" t="s">
        <v>0</v>
      </c>
      <c r="B59" s="4">
        <f t="shared" si="34"/>
        <v>394.59459459459481</v>
      </c>
      <c r="C59" s="7">
        <f t="shared" si="2"/>
        <v>3.945945945945948E-2</v>
      </c>
      <c r="D59" s="9">
        <f t="shared" si="3"/>
        <v>2.5638777656673741</v>
      </c>
      <c r="E59" s="6">
        <f t="shared" si="4"/>
        <v>49.734649715276774</v>
      </c>
      <c r="F59" s="3">
        <f t="shared" si="5"/>
        <v>-17.061146176036445</v>
      </c>
      <c r="G59" s="6">
        <f t="shared" si="6"/>
        <v>27.794324324324332</v>
      </c>
      <c r="H59" s="9">
        <f t="shared" si="7"/>
        <v>7.6597066358042394</v>
      </c>
      <c r="I59" s="6">
        <f t="shared" si="8"/>
        <v>59.704910723730436</v>
      </c>
      <c r="J59" s="3">
        <f t="shared" si="9"/>
        <v>-15.899528406532637</v>
      </c>
      <c r="K59" s="6">
        <f t="shared" si="10"/>
        <v>37.895977936983165</v>
      </c>
      <c r="L59" s="6">
        <f t="shared" si="11"/>
        <v>2480.3695753357242</v>
      </c>
      <c r="M59" s="6">
        <f t="shared" si="12"/>
        <v>49.46929814698948</v>
      </c>
      <c r="N59" s="8">
        <f t="shared" si="13"/>
        <v>-17039.948071854731</v>
      </c>
      <c r="O59" s="8"/>
      <c r="Q59">
        <f t="shared" si="14"/>
        <v>0</v>
      </c>
      <c r="R59">
        <f t="shared" si="15"/>
        <v>92.539694999999995</v>
      </c>
      <c r="S59">
        <f t="shared" si="16"/>
        <v>-133.55621925129918</v>
      </c>
      <c r="T59">
        <f t="shared" si="17"/>
        <v>-9.7030810810810859</v>
      </c>
      <c r="U59">
        <f t="shared" si="18"/>
        <v>1.2503071853907974</v>
      </c>
      <c r="V59">
        <f t="shared" si="19"/>
        <v>0</v>
      </c>
      <c r="W59">
        <f t="shared" si="20"/>
        <v>0</v>
      </c>
      <c r="X59">
        <f t="shared" si="21"/>
        <v>0</v>
      </c>
      <c r="Z59">
        <f t="shared" si="22"/>
        <v>-6657.6530000000002</v>
      </c>
      <c r="AA59">
        <f t="shared" si="23"/>
        <v>36515.663432432448</v>
      </c>
      <c r="AB59">
        <f t="shared" si="24"/>
        <v>-45148.021650512674</v>
      </c>
      <c r="AC59">
        <f t="shared" si="25"/>
        <v>-1914.3916727538372</v>
      </c>
      <c r="AD59">
        <f t="shared" si="26"/>
        <v>164.45481897933021</v>
      </c>
      <c r="AE59">
        <f t="shared" si="27"/>
        <v>0</v>
      </c>
      <c r="AF59">
        <f t="shared" si="28"/>
        <v>0</v>
      </c>
      <c r="AG59">
        <f t="shared" si="29"/>
        <v>0</v>
      </c>
      <c r="AP59" s="8">
        <f t="shared" si="35"/>
        <v>5.0958288701368648</v>
      </c>
      <c r="AQ59" s="8">
        <f t="shared" si="36"/>
        <v>9.9702610084536616</v>
      </c>
      <c r="AR59" s="8">
        <f t="shared" si="37"/>
        <v>1.1616177695038079</v>
      </c>
      <c r="AS59" s="8">
        <f t="shared" si="30"/>
        <v>10.101653612658833</v>
      </c>
      <c r="AT59" s="8">
        <f t="shared" si="31"/>
        <v>-2472.7098686999202</v>
      </c>
      <c r="AU59" s="3">
        <f t="shared" si="32"/>
        <v>10.235612576740955</v>
      </c>
      <c r="AV59" s="8">
        <f t="shared" si="33"/>
        <v>17024.0485434482</v>
      </c>
      <c r="AX59" s="5"/>
    </row>
    <row r="60" spans="1:50" hidden="1" x14ac:dyDescent="0.35">
      <c r="A60" s="1" t="s">
        <v>0</v>
      </c>
      <c r="B60" s="4">
        <f t="shared" si="34"/>
        <v>404.05405405405429</v>
      </c>
      <c r="C60" s="7">
        <f t="shared" si="2"/>
        <v>4.040540540540543E-2</v>
      </c>
      <c r="D60" s="9">
        <f t="shared" si="3"/>
        <v>2.8279200410508669</v>
      </c>
      <c r="E60" s="6">
        <f t="shared" si="4"/>
        <v>50.395892153089029</v>
      </c>
      <c r="F60" s="3">
        <f t="shared" si="5"/>
        <v>-17.534744491075656</v>
      </c>
      <c r="G60" s="6">
        <f t="shared" si="6"/>
        <v>28.031756756756764</v>
      </c>
      <c r="H60" s="9">
        <f t="shared" si="7"/>
        <v>8.0171172991830009</v>
      </c>
      <c r="I60" s="6">
        <f t="shared" si="8"/>
        <v>60.600001613128228</v>
      </c>
      <c r="J60" s="3">
        <f t="shared" si="9"/>
        <v>-16.468559028283678</v>
      </c>
      <c r="K60" s="6">
        <f t="shared" si="10"/>
        <v>37.671815553517149</v>
      </c>
      <c r="L60" s="6">
        <f t="shared" si="11"/>
        <v>2730.0836544561098</v>
      </c>
      <c r="M60" s="6">
        <f t="shared" si="12"/>
        <v>50.094663705826726</v>
      </c>
      <c r="N60" s="8">
        <f t="shared" si="13"/>
        <v>-17510.868302357674</v>
      </c>
      <c r="O60" s="8"/>
      <c r="Q60">
        <f t="shared" si="14"/>
        <v>0</v>
      </c>
      <c r="R60">
        <f t="shared" si="15"/>
        <v>92.539694999999995</v>
      </c>
      <c r="S60">
        <f t="shared" si="16"/>
        <v>-134.00964147058201</v>
      </c>
      <c r="T60">
        <f t="shared" si="17"/>
        <v>-9.9356891891891959</v>
      </c>
      <c r="U60">
        <f t="shared" si="18"/>
        <v>1.3109719539444864</v>
      </c>
      <c r="V60">
        <f t="shared" si="19"/>
        <v>0</v>
      </c>
      <c r="W60">
        <f t="shared" si="20"/>
        <v>0</v>
      </c>
      <c r="X60">
        <f t="shared" si="21"/>
        <v>0</v>
      </c>
      <c r="Z60">
        <f t="shared" si="22"/>
        <v>-6657.6530000000002</v>
      </c>
      <c r="AA60">
        <f t="shared" si="23"/>
        <v>37391.038925675697</v>
      </c>
      <c r="AB60">
        <f t="shared" si="24"/>
        <v>-46413.544323924383</v>
      </c>
      <c r="AC60">
        <f t="shared" si="25"/>
        <v>-2007.2777483564669</v>
      </c>
      <c r="AD60">
        <f t="shared" si="26"/>
        <v>176.56784424747823</v>
      </c>
      <c r="AE60">
        <f t="shared" si="27"/>
        <v>0</v>
      </c>
      <c r="AF60">
        <f t="shared" si="28"/>
        <v>0</v>
      </c>
      <c r="AG60">
        <f t="shared" si="29"/>
        <v>0</v>
      </c>
      <c r="AP60" s="8">
        <f t="shared" si="35"/>
        <v>5.1891972581321344</v>
      </c>
      <c r="AQ60" s="8">
        <f t="shared" si="36"/>
        <v>10.204109460039199</v>
      </c>
      <c r="AR60" s="8">
        <f t="shared" si="37"/>
        <v>1.066185462791978</v>
      </c>
      <c r="AS60" s="8">
        <f t="shared" si="30"/>
        <v>9.6400587967603855</v>
      </c>
      <c r="AT60" s="8">
        <f t="shared" si="31"/>
        <v>-2722.0665371569266</v>
      </c>
      <c r="AU60" s="3">
        <f t="shared" si="32"/>
        <v>10.505337907301502</v>
      </c>
      <c r="AV60" s="8">
        <f t="shared" si="33"/>
        <v>17494.399743329392</v>
      </c>
      <c r="AX60" s="5"/>
    </row>
    <row r="61" spans="1:50" hidden="1" x14ac:dyDescent="0.35">
      <c r="A61" s="1" t="s">
        <v>0</v>
      </c>
      <c r="B61" s="4">
        <f t="shared" si="34"/>
        <v>413.51351351351377</v>
      </c>
      <c r="C61" s="7">
        <f t="shared" si="2"/>
        <v>4.135135135135138E-2</v>
      </c>
      <c r="D61" s="9">
        <f t="shared" si="3"/>
        <v>3.0942082989033155</v>
      </c>
      <c r="E61" s="6">
        <f t="shared" si="4"/>
        <v>51.047326531490171</v>
      </c>
      <c r="F61" s="3">
        <f t="shared" si="5"/>
        <v>-18.014551050604798</v>
      </c>
      <c r="G61" s="6">
        <f t="shared" si="6"/>
        <v>28.269189189189202</v>
      </c>
      <c r="H61" s="9">
        <f t="shared" si="7"/>
        <v>8.3724349642030464</v>
      </c>
      <c r="I61" s="6">
        <f t="shared" si="8"/>
        <v>61.469256998160205</v>
      </c>
      <c r="J61" s="3">
        <f t="shared" si="9"/>
        <v>-17.045933470171313</v>
      </c>
      <c r="K61" s="6">
        <f t="shared" si="10"/>
        <v>37.453458283997584</v>
      </c>
      <c r="L61" s="6">
        <f t="shared" si="11"/>
        <v>2980.8367748279597</v>
      </c>
      <c r="M61" s="6">
        <f t="shared" si="12"/>
        <v>50.708098834776607</v>
      </c>
      <c r="N61" s="8">
        <f t="shared" si="13"/>
        <v>-17987.64733793103</v>
      </c>
      <c r="O61" s="8"/>
      <c r="Q61">
        <f t="shared" si="14"/>
        <v>0</v>
      </c>
      <c r="R61">
        <f t="shared" si="15"/>
        <v>92.539694999999995</v>
      </c>
      <c r="S61">
        <f t="shared" si="16"/>
        <v>-134.45257032725286</v>
      </c>
      <c r="T61">
        <f t="shared" si="17"/>
        <v>-10.168297297297304</v>
      </c>
      <c r="U61">
        <f t="shared" si="18"/>
        <v>1.373073789773559</v>
      </c>
      <c r="V61">
        <f t="shared" si="19"/>
        <v>0</v>
      </c>
      <c r="W61">
        <f t="shared" si="20"/>
        <v>0</v>
      </c>
      <c r="X61">
        <f t="shared" si="21"/>
        <v>0</v>
      </c>
      <c r="Z61">
        <f t="shared" si="22"/>
        <v>-6657.6530000000002</v>
      </c>
      <c r="AA61">
        <f t="shared" si="23"/>
        <v>38266.414418918939</v>
      </c>
      <c r="AB61">
        <f t="shared" si="24"/>
        <v>-47683.306108296478</v>
      </c>
      <c r="AC61">
        <f t="shared" si="25"/>
        <v>-2102.3641709276872</v>
      </c>
      <c r="AD61">
        <f t="shared" si="26"/>
        <v>189.26152237419339</v>
      </c>
      <c r="AE61">
        <f t="shared" si="27"/>
        <v>0</v>
      </c>
      <c r="AF61">
        <f t="shared" si="28"/>
        <v>0</v>
      </c>
      <c r="AG61">
        <f t="shared" si="29"/>
        <v>0</v>
      </c>
      <c r="AP61" s="8">
        <f t="shared" si="35"/>
        <v>5.2782266652997309</v>
      </c>
      <c r="AQ61" s="8">
        <f t="shared" si="36"/>
        <v>10.421930466670034</v>
      </c>
      <c r="AR61" s="8">
        <f t="shared" si="37"/>
        <v>0.96861758043348445</v>
      </c>
      <c r="AS61" s="8">
        <f t="shared" si="30"/>
        <v>9.1842690948083821</v>
      </c>
      <c r="AT61" s="8">
        <f t="shared" si="31"/>
        <v>-2972.4643398637568</v>
      </c>
      <c r="AU61" s="3">
        <f t="shared" si="32"/>
        <v>10.761158163383598</v>
      </c>
      <c r="AV61" s="8">
        <f t="shared" si="33"/>
        <v>17970.60140446086</v>
      </c>
      <c r="AX61" s="5"/>
    </row>
    <row r="62" spans="1:50" hidden="1" x14ac:dyDescent="0.35">
      <c r="A62" s="1" t="s">
        <v>0</v>
      </c>
      <c r="B62" s="4">
        <f t="shared" si="34"/>
        <v>422.97297297297325</v>
      </c>
      <c r="C62" s="7">
        <f t="shared" si="2"/>
        <v>4.2297297297297323E-2</v>
      </c>
      <c r="D62" s="9">
        <f t="shared" si="3"/>
        <v>3.3627425392247172</v>
      </c>
      <c r="E62" s="6">
        <f t="shared" si="4"/>
        <v>51.689396568757857</v>
      </c>
      <c r="F62" s="3">
        <f t="shared" si="5"/>
        <v>-18.500475198641794</v>
      </c>
      <c r="G62" s="6">
        <f t="shared" si="6"/>
        <v>28.50662162162163</v>
      </c>
      <c r="H62" s="9">
        <f t="shared" si="7"/>
        <v>8.7257145441044113</v>
      </c>
      <c r="I62" s="6">
        <f t="shared" si="8"/>
        <v>62.313976993614148</v>
      </c>
      <c r="J62" s="3">
        <f t="shared" si="9"/>
        <v>-17.631413562654018</v>
      </c>
      <c r="K62" s="6">
        <f t="shared" si="10"/>
        <v>37.24090612842447</v>
      </c>
      <c r="L62" s="6">
        <f t="shared" si="11"/>
        <v>3232.6017486919991</v>
      </c>
      <c r="M62" s="6">
        <f t="shared" si="12"/>
        <v>51.31007825535022</v>
      </c>
      <c r="N62" s="8">
        <f t="shared" si="13"/>
        <v>-18470.174594449392</v>
      </c>
      <c r="O62" s="8"/>
      <c r="Q62">
        <f t="shared" si="14"/>
        <v>0</v>
      </c>
      <c r="R62">
        <f t="shared" si="15"/>
        <v>92.539694999999995</v>
      </c>
      <c r="S62">
        <f t="shared" si="16"/>
        <v>-134.88548054282282</v>
      </c>
      <c r="T62">
        <f t="shared" si="17"/>
        <v>-10.400905405405412</v>
      </c>
      <c r="U62">
        <f t="shared" si="18"/>
        <v>1.4366126928780152</v>
      </c>
      <c r="V62">
        <f t="shared" si="19"/>
        <v>0</v>
      </c>
      <c r="W62">
        <f t="shared" si="20"/>
        <v>0</v>
      </c>
      <c r="X62">
        <f t="shared" si="21"/>
        <v>0</v>
      </c>
      <c r="Z62">
        <f t="shared" si="22"/>
        <v>-6657.6530000000002</v>
      </c>
      <c r="AA62">
        <f t="shared" si="23"/>
        <v>39141.789912162189</v>
      </c>
      <c r="AB62">
        <f t="shared" si="24"/>
        <v>-48957.210013383192</v>
      </c>
      <c r="AC62">
        <f t="shared" si="25"/>
        <v>-2199.6509404674975</v>
      </c>
      <c r="AD62">
        <f t="shared" si="26"/>
        <v>202.54944723910768</v>
      </c>
      <c r="AE62">
        <f t="shared" si="27"/>
        <v>0</v>
      </c>
      <c r="AF62">
        <f t="shared" si="28"/>
        <v>0</v>
      </c>
      <c r="AG62">
        <f t="shared" si="29"/>
        <v>0</v>
      </c>
      <c r="AP62" s="8">
        <f t="shared" si="35"/>
        <v>5.3629720048796941</v>
      </c>
      <c r="AQ62" s="8">
        <f t="shared" si="36"/>
        <v>10.624580424856291</v>
      </c>
      <c r="AR62" s="8">
        <f t="shared" si="37"/>
        <v>0.86906163598777653</v>
      </c>
      <c r="AS62" s="8">
        <f t="shared" si="30"/>
        <v>8.7342845068028403</v>
      </c>
      <c r="AT62" s="8">
        <f t="shared" si="31"/>
        <v>-3223.8760341478946</v>
      </c>
      <c r="AU62" s="3">
        <f t="shared" si="32"/>
        <v>11.003898738263928</v>
      </c>
      <c r="AV62" s="8">
        <f t="shared" si="33"/>
        <v>18452.54318088674</v>
      </c>
      <c r="AX62" s="5"/>
    </row>
    <row r="63" spans="1:50" hidden="1" x14ac:dyDescent="0.35">
      <c r="A63" s="1" t="s">
        <v>0</v>
      </c>
      <c r="B63" s="4">
        <f t="shared" si="34"/>
        <v>432.43243243243273</v>
      </c>
      <c r="C63" s="7">
        <f t="shared" si="2"/>
        <v>4.3243243243243273E-2</v>
      </c>
      <c r="D63" s="9">
        <f t="shared" si="3"/>
        <v>3.6335227620150756</v>
      </c>
      <c r="E63" s="6">
        <f t="shared" si="4"/>
        <v>52.322516537177535</v>
      </c>
      <c r="F63" s="3">
        <f t="shared" si="5"/>
        <v>-18.992430335142792</v>
      </c>
      <c r="G63" s="6">
        <f t="shared" si="6"/>
        <v>28.744054054054065</v>
      </c>
      <c r="H63" s="9">
        <f t="shared" si="7"/>
        <v>9.0770109521271252</v>
      </c>
      <c r="I63" s="6">
        <f t="shared" si="8"/>
        <v>63.135375436178045</v>
      </c>
      <c r="J63" s="3">
        <f t="shared" si="9"/>
        <v>-18.224773020274203</v>
      </c>
      <c r="K63" s="6">
        <f t="shared" si="10"/>
        <v>37.034159086797807</v>
      </c>
      <c r="L63" s="6">
        <f t="shared" si="11"/>
        <v>3485.3513882889674</v>
      </c>
      <c r="M63" s="6">
        <f t="shared" si="12"/>
        <v>51.901045185632761</v>
      </c>
      <c r="N63" s="8">
        <f t="shared" si="13"/>
        <v>-18958.34382711981</v>
      </c>
      <c r="O63" s="8"/>
      <c r="Q63">
        <f t="shared" si="14"/>
        <v>0</v>
      </c>
      <c r="R63">
        <f t="shared" si="15"/>
        <v>92.539694999999995</v>
      </c>
      <c r="S63">
        <f t="shared" si="16"/>
        <v>-135.30881533537709</v>
      </c>
      <c r="T63">
        <f t="shared" si="17"/>
        <v>-10.63351351351352</v>
      </c>
      <c r="U63">
        <f t="shared" si="18"/>
        <v>1.5015886632578543</v>
      </c>
      <c r="V63">
        <f t="shared" si="19"/>
        <v>0</v>
      </c>
      <c r="W63">
        <f t="shared" si="20"/>
        <v>0</v>
      </c>
      <c r="X63">
        <f t="shared" si="21"/>
        <v>0</v>
      </c>
      <c r="Z63">
        <f t="shared" si="22"/>
        <v>-6657.6530000000002</v>
      </c>
      <c r="AA63">
        <f t="shared" si="23"/>
        <v>40017.165405405431</v>
      </c>
      <c r="AB63">
        <f t="shared" si="24"/>
        <v>-50235.163388271198</v>
      </c>
      <c r="AC63">
        <f t="shared" si="25"/>
        <v>-2299.1380569758981</v>
      </c>
      <c r="AD63">
        <f t="shared" si="26"/>
        <v>216.44521272185304</v>
      </c>
      <c r="AE63">
        <f t="shared" si="27"/>
        <v>0</v>
      </c>
      <c r="AF63">
        <f t="shared" si="28"/>
        <v>0</v>
      </c>
      <c r="AG63">
        <f t="shared" si="29"/>
        <v>0</v>
      </c>
      <c r="AP63" s="8">
        <f t="shared" si="35"/>
        <v>5.4434881901120491</v>
      </c>
      <c r="AQ63" s="8">
        <f t="shared" si="36"/>
        <v>10.81285889900051</v>
      </c>
      <c r="AR63" s="8">
        <f t="shared" si="37"/>
        <v>0.76765731486858968</v>
      </c>
      <c r="AS63" s="8">
        <f t="shared" si="30"/>
        <v>8.2901050327437424</v>
      </c>
      <c r="AT63" s="8">
        <f t="shared" si="31"/>
        <v>-3476.2743773368402</v>
      </c>
      <c r="AU63" s="3">
        <f t="shared" si="32"/>
        <v>11.234330250545284</v>
      </c>
      <c r="AV63" s="8">
        <f t="shared" si="33"/>
        <v>18940.119054099538</v>
      </c>
      <c r="AX63" s="5"/>
    </row>
    <row r="64" spans="1:50" hidden="1" x14ac:dyDescent="0.35">
      <c r="A64" s="1" t="s">
        <v>0</v>
      </c>
      <c r="B64" s="4">
        <f t="shared" si="34"/>
        <v>441.89189189189221</v>
      </c>
      <c r="C64" s="7">
        <f t="shared" si="2"/>
        <v>4.4189189189189224E-2</v>
      </c>
      <c r="D64" s="9">
        <f t="shared" si="3"/>
        <v>3.9065489672743912</v>
      </c>
      <c r="E64" s="6">
        <f t="shared" si="4"/>
        <v>52.947073812211251</v>
      </c>
      <c r="F64" s="3">
        <f t="shared" si="5"/>
        <v>-19.490333649743302</v>
      </c>
      <c r="G64" s="6">
        <f t="shared" si="6"/>
        <v>28.981486486486496</v>
      </c>
      <c r="H64" s="9">
        <f t="shared" si="7"/>
        <v>9.4263791015112268</v>
      </c>
      <c r="I64" s="6">
        <f t="shared" si="8"/>
        <v>63.934587353620607</v>
      </c>
      <c r="J64" s="3">
        <f t="shared" si="9"/>
        <v>-18.825796661507624</v>
      </c>
      <c r="K64" s="6">
        <f t="shared" si="10"/>
        <v>36.833217159117588</v>
      </c>
      <c r="L64" s="6">
        <f t="shared" si="11"/>
        <v>3739.0585058595789</v>
      </c>
      <c r="M64" s="6">
        <f t="shared" si="12"/>
        <v>52.48141406756627</v>
      </c>
      <c r="N64" s="8">
        <f t="shared" si="13"/>
        <v>-19452.052845619048</v>
      </c>
      <c r="O64" s="8"/>
      <c r="Q64">
        <f t="shared" si="14"/>
        <v>0</v>
      </c>
      <c r="R64">
        <f t="shared" si="15"/>
        <v>92.539694999999995</v>
      </c>
      <c r="S64">
        <f t="shared" si="16"/>
        <v>-135.72298914685771</v>
      </c>
      <c r="T64">
        <f t="shared" si="17"/>
        <v>-10.86612162162163</v>
      </c>
      <c r="U64">
        <f t="shared" si="18"/>
        <v>1.5680017009130776</v>
      </c>
      <c r="V64">
        <f t="shared" si="19"/>
        <v>0</v>
      </c>
      <c r="W64">
        <f t="shared" si="20"/>
        <v>0</v>
      </c>
      <c r="X64">
        <f t="shared" si="21"/>
        <v>0</v>
      </c>
      <c r="Z64">
        <f t="shared" si="22"/>
        <v>-6657.6530000000002</v>
      </c>
      <c r="AA64">
        <f t="shared" si="23"/>
        <v>40892.540898648673</v>
      </c>
      <c r="AB64">
        <f t="shared" si="24"/>
        <v>-51517.077636516893</v>
      </c>
      <c r="AC64">
        <f t="shared" si="25"/>
        <v>-2400.8255204528887</v>
      </c>
      <c r="AD64">
        <f t="shared" si="26"/>
        <v>230.96241270206156</v>
      </c>
      <c r="AE64">
        <f t="shared" si="27"/>
        <v>0</v>
      </c>
      <c r="AF64">
        <f t="shared" si="28"/>
        <v>0</v>
      </c>
      <c r="AG64">
        <f t="shared" si="29"/>
        <v>0</v>
      </c>
      <c r="AP64" s="8">
        <f t="shared" si="35"/>
        <v>5.5198301342368357</v>
      </c>
      <c r="AQ64" s="8">
        <f t="shared" si="36"/>
        <v>10.987513541409356</v>
      </c>
      <c r="AR64" s="8">
        <f t="shared" si="37"/>
        <v>0.66453698823567819</v>
      </c>
      <c r="AS64" s="8">
        <f t="shared" si="30"/>
        <v>7.851730672631092</v>
      </c>
      <c r="AT64" s="8">
        <f t="shared" si="31"/>
        <v>-3729.6321267580674</v>
      </c>
      <c r="AU64" s="3">
        <f t="shared" si="32"/>
        <v>11.453173286054337</v>
      </c>
      <c r="AV64" s="8">
        <f t="shared" si="33"/>
        <v>19433.227048957538</v>
      </c>
      <c r="AX64" s="5"/>
    </row>
    <row r="65" spans="1:50" hidden="1" x14ac:dyDescent="0.35">
      <c r="A65" s="1" t="s">
        <v>0</v>
      </c>
      <c r="B65" s="4">
        <f t="shared" si="34"/>
        <v>451.3513513513517</v>
      </c>
      <c r="C65" s="7">
        <f t="shared" si="2"/>
        <v>4.5135135135135167E-2</v>
      </c>
      <c r="D65" s="9">
        <f t="shared" si="3"/>
        <v>4.1818211550026598</v>
      </c>
      <c r="E65" s="6">
        <f t="shared" si="4"/>
        <v>53.563431151644991</v>
      </c>
      <c r="F65" s="3">
        <f t="shared" si="5"/>
        <v>-19.994105878307394</v>
      </c>
      <c r="G65" s="6">
        <f t="shared" si="6"/>
        <v>29.218918918918931</v>
      </c>
      <c r="H65" s="9">
        <f t="shared" si="7"/>
        <v>9.7738739054967496</v>
      </c>
      <c r="I65" s="6">
        <f t="shared" si="8"/>
        <v>64.712675642797237</v>
      </c>
      <c r="J65" s="3">
        <f t="shared" si="9"/>
        <v>-19.434279695441472</v>
      </c>
      <c r="K65" s="6">
        <f t="shared" si="10"/>
        <v>36.638080345383827</v>
      </c>
      <c r="L65" s="6">
        <f t="shared" si="11"/>
        <v>3993.6959136446058</v>
      </c>
      <c r="M65" s="6">
        <f t="shared" si="12"/>
        <v>53.05157300534438</v>
      </c>
      <c r="N65" s="8">
        <f t="shared" si="13"/>
        <v>-19951.20325363247</v>
      </c>
      <c r="O65" s="8"/>
      <c r="Q65">
        <f t="shared" si="14"/>
        <v>0</v>
      </c>
      <c r="R65">
        <f t="shared" si="15"/>
        <v>92.539694999999995</v>
      </c>
      <c r="S65">
        <f t="shared" si="16"/>
        <v>-136.12839008145832</v>
      </c>
      <c r="T65">
        <f t="shared" si="17"/>
        <v>-11.098729729729738</v>
      </c>
      <c r="U65">
        <f t="shared" si="18"/>
        <v>1.6358518058436839</v>
      </c>
      <c r="V65">
        <f t="shared" si="19"/>
        <v>0</v>
      </c>
      <c r="W65">
        <f t="shared" si="20"/>
        <v>0</v>
      </c>
      <c r="X65">
        <f t="shared" si="21"/>
        <v>0</v>
      </c>
      <c r="Z65">
        <f t="shared" si="22"/>
        <v>-6657.6530000000002</v>
      </c>
      <c r="AA65">
        <f t="shared" si="23"/>
        <v>41767.916391891922</v>
      </c>
      <c r="AB65">
        <f t="shared" si="24"/>
        <v>-52802.867955685288</v>
      </c>
      <c r="AC65">
        <f t="shared" si="25"/>
        <v>-2504.7133308984698</v>
      </c>
      <c r="AD65">
        <f t="shared" si="26"/>
        <v>246.11464105936525</v>
      </c>
      <c r="AE65">
        <f t="shared" si="27"/>
        <v>0</v>
      </c>
      <c r="AF65">
        <f t="shared" si="28"/>
        <v>0</v>
      </c>
      <c r="AG65">
        <f t="shared" si="29"/>
        <v>0</v>
      </c>
      <c r="AP65" s="8">
        <f t="shared" si="35"/>
        <v>5.5920527504940898</v>
      </c>
      <c r="AQ65" s="8">
        <f t="shared" si="36"/>
        <v>11.149244491152245</v>
      </c>
      <c r="AR65" s="8">
        <f t="shared" si="37"/>
        <v>0.55982618286592256</v>
      </c>
      <c r="AS65" s="8">
        <f t="shared" si="30"/>
        <v>7.4191614264648962</v>
      </c>
      <c r="AT65" s="8">
        <f t="shared" si="31"/>
        <v>-3983.9220397391091</v>
      </c>
      <c r="AU65" s="3">
        <f t="shared" si="32"/>
        <v>11.661102637452856</v>
      </c>
      <c r="AV65" s="8">
        <f t="shared" si="33"/>
        <v>19931.768973937029</v>
      </c>
      <c r="AX65" s="5"/>
    </row>
    <row r="66" spans="1:50" hidden="1" x14ac:dyDescent="0.35">
      <c r="A66" s="1" t="s">
        <v>0</v>
      </c>
      <c r="B66" s="4">
        <f t="shared" si="34"/>
        <v>460.81081081081118</v>
      </c>
      <c r="C66" s="7">
        <f t="shared" si="2"/>
        <v>4.6081081081081117E-2</v>
      </c>
      <c r="D66" s="9">
        <f t="shared" si="3"/>
        <v>4.4593393251998839</v>
      </c>
      <c r="E66" s="6">
        <f t="shared" si="4"/>
        <v>54.171928738326365</v>
      </c>
      <c r="F66" s="3">
        <f t="shared" si="5"/>
        <v>-20.50367107989377</v>
      </c>
      <c r="G66" s="6">
        <f t="shared" si="6"/>
        <v>29.456351351351362</v>
      </c>
      <c r="H66" s="9">
        <f t="shared" si="7"/>
        <v>10.119550277323729</v>
      </c>
      <c r="I66" s="6">
        <f t="shared" si="8"/>
        <v>65.470637054964271</v>
      </c>
      <c r="J66" s="3">
        <f t="shared" si="9"/>
        <v>-20.050027068274687</v>
      </c>
      <c r="K66" s="6">
        <f t="shared" si="10"/>
        <v>36.448748645596503</v>
      </c>
      <c r="L66" s="6">
        <f t="shared" si="11"/>
        <v>4249.2364238847767</v>
      </c>
      <c r="M66" s="6">
        <f t="shared" si="12"/>
        <v>53.611885950878971</v>
      </c>
      <c r="N66" s="8">
        <f t="shared" si="13"/>
        <v>-20455.700210236497</v>
      </c>
      <c r="O66" s="8"/>
      <c r="Q66">
        <f t="shared" si="14"/>
        <v>0</v>
      </c>
      <c r="R66">
        <f t="shared" si="15"/>
        <v>92.539694999999995</v>
      </c>
      <c r="S66">
        <f t="shared" si="16"/>
        <v>-136.52538209109079</v>
      </c>
      <c r="T66">
        <f t="shared" si="17"/>
        <v>-11.331337837837847</v>
      </c>
      <c r="U66">
        <f t="shared" si="18"/>
        <v>1.705138978049674</v>
      </c>
      <c r="V66">
        <f t="shared" si="19"/>
        <v>0</v>
      </c>
      <c r="W66">
        <f t="shared" si="20"/>
        <v>0</v>
      </c>
      <c r="X66">
        <f t="shared" si="21"/>
        <v>0</v>
      </c>
      <c r="Z66">
        <f t="shared" si="22"/>
        <v>-6657.6530000000002</v>
      </c>
      <c r="AA66">
        <f t="shared" si="23"/>
        <v>42643.291885135164</v>
      </c>
      <c r="AB66">
        <f t="shared" si="24"/>
        <v>-54092.453098732418</v>
      </c>
      <c r="AC66">
        <f t="shared" si="25"/>
        <v>-2610.8014883126411</v>
      </c>
      <c r="AD66">
        <f t="shared" si="26"/>
        <v>261.91549167339605</v>
      </c>
      <c r="AE66">
        <f t="shared" si="27"/>
        <v>0</v>
      </c>
      <c r="AF66">
        <f t="shared" si="28"/>
        <v>0</v>
      </c>
      <c r="AG66">
        <f t="shared" si="29"/>
        <v>0</v>
      </c>
      <c r="AP66" s="8">
        <f t="shared" si="35"/>
        <v>5.6602109521238448</v>
      </c>
      <c r="AQ66" s="8">
        <f t="shared" si="36"/>
        <v>11.298708316637907</v>
      </c>
      <c r="AR66" s="8">
        <f t="shared" si="37"/>
        <v>0.45364401161908319</v>
      </c>
      <c r="AS66" s="8">
        <f t="shared" si="30"/>
        <v>6.9923972942451407</v>
      </c>
      <c r="AT66" s="8">
        <f t="shared" si="31"/>
        <v>-4239.1168736074533</v>
      </c>
      <c r="AU66" s="3">
        <f t="shared" si="32"/>
        <v>11.8587511040853</v>
      </c>
      <c r="AV66" s="8">
        <f t="shared" si="33"/>
        <v>20435.650183168222</v>
      </c>
      <c r="AX66" s="5"/>
    </row>
    <row r="67" spans="1:50" hidden="1" x14ac:dyDescent="0.35">
      <c r="A67" s="1" t="s">
        <v>0</v>
      </c>
      <c r="B67" s="4">
        <f t="shared" si="34"/>
        <v>470.27027027027066</v>
      </c>
      <c r="C67" s="7">
        <f t="shared" si="2"/>
        <v>4.7027027027027067E-2</v>
      </c>
      <c r="D67" s="9">
        <f t="shared" si="3"/>
        <v>4.7391034778660659</v>
      </c>
      <c r="E67" s="6">
        <f t="shared" si="4"/>
        <v>54.77288601532203</v>
      </c>
      <c r="F67" s="3">
        <f t="shared" si="5"/>
        <v>-21.018956432042156</v>
      </c>
      <c r="G67" s="6">
        <f t="shared" si="6"/>
        <v>29.693783783783797</v>
      </c>
      <c r="H67" s="9">
        <f t="shared" si="7"/>
        <v>10.463463130232192</v>
      </c>
      <c r="I67" s="6">
        <f t="shared" si="8"/>
        <v>66.209407572874269</v>
      </c>
      <c r="J67" s="3">
        <f t="shared" si="9"/>
        <v>-20.672852863497884</v>
      </c>
      <c r="K67" s="6">
        <f t="shared" si="10"/>
        <v>36.265222059755637</v>
      </c>
      <c r="L67" s="6">
        <f t="shared" si="11"/>
        <v>4505.6528488208096</v>
      </c>
      <c r="M67" s="6">
        <f t="shared" si="12"/>
        <v>54.162694667182627</v>
      </c>
      <c r="N67" s="8">
        <f t="shared" si="13"/>
        <v>-20965.452210881311</v>
      </c>
      <c r="O67" s="8"/>
      <c r="Q67">
        <f t="shared" si="14"/>
        <v>0</v>
      </c>
      <c r="R67">
        <f t="shared" si="15"/>
        <v>92.539694999999995</v>
      </c>
      <c r="S67">
        <f t="shared" si="16"/>
        <v>-136.91430693876771</v>
      </c>
      <c r="T67">
        <f t="shared" si="17"/>
        <v>-11.563945945945957</v>
      </c>
      <c r="U67">
        <f t="shared" si="18"/>
        <v>1.7758632175310476</v>
      </c>
      <c r="V67">
        <f t="shared" si="19"/>
        <v>0</v>
      </c>
      <c r="W67">
        <f t="shared" si="20"/>
        <v>0</v>
      </c>
      <c r="X67">
        <f t="shared" si="21"/>
        <v>0</v>
      </c>
      <c r="Z67">
        <f t="shared" si="22"/>
        <v>-6657.6530000000002</v>
      </c>
      <c r="AA67">
        <f t="shared" si="23"/>
        <v>43518.667378378414</v>
      </c>
      <c r="AB67">
        <f t="shared" si="24"/>
        <v>-55385.75515498811</v>
      </c>
      <c r="AC67">
        <f t="shared" si="25"/>
        <v>-2719.0899926954025</v>
      </c>
      <c r="AD67">
        <f t="shared" si="26"/>
        <v>278.37855842378605</v>
      </c>
      <c r="AE67">
        <f t="shared" si="27"/>
        <v>0</v>
      </c>
      <c r="AF67">
        <f t="shared" si="28"/>
        <v>0</v>
      </c>
      <c r="AG67">
        <f t="shared" si="29"/>
        <v>0</v>
      </c>
      <c r="AP67" s="8">
        <f t="shared" si="35"/>
        <v>5.7243596523661262</v>
      </c>
      <c r="AQ67" s="8">
        <f t="shared" si="36"/>
        <v>11.43652155755224</v>
      </c>
      <c r="AR67" s="8">
        <f t="shared" si="37"/>
        <v>0.34610356854427238</v>
      </c>
      <c r="AS67" s="8">
        <f t="shared" si="30"/>
        <v>6.5714382759718397</v>
      </c>
      <c r="AT67" s="8">
        <f t="shared" si="31"/>
        <v>-4495.1893856905772</v>
      </c>
      <c r="AU67" s="3">
        <f t="shared" si="32"/>
        <v>12.046712905691642</v>
      </c>
      <c r="AV67" s="8">
        <f t="shared" si="33"/>
        <v>20944.779358017811</v>
      </c>
      <c r="AX67" s="5"/>
    </row>
    <row r="68" spans="1:50" hidden="1" x14ac:dyDescent="0.35">
      <c r="A68" s="1" t="s">
        <v>0</v>
      </c>
      <c r="B68" s="4">
        <f t="shared" si="34"/>
        <v>479.72972972973014</v>
      </c>
      <c r="C68" s="7">
        <f t="shared" si="2"/>
        <v>4.7972972972973017E-2</v>
      </c>
      <c r="D68" s="9">
        <f t="shared" si="3"/>
        <v>5.0211136130012033</v>
      </c>
      <c r="E68" s="6">
        <f t="shared" si="4"/>
        <v>55.366603338304309</v>
      </c>
      <c r="F68" s="3">
        <f t="shared" si="5"/>
        <v>-21.539892042536707</v>
      </c>
      <c r="G68" s="6">
        <f t="shared" si="6"/>
        <v>29.931216216216228</v>
      </c>
      <c r="H68" s="9">
        <f t="shared" si="7"/>
        <v>10.805667377462182</v>
      </c>
      <c r="I68" s="6">
        <f t="shared" si="8"/>
        <v>66.929867252343755</v>
      </c>
      <c r="J68" s="3">
        <f t="shared" si="9"/>
        <v>-21.302579750351395</v>
      </c>
      <c r="K68" s="6">
        <f t="shared" si="10"/>
        <v>36.087500587861214</v>
      </c>
      <c r="L68" s="6">
        <f t="shared" si="11"/>
        <v>4762.9180006934548</v>
      </c>
      <c r="M68" s="6">
        <f t="shared" si="12"/>
        <v>54.704320496210016</v>
      </c>
      <c r="N68" s="8">
        <f t="shared" si="13"/>
        <v>-21480.370886001914</v>
      </c>
      <c r="O68" s="8"/>
      <c r="Q68">
        <f t="shared" si="14"/>
        <v>0</v>
      </c>
      <c r="R68">
        <f t="shared" si="15"/>
        <v>92.539694999999995</v>
      </c>
      <c r="S68">
        <f t="shared" si="16"/>
        <v>-137.29548596644375</v>
      </c>
      <c r="T68">
        <f t="shared" si="17"/>
        <v>-11.796554054054065</v>
      </c>
      <c r="U68">
        <f t="shared" si="18"/>
        <v>1.8480245242878044</v>
      </c>
      <c r="V68">
        <f t="shared" si="19"/>
        <v>0</v>
      </c>
      <c r="W68">
        <f t="shared" si="20"/>
        <v>0</v>
      </c>
      <c r="X68">
        <f t="shared" si="21"/>
        <v>0</v>
      </c>
      <c r="Z68">
        <f t="shared" si="22"/>
        <v>-6657.6530000000002</v>
      </c>
      <c r="AA68">
        <f t="shared" si="23"/>
        <v>44394.042871621656</v>
      </c>
      <c r="AB68">
        <f t="shared" si="24"/>
        <v>-56682.699348766982</v>
      </c>
      <c r="AC68">
        <f t="shared" si="25"/>
        <v>-2829.5788440467545</v>
      </c>
      <c r="AD68">
        <f t="shared" si="26"/>
        <v>295.51743519016713</v>
      </c>
      <c r="AE68">
        <f t="shared" si="27"/>
        <v>0</v>
      </c>
      <c r="AF68">
        <f t="shared" si="28"/>
        <v>0</v>
      </c>
      <c r="AG68">
        <f t="shared" si="29"/>
        <v>0</v>
      </c>
      <c r="AP68" s="8">
        <f t="shared" si="35"/>
        <v>5.7845537644609788</v>
      </c>
      <c r="AQ68" s="8">
        <f t="shared" si="36"/>
        <v>11.563263914039446</v>
      </c>
      <c r="AR68" s="8">
        <f t="shared" si="37"/>
        <v>0.23731229218531169</v>
      </c>
      <c r="AS68" s="8">
        <f t="shared" si="30"/>
        <v>6.1562843716449862</v>
      </c>
      <c r="AT68" s="8">
        <f t="shared" si="31"/>
        <v>-4752.1123333159931</v>
      </c>
      <c r="AU68" s="3">
        <f t="shared" si="32"/>
        <v>12.225546756133738</v>
      </c>
      <c r="AV68" s="8">
        <f t="shared" si="33"/>
        <v>21459.068306251564</v>
      </c>
      <c r="AX68" s="5"/>
    </row>
    <row r="69" spans="1:50" hidden="1" x14ac:dyDescent="0.35">
      <c r="A69" s="1" t="s">
        <v>0</v>
      </c>
      <c r="B69" s="4">
        <f t="shared" si="34"/>
        <v>489.18918918918962</v>
      </c>
      <c r="C69" s="7">
        <f t="shared" si="2"/>
        <v>4.891891891891896E-2</v>
      </c>
      <c r="D69" s="9">
        <f t="shared" si="3"/>
        <v>5.3053697306052925</v>
      </c>
      <c r="E69" s="6">
        <f t="shared" si="4"/>
        <v>55.953363466584598</v>
      </c>
      <c r="F69" s="3">
        <f t="shared" si="5"/>
        <v>-22.066410776021254</v>
      </c>
      <c r="G69" s="6">
        <f t="shared" si="6"/>
        <v>30.168648648648663</v>
      </c>
      <c r="H69" s="9">
        <f t="shared" si="7"/>
        <v>11.146217932253723</v>
      </c>
      <c r="I69" s="6">
        <f t="shared" si="8"/>
        <v>67.632844591049547</v>
      </c>
      <c r="J69" s="3">
        <f t="shared" si="9"/>
        <v>-21.939038475800267</v>
      </c>
      <c r="K69" s="6">
        <f t="shared" si="10"/>
        <v>35.91558422991325</v>
      </c>
      <c r="L69" s="6">
        <f t="shared" si="11"/>
        <v>5021.0046917434447</v>
      </c>
      <c r="M69" s="6">
        <f t="shared" si="12"/>
        <v>55.237065954071767</v>
      </c>
      <c r="N69" s="8">
        <f t="shared" si="13"/>
        <v>-22000.370815518712</v>
      </c>
      <c r="O69" s="8"/>
      <c r="Q69">
        <f t="shared" si="14"/>
        <v>0</v>
      </c>
      <c r="R69">
        <f t="shared" si="15"/>
        <v>92.539694999999995</v>
      </c>
      <c r="S69">
        <f t="shared" si="16"/>
        <v>-137.66922169022953</v>
      </c>
      <c r="T69">
        <f t="shared" si="17"/>
        <v>-12.029162162162173</v>
      </c>
      <c r="U69">
        <f t="shared" si="18"/>
        <v>1.9216228983199448</v>
      </c>
      <c r="V69">
        <f t="shared" si="19"/>
        <v>0</v>
      </c>
      <c r="W69">
        <f t="shared" si="20"/>
        <v>0</v>
      </c>
      <c r="X69">
        <f t="shared" si="21"/>
        <v>0</v>
      </c>
      <c r="Z69">
        <f t="shared" si="22"/>
        <v>-6657.6530000000002</v>
      </c>
      <c r="AA69">
        <f t="shared" si="23"/>
        <v>45269.418364864905</v>
      </c>
      <c r="AB69">
        <f t="shared" si="24"/>
        <v>-57983.213853869092</v>
      </c>
      <c r="AC69">
        <f t="shared" si="25"/>
        <v>-2942.2680423666966</v>
      </c>
      <c r="AD69">
        <f t="shared" si="26"/>
        <v>313.34571585217151</v>
      </c>
      <c r="AE69">
        <f t="shared" si="27"/>
        <v>0</v>
      </c>
      <c r="AF69">
        <f t="shared" si="28"/>
        <v>0</v>
      </c>
      <c r="AG69">
        <f t="shared" si="29"/>
        <v>0</v>
      </c>
      <c r="AP69" s="8">
        <f t="shared" si="35"/>
        <v>5.8408482016484307</v>
      </c>
      <c r="AQ69" s="8">
        <f t="shared" si="36"/>
        <v>11.679481124464949</v>
      </c>
      <c r="AR69" s="8">
        <f t="shared" si="37"/>
        <v>0.127372300220987</v>
      </c>
      <c r="AS69" s="8">
        <f t="shared" si="30"/>
        <v>5.7469355812645873</v>
      </c>
      <c r="AT69" s="8">
        <f t="shared" si="31"/>
        <v>-5009.8584738111913</v>
      </c>
      <c r="AU69" s="3">
        <f t="shared" si="32"/>
        <v>12.395778636977781</v>
      </c>
      <c r="AV69" s="8">
        <f t="shared" si="33"/>
        <v>21978.431777042912</v>
      </c>
      <c r="AX69" s="5"/>
    </row>
    <row r="70" spans="1:50" hidden="1" x14ac:dyDescent="0.35">
      <c r="A70" s="1" t="s">
        <v>0</v>
      </c>
      <c r="B70" s="4">
        <f t="shared" si="34"/>
        <v>498.6486486486491</v>
      </c>
      <c r="C70" s="7">
        <f t="shared" si="2"/>
        <v>4.9864864864864911E-2</v>
      </c>
      <c r="D70" s="9">
        <f t="shared" si="3"/>
        <v>5.5918718306783379</v>
      </c>
      <c r="E70" s="6">
        <f t="shared" si="4"/>
        <v>56.533432911339013</v>
      </c>
      <c r="F70" s="3">
        <f t="shared" si="5"/>
        <v>-22.598448094029926</v>
      </c>
      <c r="G70" s="6">
        <f t="shared" si="6"/>
        <v>30.406081081081094</v>
      </c>
      <c r="H70" s="9">
        <f t="shared" si="7"/>
        <v>11.485169707846858</v>
      </c>
      <c r="I70" s="6">
        <f t="shared" si="8"/>
        <v>68.319120478890966</v>
      </c>
      <c r="J70" s="3">
        <f t="shared" si="9"/>
        <v>-22.582067395816363</v>
      </c>
      <c r="K70" s="6">
        <f t="shared" si="10"/>
        <v>35.74947298591173</v>
      </c>
      <c r="L70" s="6">
        <f t="shared" si="11"/>
        <v>5279.8857342115152</v>
      </c>
      <c r="M70" s="6">
        <f t="shared" si="12"/>
        <v>55.761216173462785</v>
      </c>
      <c r="N70" s="8">
        <f t="shared" si="13"/>
        <v>-22525.369357690899</v>
      </c>
      <c r="O70" s="8"/>
      <c r="Q70">
        <f t="shared" si="14"/>
        <v>0</v>
      </c>
      <c r="R70">
        <f t="shared" si="15"/>
        <v>92.539694999999995</v>
      </c>
      <c r="S70">
        <f t="shared" si="16"/>
        <v>-138.03579924281996</v>
      </c>
      <c r="T70">
        <f t="shared" si="17"/>
        <v>-12.261770270270281</v>
      </c>
      <c r="U70">
        <f t="shared" si="18"/>
        <v>1.9966583396274689</v>
      </c>
      <c r="V70">
        <f t="shared" si="19"/>
        <v>0</v>
      </c>
      <c r="W70">
        <f t="shared" si="20"/>
        <v>0</v>
      </c>
      <c r="X70">
        <f t="shared" si="21"/>
        <v>0</v>
      </c>
      <c r="Z70">
        <f t="shared" si="22"/>
        <v>-6657.6530000000002</v>
      </c>
      <c r="AA70">
        <f t="shared" si="23"/>
        <v>46144.793858108147</v>
      </c>
      <c r="AB70">
        <f t="shared" si="24"/>
        <v>-59287.229622433253</v>
      </c>
      <c r="AC70">
        <f t="shared" si="25"/>
        <v>-3057.1575876552283</v>
      </c>
      <c r="AD70">
        <f t="shared" si="26"/>
        <v>331.87699428943091</v>
      </c>
      <c r="AE70">
        <f t="shared" si="27"/>
        <v>0</v>
      </c>
      <c r="AF70">
        <f t="shared" si="28"/>
        <v>0</v>
      </c>
      <c r="AG70">
        <f t="shared" si="29"/>
        <v>0</v>
      </c>
      <c r="AP70" s="8">
        <f t="shared" si="35"/>
        <v>5.8932978771685196</v>
      </c>
      <c r="AQ70" s="8">
        <f t="shared" si="36"/>
        <v>11.785687567551953</v>
      </c>
      <c r="AR70" s="8">
        <f t="shared" si="37"/>
        <v>1.638069821356325E-2</v>
      </c>
      <c r="AS70" s="8">
        <f t="shared" si="30"/>
        <v>5.3433919048306358</v>
      </c>
      <c r="AT70" s="8">
        <f t="shared" si="31"/>
        <v>-5268.4005645036686</v>
      </c>
      <c r="AU70" s="3">
        <f t="shared" si="32"/>
        <v>12.557904305428181</v>
      </c>
      <c r="AV70" s="8">
        <f t="shared" si="33"/>
        <v>22502.787290295084</v>
      </c>
      <c r="AX70" s="5"/>
    </row>
    <row r="71" spans="1:50" hidden="1" x14ac:dyDescent="0.35">
      <c r="A71" s="1" t="s">
        <v>0</v>
      </c>
      <c r="B71" s="4">
        <f t="shared" si="34"/>
        <v>508.10810810810858</v>
      </c>
      <c r="C71" s="7">
        <f t="shared" si="2"/>
        <v>5.0810810810810861E-2</v>
      </c>
      <c r="D71" s="9">
        <f t="shared" si="3"/>
        <v>5.8806199132203432</v>
      </c>
      <c r="E71" s="6">
        <f t="shared" si="4"/>
        <v>57.107063157131634</v>
      </c>
      <c r="F71" s="3">
        <f t="shared" si="5"/>
        <v>-23.135941907160085</v>
      </c>
      <c r="G71" s="6">
        <f t="shared" si="6"/>
        <v>30.643513513513529</v>
      </c>
      <c r="H71" s="9">
        <f t="shared" si="7"/>
        <v>11.822577617481619</v>
      </c>
      <c r="I71" s="6">
        <f t="shared" si="8"/>
        <v>68.989431777108948</v>
      </c>
      <c r="J71" s="3">
        <f t="shared" si="9"/>
        <v>-23.231512042238627</v>
      </c>
      <c r="K71" s="6">
        <f t="shared" si="10"/>
        <v>35.589166855856654</v>
      </c>
      <c r="L71" s="6">
        <f t="shared" si="11"/>
        <v>5539.5339403383914</v>
      </c>
      <c r="M71" s="6">
        <f t="shared" si="12"/>
        <v>56.277040210534892</v>
      </c>
      <c r="N71" s="8">
        <f t="shared" si="13"/>
        <v>-23055.286490960447</v>
      </c>
      <c r="O71" s="8"/>
      <c r="Q71">
        <f t="shared" si="14"/>
        <v>0</v>
      </c>
      <c r="R71">
        <f t="shared" si="15"/>
        <v>92.539694999999995</v>
      </c>
      <c r="S71">
        <f t="shared" si="16"/>
        <v>-138.39548768036687</v>
      </c>
      <c r="T71">
        <f t="shared" si="17"/>
        <v>-12.494378378378391</v>
      </c>
      <c r="U71">
        <f t="shared" si="18"/>
        <v>2.0731308482103765</v>
      </c>
      <c r="V71">
        <f t="shared" si="19"/>
        <v>0</v>
      </c>
      <c r="W71">
        <f t="shared" si="20"/>
        <v>0</v>
      </c>
      <c r="X71">
        <f t="shared" si="21"/>
        <v>0</v>
      </c>
      <c r="Z71">
        <f t="shared" si="22"/>
        <v>-6657.6530000000002</v>
      </c>
      <c r="AA71">
        <f t="shared" si="23"/>
        <v>47020.169351351389</v>
      </c>
      <c r="AB71">
        <f t="shared" si="24"/>
        <v>-60594.680226781064</v>
      </c>
      <c r="AC71">
        <f t="shared" si="25"/>
        <v>-3174.2474799123511</v>
      </c>
      <c r="AD71">
        <f t="shared" si="26"/>
        <v>351.12486438157759</v>
      </c>
      <c r="AE71">
        <f t="shared" si="27"/>
        <v>0</v>
      </c>
      <c r="AF71">
        <f t="shared" si="28"/>
        <v>0</v>
      </c>
      <c r="AG71">
        <f t="shared" si="29"/>
        <v>0</v>
      </c>
      <c r="AP71" s="8">
        <f t="shared" si="35"/>
        <v>5.9419577042612755</v>
      </c>
      <c r="AQ71" s="8">
        <f t="shared" si="36"/>
        <v>11.882368619977314</v>
      </c>
      <c r="AR71" s="8">
        <f t="shared" si="37"/>
        <v>-9.5570135078542506E-2</v>
      </c>
      <c r="AS71" s="8">
        <f t="shared" si="30"/>
        <v>4.9456533423431246</v>
      </c>
      <c r="AT71" s="8">
        <f t="shared" si="31"/>
        <v>-5527.7113627209101</v>
      </c>
      <c r="AU71" s="3">
        <f t="shared" si="32"/>
        <v>12.712391566574055</v>
      </c>
      <c r="AV71" s="8">
        <f t="shared" si="33"/>
        <v>23032.054978918208</v>
      </c>
      <c r="AX71" s="5"/>
    </row>
    <row r="72" spans="1:50" hidden="1" x14ac:dyDescent="0.35">
      <c r="A72" s="1" t="s">
        <v>0</v>
      </c>
      <c r="B72" s="4">
        <f t="shared" si="34"/>
        <v>517.56756756756806</v>
      </c>
      <c r="C72" s="7">
        <f t="shared" si="2"/>
        <v>5.1756756756756804E-2</v>
      </c>
      <c r="D72" s="9">
        <f t="shared" si="3"/>
        <v>6.1716139782312984</v>
      </c>
      <c r="E72" s="6">
        <f t="shared" si="4"/>
        <v>57.674491770760611</v>
      </c>
      <c r="F72" s="3">
        <f t="shared" si="5"/>
        <v>-23.67883243825699</v>
      </c>
      <c r="G72" s="6">
        <f t="shared" si="6"/>
        <v>30.880945945945957</v>
      </c>
      <c r="H72" s="9">
        <f t="shared" si="7"/>
        <v>12.158496574398031</v>
      </c>
      <c r="I72" s="6">
        <f t="shared" si="8"/>
        <v>69.644474567255486</v>
      </c>
      <c r="J72" s="3">
        <f t="shared" si="9"/>
        <v>-23.887224721897745</v>
      </c>
      <c r="K72" s="6">
        <f t="shared" si="10"/>
        <v>35.434665839748028</v>
      </c>
      <c r="L72" s="6">
        <f t="shared" si="11"/>
        <v>5799.922122364831</v>
      </c>
      <c r="M72" s="6">
        <f t="shared" si="12"/>
        <v>56.784792231219669</v>
      </c>
      <c r="N72" s="8">
        <f t="shared" si="13"/>
        <v>-23590.044667577269</v>
      </c>
      <c r="O72" s="8"/>
      <c r="Q72">
        <f t="shared" si="14"/>
        <v>0</v>
      </c>
      <c r="R72">
        <f t="shared" si="15"/>
        <v>92.539694999999995</v>
      </c>
      <c r="S72">
        <f t="shared" si="16"/>
        <v>-138.74854116880184</v>
      </c>
      <c r="T72">
        <f t="shared" si="17"/>
        <v>-12.726986486486499</v>
      </c>
      <c r="U72">
        <f t="shared" si="18"/>
        <v>2.1510404240686674</v>
      </c>
      <c r="V72">
        <f t="shared" si="19"/>
        <v>0</v>
      </c>
      <c r="W72">
        <f t="shared" si="20"/>
        <v>0</v>
      </c>
      <c r="X72">
        <f t="shared" si="21"/>
        <v>0</v>
      </c>
      <c r="Z72">
        <f t="shared" si="22"/>
        <v>-6657.6530000000002</v>
      </c>
      <c r="AA72">
        <f t="shared" si="23"/>
        <v>47895.544844594639</v>
      </c>
      <c r="AB72">
        <f t="shared" si="24"/>
        <v>-61905.501713042089</v>
      </c>
      <c r="AC72">
        <f t="shared" si="25"/>
        <v>-3293.5377191380635</v>
      </c>
      <c r="AD72">
        <f t="shared" si="26"/>
        <v>371.10292000824347</v>
      </c>
      <c r="AE72">
        <f t="shared" si="27"/>
        <v>0</v>
      </c>
      <c r="AF72">
        <f t="shared" si="28"/>
        <v>0</v>
      </c>
      <c r="AG72">
        <f t="shared" si="29"/>
        <v>0</v>
      </c>
      <c r="AP72" s="8">
        <f t="shared" si="35"/>
        <v>5.9868825961667325</v>
      </c>
      <c r="AQ72" s="8">
        <f t="shared" si="36"/>
        <v>11.969982796494875</v>
      </c>
      <c r="AR72" s="8">
        <f t="shared" si="37"/>
        <v>-0.20839228364075524</v>
      </c>
      <c r="AS72" s="8">
        <f t="shared" si="30"/>
        <v>4.5537198938020715</v>
      </c>
      <c r="AT72" s="8">
        <f t="shared" si="31"/>
        <v>-5787.7636257904333</v>
      </c>
      <c r="AU72" s="3">
        <f t="shared" si="32"/>
        <v>12.859682336035817</v>
      </c>
      <c r="AV72" s="8">
        <f t="shared" si="33"/>
        <v>23566.157442855372</v>
      </c>
      <c r="AX72" s="5"/>
    </row>
    <row r="73" spans="1:50" hidden="1" x14ac:dyDescent="0.35">
      <c r="A73" s="1" t="s">
        <v>0</v>
      </c>
      <c r="B73" s="4">
        <f t="shared" si="34"/>
        <v>527.02702702702754</v>
      </c>
      <c r="C73" s="7">
        <f t="shared" si="2"/>
        <v>5.2702702702702754E-2</v>
      </c>
      <c r="D73" s="9">
        <f t="shared" si="3"/>
        <v>6.4648540257112135</v>
      </c>
      <c r="E73" s="6">
        <f t="shared" si="4"/>
        <v>58.235943409674142</v>
      </c>
      <c r="F73" s="3">
        <f t="shared" si="5"/>
        <v>-24.227062095603568</v>
      </c>
      <c r="G73" s="6">
        <f t="shared" si="6"/>
        <v>31.118378378378392</v>
      </c>
      <c r="H73" s="9">
        <f t="shared" si="7"/>
        <v>12.492981491836142</v>
      </c>
      <c r="I73" s="6">
        <f t="shared" si="8"/>
        <v>70.284907105898569</v>
      </c>
      <c r="J73" s="3">
        <f t="shared" si="9"/>
        <v>-24.54906414505637</v>
      </c>
      <c r="K73" s="6">
        <f t="shared" si="10"/>
        <v>35.285969937585861</v>
      </c>
      <c r="L73" s="6">
        <f t="shared" si="11"/>
        <v>6061.0230925315482</v>
      </c>
      <c r="M73" s="6">
        <f t="shared" si="12"/>
        <v>57.284712590104007</v>
      </c>
      <c r="N73" s="8">
        <f t="shared" si="13"/>
        <v>-24129.568677928703</v>
      </c>
      <c r="O73" s="8"/>
      <c r="Q73">
        <f t="shared" si="14"/>
        <v>0</v>
      </c>
      <c r="R73">
        <f t="shared" si="15"/>
        <v>92.539694999999995</v>
      </c>
      <c r="S73">
        <f t="shared" si="16"/>
        <v>-139.09520006271174</v>
      </c>
      <c r="T73">
        <f t="shared" si="17"/>
        <v>-12.959594594594607</v>
      </c>
      <c r="U73">
        <f t="shared" si="18"/>
        <v>2.2303870672023418</v>
      </c>
      <c r="V73">
        <f t="shared" si="19"/>
        <v>0</v>
      </c>
      <c r="W73">
        <f t="shared" si="20"/>
        <v>0</v>
      </c>
      <c r="X73">
        <f t="shared" si="21"/>
        <v>0</v>
      </c>
      <c r="Z73">
        <f t="shared" si="22"/>
        <v>-6657.6530000000002</v>
      </c>
      <c r="AA73">
        <f t="shared" si="23"/>
        <v>48770.920337837881</v>
      </c>
      <c r="AB73">
        <f t="shared" si="24"/>
        <v>-63219.632465483279</v>
      </c>
      <c r="AC73">
        <f t="shared" si="25"/>
        <v>-3415.028305332366</v>
      </c>
      <c r="AD73">
        <f t="shared" si="26"/>
        <v>391.82475504906034</v>
      </c>
      <c r="AE73">
        <f t="shared" si="27"/>
        <v>0</v>
      </c>
      <c r="AF73">
        <f t="shared" si="28"/>
        <v>0</v>
      </c>
      <c r="AG73">
        <f t="shared" si="29"/>
        <v>0</v>
      </c>
      <c r="AP73" s="8">
        <f t="shared" si="35"/>
        <v>6.0281274661249284</v>
      </c>
      <c r="AQ73" s="8">
        <f t="shared" si="36"/>
        <v>12.048963696224426</v>
      </c>
      <c r="AR73" s="8">
        <f t="shared" si="37"/>
        <v>-0.3220020494528022</v>
      </c>
      <c r="AS73" s="8">
        <f t="shared" si="30"/>
        <v>4.1675915592074695</v>
      </c>
      <c r="AT73" s="8">
        <f t="shared" si="31"/>
        <v>-6048.5301110397122</v>
      </c>
      <c r="AU73" s="3">
        <f t="shared" si="32"/>
        <v>13.000194515794561</v>
      </c>
      <c r="AV73" s="8">
        <f t="shared" si="33"/>
        <v>24105.019613783646</v>
      </c>
      <c r="AX73" s="5"/>
    </row>
    <row r="74" spans="1:50" hidden="1" x14ac:dyDescent="0.35">
      <c r="A74" s="1" t="s">
        <v>0</v>
      </c>
      <c r="B74" s="4">
        <f t="shared" si="34"/>
        <v>536.48648648648702</v>
      </c>
      <c r="C74" s="7">
        <f t="shared" si="2"/>
        <v>5.3648648648648704E-2</v>
      </c>
      <c r="D74" s="9">
        <f t="shared" si="3"/>
        <v>6.7603400556600821</v>
      </c>
      <c r="E74" s="6">
        <f t="shared" si="4"/>
        <v>58.791630740677562</v>
      </c>
      <c r="F74" s="3">
        <f t="shared" si="5"/>
        <v>-24.780575355216975</v>
      </c>
      <c r="G74" s="6">
        <f t="shared" si="6"/>
        <v>31.355810810810826</v>
      </c>
      <c r="H74" s="9">
        <f t="shared" si="7"/>
        <v>12.826087283035978</v>
      </c>
      <c r="I74" s="6">
        <f t="shared" si="8"/>
        <v>70.911352516475858</v>
      </c>
      <c r="J74" s="3">
        <f t="shared" si="9"/>
        <v>-25.216895080532858</v>
      </c>
      <c r="K74" s="6">
        <f t="shared" si="10"/>
        <v>35.143079149370138</v>
      </c>
      <c r="L74" s="6">
        <f t="shared" si="11"/>
        <v>6322.8096630792897</v>
      </c>
      <c r="M74" s="6">
        <f t="shared" si="12"/>
        <v>57.777028813328421</v>
      </c>
      <c r="N74" s="8">
        <f t="shared" si="13"/>
        <v>-24673.785524611798</v>
      </c>
      <c r="O74" s="8"/>
      <c r="Q74">
        <f t="shared" si="14"/>
        <v>0</v>
      </c>
      <c r="R74">
        <f t="shared" si="15"/>
        <v>92.539694999999995</v>
      </c>
      <c r="S74">
        <f t="shared" si="16"/>
        <v>-139.4356918882371</v>
      </c>
      <c r="T74">
        <f t="shared" si="17"/>
        <v>-13.192202702702716</v>
      </c>
      <c r="U74">
        <f t="shared" si="18"/>
        <v>2.3111707776113999</v>
      </c>
      <c r="V74">
        <f t="shared" si="19"/>
        <v>0</v>
      </c>
      <c r="W74">
        <f t="shared" si="20"/>
        <v>0</v>
      </c>
      <c r="X74">
        <f t="shared" si="21"/>
        <v>0</v>
      </c>
      <c r="Z74">
        <f t="shared" si="22"/>
        <v>-6657.6530000000002</v>
      </c>
      <c r="AA74">
        <f t="shared" si="23"/>
        <v>49646.29583108113</v>
      </c>
      <c r="AB74">
        <f t="shared" si="24"/>
        <v>-64537.013080581331</v>
      </c>
      <c r="AC74">
        <f t="shared" si="25"/>
        <v>-3538.7192384952596</v>
      </c>
      <c r="AD74">
        <f t="shared" si="26"/>
        <v>413.30396338366069</v>
      </c>
      <c r="AE74">
        <f t="shared" si="27"/>
        <v>0</v>
      </c>
      <c r="AF74">
        <f t="shared" si="28"/>
        <v>0</v>
      </c>
      <c r="AG74">
        <f t="shared" si="29"/>
        <v>0</v>
      </c>
      <c r="AP74" s="8">
        <f t="shared" si="35"/>
        <v>6.0657472273758959</v>
      </c>
      <c r="AQ74" s="8">
        <f t="shared" si="36"/>
        <v>12.119721775798297</v>
      </c>
      <c r="AR74" s="8">
        <f t="shared" si="37"/>
        <v>-0.43631972531588303</v>
      </c>
      <c r="AS74" s="8">
        <f t="shared" si="30"/>
        <v>3.7872683385593113</v>
      </c>
      <c r="AT74" s="8">
        <f t="shared" si="31"/>
        <v>-6309.9835757962537</v>
      </c>
      <c r="AU74" s="3">
        <f t="shared" si="32"/>
        <v>13.134323703147437</v>
      </c>
      <c r="AV74" s="8">
        <f t="shared" si="33"/>
        <v>24648.568629531266</v>
      </c>
      <c r="AX74" s="5"/>
    </row>
    <row r="75" spans="1:50" hidden="1" x14ac:dyDescent="0.35">
      <c r="A75" s="1" t="s">
        <v>0</v>
      </c>
      <c r="B75" s="4">
        <f t="shared" si="34"/>
        <v>545.94594594594651</v>
      </c>
      <c r="C75" s="7">
        <f t="shared" si="2"/>
        <v>5.4594594594594648E-2</v>
      </c>
      <c r="D75" s="9">
        <f t="shared" si="3"/>
        <v>7.0580720680779025</v>
      </c>
      <c r="E75" s="6">
        <f t="shared" si="4"/>
        <v>59.341755278341125</v>
      </c>
      <c r="F75" s="3">
        <f t="shared" si="5"/>
        <v>-25.339318651448906</v>
      </c>
      <c r="G75" s="6">
        <f t="shared" si="6"/>
        <v>31.593243243243258</v>
      </c>
      <c r="H75" s="9">
        <f t="shared" si="7"/>
        <v>13.157868861237572</v>
      </c>
      <c r="I75" s="6">
        <f t="shared" si="8"/>
        <v>71.524401245867594</v>
      </c>
      <c r="J75" s="3">
        <f t="shared" si="9"/>
        <v>-25.89058803515503</v>
      </c>
      <c r="K75" s="6">
        <f t="shared" si="10"/>
        <v>35.005993475100865</v>
      </c>
      <c r="L75" s="6">
        <f t="shared" si="11"/>
        <v>6585.2546462488026</v>
      </c>
      <c r="M75" s="6">
        <f t="shared" si="12"/>
        <v>58.261956495575681</v>
      </c>
      <c r="N75" s="8">
        <f t="shared" si="13"/>
        <v>-25222.624305389847</v>
      </c>
      <c r="O75" s="8"/>
      <c r="Q75">
        <f t="shared" si="14"/>
        <v>0</v>
      </c>
      <c r="R75">
        <f t="shared" si="15"/>
        <v>92.539694999999995</v>
      </c>
      <c r="S75">
        <f t="shared" si="16"/>
        <v>-139.77023224006069</v>
      </c>
      <c r="T75">
        <f t="shared" si="17"/>
        <v>-13.424810810810826</v>
      </c>
      <c r="U75">
        <f t="shared" si="18"/>
        <v>2.3933915552958411</v>
      </c>
      <c r="V75">
        <f t="shared" si="19"/>
        <v>0</v>
      </c>
      <c r="W75">
        <f t="shared" si="20"/>
        <v>0</v>
      </c>
      <c r="X75">
        <f t="shared" si="21"/>
        <v>0</v>
      </c>
      <c r="Z75">
        <f t="shared" si="22"/>
        <v>-6657.6530000000002</v>
      </c>
      <c r="AA75">
        <f t="shared" si="23"/>
        <v>50521.671324324372</v>
      </c>
      <c r="AB75">
        <f t="shared" si="24"/>
        <v>-65857.586249979155</v>
      </c>
      <c r="AC75">
        <f t="shared" si="25"/>
        <v>-3664.6105186267428</v>
      </c>
      <c r="AD75">
        <f t="shared" si="26"/>
        <v>435.55413889167608</v>
      </c>
      <c r="AE75">
        <f t="shared" si="27"/>
        <v>0</v>
      </c>
      <c r="AF75">
        <f t="shared" si="28"/>
        <v>0</v>
      </c>
      <c r="AG75">
        <f t="shared" si="29"/>
        <v>0</v>
      </c>
      <c r="AP75" s="8">
        <f t="shared" si="35"/>
        <v>6.0997967931596699</v>
      </c>
      <c r="AQ75" s="8">
        <f t="shared" si="36"/>
        <v>12.182645967526469</v>
      </c>
      <c r="AR75" s="8">
        <f t="shared" si="37"/>
        <v>-0.55126938370612422</v>
      </c>
      <c r="AS75" s="8">
        <f t="shared" si="30"/>
        <v>3.4127502318576077</v>
      </c>
      <c r="AT75" s="8">
        <f t="shared" si="31"/>
        <v>-6572.0967773875655</v>
      </c>
      <c r="AU75" s="3">
        <f t="shared" si="32"/>
        <v>13.262444750291912</v>
      </c>
      <c r="AV75" s="8">
        <f t="shared" si="33"/>
        <v>25196.733717354691</v>
      </c>
      <c r="AX75" s="5"/>
    </row>
    <row r="76" spans="1:50" hidden="1" x14ac:dyDescent="0.35">
      <c r="A76" s="1" t="s">
        <v>0</v>
      </c>
      <c r="B76" s="4">
        <f t="shared" si="34"/>
        <v>555.40540540540599</v>
      </c>
      <c r="C76" s="7">
        <f t="shared" si="2"/>
        <v>5.5540540540540598E-2</v>
      </c>
      <c r="D76" s="9">
        <f t="shared" si="3"/>
        <v>7.3580500629646854</v>
      </c>
      <c r="E76" s="6">
        <f t="shared" si="4"/>
        <v>59.886508151386224</v>
      </c>
      <c r="F76" s="3">
        <f t="shared" si="5"/>
        <v>-25.903240275170127</v>
      </c>
      <c r="G76" s="6">
        <f t="shared" si="6"/>
        <v>31.830675675675689</v>
      </c>
      <c r="H76" s="9">
        <f t="shared" si="7"/>
        <v>13.488381139680959</v>
      </c>
      <c r="I76" s="6">
        <f t="shared" si="8"/>
        <v>72.1246133099432</v>
      </c>
      <c r="J76" s="3">
        <f t="shared" si="9"/>
        <v>-26.570018955436169</v>
      </c>
      <c r="K76" s="6">
        <f t="shared" si="10"/>
        <v>34.874712914778037</v>
      </c>
      <c r="L76" s="6">
        <f t="shared" si="11"/>
        <v>6848.3308542808081</v>
      </c>
      <c r="M76" s="6">
        <f t="shared" si="12"/>
        <v>58.739700120005494</v>
      </c>
      <c r="N76" s="8">
        <f t="shared" si="13"/>
        <v>-25776.016104262817</v>
      </c>
      <c r="O76" s="8"/>
      <c r="Q76">
        <f t="shared" si="14"/>
        <v>0</v>
      </c>
      <c r="R76">
        <f t="shared" si="15"/>
        <v>92.539694999999995</v>
      </c>
      <c r="S76">
        <f t="shared" si="16"/>
        <v>-140.09902560134222</v>
      </c>
      <c r="T76">
        <f t="shared" si="17"/>
        <v>-13.657418918918934</v>
      </c>
      <c r="U76">
        <f t="shared" si="18"/>
        <v>2.477049400255666</v>
      </c>
      <c r="V76">
        <f t="shared" si="19"/>
        <v>0</v>
      </c>
      <c r="W76">
        <f t="shared" si="20"/>
        <v>0</v>
      </c>
      <c r="X76">
        <f t="shared" si="21"/>
        <v>0</v>
      </c>
      <c r="Z76">
        <f t="shared" si="22"/>
        <v>-6657.6530000000002</v>
      </c>
      <c r="AA76">
        <f t="shared" si="23"/>
        <v>51397.046817567621</v>
      </c>
      <c r="AB76">
        <f t="shared" si="24"/>
        <v>-67181.29665155636</v>
      </c>
      <c r="AC76">
        <f t="shared" si="25"/>
        <v>-3792.7021457268156</v>
      </c>
      <c r="AD76">
        <f t="shared" si="26"/>
        <v>458.58887545273865</v>
      </c>
      <c r="AE76">
        <f t="shared" si="27"/>
        <v>0</v>
      </c>
      <c r="AF76">
        <f t="shared" si="28"/>
        <v>0</v>
      </c>
      <c r="AG76">
        <f t="shared" si="29"/>
        <v>0</v>
      </c>
      <c r="AP76" s="8">
        <f t="shared" si="35"/>
        <v>6.1303310767162733</v>
      </c>
      <c r="AQ76" s="8">
        <f t="shared" si="36"/>
        <v>12.238105158556976</v>
      </c>
      <c r="AR76" s="8">
        <f t="shared" si="37"/>
        <v>-0.66677868026604159</v>
      </c>
      <c r="AS76" s="8">
        <f t="shared" si="30"/>
        <v>3.044037239102348</v>
      </c>
      <c r="AT76" s="8">
        <f t="shared" si="31"/>
        <v>-6834.8424731411269</v>
      </c>
      <c r="AU76" s="3">
        <f t="shared" si="32"/>
        <v>13.384913189937706</v>
      </c>
      <c r="AV76" s="8">
        <f t="shared" si="33"/>
        <v>25749.44608530738</v>
      </c>
      <c r="AX76" s="5"/>
    </row>
    <row r="77" spans="1:50" hidden="1" x14ac:dyDescent="0.35">
      <c r="A77" s="1" t="s">
        <v>0</v>
      </c>
      <c r="B77" s="4">
        <f t="shared" si="34"/>
        <v>564.86486486486547</v>
      </c>
      <c r="C77" s="7">
        <f t="shared" si="2"/>
        <v>5.6486486486486548E-2</v>
      </c>
      <c r="D77" s="9">
        <f t="shared" si="3"/>
        <v>7.6602740403204201</v>
      </c>
      <c r="E77" s="6">
        <f t="shared" si="4"/>
        <v>60.42607080434891</v>
      </c>
      <c r="F77" s="3">
        <f t="shared" si="5"/>
        <v>-26.47229027889292</v>
      </c>
      <c r="G77" s="6">
        <f t="shared" si="6"/>
        <v>32.06810810810812</v>
      </c>
      <c r="H77" s="9">
        <f t="shared" si="7"/>
        <v>13.817679031606177</v>
      </c>
      <c r="I77" s="6">
        <f t="shared" si="8"/>
        <v>72.712520349467525</v>
      </c>
      <c r="J77" s="3">
        <f t="shared" si="9"/>
        <v>-27.255068949579574</v>
      </c>
      <c r="K77" s="6">
        <f t="shared" si="10"/>
        <v>34.749237468401653</v>
      </c>
      <c r="L77" s="6">
        <f t="shared" si="11"/>
        <v>7112.0110994160423</v>
      </c>
      <c r="M77" s="6">
        <f t="shared" si="12"/>
        <v>59.210453808944294</v>
      </c>
      <c r="N77" s="8">
        <f t="shared" si="13"/>
        <v>-26333.893889960636</v>
      </c>
      <c r="O77" s="8"/>
      <c r="Q77">
        <f t="shared" si="14"/>
        <v>0</v>
      </c>
      <c r="R77">
        <f t="shared" si="15"/>
        <v>92.539694999999995</v>
      </c>
      <c r="S77">
        <f t="shared" si="16"/>
        <v>-140.42226609440812</v>
      </c>
      <c r="T77">
        <f t="shared" si="17"/>
        <v>-13.890027027027042</v>
      </c>
      <c r="U77">
        <f t="shared" si="18"/>
        <v>2.5621443124908745</v>
      </c>
      <c r="V77">
        <f t="shared" si="19"/>
        <v>0</v>
      </c>
      <c r="W77">
        <f t="shared" si="20"/>
        <v>0</v>
      </c>
      <c r="X77">
        <f t="shared" si="21"/>
        <v>0</v>
      </c>
      <c r="Z77">
        <f t="shared" si="22"/>
        <v>-6657.6530000000002</v>
      </c>
      <c r="AA77">
        <f t="shared" si="23"/>
        <v>52272.422310810864</v>
      </c>
      <c r="AB77">
        <f t="shared" si="24"/>
        <v>-68508.090847922504</v>
      </c>
      <c r="AC77">
        <f t="shared" si="25"/>
        <v>-3922.9941197954799</v>
      </c>
      <c r="AD77">
        <f t="shared" si="26"/>
        <v>482.42176694648055</v>
      </c>
      <c r="AE77">
        <f t="shared" si="27"/>
        <v>0</v>
      </c>
      <c r="AF77">
        <f t="shared" si="28"/>
        <v>0</v>
      </c>
      <c r="AG77">
        <f t="shared" si="29"/>
        <v>0</v>
      </c>
      <c r="AP77" s="8">
        <f t="shared" si="35"/>
        <v>6.1574049912857571</v>
      </c>
      <c r="AQ77" s="8">
        <f t="shared" si="36"/>
        <v>12.286449545118614</v>
      </c>
      <c r="AR77" s="8">
        <f t="shared" si="37"/>
        <v>-0.7827786706866533</v>
      </c>
      <c r="AS77" s="8">
        <f t="shared" si="30"/>
        <v>2.6811293602935322</v>
      </c>
      <c r="AT77" s="8">
        <f t="shared" si="31"/>
        <v>-7098.1934203844357</v>
      </c>
      <c r="AU77" s="3">
        <f t="shared" si="32"/>
        <v>13.502066540523231</v>
      </c>
      <c r="AV77" s="8">
        <f t="shared" si="33"/>
        <v>26306.638821011056</v>
      </c>
      <c r="AX77" s="5"/>
    </row>
    <row r="78" spans="1:50" hidden="1" x14ac:dyDescent="0.35">
      <c r="A78" s="1" t="s">
        <v>0</v>
      </c>
      <c r="B78" s="4">
        <f t="shared" si="34"/>
        <v>574.32432432432495</v>
      </c>
      <c r="C78" s="7">
        <f t="shared" si="2"/>
        <v>5.7432432432432498E-2</v>
      </c>
      <c r="D78" s="9">
        <f t="shared" si="3"/>
        <v>7.964744000145112</v>
      </c>
      <c r="E78" s="6">
        <f t="shared" si="4"/>
        <v>60.96061564097127</v>
      </c>
      <c r="F78" s="3">
        <f t="shared" si="5"/>
        <v>-27.046420388250596</v>
      </c>
      <c r="G78" s="6">
        <f t="shared" si="6"/>
        <v>32.305540540540562</v>
      </c>
      <c r="H78" s="9">
        <f t="shared" si="7"/>
        <v>14.14581745025326</v>
      </c>
      <c r="I78" s="6">
        <f t="shared" si="8"/>
        <v>73.288627515266825</v>
      </c>
      <c r="J78" s="3">
        <f t="shared" si="9"/>
        <v>-27.945624028109492</v>
      </c>
      <c r="K78" s="6">
        <f t="shared" si="10"/>
        <v>34.629567135971733</v>
      </c>
      <c r="L78" s="6">
        <f t="shared" si="11"/>
        <v>7376.2681938952519</v>
      </c>
      <c r="M78" s="6">
        <f t="shared" si="12"/>
        <v>59.674402012231326</v>
      </c>
      <c r="N78" s="8">
        <f t="shared" si="13"/>
        <v>-26896.19242123764</v>
      </c>
      <c r="O78" s="8"/>
      <c r="Q78">
        <f t="shared" si="14"/>
        <v>0</v>
      </c>
      <c r="R78">
        <f t="shared" si="15"/>
        <v>92.539694999999995</v>
      </c>
      <c r="S78">
        <f t="shared" si="16"/>
        <v>-140.74013816909763</v>
      </c>
      <c r="T78">
        <f t="shared" si="17"/>
        <v>-14.122635135135152</v>
      </c>
      <c r="U78">
        <f t="shared" si="18"/>
        <v>2.6486762920014666</v>
      </c>
      <c r="V78">
        <f t="shared" si="19"/>
        <v>0</v>
      </c>
      <c r="W78">
        <f t="shared" si="20"/>
        <v>0</v>
      </c>
      <c r="X78">
        <f t="shared" si="21"/>
        <v>0</v>
      </c>
      <c r="Z78">
        <f t="shared" si="22"/>
        <v>-6657.6530000000002</v>
      </c>
      <c r="AA78">
        <f t="shared" si="23"/>
        <v>53147.797804054106</v>
      </c>
      <c r="AB78">
        <f t="shared" si="24"/>
        <v>-69837.917191711545</v>
      </c>
      <c r="AC78">
        <f t="shared" si="25"/>
        <v>-4055.4864408327335</v>
      </c>
      <c r="AD78">
        <f t="shared" si="26"/>
        <v>507.06640725253351</v>
      </c>
      <c r="AE78">
        <f t="shared" si="27"/>
        <v>0</v>
      </c>
      <c r="AF78">
        <f t="shared" si="28"/>
        <v>0</v>
      </c>
      <c r="AG78">
        <f t="shared" si="29"/>
        <v>0</v>
      </c>
      <c r="AP78" s="8">
        <f t="shared" si="35"/>
        <v>6.1810734501081477</v>
      </c>
      <c r="AQ78" s="8">
        <f t="shared" si="36"/>
        <v>12.328011874295555</v>
      </c>
      <c r="AR78" s="8">
        <f t="shared" si="37"/>
        <v>-0.89920363985889651</v>
      </c>
      <c r="AS78" s="8">
        <f t="shared" si="30"/>
        <v>2.324026595431171</v>
      </c>
      <c r="AT78" s="8">
        <f t="shared" si="31"/>
        <v>-7362.1223764449987</v>
      </c>
      <c r="AU78" s="3">
        <f t="shared" si="32"/>
        <v>13.614225503035499</v>
      </c>
      <c r="AV78" s="8">
        <f t="shared" si="33"/>
        <v>26868.246797209529</v>
      </c>
      <c r="AX78" s="5"/>
    </row>
    <row r="79" spans="1:50" hidden="1" x14ac:dyDescent="0.35">
      <c r="A79" s="1" t="s">
        <v>0</v>
      </c>
      <c r="B79" s="4">
        <f t="shared" si="34"/>
        <v>583.78378378378443</v>
      </c>
      <c r="C79" s="7">
        <f t="shared" si="2"/>
        <v>5.8378378378378441E-2</v>
      </c>
      <c r="D79" s="9">
        <f t="shared" si="3"/>
        <v>8.2714599424387547</v>
      </c>
      <c r="E79" s="6">
        <f t="shared" si="4"/>
        <v>61.49030661503302</v>
      </c>
      <c r="F79" s="3">
        <f t="shared" si="5"/>
        <v>-27.625583919310294</v>
      </c>
      <c r="G79" s="6">
        <f t="shared" si="6"/>
        <v>32.54297297297299</v>
      </c>
      <c r="H79" s="9">
        <f t="shared" si="7"/>
        <v>14.47285130886223</v>
      </c>
      <c r="I79" s="6">
        <f t="shared" si="8"/>
        <v>73.853415199392188</v>
      </c>
      <c r="J79" s="3">
        <f t="shared" si="9"/>
        <v>-28.641574861593789</v>
      </c>
      <c r="K79" s="6">
        <f t="shared" si="10"/>
        <v>34.515701917488258</v>
      </c>
      <c r="L79" s="6">
        <f t="shared" si="11"/>
        <v>7641.074949959162</v>
      </c>
      <c r="M79" s="6">
        <f t="shared" si="12"/>
        <v>60.13172013933238</v>
      </c>
      <c r="N79" s="8">
        <f t="shared" si="13"/>
        <v>-27462.848158407891</v>
      </c>
      <c r="O79" s="8"/>
      <c r="Q79">
        <f t="shared" si="14"/>
        <v>0</v>
      </c>
      <c r="R79">
        <f t="shared" si="15"/>
        <v>92.539694999999995</v>
      </c>
      <c r="S79">
        <f t="shared" si="16"/>
        <v>-141.05281723487656</v>
      </c>
      <c r="T79">
        <f t="shared" si="17"/>
        <v>-14.35524324324326</v>
      </c>
      <c r="U79">
        <f t="shared" si="18"/>
        <v>2.7366453387874419</v>
      </c>
      <c r="V79">
        <f t="shared" si="19"/>
        <v>0</v>
      </c>
      <c r="W79">
        <f t="shared" si="20"/>
        <v>0</v>
      </c>
      <c r="X79">
        <f t="shared" si="21"/>
        <v>0</v>
      </c>
      <c r="Z79">
        <f t="shared" si="22"/>
        <v>-6657.6530000000002</v>
      </c>
      <c r="AA79">
        <f t="shared" si="23"/>
        <v>54023.173297297355</v>
      </c>
      <c r="AB79">
        <f t="shared" si="24"/>
        <v>-71170.725737117202</v>
      </c>
      <c r="AC79">
        <f t="shared" si="25"/>
        <v>-4190.1791088385771</v>
      </c>
      <c r="AD79">
        <f t="shared" si="26"/>
        <v>532.53639025052985</v>
      </c>
      <c r="AE79">
        <f t="shared" si="27"/>
        <v>0</v>
      </c>
      <c r="AF79">
        <f t="shared" si="28"/>
        <v>0</v>
      </c>
      <c r="AG79">
        <f t="shared" si="29"/>
        <v>0</v>
      </c>
      <c r="AP79" s="8">
        <f t="shared" si="35"/>
        <v>6.2013913664234757</v>
      </c>
      <c r="AQ79" s="8">
        <f t="shared" si="36"/>
        <v>12.363108584359168</v>
      </c>
      <c r="AR79" s="8">
        <f t="shared" si="37"/>
        <v>-1.0159909422834943</v>
      </c>
      <c r="AS79" s="8">
        <f t="shared" si="30"/>
        <v>1.9727289445152678</v>
      </c>
      <c r="AT79" s="8">
        <f t="shared" si="31"/>
        <v>-7626.6020986502999</v>
      </c>
      <c r="AU79" s="3">
        <f t="shared" si="32"/>
        <v>13.721695060059808</v>
      </c>
      <c r="AV79" s="8">
        <f t="shared" si="33"/>
        <v>27434.206583546296</v>
      </c>
      <c r="AX79" s="5"/>
    </row>
    <row r="80" spans="1:50" hidden="1" x14ac:dyDescent="0.35">
      <c r="A80" s="1" t="s">
        <v>0</v>
      </c>
      <c r="B80" s="4">
        <f t="shared" si="34"/>
        <v>593.24324324324391</v>
      </c>
      <c r="C80" s="7">
        <f t="shared" si="2"/>
        <v>5.9324324324324391E-2</v>
      </c>
      <c r="D80" s="9">
        <f t="shared" si="3"/>
        <v>8.580421867201359</v>
      </c>
      <c r="E80" s="6">
        <f t="shared" si="4"/>
        <v>62.01529977369313</v>
      </c>
      <c r="F80" s="3">
        <f t="shared" si="5"/>
        <v>-28.209735701246366</v>
      </c>
      <c r="G80" s="6">
        <f t="shared" si="6"/>
        <v>32.780405405405425</v>
      </c>
      <c r="H80" s="9">
        <f t="shared" si="7"/>
        <v>14.798835520673142</v>
      </c>
      <c r="I80" s="6">
        <f t="shared" si="8"/>
        <v>74.407340627135511</v>
      </c>
      <c r="J80" s="3">
        <f t="shared" si="9"/>
        <v>-29.342816554073508</v>
      </c>
      <c r="K80" s="6">
        <f t="shared" si="10"/>
        <v>34.407641812951226</v>
      </c>
      <c r="L80" s="6">
        <f t="shared" si="11"/>
        <v>7906.4041798484868</v>
      </c>
      <c r="M80" s="6">
        <f t="shared" si="12"/>
        <v>60.582575140645638</v>
      </c>
      <c r="N80" s="8">
        <f t="shared" si="13"/>
        <v>-28033.799180615653</v>
      </c>
      <c r="O80" s="8"/>
      <c r="Q80">
        <f t="shared" si="14"/>
        <v>0</v>
      </c>
      <c r="R80">
        <f t="shared" si="15"/>
        <v>92.539694999999995</v>
      </c>
      <c r="S80">
        <f t="shared" si="16"/>
        <v>-141.36047024214307</v>
      </c>
      <c r="T80">
        <f t="shared" si="17"/>
        <v>-14.587851351351368</v>
      </c>
      <c r="U80">
        <f t="shared" si="18"/>
        <v>2.8260514528488003</v>
      </c>
      <c r="V80">
        <f t="shared" si="19"/>
        <v>0</v>
      </c>
      <c r="W80">
        <f t="shared" si="20"/>
        <v>0</v>
      </c>
      <c r="X80">
        <f t="shared" si="21"/>
        <v>0</v>
      </c>
      <c r="Z80">
        <f t="shared" si="22"/>
        <v>-6657.6530000000002</v>
      </c>
      <c r="AA80">
        <f t="shared" si="23"/>
        <v>54898.548790540597</v>
      </c>
      <c r="AB80">
        <f t="shared" si="24"/>
        <v>-72506.468157163341</v>
      </c>
      <c r="AC80">
        <f t="shared" si="25"/>
        <v>-4327.0721238130118</v>
      </c>
      <c r="AD80">
        <f t="shared" si="26"/>
        <v>558.84530982010131</v>
      </c>
      <c r="AE80">
        <f t="shared" si="27"/>
        <v>0</v>
      </c>
      <c r="AF80">
        <f t="shared" si="28"/>
        <v>0</v>
      </c>
      <c r="AG80">
        <f t="shared" si="29"/>
        <v>0</v>
      </c>
      <c r="AP80" s="8">
        <f t="shared" si="35"/>
        <v>6.2184136534717833</v>
      </c>
      <c r="AQ80" s="8">
        <f t="shared" si="36"/>
        <v>12.392040853442381</v>
      </c>
      <c r="AR80" s="8">
        <f t="shared" si="37"/>
        <v>-1.1330808528271419</v>
      </c>
      <c r="AS80" s="8">
        <f t="shared" si="30"/>
        <v>1.6272364075458015</v>
      </c>
      <c r="AT80" s="8">
        <f t="shared" si="31"/>
        <v>-7891.6053443278133</v>
      </c>
      <c r="AU80" s="3">
        <f t="shared" si="32"/>
        <v>13.824765486489873</v>
      </c>
      <c r="AV80" s="8">
        <f t="shared" si="33"/>
        <v>28004.456364061582</v>
      </c>
      <c r="AX80" s="5"/>
    </row>
    <row r="81" spans="1:50" hidden="1" x14ac:dyDescent="0.35">
      <c r="A81" s="1" t="s">
        <v>0</v>
      </c>
      <c r="B81" s="4">
        <f t="shared" si="34"/>
        <v>602.70270270270339</v>
      </c>
      <c r="C81" s="7">
        <f t="shared" ref="C81:C112" si="38">B81/10000</f>
        <v>6.0270270270270342E-2</v>
      </c>
      <c r="D81" s="9">
        <f t="shared" ref="D81:D112" si="39">10*$B$3*(C81*$G$3-$H$3*2/C81+$J$3*C81^2+$K$3*2*C81^3+$L$3*3*C81^4-$I$3+$E$3)</f>
        <v>8.8916297744329142</v>
      </c>
      <c r="E81" s="6">
        <f t="shared" ref="E81:E112" si="40">$B$3*($F$3+$G$3+$G$3*LN(C81)-$H$3/C81^2+$J$3*2*C81+$K$3*3*C81^2+$L$3*4*C81^3)</f>
        <v>62.535743757849701</v>
      </c>
      <c r="F81" s="3">
        <f t="shared" ref="F81:F112" si="41">($E$3-C81*($F$3+$G$3*LN(C81)+$H$3*C81^(-2)+$I$3*C81^(-1)+$J$3*C81+$K$3*C81^2+$L$3*C81^3))*$B$3*10</f>
        <v>-28.798832003946817</v>
      </c>
      <c r="G81" s="6">
        <f t="shared" ref="G81:G112" si="42">$B$3*($G$3+2*$H$3*C81^(-2)+2*$J$3*C81+ 6*$K$3*C81^2+ 12*$L$3*C81^3)</f>
        <v>33.017837837837853</v>
      </c>
      <c r="H81" s="9">
        <f t="shared" ref="H81:H112" si="43">10*$B$3*(C81*$G$7-$H$7*2/C81+$J$7*C81^2+$K$7*2*C81^3+$L$7*3*C81^4-$I$7+$E$7)</f>
        <v>15.123824998926009</v>
      </c>
      <c r="I81" s="6">
        <f t="shared" ref="I81:I112" si="44">$B$3*($F$7+$G$7+$G$7*LN(C81)-$H$7/C81^2+$J$7*2*C81+$K$7*3*C81^2+$L$7*4*C81^3)</f>
        <v>74.950839323106393</v>
      </c>
      <c r="J81" s="3">
        <f t="shared" ref="J81:J112" si="45">($E$7-C81*($F$7+$G$7*LN(C81)+$H$7*C81^(-2)+$I$7*C81^(-1)+$J$7*C81+$K$7*C81^2+$L$7*C81^3))*$B$3*10</f>
        <v>-30.049248430946271</v>
      </c>
      <c r="K81" s="6">
        <f t="shared" ref="K81:K112" si="46">$B$3*($G$7+2*$H$7*C81^(-2)+2*$J$7*C81+ 6*$K$7*C81^2+ 12*$L$7*C81^3)</f>
        <v>34.305386822360653</v>
      </c>
      <c r="L81" s="6">
        <f t="shared" ref="L81:L112" si="47">N81+M81*B81</f>
        <v>8172.2286958040204</v>
      </c>
      <c r="M81" s="6">
        <f t="shared" ref="M81:M112" si="48">-SUM(Q81:X81)</f>
        <v>61.027126042822246</v>
      </c>
      <c r="N81" s="8">
        <f t="shared" ref="N81:N112" si="49">SUM(Z81:AG81)</f>
        <v>-28608.98510838348</v>
      </c>
      <c r="O81" s="8"/>
      <c r="Q81">
        <f t="shared" ref="Q81:Q112" si="50">IF( OR( E$10="д",E$10="l"),E$11/$B81,  IF( OR( E$10="g",E$10="п"),E$11*(LN($B81)+1),  $B81^(E$10-1)*E$10*E$11))</f>
        <v>0</v>
      </c>
      <c r="R81">
        <f t="shared" ref="R81:R112" si="51">IF( OR( F$10="д",F$10="l"),F$11/$B81,  IF( OR( F$10="g",F$10="п"),F$11*(LN($B81)+1),  $B81^(F$10-1)*F$10*F$11))</f>
        <v>92.539694999999995</v>
      </c>
      <c r="S81">
        <f t="shared" ref="S81:S112" si="52">IF( OR( G$10="д",G$10="l"),G$11/$B81,  IF( OR( G$10="g",G$10="п"),G$11*(LN($B81)+1),  $B81^(G$10-1)*G$10*G$11))</f>
        <v>-141.66325621754831</v>
      </c>
      <c r="T81">
        <f t="shared" ref="T81:T112" si="53">IF( OR( H$10="д",H$10="l"),H$11/$B81,  IF( OR( H$10="g",H$10="п"),H$11*(LN($B81)+1),  $B81^(H$10-1)*H$10*H$11))</f>
        <v>-14.820459459459476</v>
      </c>
      <c r="U81">
        <f t="shared" ref="U81:U112" si="54">IF( OR( I$10="д",I$10="l"),I$11/$B81,  IF( OR( I$10="g",I$10="п"),I$11*(LN($B81)+1),  $B81^(I$10-1)*I$10*I$11))</f>
        <v>2.9168946341855428</v>
      </c>
      <c r="V81">
        <f t="shared" ref="V81:V112" si="55">IF( OR( J$10="д",J$10="l"),J$11/$B81,  IF( OR( J$10="g",J$10="п"),J$11*(LN($B81)+1),  $B81^(J$10-1)*J$10*J$11))</f>
        <v>0</v>
      </c>
      <c r="W81">
        <f t="shared" ref="W81:W112" si="56">IF( OR( K$10="д",K$10="l"),K$11/$B81,  IF( OR( K$10="g",K$10="п"),K$11*(LN($B81)+1),  $B81^(K$10-1)*K$10*K$11))</f>
        <v>0</v>
      </c>
      <c r="X81">
        <f t="shared" ref="X81:X112" si="57">IF( OR( L$10="д",L$10="l"),L$11/$B81,  IF( OR( L$10="g",L$10="п"),L$11*(LN($B81)+1),  $B81^(L$10-1)*L$10*L$11))</f>
        <v>0</v>
      </c>
      <c r="Z81">
        <f t="shared" ref="Z81:Z112" si="58">IF( OR( E$10="д",E$10="l"),E$11*LN($B81),  IF( OR( E$10="g",E$10="п"),E$11*$B81*LN($B81),  ($B81^E$10)*E$11))</f>
        <v>-6657.6530000000002</v>
      </c>
      <c r="AA81">
        <f t="shared" ref="AA81:AA112" si="59">IF( OR( F$10="д",F$10="l"),F$11*LN($B81),  IF( OR( F$10="g",F$10="п"),F$11*$B81*LN($B81),  ($B81^F$10)*F$11))</f>
        <v>55773.924283783846</v>
      </c>
      <c r="AB81">
        <f t="shared" ref="AB81:AB112" si="60">IF( OR( G$10="д",G$10="l"),G$11*LN($B81),  IF( OR( G$10="g",G$10="п"),G$11*$B81*LN($B81),  ($B81^G$10)*G$11))</f>
        <v>-73845.097666252172</v>
      </c>
      <c r="AC81">
        <f t="shared" ref="AC81:AC112" si="61">IF( OR( H$10="д",H$10="l"),H$11*LN($B81),  IF( OR( H$10="g",H$10="п"),H$11*$B81*LN($B81),  ($B81^H$10)*H$11))</f>
        <v>-4466.1654857560361</v>
      </c>
      <c r="AD81">
        <f t="shared" ref="AD81:AD112" si="62">IF( OR( I$10="д",I$10="l"),I$11*LN($B81),  IF( OR( I$10="g",I$10="п"),I$11*$B81*LN($B81),  ($B81^I$10)*I$11))</f>
        <v>586.00675984088014</v>
      </c>
      <c r="AE81">
        <f t="shared" ref="AE81:AE112" si="63">IF( OR( J$10="д",J$10="l"),J$11*LN($B81),  IF( OR( J$10="g",J$10="п"),J$11*$B81*LN($B81),  ($B81^J$10)*J$11))</f>
        <v>0</v>
      </c>
      <c r="AF81">
        <f t="shared" ref="AF81:AF112" si="64">IF( OR( K$10="д",K$10="l"),K$11*LN($B81),  IF( OR( K$10="g",K$10="п"),K$11*$B81*LN($B81),  ($B81^K$10)*K$11))</f>
        <v>0</v>
      </c>
      <c r="AG81">
        <f t="shared" ref="AG81:AG112" si="65">IF( OR( L$10="д",L$10="l"),L$11*LN($B81),  IF( OR( L$10="g",L$10="п"),L$11*$B81*LN($B81),  ($B81^L$10)*L$11))</f>
        <v>0</v>
      </c>
      <c r="AP81" s="8">
        <f t="shared" si="35"/>
        <v>6.2321952244930952</v>
      </c>
      <c r="AQ81" s="8">
        <f t="shared" si="36"/>
        <v>12.415095565256692</v>
      </c>
      <c r="AR81" s="8">
        <f t="shared" si="37"/>
        <v>-1.250416426999454</v>
      </c>
      <c r="AS81" s="8">
        <f t="shared" ref="AS81:AS112" si="66">K81-G81</f>
        <v>1.2875489845228003</v>
      </c>
      <c r="AT81" s="8">
        <f t="shared" ref="AT81:AT112" si="67">H81-L81</f>
        <v>-8157.1048708050948</v>
      </c>
      <c r="AU81" s="3">
        <f t="shared" ref="AU81:AU112" si="68">I81-M81</f>
        <v>13.923713280284147</v>
      </c>
      <c r="AV81" s="8">
        <f t="shared" ref="AV81:AV112" si="69">J81-N81</f>
        <v>28578.935859952533</v>
      </c>
      <c r="AX81" s="5"/>
    </row>
    <row r="82" spans="1:50" hidden="1" x14ac:dyDescent="0.35">
      <c r="A82" s="1" t="s">
        <v>0</v>
      </c>
      <c r="B82" s="4">
        <f t="shared" ref="B82:B113" si="70">B81+($C$2-$C$1)/$C$48</f>
        <v>612.16216216216287</v>
      </c>
      <c r="C82" s="7">
        <f t="shared" si="38"/>
        <v>6.1216216216216285E-2</v>
      </c>
      <c r="D82" s="9">
        <f t="shared" si="39"/>
        <v>9.2050836641334239</v>
      </c>
      <c r="E82" s="6">
        <f t="shared" si="40"/>
        <v>63.05178026353466</v>
      </c>
      <c r="F82" s="3">
        <f t="shared" si="41"/>
        <v>-29.392830470165539</v>
      </c>
      <c r="G82" s="6">
        <f t="shared" si="42"/>
        <v>33.255270270270287</v>
      </c>
      <c r="H82" s="9">
        <f t="shared" si="43"/>
        <v>15.44787465686087</v>
      </c>
      <c r="I82" s="6">
        <f t="shared" si="44"/>
        <v>75.48432646314005</v>
      </c>
      <c r="J82" s="3">
        <f t="shared" si="45"/>
        <v>-30.760773840169499</v>
      </c>
      <c r="K82" s="6">
        <f t="shared" si="46"/>
        <v>34.208936945716516</v>
      </c>
      <c r="L82" s="6">
        <f t="shared" si="47"/>
        <v>8438.521310066455</v>
      </c>
      <c r="M82" s="6">
        <f t="shared" si="48"/>
        <v>61.465524442399484</v>
      </c>
      <c r="N82" s="8">
        <f t="shared" si="49"/>
        <v>-29188.347031024081</v>
      </c>
      <c r="O82" s="8"/>
      <c r="Q82">
        <f t="shared" si="50"/>
        <v>0</v>
      </c>
      <c r="R82">
        <f t="shared" si="51"/>
        <v>92.539694999999995</v>
      </c>
      <c r="S82">
        <f t="shared" si="52"/>
        <v>-141.96132675762956</v>
      </c>
      <c r="T82">
        <f t="shared" si="53"/>
        <v>-15.053067567567586</v>
      </c>
      <c r="U82">
        <f t="shared" si="54"/>
        <v>3.0091748827976694</v>
      </c>
      <c r="V82">
        <f t="shared" si="55"/>
        <v>0</v>
      </c>
      <c r="W82">
        <f t="shared" si="56"/>
        <v>0</v>
      </c>
      <c r="X82">
        <f t="shared" si="57"/>
        <v>0</v>
      </c>
      <c r="Z82">
        <f t="shared" si="58"/>
        <v>-6657.6530000000002</v>
      </c>
      <c r="AA82">
        <f t="shared" si="59"/>
        <v>56649.299777027089</v>
      </c>
      <c r="AB82">
        <f t="shared" si="60"/>
        <v>-75186.568947576015</v>
      </c>
      <c r="AC82">
        <f t="shared" si="61"/>
        <v>-4607.4591946676519</v>
      </c>
      <c r="AD82">
        <f t="shared" si="62"/>
        <v>614.03433419249814</v>
      </c>
      <c r="AE82">
        <f t="shared" si="63"/>
        <v>0</v>
      </c>
      <c r="AF82">
        <f t="shared" si="64"/>
        <v>0</v>
      </c>
      <c r="AG82">
        <f t="shared" si="65"/>
        <v>0</v>
      </c>
      <c r="AP82" s="8">
        <f t="shared" ref="AP82:AP113" si="71">(H82-D82)</f>
        <v>6.2427909927274463</v>
      </c>
      <c r="AQ82" s="8">
        <f t="shared" ref="AQ82:AQ113" si="72">I82-E82</f>
        <v>12.43254619960539</v>
      </c>
      <c r="AR82" s="8">
        <f t="shared" ref="AR82:AR113" si="73">(J82-F82)</f>
        <v>-1.3679433700039603</v>
      </c>
      <c r="AS82" s="8">
        <f t="shared" si="66"/>
        <v>0.95366667544622885</v>
      </c>
      <c r="AT82" s="8">
        <f t="shared" si="67"/>
        <v>-8423.0734354095948</v>
      </c>
      <c r="AU82" s="3">
        <f t="shared" si="68"/>
        <v>14.018802020740566</v>
      </c>
      <c r="AV82" s="8">
        <f t="shared" si="69"/>
        <v>29157.58625718391</v>
      </c>
      <c r="AX82" s="5"/>
    </row>
    <row r="83" spans="1:50" hidden="1" x14ac:dyDescent="0.35">
      <c r="A83" s="1" t="s">
        <v>0</v>
      </c>
      <c r="B83" s="4">
        <f t="shared" si="70"/>
        <v>621.62162162162235</v>
      </c>
      <c r="C83" s="7">
        <f t="shared" si="38"/>
        <v>6.2162162162162235E-2</v>
      </c>
      <c r="D83" s="9">
        <f t="shared" si="39"/>
        <v>9.5207835363028916</v>
      </c>
      <c r="E83" s="6">
        <f t="shared" si="40"/>
        <v>63.563544467929006</v>
      </c>
      <c r="F83" s="3">
        <f t="shared" si="41"/>
        <v>-29.991690051869245</v>
      </c>
      <c r="G83" s="6">
        <f t="shared" si="42"/>
        <v>33.492702702702722</v>
      </c>
      <c r="H83" s="9">
        <f t="shared" si="43"/>
        <v>15.77103940771778</v>
      </c>
      <c r="I83" s="6">
        <f t="shared" si="44"/>
        <v>76.008198122541074</v>
      </c>
      <c r="J83" s="3">
        <f t="shared" si="45"/>
        <v>-31.477299965753751</v>
      </c>
      <c r="K83" s="6">
        <f t="shared" si="46"/>
        <v>34.118292183018838</v>
      </c>
      <c r="L83" s="6">
        <f t="shared" si="47"/>
        <v>8705.2548348765304</v>
      </c>
      <c r="M83" s="6">
        <f t="shared" si="48"/>
        <v>61.897914961582124</v>
      </c>
      <c r="N83" s="8">
        <f t="shared" si="49"/>
        <v>-29771.827438539429</v>
      </c>
      <c r="O83" s="8"/>
      <c r="Q83">
        <f t="shared" si="50"/>
        <v>0</v>
      </c>
      <c r="R83">
        <f t="shared" si="51"/>
        <v>92.539694999999995</v>
      </c>
      <c r="S83">
        <f t="shared" si="52"/>
        <v>-142.2548264845916</v>
      </c>
      <c r="T83">
        <f t="shared" si="53"/>
        <v>-15.285675675675694</v>
      </c>
      <c r="U83">
        <f t="shared" si="54"/>
        <v>3.1028921986851787</v>
      </c>
      <c r="V83">
        <f t="shared" si="55"/>
        <v>0</v>
      </c>
      <c r="W83">
        <f t="shared" si="56"/>
        <v>0</v>
      </c>
      <c r="X83">
        <f t="shared" si="57"/>
        <v>0</v>
      </c>
      <c r="Z83">
        <f t="shared" si="58"/>
        <v>-6657.6530000000002</v>
      </c>
      <c r="AA83">
        <f t="shared" si="59"/>
        <v>57524.675270270338</v>
      </c>
      <c r="AB83">
        <f t="shared" si="60"/>
        <v>-76530.838085016498</v>
      </c>
      <c r="AC83">
        <f t="shared" si="61"/>
        <v>-4750.9532505478564</v>
      </c>
      <c r="AD83">
        <f t="shared" si="62"/>
        <v>642.94162675458733</v>
      </c>
      <c r="AE83">
        <f t="shared" si="63"/>
        <v>0</v>
      </c>
      <c r="AF83">
        <f t="shared" si="64"/>
        <v>0</v>
      </c>
      <c r="AG83">
        <f t="shared" si="65"/>
        <v>0</v>
      </c>
      <c r="AP83" s="8">
        <f t="shared" si="71"/>
        <v>6.2502558714148879</v>
      </c>
      <c r="AQ83" s="8">
        <f t="shared" si="72"/>
        <v>12.444653654612068</v>
      </c>
      <c r="AR83" s="8">
        <f t="shared" si="73"/>
        <v>-1.485609913884506</v>
      </c>
      <c r="AS83" s="8">
        <f t="shared" si="66"/>
        <v>0.6255894803161155</v>
      </c>
      <c r="AT83" s="8">
        <f t="shared" si="67"/>
        <v>-8689.4837954688119</v>
      </c>
      <c r="AU83" s="3">
        <f t="shared" si="68"/>
        <v>14.11028316095895</v>
      </c>
      <c r="AV83" s="8">
        <f t="shared" si="69"/>
        <v>29740.350138573674</v>
      </c>
      <c r="AX83" s="5"/>
    </row>
    <row r="84" spans="1:50" hidden="1" x14ac:dyDescent="0.35">
      <c r="A84" s="1" t="s">
        <v>0</v>
      </c>
      <c r="B84" s="4">
        <f t="shared" si="70"/>
        <v>631.08108108108183</v>
      </c>
      <c r="C84" s="7">
        <f t="shared" si="38"/>
        <v>6.3108108108108185E-2</v>
      </c>
      <c r="D84" s="9">
        <f t="shared" si="39"/>
        <v>9.8387293909413174</v>
      </c>
      <c r="E84" s="6">
        <f t="shared" si="40"/>
        <v>64.071165423204619</v>
      </c>
      <c r="F84" s="3">
        <f t="shared" si="41"/>
        <v>-30.595370950459486</v>
      </c>
      <c r="G84" s="6">
        <f t="shared" si="42"/>
        <v>33.730135135135157</v>
      </c>
      <c r="H84" s="9">
        <f t="shared" si="43"/>
        <v>16.093374164736737</v>
      </c>
      <c r="I84" s="6">
        <f t="shared" si="44"/>
        <v>76.522832430058102</v>
      </c>
      <c r="J84" s="3">
        <f t="shared" si="45"/>
        <v>-32.198737652610788</v>
      </c>
      <c r="K84" s="6">
        <f t="shared" si="46"/>
        <v>34.03345253426761</v>
      </c>
      <c r="L84" s="6">
        <f t="shared" si="47"/>
        <v>8972.4020824750005</v>
      </c>
      <c r="M84" s="6">
        <f t="shared" si="48"/>
        <v>62.324435669602707</v>
      </c>
      <c r="N84" s="8">
        <f t="shared" si="49"/>
        <v>-30359.370157666217</v>
      </c>
      <c r="O84" s="8"/>
      <c r="Q84">
        <f t="shared" si="50"/>
        <v>0</v>
      </c>
      <c r="R84">
        <f t="shared" si="51"/>
        <v>92.539694999999995</v>
      </c>
      <c r="S84">
        <f t="shared" si="52"/>
        <v>-142.54389346766698</v>
      </c>
      <c r="T84">
        <f t="shared" si="53"/>
        <v>-15.518283783783803</v>
      </c>
      <c r="U84">
        <f t="shared" si="54"/>
        <v>3.1980465818480717</v>
      </c>
      <c r="V84">
        <f t="shared" si="55"/>
        <v>0</v>
      </c>
      <c r="W84">
        <f t="shared" si="56"/>
        <v>0</v>
      </c>
      <c r="X84">
        <f t="shared" si="57"/>
        <v>0</v>
      </c>
      <c r="Z84">
        <f t="shared" si="58"/>
        <v>-6657.6530000000002</v>
      </c>
      <c r="AA84">
        <f t="shared" si="59"/>
        <v>58400.05076351358</v>
      </c>
      <c r="AB84">
        <f t="shared" si="60"/>
        <v>-77877.862499189927</v>
      </c>
      <c r="AC84">
        <f t="shared" si="61"/>
        <v>-4896.6476533966515</v>
      </c>
      <c r="AD84">
        <f t="shared" si="62"/>
        <v>672.74223140677987</v>
      </c>
      <c r="AE84">
        <f t="shared" si="63"/>
        <v>0</v>
      </c>
      <c r="AF84">
        <f t="shared" si="64"/>
        <v>0</v>
      </c>
      <c r="AG84">
        <f t="shared" si="65"/>
        <v>0</v>
      </c>
      <c r="AP84" s="8">
        <f t="shared" si="71"/>
        <v>6.2546447737954196</v>
      </c>
      <c r="AQ84" s="8">
        <f t="shared" si="72"/>
        <v>12.451667006853484</v>
      </c>
      <c r="AR84" s="8">
        <f t="shared" si="73"/>
        <v>-1.6033667021513018</v>
      </c>
      <c r="AS84" s="8">
        <f t="shared" si="66"/>
        <v>0.30331739913245315</v>
      </c>
      <c r="AT84" s="8">
        <f t="shared" si="67"/>
        <v>-8956.3087083102637</v>
      </c>
      <c r="AU84" s="3">
        <f t="shared" si="68"/>
        <v>14.198396760455395</v>
      </c>
      <c r="AV84" s="8">
        <f t="shared" si="69"/>
        <v>30327.171420013605</v>
      </c>
      <c r="AX84" s="5"/>
    </row>
    <row r="85" spans="1:50" hidden="1" x14ac:dyDescent="0.35">
      <c r="A85" s="1" t="s">
        <v>0</v>
      </c>
      <c r="B85" s="4">
        <f t="shared" si="70"/>
        <v>640.54054054054131</v>
      </c>
      <c r="C85" s="7">
        <f t="shared" si="38"/>
        <v>6.4054054054054135E-2</v>
      </c>
      <c r="D85" s="9">
        <f t="shared" si="39"/>
        <v>10.158921228048698</v>
      </c>
      <c r="E85" s="6">
        <f t="shared" si="40"/>
        <v>64.574766421065405</v>
      </c>
      <c r="F85" s="3">
        <f t="shared" si="41"/>
        <v>-31.20383456057974</v>
      </c>
      <c r="G85" s="6">
        <f t="shared" si="42"/>
        <v>33.967567567567585</v>
      </c>
      <c r="H85" s="9">
        <f t="shared" si="43"/>
        <v>16.414933841157801</v>
      </c>
      <c r="I85" s="6">
        <f t="shared" si="44"/>
        <v>77.028590636005887</v>
      </c>
      <c r="J85" s="3">
        <f t="shared" si="45"/>
        <v>-32.92500124190547</v>
      </c>
      <c r="K85" s="6">
        <f t="shared" si="46"/>
        <v>33.954417999462827</v>
      </c>
      <c r="L85" s="6">
        <f t="shared" si="47"/>
        <v>9239.9358651025832</v>
      </c>
      <c r="M85" s="6">
        <f t="shared" si="48"/>
        <v>62.745218472733619</v>
      </c>
      <c r="N85" s="8">
        <f t="shared" si="49"/>
        <v>-30950.920291756571</v>
      </c>
      <c r="O85" s="8"/>
      <c r="Q85">
        <f t="shared" si="50"/>
        <v>0</v>
      </c>
      <c r="R85">
        <f t="shared" si="51"/>
        <v>92.539694999999995</v>
      </c>
      <c r="S85">
        <f t="shared" si="52"/>
        <v>-142.82865961312805</v>
      </c>
      <c r="T85">
        <f t="shared" si="53"/>
        <v>-15.750891891891911</v>
      </c>
      <c r="U85">
        <f t="shared" si="54"/>
        <v>3.2946380322863487</v>
      </c>
      <c r="V85">
        <f t="shared" si="55"/>
        <v>0</v>
      </c>
      <c r="W85">
        <f t="shared" si="56"/>
        <v>0</v>
      </c>
      <c r="X85">
        <f t="shared" si="57"/>
        <v>0</v>
      </c>
      <c r="Z85">
        <f t="shared" si="58"/>
        <v>-6657.6530000000002</v>
      </c>
      <c r="AA85">
        <f t="shared" si="59"/>
        <v>59275.426256756822</v>
      </c>
      <c r="AB85">
        <f t="shared" si="60"/>
        <v>-79227.600887328066</v>
      </c>
      <c r="AC85">
        <f t="shared" si="61"/>
        <v>-5044.5424032140372</v>
      </c>
      <c r="AD85">
        <f t="shared" si="62"/>
        <v>703.44974202870765</v>
      </c>
      <c r="AE85">
        <f t="shared" si="63"/>
        <v>0</v>
      </c>
      <c r="AF85">
        <f t="shared" si="64"/>
        <v>0</v>
      </c>
      <c r="AG85">
        <f t="shared" si="65"/>
        <v>0</v>
      </c>
      <c r="AP85" s="8">
        <f t="shared" si="71"/>
        <v>6.2560126131091032</v>
      </c>
      <c r="AQ85" s="8">
        <f t="shared" si="72"/>
        <v>12.453824214940482</v>
      </c>
      <c r="AR85" s="8">
        <f t="shared" si="73"/>
        <v>-1.7211666813257303</v>
      </c>
      <c r="AS85" s="8">
        <f t="shared" si="66"/>
        <v>-1.3149568104758202E-2</v>
      </c>
      <c r="AT85" s="8">
        <f t="shared" si="67"/>
        <v>-9223.5209312614261</v>
      </c>
      <c r="AU85" s="3">
        <f t="shared" si="68"/>
        <v>14.283372163272269</v>
      </c>
      <c r="AV85" s="8">
        <f t="shared" si="69"/>
        <v>30917.995290514664</v>
      </c>
      <c r="AX85" s="5"/>
    </row>
    <row r="86" spans="1:50" hidden="1" x14ac:dyDescent="0.35">
      <c r="A86" s="1" t="s">
        <v>0</v>
      </c>
      <c r="B86" s="4">
        <f t="shared" si="70"/>
        <v>650.0000000000008</v>
      </c>
      <c r="C86" s="7">
        <f t="shared" si="38"/>
        <v>6.5000000000000085E-2</v>
      </c>
      <c r="D86" s="9">
        <f t="shared" si="39"/>
        <v>10.481359047625029</v>
      </c>
      <c r="E86" s="6">
        <f t="shared" si="40"/>
        <v>65.07446533056499</v>
      </c>
      <c r="F86" s="3">
        <f t="shared" si="41"/>
        <v>-31.817043417242267</v>
      </c>
      <c r="G86" s="6">
        <f t="shared" si="42"/>
        <v>34.20500000000002</v>
      </c>
      <c r="H86" s="9">
        <f t="shared" si="43"/>
        <v>16.735773350221006</v>
      </c>
      <c r="I86" s="6">
        <f t="shared" si="44"/>
        <v>77.525818102086546</v>
      </c>
      <c r="J86" s="3">
        <f t="shared" si="45"/>
        <v>-33.656008416135293</v>
      </c>
      <c r="K86" s="6">
        <f t="shared" si="46"/>
        <v>33.881188578604494</v>
      </c>
      <c r="L86" s="6">
        <f t="shared" si="47"/>
        <v>9507.828995000018</v>
      </c>
      <c r="M86" s="6">
        <f t="shared" si="48"/>
        <v>63.160389475708563</v>
      </c>
      <c r="N86" s="8">
        <f t="shared" si="49"/>
        <v>-31546.424164210599</v>
      </c>
      <c r="O86" s="8"/>
      <c r="Q86">
        <f t="shared" si="50"/>
        <v>0</v>
      </c>
      <c r="R86">
        <f t="shared" si="51"/>
        <v>92.539694999999995</v>
      </c>
      <c r="S86">
        <f t="shared" si="52"/>
        <v>-143.10925102570855</v>
      </c>
      <c r="T86">
        <f t="shared" si="53"/>
        <v>-15.983500000000021</v>
      </c>
      <c r="U86">
        <f t="shared" si="54"/>
        <v>3.3926665500000084</v>
      </c>
      <c r="V86">
        <f t="shared" si="55"/>
        <v>0</v>
      </c>
      <c r="W86">
        <f t="shared" si="56"/>
        <v>0</v>
      </c>
      <c r="X86">
        <f t="shared" si="57"/>
        <v>0</v>
      </c>
      <c r="Z86">
        <f t="shared" si="58"/>
        <v>-6657.6530000000002</v>
      </c>
      <c r="AA86">
        <f t="shared" si="59"/>
        <v>60150.801750000071</v>
      </c>
      <c r="AB86">
        <f t="shared" si="60"/>
        <v>-80580.013166710662</v>
      </c>
      <c r="AC86">
        <f t="shared" si="61"/>
        <v>-5194.6375000000135</v>
      </c>
      <c r="AD86">
        <f t="shared" si="62"/>
        <v>735.0777525000027</v>
      </c>
      <c r="AE86">
        <f t="shared" si="63"/>
        <v>0</v>
      </c>
      <c r="AF86">
        <f t="shared" si="64"/>
        <v>0</v>
      </c>
      <c r="AG86">
        <f t="shared" si="65"/>
        <v>0</v>
      </c>
      <c r="AP86" s="8">
        <f t="shared" si="71"/>
        <v>6.2544143025959773</v>
      </c>
      <c r="AQ86" s="8">
        <f t="shared" si="72"/>
        <v>12.451352771521556</v>
      </c>
      <c r="AR86" s="8">
        <f t="shared" si="73"/>
        <v>-1.8389649988930259</v>
      </c>
      <c r="AS86" s="8">
        <f t="shared" si="66"/>
        <v>-0.32381142139552566</v>
      </c>
      <c r="AT86" s="8">
        <f t="shared" si="67"/>
        <v>-9491.0932216497968</v>
      </c>
      <c r="AU86" s="3">
        <f t="shared" si="68"/>
        <v>14.365428626377984</v>
      </c>
      <c r="AV86" s="8">
        <f t="shared" si="69"/>
        <v>31512.768155794463</v>
      </c>
      <c r="AX86" s="5"/>
    </row>
    <row r="87" spans="1:50" hidden="1" x14ac:dyDescent="0.35">
      <c r="A87" s="1" t="s">
        <v>0</v>
      </c>
      <c r="B87" s="4">
        <f t="shared" si="70"/>
        <v>659.45945945946028</v>
      </c>
      <c r="C87" s="7">
        <f t="shared" si="38"/>
        <v>6.5945945945946022E-2</v>
      </c>
      <c r="D87" s="9">
        <f t="shared" si="39"/>
        <v>10.806042849670316</v>
      </c>
      <c r="E87" s="6">
        <f t="shared" si="40"/>
        <v>65.570374911518158</v>
      </c>
      <c r="F87" s="3">
        <f t="shared" si="41"/>
        <v>-32.434961146033601</v>
      </c>
      <c r="G87" s="6">
        <f t="shared" si="42"/>
        <v>34.442432432432454</v>
      </c>
      <c r="H87" s="9">
        <f t="shared" si="43"/>
        <v>17.055947605166363</v>
      </c>
      <c r="I87" s="6">
        <f t="shared" si="44"/>
        <v>78.014845219699524</v>
      </c>
      <c r="J87" s="3">
        <f t="shared" si="45"/>
        <v>-34.391680053230118</v>
      </c>
      <c r="K87" s="6">
        <f t="shared" si="46"/>
        <v>33.813764271692612</v>
      </c>
      <c r="L87" s="6">
        <f t="shared" si="47"/>
        <v>9776.0542844080555</v>
      </c>
      <c r="M87" s="6">
        <f t="shared" si="48"/>
        <v>63.570069317032619</v>
      </c>
      <c r="N87" s="8">
        <f t="shared" si="49"/>
        <v>-32145.829265202694</v>
      </c>
      <c r="O87" s="8"/>
      <c r="Q87">
        <f t="shared" si="50"/>
        <v>0</v>
      </c>
      <c r="R87">
        <f t="shared" si="51"/>
        <v>92.539694999999995</v>
      </c>
      <c r="S87">
        <f t="shared" si="52"/>
        <v>-143.38578834391353</v>
      </c>
      <c r="T87">
        <f t="shared" si="53"/>
        <v>-16.216108108108127</v>
      </c>
      <c r="U87">
        <f t="shared" si="54"/>
        <v>3.4921321349890513</v>
      </c>
      <c r="V87">
        <f t="shared" si="55"/>
        <v>0</v>
      </c>
      <c r="W87">
        <f t="shared" si="56"/>
        <v>0</v>
      </c>
      <c r="X87">
        <f t="shared" si="57"/>
        <v>0</v>
      </c>
      <c r="Z87">
        <f t="shared" si="58"/>
        <v>-6657.6530000000002</v>
      </c>
      <c r="AA87">
        <f t="shared" si="59"/>
        <v>61026.177243243314</v>
      </c>
      <c r="AB87">
        <f t="shared" si="60"/>
        <v>-81935.060421391725</v>
      </c>
      <c r="AC87">
        <f t="shared" si="61"/>
        <v>-5346.9329437545784</v>
      </c>
      <c r="AD87">
        <f t="shared" si="62"/>
        <v>767.63985670029706</v>
      </c>
      <c r="AE87">
        <f t="shared" si="63"/>
        <v>0</v>
      </c>
      <c r="AF87">
        <f t="shared" si="64"/>
        <v>0</v>
      </c>
      <c r="AG87">
        <f t="shared" si="65"/>
        <v>0</v>
      </c>
      <c r="AP87" s="8">
        <f t="shared" si="71"/>
        <v>6.249904755496047</v>
      </c>
      <c r="AQ87" s="8">
        <f t="shared" si="72"/>
        <v>12.444470308181366</v>
      </c>
      <c r="AR87" s="8">
        <f t="shared" si="73"/>
        <v>-1.9567189071965174</v>
      </c>
      <c r="AS87" s="8">
        <f t="shared" si="66"/>
        <v>-0.62866816073984211</v>
      </c>
      <c r="AT87" s="8">
        <f t="shared" si="67"/>
        <v>-9758.9983368028898</v>
      </c>
      <c r="AU87" s="3">
        <f t="shared" si="68"/>
        <v>14.444775902666905</v>
      </c>
      <c r="AV87" s="8">
        <f t="shared" si="69"/>
        <v>32111.437585149462</v>
      </c>
      <c r="AX87" s="5"/>
    </row>
    <row r="88" spans="1:50" hidden="1" x14ac:dyDescent="0.35">
      <c r="A88" s="1" t="s">
        <v>0</v>
      </c>
      <c r="B88" s="4">
        <f t="shared" si="70"/>
        <v>668.91891891891976</v>
      </c>
      <c r="C88" s="7">
        <f t="shared" si="38"/>
        <v>6.6891891891891972E-2</v>
      </c>
      <c r="D88" s="9">
        <f t="shared" si="39"/>
        <v>11.132972634184565</v>
      </c>
      <c r="E88" s="6">
        <f t="shared" si="40"/>
        <v>66.062603105591649</v>
      </c>
      <c r="F88" s="3">
        <f t="shared" si="41"/>
        <v>-33.057552416177472</v>
      </c>
      <c r="G88" s="6">
        <f t="shared" si="42"/>
        <v>34.679864864864889</v>
      </c>
      <c r="H88" s="9">
        <f t="shared" si="43"/>
        <v>17.375511519233939</v>
      </c>
      <c r="I88" s="6">
        <f t="shared" si="44"/>
        <v>78.495988262850688</v>
      </c>
      <c r="J88" s="3">
        <f t="shared" si="45"/>
        <v>-35.131940089024333</v>
      </c>
      <c r="K88" s="6">
        <f t="shared" si="46"/>
        <v>33.752145078727175</v>
      </c>
      <c r="L88" s="6">
        <f t="shared" si="47"/>
        <v>10044.584545567413</v>
      </c>
      <c r="M88" s="6">
        <f t="shared" si="48"/>
        <v>63.974373480411778</v>
      </c>
      <c r="N88" s="8">
        <f t="shared" si="49"/>
        <v>-32749.084201464844</v>
      </c>
      <c r="O88" s="8"/>
      <c r="Q88">
        <f t="shared" si="50"/>
        <v>0</v>
      </c>
      <c r="R88">
        <f t="shared" si="51"/>
        <v>92.539694999999995</v>
      </c>
      <c r="S88">
        <f t="shared" si="52"/>
        <v>-143.65838705144901</v>
      </c>
      <c r="T88">
        <f t="shared" si="53"/>
        <v>-16.448716216216237</v>
      </c>
      <c r="U88">
        <f t="shared" si="54"/>
        <v>3.5930347872534782</v>
      </c>
      <c r="V88">
        <f t="shared" si="55"/>
        <v>0</v>
      </c>
      <c r="W88">
        <f t="shared" si="56"/>
        <v>0</v>
      </c>
      <c r="X88">
        <f t="shared" si="57"/>
        <v>0</v>
      </c>
      <c r="Z88">
        <f t="shared" si="58"/>
        <v>-6657.6530000000002</v>
      </c>
      <c r="AA88">
        <f t="shared" si="59"/>
        <v>61901.552736486563</v>
      </c>
      <c r="AB88">
        <f t="shared" si="60"/>
        <v>-83292.704851982897</v>
      </c>
      <c r="AC88">
        <f t="shared" si="61"/>
        <v>-5501.4287344777349</v>
      </c>
      <c r="AD88">
        <f t="shared" si="62"/>
        <v>801.14964850922252</v>
      </c>
      <c r="AE88">
        <f t="shared" si="63"/>
        <v>0</v>
      </c>
      <c r="AF88">
        <f t="shared" si="64"/>
        <v>0</v>
      </c>
      <c r="AG88">
        <f t="shared" si="65"/>
        <v>0</v>
      </c>
      <c r="AP88" s="8">
        <f t="shared" si="71"/>
        <v>6.2425388850493739</v>
      </c>
      <c r="AQ88" s="8">
        <f t="shared" si="72"/>
        <v>12.433385157259039</v>
      </c>
      <c r="AR88" s="8">
        <f t="shared" si="73"/>
        <v>-2.0743876728468607</v>
      </c>
      <c r="AS88" s="8">
        <f t="shared" si="66"/>
        <v>-0.92771978613771466</v>
      </c>
      <c r="AT88" s="8">
        <f t="shared" si="67"/>
        <v>-10027.209034048179</v>
      </c>
      <c r="AU88" s="3">
        <f t="shared" si="68"/>
        <v>14.52161478243891</v>
      </c>
      <c r="AV88" s="8">
        <f t="shared" si="69"/>
        <v>32713.95226137582</v>
      </c>
      <c r="AX88" s="5"/>
    </row>
    <row r="89" spans="1:50" hidden="1" x14ac:dyDescent="0.35">
      <c r="A89" s="1" t="s">
        <v>0</v>
      </c>
      <c r="B89" s="4">
        <f t="shared" si="70"/>
        <v>678.37837837837924</v>
      </c>
      <c r="C89" s="7">
        <f t="shared" si="38"/>
        <v>6.7837837837837922E-2</v>
      </c>
      <c r="D89" s="9">
        <f t="shared" si="39"/>
        <v>11.462148401167765</v>
      </c>
      <c r="E89" s="6">
        <f t="shared" si="40"/>
        <v>66.551253306955246</v>
      </c>
      <c r="F89" s="3">
        <f t="shared" si="41"/>
        <v>-33.684782896253289</v>
      </c>
      <c r="G89" s="6">
        <f t="shared" si="42"/>
        <v>34.917297297297317</v>
      </c>
      <c r="H89" s="9">
        <f t="shared" si="43"/>
        <v>17.69452000566374</v>
      </c>
      <c r="I89" s="6">
        <f t="shared" si="44"/>
        <v>78.969550181172366</v>
      </c>
      <c r="J89" s="3">
        <f t="shared" si="45"/>
        <v>-35.876715387510004</v>
      </c>
      <c r="K89" s="6">
        <f t="shared" si="46"/>
        <v>33.696330999708195</v>
      </c>
      <c r="L89" s="6">
        <f t="shared" si="47"/>
        <v>10313.392590718831</v>
      </c>
      <c r="M89" s="6">
        <f t="shared" si="48"/>
        <v>64.373412584315048</v>
      </c>
      <c r="N89" s="8">
        <f t="shared" si="49"/>
        <v>-33356.138648911161</v>
      </c>
      <c r="O89" s="8"/>
      <c r="Q89">
        <f t="shared" si="50"/>
        <v>0</v>
      </c>
      <c r="R89">
        <f t="shared" si="51"/>
        <v>92.539694999999995</v>
      </c>
      <c r="S89">
        <f t="shared" si="52"/>
        <v>-143.92715776678398</v>
      </c>
      <c r="T89">
        <f t="shared" si="53"/>
        <v>-16.681324324324347</v>
      </c>
      <c r="U89">
        <f t="shared" si="54"/>
        <v>3.6953745067932888</v>
      </c>
      <c r="V89">
        <f t="shared" si="55"/>
        <v>0</v>
      </c>
      <c r="W89">
        <f t="shared" si="56"/>
        <v>0</v>
      </c>
      <c r="X89">
        <f t="shared" si="57"/>
        <v>0</v>
      </c>
      <c r="Z89">
        <f t="shared" si="58"/>
        <v>-6657.6530000000002</v>
      </c>
      <c r="AA89">
        <f t="shared" si="59"/>
        <v>62776.928229729805</v>
      </c>
      <c r="AB89">
        <f t="shared" si="60"/>
        <v>-84652.909728277897</v>
      </c>
      <c r="AC89">
        <f t="shared" si="61"/>
        <v>-5658.1248721694819</v>
      </c>
      <c r="AD89">
        <f t="shared" si="62"/>
        <v>835.62072180641155</v>
      </c>
      <c r="AE89">
        <f t="shared" si="63"/>
        <v>0</v>
      </c>
      <c r="AF89">
        <f t="shared" si="64"/>
        <v>0</v>
      </c>
      <c r="AG89">
        <f t="shared" si="65"/>
        <v>0</v>
      </c>
      <c r="AP89" s="8">
        <f t="shared" si="71"/>
        <v>6.2323716044959756</v>
      </c>
      <c r="AQ89" s="8">
        <f t="shared" si="72"/>
        <v>12.41829687421712</v>
      </c>
      <c r="AR89" s="8">
        <f t="shared" si="73"/>
        <v>-2.1919324912567149</v>
      </c>
      <c r="AS89" s="8">
        <f t="shared" si="66"/>
        <v>-1.220966297589122</v>
      </c>
      <c r="AT89" s="8">
        <f t="shared" si="67"/>
        <v>-10295.698070713168</v>
      </c>
      <c r="AU89" s="3">
        <f t="shared" si="68"/>
        <v>14.596137596857318</v>
      </c>
      <c r="AV89" s="8">
        <f t="shared" si="69"/>
        <v>33320.261933523652</v>
      </c>
      <c r="AX89" s="5"/>
    </row>
    <row r="90" spans="1:50" hidden="1" x14ac:dyDescent="0.35">
      <c r="A90" s="1" t="s">
        <v>0</v>
      </c>
      <c r="B90" s="4">
        <f t="shared" si="70"/>
        <v>687.83783783783872</v>
      </c>
      <c r="C90" s="7">
        <f t="shared" si="38"/>
        <v>6.8783783783783872E-2</v>
      </c>
      <c r="D90" s="9">
        <f t="shared" si="39"/>
        <v>11.793570150619917</v>
      </c>
      <c r="E90" s="6">
        <f t="shared" si="40"/>
        <v>67.036424614191489</v>
      </c>
      <c r="F90" s="3">
        <f t="shared" si="41"/>
        <v>-34.316619212384836</v>
      </c>
      <c r="G90" s="6">
        <f t="shared" si="42"/>
        <v>35.154729729729752</v>
      </c>
      <c r="H90" s="9">
        <f t="shared" si="43"/>
        <v>18.013027977695817</v>
      </c>
      <c r="I90" s="6">
        <f t="shared" si="44"/>
        <v>79.435821338030564</v>
      </c>
      <c r="J90" s="3">
        <f t="shared" si="45"/>
        <v>-36.625935618327972</v>
      </c>
      <c r="K90" s="6">
        <f t="shared" si="46"/>
        <v>33.646322034635652</v>
      </c>
      <c r="L90" s="6">
        <f t="shared" si="47"/>
        <v>10582.451232103071</v>
      </c>
      <c r="M90" s="6">
        <f t="shared" si="48"/>
        <v>64.767292651485278</v>
      </c>
      <c r="N90" s="8">
        <f t="shared" si="49"/>
        <v>-33966.943307905101</v>
      </c>
      <c r="O90" s="8"/>
      <c r="Q90">
        <f t="shared" si="50"/>
        <v>0</v>
      </c>
      <c r="R90">
        <f t="shared" si="51"/>
        <v>92.539694999999995</v>
      </c>
      <c r="S90">
        <f t="shared" si="52"/>
        <v>-144.1922065126613</v>
      </c>
      <c r="T90">
        <f t="shared" si="53"/>
        <v>-16.913932432432453</v>
      </c>
      <c r="U90">
        <f t="shared" si="54"/>
        <v>3.7991512936084826</v>
      </c>
      <c r="V90">
        <f t="shared" si="55"/>
        <v>0</v>
      </c>
      <c r="W90">
        <f t="shared" si="56"/>
        <v>0</v>
      </c>
      <c r="X90">
        <f t="shared" si="57"/>
        <v>0</v>
      </c>
      <c r="Z90">
        <f t="shared" si="58"/>
        <v>-6657.6530000000002</v>
      </c>
      <c r="AA90">
        <f t="shared" si="59"/>
        <v>63652.303722973054</v>
      </c>
      <c r="AB90">
        <f t="shared" si="60"/>
        <v>-86015.639344519834</v>
      </c>
      <c r="AC90">
        <f t="shared" si="61"/>
        <v>-5817.0213568298177</v>
      </c>
      <c r="AD90">
        <f t="shared" si="62"/>
        <v>871.06667047149551</v>
      </c>
      <c r="AE90">
        <f t="shared" si="63"/>
        <v>0</v>
      </c>
      <c r="AF90">
        <f t="shared" si="64"/>
        <v>0</v>
      </c>
      <c r="AG90">
        <f t="shared" si="65"/>
        <v>0</v>
      </c>
      <c r="AP90" s="8">
        <f t="shared" si="71"/>
        <v>6.2194578270758996</v>
      </c>
      <c r="AQ90" s="8">
        <f t="shared" si="72"/>
        <v>12.399396723839075</v>
      </c>
      <c r="AR90" s="8">
        <f t="shared" si="73"/>
        <v>-2.3093164059431359</v>
      </c>
      <c r="AS90" s="8">
        <f t="shared" si="66"/>
        <v>-1.5084076950940997</v>
      </c>
      <c r="AT90" s="8">
        <f t="shared" si="67"/>
        <v>-10564.438204125376</v>
      </c>
      <c r="AU90" s="3">
        <f t="shared" si="68"/>
        <v>14.668528686545287</v>
      </c>
      <c r="AV90" s="8">
        <f t="shared" si="69"/>
        <v>33930.317372286772</v>
      </c>
      <c r="AX90" s="5"/>
    </row>
    <row r="91" spans="1:50" hidden="1" x14ac:dyDescent="0.35">
      <c r="A91" s="1" t="s">
        <v>0</v>
      </c>
      <c r="B91" s="4">
        <f t="shared" si="70"/>
        <v>697.2972972972982</v>
      </c>
      <c r="C91" s="7">
        <f t="shared" si="38"/>
        <v>6.9729729729729822E-2</v>
      </c>
      <c r="D91" s="9">
        <f t="shared" si="39"/>
        <v>12.127237882541031</v>
      </c>
      <c r="E91" s="6">
        <f t="shared" si="40"/>
        <v>67.518212065000242</v>
      </c>
      <c r="F91" s="3">
        <f t="shared" si="41"/>
        <v>-34.953028908729479</v>
      </c>
      <c r="G91" s="6">
        <f t="shared" si="42"/>
        <v>35.392162162162187</v>
      </c>
      <c r="H91" s="9">
        <f t="shared" si="43"/>
        <v>18.3310903485702</v>
      </c>
      <c r="I91" s="6">
        <f t="shared" si="44"/>
        <v>79.895080198219645</v>
      </c>
      <c r="J91" s="3">
        <f t="shared" si="45"/>
        <v>-37.379533140999243</v>
      </c>
      <c r="K91" s="6">
        <f t="shared" si="46"/>
        <v>33.602118183509575</v>
      </c>
      <c r="L91" s="6">
        <f t="shared" si="47"/>
        <v>10851.733281960842</v>
      </c>
      <c r="M91" s="6">
        <f t="shared" si="48"/>
        <v>65.156115360042918</v>
      </c>
      <c r="N91" s="8">
        <f t="shared" si="49"/>
        <v>-34581.449860988061</v>
      </c>
      <c r="O91" s="8"/>
      <c r="Q91">
        <f t="shared" si="50"/>
        <v>0</v>
      </c>
      <c r="R91">
        <f t="shared" si="51"/>
        <v>92.539694999999995</v>
      </c>
      <c r="S91">
        <f t="shared" si="52"/>
        <v>-144.4536349672014</v>
      </c>
      <c r="T91">
        <f t="shared" si="53"/>
        <v>-17.146540540540563</v>
      </c>
      <c r="U91">
        <f t="shared" si="54"/>
        <v>3.9043651476990604</v>
      </c>
      <c r="V91">
        <f t="shared" si="55"/>
        <v>0</v>
      </c>
      <c r="W91">
        <f t="shared" si="56"/>
        <v>0</v>
      </c>
      <c r="X91">
        <f t="shared" si="57"/>
        <v>0</v>
      </c>
      <c r="Z91">
        <f t="shared" si="58"/>
        <v>-6657.6530000000002</v>
      </c>
      <c r="AA91">
        <f t="shared" si="59"/>
        <v>64527.679216216296</v>
      </c>
      <c r="AB91">
        <f t="shared" si="60"/>
        <v>-87380.858977129727</v>
      </c>
      <c r="AC91">
        <f t="shared" si="61"/>
        <v>-5978.118188458745</v>
      </c>
      <c r="AD91">
        <f t="shared" si="62"/>
        <v>907.50108838410711</v>
      </c>
      <c r="AE91">
        <f t="shared" si="63"/>
        <v>0</v>
      </c>
      <c r="AF91">
        <f t="shared" si="64"/>
        <v>0</v>
      </c>
      <c r="AG91">
        <f t="shared" si="65"/>
        <v>0</v>
      </c>
      <c r="AP91" s="8">
        <f t="shared" si="71"/>
        <v>6.2038524660291685</v>
      </c>
      <c r="AQ91" s="8">
        <f t="shared" si="72"/>
        <v>12.376868133219403</v>
      </c>
      <c r="AR91" s="8">
        <f t="shared" si="73"/>
        <v>-2.4265042322697639</v>
      </c>
      <c r="AS91" s="8">
        <f t="shared" si="66"/>
        <v>-1.7900439786526121</v>
      </c>
      <c r="AT91" s="8">
        <f t="shared" si="67"/>
        <v>-10833.402191612271</v>
      </c>
      <c r="AU91" s="3">
        <f t="shared" si="68"/>
        <v>14.738964838176727</v>
      </c>
      <c r="AV91" s="8">
        <f t="shared" si="69"/>
        <v>34544.070327847061</v>
      </c>
      <c r="AX91" s="5"/>
    </row>
    <row r="92" spans="1:50" hidden="1" x14ac:dyDescent="0.35">
      <c r="A92" s="1" t="s">
        <v>0</v>
      </c>
      <c r="B92" s="4">
        <f t="shared" si="70"/>
        <v>706.75675675675768</v>
      </c>
      <c r="C92" s="7">
        <f t="shared" si="38"/>
        <v>7.0675675675675773E-2</v>
      </c>
      <c r="D92" s="9">
        <f t="shared" si="39"/>
        <v>12.463151596931098</v>
      </c>
      <c r="E92" s="6">
        <f t="shared" si="40"/>
        <v>67.996706855088988</v>
      </c>
      <c r="F92" s="3">
        <f t="shared" si="41"/>
        <v>-35.593980410111584</v>
      </c>
      <c r="G92" s="6">
        <f t="shared" si="42"/>
        <v>35.629594594594622</v>
      </c>
      <c r="H92" s="9">
        <f t="shared" si="43"/>
        <v>18.648762031526914</v>
      </c>
      <c r="I92" s="6">
        <f t="shared" si="44"/>
        <v>80.347593969321352</v>
      </c>
      <c r="J92" s="3">
        <f t="shared" si="45"/>
        <v>-38.137442895439449</v>
      </c>
      <c r="K92" s="6">
        <f t="shared" si="46"/>
        <v>33.563719446329934</v>
      </c>
      <c r="L92" s="6">
        <f t="shared" si="47"/>
        <v>11121.211552532841</v>
      </c>
      <c r="M92" s="6">
        <f t="shared" si="48"/>
        <v>65.539978277670571</v>
      </c>
      <c r="N92" s="8">
        <f t="shared" si="49"/>
        <v>-35199.61093290196</v>
      </c>
      <c r="O92" s="8"/>
      <c r="Q92">
        <f t="shared" si="50"/>
        <v>0</v>
      </c>
      <c r="R92">
        <f t="shared" si="51"/>
        <v>92.539694999999995</v>
      </c>
      <c r="S92">
        <f t="shared" si="52"/>
        <v>-144.71154069808691</v>
      </c>
      <c r="T92">
        <f t="shared" si="53"/>
        <v>-17.379148648648673</v>
      </c>
      <c r="U92">
        <f t="shared" si="54"/>
        <v>4.011016069065021</v>
      </c>
      <c r="V92">
        <f t="shared" si="55"/>
        <v>0</v>
      </c>
      <c r="W92">
        <f t="shared" si="56"/>
        <v>0</v>
      </c>
      <c r="X92">
        <f t="shared" si="57"/>
        <v>0</v>
      </c>
      <c r="Z92">
        <f t="shared" si="58"/>
        <v>-6657.6530000000002</v>
      </c>
      <c r="AA92">
        <f t="shared" si="59"/>
        <v>65403.054709459539</v>
      </c>
      <c r="AB92">
        <f t="shared" si="60"/>
        <v>-88748.534844729118</v>
      </c>
      <c r="AC92">
        <f t="shared" si="61"/>
        <v>-6141.4153670562619</v>
      </c>
      <c r="AD92">
        <f t="shared" si="62"/>
        <v>944.9375694238779</v>
      </c>
      <c r="AE92">
        <f t="shared" si="63"/>
        <v>0</v>
      </c>
      <c r="AF92">
        <f t="shared" si="64"/>
        <v>0</v>
      </c>
      <c r="AG92">
        <f t="shared" si="65"/>
        <v>0</v>
      </c>
      <c r="AP92" s="8">
        <f t="shared" si="71"/>
        <v>6.1856104345958158</v>
      </c>
      <c r="AQ92" s="8">
        <f t="shared" si="72"/>
        <v>12.350887114232364</v>
      </c>
      <c r="AR92" s="8">
        <f t="shared" si="73"/>
        <v>-2.5434624853278649</v>
      </c>
      <c r="AS92" s="8">
        <f t="shared" si="66"/>
        <v>-2.0658751482646878</v>
      </c>
      <c r="AT92" s="8">
        <f t="shared" si="67"/>
        <v>-11102.562790501313</v>
      </c>
      <c r="AU92" s="3">
        <f t="shared" si="68"/>
        <v>14.807615691650781</v>
      </c>
      <c r="AV92" s="8">
        <f t="shared" si="69"/>
        <v>35161.473490006523</v>
      </c>
      <c r="AX92" s="5"/>
    </row>
    <row r="93" spans="1:50" hidden="1" x14ac:dyDescent="0.35">
      <c r="A93" s="1" t="s">
        <v>0</v>
      </c>
      <c r="B93" s="4">
        <f t="shared" si="70"/>
        <v>716.21621621621716</v>
      </c>
      <c r="C93" s="7">
        <f t="shared" si="38"/>
        <v>7.1621621621621723E-2</v>
      </c>
      <c r="D93" s="9">
        <f t="shared" si="39"/>
        <v>12.801311293790121</v>
      </c>
      <c r="E93" s="6">
        <f t="shared" si="40"/>
        <v>68.471996542510894</v>
      </c>
      <c r="F93" s="3">
        <f t="shared" si="41"/>
        <v>-36.23944298665694</v>
      </c>
      <c r="G93" s="6">
        <f t="shared" si="42"/>
        <v>35.867027027027049</v>
      </c>
      <c r="H93" s="9">
        <f t="shared" si="43"/>
        <v>18.966097939806012</v>
      </c>
      <c r="I93" s="6">
        <f t="shared" si="44"/>
        <v>80.793619200424189</v>
      </c>
      <c r="J93" s="3">
        <f t="shared" si="45"/>
        <v>-38.899602298335715</v>
      </c>
      <c r="K93" s="6">
        <f t="shared" si="46"/>
        <v>33.531125823096751</v>
      </c>
      <c r="L93" s="6">
        <f t="shared" si="47"/>
        <v>11390.858856059887</v>
      </c>
      <c r="M93" s="6">
        <f t="shared" si="48"/>
        <v>65.918975080228364</v>
      </c>
      <c r="N93" s="8">
        <f t="shared" si="49"/>
        <v>-35821.380052752378</v>
      </c>
      <c r="O93" s="8"/>
      <c r="Q93">
        <f t="shared" si="50"/>
        <v>0</v>
      </c>
      <c r="R93">
        <f t="shared" si="51"/>
        <v>92.539694999999995</v>
      </c>
      <c r="S93">
        <f t="shared" si="52"/>
        <v>-144.96601738117795</v>
      </c>
      <c r="T93">
        <f t="shared" si="53"/>
        <v>-17.61175675675678</v>
      </c>
      <c r="U93">
        <f t="shared" si="54"/>
        <v>4.119104057706366</v>
      </c>
      <c r="V93">
        <f t="shared" si="55"/>
        <v>0</v>
      </c>
      <c r="W93">
        <f t="shared" si="56"/>
        <v>0</v>
      </c>
      <c r="X93">
        <f t="shared" si="57"/>
        <v>0</v>
      </c>
      <c r="Z93">
        <f t="shared" si="58"/>
        <v>-6657.6530000000002</v>
      </c>
      <c r="AA93">
        <f t="shared" si="59"/>
        <v>66278.430202702788</v>
      </c>
      <c r="AB93">
        <f t="shared" si="60"/>
        <v>-90118.634070303233</v>
      </c>
      <c r="AC93">
        <f t="shared" si="61"/>
        <v>-6306.9128926223684</v>
      </c>
      <c r="AD93">
        <f t="shared" si="62"/>
        <v>983.38970747043993</v>
      </c>
      <c r="AE93">
        <f t="shared" si="63"/>
        <v>0</v>
      </c>
      <c r="AF93">
        <f t="shared" si="64"/>
        <v>0</v>
      </c>
      <c r="AG93">
        <f t="shared" si="65"/>
        <v>0</v>
      </c>
      <c r="AP93" s="8">
        <f t="shared" si="71"/>
        <v>6.1647866460158909</v>
      </c>
      <c r="AQ93" s="8">
        <f t="shared" si="72"/>
        <v>12.321622657913295</v>
      </c>
      <c r="AR93" s="8">
        <f t="shared" si="73"/>
        <v>-2.6601593116787754</v>
      </c>
      <c r="AS93" s="8">
        <f t="shared" si="66"/>
        <v>-2.3359012039302982</v>
      </c>
      <c r="AT93" s="8">
        <f t="shared" si="67"/>
        <v>-11371.892758120081</v>
      </c>
      <c r="AU93" s="3">
        <f t="shared" si="68"/>
        <v>14.874644120195825</v>
      </c>
      <c r="AV93" s="8">
        <f t="shared" si="69"/>
        <v>35782.480450454044</v>
      </c>
      <c r="AX93" s="5"/>
    </row>
    <row r="94" spans="1:50" hidden="1" x14ac:dyDescent="0.35">
      <c r="A94" s="1" t="s">
        <v>0</v>
      </c>
      <c r="B94" s="4">
        <f t="shared" si="70"/>
        <v>725.67567567567664</v>
      </c>
      <c r="C94" s="7">
        <f t="shared" si="38"/>
        <v>7.2567567567567659E-2</v>
      </c>
      <c r="D94" s="9">
        <f t="shared" si="39"/>
        <v>13.141716973118097</v>
      </c>
      <c r="E94" s="6">
        <f t="shared" si="40"/>
        <v>68.944165238595957</v>
      </c>
      <c r="F94" s="3">
        <f t="shared" si="41"/>
        <v>-36.889386720295526</v>
      </c>
      <c r="G94" s="6">
        <f t="shared" si="42"/>
        <v>36.104459459459484</v>
      </c>
      <c r="H94" s="9">
        <f t="shared" si="43"/>
        <v>19.283152986647494</v>
      </c>
      <c r="I94" s="6">
        <f t="shared" si="44"/>
        <v>81.233402341560733</v>
      </c>
      <c r="J94" s="3">
        <f t="shared" si="45"/>
        <v>-39.665951144998672</v>
      </c>
      <c r="K94" s="6">
        <f t="shared" si="46"/>
        <v>33.504337313810005</v>
      </c>
      <c r="L94" s="6">
        <f t="shared" si="47"/>
        <v>11660.648004782677</v>
      </c>
      <c r="M94" s="6">
        <f t="shared" si="48"/>
        <v>66.293195756025753</v>
      </c>
      <c r="N94" s="8">
        <f t="shared" si="49"/>
        <v>-36446.711618171212</v>
      </c>
      <c r="O94" s="8"/>
      <c r="Q94">
        <f t="shared" si="50"/>
        <v>0</v>
      </c>
      <c r="R94">
        <f t="shared" si="51"/>
        <v>92.539694999999995</v>
      </c>
      <c r="S94">
        <f t="shared" si="52"/>
        <v>-145.21715500478396</v>
      </c>
      <c r="T94">
        <f t="shared" si="53"/>
        <v>-17.84436486486489</v>
      </c>
      <c r="U94">
        <f t="shared" si="54"/>
        <v>4.2286291136230938</v>
      </c>
      <c r="V94">
        <f t="shared" si="55"/>
        <v>0</v>
      </c>
      <c r="W94">
        <f t="shared" si="56"/>
        <v>0</v>
      </c>
      <c r="X94">
        <f t="shared" si="57"/>
        <v>0</v>
      </c>
      <c r="Z94">
        <f t="shared" si="58"/>
        <v>-6657.6530000000002</v>
      </c>
      <c r="AA94">
        <f t="shared" si="59"/>
        <v>67153.805695946037</v>
      </c>
      <c r="AB94">
        <f t="shared" si="60"/>
        <v>-91491.124645363612</v>
      </c>
      <c r="AC94">
        <f t="shared" si="61"/>
        <v>-6474.6107651570665</v>
      </c>
      <c r="AD94">
        <f t="shared" si="62"/>
        <v>1022.8710964034254</v>
      </c>
      <c r="AE94">
        <f t="shared" si="63"/>
        <v>0</v>
      </c>
      <c r="AF94">
        <f t="shared" si="64"/>
        <v>0</v>
      </c>
      <c r="AG94">
        <f t="shared" si="65"/>
        <v>0</v>
      </c>
      <c r="AP94" s="8">
        <f t="shared" si="71"/>
        <v>6.1414360135293968</v>
      </c>
      <c r="AQ94" s="8">
        <f t="shared" si="72"/>
        <v>12.289237102964776</v>
      </c>
      <c r="AR94" s="8">
        <f t="shared" si="73"/>
        <v>-2.776564424703146</v>
      </c>
      <c r="AS94" s="8">
        <f t="shared" si="66"/>
        <v>-2.600122145649479</v>
      </c>
      <c r="AT94" s="8">
        <f t="shared" si="67"/>
        <v>-11641.36485179603</v>
      </c>
      <c r="AU94" s="3">
        <f t="shared" si="68"/>
        <v>14.94020658553498</v>
      </c>
      <c r="AV94" s="8">
        <f t="shared" si="69"/>
        <v>36407.045667026214</v>
      </c>
      <c r="AX94" s="5"/>
    </row>
    <row r="95" spans="1:50" hidden="1" x14ac:dyDescent="0.35">
      <c r="A95" s="1" t="s">
        <v>0</v>
      </c>
      <c r="B95" s="4">
        <f t="shared" si="70"/>
        <v>735.13513513513612</v>
      </c>
      <c r="C95" s="7">
        <f t="shared" si="38"/>
        <v>7.3513513513513609E-2</v>
      </c>
      <c r="D95" s="9">
        <f t="shared" si="39"/>
        <v>13.484368634915029</v>
      </c>
      <c r="E95" s="6">
        <f t="shared" si="40"/>
        <v>69.413293786517642</v>
      </c>
      <c r="F95" s="3">
        <f t="shared" si="41"/>
        <v>-37.543782473011518</v>
      </c>
      <c r="G95" s="6">
        <f t="shared" si="42"/>
        <v>36.341891891891919</v>
      </c>
      <c r="H95" s="9">
        <f t="shared" si="43"/>
        <v>19.599982085291433</v>
      </c>
      <c r="I95" s="6">
        <f t="shared" si="44"/>
        <v>81.667180266915707</v>
      </c>
      <c r="J95" s="3">
        <f t="shared" si="45"/>
        <v>-40.436431516333151</v>
      </c>
      <c r="K95" s="6">
        <f t="shared" si="46"/>
        <v>33.483353918469717</v>
      </c>
      <c r="L95" s="6">
        <f t="shared" si="47"/>
        <v>11930.551810941906</v>
      </c>
      <c r="M95" s="6">
        <f t="shared" si="48"/>
        <v>66.662726796864817</v>
      </c>
      <c r="N95" s="8">
        <f t="shared" si="49"/>
        <v>-37075.560861347971</v>
      </c>
      <c r="O95" s="8"/>
      <c r="Q95">
        <f t="shared" si="50"/>
        <v>0</v>
      </c>
      <c r="R95">
        <f t="shared" si="51"/>
        <v>92.539694999999995</v>
      </c>
      <c r="S95">
        <f t="shared" si="52"/>
        <v>-145.46504006070703</v>
      </c>
      <c r="T95">
        <f t="shared" si="53"/>
        <v>-18.076972972973</v>
      </c>
      <c r="U95">
        <f t="shared" si="54"/>
        <v>4.3395912368152052</v>
      </c>
      <c r="V95">
        <f t="shared" si="55"/>
        <v>0</v>
      </c>
      <c r="W95">
        <f t="shared" si="56"/>
        <v>0</v>
      </c>
      <c r="X95">
        <f t="shared" si="57"/>
        <v>0</v>
      </c>
      <c r="Z95">
        <f t="shared" si="58"/>
        <v>-6657.6530000000002</v>
      </c>
      <c r="AA95">
        <f t="shared" si="59"/>
        <v>68029.181189189272</v>
      </c>
      <c r="AB95">
        <f t="shared" si="60"/>
        <v>-92865.97539597936</v>
      </c>
      <c r="AC95">
        <f t="shared" si="61"/>
        <v>-6644.5089846603541</v>
      </c>
      <c r="AD95">
        <f t="shared" si="62"/>
        <v>1063.3953301024662</v>
      </c>
      <c r="AE95">
        <f t="shared" si="63"/>
        <v>0</v>
      </c>
      <c r="AF95">
        <f t="shared" si="64"/>
        <v>0</v>
      </c>
      <c r="AG95">
        <f t="shared" si="65"/>
        <v>0</v>
      </c>
      <c r="AP95" s="8">
        <f t="shared" si="71"/>
        <v>6.1156134503764044</v>
      </c>
      <c r="AQ95" s="8">
        <f t="shared" si="72"/>
        <v>12.253886480398066</v>
      </c>
      <c r="AR95" s="8">
        <f t="shared" si="73"/>
        <v>-2.892649043321633</v>
      </c>
      <c r="AS95" s="8">
        <f t="shared" si="66"/>
        <v>-2.8585379734222016</v>
      </c>
      <c r="AT95" s="8">
        <f t="shared" si="67"/>
        <v>-11910.951828856614</v>
      </c>
      <c r="AU95" s="3">
        <f t="shared" si="68"/>
        <v>15.00445347005089</v>
      </c>
      <c r="AV95" s="8">
        <f t="shared" si="69"/>
        <v>37035.124429831638</v>
      </c>
      <c r="AX95" s="5"/>
    </row>
    <row r="96" spans="1:50" hidden="1" x14ac:dyDescent="0.35">
      <c r="A96" s="1" t="s">
        <v>0</v>
      </c>
      <c r="B96" s="4">
        <f t="shared" si="70"/>
        <v>744.59459459459561</v>
      </c>
      <c r="C96" s="7">
        <f t="shared" si="38"/>
        <v>7.4459459459459559E-2</v>
      </c>
      <c r="D96" s="9">
        <f t="shared" si="39"/>
        <v>13.829266279180919</v>
      </c>
      <c r="E96" s="6">
        <f t="shared" si="40"/>
        <v>69.879459928442884</v>
      </c>
      <c r="F96" s="3">
        <f t="shared" si="41"/>
        <v>-38.202601856727298</v>
      </c>
      <c r="G96" s="6">
        <f t="shared" si="42"/>
        <v>36.579324324324354</v>
      </c>
      <c r="H96" s="9">
        <f t="shared" si="43"/>
        <v>19.916640148977841</v>
      </c>
      <c r="I96" s="6">
        <f t="shared" si="44"/>
        <v>82.095180764583574</v>
      </c>
      <c r="J96" s="3">
        <f t="shared" si="45"/>
        <v>-41.210987690597292</v>
      </c>
      <c r="K96" s="6">
        <f t="shared" si="46"/>
        <v>33.468175637075873</v>
      </c>
      <c r="L96" s="6">
        <f t="shared" si="47"/>
        <v>12200.543086778423</v>
      </c>
      <c r="M96" s="6">
        <f t="shared" si="48"/>
        <v>67.0276513768695</v>
      </c>
      <c r="N96" s="8">
        <f t="shared" si="49"/>
        <v>-37707.883816809612</v>
      </c>
      <c r="O96" s="8"/>
      <c r="Q96">
        <f t="shared" si="50"/>
        <v>0</v>
      </c>
      <c r="R96">
        <f t="shared" si="51"/>
        <v>92.539694999999995</v>
      </c>
      <c r="S96">
        <f t="shared" si="52"/>
        <v>-145.70975572307108</v>
      </c>
      <c r="T96">
        <f t="shared" si="53"/>
        <v>-18.309581081081106</v>
      </c>
      <c r="U96">
        <f t="shared" si="54"/>
        <v>4.4519904272827002</v>
      </c>
      <c r="V96">
        <f t="shared" si="55"/>
        <v>0</v>
      </c>
      <c r="W96">
        <f t="shared" si="56"/>
        <v>0</v>
      </c>
      <c r="X96">
        <f t="shared" si="57"/>
        <v>0</v>
      </c>
      <c r="Z96">
        <f t="shared" si="58"/>
        <v>-6657.6530000000002</v>
      </c>
      <c r="AA96">
        <f t="shared" si="59"/>
        <v>68904.556682432521</v>
      </c>
      <c r="AB96">
        <f t="shared" si="60"/>
        <v>-94243.155950557091</v>
      </c>
      <c r="AC96">
        <f t="shared" si="61"/>
        <v>-6816.6075511322315</v>
      </c>
      <c r="AD96">
        <f t="shared" si="62"/>
        <v>1104.9760024471941</v>
      </c>
      <c r="AE96">
        <f t="shared" si="63"/>
        <v>0</v>
      </c>
      <c r="AF96">
        <f t="shared" si="64"/>
        <v>0</v>
      </c>
      <c r="AG96">
        <f t="shared" si="65"/>
        <v>0</v>
      </c>
      <c r="AP96" s="8">
        <f t="shared" si="71"/>
        <v>6.087373869796922</v>
      </c>
      <c r="AQ96" s="8">
        <f t="shared" si="72"/>
        <v>12.21572083614069</v>
      </c>
      <c r="AR96" s="8">
        <f t="shared" si="73"/>
        <v>-3.008385833869994</v>
      </c>
      <c r="AS96" s="8">
        <f t="shared" si="66"/>
        <v>-3.1111486872484804</v>
      </c>
      <c r="AT96" s="8">
        <f t="shared" si="67"/>
        <v>-12180.626446629445</v>
      </c>
      <c r="AU96" s="3">
        <f t="shared" si="68"/>
        <v>15.067529387714075</v>
      </c>
      <c r="AV96" s="8">
        <f t="shared" si="69"/>
        <v>37666.672829119016</v>
      </c>
      <c r="AX96" s="5"/>
    </row>
    <row r="97" spans="1:50" hidden="1" x14ac:dyDescent="0.35">
      <c r="A97" s="1" t="s">
        <v>0</v>
      </c>
      <c r="B97" s="4">
        <f t="shared" si="70"/>
        <v>754.05405405405509</v>
      </c>
      <c r="C97" s="7">
        <f t="shared" si="38"/>
        <v>7.540540540540551E-2</v>
      </c>
      <c r="D97" s="9">
        <f t="shared" si="39"/>
        <v>14.176409905915765</v>
      </c>
      <c r="E97" s="6">
        <f t="shared" si="40"/>
        <v>70.342738462131337</v>
      </c>
      <c r="F97" s="3">
        <f t="shared" si="41"/>
        <v>-38.865817204718482</v>
      </c>
      <c r="G97" s="6">
        <f t="shared" si="42"/>
        <v>36.816756756756789</v>
      </c>
      <c r="H97" s="9">
        <f t="shared" si="43"/>
        <v>20.233182090946752</v>
      </c>
      <c r="I97" s="6">
        <f t="shared" si="44"/>
        <v>82.517622995410832</v>
      </c>
      <c r="J97" s="3">
        <f t="shared" si="45"/>
        <v>-41.989566059646904</v>
      </c>
      <c r="K97" s="6">
        <f t="shared" si="46"/>
        <v>33.458802469628488</v>
      </c>
      <c r="L97" s="6">
        <f t="shared" si="47"/>
        <v>12470.59464453283</v>
      </c>
      <c r="M97" s="6">
        <f t="shared" si="48"/>
        <v>67.388049520026215</v>
      </c>
      <c r="N97" s="8">
        <f t="shared" si="49"/>
        <v>-38343.637290838356</v>
      </c>
      <c r="O97" s="8"/>
      <c r="Q97">
        <f t="shared" si="50"/>
        <v>0</v>
      </c>
      <c r="R97">
        <f t="shared" si="51"/>
        <v>92.539694999999995</v>
      </c>
      <c r="S97">
        <f t="shared" si="52"/>
        <v>-145.95138201586258</v>
      </c>
      <c r="T97">
        <f t="shared" si="53"/>
        <v>-18.542189189189216</v>
      </c>
      <c r="U97">
        <f t="shared" si="54"/>
        <v>4.5658266850255789</v>
      </c>
      <c r="V97">
        <f t="shared" si="55"/>
        <v>0</v>
      </c>
      <c r="W97">
        <f t="shared" si="56"/>
        <v>0</v>
      </c>
      <c r="X97">
        <f t="shared" si="57"/>
        <v>0</v>
      </c>
      <c r="Z97">
        <f t="shared" si="58"/>
        <v>-6657.6530000000002</v>
      </c>
      <c r="AA97">
        <f t="shared" si="59"/>
        <v>69779.932175675771</v>
      </c>
      <c r="AB97">
        <f t="shared" si="60"/>
        <v>-95622.636709258673</v>
      </c>
      <c r="AC97">
        <f t="shared" si="61"/>
        <v>-6990.9064645727003</v>
      </c>
      <c r="AD97">
        <f t="shared" si="62"/>
        <v>1147.6267073172417</v>
      </c>
      <c r="AE97">
        <f t="shared" si="63"/>
        <v>0</v>
      </c>
      <c r="AF97">
        <f t="shared" si="64"/>
        <v>0</v>
      </c>
      <c r="AG97">
        <f t="shared" si="65"/>
        <v>0</v>
      </c>
      <c r="AP97" s="8">
        <f t="shared" si="71"/>
        <v>6.0567721850309866</v>
      </c>
      <c r="AQ97" s="8">
        <f t="shared" si="72"/>
        <v>12.174884533279496</v>
      </c>
      <c r="AR97" s="8">
        <f t="shared" si="73"/>
        <v>-3.1237488549284222</v>
      </c>
      <c r="AS97" s="8">
        <f t="shared" si="66"/>
        <v>-3.357954287128301</v>
      </c>
      <c r="AT97" s="8">
        <f t="shared" si="67"/>
        <v>-12450.361462441882</v>
      </c>
      <c r="AU97" s="3">
        <f t="shared" si="68"/>
        <v>15.129573475384618</v>
      </c>
      <c r="AV97" s="8">
        <f t="shared" si="69"/>
        <v>38301.647724778712</v>
      </c>
      <c r="AX97" s="5"/>
    </row>
    <row r="98" spans="1:50" hidden="1" x14ac:dyDescent="0.35">
      <c r="A98" s="1" t="s">
        <v>0</v>
      </c>
      <c r="B98" s="4">
        <f t="shared" si="70"/>
        <v>763.51351351351457</v>
      </c>
      <c r="C98" s="7">
        <f t="shared" si="38"/>
        <v>7.635135135135146E-2</v>
      </c>
      <c r="D98" s="9">
        <f t="shared" si="39"/>
        <v>14.525799515119564</v>
      </c>
      <c r="E98" s="6">
        <f t="shared" si="40"/>
        <v>70.803201387771949</v>
      </c>
      <c r="F98" s="3">
        <f t="shared" si="41"/>
        <v>-39.533401544463153</v>
      </c>
      <c r="G98" s="6">
        <f t="shared" si="42"/>
        <v>37.054189189189216</v>
      </c>
      <c r="H98" s="9">
        <f t="shared" si="43"/>
        <v>20.549662824438208</v>
      </c>
      <c r="I98" s="6">
        <f t="shared" si="44"/>
        <v>82.934717923234587</v>
      </c>
      <c r="J98" s="3">
        <f t="shared" si="45"/>
        <v>-42.772115049382869</v>
      </c>
      <c r="K98" s="6">
        <f t="shared" si="46"/>
        <v>33.455234416127553</v>
      </c>
      <c r="L98" s="6">
        <f t="shared" si="47"/>
        <v>12740.679296445938</v>
      </c>
      <c r="M98" s="6">
        <f t="shared" si="48"/>
        <v>67.743998257280651</v>
      </c>
      <c r="N98" s="8">
        <f t="shared" si="49"/>
        <v>-38982.778832423821</v>
      </c>
      <c r="O98" s="8"/>
      <c r="Q98">
        <f t="shared" si="50"/>
        <v>0</v>
      </c>
      <c r="R98">
        <f t="shared" si="51"/>
        <v>92.539694999999995</v>
      </c>
      <c r="S98">
        <f t="shared" si="52"/>
        <v>-146.18999597002716</v>
      </c>
      <c r="T98">
        <f t="shared" si="53"/>
        <v>-18.774797297297322</v>
      </c>
      <c r="U98">
        <f t="shared" si="54"/>
        <v>4.6811000100438402</v>
      </c>
      <c r="V98">
        <f t="shared" si="55"/>
        <v>0</v>
      </c>
      <c r="W98">
        <f t="shared" si="56"/>
        <v>0</v>
      </c>
      <c r="X98">
        <f t="shared" si="57"/>
        <v>0</v>
      </c>
      <c r="Z98">
        <f t="shared" si="58"/>
        <v>-6657.6530000000002</v>
      </c>
      <c r="AA98">
        <f t="shared" si="59"/>
        <v>70655.307668919006</v>
      </c>
      <c r="AB98">
        <f t="shared" si="60"/>
        <v>-97004.388814953316</v>
      </c>
      <c r="AC98">
        <f t="shared" si="61"/>
        <v>-7167.4057249817588</v>
      </c>
      <c r="AD98">
        <f t="shared" si="62"/>
        <v>1191.3610385922402</v>
      </c>
      <c r="AE98">
        <f t="shared" si="63"/>
        <v>0</v>
      </c>
      <c r="AF98">
        <f t="shared" si="64"/>
        <v>0</v>
      </c>
      <c r="AG98">
        <f t="shared" si="65"/>
        <v>0</v>
      </c>
      <c r="AP98" s="8">
        <f t="shared" si="71"/>
        <v>6.023863309318644</v>
      </c>
      <c r="AQ98" s="8">
        <f t="shared" si="72"/>
        <v>12.131516535462637</v>
      </c>
      <c r="AR98" s="8">
        <f t="shared" si="73"/>
        <v>-3.2387135049197155</v>
      </c>
      <c r="AS98" s="8">
        <f t="shared" si="66"/>
        <v>-3.5989547730616636</v>
      </c>
      <c r="AT98" s="8">
        <f t="shared" si="67"/>
        <v>-12720.1296336215</v>
      </c>
      <c r="AU98" s="3">
        <f t="shared" si="68"/>
        <v>15.190719665953935</v>
      </c>
      <c r="AV98" s="8">
        <f t="shared" si="69"/>
        <v>38940.006717374439</v>
      </c>
      <c r="AX98" s="5"/>
    </row>
    <row r="99" spans="1:50" hidden="1" x14ac:dyDescent="0.35">
      <c r="A99" s="1" t="s">
        <v>0</v>
      </c>
      <c r="B99" s="4">
        <f t="shared" si="70"/>
        <v>772.97297297297405</v>
      </c>
      <c r="C99" s="7">
        <f t="shared" si="38"/>
        <v>7.729729729729741E-2</v>
      </c>
      <c r="D99" s="9">
        <f t="shared" si="39"/>
        <v>14.877435106792319</v>
      </c>
      <c r="E99" s="6">
        <f t="shared" si="40"/>
        <v>71.260918045779135</v>
      </c>
      <c r="F99" s="3">
        <f t="shared" si="41"/>
        <v>-40.205328571837043</v>
      </c>
      <c r="G99" s="6">
        <f t="shared" si="42"/>
        <v>37.291621621621651</v>
      </c>
      <c r="H99" s="9">
        <f t="shared" si="43"/>
        <v>20.866137262692249</v>
      </c>
      <c r="I99" s="6">
        <f t="shared" si="44"/>
        <v>83.346668718631079</v>
      </c>
      <c r="J99" s="3">
        <f t="shared" si="45"/>
        <v>-43.558585044141594</v>
      </c>
      <c r="K99" s="6">
        <f t="shared" si="46"/>
        <v>33.457471476573055</v>
      </c>
      <c r="L99" s="6">
        <f t="shared" si="47"/>
        <v>13010.769854758466</v>
      </c>
      <c r="M99" s="6">
        <f t="shared" si="48"/>
        <v>68.095571773961566</v>
      </c>
      <c r="N99" s="8">
        <f t="shared" si="49"/>
        <v>-39625.266705655144</v>
      </c>
      <c r="O99" s="8"/>
      <c r="Q99">
        <f t="shared" si="50"/>
        <v>0</v>
      </c>
      <c r="R99">
        <f t="shared" si="51"/>
        <v>92.539694999999995</v>
      </c>
      <c r="S99">
        <f t="shared" si="52"/>
        <v>-146.42567177089362</v>
      </c>
      <c r="T99">
        <f t="shared" si="53"/>
        <v>-19.007405405405432</v>
      </c>
      <c r="U99">
        <f t="shared" si="54"/>
        <v>4.7978104023374861</v>
      </c>
      <c r="V99">
        <f t="shared" si="55"/>
        <v>0</v>
      </c>
      <c r="W99">
        <f t="shared" si="56"/>
        <v>0</v>
      </c>
      <c r="X99">
        <f t="shared" si="57"/>
        <v>0</v>
      </c>
      <c r="Z99">
        <f t="shared" si="58"/>
        <v>-6657.6530000000002</v>
      </c>
      <c r="AA99">
        <f t="shared" si="59"/>
        <v>71530.683162162255</v>
      </c>
      <c r="AB99">
        <f t="shared" si="60"/>
        <v>-98388.384125609809</v>
      </c>
      <c r="AC99">
        <f t="shared" si="61"/>
        <v>-7346.1053323594078</v>
      </c>
      <c r="AD99">
        <f t="shared" si="62"/>
        <v>1236.1925901518225</v>
      </c>
      <c r="AE99">
        <f t="shared" si="63"/>
        <v>0</v>
      </c>
      <c r="AF99">
        <f t="shared" si="64"/>
        <v>0</v>
      </c>
      <c r="AG99">
        <f t="shared" si="65"/>
        <v>0</v>
      </c>
      <c r="AP99" s="8">
        <f t="shared" si="71"/>
        <v>5.9887021558999294</v>
      </c>
      <c r="AQ99" s="8">
        <f t="shared" si="72"/>
        <v>12.085750672851944</v>
      </c>
      <c r="AR99" s="8">
        <f t="shared" si="73"/>
        <v>-3.353256472304551</v>
      </c>
      <c r="AS99" s="8">
        <f t="shared" si="66"/>
        <v>-3.8341501450485964</v>
      </c>
      <c r="AT99" s="8">
        <f t="shared" si="67"/>
        <v>-12989.903717495774</v>
      </c>
      <c r="AU99" s="3">
        <f t="shared" si="68"/>
        <v>15.251096944669513</v>
      </c>
      <c r="AV99" s="8">
        <f t="shared" si="69"/>
        <v>39581.708120611002</v>
      </c>
      <c r="AX99" s="5"/>
    </row>
    <row r="100" spans="1:50" hidden="1" x14ac:dyDescent="0.35">
      <c r="A100" s="1" t="s">
        <v>0</v>
      </c>
      <c r="B100" s="4">
        <f t="shared" si="70"/>
        <v>782.43243243243353</v>
      </c>
      <c r="C100" s="7">
        <f t="shared" si="38"/>
        <v>7.8243243243243346E-2</v>
      </c>
      <c r="D100" s="9">
        <f t="shared" si="39"/>
        <v>15.231316680934025</v>
      </c>
      <c r="E100" s="6">
        <f t="shared" si="40"/>
        <v>71.715955246207855</v>
      </c>
      <c r="F100" s="3">
        <f t="shared" si="41"/>
        <v>-40.881572626571938</v>
      </c>
      <c r="G100" s="6">
        <f t="shared" si="42"/>
        <v>37.529054054054079</v>
      </c>
      <c r="H100" s="9">
        <f t="shared" si="43"/>
        <v>21.18266031894888</v>
      </c>
      <c r="I100" s="6">
        <f t="shared" si="44"/>
        <v>83.753671138108004</v>
      </c>
      <c r="J100" s="3">
        <f t="shared" si="45"/>
        <v>-44.348928314787052</v>
      </c>
      <c r="K100" s="6">
        <f t="shared" si="46"/>
        <v>33.465513650965015</v>
      </c>
      <c r="L100" s="6">
        <f t="shared" si="47"/>
        <v>13280.839131711167</v>
      </c>
      <c r="M100" s="6">
        <f t="shared" si="48"/>
        <v>68.442841548238434</v>
      </c>
      <c r="N100" s="8">
        <f t="shared" si="49"/>
        <v>-40271.059863464652</v>
      </c>
      <c r="O100" s="8"/>
      <c r="Q100">
        <f t="shared" si="50"/>
        <v>0</v>
      </c>
      <c r="R100">
        <f t="shared" si="51"/>
        <v>92.539694999999995</v>
      </c>
      <c r="S100">
        <f t="shared" si="52"/>
        <v>-146.6584808966314</v>
      </c>
      <c r="T100">
        <f t="shared" si="53"/>
        <v>-19.240013513513542</v>
      </c>
      <c r="U100">
        <f t="shared" si="54"/>
        <v>4.9159578619065147</v>
      </c>
      <c r="V100">
        <f t="shared" si="55"/>
        <v>0</v>
      </c>
      <c r="W100">
        <f t="shared" si="56"/>
        <v>0</v>
      </c>
      <c r="X100">
        <f t="shared" si="57"/>
        <v>0</v>
      </c>
      <c r="Z100">
        <f t="shared" si="58"/>
        <v>-6657.6530000000002</v>
      </c>
      <c r="AA100">
        <f t="shared" si="59"/>
        <v>72406.058655405504</v>
      </c>
      <c r="AB100">
        <f t="shared" si="60"/>
        <v>-99774.595188040126</v>
      </c>
      <c r="AC100">
        <f t="shared" si="61"/>
        <v>-7527.0052867056456</v>
      </c>
      <c r="AD100">
        <f t="shared" si="62"/>
        <v>1282.1349558756199</v>
      </c>
      <c r="AE100">
        <f t="shared" si="63"/>
        <v>0</v>
      </c>
      <c r="AF100">
        <f t="shared" si="64"/>
        <v>0</v>
      </c>
      <c r="AG100">
        <f t="shared" si="65"/>
        <v>0</v>
      </c>
      <c r="AP100" s="8">
        <f t="shared" si="71"/>
        <v>5.9513436380148548</v>
      </c>
      <c r="AQ100" s="8">
        <f t="shared" si="72"/>
        <v>12.037715891900149</v>
      </c>
      <c r="AR100" s="8">
        <f t="shared" si="73"/>
        <v>-3.4673556882151146</v>
      </c>
      <c r="AS100" s="8">
        <f t="shared" si="66"/>
        <v>-4.0635404030890641</v>
      </c>
      <c r="AT100" s="8">
        <f t="shared" si="67"/>
        <v>-13259.656471392218</v>
      </c>
      <c r="AU100" s="3">
        <f t="shared" si="68"/>
        <v>15.31082958986957</v>
      </c>
      <c r="AV100" s="8">
        <f t="shared" si="69"/>
        <v>40226.710935149866</v>
      </c>
      <c r="AX100" s="5"/>
    </row>
    <row r="101" spans="1:50" hidden="1" x14ac:dyDescent="0.35">
      <c r="A101" s="1" t="s">
        <v>0</v>
      </c>
      <c r="B101" s="4">
        <f t="shared" si="70"/>
        <v>791.89189189189301</v>
      </c>
      <c r="C101" s="7">
        <f t="shared" si="38"/>
        <v>7.9189189189189296E-2</v>
      </c>
      <c r="D101" s="9">
        <f t="shared" si="39"/>
        <v>15.587444237544689</v>
      </c>
      <c r="E101" s="6">
        <f t="shared" si="40"/>
        <v>72.168377390392166</v>
      </c>
      <c r="F101" s="3">
        <f t="shared" si="41"/>
        <v>-41.562108668901075</v>
      </c>
      <c r="G101" s="6">
        <f t="shared" si="42"/>
        <v>37.766486486486521</v>
      </c>
      <c r="H101" s="9">
        <f t="shared" si="43"/>
        <v>21.499286906448166</v>
      </c>
      <c r="I101" s="6">
        <f t="shared" si="44"/>
        <v>84.155913880510866</v>
      </c>
      <c r="J101" s="3">
        <f t="shared" si="45"/>
        <v>-45.14309895028078</v>
      </c>
      <c r="K101" s="6">
        <f t="shared" si="46"/>
        <v>33.479360939303412</v>
      </c>
      <c r="L101" s="6">
        <f t="shared" si="47"/>
        <v>13550.859939544767</v>
      </c>
      <c r="M101" s="6">
        <f t="shared" si="48"/>
        <v>68.785876481259024</v>
      </c>
      <c r="N101" s="8">
        <f t="shared" si="49"/>
        <v>-40920.117922641512</v>
      </c>
      <c r="O101" s="8"/>
      <c r="Q101">
        <f t="shared" si="50"/>
        <v>0</v>
      </c>
      <c r="R101">
        <f t="shared" si="51"/>
        <v>92.539694999999995</v>
      </c>
      <c r="S101">
        <f t="shared" si="52"/>
        <v>-146.8884922483883</v>
      </c>
      <c r="T101">
        <f t="shared" si="53"/>
        <v>-19.472621621621649</v>
      </c>
      <c r="U101">
        <f t="shared" si="54"/>
        <v>5.035542388750927</v>
      </c>
      <c r="V101">
        <f t="shared" si="55"/>
        <v>0</v>
      </c>
      <c r="W101">
        <f t="shared" si="56"/>
        <v>0</v>
      </c>
      <c r="X101">
        <f t="shared" si="57"/>
        <v>0</v>
      </c>
      <c r="Z101">
        <f t="shared" si="58"/>
        <v>-6657.6530000000002</v>
      </c>
      <c r="AA101">
        <f t="shared" si="59"/>
        <v>73281.434148648754</v>
      </c>
      <c r="AB101">
        <f t="shared" si="60"/>
        <v>-101162.99521291305</v>
      </c>
      <c r="AC101">
        <f t="shared" si="61"/>
        <v>-7710.1055880204749</v>
      </c>
      <c r="AD101">
        <f t="shared" si="62"/>
        <v>1329.2017296432646</v>
      </c>
      <c r="AE101">
        <f t="shared" si="63"/>
        <v>0</v>
      </c>
      <c r="AF101">
        <f t="shared" si="64"/>
        <v>0</v>
      </c>
      <c r="AG101">
        <f t="shared" si="65"/>
        <v>0</v>
      </c>
      <c r="AP101" s="8">
        <f t="shared" si="71"/>
        <v>5.9118426689034766</v>
      </c>
      <c r="AQ101" s="8">
        <f t="shared" si="72"/>
        <v>11.9875364901187</v>
      </c>
      <c r="AR101" s="8">
        <f t="shared" si="73"/>
        <v>-3.5809902813797052</v>
      </c>
      <c r="AS101" s="8">
        <f t="shared" si="66"/>
        <v>-4.2871255471831091</v>
      </c>
      <c r="AT101" s="8">
        <f t="shared" si="67"/>
        <v>-13529.360652638319</v>
      </c>
      <c r="AU101" s="3">
        <f t="shared" si="68"/>
        <v>15.370037399251842</v>
      </c>
      <c r="AV101" s="8">
        <f t="shared" si="69"/>
        <v>40874.974823691227</v>
      </c>
      <c r="AX101" s="5"/>
    </row>
    <row r="102" spans="1:50" hidden="1" x14ac:dyDescent="0.35">
      <c r="A102" s="1" t="s">
        <v>0</v>
      </c>
      <c r="B102" s="4">
        <f t="shared" si="70"/>
        <v>801.35135135135249</v>
      </c>
      <c r="C102" s="7">
        <f t="shared" si="38"/>
        <v>8.0135135135135246E-2</v>
      </c>
      <c r="D102" s="9">
        <f t="shared" si="39"/>
        <v>15.945817776624315</v>
      </c>
      <c r="E102" s="6">
        <f t="shared" si="40"/>
        <v>72.618246585361149</v>
      </c>
      <c r="F102" s="3">
        <f t="shared" si="41"/>
        <v>-42.246912257320588</v>
      </c>
      <c r="G102" s="6">
        <f t="shared" si="42"/>
        <v>38.003918918918949</v>
      </c>
      <c r="H102" s="9">
        <f t="shared" si="43"/>
        <v>21.816071938430131</v>
      </c>
      <c r="I102" s="6">
        <f t="shared" si="44"/>
        <v>84.553578922267164</v>
      </c>
      <c r="J102" s="3">
        <f t="shared" si="45"/>
        <v>-45.941052792521873</v>
      </c>
      <c r="K102" s="6">
        <f t="shared" si="46"/>
        <v>33.499013341588274</v>
      </c>
      <c r="L102" s="6">
        <f t="shared" si="47"/>
        <v>13820.805090499976</v>
      </c>
      <c r="M102" s="6">
        <f t="shared" si="48"/>
        <v>69.124743019559787</v>
      </c>
      <c r="N102" s="8">
        <f t="shared" si="49"/>
        <v>-41572.401140039226</v>
      </c>
      <c r="O102" s="8"/>
      <c r="Q102">
        <f t="shared" si="50"/>
        <v>0</v>
      </c>
      <c r="R102">
        <f t="shared" si="51"/>
        <v>92.539694999999995</v>
      </c>
      <c r="S102">
        <f t="shared" si="52"/>
        <v>-147.11577227270075</v>
      </c>
      <c r="T102">
        <f t="shared" si="53"/>
        <v>-19.705229729729759</v>
      </c>
      <c r="U102">
        <f t="shared" si="54"/>
        <v>5.1565639828707237</v>
      </c>
      <c r="V102">
        <f t="shared" si="55"/>
        <v>0</v>
      </c>
      <c r="W102">
        <f t="shared" si="56"/>
        <v>0</v>
      </c>
      <c r="X102">
        <f t="shared" si="57"/>
        <v>0</v>
      </c>
      <c r="Z102">
        <f t="shared" si="58"/>
        <v>-6657.6530000000002</v>
      </c>
      <c r="AA102">
        <f t="shared" si="59"/>
        <v>74156.809641891989</v>
      </c>
      <c r="AB102">
        <f t="shared" si="60"/>
        <v>-102553.5580509617</v>
      </c>
      <c r="AC102">
        <f t="shared" si="61"/>
        <v>-7895.4062363038947</v>
      </c>
      <c r="AD102">
        <f t="shared" si="62"/>
        <v>1377.4065053343888</v>
      </c>
      <c r="AE102">
        <f t="shared" si="63"/>
        <v>0</v>
      </c>
      <c r="AF102">
        <f t="shared" si="64"/>
        <v>0</v>
      </c>
      <c r="AG102">
        <f t="shared" si="65"/>
        <v>0</v>
      </c>
      <c r="AP102" s="8">
        <f t="shared" si="71"/>
        <v>5.8702541618058159</v>
      </c>
      <c r="AQ102" s="8">
        <f t="shared" si="72"/>
        <v>11.935332336906015</v>
      </c>
      <c r="AR102" s="8">
        <f t="shared" si="73"/>
        <v>-3.694140535201285</v>
      </c>
      <c r="AS102" s="8">
        <f t="shared" si="66"/>
        <v>-4.5049055773306748</v>
      </c>
      <c r="AT102" s="8">
        <f t="shared" si="67"/>
        <v>-13798.989018561546</v>
      </c>
      <c r="AU102" s="3">
        <f t="shared" si="68"/>
        <v>15.428835902707377</v>
      </c>
      <c r="AV102" s="8">
        <f t="shared" si="69"/>
        <v>41526.460087246705</v>
      </c>
      <c r="AX102" s="5"/>
    </row>
    <row r="103" spans="1:50" hidden="1" x14ac:dyDescent="0.35">
      <c r="A103" s="1" t="s">
        <v>0</v>
      </c>
      <c r="B103" s="4">
        <f t="shared" si="70"/>
        <v>810.81081081081197</v>
      </c>
      <c r="C103" s="7">
        <f t="shared" si="38"/>
        <v>8.1081081081081197E-2</v>
      </c>
      <c r="D103" s="9">
        <f t="shared" si="39"/>
        <v>16.306437298172892</v>
      </c>
      <c r="E103" s="6">
        <f t="shared" si="40"/>
        <v>73.065622751541127</v>
      </c>
      <c r="F103" s="3">
        <f t="shared" si="41"/>
        <v>-42.935959527401096</v>
      </c>
      <c r="G103" s="6">
        <f t="shared" si="42"/>
        <v>38.241351351351383</v>
      </c>
      <c r="H103" s="9">
        <f t="shared" si="43"/>
        <v>22.133070328134803</v>
      </c>
      <c r="I103" s="6">
        <f t="shared" si="44"/>
        <v>84.946841832958498</v>
      </c>
      <c r="J103" s="3">
        <f t="shared" si="45"/>
        <v>-46.742747374264056</v>
      </c>
      <c r="K103" s="6">
        <f t="shared" si="46"/>
        <v>33.524470857819573</v>
      </c>
      <c r="L103" s="6">
        <f t="shared" si="47"/>
        <v>14090.647396817578</v>
      </c>
      <c r="M103" s="6">
        <f t="shared" si="48"/>
        <v>69.459505270293292</v>
      </c>
      <c r="N103" s="8">
        <f t="shared" si="49"/>
        <v>-42227.870389906791</v>
      </c>
      <c r="O103" s="8"/>
      <c r="Q103">
        <f t="shared" si="50"/>
        <v>0</v>
      </c>
      <c r="R103">
        <f t="shared" si="51"/>
        <v>92.539694999999995</v>
      </c>
      <c r="S103">
        <f t="shared" si="52"/>
        <v>-147.34038507672133</v>
      </c>
      <c r="T103">
        <f t="shared" si="53"/>
        <v>-19.937837837837868</v>
      </c>
      <c r="U103">
        <f t="shared" si="54"/>
        <v>5.2790226442659023</v>
      </c>
      <c r="V103">
        <f t="shared" si="55"/>
        <v>0</v>
      </c>
      <c r="W103">
        <f t="shared" si="56"/>
        <v>0</v>
      </c>
      <c r="X103">
        <f t="shared" si="57"/>
        <v>0</v>
      </c>
      <c r="Z103">
        <f t="shared" si="58"/>
        <v>-6657.6530000000002</v>
      </c>
      <c r="AA103">
        <f t="shared" si="59"/>
        <v>75032.185135135238</v>
      </c>
      <c r="AB103">
        <f t="shared" si="60"/>
        <v>-103946.25817031474</v>
      </c>
      <c r="AC103">
        <f t="shared" si="61"/>
        <v>-8082.9072315559033</v>
      </c>
      <c r="AD103">
        <f t="shared" si="62"/>
        <v>1426.7628768286243</v>
      </c>
      <c r="AE103">
        <f t="shared" si="63"/>
        <v>0</v>
      </c>
      <c r="AF103">
        <f t="shared" si="64"/>
        <v>0</v>
      </c>
      <c r="AG103">
        <f t="shared" si="65"/>
        <v>0</v>
      </c>
      <c r="AP103" s="8">
        <f t="shared" si="71"/>
        <v>5.8266330299619113</v>
      </c>
      <c r="AQ103" s="8">
        <f t="shared" si="72"/>
        <v>11.88121908141737</v>
      </c>
      <c r="AR103" s="8">
        <f t="shared" si="73"/>
        <v>-3.8067878468629601</v>
      </c>
      <c r="AS103" s="8">
        <f t="shared" si="66"/>
        <v>-4.7168804935318107</v>
      </c>
      <c r="AT103" s="8">
        <f t="shared" si="67"/>
        <v>-14068.514326489443</v>
      </c>
      <c r="AU103" s="3">
        <f t="shared" si="68"/>
        <v>15.487336562665206</v>
      </c>
      <c r="AV103" s="8">
        <f t="shared" si="69"/>
        <v>42181.127642532527</v>
      </c>
      <c r="AX103" s="5"/>
    </row>
    <row r="104" spans="1:50" hidden="1" x14ac:dyDescent="0.35">
      <c r="A104" s="1" t="s">
        <v>0</v>
      </c>
      <c r="B104" s="4">
        <f t="shared" si="70"/>
        <v>820.27027027027145</v>
      </c>
      <c r="C104" s="7">
        <f t="shared" si="38"/>
        <v>8.2027027027027147E-2</v>
      </c>
      <c r="D104" s="9">
        <f t="shared" si="39"/>
        <v>16.669302802190423</v>
      </c>
      <c r="E104" s="6">
        <f t="shared" si="40"/>
        <v>73.510563724211138</v>
      </c>
      <c r="F104" s="3">
        <f t="shared" si="41"/>
        <v>-43.629227171588269</v>
      </c>
      <c r="G104" s="6">
        <f t="shared" si="42"/>
        <v>38.478783783783818</v>
      </c>
      <c r="H104" s="9">
        <f t="shared" si="43"/>
        <v>22.450336988802228</v>
      </c>
      <c r="I104" s="6">
        <f t="shared" si="44"/>
        <v>85.335872072589751</v>
      </c>
      <c r="J104" s="3">
        <f t="shared" si="45"/>
        <v>-47.548141859930261</v>
      </c>
      <c r="K104" s="6">
        <f t="shared" si="46"/>
        <v>33.55573348799733</v>
      </c>
      <c r="L104" s="6">
        <f t="shared" si="47"/>
        <v>14360.359670738297</v>
      </c>
      <c r="M104" s="6">
        <f t="shared" si="48"/>
        <v>69.790225109772607</v>
      </c>
      <c r="N104" s="8">
        <f t="shared" si="49"/>
        <v>-42886.487142277962</v>
      </c>
      <c r="O104" s="8"/>
      <c r="Q104">
        <f t="shared" si="50"/>
        <v>0</v>
      </c>
      <c r="R104">
        <f t="shared" si="51"/>
        <v>92.539694999999995</v>
      </c>
      <c r="S104">
        <f t="shared" si="52"/>
        <v>-147.5623925367631</v>
      </c>
      <c r="T104">
        <f t="shared" si="53"/>
        <v>-20.170445945945975</v>
      </c>
      <c r="U104">
        <f t="shared" si="54"/>
        <v>5.4029183729364645</v>
      </c>
      <c r="V104">
        <f t="shared" si="55"/>
        <v>0</v>
      </c>
      <c r="W104">
        <f t="shared" si="56"/>
        <v>0</v>
      </c>
      <c r="X104">
        <f t="shared" si="57"/>
        <v>0</v>
      </c>
      <c r="Z104">
        <f t="shared" si="58"/>
        <v>-6657.6530000000002</v>
      </c>
      <c r="AA104">
        <f t="shared" si="59"/>
        <v>75907.560628378487</v>
      </c>
      <c r="AB104">
        <f t="shared" si="60"/>
        <v>-105341.07063488555</v>
      </c>
      <c r="AC104">
        <f t="shared" si="61"/>
        <v>-8272.6085737765025</v>
      </c>
      <c r="AD104">
        <f t="shared" si="62"/>
        <v>1477.2844380056031</v>
      </c>
      <c r="AE104">
        <f t="shared" si="63"/>
        <v>0</v>
      </c>
      <c r="AF104">
        <f t="shared" si="64"/>
        <v>0</v>
      </c>
      <c r="AG104">
        <f t="shared" si="65"/>
        <v>0</v>
      </c>
      <c r="AP104" s="8">
        <f t="shared" si="71"/>
        <v>5.7810341866118051</v>
      </c>
      <c r="AQ104" s="8">
        <f t="shared" si="72"/>
        <v>11.825308348378613</v>
      </c>
      <c r="AR104" s="8">
        <f t="shared" si="73"/>
        <v>-3.9189146883419923</v>
      </c>
      <c r="AS104" s="8">
        <f t="shared" si="66"/>
        <v>-4.9230502957864886</v>
      </c>
      <c r="AT104" s="8">
        <f t="shared" si="67"/>
        <v>-14337.909333749494</v>
      </c>
      <c r="AU104" s="3">
        <f t="shared" si="68"/>
        <v>15.545646962817145</v>
      </c>
      <c r="AV104" s="8">
        <f t="shared" si="69"/>
        <v>42838.939000418031</v>
      </c>
      <c r="AX104" s="5"/>
    </row>
    <row r="105" spans="1:50" hidden="1" x14ac:dyDescent="0.35">
      <c r="A105" s="1" t="s">
        <v>0</v>
      </c>
      <c r="B105" s="4">
        <f t="shared" si="70"/>
        <v>829.72972972973093</v>
      </c>
      <c r="C105" s="7">
        <f t="shared" si="38"/>
        <v>8.2972972972973097E-2</v>
      </c>
      <c r="D105" s="9">
        <f t="shared" si="39"/>
        <v>17.03441428867691</v>
      </c>
      <c r="E105" s="6">
        <f t="shared" si="40"/>
        <v>73.95312534914153</v>
      </c>
      <c r="F105" s="3">
        <f t="shared" si="41"/>
        <v>-44.326692419935213</v>
      </c>
      <c r="G105" s="6">
        <f t="shared" si="42"/>
        <v>38.716216216216253</v>
      </c>
      <c r="H105" s="9">
        <f t="shared" si="43"/>
        <v>22.767926833672423</v>
      </c>
      <c r="I105" s="6">
        <f t="shared" si="44"/>
        <v>85.720833271814783</v>
      </c>
      <c r="J105" s="3">
        <f t="shared" si="45"/>
        <v>-48.357196989157771</v>
      </c>
      <c r="K105" s="6">
        <f t="shared" si="46"/>
        <v>33.592801232121538</v>
      </c>
      <c r="L105" s="6">
        <f t="shared" si="47"/>
        <v>14629.914724502822</v>
      </c>
      <c r="M105" s="6">
        <f t="shared" si="48"/>
        <v>70.116962285792283</v>
      </c>
      <c r="N105" s="8">
        <f t="shared" si="49"/>
        <v>-43548.213442357344</v>
      </c>
      <c r="O105" s="8"/>
      <c r="Q105">
        <f t="shared" si="50"/>
        <v>0</v>
      </c>
      <c r="R105">
        <f t="shared" si="51"/>
        <v>92.539694999999995</v>
      </c>
      <c r="S105">
        <f t="shared" si="52"/>
        <v>-147.7818544006206</v>
      </c>
      <c r="T105">
        <f t="shared" si="53"/>
        <v>-20.403054054054085</v>
      </c>
      <c r="U105">
        <f t="shared" si="54"/>
        <v>5.5282511688824112</v>
      </c>
      <c r="V105">
        <f t="shared" si="55"/>
        <v>0</v>
      </c>
      <c r="W105">
        <f t="shared" si="56"/>
        <v>0</v>
      </c>
      <c r="X105">
        <f t="shared" si="57"/>
        <v>0</v>
      </c>
      <c r="Z105">
        <f t="shared" si="58"/>
        <v>-6657.6530000000002</v>
      </c>
      <c r="AA105">
        <f t="shared" si="59"/>
        <v>76782.936121621722</v>
      </c>
      <c r="AB105">
        <f t="shared" si="60"/>
        <v>-106737.97108375833</v>
      </c>
      <c r="AC105">
        <f t="shared" si="61"/>
        <v>-8464.5102629656922</v>
      </c>
      <c r="AD105">
        <f t="shared" si="62"/>
        <v>1528.9847827449573</v>
      </c>
      <c r="AE105">
        <f t="shared" si="63"/>
        <v>0</v>
      </c>
      <c r="AF105">
        <f t="shared" si="64"/>
        <v>0</v>
      </c>
      <c r="AG105">
        <f t="shared" si="65"/>
        <v>0</v>
      </c>
      <c r="AP105" s="8">
        <f t="shared" si="71"/>
        <v>5.7335125449955129</v>
      </c>
      <c r="AQ105" s="8">
        <f t="shared" si="72"/>
        <v>11.767707922673253</v>
      </c>
      <c r="AR105" s="8">
        <f t="shared" si="73"/>
        <v>-4.0305045692225576</v>
      </c>
      <c r="AS105" s="8">
        <f t="shared" si="66"/>
        <v>-5.1234149840947154</v>
      </c>
      <c r="AT105" s="8">
        <f t="shared" si="67"/>
        <v>-14607.146797669149</v>
      </c>
      <c r="AU105" s="3">
        <f t="shared" si="68"/>
        <v>15.6038709860225</v>
      </c>
      <c r="AV105" s="8">
        <f t="shared" si="69"/>
        <v>43499.856245368188</v>
      </c>
      <c r="AX105" s="5"/>
    </row>
    <row r="106" spans="1:50" hidden="1" x14ac:dyDescent="0.35">
      <c r="A106" s="1" t="s">
        <v>0</v>
      </c>
      <c r="B106" s="4">
        <f t="shared" si="70"/>
        <v>839.18918918919042</v>
      </c>
      <c r="C106" s="7">
        <f t="shared" si="38"/>
        <v>8.3918918918919047E-2</v>
      </c>
      <c r="D106" s="9">
        <f t="shared" si="39"/>
        <v>17.401771757632357</v>
      </c>
      <c r="E106" s="6">
        <f t="shared" si="40"/>
        <v>74.393361572811514</v>
      </c>
      <c r="F106" s="3">
        <f t="shared" si="41"/>
        <v>-45.028333021713621</v>
      </c>
      <c r="G106" s="6">
        <f t="shared" si="42"/>
        <v>38.953648648648681</v>
      </c>
      <c r="H106" s="9">
        <f t="shared" si="43"/>
        <v>23.085894775985437</v>
      </c>
      <c r="I106" s="6">
        <f t="shared" si="44"/>
        <v>86.101883496277736</v>
      </c>
      <c r="J106" s="3">
        <f t="shared" si="45"/>
        <v>-49.169875022918006</v>
      </c>
      <c r="K106" s="6">
        <f t="shared" si="46"/>
        <v>33.63567409019219</v>
      </c>
      <c r="L106" s="6">
        <f t="shared" si="47"/>
        <v>14899.285370351907</v>
      </c>
      <c r="M106" s="6">
        <f t="shared" si="48"/>
        <v>70.439774514149519</v>
      </c>
      <c r="N106" s="8">
        <f t="shared" si="49"/>
        <v>-44213.011890846625</v>
      </c>
      <c r="O106" s="8"/>
      <c r="Q106">
        <f t="shared" si="50"/>
        <v>0</v>
      </c>
      <c r="R106">
        <f t="shared" si="51"/>
        <v>92.539694999999995</v>
      </c>
      <c r="S106">
        <f t="shared" si="52"/>
        <v>-147.99882838409107</v>
      </c>
      <c r="T106">
        <f t="shared" si="53"/>
        <v>-20.635662162162191</v>
      </c>
      <c r="U106">
        <f t="shared" si="54"/>
        <v>5.6550210321037424</v>
      </c>
      <c r="V106">
        <f t="shared" si="55"/>
        <v>0</v>
      </c>
      <c r="W106">
        <f t="shared" si="56"/>
        <v>0</v>
      </c>
      <c r="X106">
        <f t="shared" si="57"/>
        <v>0</v>
      </c>
      <c r="Z106">
        <f t="shared" si="58"/>
        <v>-6657.6530000000002</v>
      </c>
      <c r="AA106">
        <f t="shared" si="59"/>
        <v>77658.311614864971</v>
      </c>
      <c r="AB106">
        <f t="shared" si="60"/>
        <v>-108136.93571151444</v>
      </c>
      <c r="AC106">
        <f t="shared" si="61"/>
        <v>-8658.6122991234733</v>
      </c>
      <c r="AD106">
        <f t="shared" si="62"/>
        <v>1581.8775049263195</v>
      </c>
      <c r="AE106">
        <f t="shared" si="63"/>
        <v>0</v>
      </c>
      <c r="AF106">
        <f t="shared" si="64"/>
        <v>0</v>
      </c>
      <c r="AG106">
        <f t="shared" si="65"/>
        <v>0</v>
      </c>
      <c r="AP106" s="8">
        <f t="shared" si="71"/>
        <v>5.6841230183530804</v>
      </c>
      <c r="AQ106" s="8">
        <f t="shared" si="72"/>
        <v>11.708521923466222</v>
      </c>
      <c r="AR106" s="8">
        <f t="shared" si="73"/>
        <v>-4.1415420012043853</v>
      </c>
      <c r="AS106" s="8">
        <f t="shared" si="66"/>
        <v>-5.3179745584564913</v>
      </c>
      <c r="AT106" s="8">
        <f t="shared" si="67"/>
        <v>-14876.199475575921</v>
      </c>
      <c r="AU106" s="3">
        <f t="shared" si="68"/>
        <v>15.662108982128217</v>
      </c>
      <c r="AV106" s="8">
        <f t="shared" si="69"/>
        <v>44163.842015823706</v>
      </c>
      <c r="AX106" s="5"/>
    </row>
    <row r="107" spans="1:50" hidden="1" x14ac:dyDescent="0.35">
      <c r="A107" s="1" t="s">
        <v>0</v>
      </c>
      <c r="B107" s="4">
        <f t="shared" si="70"/>
        <v>848.6486486486499</v>
      </c>
      <c r="C107" s="7">
        <f t="shared" si="38"/>
        <v>8.4864864864864983E-2</v>
      </c>
      <c r="D107" s="9">
        <f t="shared" si="39"/>
        <v>17.77137520905675</v>
      </c>
      <c r="E107" s="6">
        <f t="shared" si="40"/>
        <v>74.831324527570089</v>
      </c>
      <c r="F107" s="3">
        <f t="shared" si="41"/>
        <v>-45.734127227854174</v>
      </c>
      <c r="G107" s="6">
        <f t="shared" si="42"/>
        <v>39.191081081081116</v>
      </c>
      <c r="H107" s="9">
        <f t="shared" si="43"/>
        <v>23.404295728981303</v>
      </c>
      <c r="I107" s="6">
        <f t="shared" si="44"/>
        <v>86.47917549613851</v>
      </c>
      <c r="J107" s="3">
        <f t="shared" si="45"/>
        <v>-49.986139692066054</v>
      </c>
      <c r="K107" s="6">
        <f t="shared" si="46"/>
        <v>33.684352062209292</v>
      </c>
      <c r="L107" s="6">
        <f t="shared" si="47"/>
        <v>15168.444420526364</v>
      </c>
      <c r="M107" s="6">
        <f t="shared" si="48"/>
        <v>70.758717569755476</v>
      </c>
      <c r="N107" s="8">
        <f t="shared" si="49"/>
        <v>-44880.845625158101</v>
      </c>
      <c r="O107" s="8"/>
      <c r="Q107">
        <f t="shared" si="50"/>
        <v>0</v>
      </c>
      <c r="R107">
        <f t="shared" si="51"/>
        <v>92.539694999999995</v>
      </c>
      <c r="S107">
        <f t="shared" si="52"/>
        <v>-148.21337026208562</v>
      </c>
      <c r="T107">
        <f t="shared" si="53"/>
        <v>-20.868270270270301</v>
      </c>
      <c r="U107">
        <f t="shared" si="54"/>
        <v>5.7832279626004546</v>
      </c>
      <c r="V107">
        <f t="shared" si="55"/>
        <v>0</v>
      </c>
      <c r="W107">
        <f t="shared" si="56"/>
        <v>0</v>
      </c>
      <c r="X107">
        <f t="shared" si="57"/>
        <v>0</v>
      </c>
      <c r="Z107">
        <f t="shared" si="58"/>
        <v>-6657.6530000000002</v>
      </c>
      <c r="AA107">
        <f t="shared" si="59"/>
        <v>78533.687108108221</v>
      </c>
      <c r="AB107">
        <f t="shared" si="60"/>
        <v>-109537.94124944579</v>
      </c>
      <c r="AC107">
        <f t="shared" si="61"/>
        <v>-8854.9146822498442</v>
      </c>
      <c r="AD107">
        <f t="shared" si="62"/>
        <v>1635.9761984293204</v>
      </c>
      <c r="AE107">
        <f t="shared" si="63"/>
        <v>0</v>
      </c>
      <c r="AF107">
        <f t="shared" si="64"/>
        <v>0</v>
      </c>
      <c r="AG107">
        <f t="shared" si="65"/>
        <v>0</v>
      </c>
      <c r="AP107" s="8">
        <f t="shared" si="71"/>
        <v>5.6329205199245536</v>
      </c>
      <c r="AQ107" s="8">
        <f t="shared" si="72"/>
        <v>11.64785096856842</v>
      </c>
      <c r="AR107" s="8">
        <f t="shared" si="73"/>
        <v>-4.2520124642118802</v>
      </c>
      <c r="AS107" s="8">
        <f t="shared" si="66"/>
        <v>-5.5067290188718232</v>
      </c>
      <c r="AT107" s="8">
        <f t="shared" si="67"/>
        <v>-15145.040124797382</v>
      </c>
      <c r="AU107" s="3">
        <f t="shared" si="68"/>
        <v>15.720457926383034</v>
      </c>
      <c r="AV107" s="8">
        <f t="shared" si="69"/>
        <v>44830.859485466033</v>
      </c>
      <c r="AX107" s="5"/>
    </row>
    <row r="108" spans="1:50" hidden="1" x14ac:dyDescent="0.35">
      <c r="A108" s="1" t="s">
        <v>0</v>
      </c>
      <c r="B108" s="4">
        <f t="shared" si="70"/>
        <v>858.10810810810938</v>
      </c>
      <c r="C108" s="7">
        <f t="shared" si="38"/>
        <v>8.5810810810810934E-2</v>
      </c>
      <c r="D108" s="9">
        <f t="shared" si="39"/>
        <v>18.143224642950106</v>
      </c>
      <c r="E108" s="6">
        <f t="shared" si="40"/>
        <v>75.267064612076709</v>
      </c>
      <c r="F108" s="3">
        <f t="shared" si="41"/>
        <v>-46.444053774169859</v>
      </c>
      <c r="G108" s="6">
        <f t="shared" si="42"/>
        <v>39.428513513513543</v>
      </c>
      <c r="H108" s="9">
        <f t="shared" si="43"/>
        <v>23.723184605900045</v>
      </c>
      <c r="I108" s="6">
        <f t="shared" si="44"/>
        <v>86.85285694176747</v>
      </c>
      <c r="J108" s="3">
        <f t="shared" si="45"/>
        <v>-50.805956148184293</v>
      </c>
      <c r="K108" s="6">
        <f t="shared" si="46"/>
        <v>33.738835148172846</v>
      </c>
      <c r="L108" s="6">
        <f t="shared" si="47"/>
        <v>15437.364687266818</v>
      </c>
      <c r="M108" s="6">
        <f t="shared" si="48"/>
        <v>71.073845372696283</v>
      </c>
      <c r="N108" s="8">
        <f t="shared" si="49"/>
        <v>-45551.678301465894</v>
      </c>
      <c r="O108" s="8"/>
      <c r="Q108">
        <f t="shared" si="50"/>
        <v>0</v>
      </c>
      <c r="R108">
        <f t="shared" si="51"/>
        <v>92.539694999999995</v>
      </c>
      <c r="S108">
        <f t="shared" si="52"/>
        <v>-148.42553395469042</v>
      </c>
      <c r="T108">
        <f t="shared" si="53"/>
        <v>-21.100878378378411</v>
      </c>
      <c r="U108">
        <f t="shared" si="54"/>
        <v>5.9128719603725521</v>
      </c>
      <c r="V108">
        <f t="shared" si="55"/>
        <v>0</v>
      </c>
      <c r="W108">
        <f t="shared" si="56"/>
        <v>0</v>
      </c>
      <c r="X108">
        <f t="shared" si="57"/>
        <v>0</v>
      </c>
      <c r="Z108">
        <f t="shared" si="58"/>
        <v>-6657.6530000000002</v>
      </c>
      <c r="AA108">
        <f t="shared" si="59"/>
        <v>79409.06260135147</v>
      </c>
      <c r="AB108">
        <f t="shared" si="60"/>
        <v>-110940.96494760615</v>
      </c>
      <c r="AC108">
        <f t="shared" si="61"/>
        <v>-9053.4174123448047</v>
      </c>
      <c r="AD108">
        <f t="shared" si="62"/>
        <v>1691.2944571335929</v>
      </c>
      <c r="AE108">
        <f t="shared" si="63"/>
        <v>0</v>
      </c>
      <c r="AF108">
        <f t="shared" si="64"/>
        <v>0</v>
      </c>
      <c r="AG108">
        <f t="shared" si="65"/>
        <v>0</v>
      </c>
      <c r="AP108" s="8">
        <f t="shared" si="71"/>
        <v>5.579959962949939</v>
      </c>
      <c r="AQ108" s="8">
        <f t="shared" si="72"/>
        <v>11.585792329690761</v>
      </c>
      <c r="AR108" s="8">
        <f t="shared" si="73"/>
        <v>-4.3619023740144343</v>
      </c>
      <c r="AS108" s="8">
        <f t="shared" si="66"/>
        <v>-5.689678365340697</v>
      </c>
      <c r="AT108" s="8">
        <f t="shared" si="67"/>
        <v>-15413.641502660917</v>
      </c>
      <c r="AU108" s="3">
        <f t="shared" si="68"/>
        <v>15.779011569071187</v>
      </c>
      <c r="AV108" s="8">
        <f t="shared" si="69"/>
        <v>45500.872345317708</v>
      </c>
      <c r="AX108" s="5"/>
    </row>
    <row r="109" spans="1:50" hidden="1" x14ac:dyDescent="0.35">
      <c r="A109" s="1" t="s">
        <v>0</v>
      </c>
      <c r="B109" s="4">
        <f t="shared" si="70"/>
        <v>867.56756756756886</v>
      </c>
      <c r="C109" s="7">
        <f t="shared" si="38"/>
        <v>8.6756756756756884E-2</v>
      </c>
      <c r="D109" s="9">
        <f t="shared" si="39"/>
        <v>18.517320059312418</v>
      </c>
      <c r="E109" s="6">
        <f t="shared" si="40"/>
        <v>75.700630567332283</v>
      </c>
      <c r="F109" s="3">
        <f t="shared" si="41"/>
        <v>-47.158091865319207</v>
      </c>
      <c r="G109" s="6">
        <f t="shared" si="42"/>
        <v>39.665945945945985</v>
      </c>
      <c r="H109" s="9">
        <f t="shared" si="43"/>
        <v>24.042616319981697</v>
      </c>
      <c r="I109" s="6">
        <f t="shared" si="44"/>
        <v>87.223070646520085</v>
      </c>
      <c r="J109" s="3">
        <f t="shared" si="45"/>
        <v>-51.629290916593938</v>
      </c>
      <c r="K109" s="6">
        <f t="shared" si="46"/>
        <v>33.799123348082844</v>
      </c>
      <c r="L109" s="6">
        <f t="shared" si="47"/>
        <v>15706.018982814072</v>
      </c>
      <c r="M109" s="6">
        <f t="shared" si="48"/>
        <v>71.385210069576644</v>
      </c>
      <c r="N109" s="8">
        <f t="shared" si="49"/>
        <v>-46225.474077548461</v>
      </c>
      <c r="O109" s="8"/>
      <c r="Q109">
        <f t="shared" si="50"/>
        <v>0</v>
      </c>
      <c r="R109">
        <f t="shared" si="51"/>
        <v>92.539694999999995</v>
      </c>
      <c r="S109">
        <f t="shared" si="52"/>
        <v>-148.63537160851016</v>
      </c>
      <c r="T109">
        <f t="shared" si="53"/>
        <v>-21.333486486486517</v>
      </c>
      <c r="U109">
        <f t="shared" si="54"/>
        <v>6.0439530254200315</v>
      </c>
      <c r="V109">
        <f t="shared" si="55"/>
        <v>0</v>
      </c>
      <c r="W109">
        <f t="shared" si="56"/>
        <v>0</v>
      </c>
      <c r="X109">
        <f t="shared" si="57"/>
        <v>0</v>
      </c>
      <c r="Z109">
        <f t="shared" si="58"/>
        <v>-6657.6530000000002</v>
      </c>
      <c r="AA109">
        <f t="shared" si="59"/>
        <v>80284.438094594705</v>
      </c>
      <c r="AB109">
        <f t="shared" si="60"/>
        <v>-112345.98455765357</v>
      </c>
      <c r="AC109">
        <f t="shared" si="61"/>
        <v>-9254.1204894083548</v>
      </c>
      <c r="AD109">
        <f t="shared" si="62"/>
        <v>1747.8458749187687</v>
      </c>
      <c r="AE109">
        <f t="shared" si="63"/>
        <v>0</v>
      </c>
      <c r="AF109">
        <f t="shared" si="64"/>
        <v>0</v>
      </c>
      <c r="AG109">
        <f t="shared" si="65"/>
        <v>0</v>
      </c>
      <c r="AP109" s="8">
        <f t="shared" si="71"/>
        <v>5.525296260669279</v>
      </c>
      <c r="AQ109" s="8">
        <f t="shared" si="72"/>
        <v>11.522440079187803</v>
      </c>
      <c r="AR109" s="8">
        <f t="shared" si="73"/>
        <v>-4.4711990512747306</v>
      </c>
      <c r="AS109" s="8">
        <f t="shared" si="66"/>
        <v>-5.8668225978631412</v>
      </c>
      <c r="AT109" s="8">
        <f t="shared" si="67"/>
        <v>-15681.976366494091</v>
      </c>
      <c r="AU109" s="3">
        <f t="shared" si="68"/>
        <v>15.837860576943442</v>
      </c>
      <c r="AV109" s="8">
        <f t="shared" si="69"/>
        <v>46173.844786631867</v>
      </c>
      <c r="AX109" s="5"/>
    </row>
    <row r="110" spans="1:50" hidden="1" x14ac:dyDescent="0.35">
      <c r="A110" s="1" t="s">
        <v>0</v>
      </c>
      <c r="B110" s="4">
        <f t="shared" si="70"/>
        <v>877.02702702702834</v>
      </c>
      <c r="C110" s="7">
        <f t="shared" si="38"/>
        <v>8.7702702702702834E-2</v>
      </c>
      <c r="D110" s="9">
        <f t="shared" si="39"/>
        <v>18.893661458143679</v>
      </c>
      <c r="E110" s="6">
        <f t="shared" si="40"/>
        <v>76.132069548587481</v>
      </c>
      <c r="F110" s="3">
        <f t="shared" si="41"/>
        <v>-47.876221159468955</v>
      </c>
      <c r="G110" s="6">
        <f t="shared" si="42"/>
        <v>39.903378378378406</v>
      </c>
      <c r="H110" s="9">
        <f t="shared" si="43"/>
        <v>24.362645784466306</v>
      </c>
      <c r="I110" s="6">
        <f t="shared" si="44"/>
        <v>87.589954777431117</v>
      </c>
      <c r="J110" s="3">
        <f t="shared" si="45"/>
        <v>-52.456111851415955</v>
      </c>
      <c r="K110" s="6">
        <f t="shared" si="46"/>
        <v>33.865216661939293</v>
      </c>
      <c r="L110" s="6">
        <f t="shared" si="47"/>
        <v>15974.380119408866</v>
      </c>
      <c r="M110" s="6">
        <f t="shared" si="48"/>
        <v>71.692862110452324</v>
      </c>
      <c r="N110" s="8">
        <f t="shared" si="49"/>
        <v>-46902.197596379818</v>
      </c>
      <c r="O110" s="8"/>
      <c r="Q110">
        <f t="shared" si="50"/>
        <v>0</v>
      </c>
      <c r="R110">
        <f t="shared" si="51"/>
        <v>92.539694999999995</v>
      </c>
      <c r="S110">
        <f t="shared" si="52"/>
        <v>-148.84293367360058</v>
      </c>
      <c r="T110">
        <f t="shared" si="53"/>
        <v>-21.566094594594627</v>
      </c>
      <c r="U110">
        <f t="shared" si="54"/>
        <v>6.1764711577428972</v>
      </c>
      <c r="V110">
        <f t="shared" si="55"/>
        <v>0</v>
      </c>
      <c r="W110">
        <f t="shared" si="56"/>
        <v>0</v>
      </c>
      <c r="X110">
        <f t="shared" si="57"/>
        <v>0</v>
      </c>
      <c r="Z110">
        <f t="shared" si="58"/>
        <v>-6657.6530000000002</v>
      </c>
      <c r="AA110">
        <f t="shared" si="59"/>
        <v>81159.813587837954</v>
      </c>
      <c r="AB110">
        <f t="shared" si="60"/>
        <v>-113752.97831644175</v>
      </c>
      <c r="AC110">
        <f t="shared" si="61"/>
        <v>-9457.0239134404965</v>
      </c>
      <c r="AD110">
        <f t="shared" si="62"/>
        <v>1805.64404566448</v>
      </c>
      <c r="AE110">
        <f t="shared" si="63"/>
        <v>0</v>
      </c>
      <c r="AF110">
        <f t="shared" si="64"/>
        <v>0</v>
      </c>
      <c r="AG110">
        <f t="shared" si="65"/>
        <v>0</v>
      </c>
      <c r="AP110" s="8">
        <f t="shared" si="71"/>
        <v>5.4689843263226265</v>
      </c>
      <c r="AQ110" s="8">
        <f t="shared" si="72"/>
        <v>11.457885228843637</v>
      </c>
      <c r="AR110" s="8">
        <f t="shared" si="73"/>
        <v>-4.5798906919469999</v>
      </c>
      <c r="AS110" s="8">
        <f t="shared" si="66"/>
        <v>-6.038161716439113</v>
      </c>
      <c r="AT110" s="8">
        <f t="shared" si="67"/>
        <v>-15950.017473624401</v>
      </c>
      <c r="AU110" s="3">
        <f t="shared" si="68"/>
        <v>15.897092666978793</v>
      </c>
      <c r="AV110" s="8">
        <f t="shared" si="69"/>
        <v>46849.7414845284</v>
      </c>
      <c r="AX110" s="5"/>
    </row>
    <row r="111" spans="1:50" hidden="1" x14ac:dyDescent="0.35">
      <c r="A111" s="1" t="s">
        <v>0</v>
      </c>
      <c r="B111" s="4">
        <f t="shared" si="70"/>
        <v>886.48648648648782</v>
      </c>
      <c r="C111" s="7">
        <f t="shared" si="38"/>
        <v>8.8648648648648784E-2</v>
      </c>
      <c r="D111" s="9">
        <f t="shared" si="39"/>
        <v>19.2722488394439</v>
      </c>
      <c r="E111" s="6">
        <f t="shared" si="40"/>
        <v>76.561427193393499</v>
      </c>
      <c r="F111" s="3">
        <f t="shared" si="41"/>
        <v>-48.598421753618553</v>
      </c>
      <c r="G111" s="6">
        <f t="shared" si="42"/>
        <v>40.140810810810848</v>
      </c>
      <c r="H111" s="9">
        <f t="shared" si="43"/>
        <v>24.683327912593903</v>
      </c>
      <c r="I111" s="6">
        <f t="shared" si="44"/>
        <v>87.953643054606715</v>
      </c>
      <c r="J111" s="3">
        <f t="shared" si="45"/>
        <v>-53.28638809257108</v>
      </c>
      <c r="K111" s="6">
        <f t="shared" si="46"/>
        <v>33.937115089742186</v>
      </c>
      <c r="L111" s="6">
        <f t="shared" si="47"/>
        <v>16242.420909291875</v>
      </c>
      <c r="M111" s="6">
        <f t="shared" si="48"/>
        <v>71.996850321635762</v>
      </c>
      <c r="N111" s="8">
        <f t="shared" si="49"/>
        <v>-47581.813970428571</v>
      </c>
      <c r="O111" s="8"/>
      <c r="Q111">
        <f t="shared" si="50"/>
        <v>0</v>
      </c>
      <c r="R111">
        <f t="shared" si="51"/>
        <v>92.539694999999995</v>
      </c>
      <c r="S111">
        <f t="shared" si="52"/>
        <v>-149.04826897627416</v>
      </c>
      <c r="T111">
        <f t="shared" si="53"/>
        <v>-21.798702702702737</v>
      </c>
      <c r="U111">
        <f t="shared" si="54"/>
        <v>6.310426357341143</v>
      </c>
      <c r="V111">
        <f t="shared" si="55"/>
        <v>0</v>
      </c>
      <c r="W111">
        <f t="shared" si="56"/>
        <v>0</v>
      </c>
      <c r="X111">
        <f t="shared" si="57"/>
        <v>0</v>
      </c>
      <c r="Z111">
        <f t="shared" si="58"/>
        <v>-6657.6530000000002</v>
      </c>
      <c r="AA111">
        <f t="shared" si="59"/>
        <v>82035.189081081204</v>
      </c>
      <c r="AB111">
        <f t="shared" si="60"/>
        <v>-115161.9249303189</v>
      </c>
      <c r="AC111">
        <f t="shared" si="61"/>
        <v>-9662.1276844412278</v>
      </c>
      <c r="AD111">
        <f t="shared" si="62"/>
        <v>1864.7025632503585</v>
      </c>
      <c r="AE111">
        <f t="shared" si="63"/>
        <v>0</v>
      </c>
      <c r="AF111">
        <f t="shared" si="64"/>
        <v>0</v>
      </c>
      <c r="AG111">
        <f t="shared" si="65"/>
        <v>0</v>
      </c>
      <c r="AP111" s="8">
        <f t="shared" si="71"/>
        <v>5.4110790731500025</v>
      </c>
      <c r="AQ111" s="8">
        <f t="shared" si="72"/>
        <v>11.392215861213216</v>
      </c>
      <c r="AR111" s="8">
        <f t="shared" si="73"/>
        <v>-4.6879663389525277</v>
      </c>
      <c r="AS111" s="8">
        <f t="shared" si="66"/>
        <v>-6.2036957210686623</v>
      </c>
      <c r="AT111" s="8">
        <f t="shared" si="67"/>
        <v>-16217.737581379282</v>
      </c>
      <c r="AU111" s="3">
        <f t="shared" si="68"/>
        <v>15.956792732970953</v>
      </c>
      <c r="AV111" s="8">
        <f t="shared" si="69"/>
        <v>47528.527582335999</v>
      </c>
      <c r="AX111" s="5"/>
    </row>
    <row r="112" spans="1:50" hidden="1" x14ac:dyDescent="0.35">
      <c r="A112" s="1" t="s">
        <v>0</v>
      </c>
      <c r="B112" s="4">
        <f t="shared" si="70"/>
        <v>895.9459459459473</v>
      </c>
      <c r="C112" s="7">
        <f t="shared" si="38"/>
        <v>8.9594594594594734E-2</v>
      </c>
      <c r="D112" s="9">
        <f t="shared" si="39"/>
        <v>19.653082203213078</v>
      </c>
      <c r="E112" s="6">
        <f t="shared" si="40"/>
        <v>76.988747686041265</v>
      </c>
      <c r="F112" s="3">
        <f t="shared" si="41"/>
        <v>-49.324674169551024</v>
      </c>
      <c r="G112" s="6">
        <f t="shared" si="42"/>
        <v>40.378243243243283</v>
      </c>
      <c r="H112" s="9">
        <f t="shared" si="43"/>
        <v>25.004717617604516</v>
      </c>
      <c r="I112" s="6">
        <f t="shared" si="44"/>
        <v>88.314264940034221</v>
      </c>
      <c r="J112" s="3">
        <f t="shared" si="45"/>
        <v>-54.120090024615443</v>
      </c>
      <c r="K112" s="6">
        <f t="shared" si="46"/>
        <v>34.014818631491543</v>
      </c>
      <c r="L112" s="6">
        <f t="shared" si="47"/>
        <v>16510.114164703897</v>
      </c>
      <c r="M112" s="6">
        <f t="shared" si="48"/>
        <v>72.297221974637779</v>
      </c>
      <c r="N112" s="8">
        <f t="shared" si="49"/>
        <v>-48264.288766627076</v>
      </c>
      <c r="O112" s="8"/>
      <c r="Q112">
        <f t="shared" si="50"/>
        <v>0</v>
      </c>
      <c r="R112">
        <f t="shared" si="51"/>
        <v>92.539694999999995</v>
      </c>
      <c r="S112">
        <f t="shared" si="52"/>
        <v>-149.2514247880417</v>
      </c>
      <c r="T112">
        <f t="shared" si="53"/>
        <v>-22.031310810810844</v>
      </c>
      <c r="U112">
        <f t="shared" si="54"/>
        <v>6.4458186242147741</v>
      </c>
      <c r="V112">
        <f t="shared" si="55"/>
        <v>0</v>
      </c>
      <c r="W112">
        <f t="shared" si="56"/>
        <v>0</v>
      </c>
      <c r="X112">
        <f t="shared" si="57"/>
        <v>0</v>
      </c>
      <c r="Z112">
        <f t="shared" si="58"/>
        <v>-6657.6530000000002</v>
      </c>
      <c r="AA112">
        <f t="shared" si="59"/>
        <v>82910.564574324439</v>
      </c>
      <c r="AB112">
        <f t="shared" si="60"/>
        <v>-116572.803560097</v>
      </c>
      <c r="AC112">
        <f t="shared" si="61"/>
        <v>-9869.4318024105487</v>
      </c>
      <c r="AD112">
        <f t="shared" si="62"/>
        <v>1925.035021556037</v>
      </c>
      <c r="AE112">
        <f t="shared" si="63"/>
        <v>0</v>
      </c>
      <c r="AF112">
        <f t="shared" si="64"/>
        <v>0</v>
      </c>
      <c r="AG112">
        <f t="shared" si="65"/>
        <v>0</v>
      </c>
      <c r="AP112" s="8">
        <f t="shared" si="71"/>
        <v>5.3516354143914384</v>
      </c>
      <c r="AQ112" s="8">
        <f t="shared" si="72"/>
        <v>11.325517253992956</v>
      </c>
      <c r="AR112" s="8">
        <f t="shared" si="73"/>
        <v>-4.7954158550644195</v>
      </c>
      <c r="AS112" s="8">
        <f t="shared" si="66"/>
        <v>-6.3634246117517392</v>
      </c>
      <c r="AT112" s="8">
        <f t="shared" si="67"/>
        <v>-16485.109447086292</v>
      </c>
      <c r="AU112" s="3">
        <f t="shared" si="68"/>
        <v>16.017042965396442</v>
      </c>
      <c r="AV112" s="8">
        <f t="shared" si="69"/>
        <v>48210.168676602458</v>
      </c>
      <c r="AX112" s="5"/>
    </row>
    <row r="113" spans="1:50" hidden="1" x14ac:dyDescent="0.35">
      <c r="A113" s="1" t="s">
        <v>0</v>
      </c>
      <c r="B113" s="4">
        <f t="shared" si="70"/>
        <v>905.40540540540678</v>
      </c>
      <c r="C113" s="7">
        <f t="shared" ref="C113:C123" si="74">B113/10000</f>
        <v>9.0540540540540684E-2</v>
      </c>
      <c r="D113" s="9">
        <f t="shared" ref="D113:D123" si="75">10*$B$3*(C113*$G$3-$H$3*2/C113+$J$3*C113^2+$K$3*2*C113^3+$L$3*3*C113^4-$I$3+$E$3)</f>
        <v>20.036161549451215</v>
      </c>
      <c r="E113" s="6">
        <f t="shared" ref="E113:E123" si="76">$B$3*($F$3+$G$3+$G$3*LN(C113)-$H$3/C113^2+$J$3*2*C113+$K$3*3*C113^2+$L$3*4*C113^3)</f>
        <v>77.414073818616473</v>
      </c>
      <c r="F113" s="3">
        <f t="shared" ref="F113:F123" si="77">($E$3-C113*($F$3+$G$3*LN(C113)+$H$3*C113^(-2)+$I$3*C113^(-1)+$J$3*C113+$K$3*C113^2+$L$3*C113^3))*$B$3*10</f>
        <v>-50.054959340377337</v>
      </c>
      <c r="G113" s="6">
        <f t="shared" ref="G113:G123" si="78">$B$3*($G$3+2*$H$3*C113^(-2)+2*$J$3*C113+ 6*$K$3*C113^2+ 12*$L$3*C113^3)</f>
        <v>40.615675675675718</v>
      </c>
      <c r="H113" s="9">
        <f t="shared" ref="H113:H123" si="79">10*$B$3*(C113*$G$7-$H$7*2/C113+$J$7*C113^2+$K$7*2*C113^3+$L$7*3*C113^4-$I$7+$E$7)</f>
        <v>25.32686981273817</v>
      </c>
      <c r="I113" s="6">
        <f t="shared" ref="I113:I123" si="80">$B$3*($F$7+$G$7+$G$7*LN(C113)-$H$7/C113^2+$J$7*2*C113+$K$7*3*C113^2+$L$7*4*C113^3)</f>
        <v>88.67194581647604</v>
      </c>
      <c r="J113" s="3">
        <f t="shared" ref="J113:J123" si="81">($E$7-C113*($F$7+$G$7*LN(C113)+$H$7*C113^(-2)+$I$7*C113^(-1)+$J$7*C113+$K$7*C113^2+$L$7*C113^3))*$B$3*10</f>
        <v>-54.957189237314594</v>
      </c>
      <c r="K113" s="6">
        <f t="shared" ref="K113:K123" si="82">$B$3*($G$7+2*$H$7*C113^(-2)+2*$J$7*C113+ 6*$K$7*C113^2+ 12*$L$7*C113^3)</f>
        <v>34.098327287187345</v>
      </c>
      <c r="L113" s="6">
        <f t="shared" ref="L113:L123" si="83">N113+M113*B113</f>
        <v>16777.432697885662</v>
      </c>
      <c r="M113" s="6">
        <f t="shared" ref="M113:M123" si="84">-SUM(Q113:X113)</f>
        <v>72.594022851488603</v>
      </c>
      <c r="N113" s="8">
        <f t="shared" ref="N113:N123" si="85">SUM(Z113:AG113)</f>
        <v>-48949.587991975735</v>
      </c>
      <c r="O113" s="8"/>
      <c r="Q113">
        <f t="shared" ref="Q113:Q123" si="86">IF( OR( E$10="д",E$10="l"),E$11/$B113,  IF( OR( E$10="g",E$10="п"),E$11*(LN($B113)+1),  $B113^(E$10-1)*E$10*E$11))</f>
        <v>0</v>
      </c>
      <c r="R113">
        <f t="shared" ref="R113:R123" si="87">IF( OR( F$10="д",F$10="l"),F$11/$B113,  IF( OR( F$10="g",F$10="п"),F$11*(LN($B113)+1),  $B113^(F$10-1)*F$10*F$11))</f>
        <v>92.539694999999995</v>
      </c>
      <c r="S113">
        <f t="shared" ref="S113:S123" si="88">IF( OR( G$10="д",G$10="l"),G$11/$B113,  IF( OR( G$10="g",G$10="п"),G$11*(LN($B113)+1),  $B113^(G$10-1)*G$10*G$11))</f>
        <v>-149.45244689093343</v>
      </c>
      <c r="T113">
        <f t="shared" ref="T113:T123" si="89">IF( OR( H$10="д",H$10="l"),H$11/$B113,  IF( OR( H$10="g",H$10="п"),H$11*(LN($B113)+1),  $B113^(H$10-1)*H$10*H$11))</f>
        <v>-22.263918918918954</v>
      </c>
      <c r="U113">
        <f t="shared" ref="U113:U123" si="90">IF( OR( I$10="д",I$10="l"),I$11/$B113,  IF( OR( I$10="g",I$10="п"),I$11*(LN($B113)+1),  $B113^(I$10-1)*I$10*I$11))</f>
        <v>6.5826479583637889</v>
      </c>
      <c r="V113">
        <f t="shared" ref="V113:V123" si="91">IF( OR( J$10="д",J$10="l"),J$11/$B113,  IF( OR( J$10="g",J$10="п"),J$11*(LN($B113)+1),  $B113^(J$10-1)*J$10*J$11))</f>
        <v>0</v>
      </c>
      <c r="W113">
        <f t="shared" ref="W113:W123" si="92">IF( OR( K$10="д",K$10="l"),K$11/$B113,  IF( OR( K$10="g",K$10="п"),K$11*(LN($B113)+1),  $B113^(K$10-1)*K$10*K$11))</f>
        <v>0</v>
      </c>
      <c r="X113">
        <f t="shared" ref="X113:X123" si="93">IF( OR( L$10="д",L$10="l"),L$11/$B113,  IF( OR( L$10="g",L$10="п"),L$11*(LN($B113)+1),  $B113^(L$10-1)*L$10*L$11))</f>
        <v>0</v>
      </c>
      <c r="Z113">
        <f t="shared" ref="Z113:Z123" si="94">IF( OR( E$10="д",E$10="l"),E$11*LN($B113),  IF( OR( E$10="g",E$10="п"),E$11*$B113*LN($B113),  ($B113^E$10)*E$11))</f>
        <v>-6657.6530000000002</v>
      </c>
      <c r="AA113">
        <f t="shared" ref="AA113:AA123" si="95">IF( OR( F$10="д",F$10="l"),F$11*LN($B113),  IF( OR( F$10="g",F$10="п"),F$11*$B113*LN($B113),  ($B113^F$10)*F$11))</f>
        <v>83785.940067567688</v>
      </c>
      <c r="AB113">
        <f t="shared" ref="AB113:AB123" si="96">IF( OR( G$10="д",G$10="l"),G$11*LN($B113),  IF( OR( G$10="g",G$10="п"),G$11*$B113*LN($B113),  ($B113^G$10)*G$11))</f>
        <v>-117985.59380665611</v>
      </c>
      <c r="AC113">
        <f t="shared" ref="AC113:AC123" si="97">IF( OR( H$10="д",H$10="l"),H$11*LN($B113),  IF( OR( H$10="g",H$10="п"),H$11*$B113*LN($B113),  ($B113^H$10)*H$11))</f>
        <v>-10078.936267348459</v>
      </c>
      <c r="AD113">
        <f t="shared" ref="AD113:AD123" si="98">IF( OR( I$10="д",I$10="l"),I$11*LN($B113),  IF( OR( I$10="g",I$10="п"),I$11*$B113*LN($B113),  ($B113^I$10)*I$11))</f>
        <v>1986.6550144611465</v>
      </c>
      <c r="AE113">
        <f t="shared" ref="AE113:AE123" si="99">IF( OR( J$10="д",J$10="l"),J$11*LN($B113),  IF( OR( J$10="g",J$10="п"),J$11*$B113*LN($B113),  ($B113^J$10)*J$11))</f>
        <v>0</v>
      </c>
      <c r="AF113">
        <f t="shared" ref="AF113:AF123" si="100">IF( OR( K$10="д",K$10="l"),K$11*LN($B113),  IF( OR( K$10="g",K$10="п"),K$11*$B113*LN($B113),  ($B113^K$10)*K$11))</f>
        <v>0</v>
      </c>
      <c r="AG113">
        <f t="shared" ref="AG113:AG123" si="101">IF( OR( L$10="д",L$10="l"),L$11*LN($B113),  IF( OR( L$10="g",L$10="п"),L$11*$B113*LN($B113),  ($B113^L$10)*L$11))</f>
        <v>0</v>
      </c>
      <c r="AP113" s="8">
        <f t="shared" si="71"/>
        <v>5.2907082632869553</v>
      </c>
      <c r="AQ113" s="8">
        <f t="shared" si="72"/>
        <v>11.257871997859567</v>
      </c>
      <c r="AR113" s="8">
        <f t="shared" si="73"/>
        <v>-4.9022298969372571</v>
      </c>
      <c r="AS113" s="8">
        <f t="shared" ref="AS113:AS123" si="102">K113-G113</f>
        <v>-6.5173483884883723</v>
      </c>
      <c r="AT113" s="8">
        <f t="shared" ref="AT113:AT123" si="103">H113-L113</f>
        <v>-16752.105828072923</v>
      </c>
      <c r="AU113" s="3">
        <f t="shared" ref="AU113:AU123" si="104">I113-M113</f>
        <v>16.077922964987437</v>
      </c>
      <c r="AV113" s="8">
        <f t="shared" ref="AV113:AV123" si="105">J113-N113</f>
        <v>48894.630802738422</v>
      </c>
      <c r="AX113" s="5"/>
    </row>
    <row r="114" spans="1:50" hidden="1" x14ac:dyDescent="0.35">
      <c r="A114" s="1" t="s">
        <v>0</v>
      </c>
      <c r="B114" s="4">
        <f t="shared" ref="B114:B123" si="106">B113+($C$2-$C$1)/$C$48</f>
        <v>914.86486486486626</v>
      </c>
      <c r="C114" s="7">
        <f t="shared" si="74"/>
        <v>9.1486486486486621E-2</v>
      </c>
      <c r="D114" s="9">
        <f t="shared" si="75"/>
        <v>20.421486878158291</v>
      </c>
      <c r="E114" s="6">
        <f t="shared" si="76"/>
        <v>77.837447048881643</v>
      </c>
      <c r="F114" s="3">
        <f t="shared" si="77"/>
        <v>-50.789258597642998</v>
      </c>
      <c r="G114" s="6">
        <f t="shared" si="78"/>
        <v>40.853108108108138</v>
      </c>
      <c r="H114" s="9">
        <f t="shared" si="79"/>
        <v>25.649839411234911</v>
      </c>
      <c r="I114" s="6">
        <f t="shared" si="80"/>
        <v>89.026807157066969</v>
      </c>
      <c r="J114" s="3">
        <f t="shared" si="81"/>
        <v>-55.797658487865654</v>
      </c>
      <c r="K114" s="6">
        <f t="shared" si="82"/>
        <v>34.187641056829577</v>
      </c>
      <c r="L114" s="6">
        <f t="shared" si="83"/>
        <v>17044.349321077854</v>
      </c>
      <c r="M114" s="6">
        <f t="shared" si="84"/>
        <v>72.887297306664138</v>
      </c>
      <c r="N114" s="8">
        <f t="shared" si="85"/>
        <v>-49637.678079748759</v>
      </c>
      <c r="O114" s="8"/>
      <c r="Q114">
        <f t="shared" si="86"/>
        <v>0</v>
      </c>
      <c r="R114">
        <f t="shared" si="87"/>
        <v>92.539694999999995</v>
      </c>
      <c r="S114">
        <f t="shared" si="88"/>
        <v>-149.65137963942524</v>
      </c>
      <c r="T114">
        <f t="shared" si="89"/>
        <v>-22.496527027027064</v>
      </c>
      <c r="U114">
        <f t="shared" si="90"/>
        <v>6.7209143597881864</v>
      </c>
      <c r="V114">
        <f t="shared" si="91"/>
        <v>0</v>
      </c>
      <c r="W114">
        <f t="shared" si="92"/>
        <v>0</v>
      </c>
      <c r="X114">
        <f t="shared" si="93"/>
        <v>0</v>
      </c>
      <c r="Z114">
        <f t="shared" si="94"/>
        <v>-6657.6530000000002</v>
      </c>
      <c r="AA114">
        <f t="shared" si="95"/>
        <v>84661.315560810937</v>
      </c>
      <c r="AB114">
        <f t="shared" si="96"/>
        <v>-119400.27569715005</v>
      </c>
      <c r="AC114">
        <f t="shared" si="97"/>
        <v>-10290.641079254961</v>
      </c>
      <c r="AD114">
        <f t="shared" si="98"/>
        <v>2049.5761358453196</v>
      </c>
      <c r="AE114">
        <f t="shared" si="99"/>
        <v>0</v>
      </c>
      <c r="AF114">
        <f t="shared" si="100"/>
        <v>0</v>
      </c>
      <c r="AG114">
        <f t="shared" si="101"/>
        <v>0</v>
      </c>
      <c r="AP114" s="8">
        <f t="shared" ref="AP114:AP123" si="107">(H114-D114)</f>
        <v>5.2283525330766203</v>
      </c>
      <c r="AQ114" s="8">
        <f t="shared" ref="AQ114:AQ123" si="108">I114-E114</f>
        <v>11.189360108185326</v>
      </c>
      <c r="AR114" s="8">
        <f t="shared" ref="AR114:AR123" si="109">(J114-F114)</f>
        <v>-5.0083998902226554</v>
      </c>
      <c r="AS114" s="8">
        <f t="shared" si="102"/>
        <v>-6.6654670512785614</v>
      </c>
      <c r="AT114" s="8">
        <f t="shared" si="103"/>
        <v>-17018.699481666619</v>
      </c>
      <c r="AU114" s="3">
        <f t="shared" si="104"/>
        <v>16.139509850402831</v>
      </c>
      <c r="AV114" s="8">
        <f t="shared" si="105"/>
        <v>49581.880421260896</v>
      </c>
      <c r="AX114" s="5"/>
    </row>
    <row r="115" spans="1:50" hidden="1" x14ac:dyDescent="0.35">
      <c r="A115" s="1" t="s">
        <v>0</v>
      </c>
      <c r="B115" s="4">
        <f t="shared" si="106"/>
        <v>924.32432432432574</v>
      </c>
      <c r="C115" s="7">
        <f t="shared" si="74"/>
        <v>9.2432432432432571E-2</v>
      </c>
      <c r="D115" s="9">
        <f t="shared" si="75"/>
        <v>20.809058189334337</v>
      </c>
      <c r="E115" s="6">
        <f t="shared" si="76"/>
        <v>78.258907555180897</v>
      </c>
      <c r="F115" s="3">
        <f t="shared" si="77"/>
        <v>-51.527553658968124</v>
      </c>
      <c r="G115" s="6">
        <f t="shared" si="78"/>
        <v>41.09054054054058</v>
      </c>
      <c r="H115" s="9">
        <f t="shared" si="79"/>
        <v>25.973681326334773</v>
      </c>
      <c r="I115" s="6">
        <f t="shared" si="80"/>
        <v>89.378966686187482</v>
      </c>
      <c r="J115" s="3">
        <f t="shared" si="81"/>
        <v>-56.641471664681866</v>
      </c>
      <c r="K115" s="6">
        <f t="shared" si="82"/>
        <v>34.282759940418273</v>
      </c>
      <c r="L115" s="6">
        <f t="shared" si="83"/>
        <v>17310.836846521255</v>
      </c>
      <c r="M115" s="6">
        <f t="shared" si="84"/>
        <v>73.1770883258271</v>
      </c>
      <c r="N115" s="8">
        <f t="shared" si="85"/>
        <v>-50328.525876270389</v>
      </c>
      <c r="O115" s="8"/>
      <c r="Q115">
        <f t="shared" si="86"/>
        <v>0</v>
      </c>
      <c r="R115">
        <f t="shared" si="87"/>
        <v>92.539694999999995</v>
      </c>
      <c r="S115">
        <f t="shared" si="88"/>
        <v>-149.8482660191799</v>
      </c>
      <c r="T115">
        <f t="shared" si="89"/>
        <v>-22.72913513513517</v>
      </c>
      <c r="U115">
        <f t="shared" si="90"/>
        <v>6.8606178284879684</v>
      </c>
      <c r="V115">
        <f t="shared" si="91"/>
        <v>0</v>
      </c>
      <c r="W115">
        <f t="shared" si="92"/>
        <v>0</v>
      </c>
      <c r="X115">
        <f t="shared" si="93"/>
        <v>0</v>
      </c>
      <c r="Z115">
        <f t="shared" si="94"/>
        <v>-6657.6530000000002</v>
      </c>
      <c r="AA115">
        <f t="shared" si="95"/>
        <v>85536.691054054187</v>
      </c>
      <c r="AB115">
        <f t="shared" si="96"/>
        <v>-120816.8296717827</v>
      </c>
      <c r="AC115">
        <f t="shared" si="97"/>
        <v>-10504.546238130055</v>
      </c>
      <c r="AD115">
        <f t="shared" si="98"/>
        <v>2113.811979588188</v>
      </c>
      <c r="AE115">
        <f t="shared" si="99"/>
        <v>0</v>
      </c>
      <c r="AF115">
        <f t="shared" si="100"/>
        <v>0</v>
      </c>
      <c r="AG115">
        <f t="shared" si="101"/>
        <v>0</v>
      </c>
      <c r="AP115" s="8">
        <f t="shared" si="107"/>
        <v>5.1646231370004365</v>
      </c>
      <c r="AQ115" s="8">
        <f t="shared" si="108"/>
        <v>11.120059131006585</v>
      </c>
      <c r="AR115" s="8">
        <f t="shared" si="109"/>
        <v>-5.1139180057137423</v>
      </c>
      <c r="AS115" s="8">
        <f t="shared" si="102"/>
        <v>-6.8077806001223067</v>
      </c>
      <c r="AT115" s="8">
        <f t="shared" si="103"/>
        <v>-17284.863165194922</v>
      </c>
      <c r="AU115" s="3">
        <f t="shared" si="104"/>
        <v>16.201878360360382</v>
      </c>
      <c r="AV115" s="8">
        <f t="shared" si="105"/>
        <v>50271.884404605706</v>
      </c>
      <c r="AX115" s="5"/>
    </row>
    <row r="116" spans="1:50" hidden="1" x14ac:dyDescent="0.35">
      <c r="A116" s="1" t="s">
        <v>0</v>
      </c>
      <c r="B116" s="4">
        <f t="shared" si="106"/>
        <v>933.78378378378522</v>
      </c>
      <c r="C116" s="7">
        <f t="shared" si="74"/>
        <v>9.3378378378378521E-2</v>
      </c>
      <c r="D116" s="9">
        <f t="shared" si="75"/>
        <v>21.198875482979332</v>
      </c>
      <c r="E116" s="6">
        <f t="shared" si="76"/>
        <v>78.678494288549544</v>
      </c>
      <c r="F116" s="3">
        <f t="shared" si="77"/>
        <v>-52.269826616193384</v>
      </c>
      <c r="G116" s="6">
        <f t="shared" si="78"/>
        <v>41.327972972973008</v>
      </c>
      <c r="H116" s="9">
        <f t="shared" si="79"/>
        <v>26.298450471277786</v>
      </c>
      <c r="I116" s="6">
        <f t="shared" si="80"/>
        <v>89.728538532147155</v>
      </c>
      <c r="J116" s="3">
        <f t="shared" si="81"/>
        <v>-57.488603752659728</v>
      </c>
      <c r="K116" s="6">
        <f t="shared" si="82"/>
        <v>34.383683937953428</v>
      </c>
      <c r="L116" s="6">
        <f t="shared" si="83"/>
        <v>17576.868086456612</v>
      </c>
      <c r="M116" s="6">
        <f t="shared" si="84"/>
        <v>73.463437581577637</v>
      </c>
      <c r="N116" s="8">
        <f t="shared" si="85"/>
        <v>-51022.098628232881</v>
      </c>
      <c r="O116" s="8"/>
      <c r="Q116">
        <f t="shared" si="86"/>
        <v>0</v>
      </c>
      <c r="R116">
        <f t="shared" si="87"/>
        <v>92.539694999999995</v>
      </c>
      <c r="S116">
        <f t="shared" si="88"/>
        <v>-150.04314770279748</v>
      </c>
      <c r="T116">
        <f t="shared" si="89"/>
        <v>-22.96174324324328</v>
      </c>
      <c r="U116">
        <f t="shared" si="90"/>
        <v>7.0017583644631332</v>
      </c>
      <c r="V116">
        <f t="shared" si="91"/>
        <v>0</v>
      </c>
      <c r="W116">
        <f t="shared" si="92"/>
        <v>0</v>
      </c>
      <c r="X116">
        <f t="shared" si="93"/>
        <v>0</v>
      </c>
      <c r="Z116">
        <f t="shared" si="94"/>
        <v>-6657.6530000000002</v>
      </c>
      <c r="AA116">
        <f t="shared" si="95"/>
        <v>86412.066547297421</v>
      </c>
      <c r="AB116">
        <f t="shared" si="96"/>
        <v>-122235.23657112595</v>
      </c>
      <c r="AC116">
        <f t="shared" si="97"/>
        <v>-10720.651743973736</v>
      </c>
      <c r="AD116">
        <f t="shared" si="98"/>
        <v>2179.3761395693841</v>
      </c>
      <c r="AE116">
        <f t="shared" si="99"/>
        <v>0</v>
      </c>
      <c r="AF116">
        <f t="shared" si="100"/>
        <v>0</v>
      </c>
      <c r="AG116">
        <f t="shared" si="101"/>
        <v>0</v>
      </c>
      <c r="AP116" s="8">
        <f t="shared" si="107"/>
        <v>5.0995749882984533</v>
      </c>
      <c r="AQ116" s="8">
        <f t="shared" si="108"/>
        <v>11.050044243597611</v>
      </c>
      <c r="AR116" s="8">
        <f t="shared" si="109"/>
        <v>-5.2187771364663433</v>
      </c>
      <c r="AS116" s="8">
        <f t="shared" si="102"/>
        <v>-6.9442890350195796</v>
      </c>
      <c r="AT116" s="8">
        <f t="shared" si="103"/>
        <v>-17550.569635985335</v>
      </c>
      <c r="AU116" s="3">
        <f t="shared" si="104"/>
        <v>16.265100950569519</v>
      </c>
      <c r="AV116" s="8">
        <f t="shared" si="105"/>
        <v>50964.610024480222</v>
      </c>
      <c r="AX116" s="5"/>
    </row>
    <row r="117" spans="1:50" hidden="1" x14ac:dyDescent="0.35">
      <c r="A117" s="1" t="s">
        <v>0</v>
      </c>
      <c r="B117" s="4">
        <f t="shared" si="106"/>
        <v>943.24324324324471</v>
      </c>
      <c r="C117" s="7">
        <f t="shared" si="74"/>
        <v>9.4324324324324471E-2</v>
      </c>
      <c r="D117" s="9">
        <f t="shared" si="75"/>
        <v>21.590938759093287</v>
      </c>
      <c r="E117" s="6">
        <f t="shared" si="76"/>
        <v>79.096245022197195</v>
      </c>
      <c r="F117" s="3">
        <f t="shared" si="77"/>
        <v>-53.016059924006342</v>
      </c>
      <c r="G117" s="6">
        <f t="shared" si="78"/>
        <v>41.56540540540545</v>
      </c>
      <c r="H117" s="9">
        <f t="shared" si="79"/>
        <v>26.624201759303993</v>
      </c>
      <c r="I117" s="6">
        <f t="shared" si="80"/>
        <v>90.075633372172859</v>
      </c>
      <c r="J117" s="3">
        <f t="shared" si="81"/>
        <v>-58.339030799853759</v>
      </c>
      <c r="K117" s="6">
        <f t="shared" si="82"/>
        <v>34.49041304943502</v>
      </c>
      <c r="L117" s="6">
        <f t="shared" si="83"/>
        <v>17842.415853124614</v>
      </c>
      <c r="M117" s="6">
        <f t="shared" si="84"/>
        <v>73.746385486393805</v>
      </c>
      <c r="N117" s="8">
        <f t="shared" si="85"/>
        <v>-51718.363970528029</v>
      </c>
      <c r="O117" s="8"/>
      <c r="Q117">
        <f t="shared" si="86"/>
        <v>0</v>
      </c>
      <c r="R117">
        <f t="shared" si="87"/>
        <v>92.539694999999995</v>
      </c>
      <c r="S117">
        <f t="shared" si="88"/>
        <v>-150.2360651027561</v>
      </c>
      <c r="T117">
        <f t="shared" si="89"/>
        <v>-23.194351351351386</v>
      </c>
      <c r="U117">
        <f t="shared" si="90"/>
        <v>7.1443359677136815</v>
      </c>
      <c r="V117">
        <f t="shared" si="91"/>
        <v>0</v>
      </c>
      <c r="W117">
        <f t="shared" si="92"/>
        <v>0</v>
      </c>
      <c r="X117">
        <f t="shared" si="93"/>
        <v>0</v>
      </c>
      <c r="Z117">
        <f t="shared" si="94"/>
        <v>-6657.6530000000002</v>
      </c>
      <c r="AA117">
        <f t="shared" si="95"/>
        <v>87287.442040540671</v>
      </c>
      <c r="AB117">
        <f t="shared" si="96"/>
        <v>-123655.47762395123</v>
      </c>
      <c r="AC117">
        <f t="shared" si="97"/>
        <v>-10938.957596786009</v>
      </c>
      <c r="AD117">
        <f t="shared" si="98"/>
        <v>2246.2822096685391</v>
      </c>
      <c r="AE117">
        <f t="shared" si="99"/>
        <v>0</v>
      </c>
      <c r="AF117">
        <f t="shared" si="100"/>
        <v>0</v>
      </c>
      <c r="AG117">
        <f t="shared" si="101"/>
        <v>0</v>
      </c>
      <c r="AP117" s="8">
        <f t="shared" si="107"/>
        <v>5.0332630002107059</v>
      </c>
      <c r="AQ117" s="8">
        <f t="shared" si="108"/>
        <v>10.979388349975665</v>
      </c>
      <c r="AR117" s="8">
        <f t="shared" si="109"/>
        <v>-5.3229708758474175</v>
      </c>
      <c r="AS117" s="8">
        <f t="shared" si="102"/>
        <v>-7.07499235597043</v>
      </c>
      <c r="AT117" s="8">
        <f t="shared" si="103"/>
        <v>-17815.791651365311</v>
      </c>
      <c r="AU117" s="3">
        <f t="shared" si="104"/>
        <v>16.329247885779054</v>
      </c>
      <c r="AV117" s="8">
        <f t="shared" si="105"/>
        <v>51660.024939728173</v>
      </c>
      <c r="AX117" s="5"/>
    </row>
    <row r="118" spans="1:50" hidden="1" x14ac:dyDescent="0.35">
      <c r="A118" s="1" t="s">
        <v>0</v>
      </c>
      <c r="B118" s="4">
        <f t="shared" si="106"/>
        <v>952.70270270270419</v>
      </c>
      <c r="C118" s="7">
        <f t="shared" si="74"/>
        <v>9.5270270270270421E-2</v>
      </c>
      <c r="D118" s="9">
        <f t="shared" si="75"/>
        <v>21.985248017676195</v>
      </c>
      <c r="E118" s="6">
        <f t="shared" si="76"/>
        <v>79.512196398522278</v>
      </c>
      <c r="F118" s="3">
        <f t="shared" si="77"/>
        <v>-53.766236389024186</v>
      </c>
      <c r="G118" s="6">
        <f t="shared" si="78"/>
        <v>41.80283783783787</v>
      </c>
      <c r="H118" s="9">
        <f t="shared" si="79"/>
        <v>26.950990103653428</v>
      </c>
      <c r="I118" s="6">
        <f t="shared" si="80"/>
        <v>90.420358570162776</v>
      </c>
      <c r="J118" s="3">
        <f t="shared" si="81"/>
        <v>-59.192729885488291</v>
      </c>
      <c r="K118" s="6">
        <f t="shared" si="82"/>
        <v>34.602947274863062</v>
      </c>
      <c r="L118" s="6">
        <f t="shared" si="83"/>
        <v>18107.452958766058</v>
      </c>
      <c r="M118" s="6">
        <f t="shared" si="84"/>
        <v>74.025971242931007</v>
      </c>
      <c r="N118" s="8">
        <f t="shared" si="85"/>
        <v>-52417.289914566973</v>
      </c>
      <c r="O118" s="8"/>
      <c r="Q118">
        <f t="shared" si="86"/>
        <v>0</v>
      </c>
      <c r="R118">
        <f t="shared" si="87"/>
        <v>92.539694999999995</v>
      </c>
      <c r="S118">
        <f t="shared" si="88"/>
        <v>-150.42705742171111</v>
      </c>
      <c r="T118">
        <f t="shared" si="89"/>
        <v>-23.426959459459496</v>
      </c>
      <c r="U118">
        <f t="shared" si="90"/>
        <v>7.2883506382396135</v>
      </c>
      <c r="V118">
        <f t="shared" si="91"/>
        <v>0</v>
      </c>
      <c r="W118">
        <f t="shared" si="92"/>
        <v>0</v>
      </c>
      <c r="X118">
        <f t="shared" si="93"/>
        <v>0</v>
      </c>
      <c r="Z118">
        <f t="shared" si="94"/>
        <v>-6657.6530000000002</v>
      </c>
      <c r="AA118">
        <f t="shared" si="95"/>
        <v>88162.81753378392</v>
      </c>
      <c r="AB118">
        <f t="shared" si="96"/>
        <v>-125077.5344355493</v>
      </c>
      <c r="AC118">
        <f t="shared" si="97"/>
        <v>-11159.463796566872</v>
      </c>
      <c r="AD118">
        <f t="shared" si="98"/>
        <v>2314.5437837652862</v>
      </c>
      <c r="AE118">
        <f t="shared" si="99"/>
        <v>0</v>
      </c>
      <c r="AF118">
        <f t="shared" si="100"/>
        <v>0</v>
      </c>
      <c r="AG118">
        <f t="shared" si="101"/>
        <v>0</v>
      </c>
      <c r="AP118" s="8">
        <f t="shared" si="107"/>
        <v>4.965742085977233</v>
      </c>
      <c r="AQ118" s="8">
        <f t="shared" si="108"/>
        <v>10.908162171640498</v>
      </c>
      <c r="AR118" s="8">
        <f t="shared" si="109"/>
        <v>-5.4264934964641043</v>
      </c>
      <c r="AS118" s="8">
        <f t="shared" si="102"/>
        <v>-7.199890562974808</v>
      </c>
      <c r="AT118" s="8">
        <f t="shared" si="103"/>
        <v>-18080.501968662404</v>
      </c>
      <c r="AU118" s="3">
        <f t="shared" si="104"/>
        <v>16.394387327231769</v>
      </c>
      <c r="AV118" s="8">
        <f t="shared" si="105"/>
        <v>52358.097184681486</v>
      </c>
      <c r="AX118" s="5"/>
    </row>
    <row r="119" spans="1:50" hidden="1" x14ac:dyDescent="0.35">
      <c r="A119" s="1" t="s">
        <v>0</v>
      </c>
      <c r="B119" s="4">
        <f t="shared" si="106"/>
        <v>962.16216216216367</v>
      </c>
      <c r="C119" s="7">
        <f t="shared" si="74"/>
        <v>9.6216216216216371E-2</v>
      </c>
      <c r="D119" s="9">
        <f t="shared" si="75"/>
        <v>22.381803258728059</v>
      </c>
      <c r="E119" s="6">
        <f t="shared" si="76"/>
        <v>79.926383973803453</v>
      </c>
      <c r="F119" s="3">
        <f t="shared" si="77"/>
        <v>-54.520339159309977</v>
      </c>
      <c r="G119" s="6">
        <f t="shared" si="78"/>
        <v>42.040270270270312</v>
      </c>
      <c r="H119" s="9">
        <f t="shared" si="79"/>
        <v>27.278870417566107</v>
      </c>
      <c r="I119" s="6">
        <f t="shared" si="80"/>
        <v>90.762818307634987</v>
      </c>
      <c r="J119" s="3">
        <f t="shared" si="81"/>
        <v>-60.049679089239575</v>
      </c>
      <c r="K119" s="6">
        <f t="shared" si="82"/>
        <v>34.721286614237549</v>
      </c>
      <c r="L119" s="6">
        <f t="shared" si="83"/>
        <v>18371.952215621612</v>
      </c>
      <c r="M119" s="6">
        <f t="shared" si="84"/>
        <v>74.302232891836184</v>
      </c>
      <c r="N119" s="8">
        <f t="shared" si="85"/>
        <v>-53118.844837064127</v>
      </c>
      <c r="O119" s="8"/>
      <c r="Q119">
        <f t="shared" si="86"/>
        <v>0</v>
      </c>
      <c r="R119">
        <f t="shared" si="87"/>
        <v>92.539694999999995</v>
      </c>
      <c r="S119">
        <f t="shared" si="88"/>
        <v>-150.6161627003095</v>
      </c>
      <c r="T119">
        <f t="shared" si="89"/>
        <v>-23.659567567567606</v>
      </c>
      <c r="U119">
        <f t="shared" si="90"/>
        <v>7.4338023760409282</v>
      </c>
      <c r="V119">
        <f t="shared" si="91"/>
        <v>0</v>
      </c>
      <c r="W119">
        <f t="shared" si="92"/>
        <v>0</v>
      </c>
      <c r="X119">
        <f t="shared" si="93"/>
        <v>0</v>
      </c>
      <c r="Z119">
        <f t="shared" si="94"/>
        <v>-6657.6530000000002</v>
      </c>
      <c r="AA119">
        <f t="shared" si="95"/>
        <v>89038.193027027155</v>
      </c>
      <c r="AB119">
        <f t="shared" si="96"/>
        <v>-126501.38897651421</v>
      </c>
      <c r="AC119">
        <f t="shared" si="97"/>
        <v>-11382.170343316326</v>
      </c>
      <c r="AD119">
        <f t="shared" si="98"/>
        <v>2384.1744557392567</v>
      </c>
      <c r="AE119">
        <f t="shared" si="99"/>
        <v>0</v>
      </c>
      <c r="AF119">
        <f t="shared" si="100"/>
        <v>0</v>
      </c>
      <c r="AG119">
        <f t="shared" si="101"/>
        <v>0</v>
      </c>
      <c r="AP119" s="8">
        <f t="shared" si="107"/>
        <v>4.8970671588380483</v>
      </c>
      <c r="AQ119" s="8">
        <f t="shared" si="108"/>
        <v>10.836434333831534</v>
      </c>
      <c r="AR119" s="8">
        <f t="shared" si="109"/>
        <v>-5.5293399299295984</v>
      </c>
      <c r="AS119" s="8">
        <f t="shared" si="102"/>
        <v>-7.3189836560327635</v>
      </c>
      <c r="AT119" s="8">
        <f t="shared" si="103"/>
        <v>-18344.673345204046</v>
      </c>
      <c r="AU119" s="3">
        <f t="shared" si="104"/>
        <v>16.460585415798803</v>
      </c>
      <c r="AV119" s="8">
        <f t="shared" si="105"/>
        <v>53058.795157974884</v>
      </c>
      <c r="AX119" s="5"/>
    </row>
    <row r="120" spans="1:50" hidden="1" x14ac:dyDescent="0.35">
      <c r="A120" s="1" t="s">
        <v>0</v>
      </c>
      <c r="B120" s="4">
        <f t="shared" si="106"/>
        <v>971.62162162162315</v>
      </c>
      <c r="C120" s="7">
        <f t="shared" si="74"/>
        <v>9.7162162162162322E-2</v>
      </c>
      <c r="D120" s="9">
        <f t="shared" si="75"/>
        <v>22.780604482248883</v>
      </c>
      <c r="E120" s="6">
        <f t="shared" si="76"/>
        <v>80.338842260705178</v>
      </c>
      <c r="F120" s="3">
        <f t="shared" si="77"/>
        <v>-55.278351714301273</v>
      </c>
      <c r="G120" s="6">
        <f t="shared" si="78"/>
        <v>42.277702702702747</v>
      </c>
      <c r="H120" s="9">
        <f t="shared" si="79"/>
        <v>27.607897614282081</v>
      </c>
      <c r="I120" s="6">
        <f t="shared" si="80"/>
        <v>91.103113708270001</v>
      </c>
      <c r="J120" s="3">
        <f t="shared" si="81"/>
        <v>-60.909857461726347</v>
      </c>
      <c r="K120" s="6">
        <f t="shared" si="82"/>
        <v>34.845431067558501</v>
      </c>
      <c r="L120" s="6">
        <f t="shared" si="83"/>
        <v>18635.886435932065</v>
      </c>
      <c r="M120" s="6">
        <f t="shared" si="84"/>
        <v>74.575207357223221</v>
      </c>
      <c r="N120" s="8">
        <f t="shared" si="85"/>
        <v>-53822.997469261965</v>
      </c>
      <c r="O120" s="8"/>
      <c r="Q120">
        <f t="shared" si="86"/>
        <v>0</v>
      </c>
      <c r="R120">
        <f t="shared" si="87"/>
        <v>92.539694999999995</v>
      </c>
      <c r="S120">
        <f t="shared" si="88"/>
        <v>-150.80341786266513</v>
      </c>
      <c r="T120">
        <f t="shared" si="89"/>
        <v>-23.892175675675713</v>
      </c>
      <c r="U120">
        <f t="shared" si="90"/>
        <v>7.5806911811176274</v>
      </c>
      <c r="V120">
        <f t="shared" si="91"/>
        <v>0</v>
      </c>
      <c r="W120">
        <f t="shared" si="92"/>
        <v>0</v>
      </c>
      <c r="X120">
        <f t="shared" si="93"/>
        <v>0</v>
      </c>
      <c r="Z120">
        <f t="shared" si="94"/>
        <v>-6657.6530000000002</v>
      </c>
      <c r="AA120">
        <f t="shared" si="95"/>
        <v>89913.568520270404</v>
      </c>
      <c r="AB120">
        <f t="shared" si="96"/>
        <v>-127927.02357196808</v>
      </c>
      <c r="AC120">
        <f t="shared" si="97"/>
        <v>-11607.077237034367</v>
      </c>
      <c r="AD120">
        <f t="shared" si="98"/>
        <v>2455.1878194700821</v>
      </c>
      <c r="AE120">
        <f t="shared" si="99"/>
        <v>0</v>
      </c>
      <c r="AF120">
        <f t="shared" si="100"/>
        <v>0</v>
      </c>
      <c r="AG120">
        <f t="shared" si="101"/>
        <v>0</v>
      </c>
      <c r="AP120" s="8">
        <f t="shared" si="107"/>
        <v>4.8272931320331978</v>
      </c>
      <c r="AQ120" s="8">
        <f t="shared" si="108"/>
        <v>10.764271447564823</v>
      </c>
      <c r="AR120" s="8">
        <f t="shared" si="109"/>
        <v>-5.6315057474250736</v>
      </c>
      <c r="AS120" s="8">
        <f t="shared" si="102"/>
        <v>-7.4322716351442466</v>
      </c>
      <c r="AT120" s="8">
        <f t="shared" si="103"/>
        <v>-18608.278538317783</v>
      </c>
      <c r="AU120" s="3">
        <f t="shared" si="104"/>
        <v>16.527906351046781</v>
      </c>
      <c r="AV120" s="8">
        <f t="shared" si="105"/>
        <v>53762.087611800242</v>
      </c>
      <c r="AX120" s="5"/>
    </row>
    <row r="121" spans="1:50" hidden="1" x14ac:dyDescent="0.35">
      <c r="A121" s="1" t="s">
        <v>0</v>
      </c>
      <c r="B121" s="4">
        <f t="shared" si="106"/>
        <v>981.08108108108263</v>
      </c>
      <c r="C121" s="7">
        <f t="shared" si="74"/>
        <v>9.8108108108108258E-2</v>
      </c>
      <c r="D121" s="9">
        <f t="shared" si="75"/>
        <v>23.181651688238649</v>
      </c>
      <c r="E121" s="6">
        <f t="shared" si="76"/>
        <v>80.749604768723685</v>
      </c>
      <c r="F121" s="3">
        <f t="shared" si="77"/>
        <v>-56.040257855130911</v>
      </c>
      <c r="G121" s="6">
        <f t="shared" si="78"/>
        <v>42.515135135135182</v>
      </c>
      <c r="H121" s="9">
        <f t="shared" si="79"/>
        <v>27.938126607041365</v>
      </c>
      <c r="I121" s="6">
        <f t="shared" si="80"/>
        <v>91.441342956420002</v>
      </c>
      <c r="J121" s="3">
        <f t="shared" si="81"/>
        <v>-61.773244996149188</v>
      </c>
      <c r="K121" s="6">
        <f t="shared" si="82"/>
        <v>34.975380634825889</v>
      </c>
      <c r="L121" s="6">
        <f t="shared" si="83"/>
        <v>18899.228431938114</v>
      </c>
      <c r="M121" s="6">
        <f t="shared" si="84"/>
        <v>74.844930489945</v>
      </c>
      <c r="N121" s="8">
        <f t="shared" si="85"/>
        <v>-54529.71688657561</v>
      </c>
      <c r="O121" s="8"/>
      <c r="Q121">
        <f t="shared" si="86"/>
        <v>0</v>
      </c>
      <c r="R121">
        <f t="shared" si="87"/>
        <v>92.539694999999995</v>
      </c>
      <c r="S121">
        <f t="shared" si="88"/>
        <v>-150.98885875963089</v>
      </c>
      <c r="T121">
        <f t="shared" si="89"/>
        <v>-24.124783783783823</v>
      </c>
      <c r="U121">
        <f t="shared" si="90"/>
        <v>7.7290170534697111</v>
      </c>
      <c r="V121">
        <f t="shared" si="91"/>
        <v>0</v>
      </c>
      <c r="W121">
        <f t="shared" si="92"/>
        <v>0</v>
      </c>
      <c r="X121">
        <f t="shared" si="93"/>
        <v>0</v>
      </c>
      <c r="Z121">
        <f t="shared" si="94"/>
        <v>-6657.6530000000002</v>
      </c>
      <c r="AA121">
        <f t="shared" si="95"/>
        <v>90788.944013513654</v>
      </c>
      <c r="AB121">
        <f t="shared" si="96"/>
        <v>-129354.42089120565</v>
      </c>
      <c r="AC121">
        <f t="shared" si="97"/>
        <v>-11834.184477721003</v>
      </c>
      <c r="AD121">
        <f t="shared" si="98"/>
        <v>2527.5974688373958</v>
      </c>
      <c r="AE121">
        <f t="shared" si="99"/>
        <v>0</v>
      </c>
      <c r="AF121">
        <f t="shared" si="100"/>
        <v>0</v>
      </c>
      <c r="AG121">
        <f t="shared" si="101"/>
        <v>0</v>
      </c>
      <c r="AP121" s="8">
        <f t="shared" si="107"/>
        <v>4.7564749188027164</v>
      </c>
      <c r="AQ121" s="8">
        <f t="shared" si="108"/>
        <v>10.691738187696316</v>
      </c>
      <c r="AR121" s="8">
        <f t="shared" si="109"/>
        <v>-5.7329871410182776</v>
      </c>
      <c r="AS121" s="8">
        <f t="shared" si="102"/>
        <v>-7.539754500309293</v>
      </c>
      <c r="AT121" s="8">
        <f t="shared" si="103"/>
        <v>-18871.290305331073</v>
      </c>
      <c r="AU121" s="3">
        <f t="shared" si="104"/>
        <v>16.596412466475002</v>
      </c>
      <c r="AV121" s="8">
        <f t="shared" si="105"/>
        <v>54467.943641579463</v>
      </c>
      <c r="AX121" s="5"/>
    </row>
    <row r="122" spans="1:50" hidden="1" x14ac:dyDescent="0.35">
      <c r="A122" s="1" t="s">
        <v>0</v>
      </c>
      <c r="B122" s="4">
        <f t="shared" si="106"/>
        <v>990.54054054054211</v>
      </c>
      <c r="C122" s="7">
        <f t="shared" si="74"/>
        <v>9.9054054054054208E-2</v>
      </c>
      <c r="D122" s="9">
        <f t="shared" si="75"/>
        <v>23.584944876697385</v>
      </c>
      <c r="E122" s="6">
        <f t="shared" si="76"/>
        <v>81.158704042692705</v>
      </c>
      <c r="F122" s="3">
        <f t="shared" si="77"/>
        <v>-56.806041695321326</v>
      </c>
      <c r="G122" s="6">
        <f t="shared" si="78"/>
        <v>42.752567567567603</v>
      </c>
      <c r="H122" s="9">
        <f t="shared" si="79"/>
        <v>28.269612309084014</v>
      </c>
      <c r="I122" s="6">
        <f t="shared" si="80"/>
        <v>91.777601409931876</v>
      </c>
      <c r="J122" s="3">
        <f t="shared" si="81"/>
        <v>-62.639822601024306</v>
      </c>
      <c r="K122" s="6">
        <f t="shared" si="82"/>
        <v>35.111135316039736</v>
      </c>
      <c r="L122" s="6">
        <f t="shared" si="83"/>
        <v>19161.951015880557</v>
      </c>
      <c r="M122" s="6">
        <f t="shared" si="84"/>
        <v>75.111437108789573</v>
      </c>
      <c r="N122" s="8">
        <f t="shared" si="85"/>
        <v>-55238.972498636802</v>
      </c>
      <c r="O122" s="8"/>
      <c r="Q122">
        <f t="shared" si="86"/>
        <v>0</v>
      </c>
      <c r="R122">
        <f t="shared" si="87"/>
        <v>92.539694999999995</v>
      </c>
      <c r="S122">
        <f t="shared" si="88"/>
        <v>-151.17252020999481</v>
      </c>
      <c r="T122">
        <f t="shared" si="89"/>
        <v>-24.357391891891933</v>
      </c>
      <c r="U122">
        <f t="shared" si="90"/>
        <v>7.8787799930971758</v>
      </c>
      <c r="V122">
        <f t="shared" si="91"/>
        <v>0</v>
      </c>
      <c r="W122">
        <f t="shared" si="92"/>
        <v>0</v>
      </c>
      <c r="X122">
        <f t="shared" si="93"/>
        <v>0</v>
      </c>
      <c r="Z122">
        <f t="shared" si="94"/>
        <v>-6657.6530000000002</v>
      </c>
      <c r="AA122">
        <f t="shared" si="95"/>
        <v>91664.319506756903</v>
      </c>
      <c r="AB122">
        <f t="shared" si="96"/>
        <v>-130783.5639377383</v>
      </c>
      <c r="AC122">
        <f t="shared" si="97"/>
        <v>-12063.492065376226</v>
      </c>
      <c r="AD122">
        <f t="shared" si="98"/>
        <v>2601.4169977208285</v>
      </c>
      <c r="AE122">
        <f t="shared" si="99"/>
        <v>0</v>
      </c>
      <c r="AF122">
        <f t="shared" si="100"/>
        <v>0</v>
      </c>
      <c r="AG122">
        <f t="shared" si="101"/>
        <v>0</v>
      </c>
      <c r="AP122" s="8">
        <f t="shared" si="107"/>
        <v>4.6846674323866289</v>
      </c>
      <c r="AQ122" s="8">
        <f t="shared" si="108"/>
        <v>10.618897367239171</v>
      </c>
      <c r="AR122" s="8">
        <f t="shared" si="109"/>
        <v>-5.8337809057029801</v>
      </c>
      <c r="AS122" s="8">
        <f t="shared" si="102"/>
        <v>-7.641432251527867</v>
      </c>
      <c r="AT122" s="8">
        <f t="shared" si="103"/>
        <v>-19133.681403571474</v>
      </c>
      <c r="AU122" s="3">
        <f t="shared" si="104"/>
        <v>16.666164301142302</v>
      </c>
      <c r="AV122" s="8">
        <f t="shared" si="105"/>
        <v>55176.332676035774</v>
      </c>
      <c r="AX122" s="5"/>
    </row>
    <row r="123" spans="1:50" x14ac:dyDescent="0.35">
      <c r="A123" s="1" t="s">
        <v>0</v>
      </c>
      <c r="B123" s="4">
        <f t="shared" si="106"/>
        <v>1000.0000000000016</v>
      </c>
      <c r="C123" s="7">
        <f t="shared" si="74"/>
        <v>0.10000000000000016</v>
      </c>
      <c r="D123" s="9">
        <f t="shared" si="75"/>
        <v>23.990484047625067</v>
      </c>
      <c r="E123" s="6">
        <f t="shared" si="76"/>
        <v>81.566171699459019</v>
      </c>
      <c r="F123" s="3">
        <f t="shared" si="77"/>
        <v>-57.575687651834087</v>
      </c>
      <c r="G123" s="6">
        <f t="shared" si="78"/>
        <v>42.990000000000045</v>
      </c>
      <c r="H123" s="9">
        <f t="shared" si="79"/>
        <v>28.602409633650058</v>
      </c>
      <c r="I123" s="6">
        <f t="shared" si="80"/>
        <v>92.11198170760845</v>
      </c>
      <c r="J123" s="3">
        <f t="shared" si="81"/>
        <v>-63.509572073958523</v>
      </c>
      <c r="K123" s="6">
        <f t="shared" si="82"/>
        <v>35.252695111200019</v>
      </c>
      <c r="L123" s="6">
        <f t="shared" si="83"/>
        <v>19424.027000000016</v>
      </c>
      <c r="M123" s="6">
        <f t="shared" si="84"/>
        <v>75.374761039718152</v>
      </c>
      <c r="N123" s="8">
        <f t="shared" si="85"/>
        <v>-55950.734039718256</v>
      </c>
      <c r="O123" s="8"/>
      <c r="Q123">
        <f t="shared" si="86"/>
        <v>0</v>
      </c>
      <c r="R123">
        <f t="shared" si="87"/>
        <v>92.539694999999995</v>
      </c>
      <c r="S123">
        <f t="shared" si="88"/>
        <v>-151.35443603971814</v>
      </c>
      <c r="T123">
        <f t="shared" si="89"/>
        <v>-24.590000000000039</v>
      </c>
      <c r="U123">
        <f t="shared" si="90"/>
        <v>8.029980000000025</v>
      </c>
      <c r="V123">
        <f t="shared" si="91"/>
        <v>0</v>
      </c>
      <c r="W123">
        <f t="shared" si="92"/>
        <v>0</v>
      </c>
      <c r="X123">
        <f t="shared" si="93"/>
        <v>0</v>
      </c>
      <c r="Z123">
        <f t="shared" si="94"/>
        <v>-6657.6530000000002</v>
      </c>
      <c r="AA123">
        <f t="shared" si="95"/>
        <v>92539.695000000138</v>
      </c>
      <c r="AB123">
        <f t="shared" si="96"/>
        <v>-132214.43603971836</v>
      </c>
      <c r="AC123">
        <f t="shared" si="97"/>
        <v>-12295.000000000038</v>
      </c>
      <c r="AD123">
        <f t="shared" si="98"/>
        <v>2676.6600000000126</v>
      </c>
      <c r="AE123">
        <f t="shared" si="99"/>
        <v>0</v>
      </c>
      <c r="AF123">
        <f t="shared" si="100"/>
        <v>0</v>
      </c>
      <c r="AG123">
        <f t="shared" si="101"/>
        <v>0</v>
      </c>
      <c r="AP123" s="8">
        <f t="shared" si="107"/>
        <v>4.6119255860249915</v>
      </c>
      <c r="AQ123" s="8">
        <f t="shared" si="108"/>
        <v>10.545810008149431</v>
      </c>
      <c r="AR123" s="8">
        <f t="shared" si="109"/>
        <v>-5.9338844221244358</v>
      </c>
      <c r="AS123" s="8">
        <f t="shared" si="102"/>
        <v>-7.7373048888000255</v>
      </c>
      <c r="AT123" s="8">
        <f t="shared" si="103"/>
        <v>-19395.424590366365</v>
      </c>
      <c r="AU123" s="3">
        <f t="shared" si="104"/>
        <v>16.737220667890298</v>
      </c>
      <c r="AV123" s="8">
        <f t="shared" si="105"/>
        <v>55887.224467644301</v>
      </c>
      <c r="AX123" s="5"/>
    </row>
    <row r="124" spans="1:50" x14ac:dyDescent="0.35">
      <c r="B124" s="4"/>
      <c r="C124" s="7"/>
      <c r="D124" s="9"/>
      <c r="E124" s="6"/>
      <c r="F124" s="3"/>
      <c r="G124" s="6"/>
      <c r="H124" s="9"/>
      <c r="I124" s="6"/>
      <c r="J124" s="3"/>
      <c r="K124" s="6"/>
      <c r="L124" s="8"/>
      <c r="M124" s="8"/>
      <c r="AP124" s="8"/>
      <c r="AQ124" s="8"/>
      <c r="AR124" s="8"/>
      <c r="AS124" s="8"/>
      <c r="AT124" s="8"/>
      <c r="AU124" s="3"/>
      <c r="AV124" s="3"/>
      <c r="AW124" s="3"/>
      <c r="AX124" s="5"/>
    </row>
    <row r="125" spans="1:50" x14ac:dyDescent="0.35">
      <c r="B125" s="4"/>
      <c r="C125" s="7"/>
      <c r="D125" s="9"/>
      <c r="E125" s="6"/>
      <c r="F125" s="3"/>
      <c r="G125" s="6"/>
      <c r="H125" s="9"/>
      <c r="I125" s="6"/>
      <c r="J125" s="3"/>
      <c r="K125" s="6"/>
      <c r="L125" s="8"/>
      <c r="M125" s="8"/>
      <c r="AP125" s="8"/>
      <c r="AQ125" s="8"/>
      <c r="AR125" s="8"/>
      <c r="AS125" s="8"/>
      <c r="AT125" s="8"/>
      <c r="AU125" s="3"/>
      <c r="AV125" s="3"/>
      <c r="AW125" s="3"/>
      <c r="AX125" s="5"/>
    </row>
    <row r="126" spans="1:50" x14ac:dyDescent="0.35">
      <c r="B126" s="4"/>
      <c r="C126" s="7"/>
      <c r="D126" s="9"/>
      <c r="E126" s="6"/>
      <c r="F126" s="3"/>
      <c r="G126" s="6"/>
      <c r="H126" s="9"/>
      <c r="I126" s="6"/>
      <c r="J126" s="3"/>
      <c r="K126" s="6"/>
      <c r="L126" s="8"/>
      <c r="M126" s="8"/>
      <c r="AP126" s="8"/>
      <c r="AQ126" s="8"/>
      <c r="AR126" s="8"/>
      <c r="AS126" s="8"/>
      <c r="AT126" s="8"/>
      <c r="AU126" s="3"/>
      <c r="AV126" s="3"/>
      <c r="AW126" s="3"/>
      <c r="AX126" s="5"/>
    </row>
    <row r="127" spans="1:50" x14ac:dyDescent="0.35">
      <c r="B127" s="4"/>
      <c r="C127" s="7"/>
      <c r="D127" s="9"/>
      <c r="E127" s="6"/>
      <c r="F127" s="3"/>
      <c r="G127" s="6"/>
      <c r="H127" s="9"/>
      <c r="I127" s="6"/>
      <c r="J127" s="3"/>
      <c r="K127" s="6"/>
      <c r="L127" s="8"/>
      <c r="M127" s="8"/>
      <c r="AP127" s="8"/>
      <c r="AQ127" s="8"/>
      <c r="AR127" s="8"/>
      <c r="AS127" s="8"/>
      <c r="AT127" s="8"/>
      <c r="AU127" s="3"/>
      <c r="AV127" s="3"/>
      <c r="AW127" s="3"/>
      <c r="AX127" s="5"/>
    </row>
    <row r="128" spans="1:50" x14ac:dyDescent="0.35">
      <c r="B128" s="4"/>
      <c r="C128" s="7"/>
      <c r="D128" s="9"/>
      <c r="E128" s="6"/>
      <c r="F128" s="3"/>
      <c r="G128" s="6"/>
      <c r="H128" s="9"/>
      <c r="I128" s="6"/>
      <c r="J128" s="3"/>
      <c r="K128" s="6"/>
      <c r="L128" s="8"/>
      <c r="M128" s="8"/>
      <c r="AP128" s="8"/>
      <c r="AQ128" s="8"/>
      <c r="AR128" s="8"/>
      <c r="AS128" s="8"/>
      <c r="AT128" s="8"/>
      <c r="AU128" s="3"/>
      <c r="AV128" s="3"/>
      <c r="AW128" s="3"/>
      <c r="AX128" s="5"/>
    </row>
    <row r="129" spans="2:50" x14ac:dyDescent="0.35">
      <c r="B129" s="4"/>
      <c r="C129" s="7"/>
      <c r="D129" s="9"/>
      <c r="E129" s="6"/>
      <c r="F129" s="3"/>
      <c r="G129" s="6"/>
      <c r="H129" s="9"/>
      <c r="I129" s="6"/>
      <c r="J129" s="3"/>
      <c r="K129" s="6"/>
      <c r="L129" s="8"/>
      <c r="M129" s="8"/>
      <c r="AP129" s="8"/>
      <c r="AQ129" s="8"/>
      <c r="AR129" s="8"/>
      <c r="AS129" s="8"/>
      <c r="AT129" s="8"/>
      <c r="AU129" s="3"/>
      <c r="AV129" s="3"/>
      <c r="AW129" s="3"/>
      <c r="AX129" s="5"/>
    </row>
    <row r="130" spans="2:50" x14ac:dyDescent="0.35">
      <c r="B130" s="4"/>
      <c r="C130" s="7"/>
      <c r="D130" s="9"/>
      <c r="E130" s="6"/>
      <c r="F130" s="3"/>
      <c r="G130" s="6"/>
      <c r="H130" s="9"/>
      <c r="I130" s="6"/>
      <c r="J130" s="3"/>
      <c r="K130" s="6"/>
      <c r="L130" s="8"/>
      <c r="M130" s="8"/>
      <c r="AP130" s="8"/>
      <c r="AQ130" s="8"/>
      <c r="AR130" s="8"/>
      <c r="AS130" s="8"/>
      <c r="AT130" s="8"/>
      <c r="AU130" s="3"/>
      <c r="AV130" s="3"/>
      <c r="AW130" s="3"/>
      <c r="AX130" s="5"/>
    </row>
    <row r="131" spans="2:50" x14ac:dyDescent="0.35">
      <c r="B131" s="4"/>
      <c r="C131" s="7"/>
      <c r="D131" s="9"/>
      <c r="E131" s="6"/>
      <c r="F131" s="3"/>
      <c r="G131" s="6"/>
      <c r="H131" s="9"/>
      <c r="I131" s="6"/>
      <c r="J131" s="3"/>
      <c r="K131" s="6"/>
      <c r="L131" s="8"/>
      <c r="M131" s="8"/>
      <c r="AP131" s="8"/>
      <c r="AQ131" s="8"/>
      <c r="AR131" s="8"/>
      <c r="AS131" s="8"/>
      <c r="AT131" s="8"/>
      <c r="AU131" s="3"/>
      <c r="AV131" s="3"/>
      <c r="AW131" s="3"/>
      <c r="AX131" s="5"/>
    </row>
    <row r="132" spans="2:50" x14ac:dyDescent="0.35">
      <c r="B132" s="4"/>
      <c r="C132" s="7"/>
      <c r="D132" s="9"/>
      <c r="E132" s="6"/>
      <c r="F132" s="3"/>
      <c r="G132" s="6"/>
      <c r="H132" s="9"/>
      <c r="I132" s="6"/>
      <c r="J132" s="3"/>
      <c r="K132" s="6"/>
      <c r="L132" s="8"/>
      <c r="M132" s="8"/>
      <c r="AP132" s="8"/>
      <c r="AQ132" s="8"/>
      <c r="AR132" s="8"/>
      <c r="AS132" s="8"/>
      <c r="AT132" s="8"/>
      <c r="AU132" s="3"/>
      <c r="AV132" s="3"/>
      <c r="AW132" s="3"/>
      <c r="AX132" s="5"/>
    </row>
    <row r="133" spans="2:50" x14ac:dyDescent="0.35">
      <c r="B133" s="4"/>
      <c r="C133" s="7"/>
      <c r="D133" s="9"/>
      <c r="E133" s="6"/>
      <c r="F133" s="3"/>
      <c r="G133" s="6"/>
      <c r="H133" s="9"/>
      <c r="I133" s="6"/>
      <c r="J133" s="3"/>
      <c r="K133" s="6"/>
      <c r="L133" s="8"/>
      <c r="M133" s="8"/>
      <c r="AP133" s="8"/>
      <c r="AQ133" s="8"/>
      <c r="AR133" s="8"/>
      <c r="AS133" s="8"/>
      <c r="AT133" s="8"/>
      <c r="AU133" s="3"/>
      <c r="AV133" s="3"/>
      <c r="AW133" s="3"/>
      <c r="AX133" s="5"/>
    </row>
    <row r="134" spans="2:50" x14ac:dyDescent="0.35">
      <c r="B134" s="4"/>
      <c r="C134" s="7"/>
      <c r="D134" s="9"/>
      <c r="E134" s="6"/>
      <c r="F134" s="3"/>
      <c r="G134" s="6"/>
      <c r="H134" s="9"/>
      <c r="I134" s="6"/>
      <c r="J134" s="3"/>
      <c r="K134" s="6"/>
      <c r="L134" s="8"/>
      <c r="M134" s="8"/>
      <c r="AP134" s="8"/>
      <c r="AQ134" s="8"/>
      <c r="AR134" s="8"/>
      <c r="AS134" s="8"/>
      <c r="AT134" s="8"/>
      <c r="AU134" s="3"/>
      <c r="AV134" s="3"/>
      <c r="AW134" s="3"/>
      <c r="AX134" s="5"/>
    </row>
    <row r="135" spans="2:50" x14ac:dyDescent="0.35">
      <c r="B135" s="4"/>
      <c r="C135" s="7"/>
      <c r="D135" s="9"/>
      <c r="E135" s="6"/>
      <c r="F135" s="3"/>
      <c r="G135" s="6"/>
      <c r="H135" s="9"/>
      <c r="I135" s="6"/>
      <c r="J135" s="3"/>
      <c r="K135" s="6"/>
      <c r="L135" s="8"/>
      <c r="M135" s="8"/>
      <c r="AP135" s="8"/>
      <c r="AQ135" s="8"/>
      <c r="AR135" s="8"/>
      <c r="AS135" s="8"/>
      <c r="AT135" s="8"/>
      <c r="AU135" s="3"/>
      <c r="AV135" s="3"/>
      <c r="AW135" s="3"/>
      <c r="AX135" s="5"/>
    </row>
    <row r="136" spans="2:50" x14ac:dyDescent="0.35">
      <c r="B136" s="4"/>
      <c r="C136" s="7"/>
      <c r="D136" s="9"/>
      <c r="E136" s="6"/>
      <c r="F136" s="3"/>
      <c r="G136" s="6"/>
      <c r="H136" s="9"/>
      <c r="I136" s="6"/>
      <c r="J136" s="3"/>
      <c r="K136" s="6"/>
      <c r="L136" s="8"/>
      <c r="M136" s="8"/>
      <c r="AP136" s="8"/>
      <c r="AQ136" s="8"/>
      <c r="AR136" s="8"/>
      <c r="AS136" s="8"/>
      <c r="AT136" s="8"/>
      <c r="AU136" s="3"/>
      <c r="AV136" s="3"/>
      <c r="AW136" s="3"/>
      <c r="AX136" s="5"/>
    </row>
    <row r="137" spans="2:50" x14ac:dyDescent="0.35">
      <c r="B137" s="4"/>
      <c r="C137" s="7"/>
      <c r="D137" s="9"/>
      <c r="E137" s="6"/>
      <c r="F137" s="3"/>
      <c r="G137" s="6"/>
      <c r="H137" s="9"/>
      <c r="I137" s="6"/>
      <c r="J137" s="3"/>
      <c r="K137" s="6"/>
      <c r="L137" s="8"/>
      <c r="M137" s="8"/>
      <c r="AP137" s="8"/>
      <c r="AQ137" s="8"/>
      <c r="AR137" s="8"/>
      <c r="AS137" s="8"/>
      <c r="AT137" s="8"/>
      <c r="AU137" s="3"/>
      <c r="AV137" s="3"/>
      <c r="AW137" s="3"/>
      <c r="AX137" s="5"/>
    </row>
    <row r="138" spans="2:50" x14ac:dyDescent="0.35">
      <c r="B138" s="4"/>
      <c r="C138" s="7"/>
      <c r="D138" s="9"/>
      <c r="E138" s="6"/>
      <c r="F138" s="3"/>
      <c r="G138" s="6"/>
      <c r="H138" s="9"/>
      <c r="I138" s="6"/>
      <c r="J138" s="3"/>
      <c r="K138" s="6"/>
      <c r="L138" s="8"/>
      <c r="M138" s="8"/>
      <c r="AP138" s="8"/>
      <c r="AQ138" s="8"/>
      <c r="AR138" s="8"/>
      <c r="AS138" s="8"/>
      <c r="AT138" s="8"/>
      <c r="AU138" s="3"/>
      <c r="AV138" s="3"/>
      <c r="AW138" s="3"/>
      <c r="AX138" s="5"/>
    </row>
    <row r="139" spans="2:50" x14ac:dyDescent="0.35">
      <c r="B139" s="4"/>
      <c r="C139" s="7"/>
      <c r="D139" s="9"/>
      <c r="E139" s="6"/>
      <c r="F139" s="3"/>
      <c r="G139" s="6"/>
      <c r="H139" s="9"/>
      <c r="I139" s="6"/>
      <c r="J139" s="3"/>
      <c r="K139" s="6"/>
      <c r="L139" s="8"/>
      <c r="M139" s="8"/>
      <c r="AP139" s="8"/>
      <c r="AQ139" s="8"/>
      <c r="AR139" s="8"/>
      <c r="AS139" s="8"/>
      <c r="AT139" s="8"/>
      <c r="AU139" s="3"/>
      <c r="AV139" s="3"/>
      <c r="AW139" s="3"/>
      <c r="AX139" s="5"/>
    </row>
    <row r="140" spans="2:50" x14ac:dyDescent="0.35">
      <c r="B140" s="4"/>
      <c r="C140" s="7"/>
      <c r="D140" s="9"/>
      <c r="E140" s="6"/>
      <c r="F140" s="3"/>
      <c r="G140" s="6"/>
      <c r="H140" s="9"/>
      <c r="I140" s="6"/>
      <c r="J140" s="3"/>
      <c r="K140" s="6"/>
      <c r="L140" s="8"/>
      <c r="M140" s="8"/>
      <c r="AP140" s="8"/>
      <c r="AQ140" s="8"/>
      <c r="AR140" s="8"/>
      <c r="AS140" s="8"/>
      <c r="AT140" s="8"/>
      <c r="AU140" s="3"/>
      <c r="AV140" s="3"/>
      <c r="AW140" s="3"/>
      <c r="AX140" s="5"/>
    </row>
    <row r="141" spans="2:50" x14ac:dyDescent="0.35">
      <c r="B141" s="4"/>
      <c r="C141" s="7"/>
      <c r="D141" s="9"/>
      <c r="E141" s="6"/>
      <c r="F141" s="3"/>
      <c r="G141" s="6"/>
      <c r="H141" s="9"/>
      <c r="I141" s="6"/>
      <c r="J141" s="3"/>
      <c r="K141" s="6"/>
      <c r="L141" s="8"/>
      <c r="M141" s="8"/>
      <c r="AP141" s="8"/>
      <c r="AQ141" s="8"/>
      <c r="AR141" s="8"/>
      <c r="AS141" s="8"/>
      <c r="AT141" s="8"/>
      <c r="AU141" s="3"/>
      <c r="AV141" s="3"/>
      <c r="AW141" s="3"/>
      <c r="AX141" s="5"/>
    </row>
    <row r="142" spans="2:50" x14ac:dyDescent="0.35">
      <c r="B142" s="4"/>
      <c r="C142" s="7"/>
      <c r="D142" s="9"/>
      <c r="E142" s="6"/>
      <c r="F142" s="3"/>
      <c r="G142" s="6"/>
      <c r="H142" s="9"/>
      <c r="I142" s="6"/>
      <c r="J142" s="3"/>
      <c r="K142" s="6"/>
      <c r="L142" s="8"/>
      <c r="M142" s="8"/>
      <c r="AP142" s="8"/>
      <c r="AQ142" s="8"/>
      <c r="AR142" s="8"/>
      <c r="AS142" s="8"/>
      <c r="AT142" s="8"/>
      <c r="AU142" s="3"/>
      <c r="AV142" s="3"/>
      <c r="AW142" s="3"/>
      <c r="AX142" s="5"/>
    </row>
    <row r="143" spans="2:50" x14ac:dyDescent="0.35">
      <c r="B143" s="4"/>
      <c r="C143" s="7"/>
      <c r="D143" s="9"/>
      <c r="E143" s="6"/>
      <c r="F143" s="3"/>
      <c r="G143" s="6"/>
      <c r="H143" s="9"/>
      <c r="I143" s="6"/>
      <c r="J143" s="3"/>
      <c r="K143" s="6"/>
      <c r="L143" s="8"/>
      <c r="M143" s="8"/>
      <c r="AP143" s="8"/>
      <c r="AQ143" s="8"/>
      <c r="AR143" s="8"/>
      <c r="AS143" s="8"/>
      <c r="AT143" s="8"/>
      <c r="AU143" s="3"/>
      <c r="AV143" s="3"/>
      <c r="AW143" s="3"/>
      <c r="AX143" s="5"/>
    </row>
    <row r="144" spans="2:50" x14ac:dyDescent="0.35">
      <c r="B144" s="4"/>
      <c r="C144" s="7"/>
      <c r="D144" s="9"/>
      <c r="E144" s="6"/>
      <c r="F144" s="3"/>
      <c r="G144" s="6"/>
      <c r="H144" s="9"/>
      <c r="I144" s="6"/>
      <c r="J144" s="3"/>
      <c r="K144" s="6"/>
      <c r="L144" s="8"/>
      <c r="M144" s="8"/>
      <c r="AP144" s="8"/>
      <c r="AQ144" s="8"/>
      <c r="AR144" s="8"/>
      <c r="AS144" s="8"/>
      <c r="AT144" s="8"/>
      <c r="AU144" s="3"/>
      <c r="AV144" s="3"/>
      <c r="AW144" s="3"/>
      <c r="AX144" s="5"/>
    </row>
    <row r="145" spans="2:50" x14ac:dyDescent="0.35">
      <c r="B145" s="4"/>
      <c r="C145" s="7"/>
      <c r="D145" s="9"/>
      <c r="E145" s="6"/>
      <c r="F145" s="3"/>
      <c r="G145" s="6"/>
      <c r="H145" s="9"/>
      <c r="I145" s="6"/>
      <c r="J145" s="3"/>
      <c r="K145" s="6"/>
      <c r="L145" s="8"/>
      <c r="M145" s="8"/>
      <c r="AP145" s="8"/>
      <c r="AQ145" s="8"/>
      <c r="AR145" s="8"/>
      <c r="AS145" s="8"/>
      <c r="AT145" s="8"/>
      <c r="AU145" s="3"/>
      <c r="AV145" s="3"/>
      <c r="AW145" s="3"/>
      <c r="AX145" s="5"/>
    </row>
    <row r="146" spans="2:50" x14ac:dyDescent="0.35">
      <c r="B146" s="4"/>
      <c r="C146" s="7"/>
      <c r="D146" s="9"/>
      <c r="E146" s="6"/>
      <c r="F146" s="3"/>
      <c r="G146" s="6"/>
      <c r="H146" s="9"/>
      <c r="I146" s="6"/>
      <c r="J146" s="3"/>
      <c r="K146" s="6"/>
      <c r="L146" s="8"/>
      <c r="M146" s="8"/>
      <c r="AP146" s="8"/>
      <c r="AQ146" s="8"/>
      <c r="AR146" s="8"/>
      <c r="AS146" s="8"/>
      <c r="AT146" s="8"/>
      <c r="AU146" s="3"/>
      <c r="AV146" s="3"/>
      <c r="AW146" s="3"/>
      <c r="AX146" s="5"/>
    </row>
    <row r="147" spans="2:50" x14ac:dyDescent="0.35">
      <c r="B147" s="4"/>
      <c r="C147" s="7"/>
      <c r="D147" s="9"/>
      <c r="E147" s="6"/>
      <c r="F147" s="3"/>
      <c r="G147" s="6"/>
      <c r="H147" s="9"/>
      <c r="I147" s="6"/>
      <c r="J147" s="3"/>
      <c r="K147" s="6"/>
      <c r="L147" s="8"/>
      <c r="M147" s="8"/>
      <c r="AP147" s="8"/>
      <c r="AQ147" s="8"/>
      <c r="AR147" s="8"/>
      <c r="AS147" s="8"/>
      <c r="AT147" s="8"/>
      <c r="AU147" s="3"/>
      <c r="AV147" s="3"/>
      <c r="AW147" s="3"/>
      <c r="AX147" s="5"/>
    </row>
    <row r="148" spans="2:50" x14ac:dyDescent="0.35">
      <c r="B148" s="4"/>
      <c r="C148" s="7"/>
      <c r="D148" s="9"/>
      <c r="E148" s="6"/>
      <c r="F148" s="3"/>
      <c r="G148" s="6"/>
      <c r="H148" s="9"/>
      <c r="I148" s="6"/>
      <c r="J148" s="3"/>
      <c r="K148" s="6"/>
      <c r="L148" s="8"/>
      <c r="M148" s="8"/>
      <c r="AP148" s="8"/>
      <c r="AQ148" s="8"/>
      <c r="AR148" s="8"/>
      <c r="AS148" s="8"/>
      <c r="AT148" s="8"/>
      <c r="AU148" s="3"/>
      <c r="AV148" s="3"/>
      <c r="AW148" s="3"/>
      <c r="AX148" s="5"/>
    </row>
    <row r="149" spans="2:50" x14ac:dyDescent="0.35">
      <c r="B149" s="4"/>
      <c r="C149" s="7"/>
      <c r="D149" s="9"/>
      <c r="E149" s="6"/>
      <c r="F149" s="3"/>
      <c r="G149" s="6"/>
      <c r="H149" s="9"/>
      <c r="I149" s="6"/>
      <c r="J149" s="3"/>
      <c r="K149" s="6"/>
      <c r="L149" s="8"/>
      <c r="M149" s="8"/>
      <c r="AP149" s="8"/>
      <c r="AQ149" s="8"/>
      <c r="AR149" s="8"/>
      <c r="AS149" s="8"/>
      <c r="AT149" s="8"/>
      <c r="AU149" s="3"/>
      <c r="AV149" s="3"/>
      <c r="AW149" s="3"/>
      <c r="AX149" s="5"/>
    </row>
    <row r="150" spans="2:50" x14ac:dyDescent="0.35">
      <c r="B150" s="4"/>
      <c r="C150" s="7"/>
      <c r="D150" s="9"/>
      <c r="E150" s="6"/>
      <c r="F150" s="3"/>
      <c r="G150" s="6"/>
      <c r="H150" s="9"/>
      <c r="I150" s="6"/>
      <c r="J150" s="3"/>
      <c r="K150" s="6"/>
      <c r="L150" s="8"/>
      <c r="M150" s="8"/>
      <c r="AP150" s="8"/>
      <c r="AQ150" s="8"/>
      <c r="AR150" s="8"/>
      <c r="AS150" s="8"/>
      <c r="AT150" s="8"/>
      <c r="AU150" s="3"/>
      <c r="AV150" s="3"/>
      <c r="AW150" s="3"/>
      <c r="AX150" s="5"/>
    </row>
    <row r="151" spans="2:50" x14ac:dyDescent="0.35">
      <c r="B151" s="4"/>
      <c r="C151" s="7"/>
      <c r="D151" s="9"/>
      <c r="E151" s="6"/>
      <c r="F151" s="3"/>
      <c r="G151" s="6"/>
      <c r="H151" s="9"/>
      <c r="I151" s="6"/>
      <c r="J151" s="3"/>
      <c r="K151" s="6"/>
      <c r="L151" s="8"/>
      <c r="M151" s="8"/>
      <c r="AP151" s="8"/>
      <c r="AQ151" s="8"/>
      <c r="AR151" s="8"/>
      <c r="AS151" s="8"/>
      <c r="AT151" s="8"/>
      <c r="AU151" s="3"/>
      <c r="AV151" s="3"/>
      <c r="AW151" s="3"/>
      <c r="AX151" s="5"/>
    </row>
    <row r="152" spans="2:50" x14ac:dyDescent="0.35">
      <c r="B152" s="4"/>
      <c r="C152" s="7"/>
      <c r="D152" s="9"/>
      <c r="E152" s="6"/>
      <c r="F152" s="3"/>
      <c r="G152" s="6"/>
      <c r="H152" s="9"/>
      <c r="I152" s="6"/>
      <c r="J152" s="3"/>
      <c r="K152" s="6"/>
      <c r="L152" s="8"/>
      <c r="M152" s="8"/>
      <c r="AP152" s="8"/>
      <c r="AQ152" s="8"/>
      <c r="AR152" s="8"/>
      <c r="AS152" s="8"/>
      <c r="AT152" s="8"/>
      <c r="AU152" s="3"/>
      <c r="AV152" s="3"/>
      <c r="AW152" s="3"/>
      <c r="AX152" s="5"/>
    </row>
    <row r="153" spans="2:50" x14ac:dyDescent="0.35">
      <c r="B153" s="4"/>
      <c r="C153" s="7"/>
      <c r="D153" s="9"/>
      <c r="E153" s="6"/>
      <c r="F153" s="3"/>
      <c r="G153" s="6"/>
      <c r="H153" s="9"/>
      <c r="I153" s="6"/>
      <c r="J153" s="3"/>
      <c r="K153" s="6"/>
      <c r="L153" s="8"/>
      <c r="M153" s="8"/>
      <c r="AP153" s="8"/>
      <c r="AQ153" s="8"/>
      <c r="AR153" s="8"/>
      <c r="AS153" s="8"/>
      <c r="AT153" s="8"/>
      <c r="AU153" s="3"/>
      <c r="AV153" s="3"/>
      <c r="AW153" s="3"/>
      <c r="AX153" s="5"/>
    </row>
    <row r="154" spans="2:50" x14ac:dyDescent="0.35">
      <c r="B154" s="4"/>
      <c r="C154" s="7"/>
      <c r="D154" s="9"/>
      <c r="E154" s="6"/>
      <c r="F154" s="3"/>
      <c r="G154" s="6"/>
      <c r="H154" s="9"/>
      <c r="I154" s="6"/>
      <c r="J154" s="3"/>
      <c r="K154" s="6"/>
      <c r="L154" s="8"/>
      <c r="M154" s="8"/>
      <c r="AP154" s="8"/>
      <c r="AQ154" s="8"/>
      <c r="AR154" s="8"/>
      <c r="AS154" s="8"/>
      <c r="AT154" s="8"/>
      <c r="AU154" s="3"/>
      <c r="AV154" s="3"/>
      <c r="AW154" s="3"/>
      <c r="AX154" s="5"/>
    </row>
    <row r="155" spans="2:50" x14ac:dyDescent="0.35">
      <c r="B155" s="4"/>
      <c r="C155" s="7"/>
      <c r="D155" s="9"/>
      <c r="E155" s="6"/>
      <c r="F155" s="3"/>
      <c r="G155" s="6"/>
      <c r="H155" s="9"/>
      <c r="I155" s="6"/>
      <c r="J155" s="3"/>
      <c r="K155" s="6"/>
      <c r="L155" s="8"/>
      <c r="M155" s="8"/>
      <c r="AP155" s="8"/>
      <c r="AQ155" s="8"/>
      <c r="AR155" s="8"/>
      <c r="AS155" s="8"/>
      <c r="AT155" s="8"/>
      <c r="AU155" s="3"/>
      <c r="AV155" s="3"/>
      <c r="AW155" s="3"/>
      <c r="AX155" s="5"/>
    </row>
    <row r="156" spans="2:50" x14ac:dyDescent="0.35">
      <c r="B156" s="4"/>
      <c r="C156" s="7"/>
      <c r="D156" s="9"/>
      <c r="E156" s="6"/>
      <c r="F156" s="3"/>
      <c r="G156" s="6"/>
      <c r="H156" s="9"/>
      <c r="I156" s="6"/>
      <c r="J156" s="3"/>
      <c r="K156" s="6"/>
      <c r="L156" s="8"/>
      <c r="M156" s="8"/>
      <c r="AP156" s="8"/>
      <c r="AQ156" s="8"/>
      <c r="AR156" s="8"/>
      <c r="AS156" s="8"/>
      <c r="AT156" s="8"/>
      <c r="AU156" s="3"/>
      <c r="AV156" s="3"/>
      <c r="AW156" s="3"/>
      <c r="AX156" s="5"/>
    </row>
    <row r="157" spans="2:50" x14ac:dyDescent="0.35">
      <c r="B157" s="4"/>
      <c r="C157" s="7"/>
      <c r="D157" s="9"/>
      <c r="E157" s="6"/>
      <c r="F157" s="3"/>
      <c r="G157" s="6"/>
      <c r="H157" s="9"/>
      <c r="I157" s="6"/>
      <c r="J157" s="3"/>
      <c r="K157" s="6"/>
      <c r="L157" s="8"/>
      <c r="M157" s="8"/>
      <c r="AP157" s="8"/>
      <c r="AQ157" s="8"/>
      <c r="AR157" s="8"/>
      <c r="AS157" s="8"/>
      <c r="AT157" s="8"/>
      <c r="AU157" s="3"/>
      <c r="AV157" s="3"/>
      <c r="AW157" s="3"/>
      <c r="AX157" s="5"/>
    </row>
    <row r="158" spans="2:50" x14ac:dyDescent="0.35">
      <c r="B158" s="4"/>
      <c r="C158" s="7"/>
      <c r="D158" s="9"/>
      <c r="E158" s="6"/>
      <c r="F158" s="3"/>
      <c r="G158" s="6"/>
      <c r="H158" s="9"/>
      <c r="I158" s="6"/>
      <c r="J158" s="3"/>
      <c r="K158" s="6"/>
      <c r="L158" s="8"/>
      <c r="M158" s="8"/>
      <c r="AP158" s="8"/>
      <c r="AQ158" s="8"/>
      <c r="AR158" s="8"/>
      <c r="AS158" s="8"/>
      <c r="AT158" s="8"/>
      <c r="AU158" s="3"/>
      <c r="AV158" s="3"/>
      <c r="AW158" s="3"/>
      <c r="AX158" s="5"/>
    </row>
    <row r="159" spans="2:50" x14ac:dyDescent="0.35">
      <c r="B159" s="4"/>
      <c r="C159" s="7"/>
      <c r="D159" s="9"/>
      <c r="E159" s="6"/>
      <c r="F159" s="3"/>
      <c r="G159" s="6"/>
      <c r="H159" s="9"/>
      <c r="I159" s="6"/>
      <c r="J159" s="3"/>
      <c r="K159" s="6"/>
      <c r="L159" s="8"/>
      <c r="M159" s="8"/>
      <c r="AP159" s="8"/>
      <c r="AQ159" s="8"/>
      <c r="AR159" s="8"/>
      <c r="AS159" s="8"/>
      <c r="AT159" s="8"/>
      <c r="AU159" s="3"/>
      <c r="AV159" s="3"/>
      <c r="AW159" s="3"/>
      <c r="AX159" s="5"/>
    </row>
    <row r="160" spans="2:50" x14ac:dyDescent="0.35">
      <c r="B160" s="4"/>
      <c r="C160" s="7"/>
      <c r="D160" s="9"/>
      <c r="E160" s="6"/>
      <c r="F160" s="3"/>
      <c r="G160" s="6"/>
      <c r="H160" s="9"/>
      <c r="I160" s="6"/>
      <c r="J160" s="3"/>
      <c r="K160" s="6"/>
      <c r="L160" s="8"/>
      <c r="M160" s="8"/>
      <c r="AP160" s="8"/>
      <c r="AQ160" s="8"/>
      <c r="AR160" s="8"/>
      <c r="AS160" s="8"/>
      <c r="AT160" s="8"/>
      <c r="AU160" s="3"/>
      <c r="AV160" s="3"/>
      <c r="AW160" s="3"/>
      <c r="AX160" s="5"/>
    </row>
    <row r="161" spans="2:50" x14ac:dyDescent="0.35">
      <c r="B161" s="4"/>
      <c r="C161" s="7"/>
      <c r="D161" s="9"/>
      <c r="E161" s="6"/>
      <c r="F161" s="3"/>
      <c r="G161" s="6"/>
      <c r="H161" s="9"/>
      <c r="I161" s="6"/>
      <c r="J161" s="3"/>
      <c r="K161" s="6"/>
      <c r="L161" s="8"/>
      <c r="M161" s="8"/>
      <c r="AP161" s="8"/>
      <c r="AQ161" s="8"/>
      <c r="AR161" s="8"/>
      <c r="AS161" s="8"/>
      <c r="AT161" s="8"/>
      <c r="AU161" s="3"/>
      <c r="AV161" s="3"/>
      <c r="AW161" s="3"/>
      <c r="AX161" s="5"/>
    </row>
    <row r="162" spans="2:50" x14ac:dyDescent="0.35">
      <c r="B162" s="4"/>
      <c r="C162" s="7"/>
      <c r="D162" s="9"/>
      <c r="E162" s="6"/>
      <c r="F162" s="3"/>
      <c r="G162" s="6"/>
      <c r="H162" s="9"/>
      <c r="I162" s="6"/>
      <c r="J162" s="3"/>
      <c r="K162" s="6"/>
      <c r="L162" s="8"/>
      <c r="M162" s="8"/>
      <c r="AP162" s="8"/>
      <c r="AQ162" s="8"/>
      <c r="AR162" s="8"/>
      <c r="AS162" s="8"/>
      <c r="AT162" s="8"/>
      <c r="AU162" s="3"/>
      <c r="AV162" s="3"/>
      <c r="AW162" s="3"/>
      <c r="AX162" s="5"/>
    </row>
    <row r="163" spans="2:50" x14ac:dyDescent="0.35">
      <c r="B163" s="4"/>
      <c r="C163" s="7"/>
      <c r="D163" s="9"/>
      <c r="E163" s="6"/>
      <c r="F163" s="3"/>
      <c r="G163" s="6"/>
      <c r="H163" s="9"/>
      <c r="I163" s="6"/>
      <c r="J163" s="3"/>
      <c r="K163" s="6"/>
      <c r="L163" s="8"/>
      <c r="M163" s="8"/>
      <c r="AP163" s="8"/>
      <c r="AQ163" s="8"/>
      <c r="AR163" s="8"/>
      <c r="AS163" s="8"/>
      <c r="AT163" s="8"/>
      <c r="AU163" s="3"/>
      <c r="AV163" s="3"/>
      <c r="AW163" s="3"/>
      <c r="AX163" s="5"/>
    </row>
    <row r="164" spans="2:50" x14ac:dyDescent="0.35">
      <c r="B164" s="4"/>
      <c r="C164" s="7"/>
      <c r="D164" s="9"/>
      <c r="E164" s="6"/>
      <c r="F164" s="3"/>
      <c r="G164" s="6"/>
      <c r="H164" s="9"/>
      <c r="I164" s="6"/>
      <c r="J164" s="3"/>
      <c r="K164" s="6"/>
      <c r="L164" s="8"/>
      <c r="M164" s="8"/>
      <c r="AP164" s="8"/>
      <c r="AQ164" s="8"/>
      <c r="AR164" s="8"/>
      <c r="AS164" s="8"/>
      <c r="AT164" s="8"/>
      <c r="AU164" s="3"/>
      <c r="AV164" s="3"/>
      <c r="AW164" s="3"/>
      <c r="AX164" s="5"/>
    </row>
    <row r="165" spans="2:50" x14ac:dyDescent="0.35">
      <c r="B165" s="4"/>
      <c r="C165" s="7"/>
      <c r="D165" s="9"/>
      <c r="E165" s="6"/>
      <c r="F165" s="3"/>
      <c r="G165" s="6"/>
      <c r="H165" s="9"/>
      <c r="I165" s="6"/>
      <c r="J165" s="3"/>
      <c r="K165" s="6"/>
      <c r="L165" s="8"/>
      <c r="M165" s="8"/>
      <c r="AP165" s="8"/>
      <c r="AQ165" s="8"/>
      <c r="AR165" s="8"/>
      <c r="AS165" s="8"/>
      <c r="AT165" s="8"/>
      <c r="AU165" s="3"/>
      <c r="AV165" s="3"/>
      <c r="AW165" s="3"/>
      <c r="AX165" s="5"/>
    </row>
    <row r="166" spans="2:50" x14ac:dyDescent="0.35">
      <c r="B166" s="4"/>
      <c r="C166" s="7"/>
      <c r="D166" s="9"/>
      <c r="E166" s="6"/>
      <c r="F166" s="3"/>
      <c r="G166" s="6"/>
      <c r="H166" s="9"/>
      <c r="I166" s="6"/>
      <c r="J166" s="3"/>
      <c r="K166" s="6"/>
      <c r="L166" s="8"/>
      <c r="M166" s="8"/>
      <c r="AP166" s="8"/>
      <c r="AQ166" s="8"/>
      <c r="AR166" s="8"/>
      <c r="AS166" s="8"/>
      <c r="AT166" s="8"/>
      <c r="AU166" s="3"/>
      <c r="AV166" s="3"/>
      <c r="AW166" s="3"/>
      <c r="AX166" s="5"/>
    </row>
    <row r="167" spans="2:50" x14ac:dyDescent="0.35">
      <c r="B167" s="4"/>
      <c r="C167" s="7"/>
      <c r="D167" s="9"/>
      <c r="E167" s="6"/>
      <c r="F167" s="3"/>
      <c r="G167" s="6"/>
      <c r="H167" s="9"/>
      <c r="I167" s="6"/>
      <c r="J167" s="3"/>
      <c r="K167" s="6"/>
      <c r="L167" s="8"/>
      <c r="M167" s="8"/>
      <c r="AP167" s="8"/>
      <c r="AQ167" s="8"/>
      <c r="AR167" s="8"/>
      <c r="AS167" s="8"/>
      <c r="AT167" s="8"/>
      <c r="AU167" s="3"/>
      <c r="AV167" s="3"/>
      <c r="AW167" s="3"/>
      <c r="AX167" s="5"/>
    </row>
    <row r="168" spans="2:50" x14ac:dyDescent="0.35">
      <c r="B168" s="4"/>
      <c r="C168" s="7"/>
      <c r="D168" s="9"/>
      <c r="E168" s="6"/>
      <c r="F168" s="3"/>
      <c r="G168" s="6"/>
      <c r="H168" s="9"/>
      <c r="I168" s="6"/>
      <c r="J168" s="3"/>
      <c r="K168" s="6"/>
      <c r="L168" s="8"/>
      <c r="M168" s="8"/>
      <c r="AP168" s="8"/>
      <c r="AQ168" s="8"/>
      <c r="AR168" s="8"/>
      <c r="AS168" s="8"/>
      <c r="AT168" s="8"/>
      <c r="AU168" s="3"/>
      <c r="AV168" s="3"/>
      <c r="AW168" s="3"/>
      <c r="AX168" s="5"/>
    </row>
    <row r="169" spans="2:50" x14ac:dyDescent="0.35">
      <c r="B169" s="4"/>
      <c r="C169" s="7"/>
      <c r="D169" s="9"/>
      <c r="E169" s="6"/>
      <c r="F169" s="3"/>
      <c r="G169" s="6"/>
      <c r="H169" s="9"/>
      <c r="I169" s="6"/>
      <c r="J169" s="3"/>
      <c r="K169" s="6"/>
      <c r="L169" s="8"/>
      <c r="M169" s="8"/>
      <c r="AP169" s="8"/>
      <c r="AQ169" s="8"/>
      <c r="AR169" s="8"/>
      <c r="AS169" s="8"/>
      <c r="AT169" s="8"/>
      <c r="AU169" s="3"/>
      <c r="AV169" s="3"/>
      <c r="AW169" s="3"/>
      <c r="AX169" s="5"/>
    </row>
    <row r="170" spans="2:50" ht="21.75" customHeight="1" x14ac:dyDescent="0.35">
      <c r="B170" s="4"/>
      <c r="C170" s="7"/>
      <c r="D170" s="6"/>
      <c r="E170" s="6"/>
      <c r="F170" s="5"/>
      <c r="G170" s="6"/>
      <c r="H170" s="5"/>
      <c r="I170" s="6"/>
      <c r="J170" s="5"/>
      <c r="K170" s="4"/>
      <c r="L170" s="2"/>
      <c r="M170" s="2"/>
      <c r="U170" s="2"/>
      <c r="V170" s="2"/>
      <c r="W170" s="2"/>
      <c r="X170" s="2"/>
      <c r="Y170" s="2"/>
      <c r="Z170" s="2"/>
      <c r="AA170" s="2"/>
      <c r="AB170" s="2"/>
      <c r="AP170" s="8"/>
      <c r="AQ170" s="8"/>
      <c r="AR170" s="8"/>
      <c r="AS170" s="8"/>
      <c r="AT170" s="8"/>
      <c r="AU170" s="3"/>
      <c r="AV170" s="3"/>
      <c r="AW170" s="3"/>
    </row>
    <row r="171" spans="2:50" ht="21.75" customHeight="1" x14ac:dyDescent="0.35">
      <c r="B171" s="4"/>
      <c r="C171" s="7"/>
      <c r="D171" s="6"/>
      <c r="E171" s="6"/>
      <c r="F171" s="5"/>
      <c r="G171" s="6"/>
      <c r="H171" s="5"/>
      <c r="I171" s="6"/>
      <c r="J171" s="5"/>
      <c r="K171" s="4"/>
      <c r="L171" s="2"/>
      <c r="M171" s="2"/>
      <c r="U171" s="2"/>
      <c r="V171" s="2"/>
      <c r="W171" s="2"/>
      <c r="X171" s="2"/>
      <c r="Y171" s="2"/>
      <c r="Z171" s="2"/>
      <c r="AA171" s="2"/>
      <c r="AB171" s="2"/>
      <c r="AP171" s="8"/>
      <c r="AQ171" s="8"/>
      <c r="AR171" s="8"/>
      <c r="AS171" s="8"/>
      <c r="AT171" s="8"/>
      <c r="AU171" s="3"/>
      <c r="AV171" s="3"/>
      <c r="AW171" s="3"/>
    </row>
    <row r="172" spans="2:50" ht="21.75" customHeight="1" x14ac:dyDescent="0.35">
      <c r="B172" s="4"/>
      <c r="C172" s="7"/>
      <c r="D172" s="6"/>
      <c r="E172" s="6"/>
      <c r="F172" s="5"/>
      <c r="G172" s="6"/>
      <c r="H172" s="5"/>
      <c r="I172" s="6"/>
      <c r="J172" s="5"/>
      <c r="K172" s="4"/>
      <c r="L172" s="2"/>
      <c r="M172" s="2"/>
      <c r="U172" s="2"/>
      <c r="V172" s="2"/>
      <c r="W172" s="2"/>
      <c r="X172" s="2"/>
      <c r="Y172" s="2"/>
      <c r="Z172" s="2"/>
      <c r="AA172" s="2"/>
      <c r="AB172" s="2"/>
      <c r="AP172" s="8"/>
      <c r="AQ172" s="8"/>
      <c r="AR172" s="8"/>
      <c r="AS172" s="8"/>
      <c r="AT172" s="8"/>
      <c r="AU172" s="3"/>
      <c r="AV172" s="3"/>
      <c r="AW172" s="3"/>
    </row>
    <row r="173" spans="2:50" ht="21.75" customHeight="1" x14ac:dyDescent="0.35">
      <c r="B173" s="4"/>
      <c r="C173" s="7"/>
      <c r="D173" s="6"/>
      <c r="E173" s="6"/>
      <c r="F173" s="5"/>
      <c r="G173" s="6"/>
      <c r="H173" s="5"/>
      <c r="I173" s="6"/>
      <c r="J173" s="5"/>
      <c r="K173" s="4"/>
      <c r="L173" s="2"/>
      <c r="M173" s="2"/>
      <c r="U173" s="2"/>
      <c r="V173" s="2"/>
      <c r="W173" s="2"/>
      <c r="X173" s="2"/>
      <c r="Y173" s="2"/>
      <c r="Z173" s="2"/>
      <c r="AA173" s="2"/>
      <c r="AB173" s="2"/>
      <c r="AP173" s="8"/>
      <c r="AQ173" s="8"/>
      <c r="AR173" s="8"/>
      <c r="AS173" s="8"/>
      <c r="AT173" s="8"/>
      <c r="AU173" s="3"/>
      <c r="AV173" s="3"/>
      <c r="AW173" s="3"/>
    </row>
    <row r="174" spans="2:50" ht="21.75" customHeight="1" x14ac:dyDescent="0.35">
      <c r="B174" s="4"/>
      <c r="C174" s="7"/>
      <c r="D174" s="6"/>
      <c r="E174" s="6"/>
      <c r="F174" s="5"/>
      <c r="G174" s="6"/>
      <c r="H174" s="5"/>
      <c r="I174" s="6"/>
      <c r="J174" s="5"/>
      <c r="K174" s="4"/>
      <c r="L174" s="2"/>
      <c r="M174" s="2"/>
      <c r="U174" s="2"/>
      <c r="V174" s="2"/>
      <c r="W174" s="2"/>
      <c r="X174" s="2"/>
      <c r="Y174" s="2"/>
      <c r="Z174" s="2"/>
      <c r="AA174" s="2"/>
      <c r="AB174" s="2"/>
      <c r="AP174" s="8"/>
      <c r="AQ174" s="8"/>
      <c r="AR174" s="8"/>
      <c r="AS174" s="8"/>
      <c r="AT174" s="8"/>
      <c r="AU174" s="3"/>
      <c r="AV174" s="3"/>
      <c r="AW174" s="3"/>
    </row>
    <row r="175" spans="2:50" ht="21.75" customHeight="1" x14ac:dyDescent="0.35">
      <c r="B175" s="4"/>
      <c r="C175" s="7"/>
      <c r="D175" s="6"/>
      <c r="E175" s="6"/>
      <c r="F175" s="5"/>
      <c r="G175" s="6"/>
      <c r="H175" s="5"/>
      <c r="I175" s="6"/>
      <c r="J175" s="5"/>
      <c r="K175" s="4"/>
      <c r="L175" s="2"/>
      <c r="M175" s="2"/>
      <c r="U175" s="2"/>
      <c r="V175" s="2"/>
      <c r="W175" s="2"/>
      <c r="X175" s="2"/>
      <c r="Y175" s="2"/>
      <c r="Z175" s="2"/>
      <c r="AA175" s="2"/>
      <c r="AB175" s="2"/>
      <c r="AP175" s="8"/>
      <c r="AQ175" s="8"/>
      <c r="AR175" s="8"/>
      <c r="AS175" s="8"/>
      <c r="AT175" s="8"/>
      <c r="AU175" s="3"/>
      <c r="AV175" s="3"/>
      <c r="AW175" s="3"/>
    </row>
    <row r="176" spans="2:50" ht="21.75" customHeight="1" x14ac:dyDescent="0.35">
      <c r="B176" s="4"/>
      <c r="C176" s="7"/>
      <c r="D176" s="6"/>
      <c r="E176" s="6"/>
      <c r="F176" s="5"/>
      <c r="G176" s="6"/>
      <c r="H176" s="5"/>
      <c r="I176" s="6"/>
      <c r="J176" s="5"/>
      <c r="K176" s="4"/>
      <c r="L176" s="2"/>
      <c r="M176" s="2"/>
      <c r="U176" s="2"/>
      <c r="V176" s="2"/>
      <c r="W176" s="2"/>
      <c r="X176" s="2"/>
      <c r="Y176" s="2"/>
      <c r="Z176" s="2"/>
      <c r="AA176" s="2"/>
      <c r="AB176" s="2"/>
      <c r="AP176" s="8"/>
      <c r="AQ176" s="8"/>
      <c r="AR176" s="8"/>
      <c r="AS176" s="8"/>
      <c r="AT176" s="8"/>
      <c r="AU176" s="3"/>
      <c r="AV176" s="3"/>
      <c r="AW176" s="3"/>
    </row>
    <row r="177" spans="2:49" ht="21.75" customHeight="1" x14ac:dyDescent="0.35">
      <c r="B177" s="4"/>
      <c r="C177" s="7"/>
      <c r="D177" s="6"/>
      <c r="E177" s="6"/>
      <c r="F177" s="5"/>
      <c r="G177" s="6"/>
      <c r="H177" s="5"/>
      <c r="I177" s="6"/>
      <c r="J177" s="5"/>
      <c r="K177" s="4"/>
      <c r="L177" s="2"/>
      <c r="M177" s="2"/>
      <c r="U177" s="2"/>
      <c r="V177" s="2"/>
      <c r="W177" s="2"/>
      <c r="X177" s="2"/>
      <c r="Y177" s="2"/>
      <c r="Z177" s="2"/>
      <c r="AA177" s="2"/>
      <c r="AB177" s="2"/>
      <c r="AP177" s="8"/>
      <c r="AQ177" s="8"/>
      <c r="AR177" s="8"/>
      <c r="AS177" s="8"/>
      <c r="AT177" s="8"/>
      <c r="AU177" s="3"/>
      <c r="AV177" s="3"/>
      <c r="AW177" s="3"/>
    </row>
    <row r="178" spans="2:49" ht="21.75" customHeight="1" x14ac:dyDescent="0.35">
      <c r="B178" s="4"/>
      <c r="C178" s="7"/>
      <c r="D178" s="6"/>
      <c r="E178" s="6"/>
      <c r="F178" s="5"/>
      <c r="G178" s="6"/>
      <c r="H178" s="5"/>
      <c r="I178" s="6"/>
      <c r="J178" s="5"/>
      <c r="K178" s="4"/>
      <c r="L178" s="2"/>
      <c r="M178" s="2"/>
      <c r="U178" s="2"/>
      <c r="V178" s="2"/>
      <c r="W178" s="2"/>
      <c r="X178" s="2"/>
      <c r="Y178" s="2"/>
      <c r="Z178" s="2"/>
      <c r="AA178" s="2"/>
      <c r="AB178" s="2"/>
      <c r="AP178" s="8"/>
      <c r="AQ178" s="8"/>
      <c r="AR178" s="8"/>
      <c r="AS178" s="8"/>
      <c r="AT178" s="8"/>
      <c r="AU178" s="3"/>
      <c r="AV178" s="3"/>
      <c r="AW178" s="3"/>
    </row>
    <row r="179" spans="2:49" ht="21.75" customHeight="1" x14ac:dyDescent="0.35">
      <c r="B179" s="4"/>
      <c r="C179" s="7"/>
      <c r="D179" s="6"/>
      <c r="E179" s="6"/>
      <c r="F179" s="5"/>
      <c r="G179" s="6"/>
      <c r="H179" s="5"/>
      <c r="I179" s="6"/>
      <c r="J179" s="5"/>
      <c r="K179" s="4"/>
      <c r="L179" s="2"/>
      <c r="M179" s="2"/>
      <c r="U179" s="2"/>
      <c r="V179" s="2"/>
      <c r="W179" s="2"/>
      <c r="X179" s="2"/>
      <c r="Y179" s="2"/>
      <c r="Z179" s="2"/>
      <c r="AA179" s="2"/>
      <c r="AB179" s="2"/>
      <c r="AP179" s="8"/>
      <c r="AQ179" s="8"/>
      <c r="AR179" s="8"/>
      <c r="AS179" s="8"/>
      <c r="AT179" s="8"/>
      <c r="AU179" s="3"/>
      <c r="AV179" s="3"/>
      <c r="AW179" s="3"/>
    </row>
    <row r="180" spans="2:49" ht="21.75" customHeight="1" x14ac:dyDescent="0.35">
      <c r="B180" s="4"/>
      <c r="C180" s="7"/>
      <c r="D180" s="6"/>
      <c r="E180" s="6"/>
      <c r="F180" s="5"/>
      <c r="G180" s="6"/>
      <c r="H180" s="5"/>
      <c r="I180" s="6"/>
      <c r="J180" s="5"/>
      <c r="K180" s="4"/>
      <c r="L180" s="2"/>
      <c r="M180" s="2"/>
      <c r="U180" s="2"/>
      <c r="V180" s="2"/>
      <c r="W180" s="2"/>
      <c r="X180" s="2"/>
      <c r="Y180" s="2"/>
      <c r="Z180" s="2"/>
      <c r="AA180" s="2"/>
      <c r="AB180" s="2"/>
      <c r="AP180" s="8"/>
      <c r="AQ180" s="8"/>
      <c r="AR180" s="8"/>
      <c r="AS180" s="8"/>
      <c r="AT180" s="8"/>
      <c r="AU180" s="3"/>
      <c r="AV180" s="3"/>
      <c r="AW180" s="3"/>
    </row>
    <row r="181" spans="2:49" ht="21.75" customHeight="1" x14ac:dyDescent="0.35">
      <c r="B181" s="4"/>
      <c r="C181" s="7"/>
      <c r="D181" s="6"/>
      <c r="E181" s="6"/>
      <c r="F181" s="5"/>
      <c r="G181" s="6"/>
      <c r="H181" s="5"/>
      <c r="I181" s="6"/>
      <c r="J181" s="5"/>
      <c r="K181" s="4"/>
      <c r="L181" s="2"/>
      <c r="M181" s="2"/>
      <c r="U181" s="2"/>
      <c r="V181" s="2"/>
      <c r="W181" s="2"/>
      <c r="X181" s="2"/>
      <c r="Y181" s="2"/>
      <c r="Z181" s="2"/>
      <c r="AA181" s="2"/>
      <c r="AB181" s="2"/>
      <c r="AP181" s="8"/>
      <c r="AQ181" s="8"/>
      <c r="AR181" s="8"/>
      <c r="AS181" s="8"/>
      <c r="AT181" s="8"/>
      <c r="AU181" s="3"/>
      <c r="AV181" s="3"/>
      <c r="AW181" s="3"/>
    </row>
    <row r="182" spans="2:49" ht="21.75" customHeight="1" x14ac:dyDescent="0.35">
      <c r="B182" s="4"/>
      <c r="C182" s="7"/>
      <c r="D182" s="6"/>
      <c r="E182" s="6"/>
      <c r="F182" s="5"/>
      <c r="G182" s="6"/>
      <c r="H182" s="5"/>
      <c r="I182" s="6"/>
      <c r="J182" s="5"/>
      <c r="K182" s="4"/>
      <c r="L182" s="2"/>
      <c r="M182" s="2"/>
      <c r="U182" s="2"/>
      <c r="V182" s="2"/>
      <c r="W182" s="2"/>
      <c r="X182" s="2"/>
      <c r="Y182" s="2"/>
      <c r="Z182" s="2"/>
      <c r="AA182" s="2"/>
      <c r="AB182" s="2"/>
      <c r="AP182" s="8"/>
      <c r="AQ182" s="8"/>
      <c r="AR182" s="8"/>
      <c r="AS182" s="8"/>
      <c r="AT182" s="8"/>
      <c r="AU182" s="3"/>
      <c r="AV182" s="3"/>
      <c r="AW182" s="3"/>
    </row>
    <row r="183" spans="2:49" ht="21.75" customHeight="1" x14ac:dyDescent="0.35">
      <c r="B183" s="4"/>
      <c r="C183" s="7"/>
      <c r="D183" s="6"/>
      <c r="E183" s="6"/>
      <c r="F183" s="5"/>
      <c r="G183" s="6"/>
      <c r="H183" s="5"/>
      <c r="I183" s="6"/>
      <c r="J183" s="5"/>
      <c r="K183" s="4"/>
      <c r="L183" s="2"/>
      <c r="M183" s="2"/>
      <c r="U183" s="2"/>
      <c r="V183" s="2"/>
      <c r="W183" s="2"/>
      <c r="X183" s="2"/>
      <c r="Y183" s="2"/>
      <c r="Z183" s="2"/>
      <c r="AA183" s="2"/>
      <c r="AB183" s="2"/>
      <c r="AP183" s="8"/>
      <c r="AQ183" s="8"/>
      <c r="AR183" s="8"/>
      <c r="AS183" s="8"/>
      <c r="AT183" s="8"/>
      <c r="AU183" s="3"/>
      <c r="AV183" s="3"/>
      <c r="AW183" s="3"/>
    </row>
    <row r="184" spans="2:49" ht="21.75" customHeight="1" x14ac:dyDescent="0.35">
      <c r="B184" s="4"/>
      <c r="C184" s="7"/>
      <c r="D184" s="6"/>
      <c r="E184" s="6"/>
      <c r="F184" s="5"/>
      <c r="G184" s="6"/>
      <c r="H184" s="5"/>
      <c r="I184" s="6"/>
      <c r="J184" s="5"/>
      <c r="K184" s="4"/>
      <c r="L184" s="2"/>
      <c r="M184" s="2"/>
      <c r="U184" s="2"/>
      <c r="V184" s="2"/>
      <c r="W184" s="2"/>
      <c r="X184" s="2"/>
      <c r="Y184" s="2"/>
      <c r="Z184" s="2"/>
      <c r="AA184" s="2"/>
      <c r="AB184" s="2"/>
      <c r="AP184" s="8"/>
      <c r="AQ184" s="8"/>
      <c r="AR184" s="8"/>
      <c r="AS184" s="8"/>
      <c r="AT184" s="8"/>
      <c r="AU184" s="3"/>
      <c r="AV184" s="3"/>
      <c r="AW184" s="3"/>
    </row>
    <row r="185" spans="2:49" ht="21.75" customHeight="1" x14ac:dyDescent="0.35">
      <c r="B185" s="4"/>
      <c r="C185" s="7"/>
      <c r="D185" s="6"/>
      <c r="E185" s="6"/>
      <c r="F185" s="5"/>
      <c r="G185" s="6"/>
      <c r="H185" s="5"/>
      <c r="I185" s="6"/>
      <c r="J185" s="5"/>
      <c r="K185" s="4"/>
      <c r="L185" s="2"/>
      <c r="M185" s="2"/>
      <c r="U185" s="2"/>
      <c r="V185" s="2"/>
      <c r="W185" s="2"/>
      <c r="X185" s="2"/>
      <c r="Y185" s="2"/>
      <c r="Z185" s="2"/>
      <c r="AA185" s="2"/>
      <c r="AB185" s="2"/>
      <c r="AP185" s="8"/>
      <c r="AQ185" s="8"/>
      <c r="AR185" s="8"/>
      <c r="AS185" s="8"/>
      <c r="AT185" s="8"/>
      <c r="AU185" s="3"/>
      <c r="AV185" s="3"/>
      <c r="AW185" s="3"/>
    </row>
    <row r="186" spans="2:49" ht="21.75" customHeight="1" x14ac:dyDescent="0.35">
      <c r="B186" s="4"/>
      <c r="C186" s="7"/>
      <c r="D186" s="6"/>
      <c r="E186" s="6"/>
      <c r="F186" s="5"/>
      <c r="G186" s="6"/>
      <c r="H186" s="5"/>
      <c r="I186" s="6"/>
      <c r="J186" s="5"/>
      <c r="K186" s="4"/>
      <c r="L186" s="2"/>
      <c r="M186" s="2"/>
      <c r="U186" s="2"/>
      <c r="V186" s="2"/>
      <c r="W186" s="2"/>
      <c r="X186" s="2"/>
      <c r="Y186" s="2"/>
      <c r="Z186" s="2"/>
      <c r="AA186" s="2"/>
      <c r="AB186" s="2"/>
      <c r="AP186" s="8"/>
      <c r="AQ186" s="8"/>
      <c r="AR186" s="8"/>
      <c r="AS186" s="8"/>
      <c r="AT186" s="8"/>
      <c r="AU186" s="3"/>
      <c r="AV186" s="3"/>
      <c r="AW186" s="3"/>
    </row>
    <row r="187" spans="2:49" ht="21.75" customHeight="1" x14ac:dyDescent="0.35">
      <c r="B187" s="4"/>
      <c r="C187" s="7"/>
      <c r="D187" s="6"/>
      <c r="E187" s="6"/>
      <c r="F187" s="5"/>
      <c r="G187" s="6"/>
      <c r="H187" s="5"/>
      <c r="I187" s="6"/>
      <c r="J187" s="5"/>
      <c r="K187" s="4"/>
      <c r="L187" s="2"/>
      <c r="M187" s="2"/>
      <c r="U187" s="2"/>
      <c r="V187" s="2"/>
      <c r="W187" s="2"/>
      <c r="X187" s="2"/>
      <c r="Y187" s="2"/>
      <c r="Z187" s="2"/>
      <c r="AA187" s="2"/>
      <c r="AB187" s="2"/>
      <c r="AP187" s="8"/>
      <c r="AQ187" s="8"/>
      <c r="AR187" s="8"/>
      <c r="AS187" s="8"/>
      <c r="AT187" s="8"/>
      <c r="AU187" s="3"/>
      <c r="AV187" s="3"/>
      <c r="AW187" s="3"/>
    </row>
    <row r="188" spans="2:49" ht="21.75" customHeight="1" x14ac:dyDescent="0.35">
      <c r="B188" s="4"/>
      <c r="C188" s="7"/>
      <c r="D188" s="6"/>
      <c r="E188" s="6"/>
      <c r="F188" s="5"/>
      <c r="G188" s="6"/>
      <c r="H188" s="5"/>
      <c r="I188" s="6"/>
      <c r="J188" s="5"/>
      <c r="K188" s="4"/>
      <c r="L188" s="2"/>
      <c r="M188" s="2"/>
      <c r="U188" s="2"/>
      <c r="V188" s="2"/>
      <c r="W188" s="2"/>
      <c r="X188" s="2"/>
      <c r="Y188" s="2"/>
      <c r="Z188" s="2"/>
      <c r="AA188" s="2"/>
      <c r="AB188" s="2"/>
      <c r="AP188" s="8"/>
      <c r="AQ188" s="8"/>
      <c r="AR188" s="8"/>
      <c r="AS188" s="8"/>
      <c r="AT188" s="8"/>
      <c r="AU188" s="3"/>
      <c r="AV188" s="3"/>
      <c r="AW188" s="3"/>
    </row>
    <row r="189" spans="2:49" ht="21.75" customHeight="1" x14ac:dyDescent="0.35">
      <c r="B189" s="4"/>
      <c r="C189" s="7"/>
      <c r="D189" s="6"/>
      <c r="E189" s="6"/>
      <c r="F189" s="5"/>
      <c r="G189" s="6"/>
      <c r="H189" s="5"/>
      <c r="I189" s="6"/>
      <c r="J189" s="5"/>
      <c r="K189" s="4"/>
      <c r="L189" s="2"/>
      <c r="M189" s="2"/>
      <c r="U189" s="2"/>
      <c r="V189" s="2"/>
      <c r="W189" s="2"/>
      <c r="X189" s="2"/>
      <c r="Y189" s="2"/>
      <c r="Z189" s="2"/>
      <c r="AA189" s="2"/>
      <c r="AB189" s="2"/>
      <c r="AP189" s="8"/>
      <c r="AQ189" s="8"/>
      <c r="AR189" s="8"/>
      <c r="AS189" s="8"/>
      <c r="AT189" s="8"/>
      <c r="AU189" s="3"/>
      <c r="AV189" s="3"/>
      <c r="AW189" s="3"/>
    </row>
    <row r="190" spans="2:49" ht="21.75" customHeight="1" x14ac:dyDescent="0.35">
      <c r="B190" s="4"/>
      <c r="C190" s="7"/>
      <c r="D190" s="6"/>
      <c r="E190" s="6"/>
      <c r="F190" s="5"/>
      <c r="G190" s="6"/>
      <c r="H190" s="5"/>
      <c r="I190" s="6"/>
      <c r="J190" s="5"/>
      <c r="K190" s="4"/>
      <c r="L190" s="2"/>
      <c r="M190" s="2"/>
      <c r="U190" s="2"/>
      <c r="V190" s="2"/>
      <c r="W190" s="2"/>
      <c r="X190" s="2"/>
      <c r="Y190" s="2"/>
      <c r="Z190" s="2"/>
      <c r="AA190" s="2"/>
      <c r="AB190" s="2"/>
      <c r="AP190" s="8"/>
      <c r="AQ190" s="8"/>
      <c r="AR190" s="8"/>
      <c r="AS190" s="8"/>
      <c r="AT190" s="8"/>
      <c r="AU190" s="3"/>
      <c r="AV190" s="3"/>
      <c r="AW190" s="3"/>
    </row>
    <row r="191" spans="2:49" ht="21.75" customHeight="1" x14ac:dyDescent="0.35">
      <c r="B191" s="4"/>
      <c r="C191" s="7"/>
      <c r="D191" s="6"/>
      <c r="E191" s="6"/>
      <c r="F191" s="5"/>
      <c r="G191" s="6"/>
      <c r="H191" s="5"/>
      <c r="I191" s="6"/>
      <c r="J191" s="5"/>
      <c r="K191" s="4"/>
      <c r="L191" s="2"/>
      <c r="M191" s="2"/>
      <c r="U191" s="2"/>
      <c r="V191" s="2"/>
      <c r="W191" s="2"/>
      <c r="X191" s="2"/>
      <c r="Y191" s="2"/>
      <c r="Z191" s="2"/>
      <c r="AA191" s="2"/>
      <c r="AB191" s="2"/>
      <c r="AP191" s="8"/>
      <c r="AQ191" s="8"/>
      <c r="AR191" s="8"/>
      <c r="AS191" s="8"/>
      <c r="AT191" s="8"/>
      <c r="AU191" s="3"/>
      <c r="AV191" s="3"/>
      <c r="AW191" s="3"/>
    </row>
    <row r="192" spans="2:49" ht="21.75" customHeight="1" x14ac:dyDescent="0.35">
      <c r="B192" s="4"/>
      <c r="C192" s="7"/>
      <c r="D192" s="6"/>
      <c r="E192" s="6"/>
      <c r="F192" s="5"/>
      <c r="G192" s="6"/>
      <c r="H192" s="5"/>
      <c r="I192" s="6"/>
      <c r="J192" s="5"/>
      <c r="K192" s="4"/>
      <c r="L192" s="2"/>
      <c r="M192" s="2"/>
      <c r="U192" s="2"/>
      <c r="V192" s="2"/>
      <c r="W192" s="2"/>
      <c r="X192" s="2"/>
      <c r="Y192" s="2"/>
      <c r="Z192" s="2"/>
      <c r="AA192" s="2"/>
      <c r="AB192" s="2"/>
      <c r="AP192" s="8"/>
      <c r="AQ192" s="8"/>
      <c r="AR192" s="8"/>
      <c r="AS192" s="8"/>
      <c r="AT192" s="8"/>
      <c r="AU192" s="3"/>
      <c r="AV192" s="3"/>
      <c r="AW192" s="3"/>
    </row>
    <row r="193" spans="2:49" ht="21.75" customHeight="1" x14ac:dyDescent="0.35">
      <c r="B193" s="4"/>
      <c r="C193" s="7"/>
      <c r="D193" s="6"/>
      <c r="E193" s="6"/>
      <c r="F193" s="5"/>
      <c r="G193" s="6"/>
      <c r="H193" s="5"/>
      <c r="I193" s="6"/>
      <c r="J193" s="5"/>
      <c r="K193" s="4"/>
      <c r="L193" s="2"/>
      <c r="M193" s="2"/>
      <c r="U193" s="2"/>
      <c r="V193" s="2"/>
      <c r="W193" s="2"/>
      <c r="X193" s="2"/>
      <c r="Y193" s="2"/>
      <c r="Z193" s="2"/>
      <c r="AA193" s="2"/>
      <c r="AB193" s="2"/>
      <c r="AP193" s="8"/>
      <c r="AQ193" s="8"/>
      <c r="AR193" s="8"/>
      <c r="AS193" s="8"/>
      <c r="AT193" s="8"/>
      <c r="AU193" s="3"/>
      <c r="AV193" s="3"/>
      <c r="AW193" s="3"/>
    </row>
    <row r="194" spans="2:49" ht="21.75" customHeight="1" x14ac:dyDescent="0.35">
      <c r="B194" s="4"/>
      <c r="C194" s="7"/>
      <c r="D194" s="6"/>
      <c r="E194" s="6"/>
      <c r="F194" s="5"/>
      <c r="G194" s="6"/>
      <c r="H194" s="5"/>
      <c r="I194" s="6"/>
      <c r="J194" s="5"/>
      <c r="K194" s="4"/>
      <c r="L194" s="2"/>
      <c r="M194" s="2"/>
      <c r="U194" s="2"/>
      <c r="V194" s="2"/>
      <c r="W194" s="2"/>
      <c r="X194" s="2"/>
      <c r="Y194" s="2"/>
      <c r="Z194" s="2"/>
      <c r="AA194" s="2"/>
      <c r="AB194" s="2"/>
      <c r="AP194" s="8"/>
      <c r="AQ194" s="8"/>
      <c r="AR194" s="8"/>
      <c r="AS194" s="8"/>
      <c r="AT194" s="8"/>
      <c r="AU194" s="3"/>
      <c r="AV194" s="3"/>
      <c r="AW194" s="3"/>
    </row>
    <row r="195" spans="2:49" ht="21.75" customHeight="1" x14ac:dyDescent="0.35">
      <c r="B195" s="4"/>
      <c r="C195" s="7"/>
      <c r="D195" s="6"/>
      <c r="E195" s="6"/>
      <c r="F195" s="5"/>
      <c r="G195" s="6"/>
      <c r="H195" s="5"/>
      <c r="I195" s="6"/>
      <c r="J195" s="5"/>
      <c r="K195" s="4"/>
      <c r="L195" s="2"/>
      <c r="M195" s="2"/>
      <c r="U195" s="2"/>
      <c r="V195" s="2"/>
      <c r="W195" s="2"/>
      <c r="X195" s="2"/>
      <c r="Y195" s="2"/>
      <c r="Z195" s="2"/>
      <c r="AA195" s="2"/>
      <c r="AB195" s="2"/>
      <c r="AP195" s="8"/>
      <c r="AQ195" s="8"/>
      <c r="AR195" s="8"/>
      <c r="AS195" s="8"/>
      <c r="AT195" s="8"/>
      <c r="AU195" s="3"/>
      <c r="AV195" s="3"/>
      <c r="AW195" s="3"/>
    </row>
    <row r="196" spans="2:49" ht="21.75" customHeight="1" x14ac:dyDescent="0.35">
      <c r="B196" s="4"/>
      <c r="C196" s="7"/>
      <c r="D196" s="6"/>
      <c r="E196" s="6"/>
      <c r="F196" s="5"/>
      <c r="G196" s="6"/>
      <c r="H196" s="5"/>
      <c r="I196" s="6"/>
      <c r="J196" s="5"/>
      <c r="K196" s="4"/>
      <c r="L196" s="2"/>
      <c r="M196" s="2"/>
      <c r="U196" s="2"/>
      <c r="V196" s="2"/>
      <c r="W196" s="2"/>
      <c r="X196" s="2"/>
      <c r="Y196" s="2"/>
      <c r="Z196" s="2"/>
      <c r="AA196" s="2"/>
      <c r="AB196" s="2"/>
      <c r="AP196" s="8"/>
      <c r="AQ196" s="8"/>
      <c r="AR196" s="8"/>
      <c r="AS196" s="8"/>
      <c r="AT196" s="8"/>
      <c r="AU196" s="3"/>
      <c r="AV196" s="3"/>
      <c r="AW196" s="3"/>
    </row>
    <row r="197" spans="2:49" ht="21.75" customHeight="1" x14ac:dyDescent="0.35">
      <c r="B197" s="4"/>
      <c r="C197" s="7"/>
      <c r="D197" s="6"/>
      <c r="E197" s="6"/>
      <c r="F197" s="5"/>
      <c r="G197" s="6"/>
      <c r="H197" s="5"/>
      <c r="I197" s="6"/>
      <c r="J197" s="5"/>
      <c r="K197" s="4"/>
      <c r="L197" s="2"/>
      <c r="M197" s="2"/>
      <c r="U197" s="2"/>
      <c r="V197" s="2"/>
      <c r="W197" s="2"/>
      <c r="X197" s="2"/>
      <c r="Y197" s="2"/>
      <c r="Z197" s="2"/>
      <c r="AA197" s="2"/>
      <c r="AB197" s="2"/>
      <c r="AP197" s="8"/>
      <c r="AQ197" s="8"/>
      <c r="AR197" s="8"/>
      <c r="AS197" s="8"/>
      <c r="AT197" s="8"/>
      <c r="AU197" s="3"/>
      <c r="AV197" s="3"/>
      <c r="AW197" s="3"/>
    </row>
    <row r="198" spans="2:49" ht="21.75" customHeight="1" x14ac:dyDescent="0.35">
      <c r="B198" s="4"/>
      <c r="C198" s="7"/>
      <c r="D198" s="6"/>
      <c r="E198" s="6"/>
      <c r="F198" s="5"/>
      <c r="G198" s="6"/>
      <c r="H198" s="5"/>
      <c r="I198" s="6"/>
      <c r="J198" s="5"/>
      <c r="K198" s="4"/>
      <c r="L198" s="2"/>
      <c r="M198" s="2"/>
      <c r="U198" s="2"/>
      <c r="V198" s="2"/>
      <c r="W198" s="2"/>
      <c r="X198" s="2"/>
      <c r="Y198" s="2"/>
      <c r="Z198" s="2"/>
      <c r="AA198" s="2"/>
      <c r="AB198" s="2"/>
      <c r="AP198" s="8"/>
      <c r="AQ198" s="8"/>
      <c r="AR198" s="8"/>
      <c r="AS198" s="8"/>
      <c r="AT198" s="8"/>
      <c r="AU198" s="3"/>
      <c r="AV198" s="3"/>
      <c r="AW198" s="3"/>
    </row>
    <row r="199" spans="2:49" ht="21.75" customHeight="1" x14ac:dyDescent="0.35">
      <c r="B199" s="4"/>
      <c r="C199" s="7"/>
      <c r="D199" s="6"/>
      <c r="E199" s="6"/>
      <c r="F199" s="5"/>
      <c r="G199" s="6"/>
      <c r="H199" s="5"/>
      <c r="I199" s="6"/>
      <c r="J199" s="5"/>
      <c r="K199" s="4"/>
      <c r="L199" s="2"/>
      <c r="M199" s="2"/>
      <c r="U199" s="2"/>
      <c r="V199" s="2"/>
      <c r="W199" s="2"/>
      <c r="X199" s="2"/>
      <c r="Y199" s="2"/>
      <c r="Z199" s="2"/>
      <c r="AA199" s="2"/>
      <c r="AB199" s="2"/>
      <c r="AP199" s="8"/>
      <c r="AQ199" s="8"/>
      <c r="AR199" s="8"/>
      <c r="AS199" s="8"/>
      <c r="AT199" s="8"/>
      <c r="AU199" s="3"/>
      <c r="AV199" s="3"/>
      <c r="AW199" s="3"/>
    </row>
    <row r="200" spans="2:49" ht="21.75" customHeight="1" x14ac:dyDescent="0.35">
      <c r="B200" s="4"/>
      <c r="C200" s="7"/>
      <c r="D200" s="6"/>
      <c r="E200" s="6"/>
      <c r="F200" s="5"/>
      <c r="G200" s="6"/>
      <c r="H200" s="5"/>
      <c r="I200" s="6"/>
      <c r="J200" s="5"/>
      <c r="K200" s="4"/>
      <c r="L200" s="2"/>
      <c r="M200" s="2"/>
      <c r="U200" s="2"/>
      <c r="V200" s="2"/>
      <c r="W200" s="2"/>
      <c r="X200" s="2"/>
      <c r="Y200" s="2"/>
      <c r="Z200" s="2"/>
      <c r="AA200" s="2"/>
      <c r="AB200" s="2"/>
      <c r="AP200" s="8"/>
      <c r="AQ200" s="8"/>
      <c r="AR200" s="8"/>
      <c r="AS200" s="8"/>
      <c r="AT200" s="8"/>
      <c r="AU200" s="3"/>
      <c r="AV200" s="3"/>
      <c r="AW200" s="3"/>
    </row>
    <row r="201" spans="2:49" ht="21.75" customHeight="1" x14ac:dyDescent="0.35">
      <c r="B201" s="4"/>
      <c r="C201" s="7"/>
      <c r="D201" s="6"/>
      <c r="E201" s="6"/>
      <c r="F201" s="5"/>
      <c r="G201" s="6"/>
      <c r="H201" s="5"/>
      <c r="I201" s="6"/>
      <c r="J201" s="5"/>
      <c r="K201" s="4"/>
      <c r="L201" s="2"/>
      <c r="M201" s="2"/>
      <c r="U201" s="2"/>
      <c r="V201" s="2"/>
      <c r="W201" s="2"/>
      <c r="X201" s="2"/>
      <c r="Y201" s="2"/>
      <c r="Z201" s="2"/>
      <c r="AA201" s="2"/>
      <c r="AB201" s="2"/>
      <c r="AP201" s="8"/>
      <c r="AQ201" s="8"/>
      <c r="AR201" s="8"/>
      <c r="AS201" s="8"/>
      <c r="AT201" s="8"/>
      <c r="AU201" s="3"/>
      <c r="AV201" s="3"/>
      <c r="AW201" s="3"/>
    </row>
    <row r="202" spans="2:49" ht="21.75" customHeight="1" x14ac:dyDescent="0.35">
      <c r="B202" s="4"/>
      <c r="C202" s="7"/>
      <c r="D202" s="6"/>
      <c r="E202" s="6"/>
      <c r="F202" s="5"/>
      <c r="G202" s="6"/>
      <c r="H202" s="5"/>
      <c r="I202" s="6"/>
      <c r="J202" s="5"/>
      <c r="K202" s="4"/>
      <c r="L202" s="2"/>
      <c r="M202" s="2"/>
      <c r="U202" s="2"/>
      <c r="V202" s="2"/>
      <c r="W202" s="2"/>
      <c r="X202" s="2"/>
      <c r="Y202" s="2"/>
      <c r="Z202" s="2"/>
      <c r="AA202" s="2"/>
      <c r="AB202" s="2"/>
      <c r="AP202" s="8"/>
      <c r="AQ202" s="8"/>
      <c r="AR202" s="8"/>
      <c r="AS202" s="8"/>
      <c r="AT202" s="8"/>
      <c r="AU202" s="3"/>
      <c r="AV202" s="3"/>
      <c r="AW202" s="3"/>
    </row>
    <row r="203" spans="2:49" ht="21.75" customHeight="1" x14ac:dyDescent="0.35">
      <c r="B203" s="4"/>
      <c r="C203" s="7"/>
      <c r="D203" s="6"/>
      <c r="E203" s="6"/>
      <c r="F203" s="5"/>
      <c r="G203" s="6"/>
      <c r="H203" s="5"/>
      <c r="I203" s="6"/>
      <c r="J203" s="5"/>
      <c r="K203" s="4"/>
      <c r="L203" s="2"/>
      <c r="M203" s="2"/>
      <c r="U203" s="2"/>
      <c r="V203" s="2"/>
      <c r="W203" s="2"/>
      <c r="X203" s="2"/>
      <c r="Y203" s="2"/>
      <c r="Z203" s="2"/>
      <c r="AA203" s="2"/>
      <c r="AB203" s="2"/>
      <c r="AP203" s="8"/>
      <c r="AQ203" s="8"/>
      <c r="AR203" s="8"/>
      <c r="AS203" s="8"/>
      <c r="AT203" s="8"/>
      <c r="AU203" s="3"/>
      <c r="AV203" s="3"/>
      <c r="AW203" s="3"/>
    </row>
    <row r="204" spans="2:49" ht="21.75" customHeight="1" x14ac:dyDescent="0.35">
      <c r="B204" s="4"/>
      <c r="C204" s="7"/>
      <c r="D204" s="6"/>
      <c r="E204" s="6"/>
      <c r="F204" s="5"/>
      <c r="G204" s="6"/>
      <c r="H204" s="5"/>
      <c r="I204" s="6"/>
      <c r="J204" s="5"/>
      <c r="K204" s="4"/>
      <c r="L204" s="2"/>
      <c r="M204" s="2"/>
      <c r="U204" s="2"/>
      <c r="V204" s="2"/>
      <c r="W204" s="2"/>
      <c r="X204" s="2"/>
      <c r="Y204" s="2"/>
      <c r="Z204" s="2"/>
      <c r="AA204" s="2"/>
      <c r="AB204" s="2"/>
      <c r="AP204" s="8"/>
      <c r="AQ204" s="8"/>
      <c r="AR204" s="8"/>
      <c r="AS204" s="8"/>
      <c r="AT204" s="8"/>
      <c r="AU204" s="3"/>
      <c r="AV204" s="3"/>
      <c r="AW204" s="3"/>
    </row>
    <row r="205" spans="2:49" ht="21.75" customHeight="1" x14ac:dyDescent="0.35">
      <c r="B205" s="4"/>
      <c r="C205" s="7"/>
      <c r="D205" s="6"/>
      <c r="E205" s="6"/>
      <c r="F205" s="5"/>
      <c r="G205" s="6"/>
      <c r="H205" s="5"/>
      <c r="I205" s="6"/>
      <c r="J205" s="5"/>
      <c r="K205" s="4"/>
      <c r="L205" s="2"/>
      <c r="M205" s="2"/>
      <c r="U205" s="2"/>
      <c r="V205" s="2"/>
      <c r="W205" s="2"/>
      <c r="X205" s="2"/>
      <c r="Y205" s="2"/>
      <c r="Z205" s="2"/>
      <c r="AA205" s="2"/>
      <c r="AB205" s="2"/>
      <c r="AP205" s="8"/>
      <c r="AQ205" s="8"/>
      <c r="AR205" s="8"/>
      <c r="AS205" s="8"/>
      <c r="AT205" s="8"/>
      <c r="AU205" s="3"/>
      <c r="AV205" s="3"/>
      <c r="AW205" s="3"/>
    </row>
    <row r="206" spans="2:49" ht="21.75" customHeight="1" x14ac:dyDescent="0.35">
      <c r="B206" s="4"/>
      <c r="C206" s="7"/>
      <c r="D206" s="6"/>
      <c r="E206" s="6"/>
      <c r="F206" s="5"/>
      <c r="G206" s="6"/>
      <c r="H206" s="5"/>
      <c r="I206" s="6"/>
      <c r="J206" s="5"/>
      <c r="K206" s="4"/>
      <c r="L206" s="2"/>
      <c r="M206" s="2"/>
      <c r="U206" s="2"/>
      <c r="V206" s="2"/>
      <c r="W206" s="2"/>
      <c r="X206" s="2"/>
      <c r="Y206" s="2"/>
      <c r="Z206" s="2"/>
      <c r="AA206" s="2"/>
      <c r="AB206" s="2"/>
      <c r="AP206" s="8"/>
      <c r="AQ206" s="8"/>
      <c r="AR206" s="8"/>
      <c r="AS206" s="8"/>
      <c r="AT206" s="8"/>
      <c r="AU206" s="3"/>
      <c r="AV206" s="3"/>
      <c r="AW206" s="3"/>
    </row>
    <row r="207" spans="2:49" ht="21.75" customHeight="1" x14ac:dyDescent="0.35">
      <c r="B207" s="4"/>
      <c r="C207" s="7"/>
      <c r="D207" s="6"/>
      <c r="E207" s="6"/>
      <c r="F207" s="5"/>
      <c r="G207" s="6"/>
      <c r="H207" s="5"/>
      <c r="I207" s="6"/>
      <c r="J207" s="5"/>
      <c r="K207" s="4"/>
      <c r="L207" s="2"/>
      <c r="M207" s="2"/>
      <c r="U207" s="2"/>
      <c r="V207" s="2"/>
      <c r="W207" s="2"/>
      <c r="X207" s="2"/>
      <c r="Y207" s="2"/>
      <c r="Z207" s="2"/>
      <c r="AA207" s="2"/>
      <c r="AB207" s="2"/>
      <c r="AP207" s="8"/>
      <c r="AQ207" s="8"/>
      <c r="AR207" s="8"/>
      <c r="AS207" s="8"/>
      <c r="AT207" s="8"/>
      <c r="AU207" s="3"/>
      <c r="AV207" s="3"/>
      <c r="AW207" s="3"/>
    </row>
    <row r="208" spans="2:49" ht="21.75" customHeight="1" x14ac:dyDescent="0.35">
      <c r="B208" s="4"/>
      <c r="C208" s="7"/>
      <c r="D208" s="6"/>
      <c r="E208" s="6"/>
      <c r="F208" s="5"/>
      <c r="G208" s="6"/>
      <c r="H208" s="5"/>
      <c r="I208" s="6"/>
      <c r="J208" s="5"/>
      <c r="K208" s="4"/>
      <c r="L208" s="2"/>
      <c r="M208" s="2"/>
      <c r="U208" s="2"/>
      <c r="V208" s="2"/>
      <c r="W208" s="2"/>
      <c r="X208" s="2"/>
      <c r="Y208" s="2"/>
      <c r="Z208" s="2"/>
      <c r="AA208" s="2"/>
      <c r="AB208" s="2"/>
      <c r="AP208" s="8"/>
      <c r="AQ208" s="8"/>
      <c r="AR208" s="8"/>
      <c r="AS208" s="8"/>
      <c r="AT208" s="8"/>
      <c r="AU208" s="3"/>
      <c r="AV208" s="3"/>
      <c r="AW208" s="3"/>
    </row>
    <row r="209" spans="2:49" ht="21.75" customHeight="1" x14ac:dyDescent="0.35">
      <c r="B209" s="4"/>
      <c r="C209" s="7"/>
      <c r="D209" s="6"/>
      <c r="E209" s="6"/>
      <c r="F209" s="5"/>
      <c r="G209" s="6"/>
      <c r="H209" s="5"/>
      <c r="I209" s="6"/>
      <c r="J209" s="5"/>
      <c r="K209" s="4"/>
      <c r="L209" s="2"/>
      <c r="M209" s="2"/>
      <c r="U209" s="2"/>
      <c r="V209" s="2"/>
      <c r="W209" s="2"/>
      <c r="X209" s="2"/>
      <c r="Y209" s="2"/>
      <c r="Z209" s="2"/>
      <c r="AA209" s="2"/>
      <c r="AB209" s="2"/>
      <c r="AP209" s="8"/>
      <c r="AQ209" s="8"/>
      <c r="AR209" s="8"/>
      <c r="AS209" s="8"/>
      <c r="AT209" s="8"/>
      <c r="AU209" s="3"/>
      <c r="AV209" s="3"/>
      <c r="AW209" s="3"/>
    </row>
    <row r="210" spans="2:49" ht="21.75" customHeight="1" x14ac:dyDescent="0.35">
      <c r="B210" s="4"/>
      <c r="C210" s="7"/>
      <c r="D210" s="6"/>
      <c r="E210" s="6"/>
      <c r="F210" s="5"/>
      <c r="G210" s="6"/>
      <c r="H210" s="5"/>
      <c r="I210" s="6"/>
      <c r="J210" s="5"/>
      <c r="K210" s="4"/>
      <c r="L210" s="2"/>
      <c r="M210" s="2"/>
      <c r="U210" s="2"/>
      <c r="V210" s="2"/>
      <c r="W210" s="2"/>
      <c r="X210" s="2"/>
      <c r="Y210" s="2"/>
      <c r="Z210" s="2"/>
      <c r="AA210" s="2"/>
      <c r="AB210" s="2"/>
      <c r="AP210" s="8"/>
      <c r="AQ210" s="8"/>
      <c r="AR210" s="8"/>
      <c r="AS210" s="8"/>
      <c r="AT210" s="8"/>
      <c r="AU210" s="3"/>
      <c r="AV210" s="3"/>
      <c r="AW210" s="3"/>
    </row>
    <row r="211" spans="2:49" ht="21.75" customHeight="1" x14ac:dyDescent="0.35">
      <c r="B211" s="4"/>
      <c r="C211" s="7"/>
      <c r="D211" s="6"/>
      <c r="E211" s="6"/>
      <c r="F211" s="5"/>
      <c r="G211" s="6"/>
      <c r="H211" s="5"/>
      <c r="I211" s="6"/>
      <c r="J211" s="5"/>
      <c r="K211" s="4"/>
      <c r="L211" s="2"/>
      <c r="M211" s="2"/>
      <c r="U211" s="2"/>
      <c r="V211" s="2"/>
      <c r="W211" s="2"/>
      <c r="X211" s="2"/>
      <c r="Y211" s="2"/>
      <c r="Z211" s="2"/>
      <c r="AA211" s="2"/>
      <c r="AB211" s="2"/>
      <c r="AP211" s="8"/>
      <c r="AQ211" s="8"/>
      <c r="AR211" s="8"/>
      <c r="AS211" s="8"/>
      <c r="AT211" s="8"/>
      <c r="AU211" s="3"/>
      <c r="AV211" s="3"/>
      <c r="AW211" s="3"/>
    </row>
    <row r="212" spans="2:49" ht="21.75" customHeight="1" x14ac:dyDescent="0.35">
      <c r="B212" s="4"/>
      <c r="C212" s="7"/>
      <c r="D212" s="6"/>
      <c r="E212" s="6"/>
      <c r="F212" s="5"/>
      <c r="G212" s="6"/>
      <c r="H212" s="5"/>
      <c r="I212" s="6"/>
      <c r="J212" s="5"/>
      <c r="K212" s="4"/>
      <c r="L212" s="2"/>
      <c r="M212" s="2"/>
      <c r="U212" s="2"/>
      <c r="V212" s="2"/>
      <c r="W212" s="2"/>
      <c r="X212" s="2"/>
      <c r="Y212" s="2"/>
      <c r="Z212" s="2"/>
      <c r="AA212" s="2"/>
      <c r="AB212" s="2"/>
      <c r="AP212" s="8"/>
      <c r="AQ212" s="8"/>
      <c r="AR212" s="8"/>
      <c r="AS212" s="8"/>
      <c r="AT212" s="8"/>
      <c r="AU212" s="3"/>
      <c r="AV212" s="3"/>
      <c r="AW212" s="3"/>
    </row>
    <row r="213" spans="2:49" ht="21.75" customHeight="1" x14ac:dyDescent="0.35">
      <c r="B213" s="4"/>
      <c r="C213" s="7"/>
      <c r="D213" s="6"/>
      <c r="E213" s="6"/>
      <c r="F213" s="5"/>
      <c r="G213" s="6"/>
      <c r="H213" s="5"/>
      <c r="I213" s="6"/>
      <c r="J213" s="5"/>
      <c r="K213" s="4"/>
      <c r="L213" s="2"/>
      <c r="M213" s="2"/>
      <c r="U213" s="2"/>
      <c r="V213" s="2"/>
      <c r="W213" s="2"/>
      <c r="X213" s="2"/>
      <c r="Y213" s="2"/>
      <c r="Z213" s="2"/>
      <c r="AA213" s="2"/>
      <c r="AB213" s="2"/>
      <c r="AP213" s="8"/>
      <c r="AQ213" s="8"/>
      <c r="AR213" s="8"/>
      <c r="AS213" s="8"/>
      <c r="AT213" s="8"/>
      <c r="AU213" s="3"/>
      <c r="AV213" s="3"/>
      <c r="AW213" s="3"/>
    </row>
    <row r="214" spans="2:49" ht="21.75" customHeight="1" x14ac:dyDescent="0.35">
      <c r="B214" s="4"/>
      <c r="C214" s="7"/>
      <c r="D214" s="6"/>
      <c r="E214" s="6"/>
      <c r="F214" s="5"/>
      <c r="G214" s="6"/>
      <c r="H214" s="5"/>
      <c r="I214" s="6"/>
      <c r="J214" s="5"/>
      <c r="K214" s="4"/>
      <c r="L214" s="2"/>
      <c r="M214" s="2"/>
      <c r="U214" s="2"/>
      <c r="V214" s="2"/>
      <c r="W214" s="2"/>
      <c r="X214" s="2"/>
      <c r="Y214" s="2"/>
      <c r="Z214" s="2"/>
      <c r="AA214" s="2"/>
      <c r="AB214" s="2"/>
      <c r="AP214" s="8"/>
      <c r="AQ214" s="8"/>
      <c r="AR214" s="8"/>
      <c r="AS214" s="8"/>
      <c r="AT214" s="8"/>
      <c r="AU214" s="3"/>
      <c r="AV214" s="3"/>
      <c r="AW214" s="3"/>
    </row>
    <row r="215" spans="2:49" ht="21.75" customHeight="1" x14ac:dyDescent="0.35">
      <c r="B215" s="4"/>
      <c r="C215" s="7"/>
      <c r="D215" s="6"/>
      <c r="E215" s="6"/>
      <c r="F215" s="5"/>
      <c r="G215" s="6"/>
      <c r="H215" s="5"/>
      <c r="I215" s="6"/>
      <c r="J215" s="5"/>
      <c r="K215" s="4"/>
      <c r="L215" s="2"/>
      <c r="M215" s="2"/>
      <c r="U215" s="2"/>
      <c r="V215" s="2"/>
      <c r="W215" s="2"/>
      <c r="X215" s="2"/>
      <c r="Y215" s="2"/>
      <c r="Z215" s="2"/>
      <c r="AA215" s="2"/>
      <c r="AB215" s="2"/>
      <c r="AP215" s="8"/>
      <c r="AQ215" s="8"/>
      <c r="AR215" s="8"/>
      <c r="AS215" s="8"/>
      <c r="AT215" s="8"/>
      <c r="AU215" s="3"/>
      <c r="AV215" s="3"/>
      <c r="AW215" s="3"/>
    </row>
    <row r="216" spans="2:49" ht="21.75" customHeight="1" x14ac:dyDescent="0.35">
      <c r="B216" s="4"/>
      <c r="C216" s="7"/>
      <c r="D216" s="6"/>
      <c r="E216" s="6"/>
      <c r="F216" s="5"/>
      <c r="G216" s="6"/>
      <c r="H216" s="5"/>
      <c r="I216" s="6"/>
      <c r="J216" s="5"/>
      <c r="K216" s="4"/>
      <c r="L216" s="2"/>
      <c r="M216" s="2"/>
      <c r="U216" s="2"/>
      <c r="V216" s="2"/>
      <c r="W216" s="2"/>
      <c r="X216" s="2"/>
      <c r="Y216" s="2"/>
      <c r="Z216" s="2"/>
      <c r="AA216" s="2"/>
      <c r="AB216" s="2"/>
      <c r="AP216" s="8"/>
      <c r="AQ216" s="8"/>
      <c r="AR216" s="8"/>
      <c r="AS216" s="8"/>
      <c r="AT216" s="8"/>
      <c r="AU216" s="3"/>
      <c r="AV216" s="3"/>
      <c r="AW216" s="3"/>
    </row>
    <row r="217" spans="2:49" ht="21.75" customHeight="1" x14ac:dyDescent="0.35">
      <c r="B217" s="4"/>
      <c r="C217" s="7"/>
      <c r="D217" s="6"/>
      <c r="E217" s="6"/>
      <c r="F217" s="5"/>
      <c r="G217" s="6"/>
      <c r="H217" s="5"/>
      <c r="I217" s="6"/>
      <c r="J217" s="5"/>
      <c r="K217" s="4"/>
      <c r="L217" s="2"/>
      <c r="M217" s="2"/>
      <c r="U217" s="2"/>
      <c r="V217" s="2"/>
      <c r="W217" s="2"/>
      <c r="X217" s="2"/>
      <c r="Y217" s="2"/>
      <c r="Z217" s="2"/>
      <c r="AA217" s="2"/>
      <c r="AB217" s="2"/>
      <c r="AP217" s="8"/>
      <c r="AQ217" s="8"/>
      <c r="AR217" s="8"/>
      <c r="AS217" s="8"/>
      <c r="AT217" s="8"/>
      <c r="AU217" s="3"/>
      <c r="AV217" s="3"/>
      <c r="AW217" s="3"/>
    </row>
    <row r="218" spans="2:49" ht="21.75" customHeight="1" x14ac:dyDescent="0.35">
      <c r="B218" s="4"/>
      <c r="C218" s="7"/>
      <c r="D218" s="6"/>
      <c r="E218" s="6"/>
      <c r="F218" s="5"/>
      <c r="G218" s="6"/>
      <c r="H218" s="5"/>
      <c r="I218" s="6"/>
      <c r="J218" s="5"/>
      <c r="K218" s="4"/>
      <c r="L218" s="2"/>
      <c r="M218" s="2"/>
      <c r="U218" s="2"/>
      <c r="V218" s="2"/>
      <c r="W218" s="2"/>
      <c r="X218" s="2"/>
      <c r="Y218" s="2"/>
      <c r="Z218" s="2"/>
      <c r="AA218" s="2"/>
      <c r="AB218" s="2"/>
      <c r="AP218" s="8"/>
      <c r="AQ218" s="8"/>
      <c r="AR218" s="8"/>
      <c r="AS218" s="8"/>
      <c r="AT218" s="8"/>
      <c r="AU218" s="3"/>
      <c r="AV218" s="3"/>
      <c r="AW218" s="3"/>
    </row>
    <row r="219" spans="2:49" ht="21.75" customHeight="1" x14ac:dyDescent="0.35">
      <c r="B219" s="4"/>
      <c r="C219" s="7"/>
      <c r="D219" s="6"/>
      <c r="E219" s="6"/>
      <c r="F219" s="5"/>
      <c r="G219" s="6"/>
      <c r="H219" s="5"/>
      <c r="I219" s="6"/>
      <c r="J219" s="5"/>
      <c r="K219" s="4"/>
      <c r="L219" s="2"/>
      <c r="M219" s="2"/>
      <c r="U219" s="2"/>
      <c r="V219" s="2"/>
      <c r="W219" s="2"/>
      <c r="X219" s="2"/>
      <c r="Y219" s="2"/>
      <c r="Z219" s="2"/>
      <c r="AA219" s="2"/>
      <c r="AB219" s="2"/>
      <c r="AP219" s="8"/>
      <c r="AQ219" s="8"/>
      <c r="AR219" s="8"/>
      <c r="AS219" s="8"/>
      <c r="AT219" s="8"/>
      <c r="AU219" s="3"/>
      <c r="AV219" s="3"/>
      <c r="AW219" s="3"/>
    </row>
    <row r="220" spans="2:49" ht="21.75" customHeight="1" x14ac:dyDescent="0.35">
      <c r="B220" s="4"/>
      <c r="C220" s="7"/>
      <c r="D220" s="6"/>
      <c r="E220" s="6"/>
      <c r="F220" s="5"/>
      <c r="G220" s="6"/>
      <c r="H220" s="5"/>
      <c r="I220" s="6"/>
      <c r="J220" s="5"/>
      <c r="K220" s="4"/>
      <c r="L220" s="2"/>
      <c r="M220" s="2"/>
      <c r="U220" s="2"/>
      <c r="V220" s="2"/>
      <c r="W220" s="2"/>
      <c r="X220" s="2"/>
      <c r="Y220" s="2"/>
      <c r="Z220" s="2"/>
      <c r="AA220" s="2"/>
      <c r="AB220" s="2"/>
      <c r="AP220" s="8"/>
      <c r="AQ220" s="8"/>
      <c r="AR220" s="8"/>
      <c r="AS220" s="8"/>
      <c r="AT220" s="8"/>
      <c r="AU220" s="3"/>
      <c r="AV220" s="3"/>
      <c r="AW220" s="3"/>
    </row>
    <row r="221" spans="2:49" ht="21.75" customHeight="1" x14ac:dyDescent="0.35">
      <c r="B221" s="4"/>
      <c r="C221" s="7"/>
      <c r="D221" s="6"/>
      <c r="E221" s="6"/>
      <c r="F221" s="5"/>
      <c r="G221" s="6"/>
      <c r="H221" s="5"/>
      <c r="I221" s="6"/>
      <c r="J221" s="5"/>
      <c r="K221" s="4"/>
      <c r="L221" s="2"/>
      <c r="M221" s="2"/>
      <c r="U221" s="2"/>
      <c r="V221" s="2"/>
      <c r="W221" s="2"/>
      <c r="X221" s="2"/>
      <c r="Y221" s="2"/>
      <c r="Z221" s="2"/>
      <c r="AA221" s="2"/>
      <c r="AB221" s="2"/>
      <c r="AP221" s="8"/>
      <c r="AQ221" s="8"/>
      <c r="AR221" s="8"/>
      <c r="AS221" s="8"/>
      <c r="AT221" s="8"/>
      <c r="AU221" s="3"/>
      <c r="AV221" s="3"/>
      <c r="AW221" s="3"/>
    </row>
    <row r="222" spans="2:49" ht="21.75" customHeight="1" x14ac:dyDescent="0.35">
      <c r="B222" s="4"/>
      <c r="C222" s="7"/>
      <c r="D222" s="6"/>
      <c r="E222" s="6"/>
      <c r="F222" s="5"/>
      <c r="G222" s="6"/>
      <c r="H222" s="5"/>
      <c r="I222" s="6"/>
      <c r="J222" s="5"/>
      <c r="K222" s="4"/>
      <c r="L222" s="2"/>
      <c r="M222" s="2"/>
      <c r="U222" s="2"/>
      <c r="V222" s="2"/>
      <c r="W222" s="2"/>
      <c r="X222" s="2"/>
      <c r="Y222" s="2"/>
      <c r="Z222" s="2"/>
      <c r="AA222" s="2"/>
      <c r="AB222" s="2"/>
      <c r="AP222" s="8"/>
      <c r="AQ222" s="8"/>
      <c r="AR222" s="8"/>
      <c r="AS222" s="8"/>
      <c r="AT222" s="8"/>
      <c r="AU222" s="3"/>
      <c r="AV222" s="3"/>
      <c r="AW222" s="3"/>
    </row>
    <row r="223" spans="2:49" ht="21.75" customHeight="1" x14ac:dyDescent="0.35">
      <c r="B223" s="4"/>
      <c r="C223" s="7"/>
      <c r="D223" s="6"/>
      <c r="E223" s="6"/>
      <c r="F223" s="5"/>
      <c r="G223" s="6"/>
      <c r="H223" s="5"/>
      <c r="I223" s="6"/>
      <c r="J223" s="5"/>
      <c r="K223" s="4"/>
      <c r="L223" s="2"/>
      <c r="M223" s="2"/>
      <c r="U223" s="2"/>
      <c r="V223" s="2"/>
      <c r="W223" s="2"/>
      <c r="X223" s="2"/>
      <c r="Y223" s="2"/>
      <c r="Z223" s="2"/>
      <c r="AA223" s="2"/>
      <c r="AB223" s="2"/>
      <c r="AP223" s="8"/>
      <c r="AQ223" s="8"/>
      <c r="AR223" s="8"/>
      <c r="AS223" s="8"/>
      <c r="AT223" s="8"/>
      <c r="AU223" s="3"/>
      <c r="AV223" s="3"/>
      <c r="AW223" s="3"/>
    </row>
    <row r="224" spans="2:49" ht="21.75" customHeight="1" x14ac:dyDescent="0.35">
      <c r="B224" s="4"/>
      <c r="C224" s="7"/>
      <c r="D224" s="6"/>
      <c r="E224" s="6"/>
      <c r="F224" s="5"/>
      <c r="G224" s="6"/>
      <c r="H224" s="5"/>
      <c r="I224" s="6"/>
      <c r="J224" s="5"/>
      <c r="K224" s="4"/>
      <c r="L224" s="2"/>
      <c r="M224" s="2"/>
      <c r="U224" s="2"/>
      <c r="V224" s="2"/>
      <c r="W224" s="2"/>
      <c r="X224" s="2"/>
      <c r="Y224" s="2"/>
      <c r="Z224" s="2"/>
      <c r="AA224" s="2"/>
      <c r="AB224" s="2"/>
      <c r="AP224" s="8"/>
      <c r="AQ224" s="8"/>
      <c r="AR224" s="8"/>
      <c r="AS224" s="8"/>
      <c r="AT224" s="8"/>
      <c r="AU224" s="3"/>
      <c r="AV224" s="3"/>
      <c r="AW224" s="3"/>
    </row>
    <row r="225" spans="2:49" ht="21.75" customHeight="1" x14ac:dyDescent="0.35">
      <c r="B225" s="4"/>
      <c r="C225" s="7"/>
      <c r="D225" s="6"/>
      <c r="E225" s="6"/>
      <c r="F225" s="5"/>
      <c r="G225" s="6"/>
      <c r="H225" s="5"/>
      <c r="I225" s="6"/>
      <c r="J225" s="5"/>
      <c r="K225" s="4"/>
      <c r="L225" s="2"/>
      <c r="M225" s="2"/>
      <c r="U225" s="2"/>
      <c r="V225" s="2"/>
      <c r="W225" s="2"/>
      <c r="X225" s="2"/>
      <c r="Y225" s="2"/>
      <c r="Z225" s="2"/>
      <c r="AA225" s="2"/>
      <c r="AB225" s="2"/>
      <c r="AP225" s="8"/>
      <c r="AQ225" s="8"/>
      <c r="AR225" s="8"/>
      <c r="AS225" s="8"/>
      <c r="AT225" s="8"/>
      <c r="AU225" s="3"/>
      <c r="AV225" s="3"/>
      <c r="AW225" s="3"/>
    </row>
    <row r="226" spans="2:49" ht="21.75" customHeight="1" x14ac:dyDescent="0.35">
      <c r="B226" s="4"/>
      <c r="C226" s="7"/>
      <c r="D226" s="6"/>
      <c r="E226" s="6"/>
      <c r="F226" s="5"/>
      <c r="G226" s="6"/>
      <c r="H226" s="5"/>
      <c r="I226" s="6"/>
      <c r="J226" s="5"/>
      <c r="K226" s="4"/>
      <c r="L226" s="2"/>
      <c r="M226" s="2"/>
      <c r="U226" s="2"/>
      <c r="V226" s="2"/>
      <c r="W226" s="2"/>
      <c r="X226" s="2"/>
      <c r="Y226" s="2"/>
      <c r="Z226" s="2"/>
      <c r="AA226" s="2"/>
      <c r="AB226" s="2"/>
      <c r="AP226" s="8"/>
      <c r="AQ226" s="8"/>
      <c r="AR226" s="8"/>
      <c r="AS226" s="8"/>
      <c r="AT226" s="8"/>
      <c r="AU226" s="3"/>
      <c r="AV226" s="3"/>
      <c r="AW226" s="3"/>
    </row>
    <row r="227" spans="2:49" ht="21.75" customHeight="1" x14ac:dyDescent="0.35">
      <c r="B227" s="4"/>
      <c r="C227" s="7"/>
      <c r="D227" s="6"/>
      <c r="E227" s="6"/>
      <c r="F227" s="5"/>
      <c r="G227" s="6"/>
      <c r="H227" s="5"/>
      <c r="I227" s="6"/>
      <c r="J227" s="5"/>
      <c r="K227" s="4"/>
      <c r="L227" s="2"/>
      <c r="M227" s="2"/>
      <c r="U227" s="2"/>
      <c r="V227" s="2"/>
      <c r="W227" s="2"/>
      <c r="X227" s="2"/>
      <c r="Y227" s="2"/>
      <c r="Z227" s="2"/>
      <c r="AA227" s="2"/>
      <c r="AB227" s="2"/>
      <c r="AP227" s="8"/>
      <c r="AQ227" s="8"/>
      <c r="AR227" s="8"/>
      <c r="AS227" s="8"/>
      <c r="AT227" s="8"/>
      <c r="AU227" s="3"/>
      <c r="AV227" s="3"/>
      <c r="AW227" s="3"/>
    </row>
    <row r="228" spans="2:49" ht="21.75" customHeight="1" x14ac:dyDescent="0.35">
      <c r="B228" s="4"/>
      <c r="C228" s="7"/>
      <c r="D228" s="6"/>
      <c r="E228" s="6"/>
      <c r="F228" s="5"/>
      <c r="G228" s="6"/>
      <c r="H228" s="5"/>
      <c r="I228" s="6"/>
      <c r="J228" s="5"/>
      <c r="K228" s="4"/>
      <c r="L228" s="2"/>
      <c r="M228" s="2"/>
      <c r="U228" s="2"/>
      <c r="V228" s="2"/>
      <c r="W228" s="2"/>
      <c r="X228" s="2"/>
      <c r="Y228" s="2"/>
      <c r="Z228" s="2"/>
      <c r="AA228" s="2"/>
      <c r="AB228" s="2"/>
      <c r="AP228" s="8"/>
      <c r="AQ228" s="8"/>
      <c r="AR228" s="8"/>
      <c r="AS228" s="8"/>
      <c r="AT228" s="8"/>
      <c r="AU228" s="3"/>
      <c r="AV228" s="3"/>
      <c r="AW228" s="3"/>
    </row>
    <row r="229" spans="2:49" ht="21.75" customHeight="1" x14ac:dyDescent="0.35">
      <c r="B229" s="4"/>
      <c r="C229" s="7"/>
      <c r="D229" s="6"/>
      <c r="E229" s="6"/>
      <c r="F229" s="5"/>
      <c r="G229" s="6"/>
      <c r="H229" s="5"/>
      <c r="I229" s="6"/>
      <c r="J229" s="5"/>
      <c r="K229" s="4"/>
      <c r="L229" s="2"/>
      <c r="M229" s="2"/>
      <c r="U229" s="2"/>
      <c r="V229" s="2"/>
      <c r="W229" s="2"/>
      <c r="X229" s="2"/>
      <c r="Y229" s="2"/>
      <c r="Z229" s="2"/>
      <c r="AA229" s="2"/>
      <c r="AB229" s="2"/>
      <c r="AP229" s="8"/>
      <c r="AQ229" s="8"/>
      <c r="AR229" s="8"/>
      <c r="AS229" s="8"/>
      <c r="AT229" s="8"/>
      <c r="AU229" s="3"/>
      <c r="AV229" s="3"/>
      <c r="AW229" s="3"/>
    </row>
    <row r="230" spans="2:49" ht="21.75" customHeight="1" x14ac:dyDescent="0.35">
      <c r="B230" s="4"/>
      <c r="C230" s="7"/>
      <c r="D230" s="6"/>
      <c r="E230" s="6"/>
      <c r="F230" s="5"/>
      <c r="G230" s="6"/>
      <c r="H230" s="5"/>
      <c r="I230" s="6"/>
      <c r="J230" s="5"/>
      <c r="K230" s="4"/>
      <c r="L230" s="2"/>
      <c r="M230" s="2"/>
      <c r="U230" s="2"/>
      <c r="V230" s="2"/>
      <c r="W230" s="2"/>
      <c r="X230" s="2"/>
      <c r="Y230" s="2"/>
      <c r="Z230" s="2"/>
      <c r="AA230" s="2"/>
      <c r="AB230" s="2"/>
      <c r="AP230" s="8"/>
      <c r="AQ230" s="8"/>
      <c r="AR230" s="8"/>
      <c r="AS230" s="8"/>
      <c r="AT230" s="8"/>
      <c r="AU230" s="3"/>
      <c r="AV230" s="3"/>
      <c r="AW230" s="3"/>
    </row>
    <row r="231" spans="2:49" ht="21.75" customHeight="1" x14ac:dyDescent="0.35">
      <c r="B231" s="4"/>
      <c r="C231" s="7"/>
      <c r="D231" s="6"/>
      <c r="E231" s="6"/>
      <c r="F231" s="5"/>
      <c r="G231" s="6"/>
      <c r="H231" s="5"/>
      <c r="I231" s="6"/>
      <c r="J231" s="5"/>
      <c r="K231" s="4"/>
      <c r="L231" s="2"/>
      <c r="M231" s="2"/>
      <c r="U231" s="2"/>
      <c r="V231" s="2"/>
      <c r="W231" s="2"/>
      <c r="X231" s="2"/>
      <c r="Y231" s="2"/>
      <c r="Z231" s="2"/>
      <c r="AA231" s="2"/>
      <c r="AB231" s="2"/>
      <c r="AP231" s="8"/>
      <c r="AQ231" s="8"/>
      <c r="AR231" s="8"/>
      <c r="AS231" s="8"/>
      <c r="AT231" s="8"/>
      <c r="AU231" s="3"/>
      <c r="AV231" s="3"/>
      <c r="AW231" s="3"/>
    </row>
    <row r="232" spans="2:49" ht="21.75" customHeight="1" x14ac:dyDescent="0.35">
      <c r="B232" s="4"/>
      <c r="C232" s="7"/>
      <c r="D232" s="6"/>
      <c r="E232" s="6"/>
      <c r="F232" s="5"/>
      <c r="G232" s="6"/>
      <c r="H232" s="5"/>
      <c r="I232" s="6"/>
      <c r="J232" s="5"/>
      <c r="K232" s="4"/>
      <c r="L232" s="2"/>
      <c r="M232" s="2"/>
      <c r="U232" s="2"/>
      <c r="V232" s="2"/>
      <c r="W232" s="2"/>
      <c r="X232" s="2"/>
      <c r="Y232" s="2"/>
      <c r="Z232" s="2"/>
      <c r="AA232" s="2"/>
      <c r="AB232" s="2"/>
      <c r="AP232" s="8"/>
      <c r="AQ232" s="8"/>
      <c r="AR232" s="8"/>
      <c r="AS232" s="8"/>
      <c r="AT232" s="8"/>
      <c r="AU232" s="3"/>
      <c r="AV232" s="3"/>
      <c r="AW232" s="3"/>
    </row>
    <row r="233" spans="2:49" ht="21.75" customHeight="1" x14ac:dyDescent="0.35">
      <c r="B233" s="4"/>
      <c r="C233" s="7"/>
      <c r="D233" s="6"/>
      <c r="E233" s="6"/>
      <c r="F233" s="5"/>
      <c r="G233" s="6"/>
      <c r="H233" s="5"/>
      <c r="I233" s="6"/>
      <c r="J233" s="5"/>
      <c r="K233" s="4"/>
      <c r="L233" s="2"/>
      <c r="M233" s="2"/>
      <c r="U233" s="2"/>
      <c r="V233" s="2"/>
      <c r="W233" s="2"/>
      <c r="X233" s="2"/>
      <c r="Y233" s="2"/>
      <c r="Z233" s="2"/>
      <c r="AA233" s="2"/>
      <c r="AB233" s="2"/>
      <c r="AP233" s="8"/>
      <c r="AQ233" s="8"/>
      <c r="AR233" s="8"/>
      <c r="AS233" s="8"/>
      <c r="AT233" s="8"/>
      <c r="AU233" s="3"/>
      <c r="AV233" s="3"/>
      <c r="AW233" s="3"/>
    </row>
    <row r="234" spans="2:49" ht="21.75" customHeight="1" x14ac:dyDescent="0.35">
      <c r="B234" s="4"/>
      <c r="C234" s="7"/>
      <c r="D234" s="6"/>
      <c r="E234" s="6"/>
      <c r="F234" s="5"/>
      <c r="G234" s="6"/>
      <c r="H234" s="5"/>
      <c r="I234" s="6"/>
      <c r="J234" s="5"/>
      <c r="K234" s="4"/>
      <c r="L234" s="2"/>
      <c r="M234" s="2"/>
      <c r="U234" s="2"/>
      <c r="V234" s="2"/>
      <c r="W234" s="2"/>
      <c r="X234" s="2"/>
      <c r="Y234" s="2"/>
      <c r="Z234" s="2"/>
      <c r="AA234" s="2"/>
      <c r="AB234" s="2"/>
      <c r="AP234" s="8"/>
      <c r="AQ234" s="8"/>
      <c r="AR234" s="8"/>
      <c r="AS234" s="8"/>
      <c r="AT234" s="8"/>
      <c r="AU234" s="3"/>
      <c r="AV234" s="3"/>
      <c r="AW234" s="3"/>
    </row>
    <row r="235" spans="2:49" ht="21.75" customHeight="1" x14ac:dyDescent="0.35">
      <c r="B235" s="4"/>
      <c r="C235" s="7"/>
      <c r="D235" s="6"/>
      <c r="E235" s="6"/>
      <c r="F235" s="5"/>
      <c r="G235" s="6"/>
      <c r="H235" s="5"/>
      <c r="I235" s="6"/>
      <c r="J235" s="5"/>
      <c r="K235" s="4"/>
      <c r="L235" s="2"/>
      <c r="M235" s="2"/>
      <c r="U235" s="2"/>
      <c r="V235" s="2"/>
      <c r="W235" s="2"/>
      <c r="X235" s="2"/>
      <c r="Y235" s="2"/>
      <c r="Z235" s="2"/>
      <c r="AA235" s="2"/>
      <c r="AB235" s="2"/>
      <c r="AP235" s="8"/>
      <c r="AQ235" s="8"/>
      <c r="AR235" s="8"/>
      <c r="AS235" s="8"/>
      <c r="AT235" s="8"/>
      <c r="AU235" s="3"/>
      <c r="AV235" s="3"/>
      <c r="AW235" s="3"/>
    </row>
    <row r="236" spans="2:49" ht="21.75" customHeight="1" x14ac:dyDescent="0.35">
      <c r="B236" s="4"/>
      <c r="C236" s="7"/>
      <c r="D236" s="6"/>
      <c r="E236" s="6"/>
      <c r="F236" s="5"/>
      <c r="G236" s="6"/>
      <c r="H236" s="5"/>
      <c r="I236" s="6"/>
      <c r="J236" s="5"/>
      <c r="K236" s="4"/>
      <c r="L236" s="2"/>
      <c r="M236" s="2"/>
      <c r="U236" s="2"/>
      <c r="V236" s="2"/>
      <c r="W236" s="2"/>
      <c r="X236" s="2"/>
      <c r="Y236" s="2"/>
      <c r="Z236" s="2"/>
      <c r="AA236" s="2"/>
      <c r="AB236" s="2"/>
      <c r="AP236" s="8"/>
      <c r="AQ236" s="8"/>
      <c r="AR236" s="8"/>
      <c r="AS236" s="8"/>
      <c r="AT236" s="8"/>
      <c r="AU236" s="3"/>
      <c r="AV236" s="3"/>
      <c r="AW236" s="3"/>
    </row>
    <row r="237" spans="2:49" ht="21.75" customHeight="1" x14ac:dyDescent="0.35">
      <c r="B237" s="4"/>
      <c r="C237" s="7"/>
      <c r="D237" s="6"/>
      <c r="E237" s="6"/>
      <c r="F237" s="5"/>
      <c r="G237" s="6"/>
      <c r="H237" s="5"/>
      <c r="I237" s="6"/>
      <c r="J237" s="5"/>
      <c r="K237" s="4"/>
      <c r="L237" s="2"/>
      <c r="M237" s="2"/>
      <c r="U237" s="2"/>
      <c r="V237" s="2"/>
      <c r="W237" s="2"/>
      <c r="X237" s="2"/>
      <c r="Y237" s="2"/>
      <c r="Z237" s="2"/>
      <c r="AA237" s="2"/>
      <c r="AB237" s="2"/>
      <c r="AP237" s="8"/>
      <c r="AQ237" s="8"/>
      <c r="AR237" s="8"/>
      <c r="AS237" s="8"/>
      <c r="AT237" s="8"/>
      <c r="AU237" s="3"/>
      <c r="AV237" s="3"/>
      <c r="AW237" s="3"/>
    </row>
    <row r="238" spans="2:49" ht="21.75" customHeight="1" x14ac:dyDescent="0.35">
      <c r="B238" s="4"/>
      <c r="C238" s="7"/>
      <c r="D238" s="6"/>
      <c r="E238" s="6"/>
      <c r="F238" s="5"/>
      <c r="G238" s="6"/>
      <c r="H238" s="5"/>
      <c r="I238" s="6"/>
      <c r="J238" s="5"/>
      <c r="K238" s="4"/>
      <c r="L238" s="2"/>
      <c r="M238" s="2"/>
      <c r="U238" s="2"/>
      <c r="V238" s="2"/>
      <c r="W238" s="2"/>
      <c r="X238" s="2"/>
      <c r="Y238" s="2"/>
      <c r="Z238" s="2"/>
      <c r="AA238" s="2"/>
      <c r="AB238" s="2"/>
      <c r="AP238" s="8"/>
      <c r="AQ238" s="8"/>
      <c r="AR238" s="8"/>
      <c r="AS238" s="8"/>
      <c r="AT238" s="8"/>
      <c r="AU238" s="3"/>
      <c r="AV238" s="3"/>
      <c r="AW238" s="3"/>
    </row>
    <row r="239" spans="2:49" ht="21.75" customHeight="1" x14ac:dyDescent="0.35">
      <c r="B239" s="4"/>
      <c r="C239" s="7"/>
      <c r="D239" s="6"/>
      <c r="E239" s="6"/>
      <c r="F239" s="5"/>
      <c r="G239" s="6"/>
      <c r="H239" s="5"/>
      <c r="I239" s="6"/>
      <c r="J239" s="5"/>
      <c r="K239" s="4"/>
      <c r="L239" s="2"/>
      <c r="M239" s="2"/>
      <c r="U239" s="2"/>
      <c r="V239" s="2"/>
      <c r="W239" s="2"/>
      <c r="X239" s="2"/>
      <c r="Y239" s="2"/>
      <c r="Z239" s="2"/>
      <c r="AA239" s="2"/>
      <c r="AB239" s="2"/>
      <c r="AP239" s="8"/>
      <c r="AQ239" s="8"/>
      <c r="AR239" s="8"/>
      <c r="AS239" s="8"/>
      <c r="AT239" s="8"/>
      <c r="AU239" s="3"/>
      <c r="AV239" s="3"/>
      <c r="AW239" s="3"/>
    </row>
    <row r="240" spans="2:49" ht="21.75" customHeight="1" x14ac:dyDescent="0.35">
      <c r="B240" s="4"/>
      <c r="C240" s="7"/>
      <c r="D240" s="6"/>
      <c r="E240" s="6"/>
      <c r="F240" s="5"/>
      <c r="G240" s="6"/>
      <c r="H240" s="5"/>
      <c r="I240" s="6"/>
      <c r="J240" s="5"/>
      <c r="K240" s="4"/>
      <c r="L240" s="2"/>
      <c r="M240" s="2"/>
      <c r="U240" s="2"/>
      <c r="V240" s="2"/>
      <c r="W240" s="2"/>
      <c r="X240" s="2"/>
      <c r="Y240" s="2"/>
      <c r="Z240" s="2"/>
      <c r="AA240" s="2"/>
      <c r="AB240" s="2"/>
      <c r="AP240" s="8"/>
      <c r="AQ240" s="8"/>
      <c r="AR240" s="8"/>
      <c r="AS240" s="8"/>
      <c r="AT240" s="8"/>
      <c r="AU240" s="3"/>
      <c r="AV240" s="3"/>
      <c r="AW240" s="3"/>
    </row>
    <row r="241" spans="2:49" ht="21.75" customHeight="1" x14ac:dyDescent="0.35">
      <c r="B241" s="4"/>
      <c r="C241" s="7"/>
      <c r="D241" s="6"/>
      <c r="E241" s="6"/>
      <c r="F241" s="5"/>
      <c r="G241" s="6"/>
      <c r="H241" s="5"/>
      <c r="I241" s="6"/>
      <c r="J241" s="5"/>
      <c r="K241" s="4"/>
      <c r="L241" s="2"/>
      <c r="M241" s="2"/>
      <c r="U241" s="2"/>
      <c r="V241" s="2"/>
      <c r="W241" s="2"/>
      <c r="X241" s="2"/>
      <c r="Y241" s="2"/>
      <c r="Z241" s="2"/>
      <c r="AA241" s="2"/>
      <c r="AB241" s="2"/>
      <c r="AP241" s="8"/>
      <c r="AQ241" s="8"/>
      <c r="AR241" s="8"/>
      <c r="AS241" s="8"/>
      <c r="AT241" s="8"/>
      <c r="AU241" s="3"/>
      <c r="AV241" s="3"/>
      <c r="AW241" s="3"/>
    </row>
    <row r="242" spans="2:49" ht="21.75" customHeight="1" x14ac:dyDescent="0.35">
      <c r="B242" s="4"/>
      <c r="C242" s="7"/>
      <c r="D242" s="6"/>
      <c r="E242" s="6"/>
      <c r="F242" s="5"/>
      <c r="G242" s="6"/>
      <c r="H242" s="5"/>
      <c r="I242" s="6"/>
      <c r="J242" s="5"/>
      <c r="K242" s="4"/>
      <c r="L242" s="2"/>
      <c r="M242" s="2"/>
      <c r="U242" s="2"/>
      <c r="V242" s="2"/>
      <c r="W242" s="2"/>
      <c r="X242" s="2"/>
      <c r="Y242" s="2"/>
      <c r="Z242" s="2"/>
      <c r="AA242" s="2"/>
      <c r="AB242" s="2"/>
      <c r="AP242" s="8"/>
      <c r="AQ242" s="8"/>
      <c r="AR242" s="8"/>
      <c r="AS242" s="8"/>
      <c r="AT242" s="8"/>
      <c r="AU242" s="3"/>
      <c r="AV242" s="3"/>
      <c r="AW242" s="3"/>
    </row>
    <row r="243" spans="2:49" ht="21.75" customHeight="1" x14ac:dyDescent="0.35">
      <c r="B243" s="4"/>
      <c r="C243" s="7"/>
      <c r="D243" s="6"/>
      <c r="E243" s="6"/>
      <c r="F243" s="5"/>
      <c r="G243" s="6"/>
      <c r="H243" s="5"/>
      <c r="I243" s="6"/>
      <c r="J243" s="5"/>
      <c r="K243" s="4"/>
      <c r="L243" s="2"/>
      <c r="M243" s="2"/>
      <c r="U243" s="2"/>
      <c r="V243" s="2"/>
      <c r="W243" s="2"/>
      <c r="X243" s="2"/>
      <c r="Y243" s="2"/>
      <c r="Z243" s="2"/>
      <c r="AA243" s="2"/>
      <c r="AB243" s="2"/>
      <c r="AP243" s="8"/>
      <c r="AQ243" s="8"/>
      <c r="AR243" s="8"/>
      <c r="AS243" s="8"/>
      <c r="AT243" s="8"/>
      <c r="AU243" s="3"/>
      <c r="AV243" s="3"/>
      <c r="AW243" s="3"/>
    </row>
    <row r="244" spans="2:49" ht="21.75" customHeight="1" x14ac:dyDescent="0.35">
      <c r="B244" s="4"/>
      <c r="C244" s="7"/>
      <c r="D244" s="6"/>
      <c r="E244" s="6"/>
      <c r="F244" s="5"/>
      <c r="G244" s="6"/>
      <c r="H244" s="5"/>
      <c r="I244" s="6"/>
      <c r="J244" s="5"/>
      <c r="K244" s="4"/>
      <c r="L244" s="2"/>
      <c r="M244" s="2"/>
      <c r="U244" s="2"/>
      <c r="V244" s="2"/>
      <c r="W244" s="2"/>
      <c r="X244" s="2"/>
      <c r="Y244" s="2"/>
      <c r="Z244" s="2"/>
      <c r="AA244" s="2"/>
      <c r="AB244" s="2"/>
      <c r="AP244" s="8"/>
      <c r="AQ244" s="8"/>
      <c r="AR244" s="8"/>
      <c r="AS244" s="8"/>
      <c r="AT244" s="8"/>
      <c r="AU244" s="3"/>
      <c r="AV244" s="3"/>
      <c r="AW244" s="3"/>
    </row>
    <row r="245" spans="2:49" ht="21.75" customHeight="1" x14ac:dyDescent="0.35">
      <c r="B245" s="4"/>
      <c r="C245" s="7"/>
      <c r="D245" s="6"/>
      <c r="E245" s="6"/>
      <c r="F245" s="5"/>
      <c r="G245" s="6"/>
      <c r="H245" s="5"/>
      <c r="I245" s="6"/>
      <c r="J245" s="5"/>
      <c r="K245" s="4"/>
      <c r="L245" s="2"/>
      <c r="M245" s="2"/>
      <c r="U245" s="2"/>
      <c r="V245" s="2"/>
      <c r="W245" s="2"/>
      <c r="X245" s="2"/>
      <c r="Y245" s="2"/>
      <c r="Z245" s="2"/>
      <c r="AA245" s="2"/>
      <c r="AB245" s="2"/>
      <c r="AP245" s="8"/>
      <c r="AQ245" s="8"/>
      <c r="AR245" s="8"/>
      <c r="AS245" s="8"/>
      <c r="AT245" s="8"/>
      <c r="AU245" s="3"/>
      <c r="AV245" s="3"/>
      <c r="AW245" s="3"/>
    </row>
    <row r="246" spans="2:49" ht="21.75" customHeight="1" x14ac:dyDescent="0.35">
      <c r="B246" s="4"/>
      <c r="C246" s="7"/>
      <c r="D246" s="6"/>
      <c r="E246" s="6"/>
      <c r="F246" s="5"/>
      <c r="G246" s="6"/>
      <c r="H246" s="5"/>
      <c r="I246" s="6"/>
      <c r="J246" s="5"/>
      <c r="K246" s="4"/>
      <c r="L246" s="2"/>
      <c r="M246" s="2"/>
      <c r="U246" s="2"/>
      <c r="V246" s="2"/>
      <c r="W246" s="2"/>
      <c r="X246" s="2"/>
      <c r="Y246" s="2"/>
      <c r="Z246" s="2"/>
      <c r="AA246" s="2"/>
      <c r="AB246" s="2"/>
      <c r="AP246" s="8"/>
      <c r="AQ246" s="8"/>
      <c r="AR246" s="8"/>
      <c r="AS246" s="8"/>
      <c r="AT246" s="8"/>
      <c r="AU246" s="3"/>
      <c r="AV246" s="3"/>
      <c r="AW246" s="3"/>
    </row>
    <row r="247" spans="2:49" ht="21.75" customHeight="1" x14ac:dyDescent="0.35">
      <c r="B247" s="4"/>
      <c r="C247" s="7"/>
      <c r="D247" s="6"/>
      <c r="E247" s="6"/>
      <c r="F247" s="5"/>
      <c r="G247" s="6"/>
      <c r="H247" s="5"/>
      <c r="I247" s="6"/>
      <c r="J247" s="5"/>
      <c r="K247" s="4"/>
      <c r="L247" s="2"/>
      <c r="M247" s="2"/>
      <c r="U247" s="2"/>
      <c r="V247" s="2"/>
      <c r="W247" s="2"/>
      <c r="X247" s="2"/>
      <c r="Y247" s="2"/>
      <c r="Z247" s="2"/>
      <c r="AA247" s="2"/>
      <c r="AB247" s="2"/>
      <c r="AP247" s="8"/>
      <c r="AQ247" s="8"/>
      <c r="AR247" s="8"/>
      <c r="AS247" s="8"/>
      <c r="AT247" s="8"/>
      <c r="AU247" s="3"/>
      <c r="AV247" s="3"/>
      <c r="AW247" s="3"/>
    </row>
    <row r="248" spans="2:49" ht="21.75" customHeight="1" x14ac:dyDescent="0.35">
      <c r="B248" s="4"/>
      <c r="C248" s="7"/>
      <c r="D248" s="6"/>
      <c r="E248" s="6"/>
      <c r="F248" s="5"/>
      <c r="G248" s="6"/>
      <c r="H248" s="5"/>
      <c r="I248" s="6"/>
      <c r="J248" s="5"/>
      <c r="K248" s="4"/>
      <c r="L248" s="2"/>
      <c r="M248" s="2"/>
      <c r="U248" s="2"/>
      <c r="V248" s="2"/>
      <c r="W248" s="2"/>
      <c r="X248" s="2"/>
      <c r="Y248" s="2"/>
      <c r="Z248" s="2"/>
      <c r="AA248" s="2"/>
      <c r="AB248" s="2"/>
      <c r="AP248" s="8"/>
      <c r="AQ248" s="8"/>
      <c r="AR248" s="8"/>
      <c r="AS248" s="8"/>
      <c r="AT248" s="8"/>
      <c r="AU248" s="3"/>
      <c r="AV248" s="3"/>
      <c r="AW248" s="3"/>
    </row>
    <row r="249" spans="2:49" ht="21.75" customHeight="1" x14ac:dyDescent="0.35">
      <c r="B249" s="4"/>
      <c r="C249" s="7"/>
      <c r="D249" s="6"/>
      <c r="E249" s="6"/>
      <c r="F249" s="5"/>
      <c r="G249" s="6"/>
      <c r="H249" s="5"/>
      <c r="I249" s="6"/>
      <c r="J249" s="5"/>
      <c r="K249" s="4"/>
      <c r="L249" s="2"/>
      <c r="M249" s="2"/>
      <c r="U249" s="2"/>
      <c r="V249" s="2"/>
      <c r="W249" s="2"/>
      <c r="X249" s="2"/>
      <c r="Y249" s="2"/>
      <c r="Z249" s="2"/>
      <c r="AA249" s="2"/>
      <c r="AB249" s="2"/>
      <c r="AP249" s="8"/>
      <c r="AQ249" s="8"/>
      <c r="AR249" s="8"/>
      <c r="AS249" s="8"/>
      <c r="AT249" s="8"/>
      <c r="AU249" s="3"/>
      <c r="AV249" s="3"/>
      <c r="AW249" s="3"/>
    </row>
    <row r="250" spans="2:49" ht="21.75" customHeight="1" x14ac:dyDescent="0.35">
      <c r="B250" s="4"/>
      <c r="C250" s="7"/>
      <c r="D250" s="6"/>
      <c r="E250" s="6"/>
      <c r="F250" s="5"/>
      <c r="G250" s="6"/>
      <c r="H250" s="5"/>
      <c r="I250" s="6"/>
      <c r="J250" s="5"/>
      <c r="K250" s="4"/>
      <c r="L250" s="2"/>
      <c r="M250" s="2"/>
      <c r="U250" s="2"/>
      <c r="V250" s="2"/>
      <c r="W250" s="2"/>
      <c r="X250" s="2"/>
      <c r="Y250" s="2"/>
      <c r="Z250" s="2"/>
      <c r="AA250" s="2"/>
      <c r="AB250" s="2"/>
      <c r="AP250" s="8"/>
      <c r="AQ250" s="8"/>
      <c r="AR250" s="8"/>
      <c r="AS250" s="8"/>
      <c r="AT250" s="8"/>
      <c r="AU250" s="3"/>
      <c r="AV250" s="3"/>
      <c r="AW250" s="3"/>
    </row>
    <row r="251" spans="2:49" ht="21.75" customHeight="1" x14ac:dyDescent="0.35">
      <c r="B251" s="4"/>
      <c r="C251" s="7"/>
      <c r="D251" s="6"/>
      <c r="E251" s="6"/>
      <c r="F251" s="5"/>
      <c r="G251" s="6"/>
      <c r="H251" s="5"/>
      <c r="I251" s="6"/>
      <c r="J251" s="5"/>
      <c r="K251" s="4"/>
      <c r="L251" s="2"/>
      <c r="M251" s="2"/>
      <c r="U251" s="2"/>
      <c r="V251" s="2"/>
      <c r="W251" s="2"/>
      <c r="X251" s="2"/>
      <c r="Y251" s="2"/>
      <c r="Z251" s="2"/>
      <c r="AA251" s="2"/>
      <c r="AB251" s="2"/>
      <c r="AP251" s="8"/>
      <c r="AQ251" s="8"/>
      <c r="AR251" s="8"/>
      <c r="AS251" s="8"/>
      <c r="AT251" s="8"/>
      <c r="AU251" s="3"/>
      <c r="AV251" s="3"/>
      <c r="AW251" s="3"/>
    </row>
    <row r="252" spans="2:49" ht="21.75" customHeight="1" x14ac:dyDescent="0.35">
      <c r="B252" s="4"/>
      <c r="C252" s="7"/>
      <c r="D252" s="6"/>
      <c r="E252" s="6"/>
      <c r="F252" s="5"/>
      <c r="G252" s="6"/>
      <c r="H252" s="5"/>
      <c r="I252" s="6"/>
      <c r="J252" s="5"/>
      <c r="K252" s="4"/>
      <c r="L252" s="2"/>
      <c r="M252" s="2"/>
      <c r="U252" s="2"/>
      <c r="V252" s="2"/>
      <c r="W252" s="2"/>
      <c r="X252" s="2"/>
      <c r="Y252" s="2"/>
      <c r="Z252" s="2"/>
      <c r="AA252" s="2"/>
      <c r="AB252" s="2"/>
      <c r="AP252" s="8"/>
      <c r="AQ252" s="8"/>
      <c r="AR252" s="8"/>
      <c r="AS252" s="8"/>
      <c r="AT252" s="8"/>
      <c r="AU252" s="3"/>
      <c r="AV252" s="3"/>
      <c r="AW252" s="3"/>
    </row>
    <row r="253" spans="2:49" ht="21.75" customHeight="1" x14ac:dyDescent="0.35">
      <c r="B253" s="4"/>
      <c r="C253" s="7"/>
      <c r="D253" s="6"/>
      <c r="E253" s="6"/>
      <c r="F253" s="5"/>
      <c r="G253" s="6"/>
      <c r="H253" s="5"/>
      <c r="I253" s="6"/>
      <c r="J253" s="5"/>
      <c r="K253" s="4"/>
      <c r="L253" s="2"/>
      <c r="M253" s="2"/>
      <c r="U253" s="2"/>
      <c r="V253" s="2"/>
      <c r="W253" s="2"/>
      <c r="X253" s="2"/>
      <c r="Y253" s="2"/>
      <c r="Z253" s="2"/>
      <c r="AA253" s="2"/>
      <c r="AB253" s="2"/>
      <c r="AP253" s="8"/>
      <c r="AQ253" s="8"/>
      <c r="AR253" s="8"/>
      <c r="AS253" s="8"/>
      <c r="AT253" s="8"/>
      <c r="AU253" s="3"/>
      <c r="AV253" s="3"/>
      <c r="AW253" s="3"/>
    </row>
    <row r="254" spans="2:49" ht="21.75" customHeight="1" x14ac:dyDescent="0.35">
      <c r="B254" s="4"/>
      <c r="C254" s="7"/>
      <c r="D254" s="6"/>
      <c r="E254" s="6"/>
      <c r="F254" s="5"/>
      <c r="G254" s="6"/>
      <c r="H254" s="5"/>
      <c r="I254" s="6"/>
      <c r="J254" s="5"/>
      <c r="K254" s="4"/>
      <c r="L254" s="2"/>
      <c r="M254" s="2"/>
      <c r="U254" s="2"/>
      <c r="V254" s="2"/>
      <c r="W254" s="2"/>
      <c r="X254" s="2"/>
      <c r="Y254" s="2"/>
      <c r="Z254" s="2"/>
      <c r="AA254" s="2"/>
      <c r="AB254" s="2"/>
      <c r="AP254" s="8"/>
      <c r="AQ254" s="8"/>
      <c r="AR254" s="8"/>
      <c r="AS254" s="8"/>
      <c r="AT254" s="8"/>
      <c r="AU254" s="3"/>
      <c r="AV254" s="3"/>
      <c r="AW254" s="3"/>
    </row>
    <row r="255" spans="2:49" ht="21.75" customHeight="1" x14ac:dyDescent="0.35">
      <c r="B255" s="4"/>
      <c r="C255" s="7"/>
      <c r="D255" s="6"/>
      <c r="E255" s="6"/>
      <c r="F255" s="5"/>
      <c r="G255" s="6"/>
      <c r="H255" s="5"/>
      <c r="I255" s="6"/>
      <c r="J255" s="5"/>
      <c r="K255" s="4"/>
      <c r="L255" s="2"/>
      <c r="M255" s="2"/>
      <c r="U255" s="2"/>
      <c r="V255" s="2"/>
      <c r="W255" s="2"/>
      <c r="X255" s="2"/>
      <c r="Y255" s="2"/>
      <c r="Z255" s="2"/>
      <c r="AA255" s="2"/>
      <c r="AB255" s="2"/>
      <c r="AP255" s="8"/>
      <c r="AQ255" s="8"/>
      <c r="AR255" s="8"/>
      <c r="AS255" s="8"/>
      <c r="AT255" s="8"/>
      <c r="AU255" s="3"/>
      <c r="AV255" s="3"/>
      <c r="AW255" s="3"/>
    </row>
    <row r="256" spans="2:49" ht="21.75" customHeight="1" x14ac:dyDescent="0.35">
      <c r="B256" s="4"/>
      <c r="C256" s="7"/>
      <c r="D256" s="6"/>
      <c r="E256" s="6"/>
      <c r="F256" s="5"/>
      <c r="G256" s="6"/>
      <c r="H256" s="5"/>
      <c r="I256" s="6"/>
      <c r="J256" s="5"/>
      <c r="K256" s="4"/>
      <c r="L256" s="2"/>
      <c r="M256" s="2"/>
      <c r="U256" s="2"/>
      <c r="V256" s="2"/>
      <c r="W256" s="2"/>
      <c r="X256" s="2"/>
      <c r="Y256" s="2"/>
      <c r="Z256" s="2"/>
      <c r="AA256" s="2"/>
      <c r="AB256" s="2"/>
      <c r="AP256" s="8"/>
      <c r="AQ256" s="8"/>
      <c r="AR256" s="8"/>
      <c r="AS256" s="8"/>
      <c r="AT256" s="8"/>
      <c r="AU256" s="3"/>
      <c r="AV256" s="3"/>
      <c r="AW256" s="3"/>
    </row>
    <row r="257" spans="2:49" ht="21.75" customHeight="1" x14ac:dyDescent="0.35">
      <c r="B257" s="4"/>
      <c r="C257" s="7"/>
      <c r="D257" s="6"/>
      <c r="E257" s="6"/>
      <c r="F257" s="5"/>
      <c r="G257" s="6"/>
      <c r="H257" s="5"/>
      <c r="I257" s="6"/>
      <c r="J257" s="5"/>
      <c r="K257" s="4"/>
      <c r="L257" s="2"/>
      <c r="M257" s="2"/>
      <c r="U257" s="2"/>
      <c r="V257" s="2"/>
      <c r="W257" s="2"/>
      <c r="X257" s="2"/>
      <c r="Y257" s="2"/>
      <c r="Z257" s="2"/>
      <c r="AA257" s="2"/>
      <c r="AB257" s="2"/>
      <c r="AP257" s="8"/>
      <c r="AQ257" s="8"/>
      <c r="AR257" s="8"/>
      <c r="AS257" s="8"/>
      <c r="AT257" s="8"/>
      <c r="AU257" s="3"/>
      <c r="AV257" s="3"/>
      <c r="AW257" s="3"/>
    </row>
    <row r="258" spans="2:49" ht="21.75" customHeight="1" x14ac:dyDescent="0.35">
      <c r="B258" s="4"/>
      <c r="C258" s="7"/>
      <c r="D258" s="6"/>
      <c r="E258" s="6"/>
      <c r="F258" s="5"/>
      <c r="G258" s="6"/>
      <c r="H258" s="5"/>
      <c r="I258" s="6"/>
      <c r="J258" s="5"/>
      <c r="K258" s="4"/>
      <c r="L258" s="2"/>
      <c r="M258" s="2"/>
      <c r="U258" s="2"/>
      <c r="V258" s="2"/>
      <c r="W258" s="2"/>
      <c r="X258" s="2"/>
      <c r="Y258" s="2"/>
      <c r="Z258" s="2"/>
      <c r="AA258" s="2"/>
      <c r="AB258" s="2"/>
      <c r="AP258" s="8"/>
      <c r="AQ258" s="8"/>
      <c r="AR258" s="8"/>
      <c r="AS258" s="8"/>
      <c r="AT258" s="8"/>
      <c r="AU258" s="3"/>
      <c r="AV258" s="3"/>
      <c r="AW258" s="3"/>
    </row>
    <row r="259" spans="2:49" ht="21.75" customHeight="1" x14ac:dyDescent="0.35">
      <c r="B259" s="4"/>
      <c r="C259" s="7"/>
      <c r="D259" s="6"/>
      <c r="E259" s="6"/>
      <c r="F259" s="5"/>
      <c r="G259" s="6"/>
      <c r="H259" s="5"/>
      <c r="I259" s="6"/>
      <c r="J259" s="5"/>
      <c r="K259" s="4"/>
      <c r="L259" s="2"/>
      <c r="M259" s="2"/>
      <c r="U259" s="2"/>
      <c r="V259" s="2"/>
      <c r="W259" s="2"/>
      <c r="X259" s="2"/>
      <c r="Y259" s="2"/>
      <c r="Z259" s="2"/>
      <c r="AA259" s="2"/>
      <c r="AB259" s="2"/>
      <c r="AP259" s="8"/>
      <c r="AQ259" s="8"/>
      <c r="AR259" s="8"/>
      <c r="AS259" s="8"/>
      <c r="AT259" s="8"/>
      <c r="AU259" s="3"/>
      <c r="AV259" s="3"/>
      <c r="AW259" s="3"/>
    </row>
    <row r="260" spans="2:49" ht="21.75" customHeight="1" x14ac:dyDescent="0.35">
      <c r="B260" s="4"/>
      <c r="C260" s="7"/>
      <c r="D260" s="6"/>
      <c r="E260" s="6"/>
      <c r="F260" s="5"/>
      <c r="G260" s="6"/>
      <c r="H260" s="5"/>
      <c r="I260" s="6"/>
      <c r="J260" s="5"/>
      <c r="K260" s="4"/>
      <c r="L260" s="2"/>
      <c r="M260" s="2"/>
      <c r="U260" s="2"/>
      <c r="V260" s="2"/>
      <c r="W260" s="2"/>
      <c r="X260" s="2"/>
      <c r="Y260" s="2"/>
      <c r="Z260" s="2"/>
      <c r="AA260" s="2"/>
      <c r="AB260" s="2"/>
      <c r="AP260" s="8"/>
      <c r="AQ260" s="8"/>
      <c r="AR260" s="8"/>
      <c r="AS260" s="8"/>
      <c r="AT260" s="8"/>
      <c r="AU260" s="3"/>
      <c r="AV260" s="3"/>
      <c r="AW260" s="3"/>
    </row>
    <row r="261" spans="2:49" ht="21.75" customHeight="1" x14ac:dyDescent="0.35">
      <c r="B261" s="4"/>
      <c r="C261" s="7"/>
      <c r="D261" s="6"/>
      <c r="E261" s="6"/>
      <c r="F261" s="5"/>
      <c r="G261" s="6"/>
      <c r="H261" s="5"/>
      <c r="I261" s="6"/>
      <c r="J261" s="5"/>
      <c r="K261" s="4"/>
      <c r="L261" s="2"/>
      <c r="M261" s="2"/>
      <c r="U261" s="2"/>
      <c r="V261" s="2"/>
      <c r="W261" s="2"/>
      <c r="X261" s="2"/>
      <c r="Y261" s="2"/>
      <c r="Z261" s="2"/>
      <c r="AA261" s="2"/>
      <c r="AB261" s="2"/>
      <c r="AP261" s="8"/>
      <c r="AQ261" s="8"/>
      <c r="AR261" s="8"/>
      <c r="AS261" s="8"/>
      <c r="AT261" s="8"/>
      <c r="AU261" s="3"/>
      <c r="AV261" s="3"/>
      <c r="AW261" s="3"/>
    </row>
    <row r="262" spans="2:49" ht="21.75" customHeight="1" x14ac:dyDescent="0.35">
      <c r="B262" s="4"/>
      <c r="C262" s="7"/>
      <c r="D262" s="6"/>
      <c r="E262" s="6"/>
      <c r="F262" s="5"/>
      <c r="G262" s="6"/>
      <c r="H262" s="5"/>
      <c r="I262" s="6"/>
      <c r="J262" s="5"/>
      <c r="K262" s="4"/>
      <c r="L262" s="2"/>
      <c r="M262" s="2"/>
      <c r="U262" s="2"/>
      <c r="V262" s="2"/>
      <c r="W262" s="2"/>
      <c r="X262" s="2"/>
      <c r="Y262" s="2"/>
      <c r="Z262" s="2"/>
      <c r="AA262" s="2"/>
      <c r="AB262" s="2"/>
      <c r="AP262" s="8"/>
      <c r="AQ262" s="8"/>
      <c r="AR262" s="8"/>
      <c r="AS262" s="8"/>
      <c r="AT262" s="8"/>
      <c r="AU262" s="3"/>
      <c r="AV262" s="3"/>
      <c r="AW262" s="3"/>
    </row>
    <row r="263" spans="2:49" ht="21.75" customHeight="1" x14ac:dyDescent="0.35">
      <c r="B263" s="4"/>
      <c r="C263" s="7"/>
      <c r="D263" s="6"/>
      <c r="E263" s="6"/>
      <c r="F263" s="5"/>
      <c r="G263" s="6"/>
      <c r="H263" s="5"/>
      <c r="I263" s="6"/>
      <c r="J263" s="5"/>
      <c r="K263" s="4"/>
      <c r="L263" s="2"/>
      <c r="M263" s="2"/>
      <c r="U263" s="2"/>
      <c r="V263" s="2"/>
      <c r="W263" s="2"/>
      <c r="X263" s="2"/>
      <c r="Y263" s="2"/>
      <c r="Z263" s="2"/>
      <c r="AA263" s="2"/>
      <c r="AB263" s="2"/>
      <c r="AP263" s="8"/>
      <c r="AQ263" s="8"/>
      <c r="AR263" s="8"/>
      <c r="AS263" s="8"/>
      <c r="AT263" s="8"/>
      <c r="AU263" s="3"/>
      <c r="AV263" s="3"/>
      <c r="AW263" s="3"/>
    </row>
    <row r="264" spans="2:49" ht="21.75" customHeight="1" x14ac:dyDescent="0.35">
      <c r="B264" s="4"/>
      <c r="C264" s="7"/>
      <c r="D264" s="6"/>
      <c r="E264" s="6"/>
      <c r="F264" s="5"/>
      <c r="G264" s="6"/>
      <c r="H264" s="5"/>
      <c r="I264" s="6"/>
      <c r="J264" s="5"/>
      <c r="K264" s="4"/>
      <c r="L264" s="2"/>
      <c r="M264" s="2"/>
      <c r="U264" s="2"/>
      <c r="V264" s="2"/>
      <c r="W264" s="2"/>
      <c r="X264" s="2"/>
      <c r="Y264" s="2"/>
      <c r="Z264" s="2"/>
      <c r="AA264" s="2"/>
      <c r="AB264" s="2"/>
      <c r="AP264" s="8"/>
      <c r="AQ264" s="8"/>
      <c r="AR264" s="8"/>
      <c r="AS264" s="8"/>
      <c r="AT264" s="8"/>
      <c r="AU264" s="3"/>
      <c r="AV264" s="3"/>
      <c r="AW264" s="3"/>
    </row>
    <row r="265" spans="2:49" ht="21.75" customHeight="1" x14ac:dyDescent="0.35">
      <c r="B265" s="4"/>
      <c r="C265" s="7"/>
      <c r="D265" s="6"/>
      <c r="E265" s="6"/>
      <c r="F265" s="5"/>
      <c r="G265" s="6"/>
      <c r="H265" s="5"/>
      <c r="I265" s="6"/>
      <c r="J265" s="5"/>
      <c r="K265" s="4"/>
      <c r="L265" s="2"/>
      <c r="M265" s="2"/>
      <c r="U265" s="2"/>
      <c r="V265" s="2"/>
      <c r="W265" s="2"/>
      <c r="X265" s="2"/>
      <c r="Y265" s="2"/>
      <c r="Z265" s="2"/>
      <c r="AA265" s="2"/>
      <c r="AB265" s="2"/>
      <c r="AP265" s="8"/>
      <c r="AQ265" s="8"/>
      <c r="AR265" s="8"/>
      <c r="AS265" s="8"/>
      <c r="AT265" s="8"/>
      <c r="AU265" s="3"/>
      <c r="AV265" s="3"/>
      <c r="AW265" s="3"/>
    </row>
    <row r="266" spans="2:49" ht="21.75" customHeight="1" x14ac:dyDescent="0.35">
      <c r="B266" s="4"/>
      <c r="C266" s="7"/>
      <c r="D266" s="6"/>
      <c r="E266" s="6"/>
      <c r="F266" s="5"/>
      <c r="G266" s="6"/>
      <c r="H266" s="5"/>
      <c r="I266" s="6"/>
      <c r="J266" s="5"/>
      <c r="K266" s="4"/>
      <c r="L266" s="2"/>
      <c r="M266" s="2"/>
      <c r="U266" s="2"/>
      <c r="V266" s="2"/>
      <c r="W266" s="2"/>
      <c r="X266" s="2"/>
      <c r="Y266" s="2"/>
      <c r="Z266" s="2"/>
      <c r="AA266" s="2"/>
      <c r="AB266" s="2"/>
      <c r="AP266" s="8"/>
      <c r="AQ266" s="8"/>
      <c r="AR266" s="8"/>
      <c r="AS266" s="8"/>
      <c r="AT266" s="8"/>
      <c r="AU266" s="3"/>
      <c r="AV266" s="3"/>
      <c r="AW266" s="3"/>
    </row>
    <row r="267" spans="2:49" ht="21.75" customHeight="1" x14ac:dyDescent="0.35">
      <c r="B267" s="4"/>
      <c r="C267" s="7"/>
      <c r="D267" s="6"/>
      <c r="E267" s="6"/>
      <c r="F267" s="5"/>
      <c r="G267" s="6"/>
      <c r="H267" s="5"/>
      <c r="I267" s="6"/>
      <c r="J267" s="5"/>
      <c r="K267" s="4"/>
      <c r="L267" s="2"/>
      <c r="M267" s="2"/>
      <c r="U267" s="2"/>
      <c r="V267" s="2"/>
      <c r="W267" s="2"/>
      <c r="X267" s="2"/>
      <c r="Y267" s="2"/>
      <c r="Z267" s="2"/>
      <c r="AA267" s="2"/>
      <c r="AB267" s="2"/>
      <c r="AP267" s="8"/>
      <c r="AQ267" s="8"/>
      <c r="AR267" s="8"/>
      <c r="AS267" s="8"/>
      <c r="AT267" s="8"/>
      <c r="AU267" s="3"/>
      <c r="AV267" s="3"/>
      <c r="AW267" s="3"/>
    </row>
    <row r="268" spans="2:49" ht="21.75" customHeight="1" x14ac:dyDescent="0.35">
      <c r="B268" s="4"/>
      <c r="C268" s="7"/>
      <c r="D268" s="6"/>
      <c r="E268" s="6"/>
      <c r="F268" s="5"/>
      <c r="G268" s="6"/>
      <c r="H268" s="5"/>
      <c r="I268" s="6"/>
      <c r="J268" s="5"/>
      <c r="K268" s="4"/>
      <c r="L268" s="2"/>
      <c r="M268" s="2"/>
      <c r="U268" s="2"/>
      <c r="V268" s="2"/>
      <c r="W268" s="2"/>
      <c r="X268" s="2"/>
      <c r="Y268" s="2"/>
      <c r="Z268" s="2"/>
      <c r="AA268" s="2"/>
      <c r="AB268" s="2"/>
      <c r="AP268" s="8"/>
      <c r="AQ268" s="8"/>
      <c r="AR268" s="8"/>
      <c r="AS268" s="8"/>
      <c r="AT268" s="8"/>
      <c r="AU268" s="3"/>
      <c r="AV268" s="3"/>
      <c r="AW268" s="3"/>
    </row>
    <row r="269" spans="2:49" ht="21.75" customHeight="1" x14ac:dyDescent="0.35">
      <c r="B269" s="4"/>
      <c r="C269" s="7"/>
      <c r="D269" s="6"/>
      <c r="E269" s="6"/>
      <c r="F269" s="5"/>
      <c r="G269" s="6"/>
      <c r="H269" s="5"/>
      <c r="I269" s="6"/>
      <c r="J269" s="5"/>
      <c r="K269" s="4"/>
      <c r="L269" s="2"/>
      <c r="M269" s="2"/>
      <c r="U269" s="2"/>
      <c r="V269" s="2"/>
      <c r="W269" s="2"/>
      <c r="X269" s="2"/>
      <c r="Y269" s="2"/>
      <c r="Z269" s="2"/>
      <c r="AA269" s="2"/>
      <c r="AB269" s="2"/>
      <c r="AP269" s="8"/>
      <c r="AQ269" s="8"/>
      <c r="AR269" s="8"/>
      <c r="AS269" s="8"/>
      <c r="AT269" s="8"/>
      <c r="AU269" s="3"/>
      <c r="AV269" s="3"/>
      <c r="AW269" s="3"/>
    </row>
    <row r="270" spans="2:49" ht="21.75" customHeight="1" x14ac:dyDescent="0.35">
      <c r="B270" s="4"/>
      <c r="C270" s="7"/>
      <c r="D270" s="6"/>
      <c r="E270" s="6"/>
      <c r="F270" s="5"/>
      <c r="G270" s="6"/>
      <c r="H270" s="5"/>
      <c r="I270" s="6"/>
      <c r="J270" s="5"/>
      <c r="K270" s="4"/>
      <c r="L270" s="2"/>
      <c r="M270" s="2"/>
      <c r="U270" s="2"/>
      <c r="V270" s="2"/>
      <c r="W270" s="2"/>
      <c r="X270" s="2"/>
      <c r="Y270" s="2"/>
      <c r="Z270" s="2"/>
      <c r="AA270" s="2"/>
      <c r="AB270" s="2"/>
      <c r="AP270" s="8"/>
      <c r="AQ270" s="8"/>
      <c r="AR270" s="8"/>
      <c r="AS270" s="8"/>
      <c r="AT270" s="8"/>
      <c r="AU270" s="3"/>
      <c r="AV270" s="3"/>
      <c r="AW270" s="3"/>
    </row>
    <row r="271" spans="2:49" ht="21.75" customHeight="1" x14ac:dyDescent="0.35">
      <c r="B271" s="4"/>
      <c r="C271" s="7"/>
      <c r="D271" s="6"/>
      <c r="E271" s="6"/>
      <c r="F271" s="5"/>
      <c r="G271" s="6"/>
      <c r="H271" s="5"/>
      <c r="I271" s="6"/>
      <c r="J271" s="5"/>
      <c r="K271" s="4"/>
      <c r="L271" s="2"/>
      <c r="M271" s="2"/>
      <c r="U271" s="2"/>
      <c r="V271" s="2"/>
      <c r="W271" s="2"/>
      <c r="X271" s="2"/>
      <c r="Y271" s="2"/>
      <c r="Z271" s="2"/>
      <c r="AA271" s="2"/>
      <c r="AB271" s="2"/>
      <c r="AP271" s="8"/>
      <c r="AQ271" s="8"/>
      <c r="AR271" s="8"/>
      <c r="AS271" s="8"/>
      <c r="AT271" s="8"/>
      <c r="AU271" s="3"/>
      <c r="AV271" s="3"/>
      <c r="AW271" s="3"/>
    </row>
    <row r="272" spans="2:49" ht="21.75" customHeight="1" x14ac:dyDescent="0.35">
      <c r="B272" s="4"/>
      <c r="C272" s="7"/>
      <c r="D272" s="6"/>
      <c r="E272" s="6"/>
      <c r="F272" s="5"/>
      <c r="G272" s="6"/>
      <c r="H272" s="5"/>
      <c r="I272" s="6"/>
      <c r="J272" s="5"/>
      <c r="K272" s="4"/>
      <c r="L272" s="2"/>
      <c r="M272" s="2"/>
      <c r="U272" s="2"/>
      <c r="V272" s="2"/>
      <c r="W272" s="2"/>
      <c r="X272" s="2"/>
      <c r="Y272" s="2"/>
      <c r="Z272" s="2"/>
      <c r="AA272" s="2"/>
      <c r="AB272" s="2"/>
      <c r="AP272" s="8"/>
      <c r="AQ272" s="8"/>
      <c r="AR272" s="8"/>
      <c r="AS272" s="8"/>
      <c r="AT272" s="8"/>
      <c r="AU272" s="3"/>
      <c r="AV272" s="3"/>
      <c r="AW272" s="3"/>
    </row>
    <row r="273" spans="2:49" ht="21.75" customHeight="1" x14ac:dyDescent="0.35">
      <c r="B273" s="4"/>
      <c r="C273" s="7"/>
      <c r="D273" s="6"/>
      <c r="E273" s="6"/>
      <c r="F273" s="5"/>
      <c r="G273" s="6"/>
      <c r="H273" s="5"/>
      <c r="I273" s="6"/>
      <c r="J273" s="5"/>
      <c r="K273" s="4"/>
      <c r="L273" s="2"/>
      <c r="M273" s="2"/>
      <c r="U273" s="2"/>
      <c r="V273" s="2"/>
      <c r="W273" s="2"/>
      <c r="X273" s="2"/>
      <c r="Y273" s="2"/>
      <c r="Z273" s="2"/>
      <c r="AA273" s="2"/>
      <c r="AB273" s="2"/>
      <c r="AP273" s="8"/>
      <c r="AQ273" s="8"/>
      <c r="AR273" s="8"/>
      <c r="AS273" s="8"/>
      <c r="AT273" s="8"/>
      <c r="AU273" s="3"/>
      <c r="AV273" s="3"/>
      <c r="AW273" s="3"/>
    </row>
    <row r="274" spans="2:49" ht="21.75" customHeight="1" x14ac:dyDescent="0.35">
      <c r="B274" s="4"/>
      <c r="C274" s="7"/>
      <c r="D274" s="6"/>
      <c r="E274" s="6"/>
      <c r="F274" s="5"/>
      <c r="G274" s="6"/>
      <c r="H274" s="5"/>
      <c r="I274" s="6"/>
      <c r="J274" s="5"/>
      <c r="K274" s="4"/>
      <c r="L274" s="2"/>
      <c r="M274" s="2"/>
      <c r="U274" s="2"/>
      <c r="V274" s="2"/>
      <c r="W274" s="2"/>
      <c r="X274" s="2"/>
      <c r="Y274" s="2"/>
      <c r="Z274" s="2"/>
      <c r="AA274" s="2"/>
      <c r="AB274" s="2"/>
      <c r="AP274" s="8"/>
      <c r="AQ274" s="8"/>
      <c r="AR274" s="8"/>
      <c r="AS274" s="8"/>
      <c r="AT274" s="8"/>
      <c r="AU274" s="3"/>
      <c r="AV274" s="3"/>
      <c r="AW274" s="3"/>
    </row>
    <row r="275" spans="2:49" ht="21.75" customHeight="1" x14ac:dyDescent="0.35">
      <c r="B275" s="4"/>
      <c r="C275" s="7"/>
      <c r="D275" s="6"/>
      <c r="E275" s="6"/>
      <c r="F275" s="5"/>
      <c r="G275" s="6"/>
      <c r="H275" s="5"/>
      <c r="I275" s="6"/>
      <c r="J275" s="5"/>
      <c r="K275" s="4"/>
      <c r="L275" s="2"/>
      <c r="M275" s="2"/>
      <c r="U275" s="2"/>
      <c r="V275" s="2"/>
      <c r="W275" s="2"/>
      <c r="X275" s="2"/>
      <c r="Y275" s="2"/>
      <c r="Z275" s="2"/>
      <c r="AA275" s="2"/>
      <c r="AB275" s="2"/>
      <c r="AP275" s="8"/>
      <c r="AQ275" s="8"/>
      <c r="AR275" s="8"/>
      <c r="AS275" s="8"/>
      <c r="AT275" s="8"/>
      <c r="AU275" s="3"/>
      <c r="AV275" s="3"/>
      <c r="AW275" s="3"/>
    </row>
    <row r="276" spans="2:49" ht="21.75" customHeight="1" x14ac:dyDescent="0.35">
      <c r="B276" s="4"/>
      <c r="C276" s="7"/>
      <c r="D276" s="6"/>
      <c r="E276" s="6"/>
      <c r="F276" s="5"/>
      <c r="G276" s="6"/>
      <c r="H276" s="5"/>
      <c r="I276" s="6"/>
      <c r="J276" s="5"/>
      <c r="K276" s="4"/>
      <c r="L276" s="2"/>
      <c r="M276" s="2"/>
      <c r="U276" s="2"/>
      <c r="V276" s="2"/>
      <c r="W276" s="2"/>
      <c r="X276" s="2"/>
      <c r="Y276" s="2"/>
      <c r="Z276" s="2"/>
      <c r="AA276" s="2"/>
      <c r="AB276" s="2"/>
      <c r="AP276" s="8"/>
      <c r="AQ276" s="8"/>
      <c r="AR276" s="8"/>
      <c r="AS276" s="8"/>
      <c r="AT276" s="8"/>
      <c r="AU276" s="3"/>
      <c r="AV276" s="3"/>
      <c r="AW276" s="3"/>
    </row>
    <row r="277" spans="2:49" ht="21.75" customHeight="1" x14ac:dyDescent="0.35">
      <c r="B277" s="4"/>
      <c r="C277" s="7"/>
      <c r="D277" s="6"/>
      <c r="E277" s="6"/>
      <c r="F277" s="5"/>
      <c r="G277" s="6"/>
      <c r="H277" s="5"/>
      <c r="I277" s="6"/>
      <c r="J277" s="5"/>
      <c r="K277" s="4"/>
      <c r="L277" s="2"/>
      <c r="M277" s="2"/>
      <c r="U277" s="2"/>
      <c r="V277" s="2"/>
      <c r="W277" s="2"/>
      <c r="X277" s="2"/>
      <c r="Y277" s="2"/>
      <c r="Z277" s="2"/>
      <c r="AA277" s="2"/>
      <c r="AB277" s="2"/>
      <c r="AP277" s="8"/>
      <c r="AQ277" s="8"/>
      <c r="AR277" s="8"/>
      <c r="AS277" s="8"/>
      <c r="AT277" s="8"/>
      <c r="AU277" s="3"/>
      <c r="AV277" s="3"/>
      <c r="AW277" s="3"/>
    </row>
    <row r="278" spans="2:49" ht="21.75" customHeight="1" x14ac:dyDescent="0.35">
      <c r="B278" s="4"/>
      <c r="C278" s="7"/>
      <c r="D278" s="6"/>
      <c r="E278" s="6"/>
      <c r="F278" s="5"/>
      <c r="G278" s="6"/>
      <c r="H278" s="5"/>
      <c r="I278" s="6"/>
      <c r="J278" s="5"/>
      <c r="K278" s="4"/>
      <c r="L278" s="2"/>
      <c r="M278" s="2"/>
      <c r="U278" s="2"/>
      <c r="V278" s="2"/>
      <c r="W278" s="2"/>
      <c r="X278" s="2"/>
      <c r="Y278" s="2"/>
      <c r="Z278" s="2"/>
      <c r="AA278" s="2"/>
      <c r="AB278" s="2"/>
      <c r="AP278" s="8"/>
      <c r="AQ278" s="8"/>
      <c r="AR278" s="8"/>
      <c r="AS278" s="8"/>
      <c r="AT278" s="8"/>
      <c r="AU278" s="3"/>
      <c r="AV278" s="3"/>
      <c r="AW278" s="3"/>
    </row>
    <row r="279" spans="2:49" ht="21.75" customHeight="1" x14ac:dyDescent="0.35">
      <c r="B279" s="4"/>
      <c r="C279" s="7"/>
      <c r="D279" s="6"/>
      <c r="E279" s="6"/>
      <c r="F279" s="5"/>
      <c r="G279" s="6"/>
      <c r="H279" s="5"/>
      <c r="I279" s="6"/>
      <c r="J279" s="5"/>
      <c r="K279" s="4"/>
      <c r="L279" s="2"/>
      <c r="M279" s="2"/>
      <c r="U279" s="2"/>
      <c r="V279" s="2"/>
      <c r="W279" s="2"/>
      <c r="X279" s="2"/>
      <c r="Y279" s="2"/>
      <c r="Z279" s="2"/>
      <c r="AA279" s="2"/>
      <c r="AB279" s="2"/>
      <c r="AP279" s="8"/>
      <c r="AQ279" s="8"/>
      <c r="AR279" s="8"/>
      <c r="AS279" s="8"/>
      <c r="AT279" s="8"/>
      <c r="AU279" s="3"/>
      <c r="AV279" s="3"/>
      <c r="AW279" s="3"/>
    </row>
    <row r="280" spans="2:49" ht="21.75" customHeight="1" x14ac:dyDescent="0.35">
      <c r="B280" s="4"/>
      <c r="C280" s="7"/>
      <c r="D280" s="6"/>
      <c r="E280" s="6"/>
      <c r="F280" s="5"/>
      <c r="G280" s="6"/>
      <c r="H280" s="5"/>
      <c r="I280" s="6"/>
      <c r="J280" s="5"/>
      <c r="K280" s="4"/>
      <c r="L280" s="2"/>
      <c r="M280" s="2"/>
      <c r="U280" s="2"/>
      <c r="V280" s="2"/>
      <c r="W280" s="2"/>
      <c r="X280" s="2"/>
      <c r="Y280" s="2"/>
      <c r="Z280" s="2"/>
      <c r="AA280" s="2"/>
      <c r="AB280" s="2"/>
      <c r="AP280" s="8"/>
      <c r="AQ280" s="8"/>
      <c r="AR280" s="8"/>
      <c r="AS280" s="8"/>
      <c r="AT280" s="8"/>
      <c r="AU280" s="3"/>
      <c r="AV280" s="3"/>
      <c r="AW280" s="3"/>
    </row>
    <row r="281" spans="2:49" ht="21.75" customHeight="1" x14ac:dyDescent="0.35">
      <c r="B281" s="4"/>
      <c r="C281" s="7"/>
      <c r="D281" s="6"/>
      <c r="E281" s="6"/>
      <c r="F281" s="5"/>
      <c r="G281" s="6"/>
      <c r="H281" s="5"/>
      <c r="I281" s="6"/>
      <c r="J281" s="5"/>
      <c r="K281" s="4"/>
      <c r="L281" s="2"/>
      <c r="M281" s="2"/>
      <c r="U281" s="2"/>
      <c r="V281" s="2"/>
      <c r="W281" s="2"/>
      <c r="X281" s="2"/>
      <c r="Y281" s="2"/>
      <c r="Z281" s="2"/>
      <c r="AA281" s="2"/>
      <c r="AB281" s="2"/>
      <c r="AP281" s="8"/>
      <c r="AQ281" s="8"/>
      <c r="AR281" s="8"/>
      <c r="AS281" s="8"/>
      <c r="AT281" s="8"/>
      <c r="AU281" s="3"/>
      <c r="AV281" s="3"/>
      <c r="AW281" s="3"/>
    </row>
    <row r="282" spans="2:49" ht="21.75" customHeight="1" x14ac:dyDescent="0.35">
      <c r="B282" s="4"/>
      <c r="C282" s="7"/>
      <c r="D282" s="6"/>
      <c r="E282" s="6"/>
      <c r="F282" s="5"/>
      <c r="G282" s="6"/>
      <c r="H282" s="5"/>
      <c r="I282" s="6"/>
      <c r="J282" s="5"/>
      <c r="K282" s="4"/>
      <c r="L282" s="2"/>
      <c r="M282" s="2"/>
      <c r="U282" s="2"/>
      <c r="V282" s="2"/>
      <c r="W282" s="2"/>
      <c r="X282" s="2"/>
      <c r="Y282" s="2"/>
      <c r="Z282" s="2"/>
      <c r="AA282" s="2"/>
      <c r="AB282" s="2"/>
      <c r="AP282" s="8"/>
      <c r="AQ282" s="8"/>
      <c r="AR282" s="8"/>
      <c r="AS282" s="8"/>
      <c r="AT282" s="8"/>
      <c r="AU282" s="3"/>
      <c r="AV282" s="3"/>
      <c r="AW282" s="3"/>
    </row>
    <row r="283" spans="2:49" ht="21.75" customHeight="1" x14ac:dyDescent="0.35">
      <c r="B283" s="4"/>
      <c r="C283" s="7"/>
      <c r="D283" s="6"/>
      <c r="E283" s="6"/>
      <c r="F283" s="5"/>
      <c r="G283" s="6"/>
      <c r="H283" s="5"/>
      <c r="I283" s="6"/>
      <c r="J283" s="5"/>
      <c r="K283" s="4"/>
      <c r="L283" s="2"/>
      <c r="M283" s="2"/>
      <c r="U283" s="2"/>
      <c r="V283" s="2"/>
      <c r="W283" s="2"/>
      <c r="X283" s="2"/>
      <c r="Y283" s="2"/>
      <c r="Z283" s="2"/>
      <c r="AA283" s="2"/>
      <c r="AB283" s="2"/>
      <c r="AP283" s="8"/>
      <c r="AQ283" s="8"/>
      <c r="AR283" s="8"/>
      <c r="AS283" s="8"/>
      <c r="AT283" s="8"/>
      <c r="AU283" s="3"/>
      <c r="AV283" s="3"/>
      <c r="AW283" s="3"/>
    </row>
    <row r="284" spans="2:49" ht="21.75" customHeight="1" x14ac:dyDescent="0.35">
      <c r="B284" s="4"/>
      <c r="C284" s="7"/>
      <c r="D284" s="6"/>
      <c r="E284" s="6"/>
      <c r="F284" s="5"/>
      <c r="G284" s="6"/>
      <c r="H284" s="5"/>
      <c r="I284" s="6"/>
      <c r="J284" s="5"/>
      <c r="K284" s="4"/>
      <c r="L284" s="2"/>
      <c r="M284" s="2"/>
      <c r="U284" s="2"/>
      <c r="V284" s="2"/>
      <c r="W284" s="2"/>
      <c r="X284" s="2"/>
      <c r="Y284" s="2"/>
      <c r="Z284" s="2"/>
      <c r="AA284" s="2"/>
      <c r="AB284" s="2"/>
      <c r="AP284" s="8"/>
      <c r="AQ284" s="8"/>
      <c r="AR284" s="8"/>
      <c r="AS284" s="8"/>
      <c r="AT284" s="8"/>
      <c r="AU284" s="3"/>
      <c r="AV284" s="3"/>
      <c r="AW284" s="3"/>
    </row>
    <row r="285" spans="2:49" ht="21.75" customHeight="1" x14ac:dyDescent="0.35">
      <c r="B285" s="4"/>
      <c r="C285" s="7"/>
      <c r="D285" s="6"/>
      <c r="E285" s="6"/>
      <c r="F285" s="5"/>
      <c r="G285" s="6"/>
      <c r="H285" s="5"/>
      <c r="I285" s="6"/>
      <c r="J285" s="5"/>
      <c r="K285" s="4"/>
      <c r="L285" s="2"/>
      <c r="M285" s="2"/>
      <c r="U285" s="2"/>
      <c r="V285" s="2"/>
      <c r="W285" s="2"/>
      <c r="X285" s="2"/>
      <c r="Y285" s="2"/>
      <c r="Z285" s="2"/>
      <c r="AA285" s="2"/>
      <c r="AB285" s="2"/>
      <c r="AP285" s="8"/>
      <c r="AQ285" s="8"/>
      <c r="AR285" s="8"/>
      <c r="AS285" s="8"/>
      <c r="AT285" s="8"/>
      <c r="AU285" s="3"/>
      <c r="AV285" s="3"/>
      <c r="AW285" s="3"/>
    </row>
    <row r="286" spans="2:49" ht="21.75" customHeight="1" x14ac:dyDescent="0.35">
      <c r="B286" s="4"/>
      <c r="C286" s="7"/>
      <c r="D286" s="6"/>
      <c r="E286" s="6"/>
      <c r="F286" s="5"/>
      <c r="G286" s="6"/>
      <c r="H286" s="5"/>
      <c r="I286" s="6"/>
      <c r="J286" s="5"/>
      <c r="K286" s="4"/>
      <c r="L286" s="2"/>
      <c r="M286" s="2"/>
      <c r="U286" s="2"/>
      <c r="V286" s="2"/>
      <c r="W286" s="2"/>
      <c r="X286" s="2"/>
      <c r="Y286" s="2"/>
      <c r="Z286" s="2"/>
      <c r="AA286" s="2"/>
      <c r="AB286" s="2"/>
      <c r="AP286" s="8"/>
      <c r="AQ286" s="8"/>
      <c r="AR286" s="8"/>
      <c r="AS286" s="8"/>
      <c r="AT286" s="8"/>
      <c r="AU286" s="3"/>
      <c r="AV286" s="3"/>
      <c r="AW286" s="3"/>
    </row>
    <row r="287" spans="2:49" ht="21.75" customHeight="1" x14ac:dyDescent="0.35">
      <c r="B287" s="4"/>
      <c r="C287" s="7"/>
      <c r="D287" s="6"/>
      <c r="E287" s="6"/>
      <c r="F287" s="5"/>
      <c r="G287" s="6"/>
      <c r="H287" s="5"/>
      <c r="I287" s="6"/>
      <c r="J287" s="5"/>
      <c r="K287" s="4"/>
      <c r="L287" s="2"/>
      <c r="M287" s="2"/>
      <c r="U287" s="2"/>
      <c r="V287" s="2"/>
      <c r="W287" s="2"/>
      <c r="X287" s="2"/>
      <c r="Y287" s="2"/>
      <c r="Z287" s="2"/>
      <c r="AA287" s="2"/>
      <c r="AB287" s="2"/>
      <c r="AP287" s="8"/>
      <c r="AQ287" s="8"/>
      <c r="AR287" s="8"/>
      <c r="AS287" s="8"/>
      <c r="AT287" s="8"/>
      <c r="AU287" s="3"/>
      <c r="AV287" s="3"/>
      <c r="AW287" s="3"/>
    </row>
    <row r="288" spans="2:49" ht="21.75" customHeight="1" x14ac:dyDescent="0.35">
      <c r="B288" s="4"/>
      <c r="C288" s="7"/>
      <c r="D288" s="6"/>
      <c r="E288" s="6"/>
      <c r="F288" s="5"/>
      <c r="G288" s="6"/>
      <c r="H288" s="5"/>
      <c r="I288" s="6"/>
      <c r="J288" s="5"/>
      <c r="K288" s="4"/>
      <c r="L288" s="2"/>
      <c r="M288" s="2"/>
      <c r="U288" s="2"/>
      <c r="V288" s="2"/>
      <c r="W288" s="2"/>
      <c r="X288" s="2"/>
      <c r="Y288" s="2"/>
      <c r="Z288" s="2"/>
      <c r="AA288" s="2"/>
      <c r="AB288" s="2"/>
      <c r="AP288" s="8"/>
      <c r="AQ288" s="8"/>
      <c r="AR288" s="8"/>
      <c r="AS288" s="8"/>
      <c r="AT288" s="8"/>
      <c r="AU288" s="3"/>
      <c r="AV288" s="3"/>
      <c r="AW288" s="3"/>
    </row>
    <row r="289" spans="2:49" ht="21.75" customHeight="1" x14ac:dyDescent="0.35">
      <c r="B289" s="4"/>
      <c r="C289" s="7"/>
      <c r="D289" s="6"/>
      <c r="E289" s="6"/>
      <c r="F289" s="5"/>
      <c r="G289" s="6"/>
      <c r="H289" s="5"/>
      <c r="I289" s="6"/>
      <c r="J289" s="5"/>
      <c r="K289" s="4"/>
      <c r="L289" s="2"/>
      <c r="M289" s="2"/>
      <c r="U289" s="2"/>
      <c r="V289" s="2"/>
      <c r="W289" s="2"/>
      <c r="X289" s="2"/>
      <c r="Y289" s="2"/>
      <c r="Z289" s="2"/>
      <c r="AA289" s="2"/>
      <c r="AB289" s="2"/>
      <c r="AP289" s="8"/>
      <c r="AQ289" s="8"/>
      <c r="AR289" s="8"/>
      <c r="AS289" s="8"/>
      <c r="AT289" s="8"/>
      <c r="AU289" s="3"/>
      <c r="AV289" s="3"/>
      <c r="AW289" s="3"/>
    </row>
    <row r="290" spans="2:49" ht="21.75" customHeight="1" x14ac:dyDescent="0.35">
      <c r="B290" s="4"/>
      <c r="C290" s="7"/>
      <c r="D290" s="6"/>
      <c r="E290" s="6"/>
      <c r="F290" s="5"/>
      <c r="G290" s="6"/>
      <c r="H290" s="5"/>
      <c r="I290" s="6"/>
      <c r="J290" s="5"/>
      <c r="K290" s="4"/>
      <c r="L290" s="2"/>
      <c r="M290" s="2"/>
      <c r="U290" s="2"/>
      <c r="V290" s="2"/>
      <c r="W290" s="2"/>
      <c r="X290" s="2"/>
      <c r="Y290" s="2"/>
      <c r="Z290" s="2"/>
      <c r="AA290" s="2"/>
      <c r="AB290" s="2"/>
      <c r="AP290" s="8"/>
      <c r="AQ290" s="8"/>
      <c r="AR290" s="8"/>
      <c r="AS290" s="8"/>
      <c r="AT290" s="8"/>
      <c r="AU290" s="3"/>
      <c r="AV290" s="3"/>
      <c r="AW290" s="3"/>
    </row>
    <row r="291" spans="2:49" ht="21.75" customHeight="1" x14ac:dyDescent="0.35">
      <c r="B291" s="4"/>
      <c r="C291" s="7"/>
      <c r="D291" s="6"/>
      <c r="E291" s="6"/>
      <c r="F291" s="5"/>
      <c r="G291" s="6"/>
      <c r="H291" s="5"/>
      <c r="I291" s="6"/>
      <c r="J291" s="5"/>
      <c r="K291" s="4"/>
      <c r="L291" s="2"/>
      <c r="M291" s="2"/>
      <c r="U291" s="2"/>
      <c r="V291" s="2"/>
      <c r="W291" s="2"/>
      <c r="X291" s="2"/>
      <c r="Y291" s="2"/>
      <c r="Z291" s="2"/>
      <c r="AA291" s="2"/>
      <c r="AB291" s="2"/>
      <c r="AP291" s="8"/>
      <c r="AQ291" s="8"/>
      <c r="AR291" s="8"/>
      <c r="AS291" s="8"/>
      <c r="AT291" s="8"/>
      <c r="AU291" s="3"/>
      <c r="AV291" s="3"/>
      <c r="AW291" s="3"/>
    </row>
    <row r="292" spans="2:49" ht="21.75" customHeight="1" x14ac:dyDescent="0.35">
      <c r="B292" s="4"/>
      <c r="C292" s="7"/>
      <c r="D292" s="6"/>
      <c r="E292" s="6"/>
      <c r="F292" s="5"/>
      <c r="G292" s="6"/>
      <c r="H292" s="5"/>
      <c r="I292" s="6"/>
      <c r="J292" s="5"/>
      <c r="K292" s="4"/>
      <c r="L292" s="2"/>
      <c r="M292" s="2"/>
      <c r="U292" s="2"/>
      <c r="V292" s="2"/>
      <c r="W292" s="2"/>
      <c r="X292" s="2"/>
      <c r="Y292" s="2"/>
      <c r="Z292" s="2"/>
      <c r="AA292" s="2"/>
      <c r="AB292" s="2"/>
      <c r="AP292" s="8"/>
      <c r="AQ292" s="8"/>
      <c r="AR292" s="8"/>
      <c r="AS292" s="8"/>
      <c r="AT292" s="8"/>
      <c r="AU292" s="3"/>
      <c r="AV292" s="3"/>
      <c r="AW292" s="3"/>
    </row>
    <row r="293" spans="2:49" ht="21.75" customHeight="1" x14ac:dyDescent="0.35">
      <c r="B293" s="4"/>
      <c r="C293" s="7"/>
      <c r="D293" s="6"/>
      <c r="E293" s="6"/>
      <c r="F293" s="5"/>
      <c r="G293" s="6"/>
      <c r="H293" s="5"/>
      <c r="I293" s="6"/>
      <c r="J293" s="5"/>
      <c r="K293" s="4"/>
      <c r="L293" s="2"/>
      <c r="M293" s="2"/>
      <c r="U293" s="2"/>
      <c r="V293" s="2"/>
      <c r="W293" s="2"/>
      <c r="X293" s="2"/>
      <c r="Y293" s="2"/>
      <c r="Z293" s="2"/>
      <c r="AA293" s="2"/>
      <c r="AB293" s="2"/>
      <c r="AP293" s="8"/>
      <c r="AQ293" s="8"/>
      <c r="AR293" s="8"/>
      <c r="AS293" s="8"/>
      <c r="AT293" s="8"/>
      <c r="AU293" s="3"/>
      <c r="AV293" s="3"/>
      <c r="AW293" s="3"/>
    </row>
    <row r="294" spans="2:49" ht="21.75" customHeight="1" x14ac:dyDescent="0.35">
      <c r="B294" s="4"/>
      <c r="C294" s="7"/>
      <c r="D294" s="6"/>
      <c r="E294" s="6"/>
      <c r="F294" s="5"/>
      <c r="G294" s="6"/>
      <c r="H294" s="5"/>
      <c r="I294" s="6"/>
      <c r="J294" s="5"/>
      <c r="K294" s="4"/>
      <c r="L294" s="2"/>
      <c r="M294" s="2"/>
      <c r="U294" s="2"/>
      <c r="V294" s="2"/>
      <c r="W294" s="2"/>
      <c r="X294" s="2"/>
      <c r="Y294" s="2"/>
      <c r="Z294" s="2"/>
      <c r="AA294" s="2"/>
      <c r="AB294" s="2"/>
      <c r="AP294" s="8"/>
      <c r="AQ294" s="8"/>
      <c r="AR294" s="8"/>
      <c r="AS294" s="8"/>
      <c r="AT294" s="8"/>
      <c r="AU294" s="3"/>
      <c r="AV294" s="3"/>
      <c r="AW294" s="3"/>
    </row>
    <row r="295" spans="2:49" ht="21.75" customHeight="1" x14ac:dyDescent="0.35">
      <c r="B295" s="4"/>
      <c r="C295" s="7"/>
      <c r="D295" s="6"/>
      <c r="E295" s="6"/>
      <c r="F295" s="5"/>
      <c r="G295" s="6"/>
      <c r="H295" s="5"/>
      <c r="I295" s="6"/>
      <c r="J295" s="5"/>
      <c r="K295" s="4"/>
      <c r="L295" s="2"/>
      <c r="M295" s="2"/>
      <c r="U295" s="2"/>
      <c r="V295" s="2"/>
      <c r="W295" s="2"/>
      <c r="X295" s="2"/>
      <c r="Y295" s="2"/>
      <c r="Z295" s="2"/>
      <c r="AA295" s="2"/>
      <c r="AB295" s="2"/>
      <c r="AP295" s="8"/>
      <c r="AQ295" s="8"/>
      <c r="AR295" s="8"/>
      <c r="AS295" s="8"/>
      <c r="AT295" s="8"/>
      <c r="AU295" s="3"/>
      <c r="AV295" s="3"/>
      <c r="AW295" s="3"/>
    </row>
    <row r="296" spans="2:49" ht="21.75" customHeight="1" x14ac:dyDescent="0.35">
      <c r="B296" s="4"/>
      <c r="C296" s="7"/>
      <c r="D296" s="6"/>
      <c r="E296" s="6"/>
      <c r="F296" s="5"/>
      <c r="G296" s="6"/>
      <c r="H296" s="5"/>
      <c r="I296" s="6"/>
      <c r="J296" s="5"/>
      <c r="K296" s="4"/>
      <c r="L296" s="2"/>
      <c r="M296" s="2"/>
      <c r="U296" s="2"/>
      <c r="V296" s="2"/>
      <c r="W296" s="2"/>
      <c r="X296" s="2"/>
      <c r="Y296" s="2"/>
      <c r="Z296" s="2"/>
      <c r="AA296" s="2"/>
      <c r="AB296" s="2"/>
      <c r="AP296" s="8"/>
      <c r="AQ296" s="8"/>
      <c r="AR296" s="8"/>
      <c r="AS296" s="8"/>
      <c r="AT296" s="8"/>
      <c r="AU296" s="3"/>
      <c r="AV296" s="3"/>
      <c r="AW296" s="3"/>
    </row>
    <row r="297" spans="2:49" ht="21.75" customHeight="1" x14ac:dyDescent="0.35">
      <c r="B297" s="4"/>
      <c r="C297" s="7"/>
      <c r="D297" s="6"/>
      <c r="E297" s="6"/>
      <c r="F297" s="5"/>
      <c r="G297" s="6"/>
      <c r="H297" s="5"/>
      <c r="I297" s="6"/>
      <c r="J297" s="5"/>
      <c r="K297" s="4"/>
      <c r="L297" s="2"/>
      <c r="M297" s="2"/>
      <c r="U297" s="2"/>
      <c r="V297" s="2"/>
      <c r="W297" s="2"/>
      <c r="X297" s="2"/>
      <c r="Y297" s="2"/>
      <c r="Z297" s="2"/>
      <c r="AA297" s="2"/>
      <c r="AB297" s="2"/>
      <c r="AP297" s="8"/>
      <c r="AQ297" s="8"/>
      <c r="AR297" s="8"/>
      <c r="AS297" s="8"/>
      <c r="AT297" s="8"/>
      <c r="AU297" s="3"/>
      <c r="AV297" s="3"/>
      <c r="AW297" s="3"/>
    </row>
    <row r="298" spans="2:49" ht="21.75" customHeight="1" x14ac:dyDescent="0.35">
      <c r="B298" s="4"/>
      <c r="C298" s="7"/>
      <c r="D298" s="6"/>
      <c r="E298" s="6"/>
      <c r="F298" s="5"/>
      <c r="G298" s="6"/>
      <c r="H298" s="5"/>
      <c r="I298" s="6"/>
      <c r="J298" s="5"/>
      <c r="K298" s="4"/>
      <c r="L298" s="2"/>
      <c r="M298" s="2"/>
      <c r="U298" s="2"/>
      <c r="V298" s="2"/>
      <c r="W298" s="2"/>
      <c r="X298" s="2"/>
      <c r="Y298" s="2"/>
      <c r="Z298" s="2"/>
      <c r="AA298" s="2"/>
      <c r="AB298" s="2"/>
      <c r="AP298" s="8"/>
      <c r="AQ298" s="8"/>
      <c r="AR298" s="8"/>
      <c r="AS298" s="8"/>
      <c r="AT298" s="8"/>
      <c r="AU298" s="3"/>
      <c r="AV298" s="3"/>
      <c r="AW298" s="3"/>
    </row>
    <row r="299" spans="2:49" ht="21.75" customHeight="1" x14ac:dyDescent="0.35">
      <c r="B299" s="4"/>
      <c r="C299" s="7"/>
      <c r="D299" s="6"/>
      <c r="E299" s="6"/>
      <c r="F299" s="5"/>
      <c r="G299" s="6"/>
      <c r="H299" s="5"/>
      <c r="I299" s="6"/>
      <c r="J299" s="5"/>
      <c r="K299" s="4"/>
      <c r="L299" s="2"/>
      <c r="M299" s="2"/>
      <c r="U299" s="2"/>
      <c r="V299" s="2"/>
      <c r="W299" s="2"/>
      <c r="X299" s="2"/>
      <c r="Y299" s="2"/>
      <c r="Z299" s="2"/>
      <c r="AA299" s="2"/>
      <c r="AB299" s="2"/>
      <c r="AP299" s="8"/>
      <c r="AQ299" s="8"/>
      <c r="AR299" s="8"/>
      <c r="AS299" s="8"/>
      <c r="AT299" s="8"/>
      <c r="AU299" s="3"/>
      <c r="AV299" s="3"/>
      <c r="AW299" s="3"/>
    </row>
    <row r="300" spans="2:49" ht="21.75" customHeight="1" x14ac:dyDescent="0.35">
      <c r="B300" s="4"/>
      <c r="C300" s="7"/>
      <c r="D300" s="6"/>
      <c r="E300" s="6"/>
      <c r="F300" s="5"/>
      <c r="G300" s="6"/>
      <c r="H300" s="5"/>
      <c r="I300" s="6"/>
      <c r="J300" s="5"/>
      <c r="K300" s="4"/>
      <c r="L300" s="2"/>
      <c r="M300" s="2"/>
      <c r="U300" s="2"/>
      <c r="V300" s="2"/>
      <c r="W300" s="2"/>
      <c r="X300" s="2"/>
      <c r="Y300" s="2"/>
      <c r="Z300" s="2"/>
      <c r="AA300" s="2"/>
      <c r="AB300" s="2"/>
      <c r="AP300" s="8"/>
      <c r="AQ300" s="8"/>
      <c r="AR300" s="8"/>
      <c r="AS300" s="8"/>
      <c r="AT300" s="8"/>
      <c r="AU300" s="3"/>
      <c r="AV300" s="3"/>
      <c r="AW300" s="3"/>
    </row>
    <row r="301" spans="2:49" ht="21.75" customHeight="1" x14ac:dyDescent="0.35">
      <c r="B301" s="4"/>
      <c r="C301" s="7"/>
      <c r="D301" s="6"/>
      <c r="E301" s="6"/>
      <c r="F301" s="5"/>
      <c r="G301" s="6"/>
      <c r="H301" s="5"/>
      <c r="I301" s="6"/>
      <c r="J301" s="5"/>
      <c r="K301" s="4"/>
      <c r="L301" s="2"/>
      <c r="M301" s="2"/>
      <c r="U301" s="2"/>
      <c r="V301" s="2"/>
      <c r="W301" s="2"/>
      <c r="X301" s="2"/>
      <c r="Y301" s="2"/>
      <c r="Z301" s="2"/>
      <c r="AA301" s="2"/>
      <c r="AB301" s="2"/>
      <c r="AP301" s="8"/>
      <c r="AQ301" s="8"/>
      <c r="AR301" s="8"/>
      <c r="AS301" s="8"/>
      <c r="AT301" s="8"/>
      <c r="AU301" s="3"/>
      <c r="AV301" s="3"/>
      <c r="AW301" s="3"/>
    </row>
    <row r="302" spans="2:49" ht="21.75" customHeight="1" x14ac:dyDescent="0.35">
      <c r="B302" s="4"/>
      <c r="C302" s="7"/>
      <c r="D302" s="6"/>
      <c r="E302" s="6"/>
      <c r="F302" s="5"/>
      <c r="G302" s="6"/>
      <c r="H302" s="5"/>
      <c r="I302" s="6"/>
      <c r="J302" s="5"/>
      <c r="K302" s="4"/>
      <c r="L302" s="2"/>
      <c r="M302" s="2"/>
      <c r="U302" s="2"/>
      <c r="V302" s="2"/>
      <c r="W302" s="2"/>
      <c r="X302" s="2"/>
      <c r="Y302" s="2"/>
      <c r="Z302" s="2"/>
      <c r="AA302" s="2"/>
      <c r="AB302" s="2"/>
      <c r="AP302" s="8"/>
      <c r="AQ302" s="8"/>
      <c r="AR302" s="8"/>
      <c r="AS302" s="8"/>
      <c r="AT302" s="8"/>
      <c r="AU302" s="3"/>
      <c r="AV302" s="3"/>
      <c r="AW302" s="3"/>
    </row>
    <row r="303" spans="2:49" ht="21.75" customHeight="1" x14ac:dyDescent="0.35">
      <c r="B303" s="4"/>
      <c r="C303" s="7"/>
      <c r="D303" s="6"/>
      <c r="E303" s="6"/>
      <c r="F303" s="5"/>
      <c r="G303" s="6"/>
      <c r="H303" s="5"/>
      <c r="I303" s="6"/>
      <c r="J303" s="5"/>
      <c r="K303" s="4"/>
      <c r="L303" s="2"/>
      <c r="M303" s="2"/>
      <c r="U303" s="2"/>
      <c r="V303" s="2"/>
      <c r="W303" s="2"/>
      <c r="X303" s="2"/>
      <c r="Y303" s="2"/>
      <c r="Z303" s="2"/>
      <c r="AA303" s="2"/>
      <c r="AB303" s="2"/>
      <c r="AP303" s="8"/>
      <c r="AQ303" s="8"/>
      <c r="AR303" s="8"/>
      <c r="AS303" s="8"/>
      <c r="AT303" s="8"/>
      <c r="AU303" s="3"/>
      <c r="AV303" s="3"/>
      <c r="AW303" s="3"/>
    </row>
    <row r="304" spans="2:49" ht="21.75" customHeight="1" x14ac:dyDescent="0.35">
      <c r="B304" s="4"/>
      <c r="C304" s="7"/>
      <c r="D304" s="6"/>
      <c r="E304" s="6"/>
      <c r="F304" s="5"/>
      <c r="G304" s="6"/>
      <c r="H304" s="5"/>
      <c r="I304" s="6"/>
      <c r="J304" s="5"/>
      <c r="K304" s="4"/>
      <c r="L304" s="2"/>
      <c r="M304" s="2"/>
      <c r="U304" s="2"/>
      <c r="V304" s="2"/>
      <c r="W304" s="2"/>
      <c r="X304" s="2"/>
      <c r="Y304" s="2"/>
      <c r="Z304" s="2"/>
      <c r="AA304" s="2"/>
      <c r="AB304" s="2"/>
      <c r="AP304" s="8"/>
      <c r="AQ304" s="8"/>
      <c r="AR304" s="8"/>
      <c r="AS304" s="8"/>
      <c r="AT304" s="8"/>
      <c r="AU304" s="3"/>
      <c r="AV304" s="3"/>
      <c r="AW304" s="3"/>
    </row>
    <row r="305" spans="2:49" ht="21.75" customHeight="1" x14ac:dyDescent="0.35">
      <c r="B305" s="4"/>
      <c r="C305" s="7"/>
      <c r="D305" s="6"/>
      <c r="E305" s="6"/>
      <c r="F305" s="5"/>
      <c r="G305" s="6"/>
      <c r="H305" s="5"/>
      <c r="I305" s="6"/>
      <c r="J305" s="5"/>
      <c r="K305" s="4"/>
      <c r="L305" s="2"/>
      <c r="M305" s="2"/>
      <c r="U305" s="2"/>
      <c r="V305" s="2"/>
      <c r="W305" s="2"/>
      <c r="X305" s="2"/>
      <c r="Y305" s="2"/>
      <c r="Z305" s="2"/>
      <c r="AA305" s="2"/>
      <c r="AB305" s="2"/>
      <c r="AP305" s="8"/>
      <c r="AQ305" s="8"/>
      <c r="AR305" s="8"/>
      <c r="AS305" s="8"/>
      <c r="AT305" s="8"/>
      <c r="AU305" s="3"/>
      <c r="AV305" s="3"/>
      <c r="AW305" s="3"/>
    </row>
    <row r="306" spans="2:49" ht="21.75" customHeight="1" x14ac:dyDescent="0.35">
      <c r="B306" s="4"/>
      <c r="C306" s="7"/>
      <c r="D306" s="6"/>
      <c r="E306" s="6"/>
      <c r="F306" s="5"/>
      <c r="G306" s="6"/>
      <c r="H306" s="5"/>
      <c r="I306" s="6"/>
      <c r="J306" s="5"/>
      <c r="K306" s="4"/>
      <c r="L306" s="2"/>
      <c r="M306" s="2"/>
      <c r="U306" s="2"/>
      <c r="V306" s="2"/>
      <c r="W306" s="2"/>
      <c r="X306" s="2"/>
      <c r="Y306" s="2"/>
      <c r="Z306" s="2"/>
      <c r="AA306" s="2"/>
      <c r="AB306" s="2"/>
      <c r="AP306" s="8"/>
      <c r="AQ306" s="8"/>
      <c r="AR306" s="8"/>
      <c r="AS306" s="8"/>
      <c r="AT306" s="8"/>
      <c r="AU306" s="3"/>
      <c r="AV306" s="3"/>
      <c r="AW306" s="3"/>
    </row>
    <row r="307" spans="2:49" ht="21.75" customHeight="1" x14ac:dyDescent="0.35">
      <c r="B307" s="4"/>
      <c r="C307" s="7"/>
      <c r="D307" s="6"/>
      <c r="E307" s="6"/>
      <c r="F307" s="5"/>
      <c r="G307" s="6"/>
      <c r="H307" s="5"/>
      <c r="I307" s="6"/>
      <c r="J307" s="5"/>
      <c r="K307" s="4"/>
      <c r="L307" s="2"/>
      <c r="M307" s="2"/>
      <c r="U307" s="2"/>
      <c r="V307" s="2"/>
      <c r="W307" s="2"/>
      <c r="X307" s="2"/>
      <c r="Y307" s="2"/>
      <c r="Z307" s="2"/>
      <c r="AA307" s="2"/>
      <c r="AB307" s="2"/>
      <c r="AP307" s="8"/>
      <c r="AQ307" s="8"/>
      <c r="AR307" s="8"/>
      <c r="AS307" s="8"/>
      <c r="AT307" s="8"/>
      <c r="AU307" s="3"/>
      <c r="AV307" s="3"/>
      <c r="AW307" s="3"/>
    </row>
    <row r="308" spans="2:49" ht="21.75" customHeight="1" x14ac:dyDescent="0.35">
      <c r="B308" s="4"/>
      <c r="C308" s="7"/>
      <c r="D308" s="6"/>
      <c r="E308" s="6"/>
      <c r="F308" s="5"/>
      <c r="G308" s="6"/>
      <c r="H308" s="5"/>
      <c r="I308" s="6"/>
      <c r="J308" s="5"/>
      <c r="K308" s="4"/>
      <c r="L308" s="2"/>
      <c r="M308" s="2"/>
      <c r="U308" s="2"/>
      <c r="V308" s="2"/>
      <c r="W308" s="2"/>
      <c r="X308" s="2"/>
      <c r="Y308" s="2"/>
      <c r="Z308" s="2"/>
      <c r="AA308" s="2"/>
      <c r="AB308" s="2"/>
      <c r="AP308" s="8"/>
      <c r="AQ308" s="8"/>
      <c r="AR308" s="8"/>
      <c r="AS308" s="8"/>
      <c r="AT308" s="8"/>
      <c r="AU308" s="3"/>
      <c r="AV308" s="3"/>
      <c r="AW308" s="3"/>
    </row>
    <row r="309" spans="2:49" ht="21.75" customHeight="1" x14ac:dyDescent="0.35">
      <c r="B309" s="4"/>
      <c r="C309" s="7"/>
      <c r="D309" s="6"/>
      <c r="E309" s="6"/>
      <c r="F309" s="5"/>
      <c r="G309" s="6"/>
      <c r="H309" s="5"/>
      <c r="I309" s="6"/>
      <c r="J309" s="5"/>
      <c r="K309" s="4"/>
      <c r="L309" s="2"/>
      <c r="M309" s="2"/>
      <c r="U309" s="2"/>
      <c r="V309" s="2"/>
      <c r="W309" s="2"/>
      <c r="X309" s="2"/>
      <c r="Y309" s="2"/>
      <c r="Z309" s="2"/>
      <c r="AA309" s="2"/>
      <c r="AB309" s="2"/>
      <c r="AP309" s="8"/>
      <c r="AQ309" s="8"/>
      <c r="AR309" s="8"/>
      <c r="AS309" s="8"/>
      <c r="AT309" s="8"/>
      <c r="AU309" s="3"/>
      <c r="AV309" s="3"/>
      <c r="AW309" s="3"/>
    </row>
    <row r="310" spans="2:49" ht="21.75" customHeight="1" x14ac:dyDescent="0.35">
      <c r="B310" s="4"/>
      <c r="C310" s="7"/>
      <c r="D310" s="6"/>
      <c r="E310" s="6"/>
      <c r="F310" s="5"/>
      <c r="G310" s="6"/>
      <c r="H310" s="5"/>
      <c r="I310" s="6"/>
      <c r="J310" s="5"/>
      <c r="K310" s="4"/>
      <c r="L310" s="2"/>
      <c r="M310" s="2"/>
      <c r="U310" s="2"/>
      <c r="V310" s="2"/>
      <c r="W310" s="2"/>
      <c r="X310" s="2"/>
      <c r="Y310" s="2"/>
      <c r="Z310" s="2"/>
      <c r="AA310" s="2"/>
      <c r="AB310" s="2"/>
      <c r="AP310" s="8"/>
      <c r="AQ310" s="8"/>
      <c r="AR310" s="8"/>
      <c r="AS310" s="8"/>
      <c r="AT310" s="8"/>
      <c r="AU310" s="3"/>
      <c r="AV310" s="3"/>
      <c r="AW310" s="3"/>
    </row>
    <row r="311" spans="2:49" ht="21.75" customHeight="1" x14ac:dyDescent="0.35">
      <c r="B311" s="4"/>
      <c r="C311" s="7"/>
      <c r="D311" s="6"/>
      <c r="E311" s="6"/>
      <c r="F311" s="5"/>
      <c r="G311" s="6"/>
      <c r="H311" s="5"/>
      <c r="I311" s="6"/>
      <c r="J311" s="5"/>
      <c r="K311" s="4"/>
      <c r="L311" s="2"/>
      <c r="M311" s="2"/>
      <c r="U311" s="2"/>
      <c r="V311" s="2"/>
      <c r="W311" s="2"/>
      <c r="X311" s="2"/>
      <c r="Y311" s="2"/>
      <c r="Z311" s="2"/>
      <c r="AA311" s="2"/>
      <c r="AB311" s="2"/>
      <c r="AP311" s="8"/>
      <c r="AQ311" s="8"/>
      <c r="AR311" s="8"/>
      <c r="AS311" s="8"/>
      <c r="AT311" s="8"/>
      <c r="AU311" s="3"/>
      <c r="AV311" s="3"/>
      <c r="AW311" s="3"/>
    </row>
    <row r="312" spans="2:49" ht="21.75" customHeight="1" x14ac:dyDescent="0.35">
      <c r="B312" s="4"/>
      <c r="C312" s="7"/>
      <c r="D312" s="6"/>
      <c r="E312" s="6"/>
      <c r="F312" s="5"/>
      <c r="G312" s="6"/>
      <c r="H312" s="5"/>
      <c r="I312" s="6"/>
      <c r="J312" s="5"/>
      <c r="K312" s="4"/>
      <c r="L312" s="2"/>
      <c r="M312" s="2"/>
      <c r="U312" s="2"/>
      <c r="V312" s="2"/>
      <c r="W312" s="2"/>
      <c r="X312" s="2"/>
      <c r="Y312" s="2"/>
      <c r="Z312" s="2"/>
      <c r="AA312" s="2"/>
      <c r="AB312" s="2"/>
      <c r="AP312" s="8"/>
      <c r="AQ312" s="8"/>
      <c r="AR312" s="8"/>
      <c r="AS312" s="8"/>
      <c r="AT312" s="8"/>
      <c r="AU312" s="3"/>
      <c r="AV312" s="3"/>
      <c r="AW312" s="3"/>
    </row>
    <row r="313" spans="2:49" ht="21.75" customHeight="1" x14ac:dyDescent="0.35">
      <c r="B313" s="4"/>
      <c r="C313" s="7"/>
      <c r="D313" s="6"/>
      <c r="E313" s="6"/>
      <c r="F313" s="5"/>
      <c r="G313" s="6"/>
      <c r="H313" s="5"/>
      <c r="I313" s="6"/>
      <c r="J313" s="5"/>
      <c r="K313" s="4"/>
      <c r="L313" s="2"/>
      <c r="M313" s="2"/>
      <c r="U313" s="2"/>
      <c r="V313" s="2"/>
      <c r="W313" s="2"/>
      <c r="X313" s="2"/>
      <c r="Y313" s="2"/>
      <c r="Z313" s="2"/>
      <c r="AA313" s="2"/>
      <c r="AB313" s="2"/>
      <c r="AP313" s="8"/>
      <c r="AQ313" s="8"/>
      <c r="AR313" s="8"/>
      <c r="AS313" s="8"/>
      <c r="AT313" s="8"/>
      <c r="AU313" s="3"/>
      <c r="AV313" s="3"/>
      <c r="AW313" s="3"/>
    </row>
    <row r="314" spans="2:49" ht="21.75" customHeight="1" x14ac:dyDescent="0.35">
      <c r="B314" s="4"/>
      <c r="C314" s="7"/>
      <c r="D314" s="6"/>
      <c r="E314" s="6"/>
      <c r="F314" s="5"/>
      <c r="G314" s="6"/>
      <c r="H314" s="5"/>
      <c r="I314" s="6"/>
      <c r="J314" s="5"/>
      <c r="K314" s="4"/>
      <c r="L314" s="2"/>
      <c r="M314" s="2"/>
      <c r="U314" s="2"/>
      <c r="V314" s="2"/>
      <c r="W314" s="2"/>
      <c r="X314" s="2"/>
      <c r="Y314" s="2"/>
      <c r="Z314" s="2"/>
      <c r="AA314" s="2"/>
      <c r="AB314" s="2"/>
      <c r="AP314" s="8"/>
      <c r="AQ314" s="8"/>
      <c r="AR314" s="8"/>
      <c r="AS314" s="8"/>
      <c r="AT314" s="8"/>
      <c r="AU314" s="3"/>
      <c r="AV314" s="3"/>
      <c r="AW314" s="3"/>
    </row>
    <row r="315" spans="2:49" ht="21.75" customHeight="1" x14ac:dyDescent="0.35">
      <c r="B315" s="4"/>
      <c r="C315" s="7"/>
      <c r="D315" s="6"/>
      <c r="E315" s="6"/>
      <c r="F315" s="5"/>
      <c r="G315" s="6"/>
      <c r="H315" s="5"/>
      <c r="I315" s="6"/>
      <c r="J315" s="5"/>
      <c r="K315" s="4"/>
      <c r="L315" s="2"/>
      <c r="M315" s="2"/>
      <c r="U315" s="2"/>
      <c r="V315" s="2"/>
      <c r="W315" s="2"/>
      <c r="X315" s="2"/>
      <c r="Y315" s="2"/>
      <c r="Z315" s="2"/>
      <c r="AA315" s="2"/>
      <c r="AB315" s="2"/>
      <c r="AP315" s="8"/>
      <c r="AQ315" s="8"/>
      <c r="AR315" s="8"/>
      <c r="AS315" s="8"/>
      <c r="AT315" s="8"/>
      <c r="AU315" s="3"/>
      <c r="AV315" s="3"/>
      <c r="AW315" s="3"/>
    </row>
    <row r="316" spans="2:49" ht="21.75" customHeight="1" x14ac:dyDescent="0.35">
      <c r="B316" s="4"/>
      <c r="C316" s="7"/>
      <c r="D316" s="6"/>
      <c r="E316" s="6"/>
      <c r="F316" s="5"/>
      <c r="G316" s="6"/>
      <c r="H316" s="5"/>
      <c r="I316" s="6"/>
      <c r="J316" s="5"/>
      <c r="K316" s="4"/>
      <c r="L316" s="2"/>
      <c r="M316" s="2"/>
      <c r="U316" s="2"/>
      <c r="V316" s="2"/>
      <c r="W316" s="2"/>
      <c r="X316" s="2"/>
      <c r="Y316" s="2"/>
      <c r="Z316" s="2"/>
      <c r="AA316" s="2"/>
      <c r="AB316" s="2"/>
      <c r="AP316" s="8"/>
      <c r="AQ316" s="8"/>
      <c r="AR316" s="8"/>
      <c r="AS316" s="8"/>
      <c r="AT316" s="8"/>
      <c r="AU316" s="3"/>
      <c r="AV316" s="3"/>
      <c r="AW316" s="3"/>
    </row>
    <row r="317" spans="2:49" ht="21.75" customHeight="1" x14ac:dyDescent="0.35">
      <c r="B317" s="4"/>
      <c r="C317" s="7"/>
      <c r="D317" s="6"/>
      <c r="E317" s="6"/>
      <c r="F317" s="5"/>
      <c r="G317" s="6"/>
      <c r="H317" s="5"/>
      <c r="I317" s="6"/>
      <c r="J317" s="5"/>
      <c r="K317" s="4"/>
      <c r="L317" s="2"/>
      <c r="M317" s="2"/>
      <c r="U317" s="2"/>
      <c r="V317" s="2"/>
      <c r="W317" s="2"/>
      <c r="X317" s="2"/>
      <c r="Y317" s="2"/>
      <c r="Z317" s="2"/>
      <c r="AA317" s="2"/>
      <c r="AB317" s="2"/>
      <c r="AP317" s="8"/>
      <c r="AQ317" s="8"/>
      <c r="AR317" s="8"/>
      <c r="AS317" s="8"/>
      <c r="AT317" s="8"/>
      <c r="AU317" s="3"/>
      <c r="AV317" s="3"/>
      <c r="AW317" s="3"/>
    </row>
    <row r="318" spans="2:49" ht="21.75" customHeight="1" x14ac:dyDescent="0.35">
      <c r="B318" s="4"/>
      <c r="C318" s="7"/>
      <c r="D318" s="6"/>
      <c r="E318" s="6"/>
      <c r="F318" s="5"/>
      <c r="G318" s="6"/>
      <c r="H318" s="5"/>
      <c r="I318" s="6"/>
      <c r="J318" s="5"/>
      <c r="K318" s="4"/>
      <c r="L318" s="2"/>
      <c r="M318" s="2"/>
      <c r="U318" s="2"/>
      <c r="V318" s="2"/>
      <c r="W318" s="2"/>
      <c r="X318" s="2"/>
      <c r="Y318" s="2"/>
      <c r="Z318" s="2"/>
      <c r="AA318" s="2"/>
      <c r="AB318" s="2"/>
      <c r="AP318" s="8"/>
      <c r="AQ318" s="8"/>
      <c r="AR318" s="8"/>
      <c r="AS318" s="8"/>
      <c r="AT318" s="8"/>
      <c r="AU318" s="3"/>
      <c r="AV318" s="3"/>
      <c r="AW318" s="3"/>
    </row>
    <row r="319" spans="2:49" ht="21.75" customHeight="1" x14ac:dyDescent="0.35">
      <c r="B319" s="4"/>
      <c r="C319" s="7"/>
      <c r="D319" s="6"/>
      <c r="E319" s="6"/>
      <c r="F319" s="5"/>
      <c r="G319" s="6"/>
      <c r="H319" s="5"/>
      <c r="I319" s="6"/>
      <c r="J319" s="5"/>
      <c r="K319" s="4"/>
      <c r="L319" s="2"/>
      <c r="M319" s="2"/>
      <c r="U319" s="2"/>
      <c r="V319" s="2"/>
      <c r="W319" s="2"/>
      <c r="X319" s="2"/>
      <c r="Y319" s="2"/>
      <c r="Z319" s="2"/>
      <c r="AA319" s="2"/>
      <c r="AB319" s="2"/>
      <c r="AP319" s="8"/>
      <c r="AQ319" s="8"/>
      <c r="AR319" s="8"/>
      <c r="AS319" s="8"/>
      <c r="AT319" s="8"/>
      <c r="AU319" s="3"/>
      <c r="AV319" s="3"/>
      <c r="AW319" s="3"/>
    </row>
    <row r="320" spans="2:49" ht="21.75" customHeight="1" x14ac:dyDescent="0.35">
      <c r="B320" s="4"/>
      <c r="C320" s="7"/>
      <c r="D320" s="6"/>
      <c r="E320" s="6"/>
      <c r="F320" s="5"/>
      <c r="G320" s="6"/>
      <c r="H320" s="5"/>
      <c r="I320" s="6"/>
      <c r="J320" s="5"/>
      <c r="K320" s="4"/>
      <c r="L320" s="2"/>
      <c r="M320" s="2"/>
      <c r="U320" s="2"/>
      <c r="V320" s="2"/>
      <c r="W320" s="2"/>
      <c r="X320" s="2"/>
      <c r="Y320" s="2"/>
      <c r="Z320" s="2"/>
      <c r="AA320" s="2"/>
      <c r="AB320" s="2"/>
      <c r="AP320" s="8"/>
      <c r="AQ320" s="8"/>
      <c r="AR320" s="8"/>
      <c r="AS320" s="8"/>
      <c r="AT320" s="8"/>
      <c r="AU320" s="3"/>
      <c r="AV320" s="3"/>
      <c r="AW320" s="3"/>
    </row>
    <row r="321" spans="2:49" ht="21.75" customHeight="1" x14ac:dyDescent="0.35">
      <c r="B321" s="4"/>
      <c r="C321" s="7"/>
      <c r="D321" s="6"/>
      <c r="E321" s="6"/>
      <c r="F321" s="5"/>
      <c r="G321" s="6"/>
      <c r="H321" s="5"/>
      <c r="I321" s="6"/>
      <c r="J321" s="5"/>
      <c r="K321" s="4"/>
      <c r="L321" s="2"/>
      <c r="M321" s="2"/>
      <c r="U321" s="2"/>
      <c r="V321" s="2"/>
      <c r="W321" s="2"/>
      <c r="X321" s="2"/>
      <c r="Y321" s="2"/>
      <c r="Z321" s="2"/>
      <c r="AA321" s="2"/>
      <c r="AB321" s="2"/>
      <c r="AP321" s="2"/>
      <c r="AQ321" s="2"/>
      <c r="AR321" s="2"/>
      <c r="AS321" s="2"/>
      <c r="AT321" s="3"/>
      <c r="AU321" s="3"/>
      <c r="AV321" s="3"/>
      <c r="AW321" s="3"/>
    </row>
    <row r="322" spans="2:49" x14ac:dyDescent="0.35">
      <c r="L322" s="2"/>
      <c r="M322" s="2"/>
      <c r="U322" s="2"/>
      <c r="V322" s="2"/>
      <c r="W322" s="2"/>
      <c r="X322" s="2"/>
      <c r="Y322" s="2"/>
      <c r="Z322" s="2"/>
      <c r="AA322" s="2"/>
      <c r="AB322" s="2"/>
      <c r="AP322" s="2"/>
      <c r="AQ322" s="2"/>
      <c r="AR322" s="2"/>
      <c r="AS322" s="2"/>
    </row>
    <row r="323" spans="2:49" x14ac:dyDescent="0.35">
      <c r="L323" s="2"/>
      <c r="M323" s="2"/>
      <c r="U323" s="2"/>
      <c r="V323" s="2"/>
      <c r="W323" s="2"/>
      <c r="X323" s="2"/>
      <c r="Y323" s="2"/>
      <c r="Z323" s="2"/>
      <c r="AA323" s="2"/>
      <c r="AB323" s="2"/>
      <c r="AP323" s="2"/>
      <c r="AQ323" s="2"/>
      <c r="AR323" s="2"/>
      <c r="AS323" s="2"/>
    </row>
  </sheetData>
  <mergeCells count="7">
    <mergeCell ref="Q47:X47"/>
    <mergeCell ref="B5:C5"/>
    <mergeCell ref="D1:D2"/>
    <mergeCell ref="E1:L1"/>
    <mergeCell ref="AZ2:AZ3"/>
    <mergeCell ref="E5:L5"/>
    <mergeCell ref="E9:L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Сравнение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2021-04-09T11:30:01Z</dcterms:created>
  <dcterms:modified xsi:type="dcterms:W3CDTF">2021-04-17T21:20:47Z</dcterms:modified>
</cp:coreProperties>
</file>