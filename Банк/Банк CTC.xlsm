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D413366D-AE10-450C-AC46-A62F50AE8643}" xr6:coauthVersionLast="46" xr6:coauthVersionMax="46" xr10:uidLastSave="{00000000-0000-0000-0000-000000000000}"/>
  <bookViews>
    <workbookView xWindow="28680" yWindow="-120" windowWidth="29040" windowHeight="15990" xr2:uid="{2E2661F3-0CCC-431A-8EB3-D5090F41F798}"/>
  </bookViews>
  <sheets>
    <sheet name="CTC" sheetId="1" r:id="rId1"/>
  </sheets>
  <definedNames>
    <definedName name="_xlnm._FilterDatabase" localSheetId="0" hidden="1">CTC!$C$2:$P$61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8EE1C132-D44C-47BB-BEF9-C15C6CFE5E79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810DC3FF-3A24-46CB-BC83-8A22DCAB87CD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CD2E608D-EAF6-45B4-8BE7-606A708C7049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<sst xmlns="http://schemas.openxmlformats.org/spreadsheetml/2006/main" count="133" uniqueCount="39">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</sst>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7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2" fillId="9" borderId="0" xfId="0" applyNumberFormat="1" applyFont="1" applyFill="1"/>
    <xf numFmtId="49" fontId="13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4" fillId="9" borderId="9" xfId="6" applyNumberFormat="1" applyFont="1" applyBorder="1">
      <alignment horizontal="left" vertical="center"/>
    </xf>
    <xf numFmtId="0" fontId="14" fillId="9" borderId="8" xfId="6" applyNumberFormat="1" applyFont="1" applyBorder="1">
      <alignment horizontal="left" vertical="center"/>
    </xf>
    <xf numFmtId="0" fontId="14" fillId="9" borderId="7" xfId="6" applyNumberFormat="1" applyFont="1" applyBorder="1">
      <alignment horizontal="left" vertical="center"/>
    </xf>
    <xf numFmtId="0" fontId="14" fillId="9" borderId="6" xfId="6" applyNumberFormat="1" applyFont="1" applyBorder="1">
      <alignment horizontal="left" vertical="center"/>
    </xf>
    <xf numFmtId="49" fontId="14" fillId="9" borderId="6" xfId="6" applyNumberFormat="1" applyFont="1" applyBorder="1">
      <alignment horizontal="left" vertical="center"/>
    </xf>
    <xf numFmtId="164" fontId="14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5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5" borderId="0" xfId="0" applyFont="1" applyFill="1"/>
    <xf numFmtId="0" fontId="3" fillId="7" borderId="0" xfId="0" applyNumberFormat="1" applyFont="1" applyFill="1" applyAlignment="1">
      <alignment horizontal="left"/>
    </xf>
    <xf numFmtId="11" fontId="6" fillId="0" borderId="4" xfId="5" applyFont="1" applyFill="1" applyBorder="1">
      <alignment vertical="top"/>
    </xf>
    <xf numFmtId="164" fontId="8" fillId="9" borderId="5" xfId="6" applyNumberFormat="1">
      <alignment horizontal="left" vertical="center"/>
    </xf>
    <xf numFmtId="0" fontId="3" fillId="0" borderId="10" xfId="0" applyFont="1" applyBorder="1"/>
  </cellXfs>
  <cellStyles count="7">
    <cellStyle name="Заголовок" xfId="6" xr:uid="{500EBB65-080D-4085-826B-48D41B99C5BC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27"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0.0000E+00"/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Q61" totalsRowShown="0" headerRowDxfId="16" dataDxfId="15">
  <autoFilter ref="C2:Q61" xr:uid="{85F36A9E-31F0-4B95-BC01-5F8E9850E1B2}">
    <filterColumn colId="0" hiddenButton="1">
      <filters>
        <filter val="GeSe"/>
        <filter val="GeSe2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C3:Q60">
    <sortCondition ref="C3:C60"/>
    <sortCondition descending="1" ref="D3:D60"/>
    <sortCondition ref="E3:E60"/>
  </sortState>
  <tableColumns count="15">
    <tableColumn id="1" xr3:uid="{51E0FEB3-FB8F-4540-9E1C-405AC2C88955}" name="Названиe" dataDxfId="14"/>
    <tableColumn id="2" xr3:uid="{5EE37EAA-7FA3-40C9-89E6-5445793852CE}" name="Ф          if &quot;?&quot; =&gt; not &quot;g&quot;" dataDxfId="13"/>
    <tableColumn id="3" xr3:uid="{D6C68FCE-3D4C-4817-8387-267EB81DD616}" name="To К" dataDxfId="12"/>
    <tableColumn id="4" xr3:uid="{6E2835C1-DEB0-4ECE-A370-E5A8EC3F6135}" name="T К" dataDxfId="11"/>
    <tableColumn id="5" xr3:uid="{6FA3E292-F325-451C-9E65-C6B7C599C9BD}" name="ho" dataDxfId="10"/>
    <tableColumn id="6" xr3:uid="{7226643F-5D06-489D-B2D3-589ED89E8615}" name="ф1" dataDxfId="9"/>
    <tableColumn id="7" xr3:uid="{09FFEBA2-0D4B-4607-9AF7-D3BC7B74DF86}" name="ф2 *lnX" dataDxfId="8"/>
    <tableColumn id="8" xr3:uid="{FA65B820-8B0F-4B63-BBCA-B40CD6435889}" name="ф3 *X^(-2)" dataDxfId="7"/>
    <tableColumn id="9" xr3:uid="{0D25B8D0-6E2F-4724-A859-E0B9ACBAD1B0}" name="ф4 *X^(-1)" dataDxfId="6"/>
    <tableColumn id="10" xr3:uid="{EA142FDF-91B1-43BC-97DA-75F0EFEC882A}" name="ф5 *X" dataDxfId="5"/>
    <tableColumn id="11" xr3:uid="{65EF8AAB-82F9-42E0-84C2-B5CB15B86B7C}" name="ф6 *X^2" dataDxfId="4"/>
    <tableColumn id="12" xr3:uid="{C107D857-C08E-427E-93B2-74E62357BBD4}" name="ф7 *Х^3" dataDxfId="3"/>
    <tableColumn id="13" xr3:uid="{A8723221-273B-40C7-98D7-DF0AABE2D300}" name="Т " dataDxfId="2"/>
    <tableColumn id="14" xr3:uid="{B0CE308A-07CD-4E55-9C12-6CA799C7EEF1}" name="М    " dataDxfId="1"/>
    <tableColumn id="15" xr3:uid="{79203F9A-0221-473B-AD27-80386278D7BD}" name="С" dataDxfId="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0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N66" sqref="N66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 x14ac:dyDescent="0.4">
      <c r="D1" s="26"/>
    </row>
    <row r="2" spans="1:18" ht="24.75" thickTop="1" thickBot="1" x14ac:dyDescent="0.4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35</v>
      </c>
      <c r="P2" s="32" t="s">
        <v>36</v>
      </c>
      <c r="Q2" s="45" t="s">
        <v>37</v>
      </c>
      <c r="R2" s="41">
        <f>COUNTA(O3:O242)</f>
        <v>59</v>
      </c>
    </row>
    <row r="3" spans="1:18" ht="24" hidden="1" thickTop="1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  <c r="Q3" s="4"/>
    </row>
    <row r="4" spans="1:18" ht="24" hidden="1" thickTop="1" x14ac:dyDescent="0.35">
      <c r="A4"/>
      <c r="B4" s="13"/>
      <c r="C4" s="42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  <c r="Q4" s="4">
        <v>1</v>
      </c>
    </row>
    <row r="5" spans="1:18" ht="24" hidden="1" thickTop="1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  <c r="Q5" s="4"/>
    </row>
    <row r="6" spans="1:18" ht="24" hidden="1" thickTop="1" x14ac:dyDescent="0.35">
      <c r="A6"/>
      <c r="B6" s="12"/>
      <c r="C6" s="42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  <c r="Q6" s="4">
        <v>1</v>
      </c>
    </row>
    <row r="7" spans="1:18" ht="24" hidden="1" thickTop="1" x14ac:dyDescent="0.35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>
        <v>1</v>
      </c>
      <c r="Q7" s="4"/>
    </row>
    <row r="8" spans="1:18" ht="24" hidden="1" thickTop="1" x14ac:dyDescent="0.35">
      <c r="A8"/>
      <c r="B8" s="12"/>
      <c r="C8" s="42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  <c r="Q8" s="4">
        <v>1</v>
      </c>
    </row>
    <row r="9" spans="1:18" ht="24" hidden="1" thickTop="1" x14ac:dyDescent="0.35">
      <c r="A9"/>
      <c r="B9" s="12"/>
      <c r="C9" s="42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  <c r="Q9" s="4">
        <v>1</v>
      </c>
    </row>
    <row r="10" spans="1:18" ht="24" hidden="1" thickTop="1" x14ac:dyDescent="0.35">
      <c r="A10"/>
      <c r="B10" s="12"/>
      <c r="C10" s="42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  <c r="Q10" s="4">
        <v>1</v>
      </c>
    </row>
    <row r="11" spans="1:18" ht="24" hidden="1" thickTop="1" x14ac:dyDescent="0.35">
      <c r="A11"/>
      <c r="B11" s="12"/>
      <c r="C11" s="42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  <c r="Q11" s="4">
        <v>1</v>
      </c>
    </row>
    <row r="12" spans="1:18" ht="24" hidden="1" thickTop="1" x14ac:dyDescent="0.35">
      <c r="A12"/>
      <c r="B12" s="12"/>
      <c r="C12" s="42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  <c r="Q12" s="4">
        <v>1</v>
      </c>
    </row>
    <row r="13" spans="1:18" ht="24" hidden="1" thickTop="1" x14ac:dyDescent="0.35">
      <c r="A13"/>
      <c r="B13" s="12"/>
      <c r="C13" s="42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  <c r="Q13" s="4">
        <v>1</v>
      </c>
    </row>
    <row r="14" spans="1:18" ht="24" hidden="1" thickTop="1" x14ac:dyDescent="0.35">
      <c r="A14"/>
      <c r="B14" s="12"/>
      <c r="C14" s="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/>
      <c r="Q14" s="4"/>
    </row>
    <row r="15" spans="1:18" ht="24" hidden="1" thickTop="1" x14ac:dyDescent="0.35">
      <c r="A15"/>
      <c r="C15" s="42" t="s">
        <v>18</v>
      </c>
      <c r="D15" s="4" t="s">
        <v>2</v>
      </c>
      <c r="E15" s="4">
        <v>298.14999999999998</v>
      </c>
      <c r="F15" s="4">
        <v>2000</v>
      </c>
      <c r="G15" s="18">
        <v>1.157</v>
      </c>
      <c r="H15" s="19">
        <v>55.30301</v>
      </c>
      <c r="I15" s="18">
        <v>6.9866000000000001</v>
      </c>
      <c r="J15" s="19">
        <v>-1.7438999999999999E-4</v>
      </c>
      <c r="K15" s="18">
        <v>0.22003</v>
      </c>
      <c r="L15" s="19">
        <v>3.0068000000000001E-2</v>
      </c>
      <c r="M15" s="18">
        <v>0</v>
      </c>
      <c r="N15" s="19">
        <v>0</v>
      </c>
      <c r="O15" s="10">
        <v>1</v>
      </c>
      <c r="P15" s="34"/>
      <c r="Q15" s="4">
        <v>1</v>
      </c>
    </row>
    <row r="16" spans="1:18" ht="24" hidden="1" thickTop="1" x14ac:dyDescent="0.35">
      <c r="A16"/>
      <c r="C16" s="42" t="s">
        <v>17</v>
      </c>
      <c r="D16" s="4" t="s">
        <v>13</v>
      </c>
      <c r="E16" s="4">
        <v>298.14999999999998</v>
      </c>
      <c r="F16" s="4">
        <v>1278</v>
      </c>
      <c r="G16" s="20">
        <v>-4.9166999999999996</v>
      </c>
      <c r="H16" s="21">
        <v>52.323990000000002</v>
      </c>
      <c r="I16" s="20">
        <v>12.715999999999999</v>
      </c>
      <c r="J16" s="21">
        <v>0</v>
      </c>
      <c r="K16" s="20">
        <v>0.39800999999999997</v>
      </c>
      <c r="L16" s="21">
        <v>21.234000000000002</v>
      </c>
      <c r="M16" s="20">
        <v>0</v>
      </c>
      <c r="N16" s="21">
        <v>0</v>
      </c>
      <c r="O16" s="9">
        <v>1</v>
      </c>
      <c r="P16" s="34"/>
      <c r="Q16" s="4">
        <v>1</v>
      </c>
    </row>
    <row r="17" spans="1:17" ht="24" hidden="1" thickTop="1" x14ac:dyDescent="0.35">
      <c r="A17"/>
      <c r="C17" s="4" t="s">
        <v>31</v>
      </c>
      <c r="D17" s="4" t="s">
        <v>13</v>
      </c>
      <c r="E17" s="4">
        <v>298</v>
      </c>
      <c r="F17" s="4">
        <v>1211</v>
      </c>
      <c r="G17" s="20">
        <v>-1.9123218473750676</v>
      </c>
      <c r="H17" s="21">
        <v>21.483706893669559</v>
      </c>
      <c r="I17" s="20">
        <v>5.3689337903662278</v>
      </c>
      <c r="J17" s="21">
        <v>0</v>
      </c>
      <c r="K17" s="20">
        <v>0.16692060785374949</v>
      </c>
      <c r="L17" s="21">
        <v>7.799627157375669</v>
      </c>
      <c r="M17" s="20">
        <v>0</v>
      </c>
      <c r="N17" s="21">
        <v>0</v>
      </c>
      <c r="O17" s="15">
        <v>2</v>
      </c>
      <c r="P17" s="33">
        <v>3</v>
      </c>
      <c r="Q17" s="4">
        <v>1</v>
      </c>
    </row>
    <row r="18" spans="1:17" ht="24" hidden="1" thickTop="1" x14ac:dyDescent="0.35">
      <c r="A18"/>
      <c r="C18" s="42" t="s">
        <v>38</v>
      </c>
      <c r="D18" s="34" t="s">
        <v>13</v>
      </c>
      <c r="E18" s="34">
        <v>298.14999999999998</v>
      </c>
      <c r="F18" s="34">
        <v>1211.4000000000001</v>
      </c>
      <c r="G18" s="18">
        <v>-5.5760690000000002E-2</v>
      </c>
      <c r="H18" s="19">
        <v>10.808619999999999</v>
      </c>
      <c r="I18" s="18">
        <v>2.898209</v>
      </c>
      <c r="J18" s="19">
        <v>-9.4357770000000004E-5</v>
      </c>
      <c r="K18" s="18">
        <v>3.8575789999999999E-2</v>
      </c>
      <c r="L18" s="19">
        <v>1.796346</v>
      </c>
      <c r="M18" s="18">
        <v>0</v>
      </c>
      <c r="N18" s="19">
        <v>0</v>
      </c>
      <c r="O18" s="43">
        <v>5</v>
      </c>
      <c r="P18" s="33"/>
      <c r="Q18" s="4"/>
    </row>
    <row r="19" spans="1:17" ht="24" hidden="1" thickTop="1" x14ac:dyDescent="0.35">
      <c r="A19"/>
      <c r="C19" s="42" t="s">
        <v>16</v>
      </c>
      <c r="D19" s="4" t="s">
        <v>13</v>
      </c>
      <c r="E19" s="4">
        <v>298.14999999999998</v>
      </c>
      <c r="F19" s="4">
        <v>1211.4000000000001</v>
      </c>
      <c r="G19" s="18">
        <v>-5.5760690000000002E-2</v>
      </c>
      <c r="H19" s="19">
        <v>10.808619999999999</v>
      </c>
      <c r="I19" s="18">
        <v>2.898209</v>
      </c>
      <c r="J19" s="19">
        <v>-9.4357770000000004E-5</v>
      </c>
      <c r="K19" s="18">
        <v>3.8575789999999999E-2</v>
      </c>
      <c r="L19" s="19">
        <v>1.796346</v>
      </c>
      <c r="M19" s="18">
        <v>0</v>
      </c>
      <c r="N19" s="19">
        <v>0</v>
      </c>
      <c r="O19" s="10">
        <v>1</v>
      </c>
      <c r="P19" s="34"/>
      <c r="Q19" s="4">
        <v>1</v>
      </c>
    </row>
    <row r="20" spans="1:17" ht="24" hidden="1" thickTop="1" x14ac:dyDescent="0.35">
      <c r="A20"/>
      <c r="C20" s="42" t="s">
        <v>16</v>
      </c>
      <c r="D20" s="4" t="s">
        <v>0</v>
      </c>
      <c r="E20" s="4">
        <v>1211.4000000000001</v>
      </c>
      <c r="F20" s="4">
        <v>4900</v>
      </c>
      <c r="G20" s="18">
        <v>-5.5760690000000002E-2</v>
      </c>
      <c r="H20" s="19">
        <v>15.395060000000001</v>
      </c>
      <c r="I20" s="18">
        <v>3.319661</v>
      </c>
      <c r="J20" s="19">
        <v>0</v>
      </c>
      <c r="K20" s="18">
        <v>-0.38367639999999997</v>
      </c>
      <c r="L20" s="19">
        <v>0</v>
      </c>
      <c r="M20" s="18">
        <v>0</v>
      </c>
      <c r="N20" s="19">
        <v>0</v>
      </c>
      <c r="O20" s="10">
        <v>1</v>
      </c>
      <c r="P20" s="34"/>
      <c r="Q20" s="4">
        <v>1</v>
      </c>
    </row>
    <row r="21" spans="1:17" ht="24" hidden="1" thickTop="1" x14ac:dyDescent="0.35">
      <c r="A21"/>
      <c r="C21" s="42" t="s">
        <v>16</v>
      </c>
      <c r="D21" s="4" t="s">
        <v>2</v>
      </c>
      <c r="E21" s="4">
        <v>298.14999999999998</v>
      </c>
      <c r="F21" s="4">
        <v>1500</v>
      </c>
      <c r="G21" s="18">
        <v>4.3829390000000004</v>
      </c>
      <c r="H21" s="19">
        <v>34.862279999999998</v>
      </c>
      <c r="I21" s="18">
        <v>5.530119</v>
      </c>
      <c r="J21" s="19">
        <v>-3.3787839999999998E-4</v>
      </c>
      <c r="K21" s="18">
        <v>8.1663529999999998E-2</v>
      </c>
      <c r="L21" s="19">
        <v>-21.130780000000001</v>
      </c>
      <c r="M21" s="18">
        <v>36.52984</v>
      </c>
      <c r="N21" s="19">
        <v>-31.421589999999998</v>
      </c>
      <c r="O21" s="10">
        <v>1</v>
      </c>
      <c r="P21" s="34"/>
      <c r="Q21" s="4">
        <v>1</v>
      </c>
    </row>
    <row r="22" spans="1:17" ht="24" hidden="1" thickTop="1" x14ac:dyDescent="0.35">
      <c r="A22"/>
      <c r="C22" s="42" t="s">
        <v>16</v>
      </c>
      <c r="D22" s="4" t="s">
        <v>2</v>
      </c>
      <c r="E22" s="4">
        <v>298.14999999999998</v>
      </c>
      <c r="F22" s="4">
        <v>2000</v>
      </c>
      <c r="G22" s="20">
        <v>4.5041794455469359</v>
      </c>
      <c r="H22" s="21">
        <v>29.447554603809422</v>
      </c>
      <c r="I22" s="20">
        <v>3.5444103674303924</v>
      </c>
      <c r="J22" s="21">
        <v>1.9243490288050995E-4</v>
      </c>
      <c r="K22" s="20">
        <v>9.0811477271360019E-2</v>
      </c>
      <c r="L22" s="21">
        <v>-2.2009742016958325</v>
      </c>
      <c r="M22" s="20">
        <v>0</v>
      </c>
      <c r="N22" s="21">
        <v>0</v>
      </c>
      <c r="O22" s="15">
        <v>2</v>
      </c>
      <c r="P22" s="33"/>
      <c r="Q22" s="4"/>
    </row>
    <row r="23" spans="1:17" ht="24" hidden="1" thickTop="1" x14ac:dyDescent="0.35">
      <c r="A23"/>
      <c r="C23" s="42" t="s">
        <v>16</v>
      </c>
      <c r="D23" s="4" t="s">
        <v>2</v>
      </c>
      <c r="E23" s="4">
        <v>1500</v>
      </c>
      <c r="F23" s="4">
        <v>6000</v>
      </c>
      <c r="G23" s="18">
        <v>4.3829390000000004</v>
      </c>
      <c r="H23" s="19">
        <v>26.704419999999999</v>
      </c>
      <c r="I23" s="18">
        <v>1.8358589999999999</v>
      </c>
      <c r="J23" s="19">
        <v>3.9919220000000002E-3</v>
      </c>
      <c r="K23" s="18">
        <v>-0.2011674</v>
      </c>
      <c r="L23" s="19">
        <v>2.865237</v>
      </c>
      <c r="M23" s="18">
        <v>-1.920703</v>
      </c>
      <c r="N23" s="19">
        <v>0.6292025</v>
      </c>
      <c r="O23" s="1">
        <v>1</v>
      </c>
      <c r="P23" s="34"/>
      <c r="Q23" s="4">
        <v>1</v>
      </c>
    </row>
    <row r="24" spans="1:17" ht="24" hidden="1" thickTop="1" x14ac:dyDescent="0.35">
      <c r="A24"/>
      <c r="C24" s="42" t="s">
        <v>16</v>
      </c>
      <c r="D24" s="4" t="s">
        <v>2</v>
      </c>
      <c r="E24" s="4">
        <v>6000</v>
      </c>
      <c r="F24" s="4">
        <v>10000</v>
      </c>
      <c r="G24" s="18">
        <v>4.3829390000000004</v>
      </c>
      <c r="H24" s="19">
        <v>30.185140000000001</v>
      </c>
      <c r="I24" s="18">
        <v>6.3430540000000004</v>
      </c>
      <c r="J24" s="19">
        <v>-9.5135109999999995E-2</v>
      </c>
      <c r="K24" s="18">
        <v>1.2754369999999999</v>
      </c>
      <c r="L24" s="19">
        <v>-4.2694150000000004</v>
      </c>
      <c r="M24" s="18">
        <v>1.041687</v>
      </c>
      <c r="N24" s="19">
        <v>-6.3588229999999996E-2</v>
      </c>
      <c r="O24" s="10">
        <v>1</v>
      </c>
      <c r="P24" s="34"/>
      <c r="Q24" s="4">
        <v>1</v>
      </c>
    </row>
    <row r="25" spans="1:17" ht="24" hidden="1" thickTop="1" x14ac:dyDescent="0.35">
      <c r="A25"/>
      <c r="C25" s="42" t="s">
        <v>3</v>
      </c>
      <c r="D25" s="4" t="s">
        <v>2</v>
      </c>
      <c r="E25" s="4">
        <v>298.14999999999998</v>
      </c>
      <c r="F25" s="4">
        <v>1500</v>
      </c>
      <c r="G25" s="18">
        <v>5.674709</v>
      </c>
      <c r="H25" s="19">
        <v>49.524940000000001</v>
      </c>
      <c r="I25" s="18">
        <v>7.0513279999999998</v>
      </c>
      <c r="J25" s="19">
        <v>-1.341195E-5</v>
      </c>
      <c r="K25" s="18">
        <v>5.245814E-2</v>
      </c>
      <c r="L25" s="19">
        <v>-24.580100000000002</v>
      </c>
      <c r="M25" s="18">
        <v>62.099780000000003</v>
      </c>
      <c r="N25" s="19">
        <v>-81.046109999999999</v>
      </c>
      <c r="O25" s="14">
        <v>1</v>
      </c>
      <c r="P25" s="38"/>
      <c r="Q25" s="4">
        <v>1</v>
      </c>
    </row>
    <row r="26" spans="1:17" ht="24" hidden="1" thickTop="1" x14ac:dyDescent="0.35">
      <c r="A26"/>
      <c r="C26" s="42" t="s">
        <v>3</v>
      </c>
      <c r="D26" s="4" t="s">
        <v>2</v>
      </c>
      <c r="E26" s="4">
        <v>1500</v>
      </c>
      <c r="F26" s="4">
        <v>6000</v>
      </c>
      <c r="G26" s="20">
        <v>5.674709</v>
      </c>
      <c r="H26" s="21">
        <v>40.162990000000001</v>
      </c>
      <c r="I26" s="20">
        <v>2.7510140000000001</v>
      </c>
      <c r="J26" s="21">
        <v>7.8054969999999998E-3</v>
      </c>
      <c r="K26" s="20">
        <v>-0.32734089999999999</v>
      </c>
      <c r="L26" s="21">
        <v>6.01546</v>
      </c>
      <c r="M26" s="20">
        <v>-3.5431430000000002</v>
      </c>
      <c r="N26" s="21">
        <v>0.75900279999999998</v>
      </c>
      <c r="O26" s="9">
        <v>1</v>
      </c>
      <c r="P26" s="34"/>
      <c r="Q26" s="4">
        <v>1</v>
      </c>
    </row>
    <row r="27" spans="1:17" ht="24" thickTop="1" x14ac:dyDescent="0.35">
      <c r="A27"/>
      <c r="C27" s="42" t="s">
        <v>15</v>
      </c>
      <c r="D27" s="4" t="s">
        <v>13</v>
      </c>
      <c r="E27" s="4">
        <v>298.14999999999998</v>
      </c>
      <c r="F27" s="4">
        <v>947.99990000000003</v>
      </c>
      <c r="G27" s="18">
        <v>-0.82987549999999999</v>
      </c>
      <c r="H27" s="19">
        <v>22.446940000000001</v>
      </c>
      <c r="I27" s="18">
        <v>5.4242590000000002</v>
      </c>
      <c r="J27" s="19">
        <v>0</v>
      </c>
      <c r="K27" s="18">
        <v>0.17049120000000001</v>
      </c>
      <c r="L27" s="19">
        <v>9.8622890000000005</v>
      </c>
      <c r="M27" s="18">
        <v>0</v>
      </c>
      <c r="N27" s="19">
        <v>0</v>
      </c>
      <c r="O27" s="10">
        <v>1</v>
      </c>
      <c r="P27" s="34"/>
      <c r="Q27" s="4">
        <v>1</v>
      </c>
    </row>
    <row r="28" spans="1:17" x14ac:dyDescent="0.35">
      <c r="A28"/>
      <c r="C28" s="42" t="s">
        <v>15</v>
      </c>
      <c r="D28" s="4" t="s">
        <v>0</v>
      </c>
      <c r="E28" s="4">
        <v>948</v>
      </c>
      <c r="F28" s="4">
        <v>2000</v>
      </c>
      <c r="G28" s="20">
        <v>-0.82987551867219922</v>
      </c>
      <c r="H28" s="21">
        <v>30.469745783181889</v>
      </c>
      <c r="I28" s="20">
        <v>7.6492873895002704</v>
      </c>
      <c r="J28" s="21">
        <v>0</v>
      </c>
      <c r="K28" s="20">
        <v>-3.6947501353057355E-3</v>
      </c>
      <c r="L28" s="21">
        <v>0</v>
      </c>
      <c r="M28" s="20">
        <v>0</v>
      </c>
      <c r="N28" s="21">
        <v>0</v>
      </c>
      <c r="O28" s="15">
        <v>2</v>
      </c>
      <c r="P28" s="33">
        <v>2</v>
      </c>
      <c r="Q28" s="4">
        <v>1</v>
      </c>
    </row>
    <row r="29" spans="1:17" x14ac:dyDescent="0.35">
      <c r="A29"/>
      <c r="C29" s="42" t="s">
        <v>15</v>
      </c>
      <c r="D29" s="4" t="s">
        <v>2</v>
      </c>
      <c r="E29" s="4">
        <v>298.14999999999998</v>
      </c>
      <c r="F29" s="4">
        <v>2000</v>
      </c>
      <c r="G29" s="18">
        <v>1.2677</v>
      </c>
      <c r="H29" s="19">
        <v>11.071</v>
      </c>
      <c r="I29" s="18">
        <v>4.4489000000000001</v>
      </c>
      <c r="J29" s="19">
        <v>-1.0823999999999999E-4</v>
      </c>
      <c r="K29" s="18">
        <v>0.13999</v>
      </c>
      <c r="L29" s="19">
        <v>0.10223</v>
      </c>
      <c r="M29" s="18">
        <v>0</v>
      </c>
      <c r="N29" s="19">
        <v>0</v>
      </c>
      <c r="O29" s="11">
        <v>1</v>
      </c>
      <c r="P29" s="34"/>
      <c r="Q29" s="4">
        <v>1</v>
      </c>
    </row>
    <row r="30" spans="1:17" x14ac:dyDescent="0.35">
      <c r="A30"/>
      <c r="C30" s="42" t="s">
        <v>14</v>
      </c>
      <c r="D30" s="4" t="s">
        <v>13</v>
      </c>
      <c r="E30" s="4">
        <v>298.14999999999998</v>
      </c>
      <c r="F30" s="4">
        <v>1013</v>
      </c>
      <c r="G30" s="18">
        <v>-1.3591</v>
      </c>
      <c r="H30" s="19">
        <v>31.553999999999998</v>
      </c>
      <c r="I30" s="18">
        <v>7.5639000000000003</v>
      </c>
      <c r="J30" s="19">
        <v>0</v>
      </c>
      <c r="K30" s="18">
        <v>0.24035000000000001</v>
      </c>
      <c r="L30" s="19">
        <v>16.681999999999999</v>
      </c>
      <c r="M30" s="18">
        <v>0</v>
      </c>
      <c r="N30" s="19">
        <v>0</v>
      </c>
      <c r="O30" s="10">
        <v>1</v>
      </c>
      <c r="P30" s="34"/>
      <c r="Q30" s="4"/>
    </row>
    <row r="31" spans="1:17" x14ac:dyDescent="0.35">
      <c r="A31"/>
      <c r="C31" s="42" t="s">
        <v>14</v>
      </c>
      <c r="D31" s="4" t="s">
        <v>13</v>
      </c>
      <c r="E31" s="4">
        <v>298.14999999999998</v>
      </c>
      <c r="F31" s="4">
        <v>350</v>
      </c>
      <c r="G31" s="18">
        <v>-1.3586866317878405</v>
      </c>
      <c r="H31" s="19">
        <v>68.816676906083146</v>
      </c>
      <c r="I31" s="18">
        <v>17.608515244452462</v>
      </c>
      <c r="J31" s="19">
        <v>-5.8145408623489088E-4</v>
      </c>
      <c r="K31" s="18">
        <v>0.41318596346922787</v>
      </c>
      <c r="L31" s="19">
        <v>-252.13723014011663</v>
      </c>
      <c r="M31" s="18">
        <v>1383.1599414677171</v>
      </c>
      <c r="N31" s="19">
        <v>0</v>
      </c>
      <c r="O31" s="1">
        <v>4</v>
      </c>
      <c r="P31" s="33">
        <v>3</v>
      </c>
      <c r="Q31" s="4">
        <v>1</v>
      </c>
    </row>
    <row r="32" spans="1:17" x14ac:dyDescent="0.35">
      <c r="C32" s="42" t="s">
        <v>14</v>
      </c>
      <c r="D32" s="4" t="s">
        <v>13</v>
      </c>
      <c r="E32" s="4">
        <v>350</v>
      </c>
      <c r="F32" s="4">
        <v>420</v>
      </c>
      <c r="G32" s="18">
        <v>-1.3586866317878405</v>
      </c>
      <c r="H32" s="19">
        <v>12.046908589131874</v>
      </c>
      <c r="I32" s="18">
        <v>1.7622226231282696</v>
      </c>
      <c r="J32" s="19">
        <v>0</v>
      </c>
      <c r="K32" s="18">
        <v>0.14511938535984314</v>
      </c>
      <c r="L32" s="19">
        <v>105.72854651512418</v>
      </c>
      <c r="M32" s="18">
        <v>0</v>
      </c>
      <c r="N32" s="19">
        <v>0</v>
      </c>
      <c r="O32" s="1">
        <v>4</v>
      </c>
      <c r="P32" s="33">
        <v>3</v>
      </c>
      <c r="Q32" s="4">
        <v>1</v>
      </c>
    </row>
    <row r="33" spans="3:17" x14ac:dyDescent="0.35">
      <c r="C33" s="42" t="s">
        <v>14</v>
      </c>
      <c r="D33" s="4" t="s">
        <v>13</v>
      </c>
      <c r="E33" s="4">
        <v>420</v>
      </c>
      <c r="F33" s="4">
        <v>450</v>
      </c>
      <c r="G33" s="18">
        <v>-1.3586866317878405</v>
      </c>
      <c r="H33" s="19">
        <v>38.768510038576053</v>
      </c>
      <c r="I33" s="18">
        <v>9.9832822178122544</v>
      </c>
      <c r="J33" s="19">
        <v>0</v>
      </c>
      <c r="K33" s="18">
        <v>0.30389873228389108</v>
      </c>
      <c r="L33" s="19">
        <v>0</v>
      </c>
      <c r="M33" s="18">
        <v>0</v>
      </c>
      <c r="N33" s="19">
        <v>0</v>
      </c>
      <c r="O33" s="1">
        <v>4</v>
      </c>
      <c r="P33" s="33">
        <v>3</v>
      </c>
      <c r="Q33" s="4">
        <v>1</v>
      </c>
    </row>
    <row r="34" spans="3:17" x14ac:dyDescent="0.35">
      <c r="C34" s="42" t="s">
        <v>14</v>
      </c>
      <c r="D34" s="4" t="s">
        <v>13</v>
      </c>
      <c r="E34" s="4">
        <v>450</v>
      </c>
      <c r="F34" s="4">
        <v>900</v>
      </c>
      <c r="G34" s="18">
        <v>-1.3586866317878405</v>
      </c>
      <c r="H34" s="19">
        <v>18.364758562217371</v>
      </c>
      <c r="I34" s="18">
        <v>2.0299476817607793</v>
      </c>
      <c r="J34" s="19">
        <v>2.736243911239401E-3</v>
      </c>
      <c r="K34" s="18">
        <v>-6.5765806573927721E-2</v>
      </c>
      <c r="L34" s="19">
        <v>61.455288953033858</v>
      </c>
      <c r="M34" s="18">
        <v>-80.11305550544229</v>
      </c>
      <c r="N34" s="19">
        <v>0</v>
      </c>
      <c r="O34" s="1">
        <v>4</v>
      </c>
      <c r="P34" s="33">
        <v>3</v>
      </c>
      <c r="Q34" s="4">
        <v>1</v>
      </c>
    </row>
    <row r="35" spans="3:17" hidden="1" x14ac:dyDescent="0.35">
      <c r="C35" s="42" t="s">
        <v>1</v>
      </c>
      <c r="D35" s="4" t="s">
        <v>13</v>
      </c>
      <c r="E35" s="4">
        <v>298.14999999999998</v>
      </c>
      <c r="F35" s="4">
        <v>494.3</v>
      </c>
      <c r="G35" s="18">
        <v>-6.6260929999999996E-2</v>
      </c>
      <c r="H35" s="19">
        <v>10.212899999999999</v>
      </c>
      <c r="I35" s="18">
        <v>2.3373539999999999</v>
      </c>
      <c r="J35" s="19">
        <v>0</v>
      </c>
      <c r="K35" s="18">
        <v>1.4182739999999999E-2</v>
      </c>
      <c r="L35" s="19">
        <v>13.63707</v>
      </c>
      <c r="M35" s="18">
        <v>-25.78952</v>
      </c>
      <c r="N35" s="19">
        <v>0</v>
      </c>
      <c r="O35" s="10">
        <v>1</v>
      </c>
      <c r="P35" s="34"/>
      <c r="Q35" s="4">
        <v>1</v>
      </c>
    </row>
    <row r="36" spans="3:17" hidden="1" x14ac:dyDescent="0.35">
      <c r="C36" s="42" t="s">
        <v>1</v>
      </c>
      <c r="D36" s="4" t="s">
        <v>13</v>
      </c>
      <c r="E36" s="4">
        <v>494.3</v>
      </c>
      <c r="F36" s="4">
        <v>1000</v>
      </c>
      <c r="G36" s="18">
        <v>-6.6260929999999996E-2</v>
      </c>
      <c r="H36" s="19">
        <v>23.305810000000001</v>
      </c>
      <c r="I36" s="18">
        <v>6.3044700000000002</v>
      </c>
      <c r="J36" s="19">
        <v>0</v>
      </c>
      <c r="K36" s="18">
        <v>5.1929419999999997E-2</v>
      </c>
      <c r="L36" s="19">
        <v>-29.829440000000002</v>
      </c>
      <c r="M36" s="18">
        <v>65.022059999999996</v>
      </c>
      <c r="N36" s="19">
        <v>0</v>
      </c>
      <c r="O36" s="10">
        <v>1</v>
      </c>
      <c r="P36" s="34"/>
      <c r="Q36" s="4">
        <v>1</v>
      </c>
    </row>
    <row r="37" spans="3:17" hidden="1" x14ac:dyDescent="0.35">
      <c r="C37" s="42" t="s">
        <v>1</v>
      </c>
      <c r="D37" s="4" t="s">
        <v>13</v>
      </c>
      <c r="E37" s="4">
        <v>1000</v>
      </c>
      <c r="F37" s="4">
        <v>1800</v>
      </c>
      <c r="G37" s="18">
        <v>-6.6260929999999996E-2</v>
      </c>
      <c r="H37" s="19">
        <v>16.601150000000001</v>
      </c>
      <c r="I37" s="18">
        <v>4.2397850000000004</v>
      </c>
      <c r="J37" s="19">
        <v>0</v>
      </c>
      <c r="K37" s="18">
        <v>1.3699609999999999E-2</v>
      </c>
      <c r="L37" s="19">
        <v>0</v>
      </c>
      <c r="M37" s="18">
        <v>0</v>
      </c>
      <c r="N37" s="19">
        <v>0</v>
      </c>
      <c r="O37" s="10">
        <v>1</v>
      </c>
      <c r="P37" s="34"/>
      <c r="Q37" s="4">
        <v>1</v>
      </c>
    </row>
    <row r="38" spans="3:17" hidden="1" x14ac:dyDescent="0.35">
      <c r="C38" s="4" t="s">
        <v>1</v>
      </c>
      <c r="D38" s="4" t="s">
        <v>0</v>
      </c>
      <c r="E38" s="4">
        <v>493.00009999999997</v>
      </c>
      <c r="F38" s="4">
        <v>957.00009999999997</v>
      </c>
      <c r="G38" s="18">
        <v>0</v>
      </c>
      <c r="H38" s="19">
        <v>16.690000000000001</v>
      </c>
      <c r="I38" s="18">
        <v>4.2279999999999998</v>
      </c>
      <c r="J38" s="19">
        <v>0</v>
      </c>
      <c r="K38" s="18">
        <v>7.2510000000000005E-2</v>
      </c>
      <c r="L38" s="19">
        <v>0</v>
      </c>
      <c r="M38" s="18">
        <v>0</v>
      </c>
      <c r="N38" s="19">
        <v>0</v>
      </c>
      <c r="O38" s="14">
        <v>1</v>
      </c>
      <c r="P38" s="44"/>
      <c r="Q38" s="4"/>
    </row>
    <row r="39" spans="3:17" hidden="1" x14ac:dyDescent="0.35">
      <c r="C39" s="42" t="s">
        <v>1</v>
      </c>
      <c r="D39" s="34" t="s">
        <v>0</v>
      </c>
      <c r="E39" s="34">
        <v>494.00009999999997</v>
      </c>
      <c r="F39" s="34">
        <v>1000</v>
      </c>
      <c r="G39" s="18">
        <v>7.4080010000000002E-2</v>
      </c>
      <c r="H39" s="19">
        <v>23.32</v>
      </c>
      <c r="I39" s="18">
        <v>6.3019999999999996</v>
      </c>
      <c r="J39" s="19">
        <v>0</v>
      </c>
      <c r="K39" s="18">
        <v>0.19220000000000001</v>
      </c>
      <c r="L39" s="19">
        <v>-29.83</v>
      </c>
      <c r="M39" s="18">
        <v>64.95</v>
      </c>
      <c r="N39" s="19">
        <v>0</v>
      </c>
      <c r="O39" s="14">
        <v>4</v>
      </c>
      <c r="P39" s="33"/>
      <c r="Q39" s="4">
        <v>1</v>
      </c>
    </row>
    <row r="40" spans="3:17" hidden="1" x14ac:dyDescent="0.35">
      <c r="C40" s="42" t="s">
        <v>1</v>
      </c>
      <c r="D40" s="34" t="s">
        <v>0</v>
      </c>
      <c r="E40" s="34">
        <v>1000</v>
      </c>
      <c r="F40" s="34">
        <v>1800</v>
      </c>
      <c r="G40" s="18">
        <v>7.4080010000000002E-2</v>
      </c>
      <c r="H40" s="19">
        <v>16.62</v>
      </c>
      <c r="I40" s="18">
        <v>4.2460000000000004</v>
      </c>
      <c r="J40" s="19">
        <v>0</v>
      </c>
      <c r="K40" s="18">
        <v>0.15490000000000001</v>
      </c>
      <c r="L40" s="19">
        <v>0</v>
      </c>
      <c r="M40" s="18">
        <v>0</v>
      </c>
      <c r="N40" s="19">
        <v>0</v>
      </c>
      <c r="O40" s="14">
        <v>4</v>
      </c>
      <c r="P40" s="33"/>
      <c r="Q40" s="4">
        <v>1</v>
      </c>
    </row>
    <row r="41" spans="3:17" hidden="1" x14ac:dyDescent="0.35">
      <c r="C41" t="s">
        <v>1</v>
      </c>
      <c r="D41" t="s">
        <v>0</v>
      </c>
      <c r="E41">
        <v>1000</v>
      </c>
      <c r="F41">
        <v>1800</v>
      </c>
      <c r="G41" s="18">
        <v>-6.6260929999999996E-2</v>
      </c>
      <c r="H41" s="19">
        <v>16.601150000000001</v>
      </c>
      <c r="I41" s="18">
        <v>4.2397850000000004</v>
      </c>
      <c r="J41" s="19">
        <v>0</v>
      </c>
      <c r="K41" s="18">
        <v>1.3699609999999999E-2</v>
      </c>
      <c r="L41" s="19">
        <v>0</v>
      </c>
      <c r="M41" s="18">
        <v>0</v>
      </c>
      <c r="N41" s="19">
        <v>0</v>
      </c>
      <c r="O41" s="14">
        <v>1</v>
      </c>
      <c r="P41" s="33"/>
      <c r="Q41" s="4"/>
    </row>
    <row r="42" spans="3:17" hidden="1" x14ac:dyDescent="0.35">
      <c r="C42" s="42" t="s">
        <v>1</v>
      </c>
      <c r="D42" s="4" t="s">
        <v>2</v>
      </c>
      <c r="E42" s="4">
        <v>298.14999999999998</v>
      </c>
      <c r="F42" s="4">
        <v>1500</v>
      </c>
      <c r="G42" s="20">
        <v>2.783115</v>
      </c>
      <c r="H42" s="21">
        <v>25.378499999999999</v>
      </c>
      <c r="I42" s="20">
        <v>1.797085</v>
      </c>
      <c r="J42" s="21">
        <v>1.090393E-4</v>
      </c>
      <c r="K42" s="20">
        <v>-2.1003919999999999E-2</v>
      </c>
      <c r="L42" s="21">
        <v>9.1604179999999999</v>
      </c>
      <c r="M42" s="20">
        <v>-16.28604</v>
      </c>
      <c r="N42" s="21">
        <v>12.30222</v>
      </c>
      <c r="O42" s="9">
        <v>1</v>
      </c>
      <c r="P42" s="34"/>
      <c r="Q42" s="4">
        <v>1</v>
      </c>
    </row>
    <row r="43" spans="3:17" hidden="1" x14ac:dyDescent="0.35">
      <c r="C43" s="42" t="s">
        <v>1</v>
      </c>
      <c r="D43" s="4" t="s">
        <v>2</v>
      </c>
      <c r="E43" s="4">
        <v>1500</v>
      </c>
      <c r="F43" s="4">
        <v>10000</v>
      </c>
      <c r="G43" s="18">
        <v>2.783115</v>
      </c>
      <c r="H43" s="19">
        <v>27.619869999999999</v>
      </c>
      <c r="I43" s="18">
        <v>2.4307400000000001</v>
      </c>
      <c r="J43" s="19">
        <v>2.4488410000000002E-3</v>
      </c>
      <c r="K43" s="18">
        <v>-5.4265309999999997E-2</v>
      </c>
      <c r="L43" s="19">
        <v>0.91438399999999997</v>
      </c>
      <c r="M43" s="18">
        <v>-0.4321508</v>
      </c>
      <c r="N43" s="19">
        <v>8.956944E-2</v>
      </c>
      <c r="O43" s="10">
        <v>1</v>
      </c>
      <c r="P43" s="34"/>
      <c r="Q43" s="4">
        <v>1</v>
      </c>
    </row>
    <row r="44" spans="3:17" hidden="1" x14ac:dyDescent="0.35">
      <c r="C44" s="42" t="s">
        <v>32</v>
      </c>
      <c r="D44" s="4" t="s">
        <v>13</v>
      </c>
      <c r="E44" s="4">
        <v>298.14999999999998</v>
      </c>
      <c r="F44" s="4">
        <v>398</v>
      </c>
      <c r="G44" s="18">
        <v>6.0388477960190028E-2</v>
      </c>
      <c r="H44" s="19">
        <v>14.027300531776039</v>
      </c>
      <c r="I44" s="18">
        <v>3.265379758253653</v>
      </c>
      <c r="J44" s="19">
        <v>0</v>
      </c>
      <c r="K44" s="18">
        <v>9.7357297492332656E-2</v>
      </c>
      <c r="L44" s="19">
        <v>0</v>
      </c>
      <c r="M44" s="18">
        <v>0</v>
      </c>
      <c r="N44" s="19">
        <v>0</v>
      </c>
      <c r="O44" s="1">
        <v>4</v>
      </c>
      <c r="P44" s="33">
        <v>3</v>
      </c>
      <c r="Q44" s="4">
        <v>1</v>
      </c>
    </row>
    <row r="45" spans="3:17" hidden="1" x14ac:dyDescent="0.35">
      <c r="C45" s="42" t="s">
        <v>33</v>
      </c>
      <c r="D45" s="4" t="s">
        <v>13</v>
      </c>
      <c r="E45" s="4">
        <v>298</v>
      </c>
      <c r="F45" s="4">
        <v>413</v>
      </c>
      <c r="G45" s="18">
        <v>0.10769138252450537</v>
      </c>
      <c r="H45" s="19">
        <v>54.853251742343801</v>
      </c>
      <c r="I45" s="18">
        <v>12.931625473570268</v>
      </c>
      <c r="J45" s="19">
        <v>-2.6345540922484819E-4</v>
      </c>
      <c r="K45" s="18">
        <v>0.40426080105349993</v>
      </c>
      <c r="L45" s="19">
        <v>-5.4483131878044384</v>
      </c>
      <c r="M45" s="18">
        <v>114.404554292702</v>
      </c>
      <c r="N45" s="19">
        <v>0</v>
      </c>
      <c r="O45" s="1">
        <v>4</v>
      </c>
      <c r="P45" s="33">
        <v>3</v>
      </c>
      <c r="Q45" s="4">
        <v>1</v>
      </c>
    </row>
    <row r="46" spans="3:17" hidden="1" x14ac:dyDescent="0.35">
      <c r="C46" s="42" t="s">
        <v>34</v>
      </c>
      <c r="D46" s="4" t="s">
        <v>13</v>
      </c>
      <c r="E46" s="4">
        <v>298.14999999999998</v>
      </c>
      <c r="F46" s="4">
        <v>398</v>
      </c>
      <c r="G46" s="18">
        <v>0.1962595465752601</v>
      </c>
      <c r="H46" s="19">
        <v>18.555499584494658</v>
      </c>
      <c r="I46" s="18">
        <v>4.881231583378435</v>
      </c>
      <c r="J46" s="19">
        <v>0</v>
      </c>
      <c r="K46" s="18">
        <v>0.14553391965842802</v>
      </c>
      <c r="L46" s="19">
        <v>0</v>
      </c>
      <c r="M46" s="18">
        <v>0</v>
      </c>
      <c r="N46" s="19">
        <v>0</v>
      </c>
      <c r="O46" s="1">
        <v>4</v>
      </c>
      <c r="P46" s="33">
        <v>3</v>
      </c>
      <c r="Q46" s="4">
        <v>1</v>
      </c>
    </row>
    <row r="47" spans="3:17" hidden="1" x14ac:dyDescent="0.35">
      <c r="C47" s="42" t="s">
        <v>12</v>
      </c>
      <c r="D47" s="4" t="s">
        <v>2</v>
      </c>
      <c r="E47" s="4">
        <v>298.14999999999998</v>
      </c>
      <c r="F47" s="4">
        <v>1500</v>
      </c>
      <c r="G47" s="18">
        <v>1.6083639999999999</v>
      </c>
      <c r="H47" s="19">
        <v>46.654719999999998</v>
      </c>
      <c r="I47" s="18">
        <v>6.370749</v>
      </c>
      <c r="J47" s="19">
        <v>-1.7220000000000001E-4</v>
      </c>
      <c r="K47" s="18">
        <v>6.049562E-2</v>
      </c>
      <c r="L47" s="19">
        <v>-20.810030000000001</v>
      </c>
      <c r="M47" s="18">
        <v>56.994140000000002</v>
      </c>
      <c r="N47" s="19">
        <v>-73.985680000000002</v>
      </c>
      <c r="O47" s="10">
        <v>1</v>
      </c>
      <c r="P47" s="34"/>
      <c r="Q47" s="4">
        <v>1</v>
      </c>
    </row>
    <row r="48" spans="3:17" hidden="1" x14ac:dyDescent="0.35">
      <c r="C48" s="42" t="s">
        <v>12</v>
      </c>
      <c r="D48" s="4" t="s">
        <v>2</v>
      </c>
      <c r="E48" s="4">
        <v>1500</v>
      </c>
      <c r="F48" s="4">
        <v>6000</v>
      </c>
      <c r="G48" s="18">
        <v>1.6083639999999999</v>
      </c>
      <c r="H48" s="19">
        <v>41.393599999999999</v>
      </c>
      <c r="I48" s="18">
        <v>4.6638549999999999</v>
      </c>
      <c r="J48" s="19">
        <v>-1.334432E-3</v>
      </c>
      <c r="K48" s="18">
        <v>3.6780319999999998E-2</v>
      </c>
      <c r="L48" s="19">
        <v>0.98545360000000004</v>
      </c>
      <c r="M48" s="18">
        <v>-0.13838919999999999</v>
      </c>
      <c r="N48" s="19">
        <v>-0.2247374</v>
      </c>
      <c r="O48" s="10">
        <v>1</v>
      </c>
      <c r="P48" s="34"/>
      <c r="Q48" s="4">
        <v>1</v>
      </c>
    </row>
    <row r="49" spans="3:17" hidden="1" x14ac:dyDescent="0.35">
      <c r="C49" s="42" t="s">
        <v>11</v>
      </c>
      <c r="D49" s="4" t="s">
        <v>2</v>
      </c>
      <c r="E49" s="4">
        <v>298.14999999999998</v>
      </c>
      <c r="F49" s="4">
        <v>1500</v>
      </c>
      <c r="G49" s="18">
        <v>1.9782420000000001</v>
      </c>
      <c r="H49" s="19">
        <v>54.51784</v>
      </c>
      <c r="I49" s="18">
        <v>6.89046</v>
      </c>
      <c r="J49" s="19">
        <v>-1.736525E-4</v>
      </c>
      <c r="K49" s="18">
        <v>5.6347979999999999E-2</v>
      </c>
      <c r="L49" s="19">
        <v>1.1843140000000001</v>
      </c>
      <c r="M49" s="18">
        <v>-3.094471</v>
      </c>
      <c r="N49" s="19">
        <v>4.1616710000000001</v>
      </c>
      <c r="O49" s="10">
        <v>1</v>
      </c>
      <c r="P49" s="34"/>
      <c r="Q49" s="4">
        <v>1</v>
      </c>
    </row>
    <row r="50" spans="3:17" hidden="1" x14ac:dyDescent="0.35">
      <c r="C50" s="42" t="s">
        <v>11</v>
      </c>
      <c r="D50" s="4" t="s">
        <v>2</v>
      </c>
      <c r="E50" s="4">
        <v>1500</v>
      </c>
      <c r="F50" s="4">
        <v>6000</v>
      </c>
      <c r="G50" s="18">
        <v>1.9782420000000001</v>
      </c>
      <c r="H50" s="19">
        <v>54.816650000000003</v>
      </c>
      <c r="I50" s="18">
        <v>7.0000840000000002</v>
      </c>
      <c r="J50" s="19">
        <v>-2.193664E-4</v>
      </c>
      <c r="K50" s="18">
        <v>6.1325909999999997E-2</v>
      </c>
      <c r="L50" s="19">
        <v>3.7539989999999998E-4</v>
      </c>
      <c r="M50" s="18">
        <v>-1.8322499999999999E-4</v>
      </c>
      <c r="N50" s="19">
        <v>4.3410669999999999E-5</v>
      </c>
      <c r="O50" s="10">
        <v>1</v>
      </c>
      <c r="P50" s="34"/>
      <c r="Q50" s="4">
        <v>1</v>
      </c>
    </row>
    <row r="51" spans="3:17" hidden="1" x14ac:dyDescent="0.35">
      <c r="C51" s="42" t="s">
        <v>10</v>
      </c>
      <c r="D51" s="4" t="s">
        <v>2</v>
      </c>
      <c r="E51" s="4">
        <v>298.14999999999998</v>
      </c>
      <c r="F51" s="4">
        <v>1500</v>
      </c>
      <c r="G51" s="18">
        <v>1.7796749999999999</v>
      </c>
      <c r="H51" s="19">
        <v>65.627989999999997</v>
      </c>
      <c r="I51" s="18">
        <v>9.8077830000000006</v>
      </c>
      <c r="J51" s="19">
        <v>-2.9475889999999998E-4</v>
      </c>
      <c r="K51" s="18">
        <v>0.1005359</v>
      </c>
      <c r="L51" s="19">
        <v>2.0750869999999999</v>
      </c>
      <c r="M51" s="18">
        <v>-5.417872</v>
      </c>
      <c r="N51" s="19">
        <v>7.2822940000000003</v>
      </c>
      <c r="O51" s="10">
        <v>1</v>
      </c>
      <c r="P51" s="34"/>
      <c r="Q51" s="4">
        <v>1</v>
      </c>
    </row>
    <row r="52" spans="3:17" hidden="1" x14ac:dyDescent="0.35">
      <c r="C52" s="42" t="s">
        <v>10</v>
      </c>
      <c r="D52" s="4" t="s">
        <v>2</v>
      </c>
      <c r="E52" s="4">
        <v>1500</v>
      </c>
      <c r="F52" s="4">
        <v>6000</v>
      </c>
      <c r="G52" s="18">
        <v>1.7796749999999999</v>
      </c>
      <c r="H52" s="19">
        <v>66.151300000000006</v>
      </c>
      <c r="I52" s="18">
        <v>9.9996779999999994</v>
      </c>
      <c r="J52" s="19">
        <v>-3.7359040000000001E-4</v>
      </c>
      <c r="K52" s="18">
        <v>0.1092219</v>
      </c>
      <c r="L52" s="19">
        <v>1.8328540000000001E-3</v>
      </c>
      <c r="M52" s="18">
        <v>-1.155547E-3</v>
      </c>
      <c r="N52" s="19">
        <v>3.7609010000000002E-4</v>
      </c>
      <c r="O52" s="10">
        <v>1</v>
      </c>
      <c r="P52" s="34"/>
      <c r="Q52" s="4">
        <v>1</v>
      </c>
    </row>
    <row r="53" spans="3:17" hidden="1" x14ac:dyDescent="0.35">
      <c r="C53" s="42" t="s">
        <v>9</v>
      </c>
      <c r="D53" s="4" t="s">
        <v>2</v>
      </c>
      <c r="E53" s="4">
        <v>298.14999999999998</v>
      </c>
      <c r="F53" s="4">
        <v>1500</v>
      </c>
      <c r="G53" s="18">
        <v>1.593137</v>
      </c>
      <c r="H53" s="19">
        <v>82.10181</v>
      </c>
      <c r="I53" s="18">
        <v>12.889200000000001</v>
      </c>
      <c r="J53" s="19">
        <v>-2.7534359999999998E-4</v>
      </c>
      <c r="K53" s="18">
        <v>0.11292489999999999</v>
      </c>
      <c r="L53" s="19">
        <v>1.2045049999999999</v>
      </c>
      <c r="M53" s="18">
        <v>-3.1549330000000002</v>
      </c>
      <c r="N53" s="19">
        <v>4.2508710000000001</v>
      </c>
      <c r="O53" s="7">
        <v>1</v>
      </c>
      <c r="P53" s="34"/>
      <c r="Q53" s="4">
        <v>1</v>
      </c>
    </row>
    <row r="54" spans="3:17" hidden="1" x14ac:dyDescent="0.35">
      <c r="C54" s="42" t="s">
        <v>9</v>
      </c>
      <c r="D54" s="4" t="s">
        <v>2</v>
      </c>
      <c r="E54" s="4">
        <v>1500</v>
      </c>
      <c r="F54" s="4">
        <v>6000</v>
      </c>
      <c r="G54" s="18">
        <v>1.593137</v>
      </c>
      <c r="H54" s="19">
        <v>82.404619999999994</v>
      </c>
      <c r="I54" s="18">
        <v>12.999980000000001</v>
      </c>
      <c r="J54" s="19">
        <v>-3.1975439999999998E-4</v>
      </c>
      <c r="K54" s="18">
        <v>0.117897</v>
      </c>
      <c r="L54" s="19">
        <v>1.496076E-3</v>
      </c>
      <c r="M54" s="18">
        <v>-1.046272E-3</v>
      </c>
      <c r="N54" s="19">
        <v>3.8618760000000001E-4</v>
      </c>
      <c r="O54" s="7">
        <v>1</v>
      </c>
      <c r="P54" s="34"/>
      <c r="Q54" s="4">
        <v>1</v>
      </c>
    </row>
    <row r="55" spans="3:17" hidden="1" x14ac:dyDescent="0.35">
      <c r="C55" s="42" t="s">
        <v>8</v>
      </c>
      <c r="D55" s="4" t="s">
        <v>2</v>
      </c>
      <c r="E55" s="4">
        <v>298.14999999999998</v>
      </c>
      <c r="F55" s="4">
        <v>1500</v>
      </c>
      <c r="G55" s="18">
        <v>1.310376</v>
      </c>
      <c r="H55" s="19">
        <v>92.080410000000001</v>
      </c>
      <c r="I55" s="18">
        <v>15.90657</v>
      </c>
      <c r="J55" s="19">
        <v>-3.1941130000000002E-4</v>
      </c>
      <c r="K55" s="18">
        <v>0.14695030000000001</v>
      </c>
      <c r="L55" s="19">
        <v>1.017784</v>
      </c>
      <c r="M55" s="18">
        <v>-2.6653210000000001</v>
      </c>
      <c r="N55" s="19">
        <v>3.5898659999999998</v>
      </c>
      <c r="O55" s="7">
        <v>1</v>
      </c>
      <c r="P55" s="34"/>
      <c r="Q55" s="4">
        <v>1</v>
      </c>
    </row>
    <row r="56" spans="3:17" hidden="1" x14ac:dyDescent="0.35">
      <c r="C56" s="42" t="s">
        <v>8</v>
      </c>
      <c r="D56" s="4" t="s">
        <v>2</v>
      </c>
      <c r="E56" s="4">
        <v>1500</v>
      </c>
      <c r="F56" s="4">
        <v>6000</v>
      </c>
      <c r="G56" s="18">
        <v>1.310376</v>
      </c>
      <c r="H56" s="19">
        <v>92.335269999999994</v>
      </c>
      <c r="I56" s="18">
        <v>15.99952</v>
      </c>
      <c r="J56" s="19">
        <v>-3.5474159999999999E-4</v>
      </c>
      <c r="K56" s="18">
        <v>0.151062</v>
      </c>
      <c r="L56" s="19">
        <v>3.4559289999999999E-3</v>
      </c>
      <c r="M56" s="18">
        <v>-2.5853989999999999E-3</v>
      </c>
      <c r="N56" s="19">
        <v>9.828650999999999E-4</v>
      </c>
      <c r="O56" s="7">
        <v>1</v>
      </c>
      <c r="P56" s="34"/>
      <c r="Q56" s="4">
        <v>1</v>
      </c>
    </row>
    <row r="57" spans="3:17" hidden="1" x14ac:dyDescent="0.35">
      <c r="C57" s="42" t="s">
        <v>7</v>
      </c>
      <c r="D57" s="4" t="s">
        <v>2</v>
      </c>
      <c r="E57" s="4">
        <v>298.14999999999998</v>
      </c>
      <c r="F57" s="4">
        <v>1500</v>
      </c>
      <c r="G57" s="18">
        <v>1.3764209999999999</v>
      </c>
      <c r="H57" s="19">
        <v>106.2873</v>
      </c>
      <c r="I57" s="18">
        <v>18.87481</v>
      </c>
      <c r="J57" s="19">
        <v>-3.9471889999999999E-4</v>
      </c>
      <c r="K57" s="18">
        <v>0.18061250000000001</v>
      </c>
      <c r="L57" s="19">
        <v>1.363551</v>
      </c>
      <c r="M57" s="18">
        <v>-3.5720109999999998</v>
      </c>
      <c r="N57" s="19">
        <v>4.8116719999999997</v>
      </c>
      <c r="O57" s="7">
        <v>1</v>
      </c>
      <c r="P57" s="34"/>
      <c r="Q57" s="4">
        <v>1</v>
      </c>
    </row>
    <row r="58" spans="3:17" hidden="1" x14ac:dyDescent="0.35">
      <c r="C58" s="42" t="s">
        <v>7</v>
      </c>
      <c r="D58" s="4" t="s">
        <v>2</v>
      </c>
      <c r="E58" s="4">
        <v>1500</v>
      </c>
      <c r="F58" s="4">
        <v>6000</v>
      </c>
      <c r="G58" s="18">
        <v>1.3764209999999999</v>
      </c>
      <c r="H58" s="19">
        <v>106.6301</v>
      </c>
      <c r="I58" s="18">
        <v>19.000219999999999</v>
      </c>
      <c r="J58" s="19">
        <v>-4.455711E-4</v>
      </c>
      <c r="K58" s="18">
        <v>0.18625030000000001</v>
      </c>
      <c r="L58" s="19">
        <v>1.466539E-3</v>
      </c>
      <c r="M58" s="18">
        <v>-9.910276E-4</v>
      </c>
      <c r="N58" s="19">
        <v>3.4599259999999998E-4</v>
      </c>
      <c r="O58" s="7">
        <v>1</v>
      </c>
      <c r="P58" s="34"/>
      <c r="Q58" s="4">
        <v>1</v>
      </c>
    </row>
    <row r="59" spans="3:17" ht="24.75" hidden="1" customHeight="1" x14ac:dyDescent="0.35">
      <c r="C59" s="42" t="s">
        <v>6</v>
      </c>
      <c r="D59" s="4" t="s">
        <v>2</v>
      </c>
      <c r="E59" s="4">
        <v>298.14999999999998</v>
      </c>
      <c r="F59" s="4">
        <v>1500</v>
      </c>
      <c r="G59" s="18">
        <v>1.4184099999999999</v>
      </c>
      <c r="H59" s="19">
        <v>118.3836</v>
      </c>
      <c r="I59" s="18">
        <v>21.846499999999999</v>
      </c>
      <c r="J59" s="19">
        <v>-4.55196E-4</v>
      </c>
      <c r="K59" s="18">
        <v>0.2049985</v>
      </c>
      <c r="L59" s="19">
        <v>1.669807</v>
      </c>
      <c r="M59" s="18">
        <v>-4.3705270000000001</v>
      </c>
      <c r="N59" s="19">
        <v>5.8827660000000002</v>
      </c>
      <c r="O59" s="7">
        <v>1</v>
      </c>
      <c r="P59" s="34"/>
      <c r="Q59" s="4">
        <v>1</v>
      </c>
    </row>
    <row r="60" spans="3:17" hidden="1" x14ac:dyDescent="0.35">
      <c r="C60" s="42" t="s">
        <v>6</v>
      </c>
      <c r="D60" s="4" t="s">
        <v>2</v>
      </c>
      <c r="E60" s="4">
        <v>1500</v>
      </c>
      <c r="F60" s="4">
        <v>6000</v>
      </c>
      <c r="G60" s="18">
        <v>1.4184099999999999</v>
      </c>
      <c r="H60" s="19">
        <v>118.80549999999999</v>
      </c>
      <c r="I60" s="18">
        <v>22.001380000000001</v>
      </c>
      <c r="J60" s="19">
        <v>-5.2171050000000005E-4</v>
      </c>
      <c r="K60" s="18">
        <v>0.21207509999999999</v>
      </c>
      <c r="L60" s="19">
        <v>-2.09779E-3</v>
      </c>
      <c r="M60" s="18">
        <v>1.840469E-3</v>
      </c>
      <c r="N60" s="19">
        <v>-7.697003E-4</v>
      </c>
      <c r="O60" s="7">
        <v>1</v>
      </c>
      <c r="P60" s="34"/>
      <c r="Q60" s="4">
        <v>1</v>
      </c>
    </row>
    <row r="61" spans="3:17" hidden="1" x14ac:dyDescent="0.35">
      <c r="C61" s="42" t="s">
        <v>18</v>
      </c>
      <c r="D61" s="46" t="s">
        <v>13</v>
      </c>
      <c r="E61" s="5">
        <v>298.14999999999998</v>
      </c>
      <c r="F61" s="4">
        <v>398</v>
      </c>
      <c r="G61" s="18">
        <v>-2.2040892416862103</v>
      </c>
      <c r="H61" s="19">
        <v>13.586866317878405</v>
      </c>
      <c r="I61" s="18">
        <v>0</v>
      </c>
      <c r="J61" s="19">
        <v>0</v>
      </c>
      <c r="K61" s="18">
        <v>0</v>
      </c>
      <c r="L61" s="19">
        <v>0</v>
      </c>
      <c r="M61" s="18">
        <v>0</v>
      </c>
      <c r="N61" s="19">
        <v>0</v>
      </c>
      <c r="O61" s="1">
        <v>4</v>
      </c>
      <c r="P61" s="33"/>
      <c r="Q61" s="4">
        <v>1</v>
      </c>
    </row>
    <row r="62" spans="3:17" x14ac:dyDescent="0.35">
      <c r="C62" s="4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7" x14ac:dyDescent="0.35">
      <c r="C63" s="4"/>
      <c r="D63" s="5"/>
      <c r="E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7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</row>
    <row r="65" spans="1:26" x14ac:dyDescent="0.35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</row>
    <row r="66" spans="1:2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</row>
    <row r="67" spans="1:2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1:2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1:2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1:2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1:2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1:2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1:2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1:2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1:2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1:2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1:2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1:26" s="1" customFormat="1" x14ac:dyDescent="0.35">
      <c r="A78" s="3"/>
      <c r="B78" s="3"/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  <c r="P78"/>
      <c r="Q78"/>
      <c r="R78"/>
      <c r="S78"/>
      <c r="T78"/>
      <c r="U78"/>
      <c r="V78"/>
      <c r="W78"/>
      <c r="X78"/>
      <c r="Y78"/>
      <c r="Z78"/>
    </row>
    <row r="79" spans="1:26" s="1" customFormat="1" x14ac:dyDescent="0.35">
      <c r="A79" s="3"/>
      <c r="B79" s="3"/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  <c r="P79"/>
      <c r="Q79"/>
      <c r="R79"/>
      <c r="S79"/>
      <c r="T79"/>
      <c r="U79"/>
      <c r="V79"/>
      <c r="W79"/>
      <c r="X79"/>
      <c r="Y79"/>
      <c r="Z79"/>
    </row>
    <row r="80" spans="1:26" s="1" customFormat="1" x14ac:dyDescent="0.35">
      <c r="A80" s="3"/>
      <c r="B80" s="3"/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</sheetData>
  <sheetProtection formatCells="0" formatColumns="0" formatRows="0" insertColumns="0" insertRows="0" deleteRows="0" sort="0" autoFilter="0"/>
  <conditionalFormatting sqref="O3:O61">
    <cfRule type="cellIs" dxfId="26" priority="10" operator="equal">
      <formula>1</formula>
    </cfRule>
    <cfRule type="cellIs" dxfId="25" priority="14" operator="equal">
      <formula>2</formula>
    </cfRule>
    <cfRule type="cellIs" dxfId="24" priority="15" operator="equal">
      <formula>3</formula>
    </cfRule>
    <cfRule type="cellIs" dxfId="23" priority="16" operator="equal">
      <formula>4</formula>
    </cfRule>
    <cfRule type="cellIs" dxfId="22" priority="17" operator="equal">
      <formula>5</formula>
    </cfRule>
  </conditionalFormatting>
  <conditionalFormatting sqref="P3:P61">
    <cfRule type="cellIs" dxfId="21" priority="11" operator="equal">
      <formula>1</formula>
    </cfRule>
    <cfRule type="cellIs" dxfId="20" priority="12" operator="equal">
      <formula>2</formula>
    </cfRule>
    <cfRule type="cellIs" dxfId="19" priority="13" operator="equal">
      <formula>3</formula>
    </cfRule>
  </conditionalFormatting>
  <conditionalFormatting sqref="Q3:Q61">
    <cfRule type="cellIs" dxfId="18" priority="1" operator="equal">
      <formula>0</formula>
    </cfRule>
    <cfRule type="cellIs" dxfId="17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2021-04-11T21:27:28Z</dcterms:modified>
</cp:coreProperties>
</file>