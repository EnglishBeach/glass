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74124D11-1525-468F-96B4-AADF2F47E79B}" xr6:coauthVersionLast="46" xr6:coauthVersionMax="46" xr10:uidLastSave="{00000000-0000-0000-0000-000000000000}"/>
  <bookViews>
    <workbookView xWindow="28680" yWindow="-120" windowWidth="29040" windowHeight="15990" xr2:uid="{00000000-000D-0000-FFFF-FFFF00000000}"/>
  </bookViews>
  <sheets>
    <sheet name="CTC" sheetId="1" r:id="rId1"/>
  </sheets>
  <definedNames>
    <definedName name="_xlnm._FilterDatabase" localSheetId="0" hidden="1">CTC!$C$2:$P$72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00000000-0006-0000-0000-000001000000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00000000-0006-0000-0000-000002000000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00000000-0006-0000-0000-000003000000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00000000-0006-0000-0000-000004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<sst xmlns="http://schemas.openxmlformats.org/spreadsheetml/2006/main" count="155" uniqueCount="39">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</sst>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9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4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0" borderId="4" xfId="0" applyFont="1" applyFill="1" applyBorder="1"/>
    <xf numFmtId="11" fontId="6" fillId="0" borderId="0" xfId="5" applyFont="1" applyFill="1" applyBorder="1">
      <alignment vertical="top"/>
    </xf>
    <xf numFmtId="1" fontId="3" fillId="0" borderId="0" xfId="0" applyNumberFormat="1" applyFont="1" applyAlignment="1">
      <alignment horizontal="left"/>
    </xf>
    <xf numFmtId="0" fontId="3" fillId="6" borderId="0" xfId="0" applyNumberFormat="1" applyFont="1" applyFill="1" applyAlignment="1" applyProtection="1">
      <alignment horizontal="left"/>
      <protection locked="0"/>
    </xf>
    <xf numFmtId="0" fontId="0" fillId="0" borderId="0" xfId="0" applyFill="1"/>
  </cellXfs>
  <cellStyles count="7">
    <cellStyle name="Заголовок" xfId="6" xr:uid="{00000000-0005-0000-0000-000000000000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00000000-0005-0000-0000-000006000000}"/>
  </cellStyles>
  <dxfs count="72"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4" formatCode="0.0000E+00"/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716" displayName="Таблица716" ref="C2:Q72" totalsRowShown="0" headerRowDxfId="36" dataDxfId="35">
  <autoFilter ref="C2:Q72" xr:uid="{00000000-0009-0000-0100-000001000000}">
    <filterColumn colId="0" hiddenButton="1">
      <filters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72">
    <sortCondition ref="C3:C72"/>
    <sortCondition descending="1" ref="D3:D72"/>
    <sortCondition ref="Q3:Q72"/>
    <sortCondition ref="O3:O72"/>
    <sortCondition ref="E3:E72"/>
  </sortState>
  <tableColumns count="15">
    <tableColumn id="1" xr3:uid="{00000000-0010-0000-0000-000001000000}" name="Названиe" dataDxfId="0"/>
    <tableColumn id="2" xr3:uid="{00000000-0010-0000-0000-000002000000}" name="Ф          if &quot;?&quot; =&gt; not &quot;g&quot;" dataDxfId="1"/>
    <tableColumn id="3" xr3:uid="{00000000-0010-0000-0000-000003000000}" name="To К" dataDxfId="34"/>
    <tableColumn id="4" xr3:uid="{00000000-0010-0000-0000-000004000000}" name="T К" dataDxfId="33"/>
    <tableColumn id="5" xr3:uid="{00000000-0010-0000-0000-000005000000}" name="ho" dataDxfId="32"/>
    <tableColumn id="6" xr3:uid="{00000000-0010-0000-0000-000006000000}" name="ф1" dataDxfId="31"/>
    <tableColumn id="7" xr3:uid="{00000000-0010-0000-0000-000007000000}" name="ф2 *lnX" dataDxfId="30"/>
    <tableColumn id="8" xr3:uid="{00000000-0010-0000-0000-000008000000}" name="ф3 *X^(-2)" dataDxfId="29"/>
    <tableColumn id="9" xr3:uid="{00000000-0010-0000-0000-000009000000}" name="ф4 *X^(-1)" dataDxfId="28"/>
    <tableColumn id="10" xr3:uid="{00000000-0010-0000-0000-00000A000000}" name="ф5 *X" dataDxfId="27"/>
    <tableColumn id="11" xr3:uid="{00000000-0010-0000-0000-00000B000000}" name="ф6 *X^2" dataDxfId="26"/>
    <tableColumn id="12" xr3:uid="{00000000-0010-0000-0000-00000C000000}" name="ф7 *Х^3" dataDxfId="25"/>
    <tableColumn id="13" xr3:uid="{00000000-0010-0000-0000-00000D000000}" name="Т " dataDxfId="24"/>
    <tableColumn id="14" xr3:uid="{00000000-0010-0000-0000-00000E000000}" name="М    " dataDxfId="23"/>
    <tableColumn id="15" xr3:uid="{00000000-0010-0000-0000-00000F000000}" name="С" dataDxfId="22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FF0000"/>
  </sheetPr>
  <dimension ref="A1:Z23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C1" sqref="C1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6" customWidth="1" outlineLevel="1"/>
    <col min="10" max="10" width="11.36328125" style="16" customWidth="1" outlineLevel="1"/>
    <col min="11" max="14" width="11.81640625" style="16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5"/>
    </row>
    <row r="2" spans="1:18" ht="24.75" thickTop="1" thickBot="1" x14ac:dyDescent="0.4">
      <c r="A2"/>
      <c r="B2" s="12"/>
      <c r="C2" s="26" t="s">
        <v>30</v>
      </c>
      <c r="D2" s="27" t="s">
        <v>29</v>
      </c>
      <c r="E2" s="28" t="s">
        <v>28</v>
      </c>
      <c r="F2" s="29" t="s">
        <v>27</v>
      </c>
      <c r="G2" s="29" t="s">
        <v>26</v>
      </c>
      <c r="H2" s="29" t="s">
        <v>25</v>
      </c>
      <c r="I2" s="29" t="s">
        <v>24</v>
      </c>
      <c r="J2" s="29" t="s">
        <v>23</v>
      </c>
      <c r="K2" s="29" t="s">
        <v>22</v>
      </c>
      <c r="L2" s="29" t="s">
        <v>21</v>
      </c>
      <c r="M2" s="29" t="s">
        <v>20</v>
      </c>
      <c r="N2" s="29" t="s">
        <v>19</v>
      </c>
      <c r="O2" s="30" t="s">
        <v>35</v>
      </c>
      <c r="P2" s="31" t="s">
        <v>36</v>
      </c>
      <c r="Q2" s="41" t="s">
        <v>37</v>
      </c>
      <c r="R2" s="39">
        <f>COUNTA(O3:O239)</f>
        <v>70</v>
      </c>
    </row>
    <row r="3" spans="1:18" ht="24" hidden="1" thickTop="1" x14ac:dyDescent="0.35">
      <c r="A3"/>
      <c r="B3" s="12"/>
      <c r="C3" s="33" t="s">
        <v>4</v>
      </c>
      <c r="D3" s="4" t="s">
        <v>13</v>
      </c>
      <c r="E3" s="4">
        <v>298.14999999999998</v>
      </c>
      <c r="F3" s="4">
        <v>303</v>
      </c>
      <c r="G3" s="19">
        <v>0</v>
      </c>
      <c r="H3" s="20">
        <v>12.825050670258605</v>
      </c>
      <c r="I3" s="19">
        <v>3.1511215346683503</v>
      </c>
      <c r="J3" s="20">
        <v>0</v>
      </c>
      <c r="K3" s="19">
        <v>9.3950688556136863E-2</v>
      </c>
      <c r="L3" s="20">
        <v>0</v>
      </c>
      <c r="M3" s="19">
        <v>0</v>
      </c>
      <c r="N3" s="20">
        <v>0</v>
      </c>
      <c r="O3" s="13">
        <v>2</v>
      </c>
      <c r="P3" s="32"/>
      <c r="Q3" s="4">
        <v>1</v>
      </c>
    </row>
    <row r="4" spans="1:18" ht="24" hidden="1" thickTop="1" x14ac:dyDescent="0.35">
      <c r="A4"/>
      <c r="B4" s="12"/>
      <c r="C4" s="33" t="s">
        <v>4</v>
      </c>
      <c r="D4" s="4" t="s">
        <v>13</v>
      </c>
      <c r="E4" s="4">
        <v>302.92</v>
      </c>
      <c r="F4" s="4">
        <v>4000</v>
      </c>
      <c r="G4" s="17">
        <v>-6.7018670000000002E-2</v>
      </c>
      <c r="H4" s="18">
        <v>15.167669999999999</v>
      </c>
      <c r="I4" s="17">
        <v>3.135516</v>
      </c>
      <c r="J4" s="18">
        <v>1.4234849999999999E-4</v>
      </c>
      <c r="K4" s="17">
        <v>-5.0186000000000001E-2</v>
      </c>
      <c r="L4" s="18">
        <v>-0.18101780000000001</v>
      </c>
      <c r="M4" s="17">
        <v>0.48311500000000002</v>
      </c>
      <c r="N4" s="18">
        <v>0</v>
      </c>
      <c r="O4" s="6">
        <v>1</v>
      </c>
      <c r="P4" s="4"/>
      <c r="Q4" s="4"/>
    </row>
    <row r="5" spans="1:18" ht="24" hidden="1" thickTop="1" x14ac:dyDescent="0.35">
      <c r="A5"/>
      <c r="B5" s="11"/>
      <c r="C5" s="33" t="s">
        <v>4</v>
      </c>
      <c r="D5" s="4" t="s">
        <v>13</v>
      </c>
      <c r="E5" s="4">
        <v>298.14999999999998</v>
      </c>
      <c r="F5" s="4">
        <v>302.92</v>
      </c>
      <c r="G5" s="17">
        <v>-6.7018670000000002E-2</v>
      </c>
      <c r="H5" s="18">
        <v>-1611406</v>
      </c>
      <c r="I5" s="17">
        <v>-370772.3</v>
      </c>
      <c r="J5" s="18">
        <v>0</v>
      </c>
      <c r="K5" s="17">
        <v>-2763.64</v>
      </c>
      <c r="L5" s="18">
        <v>18653810</v>
      </c>
      <c r="M5" s="17">
        <v>-208550600</v>
      </c>
      <c r="N5" s="18">
        <v>1165804000</v>
      </c>
      <c r="O5" s="6">
        <v>5</v>
      </c>
      <c r="P5" s="33"/>
      <c r="Q5" s="4"/>
    </row>
    <row r="6" spans="1:18" ht="24" hidden="1" thickTop="1" x14ac:dyDescent="0.35">
      <c r="A6"/>
      <c r="B6" s="11"/>
      <c r="C6" s="33" t="s">
        <v>4</v>
      </c>
      <c r="D6" s="4" t="s">
        <v>13</v>
      </c>
      <c r="E6" s="4">
        <v>302.92</v>
      </c>
      <c r="F6" s="4">
        <v>4000</v>
      </c>
      <c r="G6" s="17">
        <v>-6.7018670000000002E-2</v>
      </c>
      <c r="H6" s="18">
        <v>15.167669999999999</v>
      </c>
      <c r="I6" s="17">
        <v>3.135516</v>
      </c>
      <c r="J6" s="18">
        <v>1.4234849999999999E-4</v>
      </c>
      <c r="K6" s="17">
        <v>-5.0186000000000001E-2</v>
      </c>
      <c r="L6" s="18">
        <v>-0.18101780000000001</v>
      </c>
      <c r="M6" s="17">
        <v>0.48311500000000002</v>
      </c>
      <c r="N6" s="18">
        <v>0</v>
      </c>
      <c r="O6" s="6">
        <v>5</v>
      </c>
      <c r="P6" s="33"/>
      <c r="Q6" s="4"/>
    </row>
    <row r="7" spans="1:18" ht="24" hidden="1" thickTop="1" x14ac:dyDescent="0.35">
      <c r="A7"/>
      <c r="B7" s="11"/>
      <c r="C7" s="33" t="s">
        <v>4</v>
      </c>
      <c r="D7" s="43" t="s">
        <v>0</v>
      </c>
      <c r="E7" s="4">
        <v>303</v>
      </c>
      <c r="F7" s="4">
        <v>700</v>
      </c>
      <c r="G7" s="17">
        <v>6.8554934151181662E-2</v>
      </c>
      <c r="H7" s="18">
        <v>14.620447424512136</v>
      </c>
      <c r="I7" s="17">
        <v>2.9322268326417702</v>
      </c>
      <c r="J7" s="18">
        <v>1.8642131216549401E-4</v>
      </c>
      <c r="K7" s="17">
        <v>9.2508147786274225E-3</v>
      </c>
      <c r="L7" s="18">
        <v>1.3771122737386492</v>
      </c>
      <c r="M7" s="17">
        <v>0</v>
      </c>
      <c r="N7" s="18">
        <v>0</v>
      </c>
      <c r="O7" s="1">
        <v>2</v>
      </c>
      <c r="P7" s="33"/>
      <c r="Q7" s="4">
        <v>1</v>
      </c>
    </row>
    <row r="8" spans="1:18" ht="24" hidden="1" thickTop="1" x14ac:dyDescent="0.35">
      <c r="A8"/>
      <c r="B8" s="11"/>
      <c r="C8" s="33" t="s">
        <v>4</v>
      </c>
      <c r="D8" s="4" t="s">
        <v>0</v>
      </c>
      <c r="E8" s="4">
        <v>303</v>
      </c>
      <c r="F8" s="4">
        <v>699.99990000000003</v>
      </c>
      <c r="G8" s="17">
        <v>0</v>
      </c>
      <c r="H8" s="18">
        <v>14.61</v>
      </c>
      <c r="I8" s="17">
        <v>2.9321999999999999</v>
      </c>
      <c r="J8" s="18">
        <v>1.8641999999999999E-4</v>
      </c>
      <c r="K8" s="17">
        <v>9.2508020000000007E-3</v>
      </c>
      <c r="L8" s="18">
        <v>1.3771</v>
      </c>
      <c r="M8" s="17">
        <v>0</v>
      </c>
      <c r="N8" s="18">
        <v>0</v>
      </c>
      <c r="O8" s="6">
        <v>1</v>
      </c>
      <c r="P8" s="34"/>
      <c r="Q8" s="4"/>
    </row>
    <row r="9" spans="1:18" ht="24" hidden="1" thickTop="1" x14ac:dyDescent="0.35">
      <c r="A9"/>
      <c r="B9" s="11"/>
      <c r="C9" s="33" t="s">
        <v>4</v>
      </c>
      <c r="D9" s="4" t="s">
        <v>0</v>
      </c>
      <c r="E9" s="4">
        <v>302.91000000000003</v>
      </c>
      <c r="F9" s="4">
        <v>700</v>
      </c>
      <c r="G9" s="21">
        <v>6.7231944193878151E-2</v>
      </c>
      <c r="H9" s="22">
        <v>15.161939633818086</v>
      </c>
      <c r="I9" s="21">
        <v>3.1356064706236091</v>
      </c>
      <c r="J9" s="22">
        <v>1.4228155631727706E-4</v>
      </c>
      <c r="K9" s="21">
        <v>8.3943884453347564E-2</v>
      </c>
      <c r="L9" s="22">
        <v>-0.18461723495098922</v>
      </c>
      <c r="M9" s="21">
        <v>0.49311443863130677</v>
      </c>
      <c r="N9" s="22">
        <v>0</v>
      </c>
      <c r="O9" s="24">
        <v>4</v>
      </c>
      <c r="P9" s="33"/>
      <c r="Q9" s="4"/>
    </row>
    <row r="10" spans="1:18" ht="24" hidden="1" thickTop="1" x14ac:dyDescent="0.35">
      <c r="A10"/>
      <c r="B10" s="11"/>
      <c r="C10" s="33" t="s">
        <v>4</v>
      </c>
      <c r="D10" s="4" t="s">
        <v>0</v>
      </c>
      <c r="E10" s="4">
        <v>700</v>
      </c>
      <c r="F10" s="4">
        <v>4000</v>
      </c>
      <c r="G10" s="21">
        <v>6.7231944193878151E-2</v>
      </c>
      <c r="H10" s="22">
        <v>15.161231791276917</v>
      </c>
      <c r="I10" s="21">
        <v>3.1353659269950085</v>
      </c>
      <c r="J10" s="22">
        <v>1.4252209994587768E-4</v>
      </c>
      <c r="K10" s="21">
        <v>8.3930978142227303E-2</v>
      </c>
      <c r="L10" s="22">
        <v>-0.18100908052197964</v>
      </c>
      <c r="M10" s="21">
        <v>0.48309178743961351</v>
      </c>
      <c r="N10" s="22">
        <v>0</v>
      </c>
      <c r="O10" s="24">
        <v>4</v>
      </c>
      <c r="P10" s="33"/>
      <c r="Q10" s="4"/>
    </row>
    <row r="11" spans="1:18" ht="24" hidden="1" thickTop="1" x14ac:dyDescent="0.35">
      <c r="A11"/>
      <c r="B11" s="11"/>
      <c r="C11" s="33" t="s">
        <v>4</v>
      </c>
      <c r="D11" s="4" t="s">
        <v>0</v>
      </c>
      <c r="E11" s="4">
        <v>303</v>
      </c>
      <c r="F11" s="4">
        <v>700</v>
      </c>
      <c r="G11" s="17">
        <v>-6.7231949999999999E-2</v>
      </c>
      <c r="H11" s="18">
        <v>15.16194</v>
      </c>
      <c r="I11" s="17">
        <v>3.315607</v>
      </c>
      <c r="J11" s="18">
        <v>1.4229999999999999E-4</v>
      </c>
      <c r="K11" s="17">
        <v>8.3943879999999998E-2</v>
      </c>
      <c r="L11" s="18">
        <v>-0.18451719999999999</v>
      </c>
      <c r="M11" s="17">
        <v>0.49311440000000001</v>
      </c>
      <c r="N11" s="18">
        <v>0</v>
      </c>
      <c r="O11" s="46">
        <v>5</v>
      </c>
      <c r="P11" s="33"/>
      <c r="Q11" s="4"/>
    </row>
    <row r="12" spans="1:18" ht="24" hidden="1" thickTop="1" x14ac:dyDescent="0.35">
      <c r="A12"/>
      <c r="B12" s="11"/>
      <c r="C12" s="33" t="s">
        <v>4</v>
      </c>
      <c r="D12" s="4" t="s">
        <v>0</v>
      </c>
      <c r="E12" s="4">
        <v>303</v>
      </c>
      <c r="F12" s="4">
        <v>700</v>
      </c>
      <c r="G12" s="17">
        <v>-6.7231949999999999E-2</v>
      </c>
      <c r="H12" s="18">
        <v>15.16194</v>
      </c>
      <c r="I12" s="17">
        <v>3.315607</v>
      </c>
      <c r="J12" s="18">
        <v>1.4229999999999999E-4</v>
      </c>
      <c r="K12" s="17">
        <v>8.3943879999999998E-2</v>
      </c>
      <c r="L12" s="18">
        <v>-0.18451719999999999</v>
      </c>
      <c r="M12" s="17">
        <v>0.49311440000000001</v>
      </c>
      <c r="N12" s="18">
        <v>0</v>
      </c>
      <c r="O12" s="46">
        <v>5</v>
      </c>
      <c r="P12" s="32"/>
      <c r="Q12" s="4"/>
    </row>
    <row r="13" spans="1:18" ht="24" hidden="1" thickTop="1" x14ac:dyDescent="0.35">
      <c r="A13"/>
      <c r="B13" s="11"/>
      <c r="C13" s="33" t="s">
        <v>4</v>
      </c>
      <c r="D13" s="4" t="s">
        <v>0</v>
      </c>
      <c r="E13" s="4">
        <v>699.99990000000003</v>
      </c>
      <c r="F13" s="4">
        <v>4000.0010000000002</v>
      </c>
      <c r="G13" s="17">
        <v>-6.7231949999999999E-2</v>
      </c>
      <c r="H13" s="18">
        <v>15.16123</v>
      </c>
      <c r="I13" s="17">
        <v>3.1353659999999999</v>
      </c>
      <c r="J13" s="18">
        <v>1.4249999999999999E-4</v>
      </c>
      <c r="K13" s="17">
        <v>8.3929989999999996E-2</v>
      </c>
      <c r="L13" s="18">
        <v>-0.18099999999999999</v>
      </c>
      <c r="M13" s="17">
        <v>0.48299999999999998</v>
      </c>
      <c r="N13" s="18">
        <v>0</v>
      </c>
      <c r="O13" s="6">
        <v>5</v>
      </c>
      <c r="P13" s="33"/>
      <c r="Q13" s="4"/>
    </row>
    <row r="14" spans="1:18" ht="24" hidden="1" thickTop="1" x14ac:dyDescent="0.35">
      <c r="A14"/>
      <c r="C14" s="33" t="s">
        <v>4</v>
      </c>
      <c r="D14" s="43" t="s">
        <v>0</v>
      </c>
      <c r="E14" s="4">
        <v>699.99990000000003</v>
      </c>
      <c r="F14" s="4">
        <v>4000.0010000000002</v>
      </c>
      <c r="G14" s="17">
        <v>-6.7231949999999999E-2</v>
      </c>
      <c r="H14" s="18">
        <v>15.16123</v>
      </c>
      <c r="I14" s="17">
        <v>3.1353659999999999</v>
      </c>
      <c r="J14" s="18">
        <v>1.4249999999999999E-4</v>
      </c>
      <c r="K14" s="17">
        <v>8.3929989999999996E-2</v>
      </c>
      <c r="L14" s="18">
        <v>-0.18099999999999999</v>
      </c>
      <c r="M14" s="17">
        <v>0.48299999999999998</v>
      </c>
      <c r="N14" s="18">
        <v>0</v>
      </c>
      <c r="O14" s="6">
        <v>5</v>
      </c>
      <c r="P14" s="33"/>
      <c r="Q14" s="4"/>
    </row>
    <row r="15" spans="1:18" ht="24" hidden="1" thickTop="1" x14ac:dyDescent="0.35">
      <c r="A15"/>
      <c r="C15" s="33" t="s">
        <v>4</v>
      </c>
      <c r="D15" s="4" t="s">
        <v>2</v>
      </c>
      <c r="E15" s="4">
        <v>298.14999999999998</v>
      </c>
      <c r="F15" s="4">
        <v>1500</v>
      </c>
      <c r="G15" s="17">
        <v>3.192504</v>
      </c>
      <c r="H15" s="18">
        <v>33.995229999999999</v>
      </c>
      <c r="I15" s="17">
        <v>5.1932309999999999</v>
      </c>
      <c r="J15" s="18">
        <v>-4.8091060000000002E-4</v>
      </c>
      <c r="K15" s="17">
        <v>9.1439489999999998E-2</v>
      </c>
      <c r="L15" s="18">
        <v>-21.466670000000001</v>
      </c>
      <c r="M15" s="17">
        <v>42.981879999999997</v>
      </c>
      <c r="N15" s="18">
        <v>-45.813839999999999</v>
      </c>
      <c r="O15" s="7">
        <v>1</v>
      </c>
      <c r="P15" s="33"/>
      <c r="Q15" s="4">
        <v>1</v>
      </c>
    </row>
    <row r="16" spans="1:18" ht="24" hidden="1" thickTop="1" x14ac:dyDescent="0.35">
      <c r="A16"/>
      <c r="C16" s="33" t="s">
        <v>4</v>
      </c>
      <c r="D16" s="4" t="s">
        <v>2</v>
      </c>
      <c r="E16" s="4">
        <v>1500</v>
      </c>
      <c r="F16" s="4">
        <v>6000</v>
      </c>
      <c r="G16" s="19">
        <v>3.192504</v>
      </c>
      <c r="H16" s="20">
        <v>27.29757</v>
      </c>
      <c r="I16" s="19">
        <v>2.370241</v>
      </c>
      <c r="J16" s="20">
        <v>2.138671E-3</v>
      </c>
      <c r="K16" s="19">
        <v>-9.5885429999999994E-2</v>
      </c>
      <c r="L16" s="20">
        <v>0.51440149999999996</v>
      </c>
      <c r="M16" s="19">
        <v>-0.49555690000000002</v>
      </c>
      <c r="N16" s="20">
        <v>0.24712329999999999</v>
      </c>
      <c r="O16" s="8">
        <v>1</v>
      </c>
      <c r="P16" s="35"/>
      <c r="Q16" s="4">
        <v>1</v>
      </c>
    </row>
    <row r="17" spans="1:17" ht="24" hidden="1" thickTop="1" x14ac:dyDescent="0.35">
      <c r="A17"/>
      <c r="C17" s="33" t="s">
        <v>4</v>
      </c>
      <c r="D17" s="4" t="s">
        <v>2</v>
      </c>
      <c r="E17" s="4">
        <v>6000</v>
      </c>
      <c r="F17" s="4">
        <v>10000</v>
      </c>
      <c r="G17" s="17">
        <v>3.192504</v>
      </c>
      <c r="H17" s="18">
        <v>31.29327</v>
      </c>
      <c r="I17" s="17">
        <v>7.3013729999999999</v>
      </c>
      <c r="J17" s="18">
        <v>-9.3193609999999996E-2</v>
      </c>
      <c r="K17" s="17">
        <v>1.4353830000000001</v>
      </c>
      <c r="L17" s="18">
        <v>-7.4299809999999997</v>
      </c>
      <c r="M17" s="17">
        <v>2.6981959999999998</v>
      </c>
      <c r="N17" s="18">
        <v>-0.43421900000000002</v>
      </c>
      <c r="O17" s="7">
        <v>1</v>
      </c>
      <c r="P17" s="33"/>
      <c r="Q17" s="4">
        <v>1</v>
      </c>
    </row>
    <row r="18" spans="1:17" ht="24" hidden="1" thickTop="1" x14ac:dyDescent="0.35">
      <c r="A18"/>
      <c r="C18" s="33" t="s">
        <v>5</v>
      </c>
      <c r="D18" s="4" t="s">
        <v>2</v>
      </c>
      <c r="E18" s="4">
        <v>298.14999999999998</v>
      </c>
      <c r="F18" s="4">
        <v>1100</v>
      </c>
      <c r="G18" s="17">
        <v>5.2149859999999997</v>
      </c>
      <c r="H18" s="18">
        <v>41.701000000000001</v>
      </c>
      <c r="I18" s="17">
        <v>4.0561670000000003</v>
      </c>
      <c r="J18" s="18">
        <v>2.357301E-5</v>
      </c>
      <c r="K18" s="17">
        <v>0.12889</v>
      </c>
      <c r="L18" s="18">
        <v>11.272</v>
      </c>
      <c r="M18" s="17">
        <v>-9.1847989999999999</v>
      </c>
      <c r="N18" s="18">
        <v>0</v>
      </c>
      <c r="O18" s="6">
        <v>1</v>
      </c>
      <c r="P18" s="37"/>
      <c r="Q18" s="4">
        <v>1</v>
      </c>
    </row>
    <row r="19" spans="1:17" ht="24" hidden="1" thickTop="1" x14ac:dyDescent="0.35">
      <c r="A19"/>
      <c r="C19" s="33" t="s">
        <v>5</v>
      </c>
      <c r="D19" s="4" t="s">
        <v>2</v>
      </c>
      <c r="E19" s="4">
        <v>1100</v>
      </c>
      <c r="F19" s="4">
        <v>2500</v>
      </c>
      <c r="G19" s="21">
        <v>5.2149859999999997</v>
      </c>
      <c r="H19" s="22">
        <v>43.677999999999997</v>
      </c>
      <c r="I19" s="21">
        <v>4.8509000000000002</v>
      </c>
      <c r="J19" s="22">
        <v>-3.7446989999999998E-4</v>
      </c>
      <c r="K19" s="21">
        <v>0.1716596</v>
      </c>
      <c r="L19" s="22">
        <v>5.0346000000000002</v>
      </c>
      <c r="M19" s="21">
        <v>-0.32273000000000002</v>
      </c>
      <c r="N19" s="22">
        <v>0</v>
      </c>
      <c r="O19" s="23">
        <v>1</v>
      </c>
      <c r="P19" s="38"/>
      <c r="Q19" s="4">
        <v>1</v>
      </c>
    </row>
    <row r="20" spans="1:17" ht="24" hidden="1" thickTop="1" x14ac:dyDescent="0.35">
      <c r="A20"/>
      <c r="C20" s="33" t="s">
        <v>18</v>
      </c>
      <c r="D20" s="43" t="s">
        <v>13</v>
      </c>
      <c r="E20" s="43">
        <v>298.14999999999998</v>
      </c>
      <c r="F20" s="4">
        <v>398</v>
      </c>
      <c r="G20" s="17">
        <v>-2.2040892416862103</v>
      </c>
      <c r="H20" s="18">
        <v>13.586866317878405</v>
      </c>
      <c r="I20" s="17">
        <v>0</v>
      </c>
      <c r="J20" s="18">
        <v>0</v>
      </c>
      <c r="K20" s="17">
        <v>0</v>
      </c>
      <c r="L20" s="18">
        <v>0</v>
      </c>
      <c r="M20" s="17">
        <v>0</v>
      </c>
      <c r="N20" s="18">
        <v>0</v>
      </c>
      <c r="O20" s="1">
        <v>4</v>
      </c>
      <c r="P20" s="32"/>
      <c r="Q20" s="4">
        <v>1</v>
      </c>
    </row>
    <row r="21" spans="1:17" ht="24" hidden="1" thickTop="1" x14ac:dyDescent="0.35">
      <c r="A21"/>
      <c r="C21" s="33" t="s">
        <v>18</v>
      </c>
      <c r="D21" s="4" t="s">
        <v>13</v>
      </c>
      <c r="E21" s="4">
        <v>298</v>
      </c>
      <c r="F21" s="4">
        <v>2000</v>
      </c>
      <c r="G21" s="19">
        <v>-2.2009742016958325</v>
      </c>
      <c r="H21" s="20">
        <v>13.590715015936015</v>
      </c>
      <c r="I21" s="19">
        <v>0</v>
      </c>
      <c r="J21" s="20">
        <v>0</v>
      </c>
      <c r="K21" s="19">
        <v>0</v>
      </c>
      <c r="L21" s="20">
        <v>0</v>
      </c>
      <c r="M21" s="19">
        <v>0</v>
      </c>
      <c r="N21" s="20">
        <v>0</v>
      </c>
      <c r="O21" s="15">
        <v>2</v>
      </c>
      <c r="P21" s="32"/>
      <c r="Q21" s="4"/>
    </row>
    <row r="22" spans="1:17" ht="24" hidden="1" thickTop="1" x14ac:dyDescent="0.35">
      <c r="A22"/>
      <c r="C22" s="33" t="s">
        <v>18</v>
      </c>
      <c r="D22" s="4" t="s">
        <v>2</v>
      </c>
      <c r="E22" s="4">
        <v>298.14999999999998</v>
      </c>
      <c r="F22" s="4">
        <v>2000</v>
      </c>
      <c r="G22" s="17">
        <v>1.157</v>
      </c>
      <c r="H22" s="18">
        <v>55.30301</v>
      </c>
      <c r="I22" s="17">
        <v>6.9866000000000001</v>
      </c>
      <c r="J22" s="18">
        <v>-1.7438999999999999E-4</v>
      </c>
      <c r="K22" s="17">
        <v>0.22003</v>
      </c>
      <c r="L22" s="18">
        <v>3.0068000000000001E-2</v>
      </c>
      <c r="M22" s="17">
        <v>0</v>
      </c>
      <c r="N22" s="18">
        <v>0</v>
      </c>
      <c r="O22" s="9">
        <v>1</v>
      </c>
      <c r="P22" s="33"/>
      <c r="Q22" s="4">
        <v>1</v>
      </c>
    </row>
    <row r="23" spans="1:17" ht="24" hidden="1" thickTop="1" x14ac:dyDescent="0.35">
      <c r="A23"/>
      <c r="C23" s="33" t="s">
        <v>17</v>
      </c>
      <c r="D23" s="4" t="s">
        <v>13</v>
      </c>
      <c r="E23" s="4">
        <v>298.14999999999998</v>
      </c>
      <c r="F23" s="4">
        <v>1278</v>
      </c>
      <c r="G23" s="19">
        <v>-4.9166999999999996</v>
      </c>
      <c r="H23" s="20">
        <v>52.323990000000002</v>
      </c>
      <c r="I23" s="19">
        <v>12.715999999999999</v>
      </c>
      <c r="J23" s="20">
        <v>0</v>
      </c>
      <c r="K23" s="19">
        <v>0.39800999999999997</v>
      </c>
      <c r="L23" s="20">
        <v>21.234000000000002</v>
      </c>
      <c r="M23" s="19">
        <v>0</v>
      </c>
      <c r="N23" s="20">
        <v>0</v>
      </c>
      <c r="O23" s="47">
        <v>1</v>
      </c>
      <c r="P23" s="33"/>
      <c r="Q23" s="4">
        <v>1</v>
      </c>
    </row>
    <row r="24" spans="1:17" ht="24" hidden="1" thickTop="1" x14ac:dyDescent="0.35">
      <c r="A24"/>
      <c r="C24" s="33" t="s">
        <v>17</v>
      </c>
      <c r="D24" s="43" t="s">
        <v>0</v>
      </c>
      <c r="E24" s="4">
        <v>1278</v>
      </c>
      <c r="F24" s="4">
        <v>3000</v>
      </c>
      <c r="G24" s="17">
        <v>-2.89167</v>
      </c>
      <c r="H24" s="18">
        <v>62.323979999999999</v>
      </c>
      <c r="I24" s="17"/>
      <c r="J24" s="18"/>
      <c r="K24" s="17"/>
      <c r="L24" s="18"/>
      <c r="M24" s="17"/>
      <c r="N24" s="18"/>
      <c r="O24" s="13">
        <v>5</v>
      </c>
      <c r="P24" s="32"/>
      <c r="Q24" s="4">
        <v>1</v>
      </c>
    </row>
    <row r="25" spans="1:17" ht="24" hidden="1" thickTop="1" x14ac:dyDescent="0.35">
      <c r="A25"/>
      <c r="C25" s="33" t="s">
        <v>31</v>
      </c>
      <c r="D25" s="4" t="s">
        <v>13</v>
      </c>
      <c r="E25" s="4">
        <v>298</v>
      </c>
      <c r="F25" s="4">
        <v>1211</v>
      </c>
      <c r="G25" s="19">
        <v>-1.9123218473750676</v>
      </c>
      <c r="H25" s="20">
        <v>21.483706893669559</v>
      </c>
      <c r="I25" s="19">
        <v>5.3689337903662278</v>
      </c>
      <c r="J25" s="20">
        <v>0</v>
      </c>
      <c r="K25" s="19">
        <v>0.16692060785374949</v>
      </c>
      <c r="L25" s="20">
        <v>7.799627157375669</v>
      </c>
      <c r="M25" s="19">
        <v>0</v>
      </c>
      <c r="N25" s="20">
        <v>0</v>
      </c>
      <c r="O25" s="14">
        <v>2</v>
      </c>
      <c r="P25" s="32"/>
      <c r="Q25" s="4">
        <v>1</v>
      </c>
    </row>
    <row r="26" spans="1:17" ht="24" hidden="1" thickTop="1" x14ac:dyDescent="0.35">
      <c r="A26"/>
      <c r="C26" s="33" t="s">
        <v>16</v>
      </c>
      <c r="D26" s="4" t="s">
        <v>13</v>
      </c>
      <c r="E26" s="4">
        <v>298.14999999999998</v>
      </c>
      <c r="F26" s="4">
        <v>1211.4000000000001</v>
      </c>
      <c r="G26" s="17">
        <v>-5.5760690000000002E-2</v>
      </c>
      <c r="H26" s="18">
        <v>10.808619999999999</v>
      </c>
      <c r="I26" s="17">
        <v>2.898209</v>
      </c>
      <c r="J26" s="18">
        <v>-9.4357770000000004E-5</v>
      </c>
      <c r="K26" s="17">
        <v>3.8575789999999999E-2</v>
      </c>
      <c r="L26" s="18">
        <v>1.796346</v>
      </c>
      <c r="M26" s="17">
        <v>0</v>
      </c>
      <c r="N26" s="18">
        <v>0</v>
      </c>
      <c r="O26" s="9">
        <v>1</v>
      </c>
      <c r="P26" s="33"/>
      <c r="Q26" s="4">
        <v>1</v>
      </c>
    </row>
    <row r="27" spans="1:17" ht="24" hidden="1" thickTop="1" x14ac:dyDescent="0.35">
      <c r="A27"/>
      <c r="C27" s="33" t="s">
        <v>16</v>
      </c>
      <c r="D27" s="43" t="s">
        <v>13</v>
      </c>
      <c r="E27" s="4">
        <v>298.14999999999998</v>
      </c>
      <c r="F27" s="4">
        <v>1210</v>
      </c>
      <c r="G27" s="17">
        <v>0</v>
      </c>
      <c r="H27" s="18">
        <v>10.582844540703489</v>
      </c>
      <c r="I27" s="17">
        <v>2.8083468639124423</v>
      </c>
      <c r="J27" s="18">
        <v>-6.6149497865175294E-5</v>
      </c>
      <c r="K27" s="17">
        <v>9.0253009581933469E-2</v>
      </c>
      <c r="L27" s="18">
        <v>2.3453003788562148</v>
      </c>
      <c r="M27" s="17">
        <v>0</v>
      </c>
      <c r="N27" s="18">
        <v>0</v>
      </c>
      <c r="O27" s="1">
        <v>2</v>
      </c>
      <c r="P27" s="33"/>
      <c r="Q27" s="4"/>
    </row>
    <row r="28" spans="1:17" ht="24" hidden="1" thickTop="1" x14ac:dyDescent="0.35">
      <c r="A28"/>
      <c r="C28" s="33" t="s">
        <v>16</v>
      </c>
      <c r="D28" s="43" t="s">
        <v>0</v>
      </c>
      <c r="E28" s="4">
        <v>1210</v>
      </c>
      <c r="F28" s="4">
        <v>2000</v>
      </c>
      <c r="G28" s="17">
        <v>0.73004991280293463</v>
      </c>
      <c r="H28" s="18">
        <v>14.993740103267132</v>
      </c>
      <c r="I28" s="17">
        <v>2.9598893499308434</v>
      </c>
      <c r="J28" s="18">
        <v>0</v>
      </c>
      <c r="K28" s="17">
        <v>-0.2359961513019424</v>
      </c>
      <c r="L28" s="18">
        <v>0</v>
      </c>
      <c r="M28" s="17">
        <v>0</v>
      </c>
      <c r="N28" s="18">
        <v>0</v>
      </c>
      <c r="O28" s="1">
        <v>2</v>
      </c>
      <c r="P28" s="33"/>
      <c r="Q28" s="4">
        <v>1</v>
      </c>
    </row>
    <row r="29" spans="1:17" ht="24" hidden="1" thickTop="1" x14ac:dyDescent="0.35">
      <c r="A29"/>
      <c r="C29" s="33" t="s">
        <v>16</v>
      </c>
      <c r="D29" s="4" t="s">
        <v>0</v>
      </c>
      <c r="E29" s="4">
        <v>1211.4000000000001</v>
      </c>
      <c r="F29" s="4">
        <v>4900</v>
      </c>
      <c r="G29" s="17">
        <v>-5.5760690000000002E-2</v>
      </c>
      <c r="H29" s="18">
        <v>15.395060000000001</v>
      </c>
      <c r="I29" s="17">
        <v>3.319661</v>
      </c>
      <c r="J29" s="18">
        <v>0</v>
      </c>
      <c r="K29" s="17">
        <v>-0.38367639999999997</v>
      </c>
      <c r="L29" s="18">
        <v>0</v>
      </c>
      <c r="M29" s="17">
        <v>0</v>
      </c>
      <c r="N29" s="18">
        <v>0</v>
      </c>
      <c r="O29" s="9">
        <v>1</v>
      </c>
      <c r="P29" s="33"/>
      <c r="Q29" s="4"/>
    </row>
    <row r="30" spans="1:17" ht="24" hidden="1" thickTop="1" x14ac:dyDescent="0.35">
      <c r="A30"/>
      <c r="C30" s="33" t="s">
        <v>16</v>
      </c>
      <c r="D30" s="4" t="s">
        <v>2</v>
      </c>
      <c r="E30" s="4">
        <v>298.14999999999998</v>
      </c>
      <c r="F30" s="4">
        <v>1500</v>
      </c>
      <c r="G30" s="17">
        <v>4.3829390000000004</v>
      </c>
      <c r="H30" s="18">
        <v>34.862279999999998</v>
      </c>
      <c r="I30" s="17">
        <v>5.530119</v>
      </c>
      <c r="J30" s="18">
        <v>-3.3787839999999998E-4</v>
      </c>
      <c r="K30" s="17">
        <v>8.1663529999999998E-2</v>
      </c>
      <c r="L30" s="18">
        <v>-21.130780000000001</v>
      </c>
      <c r="M30" s="17">
        <v>36.52984</v>
      </c>
      <c r="N30" s="18">
        <v>-31.421589999999998</v>
      </c>
      <c r="O30" s="9">
        <v>1</v>
      </c>
      <c r="P30" s="33"/>
      <c r="Q30" s="4">
        <v>1</v>
      </c>
    </row>
    <row r="31" spans="1:17" ht="24" hidden="1" thickTop="1" x14ac:dyDescent="0.35">
      <c r="C31" s="33" t="s">
        <v>16</v>
      </c>
      <c r="D31" s="4" t="s">
        <v>2</v>
      </c>
      <c r="E31" s="4">
        <v>1500</v>
      </c>
      <c r="F31" s="4">
        <v>6000</v>
      </c>
      <c r="G31" s="17">
        <v>4.3829390000000004</v>
      </c>
      <c r="H31" s="18">
        <v>26.704419999999999</v>
      </c>
      <c r="I31" s="17">
        <v>1.8358589999999999</v>
      </c>
      <c r="J31" s="18">
        <v>3.9919220000000002E-3</v>
      </c>
      <c r="K31" s="17">
        <v>-0.2011674</v>
      </c>
      <c r="L31" s="18">
        <v>2.865237</v>
      </c>
      <c r="M31" s="17">
        <v>-1.920703</v>
      </c>
      <c r="N31" s="18">
        <v>0.6292025</v>
      </c>
      <c r="O31" s="1">
        <v>1</v>
      </c>
      <c r="P31" s="33"/>
      <c r="Q31" s="4">
        <v>1</v>
      </c>
    </row>
    <row r="32" spans="1:17" ht="24" hidden="1" thickTop="1" x14ac:dyDescent="0.35">
      <c r="C32" s="33" t="s">
        <v>16</v>
      </c>
      <c r="D32" s="4" t="s">
        <v>2</v>
      </c>
      <c r="E32" s="4">
        <v>6000</v>
      </c>
      <c r="F32" s="4">
        <v>10000</v>
      </c>
      <c r="G32" s="17">
        <v>4.3829390000000004</v>
      </c>
      <c r="H32" s="18">
        <v>30.185140000000001</v>
      </c>
      <c r="I32" s="17">
        <v>6.3430540000000004</v>
      </c>
      <c r="J32" s="18">
        <v>-9.5135109999999995E-2</v>
      </c>
      <c r="K32" s="17">
        <v>1.2754369999999999</v>
      </c>
      <c r="L32" s="18">
        <v>-4.2694150000000004</v>
      </c>
      <c r="M32" s="17">
        <v>1.041687</v>
      </c>
      <c r="N32" s="18">
        <v>-6.3588229999999996E-2</v>
      </c>
      <c r="O32" s="9">
        <v>1</v>
      </c>
      <c r="P32" s="33"/>
      <c r="Q32" s="4">
        <v>1</v>
      </c>
    </row>
    <row r="33" spans="3:17" ht="24" hidden="1" thickTop="1" x14ac:dyDescent="0.35">
      <c r="C33" s="33" t="s">
        <v>16</v>
      </c>
      <c r="D33" s="4" t="s">
        <v>2</v>
      </c>
      <c r="E33" s="4">
        <v>298.14999999999998</v>
      </c>
      <c r="F33" s="4">
        <v>2000</v>
      </c>
      <c r="G33" s="19">
        <v>4.5041794455469359</v>
      </c>
      <c r="H33" s="20">
        <v>29.447554603809422</v>
      </c>
      <c r="I33" s="19">
        <v>3.5444103674303924</v>
      </c>
      <c r="J33" s="20">
        <v>1.9243490288050995E-4</v>
      </c>
      <c r="K33" s="19">
        <v>9.0811477271360019E-2</v>
      </c>
      <c r="L33" s="20">
        <v>-2.2009742016958325</v>
      </c>
      <c r="M33" s="19">
        <v>0</v>
      </c>
      <c r="N33" s="20">
        <v>0</v>
      </c>
      <c r="O33" s="14">
        <v>2</v>
      </c>
      <c r="P33" s="32"/>
      <c r="Q33" s="4"/>
    </row>
    <row r="34" spans="3:17" ht="24" hidden="1" thickTop="1" x14ac:dyDescent="0.35">
      <c r="C34" s="33" t="s">
        <v>38</v>
      </c>
      <c r="D34" s="33" t="s">
        <v>13</v>
      </c>
      <c r="E34" s="33">
        <v>298.14999999999998</v>
      </c>
      <c r="F34" s="33">
        <v>1211.4000000000001</v>
      </c>
      <c r="G34" s="17">
        <v>-5.5760690000000002E-2</v>
      </c>
      <c r="H34" s="18">
        <v>10.808619999999999</v>
      </c>
      <c r="I34" s="17">
        <v>2.898209</v>
      </c>
      <c r="J34" s="18">
        <v>-9.4357770000000004E-5</v>
      </c>
      <c r="K34" s="17">
        <v>3.8575789999999999E-2</v>
      </c>
      <c r="L34" s="18">
        <v>1.796346</v>
      </c>
      <c r="M34" s="17">
        <v>0</v>
      </c>
      <c r="N34" s="18">
        <v>0</v>
      </c>
      <c r="O34" s="40">
        <v>5</v>
      </c>
      <c r="P34" s="32"/>
      <c r="Q34" s="4"/>
    </row>
    <row r="35" spans="3:17" ht="24" hidden="1" thickTop="1" x14ac:dyDescent="0.35">
      <c r="C35" s="33" t="s">
        <v>3</v>
      </c>
      <c r="D35" s="4" t="s">
        <v>2</v>
      </c>
      <c r="E35" s="4">
        <v>298.14999999999998</v>
      </c>
      <c r="F35" s="4">
        <v>1500</v>
      </c>
      <c r="G35" s="17">
        <v>5.674709</v>
      </c>
      <c r="H35" s="18">
        <v>49.524940000000001</v>
      </c>
      <c r="I35" s="17">
        <v>7.0513279999999998</v>
      </c>
      <c r="J35" s="18">
        <v>-1.341195E-5</v>
      </c>
      <c r="K35" s="17">
        <v>5.245814E-2</v>
      </c>
      <c r="L35" s="18">
        <v>-24.580100000000002</v>
      </c>
      <c r="M35" s="17">
        <v>62.099780000000003</v>
      </c>
      <c r="N35" s="18">
        <v>-81.046109999999999</v>
      </c>
      <c r="O35" s="13">
        <v>1</v>
      </c>
      <c r="P35" s="36"/>
      <c r="Q35" s="4">
        <v>1</v>
      </c>
    </row>
    <row r="36" spans="3:17" ht="24" hidden="1" thickTop="1" x14ac:dyDescent="0.35">
      <c r="C36" s="33" t="s">
        <v>3</v>
      </c>
      <c r="D36" s="4" t="s">
        <v>2</v>
      </c>
      <c r="E36" s="4">
        <v>1500</v>
      </c>
      <c r="F36" s="4">
        <v>6000</v>
      </c>
      <c r="G36" s="19">
        <v>5.674709</v>
      </c>
      <c r="H36" s="20">
        <v>40.162990000000001</v>
      </c>
      <c r="I36" s="19">
        <v>2.7510140000000001</v>
      </c>
      <c r="J36" s="20">
        <v>7.8054969999999998E-3</v>
      </c>
      <c r="K36" s="19">
        <v>-0.32734089999999999</v>
      </c>
      <c r="L36" s="20">
        <v>6.01546</v>
      </c>
      <c r="M36" s="19">
        <v>-3.5431430000000002</v>
      </c>
      <c r="N36" s="20">
        <v>0.75900279999999998</v>
      </c>
      <c r="O36" s="8">
        <v>1</v>
      </c>
      <c r="P36" s="33"/>
      <c r="Q36" s="4">
        <v>1</v>
      </c>
    </row>
    <row r="37" spans="3:17" ht="24" hidden="1" thickTop="1" x14ac:dyDescent="0.35">
      <c r="C37" s="33" t="s">
        <v>15</v>
      </c>
      <c r="D37" s="4" t="s">
        <v>13</v>
      </c>
      <c r="E37" s="4">
        <v>298.14999999999998</v>
      </c>
      <c r="F37" s="4">
        <v>947.99990000000003</v>
      </c>
      <c r="G37" s="17">
        <v>-0.82987549999999999</v>
      </c>
      <c r="H37" s="18">
        <v>22.446940000000001</v>
      </c>
      <c r="I37" s="17">
        <v>5.4242590000000002</v>
      </c>
      <c r="J37" s="18">
        <v>0</v>
      </c>
      <c r="K37" s="17">
        <v>0.17049120000000001</v>
      </c>
      <c r="L37" s="18">
        <v>9.8622890000000005</v>
      </c>
      <c r="M37" s="17">
        <v>0</v>
      </c>
      <c r="N37" s="18">
        <v>0</v>
      </c>
      <c r="O37" s="40">
        <v>2</v>
      </c>
      <c r="P37" s="44"/>
      <c r="Q37" s="4">
        <v>1</v>
      </c>
    </row>
    <row r="38" spans="3:17" ht="24" hidden="1" thickTop="1" x14ac:dyDescent="0.35">
      <c r="C38" s="33" t="s">
        <v>15</v>
      </c>
      <c r="D38" s="4" t="s">
        <v>0</v>
      </c>
      <c r="E38" s="4">
        <v>948</v>
      </c>
      <c r="F38" s="4">
        <v>2000</v>
      </c>
      <c r="G38" s="19">
        <v>-0.82987551867219922</v>
      </c>
      <c r="H38" s="20">
        <v>30.469745783181889</v>
      </c>
      <c r="I38" s="19">
        <v>7.6492873895002704</v>
      </c>
      <c r="J38" s="20">
        <v>0</v>
      </c>
      <c r="K38" s="19">
        <v>-3.6947501353057355E-3</v>
      </c>
      <c r="L38" s="20">
        <v>0</v>
      </c>
      <c r="M38" s="19">
        <v>0</v>
      </c>
      <c r="N38" s="20">
        <v>0</v>
      </c>
      <c r="O38" s="14">
        <v>2</v>
      </c>
      <c r="P38" s="32"/>
      <c r="Q38" s="4">
        <v>1</v>
      </c>
    </row>
    <row r="39" spans="3:17" ht="24" hidden="1" thickTop="1" x14ac:dyDescent="0.35">
      <c r="C39" s="33" t="s">
        <v>15</v>
      </c>
      <c r="D39" s="4" t="s">
        <v>2</v>
      </c>
      <c r="E39" s="4">
        <v>298.14999999999998</v>
      </c>
      <c r="F39" s="4">
        <v>2000</v>
      </c>
      <c r="G39" s="17">
        <v>1.2677</v>
      </c>
      <c r="H39" s="18">
        <v>11.071</v>
      </c>
      <c r="I39" s="17">
        <v>4.4489000000000001</v>
      </c>
      <c r="J39" s="18">
        <v>-1.0823999999999999E-4</v>
      </c>
      <c r="K39" s="17">
        <v>0.13999</v>
      </c>
      <c r="L39" s="18">
        <v>0.10223</v>
      </c>
      <c r="M39" s="17">
        <v>0</v>
      </c>
      <c r="N39" s="18">
        <v>0</v>
      </c>
      <c r="O39" s="10">
        <v>1</v>
      </c>
      <c r="P39" s="33"/>
      <c r="Q39" s="4">
        <v>1</v>
      </c>
    </row>
    <row r="40" spans="3:17" ht="24" thickTop="1" x14ac:dyDescent="0.35">
      <c r="C40" s="33" t="s">
        <v>14</v>
      </c>
      <c r="D40" s="4" t="s">
        <v>13</v>
      </c>
      <c r="E40" s="4">
        <v>298.14999999999998</v>
      </c>
      <c r="F40" s="4">
        <v>350</v>
      </c>
      <c r="G40" s="17">
        <v>-1.3586866317878405</v>
      </c>
      <c r="H40" s="18">
        <v>68.816676906083146</v>
      </c>
      <c r="I40" s="17">
        <v>17.608515244452462</v>
      </c>
      <c r="J40" s="18">
        <v>-5.8145408623489088E-4</v>
      </c>
      <c r="K40" s="17">
        <v>0.41318596346922787</v>
      </c>
      <c r="L40" s="18">
        <v>-252.13723014011663</v>
      </c>
      <c r="M40" s="17">
        <v>1383.1599414677171</v>
      </c>
      <c r="N40" s="18">
        <v>0</v>
      </c>
      <c r="O40" s="1">
        <v>4</v>
      </c>
      <c r="P40" s="32"/>
      <c r="Q40" s="4"/>
    </row>
    <row r="41" spans="3:17" x14ac:dyDescent="0.35">
      <c r="C41" s="33" t="s">
        <v>14</v>
      </c>
      <c r="D41" s="4" t="s">
        <v>13</v>
      </c>
      <c r="E41" s="4">
        <v>350</v>
      </c>
      <c r="F41" s="4">
        <v>420</v>
      </c>
      <c r="G41" s="17">
        <v>-1.3586866317878405</v>
      </c>
      <c r="H41" s="18">
        <v>12.046908589131874</v>
      </c>
      <c r="I41" s="17">
        <v>1.7622226231282696</v>
      </c>
      <c r="J41" s="18">
        <v>0</v>
      </c>
      <c r="K41" s="17">
        <v>0.14511938535984314</v>
      </c>
      <c r="L41" s="18">
        <v>105.72854651512418</v>
      </c>
      <c r="M41" s="17">
        <v>0</v>
      </c>
      <c r="N41" s="18">
        <v>0</v>
      </c>
      <c r="O41" s="1">
        <v>4</v>
      </c>
      <c r="P41" s="32"/>
      <c r="Q41" s="4"/>
    </row>
    <row r="42" spans="3:17" x14ac:dyDescent="0.35">
      <c r="C42" s="33" t="s">
        <v>14</v>
      </c>
      <c r="D42" s="4" t="s">
        <v>13</v>
      </c>
      <c r="E42" s="4">
        <v>420</v>
      </c>
      <c r="F42" s="4">
        <v>450</v>
      </c>
      <c r="G42" s="17">
        <v>-1.3586866317878405</v>
      </c>
      <c r="H42" s="18">
        <v>38.768510038576053</v>
      </c>
      <c r="I42" s="17">
        <v>9.9832822178122544</v>
      </c>
      <c r="J42" s="18">
        <v>0</v>
      </c>
      <c r="K42" s="17">
        <v>0.30389873228389108</v>
      </c>
      <c r="L42" s="18">
        <v>0</v>
      </c>
      <c r="M42" s="17">
        <v>0</v>
      </c>
      <c r="N42" s="18">
        <v>0</v>
      </c>
      <c r="O42" s="1">
        <v>4</v>
      </c>
      <c r="P42" s="32"/>
      <c r="Q42" s="4"/>
    </row>
    <row r="43" spans="3:17" x14ac:dyDescent="0.35">
      <c r="C43" s="33" t="s">
        <v>14</v>
      </c>
      <c r="D43" s="4" t="s">
        <v>13</v>
      </c>
      <c r="E43" s="4">
        <v>450</v>
      </c>
      <c r="F43" s="4">
        <v>900</v>
      </c>
      <c r="G43" s="17">
        <v>-1.3586866317878405</v>
      </c>
      <c r="H43" s="18">
        <v>18.364758562217371</v>
      </c>
      <c r="I43" s="17">
        <v>2.0299476817607793</v>
      </c>
      <c r="J43" s="18">
        <v>2.736243911239401E-3</v>
      </c>
      <c r="K43" s="17">
        <v>-6.5765806573927721E-2</v>
      </c>
      <c r="L43" s="18">
        <v>61.455288953033858</v>
      </c>
      <c r="M43" s="17">
        <v>-80.11305550544229</v>
      </c>
      <c r="N43" s="18">
        <v>0</v>
      </c>
      <c r="O43" s="1">
        <v>4</v>
      </c>
      <c r="P43" s="32"/>
      <c r="Q43" s="4"/>
    </row>
    <row r="44" spans="3:17" x14ac:dyDescent="0.35">
      <c r="C44" s="33" t="s">
        <v>14</v>
      </c>
      <c r="D44" s="4" t="s">
        <v>13</v>
      </c>
      <c r="E44" s="4">
        <v>298.14999999999998</v>
      </c>
      <c r="F44" s="4">
        <v>1013</v>
      </c>
      <c r="G44" s="17">
        <v>-1.3591</v>
      </c>
      <c r="H44" s="18">
        <v>31.553999999999998</v>
      </c>
      <c r="I44" s="17">
        <v>7.5639000000000003</v>
      </c>
      <c r="J44" s="18">
        <v>0</v>
      </c>
      <c r="K44" s="17">
        <v>0.24035000000000001</v>
      </c>
      <c r="L44" s="18">
        <v>16.681999999999999</v>
      </c>
      <c r="M44" s="17">
        <v>0</v>
      </c>
      <c r="N44" s="18">
        <v>0</v>
      </c>
      <c r="O44" s="9">
        <v>1</v>
      </c>
      <c r="P44" s="33"/>
      <c r="Q44" s="4"/>
    </row>
    <row r="45" spans="3:17" x14ac:dyDescent="0.35">
      <c r="C45" s="33" t="s">
        <v>14</v>
      </c>
      <c r="D45" s="43" t="s">
        <v>13</v>
      </c>
      <c r="E45" s="4">
        <v>298</v>
      </c>
      <c r="F45" s="4">
        <v>1013</v>
      </c>
      <c r="G45" s="17">
        <v>-1.3590715015936015</v>
      </c>
      <c r="H45" s="18">
        <v>31.55831097808133</v>
      </c>
      <c r="I45" s="17">
        <v>7.5638944013470439</v>
      </c>
      <c r="J45" s="18">
        <v>0</v>
      </c>
      <c r="K45" s="17">
        <v>0.24021807059955499</v>
      </c>
      <c r="L45" s="18">
        <v>16.681700643454203</v>
      </c>
      <c r="M45" s="17">
        <v>0</v>
      </c>
      <c r="N45" s="18">
        <v>0</v>
      </c>
      <c r="O45" s="1">
        <v>2</v>
      </c>
      <c r="P45" s="33"/>
      <c r="Q45" s="4">
        <v>1</v>
      </c>
    </row>
    <row r="46" spans="3:17" hidden="1" x14ac:dyDescent="0.35">
      <c r="C46" s="33" t="s">
        <v>1</v>
      </c>
      <c r="D46" s="4" t="s">
        <v>13</v>
      </c>
      <c r="E46" s="4">
        <v>298.14999999999998</v>
      </c>
      <c r="F46" s="4">
        <v>494.3</v>
      </c>
      <c r="G46" s="17">
        <v>-6.6260929999999996E-2</v>
      </c>
      <c r="H46" s="18">
        <v>10.212899999999999</v>
      </c>
      <c r="I46" s="17">
        <v>2.3373539999999999</v>
      </c>
      <c r="J46" s="18">
        <v>0</v>
      </c>
      <c r="K46" s="17">
        <v>1.4182739999999999E-2</v>
      </c>
      <c r="L46" s="18">
        <v>13.63707</v>
      </c>
      <c r="M46" s="17">
        <v>-25.78952</v>
      </c>
      <c r="N46" s="18">
        <v>0</v>
      </c>
      <c r="O46" s="9">
        <v>1</v>
      </c>
      <c r="P46" s="33"/>
      <c r="Q46" s="4">
        <v>1</v>
      </c>
    </row>
    <row r="47" spans="3:17" hidden="1" x14ac:dyDescent="0.35">
      <c r="C47" s="33" t="s">
        <v>1</v>
      </c>
      <c r="D47" s="4" t="s">
        <v>13</v>
      </c>
      <c r="E47" s="4">
        <v>494.3</v>
      </c>
      <c r="F47" s="4">
        <v>1000</v>
      </c>
      <c r="G47" s="17">
        <v>-6.6260929999999996E-2</v>
      </c>
      <c r="H47" s="18">
        <v>23.305810000000001</v>
      </c>
      <c r="I47" s="17">
        <v>6.3044700000000002</v>
      </c>
      <c r="J47" s="18">
        <v>0</v>
      </c>
      <c r="K47" s="17">
        <v>5.1929419999999997E-2</v>
      </c>
      <c r="L47" s="18">
        <v>-29.829440000000002</v>
      </c>
      <c r="M47" s="17">
        <v>65.022059999999996</v>
      </c>
      <c r="N47" s="18">
        <v>0</v>
      </c>
      <c r="O47" s="9">
        <v>1</v>
      </c>
      <c r="P47" s="33"/>
      <c r="Q47" s="4">
        <v>1</v>
      </c>
    </row>
    <row r="48" spans="3:17" hidden="1" x14ac:dyDescent="0.35">
      <c r="C48" s="33" t="s">
        <v>1</v>
      </c>
      <c r="D48" s="4" t="s">
        <v>13</v>
      </c>
      <c r="E48" s="4">
        <v>1000</v>
      </c>
      <c r="F48" s="4">
        <v>1800</v>
      </c>
      <c r="G48" s="17">
        <v>-6.6260929999999996E-2</v>
      </c>
      <c r="H48" s="18">
        <v>16.601150000000001</v>
      </c>
      <c r="I48" s="17">
        <v>4.2397850000000004</v>
      </c>
      <c r="J48" s="18">
        <v>0</v>
      </c>
      <c r="K48" s="17">
        <v>1.3699609999999999E-2</v>
      </c>
      <c r="L48" s="18">
        <v>0</v>
      </c>
      <c r="M48" s="17">
        <v>0</v>
      </c>
      <c r="N48" s="18">
        <v>0</v>
      </c>
      <c r="O48" s="9">
        <v>1</v>
      </c>
      <c r="P48" s="35"/>
      <c r="Q48" s="4">
        <v>1</v>
      </c>
    </row>
    <row r="49" spans="3:17" hidden="1" x14ac:dyDescent="0.35">
      <c r="C49" s="33" t="s">
        <v>1</v>
      </c>
      <c r="D49" s="43" t="s">
        <v>0</v>
      </c>
      <c r="E49" s="4">
        <v>493</v>
      </c>
      <c r="F49" s="4">
        <v>957</v>
      </c>
      <c r="G49" s="17">
        <v>0.13590715015936014</v>
      </c>
      <c r="H49" s="18">
        <v>16.688836423544643</v>
      </c>
      <c r="I49" s="17">
        <v>4.2275542726562021</v>
      </c>
      <c r="J49" s="18">
        <v>0</v>
      </c>
      <c r="K49" s="17">
        <v>0.20841842564195076</v>
      </c>
      <c r="L49" s="18">
        <v>0</v>
      </c>
      <c r="M49" s="17">
        <v>0</v>
      </c>
      <c r="N49" s="18">
        <v>0</v>
      </c>
      <c r="O49" s="1">
        <v>2</v>
      </c>
      <c r="P49" s="33"/>
      <c r="Q49" s="4">
        <v>1</v>
      </c>
    </row>
    <row r="50" spans="3:17" hidden="1" x14ac:dyDescent="0.35">
      <c r="C50" s="33" t="s">
        <v>1</v>
      </c>
      <c r="D50" s="4" t="s">
        <v>0</v>
      </c>
      <c r="E50" s="4">
        <v>493.00009999999997</v>
      </c>
      <c r="F50" s="4">
        <v>957.00009999999997</v>
      </c>
      <c r="G50" s="17">
        <v>0</v>
      </c>
      <c r="H50" s="18">
        <v>16.690000000000001</v>
      </c>
      <c r="I50" s="17">
        <v>4.2279999999999998</v>
      </c>
      <c r="J50" s="18">
        <v>0</v>
      </c>
      <c r="K50" s="17">
        <v>7.2510000000000005E-2</v>
      </c>
      <c r="L50" s="18">
        <v>0</v>
      </c>
      <c r="M50" s="17">
        <v>0</v>
      </c>
      <c r="N50" s="18">
        <v>0</v>
      </c>
      <c r="O50" s="13">
        <v>1</v>
      </c>
      <c r="P50" s="45"/>
      <c r="Q50" s="4"/>
    </row>
    <row r="51" spans="3:17" hidden="1" x14ac:dyDescent="0.35">
      <c r="C51" s="48" t="s">
        <v>1</v>
      </c>
      <c r="D51" t="s">
        <v>0</v>
      </c>
      <c r="E51">
        <v>1000</v>
      </c>
      <c r="F51">
        <v>1800</v>
      </c>
      <c r="G51" s="17">
        <v>-6.6260929999999996E-2</v>
      </c>
      <c r="H51" s="18">
        <v>16.601150000000001</v>
      </c>
      <c r="I51" s="17">
        <v>4.2397850000000004</v>
      </c>
      <c r="J51" s="18">
        <v>0</v>
      </c>
      <c r="K51" s="17">
        <v>1.3699609999999999E-2</v>
      </c>
      <c r="L51" s="18">
        <v>0</v>
      </c>
      <c r="M51" s="17">
        <v>0</v>
      </c>
      <c r="N51" s="18">
        <v>0</v>
      </c>
      <c r="O51" s="13">
        <v>1</v>
      </c>
      <c r="P51" s="32"/>
      <c r="Q51" s="4"/>
    </row>
    <row r="52" spans="3:17" hidden="1" x14ac:dyDescent="0.35">
      <c r="C52" s="33" t="s">
        <v>1</v>
      </c>
      <c r="D52" s="33" t="s">
        <v>0</v>
      </c>
      <c r="E52" s="33">
        <v>494.00009999999997</v>
      </c>
      <c r="F52" s="33">
        <v>1000</v>
      </c>
      <c r="G52" s="17">
        <v>7.4080010000000002E-2</v>
      </c>
      <c r="H52" s="18">
        <v>23.32</v>
      </c>
      <c r="I52" s="17">
        <v>6.3019999999999996</v>
      </c>
      <c r="J52" s="18">
        <v>0</v>
      </c>
      <c r="K52" s="17">
        <v>0.19220000000000001</v>
      </c>
      <c r="L52" s="18">
        <v>-29.83</v>
      </c>
      <c r="M52" s="17">
        <v>64.95</v>
      </c>
      <c r="N52" s="18">
        <v>0</v>
      </c>
      <c r="O52" s="13">
        <v>4</v>
      </c>
      <c r="P52" s="32"/>
      <c r="Q52" s="4"/>
    </row>
    <row r="53" spans="3:17" hidden="1" x14ac:dyDescent="0.35">
      <c r="C53" s="33" t="s">
        <v>1</v>
      </c>
      <c r="D53" s="35" t="s">
        <v>0</v>
      </c>
      <c r="E53" s="33">
        <v>1000</v>
      </c>
      <c r="F53" s="33">
        <v>1800</v>
      </c>
      <c r="G53" s="17">
        <v>7.4080010000000002E-2</v>
      </c>
      <c r="H53" s="18">
        <v>16.62</v>
      </c>
      <c r="I53" s="17">
        <v>4.2460000000000004</v>
      </c>
      <c r="J53" s="18">
        <v>0</v>
      </c>
      <c r="K53" s="17">
        <v>0.15490000000000001</v>
      </c>
      <c r="L53" s="18">
        <v>0</v>
      </c>
      <c r="M53" s="17">
        <v>0</v>
      </c>
      <c r="N53" s="18">
        <v>0</v>
      </c>
      <c r="O53" s="13">
        <v>4</v>
      </c>
      <c r="P53" s="32"/>
      <c r="Q53" s="4"/>
    </row>
    <row r="54" spans="3:17" hidden="1" x14ac:dyDescent="0.35">
      <c r="C54" s="33" t="s">
        <v>1</v>
      </c>
      <c r="D54" s="4" t="s">
        <v>2</v>
      </c>
      <c r="E54" s="4">
        <v>298.14999999999998</v>
      </c>
      <c r="F54" s="4">
        <v>1500</v>
      </c>
      <c r="G54" s="19">
        <v>2.783115</v>
      </c>
      <c r="H54" s="20">
        <v>25.378499999999999</v>
      </c>
      <c r="I54" s="19">
        <v>1.797085</v>
      </c>
      <c r="J54" s="20">
        <v>1.090393E-4</v>
      </c>
      <c r="K54" s="19">
        <v>-2.1003919999999999E-2</v>
      </c>
      <c r="L54" s="20">
        <v>9.1604179999999999</v>
      </c>
      <c r="M54" s="19">
        <v>-16.28604</v>
      </c>
      <c r="N54" s="20">
        <v>12.30222</v>
      </c>
      <c r="O54" s="8">
        <v>1</v>
      </c>
      <c r="P54" s="33"/>
      <c r="Q54" s="4">
        <v>1</v>
      </c>
    </row>
    <row r="55" spans="3:17" hidden="1" x14ac:dyDescent="0.35">
      <c r="C55" s="33" t="s">
        <v>1</v>
      </c>
      <c r="D55" s="4" t="s">
        <v>2</v>
      </c>
      <c r="E55" s="4">
        <v>1500</v>
      </c>
      <c r="F55" s="4">
        <v>10000</v>
      </c>
      <c r="G55" s="17">
        <v>2.783115</v>
      </c>
      <c r="H55" s="18">
        <v>27.619869999999999</v>
      </c>
      <c r="I55" s="17">
        <v>2.4307400000000001</v>
      </c>
      <c r="J55" s="18">
        <v>2.4488410000000002E-3</v>
      </c>
      <c r="K55" s="17">
        <v>-5.4265309999999997E-2</v>
      </c>
      <c r="L55" s="18">
        <v>0.91438399999999997</v>
      </c>
      <c r="M55" s="17">
        <v>-0.4321508</v>
      </c>
      <c r="N55" s="18">
        <v>8.956944E-2</v>
      </c>
      <c r="O55" s="9">
        <v>1</v>
      </c>
      <c r="P55" s="33"/>
      <c r="Q55" s="4">
        <v>1</v>
      </c>
    </row>
    <row r="56" spans="3:17" hidden="1" x14ac:dyDescent="0.35">
      <c r="C56" s="33" t="s">
        <v>32</v>
      </c>
      <c r="D56" s="4" t="s">
        <v>13</v>
      </c>
      <c r="E56" s="4">
        <v>298.14999999999998</v>
      </c>
      <c r="F56" s="4">
        <v>398</v>
      </c>
      <c r="G56" s="17">
        <v>6.0388477960190028E-2</v>
      </c>
      <c r="H56" s="18">
        <v>14.027300531776039</v>
      </c>
      <c r="I56" s="17">
        <v>3.265379758253653</v>
      </c>
      <c r="J56" s="18">
        <v>0</v>
      </c>
      <c r="K56" s="17">
        <v>9.7357297492332656E-2</v>
      </c>
      <c r="L56" s="18">
        <v>0</v>
      </c>
      <c r="M56" s="17">
        <v>0</v>
      </c>
      <c r="N56" s="18">
        <v>0</v>
      </c>
      <c r="O56" s="1">
        <v>4</v>
      </c>
      <c r="P56" s="32"/>
      <c r="Q56" s="4"/>
    </row>
    <row r="57" spans="3:17" hidden="1" x14ac:dyDescent="0.35">
      <c r="C57" s="33" t="s">
        <v>33</v>
      </c>
      <c r="D57" s="4" t="s">
        <v>13</v>
      </c>
      <c r="E57" s="4">
        <v>298</v>
      </c>
      <c r="F57" s="4">
        <v>413</v>
      </c>
      <c r="G57" s="17">
        <v>0.10769138252450537</v>
      </c>
      <c r="H57" s="18">
        <v>54.853251742343801</v>
      </c>
      <c r="I57" s="17">
        <v>12.931625473570268</v>
      </c>
      <c r="J57" s="18">
        <v>-2.6345540922484819E-4</v>
      </c>
      <c r="K57" s="17">
        <v>0.40426080105349993</v>
      </c>
      <c r="L57" s="18">
        <v>-5.4483131878044384</v>
      </c>
      <c r="M57" s="17">
        <v>114.404554292702</v>
      </c>
      <c r="N57" s="18">
        <v>0</v>
      </c>
      <c r="O57" s="1">
        <v>4</v>
      </c>
      <c r="P57" s="32"/>
      <c r="Q57" s="4"/>
    </row>
    <row r="58" spans="3:17" ht="24.75" hidden="1" customHeight="1" x14ac:dyDescent="0.35">
      <c r="C58" s="33" t="s">
        <v>34</v>
      </c>
      <c r="D58" s="43" t="s">
        <v>13</v>
      </c>
      <c r="E58" s="43">
        <v>298.14999999999998</v>
      </c>
      <c r="F58" s="4">
        <v>398</v>
      </c>
      <c r="G58" s="17">
        <v>0.1962595465752601</v>
      </c>
      <c r="H58" s="18">
        <v>18.555499584494658</v>
      </c>
      <c r="I58" s="17">
        <v>4.881231583378435</v>
      </c>
      <c r="J58" s="18">
        <v>0</v>
      </c>
      <c r="K58" s="17">
        <v>0.14553391965842802</v>
      </c>
      <c r="L58" s="18">
        <v>0</v>
      </c>
      <c r="M58" s="17">
        <v>0</v>
      </c>
      <c r="N58" s="18">
        <v>0</v>
      </c>
      <c r="O58" s="1">
        <v>4</v>
      </c>
      <c r="P58" s="32"/>
      <c r="Q58" s="4"/>
    </row>
    <row r="59" spans="3:17" hidden="1" x14ac:dyDescent="0.35">
      <c r="C59" s="33" t="s">
        <v>12</v>
      </c>
      <c r="D59" s="4" t="s">
        <v>2</v>
      </c>
      <c r="E59" s="4">
        <v>298.14999999999998</v>
      </c>
      <c r="F59" s="4">
        <v>1500</v>
      </c>
      <c r="G59" s="17">
        <v>1.6083639999999999</v>
      </c>
      <c r="H59" s="18">
        <v>46.654719999999998</v>
      </c>
      <c r="I59" s="17">
        <v>6.370749</v>
      </c>
      <c r="J59" s="18">
        <v>-1.7220000000000001E-4</v>
      </c>
      <c r="K59" s="17">
        <v>6.049562E-2</v>
      </c>
      <c r="L59" s="18">
        <v>-20.810030000000001</v>
      </c>
      <c r="M59" s="17">
        <v>56.994140000000002</v>
      </c>
      <c r="N59" s="18">
        <v>-73.985680000000002</v>
      </c>
      <c r="O59" s="9">
        <v>1</v>
      </c>
      <c r="P59" s="33"/>
      <c r="Q59" s="4">
        <v>1</v>
      </c>
    </row>
    <row r="60" spans="3:17" hidden="1" x14ac:dyDescent="0.35">
      <c r="C60" s="33" t="s">
        <v>12</v>
      </c>
      <c r="D60" s="42" t="s">
        <v>2</v>
      </c>
      <c r="E60" s="5">
        <v>1500</v>
      </c>
      <c r="F60" s="4">
        <v>6000</v>
      </c>
      <c r="G60" s="17">
        <v>1.6083639999999999</v>
      </c>
      <c r="H60" s="18">
        <v>41.393599999999999</v>
      </c>
      <c r="I60" s="17">
        <v>4.6638549999999999</v>
      </c>
      <c r="J60" s="18">
        <v>-1.334432E-3</v>
      </c>
      <c r="K60" s="17">
        <v>3.6780319999999998E-2</v>
      </c>
      <c r="L60" s="18">
        <v>0.98545360000000004</v>
      </c>
      <c r="M60" s="17">
        <v>-0.13838919999999999</v>
      </c>
      <c r="N60" s="18">
        <v>-0.2247374</v>
      </c>
      <c r="O60" s="9">
        <v>1</v>
      </c>
      <c r="P60" s="33"/>
      <c r="Q60" s="4">
        <v>1</v>
      </c>
    </row>
    <row r="61" spans="3:17" hidden="1" x14ac:dyDescent="0.35">
      <c r="C61" s="33" t="s">
        <v>11</v>
      </c>
      <c r="D61" s="5" t="s">
        <v>2</v>
      </c>
      <c r="E61" s="4">
        <v>298.14999999999998</v>
      </c>
      <c r="F61" s="4">
        <v>1500</v>
      </c>
      <c r="G61" s="17">
        <v>1.9782420000000001</v>
      </c>
      <c r="H61" s="18">
        <v>54.51784</v>
      </c>
      <c r="I61" s="17">
        <v>6.89046</v>
      </c>
      <c r="J61" s="18">
        <v>-1.736525E-4</v>
      </c>
      <c r="K61" s="17">
        <v>5.6347979999999999E-2</v>
      </c>
      <c r="L61" s="18">
        <v>1.1843140000000001</v>
      </c>
      <c r="M61" s="17">
        <v>-3.094471</v>
      </c>
      <c r="N61" s="18">
        <v>4.1616710000000001</v>
      </c>
      <c r="O61" s="9">
        <v>1</v>
      </c>
      <c r="P61" s="33"/>
      <c r="Q61" s="4">
        <v>1</v>
      </c>
    </row>
    <row r="62" spans="3:17" hidden="1" x14ac:dyDescent="0.35">
      <c r="C62" s="33" t="s">
        <v>11</v>
      </c>
      <c r="D62" s="4" t="s">
        <v>2</v>
      </c>
      <c r="E62" s="4">
        <v>1500</v>
      </c>
      <c r="F62" s="4">
        <v>6000</v>
      </c>
      <c r="G62" s="17">
        <v>1.9782420000000001</v>
      </c>
      <c r="H62" s="18">
        <v>54.816650000000003</v>
      </c>
      <c r="I62" s="17">
        <v>7.0000840000000002</v>
      </c>
      <c r="J62" s="18">
        <v>-2.193664E-4</v>
      </c>
      <c r="K62" s="17">
        <v>6.1325909999999997E-2</v>
      </c>
      <c r="L62" s="18">
        <v>3.7539989999999998E-4</v>
      </c>
      <c r="M62" s="17">
        <v>-1.8322499999999999E-4</v>
      </c>
      <c r="N62" s="18">
        <v>4.3410669999999999E-5</v>
      </c>
      <c r="O62" s="9">
        <v>1</v>
      </c>
      <c r="P62" s="33"/>
      <c r="Q62" s="4">
        <v>1</v>
      </c>
    </row>
    <row r="63" spans="3:17" hidden="1" x14ac:dyDescent="0.35">
      <c r="C63" s="33" t="s">
        <v>10</v>
      </c>
      <c r="D63" s="4" t="s">
        <v>2</v>
      </c>
      <c r="E63" s="4">
        <v>298.14999999999998</v>
      </c>
      <c r="F63" s="4">
        <v>1500</v>
      </c>
      <c r="G63" s="17">
        <v>1.7796749999999999</v>
      </c>
      <c r="H63" s="18">
        <v>65.627989999999997</v>
      </c>
      <c r="I63" s="17">
        <v>9.8077830000000006</v>
      </c>
      <c r="J63" s="18">
        <v>-2.9475889999999998E-4</v>
      </c>
      <c r="K63" s="17">
        <v>0.1005359</v>
      </c>
      <c r="L63" s="18">
        <v>2.0750869999999999</v>
      </c>
      <c r="M63" s="17">
        <v>-5.417872</v>
      </c>
      <c r="N63" s="18">
        <v>7.2822940000000003</v>
      </c>
      <c r="O63" s="9">
        <v>1</v>
      </c>
      <c r="P63" s="33"/>
      <c r="Q63" s="4">
        <v>1</v>
      </c>
    </row>
    <row r="64" spans="3:17" hidden="1" x14ac:dyDescent="0.35">
      <c r="C64" s="33" t="s">
        <v>10</v>
      </c>
      <c r="D64" s="4" t="s">
        <v>2</v>
      </c>
      <c r="E64" s="4">
        <v>1500</v>
      </c>
      <c r="F64" s="4">
        <v>6000</v>
      </c>
      <c r="G64" s="17">
        <v>1.7796749999999999</v>
      </c>
      <c r="H64" s="18">
        <v>66.151300000000006</v>
      </c>
      <c r="I64" s="17">
        <v>9.9996779999999994</v>
      </c>
      <c r="J64" s="18">
        <v>-3.7359040000000001E-4</v>
      </c>
      <c r="K64" s="17">
        <v>0.1092219</v>
      </c>
      <c r="L64" s="18">
        <v>1.8328540000000001E-3</v>
      </c>
      <c r="M64" s="17">
        <v>-1.155547E-3</v>
      </c>
      <c r="N64" s="18">
        <v>3.7609010000000002E-4</v>
      </c>
      <c r="O64" s="9">
        <v>1</v>
      </c>
      <c r="P64" s="33"/>
      <c r="Q64" s="4">
        <v>1</v>
      </c>
    </row>
    <row r="65" spans="1:26" hidden="1" x14ac:dyDescent="0.35">
      <c r="C65" s="33" t="s">
        <v>9</v>
      </c>
      <c r="D65" s="4" t="s">
        <v>2</v>
      </c>
      <c r="E65" s="4">
        <v>298.14999999999998</v>
      </c>
      <c r="F65" s="4">
        <v>1500</v>
      </c>
      <c r="G65" s="17">
        <v>1.593137</v>
      </c>
      <c r="H65" s="18">
        <v>82.10181</v>
      </c>
      <c r="I65" s="17">
        <v>12.889200000000001</v>
      </c>
      <c r="J65" s="18">
        <v>-2.7534359999999998E-4</v>
      </c>
      <c r="K65" s="17">
        <v>0.11292489999999999</v>
      </c>
      <c r="L65" s="18">
        <v>1.2045049999999999</v>
      </c>
      <c r="M65" s="17">
        <v>-3.1549330000000002</v>
      </c>
      <c r="N65" s="18">
        <v>4.2508710000000001</v>
      </c>
      <c r="O65" s="6">
        <v>1</v>
      </c>
      <c r="P65" s="33"/>
      <c r="Q65" s="4">
        <v>1</v>
      </c>
    </row>
    <row r="66" spans="1:26" hidden="1" x14ac:dyDescent="0.35">
      <c r="C66" s="33" t="s">
        <v>9</v>
      </c>
      <c r="D66" s="4" t="s">
        <v>2</v>
      </c>
      <c r="E66" s="4">
        <v>1500</v>
      </c>
      <c r="F66" s="4">
        <v>6000</v>
      </c>
      <c r="G66" s="17">
        <v>1.593137</v>
      </c>
      <c r="H66" s="18">
        <v>82.404619999999994</v>
      </c>
      <c r="I66" s="17">
        <v>12.999980000000001</v>
      </c>
      <c r="J66" s="18">
        <v>-3.1975439999999998E-4</v>
      </c>
      <c r="K66" s="17">
        <v>0.117897</v>
      </c>
      <c r="L66" s="18">
        <v>1.496076E-3</v>
      </c>
      <c r="M66" s="17">
        <v>-1.046272E-3</v>
      </c>
      <c r="N66" s="18">
        <v>3.8618760000000001E-4</v>
      </c>
      <c r="O66" s="6">
        <v>1</v>
      </c>
      <c r="P66" s="33"/>
      <c r="Q66" s="4">
        <v>1</v>
      </c>
    </row>
    <row r="67" spans="1:26" hidden="1" x14ac:dyDescent="0.35">
      <c r="C67" s="33" t="s">
        <v>8</v>
      </c>
      <c r="D67" s="4" t="s">
        <v>2</v>
      </c>
      <c r="E67" s="4">
        <v>298.14999999999998</v>
      </c>
      <c r="F67" s="4">
        <v>1500</v>
      </c>
      <c r="G67" s="17">
        <v>1.310376</v>
      </c>
      <c r="H67" s="18">
        <v>92.080410000000001</v>
      </c>
      <c r="I67" s="17">
        <v>15.90657</v>
      </c>
      <c r="J67" s="18">
        <v>-3.1941130000000002E-4</v>
      </c>
      <c r="K67" s="17">
        <v>0.14695030000000001</v>
      </c>
      <c r="L67" s="18">
        <v>1.017784</v>
      </c>
      <c r="M67" s="17">
        <v>-2.6653210000000001</v>
      </c>
      <c r="N67" s="18">
        <v>3.5898659999999998</v>
      </c>
      <c r="O67" s="6">
        <v>1</v>
      </c>
      <c r="P67" s="33"/>
      <c r="Q67" s="4">
        <v>1</v>
      </c>
    </row>
    <row r="68" spans="1:26" hidden="1" x14ac:dyDescent="0.35">
      <c r="C68" s="33" t="s">
        <v>8</v>
      </c>
      <c r="D68" s="5" t="s">
        <v>2</v>
      </c>
      <c r="E68" s="4">
        <v>1500</v>
      </c>
      <c r="F68" s="4">
        <v>6000</v>
      </c>
      <c r="G68" s="17">
        <v>1.310376</v>
      </c>
      <c r="H68" s="18">
        <v>92.335269999999994</v>
      </c>
      <c r="I68" s="17">
        <v>15.99952</v>
      </c>
      <c r="J68" s="18">
        <v>-3.5474159999999999E-4</v>
      </c>
      <c r="K68" s="17">
        <v>0.151062</v>
      </c>
      <c r="L68" s="18">
        <v>3.4559289999999999E-3</v>
      </c>
      <c r="M68" s="17">
        <v>-2.5853989999999999E-3</v>
      </c>
      <c r="N68" s="18">
        <v>9.828650999999999E-4</v>
      </c>
      <c r="O68" s="6">
        <v>1</v>
      </c>
      <c r="P68" s="33"/>
      <c r="Q68" s="4">
        <v>1</v>
      </c>
    </row>
    <row r="69" spans="1:26" hidden="1" x14ac:dyDescent="0.35">
      <c r="C69" s="33" t="s">
        <v>7</v>
      </c>
      <c r="D69" s="5" t="s">
        <v>2</v>
      </c>
      <c r="E69" s="4">
        <v>298.14999999999998</v>
      </c>
      <c r="F69" s="4">
        <v>1500</v>
      </c>
      <c r="G69" s="17">
        <v>1.3764209999999999</v>
      </c>
      <c r="H69" s="18">
        <v>106.2873</v>
      </c>
      <c r="I69" s="17">
        <v>18.87481</v>
      </c>
      <c r="J69" s="18">
        <v>-3.9471889999999999E-4</v>
      </c>
      <c r="K69" s="17">
        <v>0.18061250000000001</v>
      </c>
      <c r="L69" s="18">
        <v>1.363551</v>
      </c>
      <c r="M69" s="17">
        <v>-3.5720109999999998</v>
      </c>
      <c r="N69" s="18">
        <v>4.8116719999999997</v>
      </c>
      <c r="O69" s="6">
        <v>1</v>
      </c>
      <c r="P69" s="33"/>
      <c r="Q69" s="4">
        <v>1</v>
      </c>
    </row>
    <row r="70" spans="1:26" hidden="1" x14ac:dyDescent="0.35">
      <c r="C70" s="33" t="s">
        <v>7</v>
      </c>
      <c r="D70" s="5" t="s">
        <v>2</v>
      </c>
      <c r="E70" s="4">
        <v>1500</v>
      </c>
      <c r="F70" s="4">
        <v>6000</v>
      </c>
      <c r="G70" s="17">
        <v>1.3764209999999999</v>
      </c>
      <c r="H70" s="18">
        <v>106.6301</v>
      </c>
      <c r="I70" s="17">
        <v>19.000219999999999</v>
      </c>
      <c r="J70" s="18">
        <v>-4.455711E-4</v>
      </c>
      <c r="K70" s="17">
        <v>0.18625030000000001</v>
      </c>
      <c r="L70" s="18">
        <v>1.466539E-3</v>
      </c>
      <c r="M70" s="17">
        <v>-9.910276E-4</v>
      </c>
      <c r="N70" s="18">
        <v>3.4599259999999998E-4</v>
      </c>
      <c r="O70" s="6">
        <v>1</v>
      </c>
      <c r="P70" s="33"/>
      <c r="Q70" s="4">
        <v>1</v>
      </c>
    </row>
    <row r="71" spans="1:26" hidden="1" x14ac:dyDescent="0.35">
      <c r="C71" s="33" t="s">
        <v>6</v>
      </c>
      <c r="D71" s="5" t="s">
        <v>2</v>
      </c>
      <c r="E71" s="4">
        <v>298.14999999999998</v>
      </c>
      <c r="F71" s="4">
        <v>1500</v>
      </c>
      <c r="G71" s="17">
        <v>1.4184099999999999</v>
      </c>
      <c r="H71" s="18">
        <v>118.3836</v>
      </c>
      <c r="I71" s="17">
        <v>21.846499999999999</v>
      </c>
      <c r="J71" s="18">
        <v>-4.55196E-4</v>
      </c>
      <c r="K71" s="17">
        <v>0.2049985</v>
      </c>
      <c r="L71" s="18">
        <v>1.669807</v>
      </c>
      <c r="M71" s="17">
        <v>-4.3705270000000001</v>
      </c>
      <c r="N71" s="18">
        <v>5.8827660000000002</v>
      </c>
      <c r="O71" s="6">
        <v>1</v>
      </c>
      <c r="P71" s="33"/>
      <c r="Q71" s="4">
        <v>1</v>
      </c>
    </row>
    <row r="72" spans="1:26" hidden="1" x14ac:dyDescent="0.35">
      <c r="C72" s="33" t="s">
        <v>6</v>
      </c>
      <c r="D72" s="5" t="s">
        <v>2</v>
      </c>
      <c r="E72" s="43">
        <v>1500</v>
      </c>
      <c r="F72" s="4">
        <v>6000</v>
      </c>
      <c r="G72" s="17">
        <v>1.4184099999999999</v>
      </c>
      <c r="H72" s="18">
        <v>118.80549999999999</v>
      </c>
      <c r="I72" s="17">
        <v>22.001380000000001</v>
      </c>
      <c r="J72" s="18">
        <v>-5.2171050000000005E-4</v>
      </c>
      <c r="K72" s="17">
        <v>0.21207509999999999</v>
      </c>
      <c r="L72" s="18">
        <v>-2.09779E-3</v>
      </c>
      <c r="M72" s="17">
        <v>1.840469E-3</v>
      </c>
      <c r="N72" s="18">
        <v>-7.697003E-4</v>
      </c>
      <c r="O72" s="6">
        <v>1</v>
      </c>
      <c r="P72" s="33"/>
      <c r="Q72" s="4">
        <v>1</v>
      </c>
    </row>
    <row r="73" spans="1:26" x14ac:dyDescent="0.35">
      <c r="C73" s="4"/>
      <c r="D73" s="5"/>
      <c r="E73" s="4"/>
      <c r="F73" s="4"/>
      <c r="G73" s="18"/>
      <c r="H73" s="18"/>
      <c r="I73" s="18"/>
      <c r="J73" s="18"/>
      <c r="K73" s="18"/>
      <c r="L73" s="18"/>
      <c r="M73" s="18"/>
      <c r="N73" s="18"/>
    </row>
    <row r="74" spans="1:26" x14ac:dyDescent="0.35">
      <c r="C74" s="4"/>
      <c r="D74" s="5"/>
      <c r="E74" s="4"/>
      <c r="F74" s="4"/>
      <c r="G74" s="18"/>
      <c r="H74" s="18"/>
      <c r="I74" s="18"/>
      <c r="J74" s="18"/>
      <c r="K74" s="18"/>
      <c r="L74" s="18"/>
      <c r="M74" s="18"/>
      <c r="N74" s="18"/>
    </row>
    <row r="75" spans="1:26" s="1" customFormat="1" x14ac:dyDescent="0.35">
      <c r="A75" s="3"/>
      <c r="B75" s="3"/>
      <c r="C75" s="4"/>
      <c r="D75" s="5"/>
      <c r="E75" s="4"/>
      <c r="F75" s="4"/>
      <c r="G75" s="18"/>
      <c r="H75" s="18"/>
      <c r="I75" s="18"/>
      <c r="J75" s="18"/>
      <c r="K75" s="18"/>
      <c r="L75" s="18"/>
      <c r="M75" s="18"/>
      <c r="N75" s="18"/>
      <c r="P75"/>
      <c r="Q75"/>
      <c r="R75"/>
      <c r="S75"/>
      <c r="T75"/>
      <c r="U75"/>
      <c r="V75"/>
      <c r="W75"/>
      <c r="X75"/>
      <c r="Y75"/>
      <c r="Z75"/>
    </row>
    <row r="76" spans="1:26" s="1" customFormat="1" x14ac:dyDescent="0.35">
      <c r="A76" s="3"/>
      <c r="B76" s="3"/>
      <c r="C76" s="4"/>
      <c r="D76" s="5"/>
      <c r="E76" s="4"/>
      <c r="F76" s="4"/>
      <c r="G76" s="18"/>
      <c r="H76" s="18"/>
      <c r="I76" s="18"/>
      <c r="J76" s="18"/>
      <c r="K76" s="18"/>
      <c r="L76" s="18"/>
      <c r="M76" s="18"/>
      <c r="N76" s="18"/>
      <c r="P76"/>
      <c r="Q76"/>
      <c r="R76"/>
      <c r="S76"/>
      <c r="T76"/>
      <c r="U76"/>
      <c r="V76"/>
      <c r="W76"/>
      <c r="X76"/>
      <c r="Y76"/>
      <c r="Z76"/>
    </row>
    <row r="77" spans="1:26" s="1" customFormat="1" x14ac:dyDescent="0.35">
      <c r="A77" s="3"/>
      <c r="B77" s="3"/>
      <c r="C77" s="4"/>
      <c r="D77" s="5"/>
      <c r="E77" s="4"/>
      <c r="F77" s="4"/>
      <c r="G77" s="18"/>
      <c r="H77" s="18"/>
      <c r="I77" s="18"/>
      <c r="J77" s="18"/>
      <c r="K77" s="18"/>
      <c r="L77" s="18"/>
      <c r="M77" s="18"/>
      <c r="N77" s="18"/>
      <c r="P77"/>
      <c r="Q77"/>
      <c r="R77"/>
      <c r="S77"/>
      <c r="T77"/>
      <c r="U77"/>
      <c r="V77"/>
      <c r="W77"/>
      <c r="X77"/>
      <c r="Y77"/>
      <c r="Z77"/>
    </row>
    <row r="78" spans="1:26" s="1" customFormat="1" x14ac:dyDescent="0.35">
      <c r="A78" s="3"/>
      <c r="B78" s="3"/>
      <c r="C78" s="4"/>
      <c r="D78" s="5"/>
      <c r="E78" s="4"/>
      <c r="F78" s="4"/>
      <c r="G78" s="18"/>
      <c r="H78" s="18"/>
      <c r="I78" s="18"/>
      <c r="J78" s="18"/>
      <c r="K78" s="18"/>
      <c r="L78" s="18"/>
      <c r="M78" s="18"/>
      <c r="N78" s="18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8"/>
      <c r="H79" s="18"/>
      <c r="I79" s="18"/>
      <c r="J79" s="18"/>
      <c r="K79" s="18"/>
      <c r="L79" s="18"/>
      <c r="M79" s="18"/>
      <c r="N79" s="18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8"/>
      <c r="H80" s="18"/>
      <c r="I80" s="18"/>
      <c r="J80" s="18"/>
      <c r="K80" s="18"/>
      <c r="L80" s="18"/>
      <c r="M80" s="18"/>
      <c r="N80" s="18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8"/>
      <c r="H81" s="18"/>
      <c r="I81" s="18"/>
      <c r="J81" s="18"/>
      <c r="K81" s="18"/>
      <c r="L81" s="18"/>
      <c r="M81" s="18"/>
      <c r="N81" s="18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8"/>
      <c r="H82" s="18"/>
      <c r="I82" s="18"/>
      <c r="J82" s="18"/>
      <c r="K82" s="18"/>
      <c r="L82" s="18"/>
      <c r="M82" s="18"/>
      <c r="N82" s="18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8"/>
      <c r="H83" s="18"/>
      <c r="I83" s="18"/>
      <c r="J83" s="18"/>
      <c r="K83" s="18"/>
      <c r="L83" s="18"/>
      <c r="M83" s="18"/>
      <c r="N83" s="18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8"/>
      <c r="H84" s="18"/>
      <c r="I84" s="18"/>
      <c r="J84" s="18"/>
      <c r="K84" s="18"/>
      <c r="L84" s="18"/>
      <c r="M84" s="18"/>
      <c r="N84" s="18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8"/>
      <c r="H85" s="18"/>
      <c r="I85" s="18"/>
      <c r="J85" s="18"/>
      <c r="K85" s="18"/>
      <c r="L85" s="18"/>
      <c r="M85" s="18"/>
      <c r="N85" s="18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8"/>
      <c r="H86" s="18"/>
      <c r="I86" s="18"/>
      <c r="J86" s="18"/>
      <c r="K86" s="18"/>
      <c r="L86" s="18"/>
      <c r="M86" s="18"/>
      <c r="N86" s="18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8"/>
      <c r="H87" s="18"/>
      <c r="I87" s="18"/>
      <c r="J87" s="18"/>
      <c r="K87" s="18"/>
      <c r="L87" s="18"/>
      <c r="M87" s="18"/>
      <c r="N87" s="18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8"/>
      <c r="H88" s="18"/>
      <c r="I88" s="18"/>
      <c r="J88" s="18"/>
      <c r="K88" s="18"/>
      <c r="L88" s="18"/>
      <c r="M88" s="18"/>
      <c r="N88" s="18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8"/>
      <c r="H89" s="18"/>
      <c r="I89" s="18"/>
      <c r="J89" s="18"/>
      <c r="K89" s="18"/>
      <c r="L89" s="18"/>
      <c r="M89" s="18"/>
      <c r="N89" s="18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8"/>
      <c r="H90" s="18"/>
      <c r="I90" s="18"/>
      <c r="J90" s="18"/>
      <c r="K90" s="18"/>
      <c r="L90" s="18"/>
      <c r="M90" s="18"/>
      <c r="N90" s="18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8"/>
      <c r="H91" s="18"/>
      <c r="I91" s="18"/>
      <c r="J91" s="18"/>
      <c r="K91" s="18"/>
      <c r="L91" s="18"/>
      <c r="M91" s="18"/>
      <c r="N91" s="18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8"/>
      <c r="H92" s="18"/>
      <c r="I92" s="18"/>
      <c r="J92" s="18"/>
      <c r="K92" s="18"/>
      <c r="L92" s="18"/>
      <c r="M92" s="18"/>
      <c r="N92" s="18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8"/>
      <c r="H93" s="18"/>
      <c r="I93" s="18"/>
      <c r="J93" s="18"/>
      <c r="K93" s="18"/>
      <c r="L93" s="18"/>
      <c r="M93" s="18"/>
      <c r="N93" s="18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8"/>
      <c r="H94" s="18"/>
      <c r="I94" s="18"/>
      <c r="J94" s="18"/>
      <c r="K94" s="18"/>
      <c r="L94" s="18"/>
      <c r="M94" s="18"/>
      <c r="N94" s="18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8"/>
      <c r="H95" s="18"/>
      <c r="I95" s="18"/>
      <c r="J95" s="18"/>
      <c r="K95" s="18"/>
      <c r="L95" s="18"/>
      <c r="M95" s="18"/>
      <c r="N95" s="18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8"/>
      <c r="H96" s="18"/>
      <c r="I96" s="18"/>
      <c r="J96" s="18"/>
      <c r="K96" s="18"/>
      <c r="L96" s="18"/>
      <c r="M96" s="18"/>
      <c r="N96" s="18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8"/>
      <c r="H97" s="18"/>
      <c r="I97" s="18"/>
      <c r="J97" s="18"/>
      <c r="K97" s="18"/>
      <c r="L97" s="18"/>
      <c r="M97" s="18"/>
      <c r="N97" s="18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8"/>
      <c r="H98" s="18"/>
      <c r="I98" s="18"/>
      <c r="J98" s="18"/>
      <c r="K98" s="18"/>
      <c r="L98" s="18"/>
      <c r="M98" s="18"/>
      <c r="N98" s="18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8"/>
      <c r="H99" s="18"/>
      <c r="I99" s="18"/>
      <c r="J99" s="18"/>
      <c r="K99" s="18"/>
      <c r="L99" s="18"/>
      <c r="M99" s="18"/>
      <c r="N99" s="18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8"/>
      <c r="H100" s="18"/>
      <c r="I100" s="18"/>
      <c r="J100" s="18"/>
      <c r="K100" s="18"/>
      <c r="L100" s="18"/>
      <c r="M100" s="18"/>
      <c r="N100" s="18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8"/>
      <c r="H101" s="18"/>
      <c r="I101" s="18"/>
      <c r="J101" s="18"/>
      <c r="K101" s="18"/>
      <c r="L101" s="18"/>
      <c r="M101" s="18"/>
      <c r="N101" s="18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8"/>
      <c r="H102" s="18"/>
      <c r="I102" s="18"/>
      <c r="J102" s="18"/>
      <c r="K102" s="18"/>
      <c r="L102" s="18"/>
      <c r="M102" s="18"/>
      <c r="N102" s="18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8"/>
      <c r="H103" s="18"/>
      <c r="I103" s="18"/>
      <c r="J103" s="18"/>
      <c r="K103" s="18"/>
      <c r="L103" s="18"/>
      <c r="M103" s="18"/>
      <c r="N103" s="18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8"/>
      <c r="H104" s="18"/>
      <c r="I104" s="18"/>
      <c r="J104" s="18"/>
      <c r="K104" s="18"/>
      <c r="L104" s="18"/>
      <c r="M104" s="18"/>
      <c r="N104" s="18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8"/>
      <c r="H105" s="18"/>
      <c r="I105" s="18"/>
      <c r="J105" s="18"/>
      <c r="K105" s="18"/>
      <c r="L105" s="18"/>
      <c r="M105" s="18"/>
      <c r="N105" s="18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8"/>
      <c r="H106" s="18"/>
      <c r="I106" s="18"/>
      <c r="J106" s="18"/>
      <c r="K106" s="18"/>
      <c r="L106" s="18"/>
      <c r="M106" s="18"/>
      <c r="N106" s="18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8"/>
      <c r="H107" s="18"/>
      <c r="I107" s="18"/>
      <c r="J107" s="18"/>
      <c r="K107" s="18"/>
      <c r="L107" s="18"/>
      <c r="M107" s="18"/>
      <c r="N107" s="18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8"/>
      <c r="H108" s="18"/>
      <c r="I108" s="18"/>
      <c r="J108" s="18"/>
      <c r="K108" s="18"/>
      <c r="L108" s="18"/>
      <c r="M108" s="18"/>
      <c r="N108" s="18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8"/>
      <c r="H109" s="18"/>
      <c r="I109" s="18"/>
      <c r="J109" s="18"/>
      <c r="K109" s="18"/>
      <c r="L109" s="18"/>
      <c r="M109" s="18"/>
      <c r="N109" s="18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8"/>
      <c r="H110" s="18"/>
      <c r="I110" s="18"/>
      <c r="J110" s="18"/>
      <c r="K110" s="18"/>
      <c r="L110" s="18"/>
      <c r="M110" s="18"/>
      <c r="N110" s="18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8"/>
      <c r="H111" s="18"/>
      <c r="I111" s="18"/>
      <c r="J111" s="18"/>
      <c r="K111" s="18"/>
      <c r="L111" s="18"/>
      <c r="M111" s="18"/>
      <c r="N111" s="18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8"/>
      <c r="H112" s="18"/>
      <c r="I112" s="18"/>
      <c r="J112" s="18"/>
      <c r="K112" s="18"/>
      <c r="L112" s="18"/>
      <c r="M112" s="18"/>
      <c r="N112" s="18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8"/>
      <c r="H113" s="18"/>
      <c r="I113" s="18"/>
      <c r="J113" s="18"/>
      <c r="K113" s="18"/>
      <c r="L113" s="18"/>
      <c r="M113" s="18"/>
      <c r="N113" s="18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8"/>
      <c r="H114" s="18"/>
      <c r="I114" s="18"/>
      <c r="J114" s="18"/>
      <c r="K114" s="18"/>
      <c r="L114" s="18"/>
      <c r="M114" s="18"/>
      <c r="N114" s="18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8"/>
      <c r="H115" s="18"/>
      <c r="I115" s="18"/>
      <c r="J115" s="18"/>
      <c r="K115" s="18"/>
      <c r="L115" s="18"/>
      <c r="M115" s="18"/>
      <c r="N115" s="18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8"/>
      <c r="H116" s="18"/>
      <c r="I116" s="18"/>
      <c r="J116" s="18"/>
      <c r="K116" s="18"/>
      <c r="L116" s="18"/>
      <c r="M116" s="18"/>
      <c r="N116" s="18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8"/>
      <c r="H117" s="18"/>
      <c r="I117" s="18"/>
      <c r="J117" s="18"/>
      <c r="K117" s="18"/>
      <c r="L117" s="18"/>
      <c r="M117" s="18"/>
      <c r="N117" s="18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8"/>
      <c r="H118" s="18"/>
      <c r="I118" s="18"/>
      <c r="J118" s="18"/>
      <c r="K118" s="18"/>
      <c r="L118" s="18"/>
      <c r="M118" s="18"/>
      <c r="N118" s="18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8"/>
      <c r="H119" s="18"/>
      <c r="I119" s="18"/>
      <c r="J119" s="18"/>
      <c r="K119" s="18"/>
      <c r="L119" s="18"/>
      <c r="M119" s="18"/>
      <c r="N119" s="18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8"/>
      <c r="H120" s="18"/>
      <c r="I120" s="18"/>
      <c r="J120" s="18"/>
      <c r="K120" s="18"/>
      <c r="L120" s="18"/>
      <c r="M120" s="18"/>
      <c r="N120" s="18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8"/>
      <c r="H121" s="18"/>
      <c r="I121" s="18"/>
      <c r="J121" s="18"/>
      <c r="K121" s="18"/>
      <c r="L121" s="18"/>
      <c r="M121" s="18"/>
      <c r="N121" s="18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8"/>
      <c r="H122" s="18"/>
      <c r="I122" s="18"/>
      <c r="J122" s="18"/>
      <c r="K122" s="18"/>
      <c r="L122" s="18"/>
      <c r="M122" s="18"/>
      <c r="N122" s="18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8"/>
      <c r="H123" s="18"/>
      <c r="I123" s="18"/>
      <c r="J123" s="18"/>
      <c r="K123" s="18"/>
      <c r="L123" s="18"/>
      <c r="M123" s="18"/>
      <c r="N123" s="18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8"/>
      <c r="H124" s="18"/>
      <c r="I124" s="18"/>
      <c r="J124" s="18"/>
      <c r="K124" s="18"/>
      <c r="L124" s="18"/>
      <c r="M124" s="18"/>
      <c r="N124" s="18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8"/>
      <c r="H125" s="18"/>
      <c r="I125" s="18"/>
      <c r="J125" s="18"/>
      <c r="K125" s="18"/>
      <c r="L125" s="18"/>
      <c r="M125" s="18"/>
      <c r="N125" s="18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8"/>
      <c r="H126" s="18"/>
      <c r="I126" s="18"/>
      <c r="J126" s="18"/>
      <c r="K126" s="18"/>
      <c r="L126" s="18"/>
      <c r="M126" s="18"/>
      <c r="N126" s="18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8"/>
      <c r="H127" s="18"/>
      <c r="I127" s="18"/>
      <c r="J127" s="18"/>
      <c r="K127" s="18"/>
      <c r="L127" s="18"/>
      <c r="M127" s="18"/>
      <c r="N127" s="18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8"/>
      <c r="H128" s="18"/>
      <c r="I128" s="18"/>
      <c r="J128" s="18"/>
      <c r="K128" s="18"/>
      <c r="L128" s="18"/>
      <c r="M128" s="18"/>
      <c r="N128" s="18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8"/>
      <c r="H129" s="18"/>
      <c r="I129" s="18"/>
      <c r="J129" s="18"/>
      <c r="K129" s="18"/>
      <c r="L129" s="18"/>
      <c r="M129" s="18"/>
      <c r="N129" s="18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8"/>
      <c r="H130" s="18"/>
      <c r="I130" s="18"/>
      <c r="J130" s="18"/>
      <c r="K130" s="18"/>
      <c r="L130" s="18"/>
      <c r="M130" s="18"/>
      <c r="N130" s="18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8"/>
      <c r="H131" s="18"/>
      <c r="I131" s="18"/>
      <c r="J131" s="18"/>
      <c r="K131" s="18"/>
      <c r="L131" s="18"/>
      <c r="M131" s="18"/>
      <c r="N131" s="18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8"/>
      <c r="H132" s="18"/>
      <c r="I132" s="18"/>
      <c r="J132" s="18"/>
      <c r="K132" s="18"/>
      <c r="L132" s="18"/>
      <c r="M132" s="18"/>
      <c r="N132" s="18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8"/>
      <c r="H133" s="18"/>
      <c r="I133" s="18"/>
      <c r="J133" s="18"/>
      <c r="K133" s="18"/>
      <c r="L133" s="18"/>
      <c r="M133" s="18"/>
      <c r="N133" s="18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8"/>
      <c r="H134" s="18"/>
      <c r="I134" s="18"/>
      <c r="J134" s="18"/>
      <c r="K134" s="18"/>
      <c r="L134" s="18"/>
      <c r="M134" s="18"/>
      <c r="N134" s="18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8"/>
      <c r="H135" s="18"/>
      <c r="I135" s="18"/>
      <c r="J135" s="18"/>
      <c r="K135" s="18"/>
      <c r="L135" s="18"/>
      <c r="M135" s="18"/>
      <c r="N135" s="18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8"/>
      <c r="H136" s="18"/>
      <c r="I136" s="18"/>
      <c r="J136" s="18"/>
      <c r="K136" s="18"/>
      <c r="L136" s="18"/>
      <c r="M136" s="18"/>
      <c r="N136" s="18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8"/>
      <c r="H137" s="18"/>
      <c r="I137" s="18"/>
      <c r="J137" s="18"/>
      <c r="K137" s="18"/>
      <c r="L137" s="18"/>
      <c r="M137" s="18"/>
      <c r="N137" s="18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8"/>
      <c r="H138" s="18"/>
      <c r="I138" s="18"/>
      <c r="J138" s="18"/>
      <c r="K138" s="18"/>
      <c r="L138" s="18"/>
      <c r="M138" s="18"/>
      <c r="N138" s="18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8"/>
      <c r="H139" s="18"/>
      <c r="I139" s="18"/>
      <c r="J139" s="18"/>
      <c r="K139" s="18"/>
      <c r="L139" s="18"/>
      <c r="M139" s="18"/>
      <c r="N139" s="18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8"/>
      <c r="H140" s="18"/>
      <c r="I140" s="18"/>
      <c r="J140" s="18"/>
      <c r="K140" s="18"/>
      <c r="L140" s="18"/>
      <c r="M140" s="18"/>
      <c r="N140" s="18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8"/>
      <c r="H141" s="18"/>
      <c r="I141" s="18"/>
      <c r="J141" s="18"/>
      <c r="K141" s="18"/>
      <c r="L141" s="18"/>
      <c r="M141" s="18"/>
      <c r="N141" s="18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8"/>
      <c r="H142" s="18"/>
      <c r="I142" s="18"/>
      <c r="J142" s="18"/>
      <c r="K142" s="18"/>
      <c r="L142" s="18"/>
      <c r="M142" s="18"/>
      <c r="N142" s="18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8"/>
      <c r="H143" s="18"/>
      <c r="I143" s="18"/>
      <c r="J143" s="18"/>
      <c r="K143" s="18"/>
      <c r="L143" s="18"/>
      <c r="M143" s="18"/>
      <c r="N143" s="18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8"/>
      <c r="H144" s="18"/>
      <c r="I144" s="18"/>
      <c r="J144" s="18"/>
      <c r="K144" s="18"/>
      <c r="L144" s="18"/>
      <c r="M144" s="18"/>
      <c r="N144" s="18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8"/>
      <c r="H145" s="18"/>
      <c r="I145" s="18"/>
      <c r="J145" s="18"/>
      <c r="K145" s="18"/>
      <c r="L145" s="18"/>
      <c r="M145" s="18"/>
      <c r="N145" s="18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8"/>
      <c r="H146" s="18"/>
      <c r="I146" s="18"/>
      <c r="J146" s="18"/>
      <c r="K146" s="18"/>
      <c r="L146" s="18"/>
      <c r="M146" s="18"/>
      <c r="N146" s="18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8"/>
      <c r="H147" s="18"/>
      <c r="I147" s="18"/>
      <c r="J147" s="18"/>
      <c r="K147" s="18"/>
      <c r="L147" s="18"/>
      <c r="M147" s="18"/>
      <c r="N147" s="18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8"/>
      <c r="H148" s="18"/>
      <c r="I148" s="18"/>
      <c r="J148" s="18"/>
      <c r="K148" s="18"/>
      <c r="L148" s="18"/>
      <c r="M148" s="18"/>
      <c r="N148" s="18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8"/>
      <c r="H149" s="18"/>
      <c r="I149" s="18"/>
      <c r="J149" s="18"/>
      <c r="K149" s="18"/>
      <c r="L149" s="18"/>
      <c r="M149" s="18"/>
      <c r="N149" s="18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8"/>
      <c r="H150" s="18"/>
      <c r="I150" s="18"/>
      <c r="J150" s="18"/>
      <c r="K150" s="18"/>
      <c r="L150" s="18"/>
      <c r="M150" s="18"/>
      <c r="N150" s="18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8"/>
      <c r="H151" s="18"/>
      <c r="I151" s="18"/>
      <c r="J151" s="18"/>
      <c r="K151" s="18"/>
      <c r="L151" s="18"/>
      <c r="M151" s="18"/>
      <c r="N151" s="18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8"/>
      <c r="H152" s="18"/>
      <c r="I152" s="18"/>
      <c r="J152" s="18"/>
      <c r="K152" s="18"/>
      <c r="L152" s="18"/>
      <c r="M152" s="18"/>
      <c r="N152" s="18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8"/>
      <c r="H153" s="18"/>
      <c r="I153" s="18"/>
      <c r="J153" s="18"/>
      <c r="K153" s="18"/>
      <c r="L153" s="18"/>
      <c r="M153" s="18"/>
      <c r="N153" s="18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8"/>
      <c r="H154" s="18"/>
      <c r="I154" s="18"/>
      <c r="J154" s="18"/>
      <c r="K154" s="18"/>
      <c r="L154" s="18"/>
      <c r="M154" s="18"/>
      <c r="N154" s="18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8"/>
      <c r="H155" s="18"/>
      <c r="I155" s="18"/>
      <c r="J155" s="18"/>
      <c r="K155" s="18"/>
      <c r="L155" s="18"/>
      <c r="M155" s="18"/>
      <c r="N155" s="18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8"/>
      <c r="H156" s="18"/>
      <c r="I156" s="18"/>
      <c r="J156" s="18"/>
      <c r="K156" s="18"/>
      <c r="L156" s="18"/>
      <c r="M156" s="18"/>
      <c r="N156" s="18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8"/>
      <c r="H157" s="18"/>
      <c r="I157" s="18"/>
      <c r="J157" s="18"/>
      <c r="K157" s="18"/>
      <c r="L157" s="18"/>
      <c r="M157" s="18"/>
      <c r="N157" s="18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8"/>
      <c r="H158" s="18"/>
      <c r="I158" s="18"/>
      <c r="J158" s="18"/>
      <c r="K158" s="18"/>
      <c r="L158" s="18"/>
      <c r="M158" s="18"/>
      <c r="N158" s="18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8"/>
      <c r="H159" s="18"/>
      <c r="I159" s="18"/>
      <c r="J159" s="18"/>
      <c r="K159" s="18"/>
      <c r="L159" s="18"/>
      <c r="M159" s="18"/>
      <c r="N159" s="18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8"/>
      <c r="H160" s="18"/>
      <c r="I160" s="18"/>
      <c r="J160" s="18"/>
      <c r="K160" s="18"/>
      <c r="L160" s="18"/>
      <c r="M160" s="18"/>
      <c r="N160" s="18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8"/>
      <c r="H161" s="18"/>
      <c r="I161" s="18"/>
      <c r="J161" s="18"/>
      <c r="K161" s="18"/>
      <c r="L161" s="18"/>
      <c r="M161" s="18"/>
      <c r="N161" s="18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8"/>
      <c r="H162" s="18"/>
      <c r="I162" s="18"/>
      <c r="J162" s="18"/>
      <c r="K162" s="18"/>
      <c r="L162" s="18"/>
      <c r="M162" s="18"/>
      <c r="N162" s="18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8"/>
      <c r="H163" s="18"/>
      <c r="I163" s="18"/>
      <c r="J163" s="18"/>
      <c r="K163" s="18"/>
      <c r="L163" s="18"/>
      <c r="M163" s="18"/>
      <c r="N163" s="18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8"/>
      <c r="H164" s="18"/>
      <c r="I164" s="18"/>
      <c r="J164" s="18"/>
      <c r="K164" s="18"/>
      <c r="L164" s="18"/>
      <c r="M164" s="18"/>
      <c r="N164" s="18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8"/>
      <c r="H165" s="18"/>
      <c r="I165" s="18"/>
      <c r="J165" s="18"/>
      <c r="K165" s="18"/>
      <c r="L165" s="18"/>
      <c r="M165" s="18"/>
      <c r="N165" s="18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8"/>
      <c r="H166" s="18"/>
      <c r="I166" s="18"/>
      <c r="J166" s="18"/>
      <c r="K166" s="18"/>
      <c r="L166" s="18"/>
      <c r="M166" s="18"/>
      <c r="N166" s="18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8"/>
      <c r="H167" s="18"/>
      <c r="I167" s="18"/>
      <c r="J167" s="18"/>
      <c r="K167" s="18"/>
      <c r="L167" s="18"/>
      <c r="M167" s="18"/>
      <c r="N167" s="18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8"/>
      <c r="H168" s="18"/>
      <c r="I168" s="18"/>
      <c r="J168" s="18"/>
      <c r="K168" s="18"/>
      <c r="L168" s="18"/>
      <c r="M168" s="18"/>
      <c r="N168" s="18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8"/>
      <c r="H169" s="18"/>
      <c r="I169" s="18"/>
      <c r="J169" s="18"/>
      <c r="K169" s="18"/>
      <c r="L169" s="18"/>
      <c r="M169" s="18"/>
      <c r="N169" s="18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8"/>
      <c r="H170" s="18"/>
      <c r="I170" s="18"/>
      <c r="J170" s="18"/>
      <c r="K170" s="18"/>
      <c r="L170" s="18"/>
      <c r="M170" s="18"/>
      <c r="N170" s="18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8"/>
      <c r="H171" s="18"/>
      <c r="I171" s="18"/>
      <c r="J171" s="18"/>
      <c r="K171" s="18"/>
      <c r="L171" s="18"/>
      <c r="M171" s="18"/>
      <c r="N171" s="18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8"/>
      <c r="H172" s="18"/>
      <c r="I172" s="18"/>
      <c r="J172" s="18"/>
      <c r="K172" s="18"/>
      <c r="L172" s="18"/>
      <c r="M172" s="18"/>
      <c r="N172" s="18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8"/>
      <c r="H173" s="18"/>
      <c r="I173" s="18"/>
      <c r="J173" s="18"/>
      <c r="K173" s="18"/>
      <c r="L173" s="18"/>
      <c r="M173" s="18"/>
      <c r="N173" s="18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8"/>
      <c r="H174" s="18"/>
      <c r="I174" s="18"/>
      <c r="J174" s="18"/>
      <c r="K174" s="18"/>
      <c r="L174" s="18"/>
      <c r="M174" s="18"/>
      <c r="N174" s="18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8"/>
      <c r="H175" s="18"/>
      <c r="I175" s="18"/>
      <c r="J175" s="18"/>
      <c r="K175" s="18"/>
      <c r="L175" s="18"/>
      <c r="M175" s="18"/>
      <c r="N175" s="18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8"/>
      <c r="H176" s="18"/>
      <c r="I176" s="18"/>
      <c r="J176" s="18"/>
      <c r="K176" s="18"/>
      <c r="L176" s="18"/>
      <c r="M176" s="18"/>
      <c r="N176" s="18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8"/>
      <c r="H177" s="18"/>
      <c r="I177" s="18"/>
      <c r="J177" s="18"/>
      <c r="K177" s="18"/>
      <c r="L177" s="18"/>
      <c r="M177" s="18"/>
      <c r="N177" s="18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8"/>
      <c r="H178" s="18"/>
      <c r="I178" s="18"/>
      <c r="J178" s="18"/>
      <c r="K178" s="18"/>
      <c r="L178" s="18"/>
      <c r="M178" s="18"/>
      <c r="N178" s="18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8"/>
      <c r="H179" s="18"/>
      <c r="I179" s="18"/>
      <c r="J179" s="18"/>
      <c r="K179" s="18"/>
      <c r="L179" s="18"/>
      <c r="M179" s="18"/>
      <c r="N179" s="18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8"/>
      <c r="H180" s="18"/>
      <c r="I180" s="18"/>
      <c r="J180" s="18"/>
      <c r="K180" s="18"/>
      <c r="L180" s="18"/>
      <c r="M180" s="18"/>
      <c r="N180" s="18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8"/>
      <c r="H181" s="18"/>
      <c r="I181" s="18"/>
      <c r="J181" s="18"/>
      <c r="K181" s="18"/>
      <c r="L181" s="18"/>
      <c r="M181" s="18"/>
      <c r="N181" s="18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8"/>
      <c r="H182" s="18"/>
      <c r="I182" s="18"/>
      <c r="J182" s="18"/>
      <c r="K182" s="18"/>
      <c r="L182" s="18"/>
      <c r="M182" s="18"/>
      <c r="N182" s="18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8"/>
      <c r="H183" s="18"/>
      <c r="I183" s="18"/>
      <c r="J183" s="18"/>
      <c r="K183" s="18"/>
      <c r="L183" s="18"/>
      <c r="M183" s="18"/>
      <c r="N183" s="18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8"/>
      <c r="H184" s="18"/>
      <c r="I184" s="18"/>
      <c r="J184" s="18"/>
      <c r="K184" s="18"/>
      <c r="L184" s="18"/>
      <c r="M184" s="18"/>
      <c r="N184" s="18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8"/>
      <c r="H185" s="18"/>
      <c r="I185" s="18"/>
      <c r="J185" s="18"/>
      <c r="K185" s="18"/>
      <c r="L185" s="18"/>
      <c r="M185" s="18"/>
      <c r="N185" s="18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8"/>
      <c r="H186" s="18"/>
      <c r="I186" s="18"/>
      <c r="J186" s="18"/>
      <c r="K186" s="18"/>
      <c r="L186" s="18"/>
      <c r="M186" s="18"/>
      <c r="N186" s="18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8"/>
      <c r="H187" s="18"/>
      <c r="I187" s="18"/>
      <c r="J187" s="18"/>
      <c r="K187" s="18"/>
      <c r="L187" s="18"/>
      <c r="M187" s="18"/>
      <c r="N187" s="18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8"/>
      <c r="H188" s="18"/>
      <c r="I188" s="18"/>
      <c r="J188" s="18"/>
      <c r="K188" s="18"/>
      <c r="L188" s="18"/>
      <c r="M188" s="18"/>
      <c r="N188" s="18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8"/>
      <c r="H189" s="18"/>
      <c r="I189" s="18"/>
      <c r="J189" s="18"/>
      <c r="K189" s="18"/>
      <c r="L189" s="18"/>
      <c r="M189" s="18"/>
      <c r="N189" s="18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8"/>
      <c r="H190" s="18"/>
      <c r="I190" s="18"/>
      <c r="J190" s="18"/>
      <c r="K190" s="18"/>
      <c r="L190" s="18"/>
      <c r="M190" s="18"/>
      <c r="N190" s="18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8"/>
      <c r="H191" s="18"/>
      <c r="I191" s="18"/>
      <c r="J191" s="18"/>
      <c r="K191" s="18"/>
      <c r="L191" s="18"/>
      <c r="M191" s="18"/>
      <c r="N191" s="18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8"/>
      <c r="H192" s="18"/>
      <c r="I192" s="18"/>
      <c r="J192" s="18"/>
      <c r="K192" s="18"/>
      <c r="L192" s="18"/>
      <c r="M192" s="18"/>
      <c r="N192" s="18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8"/>
      <c r="H193" s="18"/>
      <c r="I193" s="18"/>
      <c r="J193" s="18"/>
      <c r="K193" s="18"/>
      <c r="L193" s="18"/>
      <c r="M193" s="18"/>
      <c r="N193" s="18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8"/>
      <c r="H194" s="18"/>
      <c r="I194" s="18"/>
      <c r="J194" s="18"/>
      <c r="K194" s="18"/>
      <c r="L194" s="18"/>
      <c r="M194" s="18"/>
      <c r="N194" s="18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8"/>
      <c r="H195" s="18"/>
      <c r="I195" s="18"/>
      <c r="J195" s="18"/>
      <c r="K195" s="18"/>
      <c r="L195" s="18"/>
      <c r="M195" s="18"/>
      <c r="N195" s="18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8"/>
      <c r="H196" s="18"/>
      <c r="I196" s="18"/>
      <c r="J196" s="18"/>
      <c r="K196" s="18"/>
      <c r="L196" s="18"/>
      <c r="M196" s="18"/>
      <c r="N196" s="18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8"/>
      <c r="H197" s="18"/>
      <c r="I197" s="18"/>
      <c r="J197" s="18"/>
      <c r="K197" s="18"/>
      <c r="L197" s="18"/>
      <c r="M197" s="18"/>
      <c r="N197" s="18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8"/>
      <c r="H198" s="18"/>
      <c r="I198" s="18"/>
      <c r="J198" s="18"/>
      <c r="K198" s="18"/>
      <c r="L198" s="18"/>
      <c r="M198" s="18"/>
      <c r="N198" s="18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8"/>
      <c r="H199" s="18"/>
      <c r="I199" s="18"/>
      <c r="J199" s="18"/>
      <c r="K199" s="18"/>
      <c r="L199" s="18"/>
      <c r="M199" s="18"/>
      <c r="N199" s="18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8"/>
      <c r="H200" s="18"/>
      <c r="I200" s="18"/>
      <c r="J200" s="18"/>
      <c r="K200" s="18"/>
      <c r="L200" s="18"/>
      <c r="M200" s="18"/>
      <c r="N200" s="18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8"/>
      <c r="H201" s="18"/>
      <c r="I201" s="18"/>
      <c r="J201" s="18"/>
      <c r="K201" s="18"/>
      <c r="L201" s="18"/>
      <c r="M201" s="18"/>
      <c r="N201" s="18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8"/>
      <c r="H202" s="18"/>
      <c r="I202" s="18"/>
      <c r="J202" s="18"/>
      <c r="K202" s="18"/>
      <c r="L202" s="18"/>
      <c r="M202" s="18"/>
      <c r="N202" s="18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8"/>
      <c r="H203" s="18"/>
      <c r="I203" s="18"/>
      <c r="J203" s="18"/>
      <c r="K203" s="18"/>
      <c r="L203" s="18"/>
      <c r="M203" s="18"/>
      <c r="N203" s="18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8"/>
      <c r="H204" s="18"/>
      <c r="I204" s="18"/>
      <c r="J204" s="18"/>
      <c r="K204" s="18"/>
      <c r="L204" s="18"/>
      <c r="M204" s="18"/>
      <c r="N204" s="18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8"/>
      <c r="H205" s="18"/>
      <c r="I205" s="18"/>
      <c r="J205" s="18"/>
      <c r="K205" s="18"/>
      <c r="L205" s="18"/>
      <c r="M205" s="18"/>
      <c r="N205" s="18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8"/>
      <c r="H206" s="18"/>
      <c r="I206" s="18"/>
      <c r="J206" s="18"/>
      <c r="K206" s="18"/>
      <c r="L206" s="18"/>
      <c r="M206" s="18"/>
      <c r="N206" s="18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8"/>
      <c r="H207" s="18"/>
      <c r="I207" s="18"/>
      <c r="J207" s="18"/>
      <c r="K207" s="18"/>
      <c r="L207" s="18"/>
      <c r="M207" s="18"/>
      <c r="N207" s="18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8"/>
      <c r="H208" s="18"/>
      <c r="I208" s="18"/>
      <c r="J208" s="18"/>
      <c r="K208" s="18"/>
      <c r="L208" s="18"/>
      <c r="M208" s="18"/>
      <c r="N208" s="18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8"/>
      <c r="H209" s="18"/>
      <c r="I209" s="18"/>
      <c r="J209" s="18"/>
      <c r="K209" s="18"/>
      <c r="L209" s="18"/>
      <c r="M209" s="18"/>
      <c r="N209" s="18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8"/>
      <c r="H210" s="18"/>
      <c r="I210" s="18"/>
      <c r="J210" s="18"/>
      <c r="K210" s="18"/>
      <c r="L210" s="18"/>
      <c r="M210" s="18"/>
      <c r="N210" s="18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8"/>
      <c r="H211" s="18"/>
      <c r="I211" s="18"/>
      <c r="J211" s="18"/>
      <c r="K211" s="18"/>
      <c r="L211" s="18"/>
      <c r="M211" s="18"/>
      <c r="N211" s="18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8"/>
      <c r="H212" s="18"/>
      <c r="I212" s="18"/>
      <c r="J212" s="18"/>
      <c r="K212" s="18"/>
      <c r="L212" s="18"/>
      <c r="M212" s="18"/>
      <c r="N212" s="18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8"/>
      <c r="H213" s="18"/>
      <c r="I213" s="18"/>
      <c r="J213" s="18"/>
      <c r="K213" s="18"/>
      <c r="L213" s="18"/>
      <c r="M213" s="18"/>
      <c r="N213" s="18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8"/>
      <c r="H214" s="18"/>
      <c r="I214" s="18"/>
      <c r="J214" s="18"/>
      <c r="K214" s="18"/>
      <c r="L214" s="18"/>
      <c r="M214" s="18"/>
      <c r="N214" s="18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8"/>
      <c r="H215" s="18"/>
      <c r="I215" s="18"/>
      <c r="J215" s="18"/>
      <c r="K215" s="18"/>
      <c r="L215" s="18"/>
      <c r="M215" s="18"/>
      <c r="N215" s="18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8"/>
      <c r="H216" s="18"/>
      <c r="I216" s="18"/>
      <c r="J216" s="18"/>
      <c r="K216" s="18"/>
      <c r="L216" s="18"/>
      <c r="M216" s="18"/>
      <c r="N216" s="18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8"/>
      <c r="H217" s="18"/>
      <c r="I217" s="18"/>
      <c r="J217" s="18"/>
      <c r="K217" s="18"/>
      <c r="L217" s="18"/>
      <c r="M217" s="18"/>
      <c r="N217" s="18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8"/>
      <c r="H218" s="18"/>
      <c r="I218" s="18"/>
      <c r="J218" s="18"/>
      <c r="K218" s="18"/>
      <c r="L218" s="18"/>
      <c r="M218" s="18"/>
      <c r="N218" s="18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8"/>
      <c r="H219" s="18"/>
      <c r="I219" s="18"/>
      <c r="J219" s="18"/>
      <c r="K219" s="18"/>
      <c r="L219" s="18"/>
      <c r="M219" s="18"/>
      <c r="N219" s="18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8"/>
      <c r="H220" s="18"/>
      <c r="I220" s="18"/>
      <c r="J220" s="18"/>
      <c r="K220" s="18"/>
      <c r="L220" s="18"/>
      <c r="M220" s="18"/>
      <c r="N220" s="18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8"/>
      <c r="H221" s="18"/>
      <c r="I221" s="18"/>
      <c r="J221" s="18"/>
      <c r="K221" s="18"/>
      <c r="L221" s="18"/>
      <c r="M221" s="18"/>
      <c r="N221" s="18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8"/>
      <c r="H222" s="18"/>
      <c r="I222" s="18"/>
      <c r="J222" s="18"/>
      <c r="K222" s="18"/>
      <c r="L222" s="18"/>
      <c r="M222" s="18"/>
      <c r="N222" s="18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8"/>
      <c r="H223" s="18"/>
      <c r="I223" s="18"/>
      <c r="J223" s="18"/>
      <c r="K223" s="18"/>
      <c r="L223" s="18"/>
      <c r="M223" s="18"/>
      <c r="N223" s="18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8"/>
      <c r="H224" s="18"/>
      <c r="I224" s="18"/>
      <c r="J224" s="18"/>
      <c r="K224" s="18"/>
      <c r="L224" s="18"/>
      <c r="M224" s="18"/>
      <c r="N224" s="18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8"/>
      <c r="H225" s="18"/>
      <c r="I225" s="18"/>
      <c r="J225" s="18"/>
      <c r="K225" s="18"/>
      <c r="L225" s="18"/>
      <c r="M225" s="18"/>
      <c r="N225" s="18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8"/>
      <c r="H226" s="18"/>
      <c r="I226" s="18"/>
      <c r="J226" s="18"/>
      <c r="K226" s="18"/>
      <c r="L226" s="18"/>
      <c r="M226" s="18"/>
      <c r="N226" s="18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8"/>
      <c r="H227" s="18"/>
      <c r="I227" s="18"/>
      <c r="J227" s="18"/>
      <c r="K227" s="18"/>
      <c r="L227" s="18"/>
      <c r="M227" s="18"/>
      <c r="N227" s="18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8"/>
      <c r="H228" s="18"/>
      <c r="I228" s="18"/>
      <c r="J228" s="18"/>
      <c r="K228" s="18"/>
      <c r="L228" s="18"/>
      <c r="M228" s="18"/>
      <c r="N228" s="18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8"/>
      <c r="H229" s="18"/>
      <c r="I229" s="18"/>
      <c r="J229" s="18"/>
      <c r="K229" s="18"/>
      <c r="L229" s="18"/>
      <c r="M229" s="18"/>
      <c r="N229" s="18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8"/>
      <c r="H230" s="18"/>
      <c r="I230" s="18"/>
      <c r="J230" s="18"/>
      <c r="K230" s="18"/>
      <c r="L230" s="18"/>
      <c r="M230" s="18"/>
      <c r="N230" s="18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8"/>
      <c r="H231" s="18"/>
      <c r="I231" s="18"/>
      <c r="J231" s="18"/>
      <c r="K231" s="18"/>
      <c r="L231" s="18"/>
      <c r="M231" s="18"/>
      <c r="N231" s="18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8"/>
      <c r="H232" s="18"/>
      <c r="I232" s="18"/>
      <c r="J232" s="18"/>
      <c r="K232" s="18"/>
      <c r="L232" s="18"/>
      <c r="M232" s="18"/>
      <c r="N232" s="18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8"/>
      <c r="H233" s="18"/>
      <c r="I233" s="18"/>
      <c r="J233" s="18"/>
      <c r="K233" s="18"/>
      <c r="L233" s="18"/>
      <c r="M233" s="18"/>
      <c r="N233" s="18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8"/>
      <c r="H234" s="18"/>
      <c r="I234" s="18"/>
      <c r="J234" s="18"/>
      <c r="K234" s="18"/>
      <c r="L234" s="18"/>
      <c r="M234" s="18"/>
      <c r="N234" s="18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8"/>
      <c r="H235" s="18"/>
      <c r="I235" s="18"/>
      <c r="J235" s="18"/>
      <c r="K235" s="18"/>
      <c r="L235" s="18"/>
      <c r="M235" s="18"/>
      <c r="N235" s="18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8"/>
      <c r="H236" s="18"/>
      <c r="I236" s="18"/>
      <c r="J236" s="18"/>
      <c r="K236" s="18"/>
      <c r="L236" s="18"/>
      <c r="M236" s="18"/>
      <c r="N236" s="18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8"/>
      <c r="H237" s="18"/>
      <c r="I237" s="18"/>
      <c r="J237" s="18"/>
      <c r="K237" s="18"/>
      <c r="L237" s="18"/>
      <c r="M237" s="18"/>
      <c r="N237" s="18"/>
      <c r="P237"/>
      <c r="Q237"/>
      <c r="R237"/>
      <c r="S237"/>
      <c r="T237"/>
      <c r="U237"/>
      <c r="V237"/>
      <c r="W237"/>
      <c r="X237"/>
      <c r="Y237"/>
      <c r="Z237"/>
    </row>
  </sheetData>
  <sheetProtection formatCells="0" formatColumns="0" formatRows="0" insertColumns="0" insertRows="0" deleteRows="0" sort="0" autoFilter="0"/>
  <conditionalFormatting sqref="O3:O72">
    <cfRule type="cellIs" dxfId="21" priority="25" operator="equal">
      <formula>1</formula>
    </cfRule>
    <cfRule type="cellIs" dxfId="20" priority="29" operator="equal">
      <formula>2</formula>
    </cfRule>
    <cfRule type="cellIs" dxfId="19" priority="30" operator="equal">
      <formula>3</formula>
    </cfRule>
    <cfRule type="cellIs" dxfId="18" priority="31" operator="equal">
      <formula>4</formula>
    </cfRule>
    <cfRule type="cellIs" dxfId="17" priority="32" operator="equal">
      <formula>5</formula>
    </cfRule>
  </conditionalFormatting>
  <conditionalFormatting sqref="P3:P72">
    <cfRule type="cellIs" dxfId="16" priority="26" operator="equal">
      <formula>1</formula>
    </cfRule>
    <cfRule type="cellIs" dxfId="15" priority="27" operator="equal">
      <formula>2</formula>
    </cfRule>
    <cfRule type="cellIs" dxfId="14" priority="28" operator="equal">
      <formula>3</formula>
    </cfRule>
  </conditionalFormatting>
  <conditionalFormatting sqref="Q3:Q72">
    <cfRule type="cellIs" dxfId="13" priority="16" operator="equal">
      <formula>0</formula>
    </cfRule>
    <cfRule type="cellIs" dxfId="12" priority="17" operator="equal">
      <formula>1</formula>
    </cfRule>
  </conditionalFormatting>
  <conditionalFormatting sqref="O62:O63">
    <cfRule type="cellIs" dxfId="51" priority="11" operator="equal">
      <formula>1</formula>
    </cfRule>
    <cfRule type="cellIs" dxfId="50" priority="12" operator="equal">
      <formula>2</formula>
    </cfRule>
    <cfRule type="cellIs" dxfId="49" priority="13" operator="equal">
      <formula>3</formula>
    </cfRule>
    <cfRule type="cellIs" dxfId="48" priority="14" operator="equal">
      <formula>4</formula>
    </cfRule>
    <cfRule type="cellIs" dxfId="47" priority="15" operator="equal">
      <formula>5</formula>
    </cfRule>
  </conditionalFormatting>
  <conditionalFormatting sqref="O64:O65">
    <cfRule type="cellIs" dxfId="46" priority="6" operator="equal">
      <formula>1</formula>
    </cfRule>
    <cfRule type="cellIs" dxfId="45" priority="7" operator="equal">
      <formula>2</formula>
    </cfRule>
    <cfRule type="cellIs" dxfId="44" priority="8" operator="equal">
      <formula>3</formula>
    </cfRule>
    <cfRule type="cellIs" dxfId="43" priority="9" operator="equal">
      <formula>4</formula>
    </cfRule>
    <cfRule type="cellIs" dxfId="42" priority="10" operator="equal">
      <formula>5</formula>
    </cfRule>
  </conditionalFormatting>
  <conditionalFormatting sqref="O66:O67">
    <cfRule type="cellIs" dxfId="41" priority="1" operator="equal">
      <formula>1</formula>
    </cfRule>
    <cfRule type="cellIs" dxfId="40" priority="2" operator="equal">
      <formula>2</formula>
    </cfRule>
    <cfRule type="cellIs" dxfId="39" priority="3" operator="equal">
      <formula>3</formula>
    </cfRule>
    <cfRule type="cellIs" dxfId="38" priority="4" operator="equal">
      <formula>4</formula>
    </cfRule>
    <cfRule type="cellIs" dxfId="37" priority="5" operator="equal">
      <formula>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2021-04-18T09:49:50Z</dcterms:modified>
</cp:coreProperties>
</file>