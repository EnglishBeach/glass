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CF7A67E5-60DC-438D-8245-CC43C9D35F48}" xr6:coauthVersionLast="46" xr6:coauthVersionMax="46" xr10:uidLastSave="{00000000-0000-0000-0000-000000000000}"/>
  <bookViews>
    <workbookView xWindow="28680" yWindow="-120" windowWidth="29040" windowHeight="15990" xr2:uid="{00000000-000D-0000-FFFF-FFFF00000000}"/>
  </bookViews>
  <sheets>
    <sheet name="CTC" sheetId="1" r:id="rId1"/>
  </sheets>
  <definedNames>
    <definedName name="_xlnm._FilterDatabase" localSheetId="0" hidden="1">CTC!$C$2:$P$70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С">#N/A</definedName>
    <definedName name="Срез_Т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2" authorId="0" shapeId="0" xr:uid="{00000000-0006-0000-0000-000001000000}">
      <text>
        <r>
          <rPr>
            <b/>
            <sz val="16"/>
            <color indexed="81"/>
            <rFont val="Tahoma"/>
            <family val="2"/>
            <charset val="204"/>
          </rPr>
          <t>Индекс первоначального банка</t>
        </r>
        <r>
          <rPr>
            <sz val="16"/>
            <color indexed="81"/>
            <rFont val="Tahoma"/>
            <family val="2"/>
            <charset val="204"/>
          </rPr>
          <t xml:space="preserve">
1(красный) - был в CTC
2(синий) - Milke
3(желтый) - Terra
4(зеленый) - AutoTech
5(черный) - из старого, что не было</t>
        </r>
      </text>
    </comment>
    <comment ref="P2" authorId="0" shapeId="0" xr:uid="{00000000-0006-0000-0000-000002000000}">
      <text>
        <r>
          <rPr>
            <b/>
            <sz val="16"/>
            <color indexed="81"/>
            <rFont val="Tahoma"/>
            <family val="2"/>
            <charset val="204"/>
          </rPr>
          <t>Действие</t>
        </r>
        <r>
          <rPr>
            <sz val="16"/>
            <color indexed="81"/>
            <rFont val="Tahoma"/>
            <family val="2"/>
            <charset val="204"/>
          </rPr>
          <t xml:space="preserve">
1(черный) - удалить
2(желтый) - добавить  
3(синий) -поэкспериментировать 
слова - что исправить
c -  измненено
e - проверяется экспериментом
</t>
        </r>
      </text>
    </comment>
    <comment ref="Q2" authorId="0" shapeId="0" xr:uid="{00000000-0006-0000-0000-000003000000}">
      <text>
        <r>
          <rPr>
            <b/>
            <sz val="14"/>
            <color indexed="81"/>
            <rFont val="Tahoma"/>
            <family val="2"/>
            <charset val="204"/>
          </rPr>
          <t>Действие</t>
        </r>
        <r>
          <rPr>
            <sz val="14"/>
            <color indexed="81"/>
            <rFont val="Tahoma"/>
            <family val="2"/>
            <charset val="204"/>
          </rPr>
          <t xml:space="preserve">
1(зеленый) - включено
0(красный) - исключено</t>
        </r>
      </text>
    </comment>
    <comment ref="R2" authorId="0" shapeId="0" xr:uid="{00000000-0006-0000-0000-000004000000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<sst xmlns="http://schemas.openxmlformats.org/spreadsheetml/2006/main" count="152" uniqueCount="40">
  <si>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</si>
  <si>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</si>
  <si>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</si>
  <si>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</si>
  <si>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</si>
  <si>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</si>
  <si>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</si>
  <si>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</si>
  <si>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</si>
  <si>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</si>
  <si>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</si>
  <si>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</si>
  <si>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</si>
  <si>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</si>
  <si>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</si>
  <si>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</si>
  <si>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</si>
  <si>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</si>
  <si>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</si>
  <si>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</si>
  <si>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</si>
  <si>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</si>
  <si>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</si>
  <si>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</si>
  <si>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</si>
  <si>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</si>
  <si>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</si>
  <si>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</si>
  <si>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</si>
  <si>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</si>
  <si>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</si>
  <si>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</si>
  <si>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Se[A]</t>
  </si>
  <si>
    <t>Se[M]</t>
  </si>
  <si>
    <t>Se[R]</t>
  </si>
  <si>
    <t xml:space="preserve">Т </t>
  </si>
  <si>
    <t xml:space="preserve">М    </t>
  </si>
  <si>
    <t>С</t>
  </si>
  <si>
    <t>Ge[c]</t>
  </si>
  <si>
    <t>62.32398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</si>
</sst>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000E+00"/>
  </numFmts>
  <fonts count="20" x14ac:knownFonts="1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  <font>
      <sz val="16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7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50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1" fillId="9" borderId="0" xfId="0" applyNumberFormat="1" applyFont="1" applyFill="1"/>
    <xf numFmtId="49" fontId="12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3" fillId="9" borderId="9" xfId="6" applyNumberFormat="1" applyFont="1" applyBorder="1">
      <alignment horizontal="left" vertical="center"/>
    </xf>
    <xf numFmtId="0" fontId="13" fillId="9" borderId="8" xfId="6" applyNumberFormat="1" applyFont="1" applyBorder="1">
      <alignment horizontal="left" vertical="center"/>
    </xf>
    <xf numFmtId="0" fontId="13" fillId="9" borderId="7" xfId="6" applyNumberFormat="1" applyFont="1" applyBorder="1">
      <alignment horizontal="left" vertical="center"/>
    </xf>
    <xf numFmtId="0" fontId="13" fillId="9" borderId="6" xfId="6" applyNumberFormat="1" applyFont="1" applyBorder="1">
      <alignment horizontal="left" vertical="center"/>
    </xf>
    <xf numFmtId="49" fontId="13" fillId="9" borderId="6" xfId="6" applyNumberFormat="1" applyFont="1" applyBorder="1">
      <alignment horizontal="left" vertical="center"/>
    </xf>
    <xf numFmtId="164" fontId="13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14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41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7" borderId="0" xfId="0" applyNumberFormat="1" applyFont="1" applyFill="1" applyAlignment="1">
      <alignment horizontal="left"/>
    </xf>
    <xf numFmtId="164" fontId="8" fillId="9" borderId="5" xfId="6" applyNumberFormat="1">
      <alignment horizontal="left" vertical="center"/>
    </xf>
    <xf numFmtId="0" fontId="3" fillId="0" borderId="10" xfId="0" applyFont="1" applyBorder="1"/>
    <xf numFmtId="0" fontId="3" fillId="0" borderId="0" xfId="0" applyFont="1" applyBorder="1"/>
    <xf numFmtId="0" fontId="3" fillId="10" borderId="0" xfId="0" applyFont="1" applyFill="1"/>
    <xf numFmtId="0" fontId="3" fillId="11" borderId="0" xfId="0" applyFont="1" applyFill="1"/>
    <xf numFmtId="0" fontId="3" fillId="0" borderId="4" xfId="0" applyFont="1" applyFill="1" applyBorder="1"/>
    <xf numFmtId="11" fontId="6" fillId="0" borderId="0" xfId="5" applyFont="1" applyFill="1" applyBorder="1">
      <alignment vertical="top"/>
    </xf>
    <xf numFmtId="1" fontId="3" fillId="0" borderId="0" xfId="0" applyNumberFormat="1" applyFont="1" applyAlignment="1">
      <alignment horizontal="left"/>
    </xf>
    <xf numFmtId="0" fontId="3" fillId="0" borderId="3" xfId="0" applyFont="1" applyFill="1" applyBorder="1"/>
  </cellXfs>
  <cellStyles count="7">
    <cellStyle name="Заголовок" xfId="6" xr:uid="{00000000-0005-0000-0000-000000000000}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 xr:uid="{00000000-0005-0000-0000-000006000000}"/>
  </cellStyles>
  <dxfs count="92"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164" formatCode="0.0000E+00"/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99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2.xml"/><Relationship Id="rId7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microsoft.com/office/2007/relationships/slicerCache" Target="slicerCaches/slicerCache5.xml"/><Relationship Id="rId11" Type="http://schemas.microsoft.com/office/2006/relationships/vbaProject" Target="vbaProject.bin"/><Relationship Id="rId5" Type="http://schemas.microsoft.com/office/2007/relationships/slicerCache" Target="slicerCaches/slicerCache4.xml"/><Relationship Id="rId10" Type="http://schemas.openxmlformats.org/officeDocument/2006/relationships/calcChain" Target="calcChain.xml"/><Relationship Id="rId4" Type="http://schemas.microsoft.com/office/2007/relationships/slicerCache" Target="slicerCaches/slicerCache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231914</xdr:colOff>
      <xdr:row>0</xdr:row>
      <xdr:rowOff>0</xdr:rowOff>
    </xdr:from>
    <xdr:ext cx="10256792" cy="180414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 xmlns="">
        <xdr:sp macro="" textlink="">
          <xdr:nvSpPr>
            <xdr:cNvPr id="2" name="Прямоугольник 1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 xmlns="">
        <xdr:sp macro="" textlink="">
          <xdr:nvSpPr>
            <xdr:cNvPr id="3" name="Прямоугольник 2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18</xdr:col>
      <xdr:colOff>302557</xdr:colOff>
      <xdr:row>0</xdr:row>
      <xdr:rowOff>1826559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 xmlns="">
        <xdr:sp macro="" textlink="">
          <xdr:nvSpPr>
            <xdr:cNvPr id="4" name="Прямоугольник 3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383241</xdr:colOff>
      <xdr:row>0</xdr:row>
      <xdr:rowOff>0</xdr:rowOff>
    </xdr:from>
    <xdr:to>
      <xdr:col>20</xdr:col>
      <xdr:colOff>11205</xdr:colOff>
      <xdr:row>0</xdr:row>
      <xdr:rowOff>1815353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 xmlns="">
        <xdr:sp macro="" textlink="">
          <xdr:nvSpPr>
            <xdr:cNvPr id="5" name="Прямоугольник 4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33057</xdr:colOff>
      <xdr:row>0</xdr:row>
      <xdr:rowOff>0</xdr:rowOff>
    </xdr:from>
    <xdr:to>
      <xdr:col>20</xdr:col>
      <xdr:colOff>504264</xdr:colOff>
      <xdr:row>0</xdr:row>
      <xdr:rowOff>1221441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С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"/>
            </a:graphicData>
          </a:graphic>
        </xdr:graphicFrame>
      </mc:Choice>
      <mc:Fallback xmlns="">
        <xdr:sp macro="" textlink="">
          <xdr:nvSpPr>
            <xdr:cNvPr id="6" name="Прямоугольник 5"/>
            <xdr:cNvSpPr>
              <a:spLocks noTextEdit="1"/>
            </xdr:cNvSpPr>
          </xdr:nvSpPr>
          <xdr:spPr>
            <a:xfrm>
              <a:off x="18175381" y="0"/>
              <a:ext cx="471207" cy="1221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1</xdr:row>
          <xdr:rowOff>19050</xdr:rowOff>
        </xdr:from>
        <xdr:to>
          <xdr:col>18</xdr:col>
          <xdr:colOff>38100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" xr10:uid="{09561617-D8C5-42A0-BD60-4C10F4A5D671}" sourceName="С">
  <extLst>
    <x:ext xmlns:x15="http://schemas.microsoft.com/office/spreadsheetml/2010/11/main" uri="{2F2917AC-EB37-4324-AD4E-5DD8C200BD13}">
      <x15:tableSlicerCache tableId="1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7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  <slicer name="С" xr10:uid="{E3123165-8A94-4DA1-8022-72A9970046CE}" cache="Срез_С" caption="С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716" displayName="Таблица716" ref="C2:Q70" totalsRowShown="0" headerRowDxfId="36" dataDxfId="35">
  <autoFilter ref="C2:Q70" xr:uid="{00000000-0009-0000-0100-000001000000}">
    <filterColumn colId="0" hiddenButton="1">
      <filters>
        <filter val="Se"/>
      </filters>
    </filterColumn>
    <filterColumn colId="1" hiddenButton="1">
      <filters>
        <filter val="l"/>
      </filters>
    </filterColumn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xmlns:xlrd2="http://schemas.microsoft.com/office/spreadsheetml/2017/richdata2" ref="C39:Q70">
    <sortCondition ref="C3:C70"/>
    <sortCondition descending="1" ref="D3:D70"/>
    <sortCondition ref="O3:O70"/>
    <sortCondition ref="E3:E70"/>
  </sortState>
  <tableColumns count="15">
    <tableColumn id="1" xr3:uid="{00000000-0010-0000-0000-000001000000}" name="Названиe" dataDxfId="34"/>
    <tableColumn id="2" xr3:uid="{00000000-0010-0000-0000-000002000000}" name="Ф          if &quot;?&quot; =&gt; not &quot;g&quot;" dataDxfId="33"/>
    <tableColumn id="3" xr3:uid="{00000000-0010-0000-0000-000003000000}" name="To К" dataDxfId="32"/>
    <tableColumn id="4" xr3:uid="{00000000-0010-0000-0000-000004000000}" name="T К" dataDxfId="31"/>
    <tableColumn id="5" xr3:uid="{00000000-0010-0000-0000-000005000000}" name="ho" dataDxfId="30"/>
    <tableColumn id="6" xr3:uid="{00000000-0010-0000-0000-000006000000}" name="ф1" dataDxfId="29"/>
    <tableColumn id="7" xr3:uid="{00000000-0010-0000-0000-000007000000}" name="ф2 *lnX" dataDxfId="28"/>
    <tableColumn id="8" xr3:uid="{00000000-0010-0000-0000-000008000000}" name="ф3 *X^(-2)" dataDxfId="27"/>
    <tableColumn id="9" xr3:uid="{00000000-0010-0000-0000-000009000000}" name="ф4 *X^(-1)" dataDxfId="26"/>
    <tableColumn id="10" xr3:uid="{00000000-0010-0000-0000-00000A000000}" name="ф5 *X" dataDxfId="25"/>
    <tableColumn id="11" xr3:uid="{00000000-0010-0000-0000-00000B000000}" name="ф6 *X^2" dataDxfId="24"/>
    <tableColumn id="12" xr3:uid="{00000000-0010-0000-0000-00000C000000}" name="ф7 *Х^3" dataDxfId="23"/>
    <tableColumn id="13" xr3:uid="{00000000-0010-0000-0000-00000D000000}" name="Т " dataDxfId="22"/>
    <tableColumn id="14" xr3:uid="{00000000-0010-0000-0000-00000E000000}" name="М    " dataDxfId="21"/>
    <tableColumn id="15" xr3:uid="{00000000-0010-0000-0000-00000F000000}" name="С" dataDxfId="20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3">
    <tabColor rgb="FFFF0000"/>
  </sheetPr>
  <dimension ref="A1:Z240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L76" sqref="L76"/>
    </sheetView>
  </sheetViews>
  <sheetFormatPr defaultRowHeight="23.25" outlineLevelCol="1" x14ac:dyDescent="0.35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6" customWidth="1" outlineLevel="1"/>
    <col min="10" max="10" width="11.36328125" style="16" customWidth="1" outlineLevel="1"/>
    <col min="11" max="14" width="11.81640625" style="16" customWidth="1" outlineLevel="1"/>
    <col min="15" max="15" width="3.1796875" style="1" customWidth="1"/>
    <col min="16" max="17" width="3.1796875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7" customHeight="1" thickBot="1" x14ac:dyDescent="0.4">
      <c r="D1" s="25"/>
    </row>
    <row r="2" spans="1:18" ht="24.75" thickTop="1" thickBot="1" x14ac:dyDescent="0.4">
      <c r="A2"/>
      <c r="B2" s="12"/>
      <c r="C2" s="26" t="s">
        <v>30</v>
      </c>
      <c r="D2" s="27" t="s">
        <v>29</v>
      </c>
      <c r="E2" s="28" t="s">
        <v>28</v>
      </c>
      <c r="F2" s="29" t="s">
        <v>27</v>
      </c>
      <c r="G2" s="29" t="s">
        <v>26</v>
      </c>
      <c r="H2" s="29" t="s">
        <v>25</v>
      </c>
      <c r="I2" s="29" t="s">
        <v>24</v>
      </c>
      <c r="J2" s="29" t="s">
        <v>23</v>
      </c>
      <c r="K2" s="29" t="s">
        <v>22</v>
      </c>
      <c r="L2" s="29" t="s">
        <v>21</v>
      </c>
      <c r="M2" s="29" t="s">
        <v>20</v>
      </c>
      <c r="N2" s="29" t="s">
        <v>19</v>
      </c>
      <c r="O2" s="30" t="s">
        <v>35</v>
      </c>
      <c r="P2" s="31" t="s">
        <v>36</v>
      </c>
      <c r="Q2" s="41" t="s">
        <v>37</v>
      </c>
      <c r="R2" s="39">
        <f>COUNTA(O3:O242)</f>
        <v>68</v>
      </c>
    </row>
    <row r="3" spans="1:18" ht="24" hidden="1" thickTop="1" x14ac:dyDescent="0.35">
      <c r="A3"/>
      <c r="B3" s="12"/>
      <c r="C3" s="33" t="s">
        <v>4</v>
      </c>
      <c r="D3" s="4" t="s">
        <v>13</v>
      </c>
      <c r="E3" s="4">
        <v>298.14999999999998</v>
      </c>
      <c r="F3" s="4">
        <v>302.92</v>
      </c>
      <c r="G3" s="17">
        <v>-6.7018670000000002E-2</v>
      </c>
      <c r="H3" s="18">
        <v>-1611406</v>
      </c>
      <c r="I3" s="17">
        <v>-370772.3</v>
      </c>
      <c r="J3" s="18">
        <v>0</v>
      </c>
      <c r="K3" s="17">
        <v>-2763.64</v>
      </c>
      <c r="L3" s="18">
        <v>18653810</v>
      </c>
      <c r="M3" s="17">
        <v>-208550600</v>
      </c>
      <c r="N3" s="18">
        <v>1165804000</v>
      </c>
      <c r="O3" s="6">
        <v>1</v>
      </c>
      <c r="P3" s="4"/>
      <c r="Q3" s="4"/>
    </row>
    <row r="4" spans="1:18" ht="24" hidden="1" thickTop="1" x14ac:dyDescent="0.35">
      <c r="A4"/>
      <c r="B4" s="12"/>
      <c r="C4" s="33" t="s">
        <v>4</v>
      </c>
      <c r="D4" s="4" t="s">
        <v>13</v>
      </c>
      <c r="E4" s="4">
        <v>298.14999999999998</v>
      </c>
      <c r="F4" s="4">
        <v>303</v>
      </c>
      <c r="G4" s="19">
        <v>0</v>
      </c>
      <c r="H4" s="20">
        <v>12.825050670258605</v>
      </c>
      <c r="I4" s="19">
        <v>3.1511215346683503</v>
      </c>
      <c r="J4" s="20">
        <v>0</v>
      </c>
      <c r="K4" s="19">
        <v>9.3950688556136863E-2</v>
      </c>
      <c r="L4" s="20">
        <v>0</v>
      </c>
      <c r="M4" s="19">
        <v>0</v>
      </c>
      <c r="N4" s="20">
        <v>0</v>
      </c>
      <c r="O4" s="13">
        <v>2</v>
      </c>
      <c r="P4" s="32"/>
      <c r="Q4" s="4">
        <v>1</v>
      </c>
    </row>
    <row r="5" spans="1:18" ht="24" hidden="1" thickTop="1" x14ac:dyDescent="0.35">
      <c r="A5"/>
      <c r="B5" s="12"/>
      <c r="C5" s="33" t="s">
        <v>4</v>
      </c>
      <c r="D5" s="4" t="s">
        <v>13</v>
      </c>
      <c r="E5" s="4">
        <v>302.92</v>
      </c>
      <c r="F5" s="4">
        <v>4000</v>
      </c>
      <c r="G5" s="17">
        <v>-6.7018670000000002E-2</v>
      </c>
      <c r="H5" s="18">
        <v>15.167669999999999</v>
      </c>
      <c r="I5" s="17">
        <v>3.135516</v>
      </c>
      <c r="J5" s="18">
        <v>1.4234849999999999E-4</v>
      </c>
      <c r="K5" s="17">
        <v>-5.0186000000000001E-2</v>
      </c>
      <c r="L5" s="18">
        <v>-0.18101780000000001</v>
      </c>
      <c r="M5" s="17">
        <v>0.48311500000000002</v>
      </c>
      <c r="N5" s="18">
        <v>0</v>
      </c>
      <c r="O5" s="6">
        <v>1</v>
      </c>
      <c r="P5" s="4"/>
      <c r="Q5" s="4"/>
    </row>
    <row r="6" spans="1:18" ht="24" hidden="1" thickTop="1" x14ac:dyDescent="0.35">
      <c r="A6"/>
      <c r="B6" s="11"/>
      <c r="C6" s="4" t="s">
        <v>4</v>
      </c>
      <c r="D6" s="4" t="s">
        <v>13</v>
      </c>
      <c r="E6" s="4">
        <v>298.14999999999998</v>
      </c>
      <c r="F6" s="4">
        <v>302.92</v>
      </c>
      <c r="G6" s="17">
        <v>-6.7018670000000002E-2</v>
      </c>
      <c r="H6" s="18">
        <v>-1611406</v>
      </c>
      <c r="I6" s="17">
        <v>-370772.3</v>
      </c>
      <c r="J6" s="18">
        <v>0</v>
      </c>
      <c r="K6" s="17">
        <v>-2763.64</v>
      </c>
      <c r="L6" s="18">
        <v>18653810</v>
      </c>
      <c r="M6" s="17">
        <v>-208550600</v>
      </c>
      <c r="N6" s="18">
        <v>1165804000</v>
      </c>
      <c r="O6" s="6">
        <v>5</v>
      </c>
      <c r="P6" s="33"/>
      <c r="Q6" s="4"/>
    </row>
    <row r="7" spans="1:18" ht="24" hidden="1" thickTop="1" x14ac:dyDescent="0.35">
      <c r="A7"/>
      <c r="B7" s="11"/>
      <c r="C7" s="33" t="s">
        <v>4</v>
      </c>
      <c r="D7" s="4" t="s">
        <v>0</v>
      </c>
      <c r="E7" s="4">
        <v>303</v>
      </c>
      <c r="F7" s="4">
        <v>699.99990000000003</v>
      </c>
      <c r="G7" s="17">
        <v>0</v>
      </c>
      <c r="H7" s="18">
        <v>14.61</v>
      </c>
      <c r="I7" s="17">
        <v>2.9321999999999999</v>
      </c>
      <c r="J7" s="18">
        <v>1.8641999999999999E-4</v>
      </c>
      <c r="K7" s="17">
        <v>9.2508020000000007E-3</v>
      </c>
      <c r="L7" s="18">
        <v>1.3771</v>
      </c>
      <c r="M7" s="17">
        <v>0</v>
      </c>
      <c r="N7" s="18">
        <v>0</v>
      </c>
      <c r="O7" s="6">
        <v>1</v>
      </c>
      <c r="P7" s="34"/>
      <c r="Q7" s="4"/>
    </row>
    <row r="8" spans="1:18" ht="24" hidden="1" thickTop="1" x14ac:dyDescent="0.35">
      <c r="A8"/>
      <c r="B8" s="11"/>
      <c r="C8" s="4" t="s">
        <v>4</v>
      </c>
      <c r="D8" s="4" t="s">
        <v>13</v>
      </c>
      <c r="E8" s="4">
        <v>302.92</v>
      </c>
      <c r="F8" s="4">
        <v>4000</v>
      </c>
      <c r="G8" s="17">
        <v>-6.7018670000000002E-2</v>
      </c>
      <c r="H8" s="18">
        <v>15.167669999999999</v>
      </c>
      <c r="I8" s="17">
        <v>3.135516</v>
      </c>
      <c r="J8" s="18">
        <v>1.4234849999999999E-4</v>
      </c>
      <c r="K8" s="17">
        <v>-5.0186000000000001E-2</v>
      </c>
      <c r="L8" s="18">
        <v>-0.18101780000000001</v>
      </c>
      <c r="M8" s="17">
        <v>0.48311500000000002</v>
      </c>
      <c r="N8" s="18">
        <v>0</v>
      </c>
      <c r="O8" s="6">
        <v>5</v>
      </c>
      <c r="P8" s="33"/>
      <c r="Q8" s="4"/>
    </row>
    <row r="9" spans="1:18" ht="24" hidden="1" thickTop="1" x14ac:dyDescent="0.35">
      <c r="A9"/>
      <c r="B9" s="11"/>
      <c r="C9" s="4" t="s">
        <v>4</v>
      </c>
      <c r="D9" s="43" t="s">
        <v>0</v>
      </c>
      <c r="E9" s="4">
        <v>303</v>
      </c>
      <c r="F9" s="4">
        <v>700</v>
      </c>
      <c r="G9" s="17">
        <v>6.8554934151181662E-2</v>
      </c>
      <c r="H9" s="18">
        <v>14.620447424512136</v>
      </c>
      <c r="I9" s="17">
        <v>2.9322268326417702</v>
      </c>
      <c r="J9" s="18">
        <v>1.8642131216549401E-4</v>
      </c>
      <c r="K9" s="17">
        <v>9.2508147786274225E-3</v>
      </c>
      <c r="L9" s="18">
        <v>1.3771122737386492</v>
      </c>
      <c r="M9" s="17">
        <v>0</v>
      </c>
      <c r="N9" s="18">
        <v>0</v>
      </c>
      <c r="O9" s="1">
        <v>2</v>
      </c>
      <c r="P9" s="33"/>
      <c r="Q9" s="4">
        <v>1</v>
      </c>
    </row>
    <row r="10" spans="1:18" ht="24" hidden="1" thickTop="1" x14ac:dyDescent="0.35">
      <c r="A10"/>
      <c r="B10" s="11"/>
      <c r="C10" s="33" t="s">
        <v>4</v>
      </c>
      <c r="D10" s="4" t="s">
        <v>0</v>
      </c>
      <c r="E10" s="4">
        <v>302.91000000000003</v>
      </c>
      <c r="F10" s="4">
        <v>700</v>
      </c>
      <c r="G10" s="21">
        <v>6.7231944193878151E-2</v>
      </c>
      <c r="H10" s="22">
        <v>15.161939633818086</v>
      </c>
      <c r="I10" s="21">
        <v>3.1356064706236091</v>
      </c>
      <c r="J10" s="22">
        <v>1.4228155631727706E-4</v>
      </c>
      <c r="K10" s="21">
        <v>8.3943884453347564E-2</v>
      </c>
      <c r="L10" s="22">
        <v>-0.18461723495098922</v>
      </c>
      <c r="M10" s="21">
        <v>0.49311443863130677</v>
      </c>
      <c r="N10" s="22">
        <v>0</v>
      </c>
      <c r="O10" s="24">
        <v>4</v>
      </c>
      <c r="P10" s="33"/>
      <c r="Q10" s="4"/>
    </row>
    <row r="11" spans="1:18" ht="24" hidden="1" thickTop="1" x14ac:dyDescent="0.35">
      <c r="A11"/>
      <c r="B11" s="11"/>
      <c r="C11" s="33" t="s">
        <v>4</v>
      </c>
      <c r="D11" s="4" t="s">
        <v>0</v>
      </c>
      <c r="E11" s="4">
        <v>700</v>
      </c>
      <c r="F11" s="4">
        <v>4000</v>
      </c>
      <c r="G11" s="21">
        <v>6.7231944193878151E-2</v>
      </c>
      <c r="H11" s="22">
        <v>15.161231791276917</v>
      </c>
      <c r="I11" s="21">
        <v>3.1353659269950085</v>
      </c>
      <c r="J11" s="22">
        <v>1.4252209994587768E-4</v>
      </c>
      <c r="K11" s="21">
        <v>8.3930978142227303E-2</v>
      </c>
      <c r="L11" s="22">
        <v>-0.18100908052197964</v>
      </c>
      <c r="M11" s="21">
        <v>0.48309178743961351</v>
      </c>
      <c r="N11" s="22">
        <v>0</v>
      </c>
      <c r="O11" s="24">
        <v>4</v>
      </c>
      <c r="P11" s="33"/>
      <c r="Q11" s="4"/>
    </row>
    <row r="12" spans="1:18" ht="24" hidden="1" thickTop="1" x14ac:dyDescent="0.35">
      <c r="A12"/>
      <c r="B12" s="11"/>
      <c r="C12" s="45" t="s">
        <v>5</v>
      </c>
      <c r="D12" s="4" t="s">
        <v>2</v>
      </c>
      <c r="E12" s="4">
        <v>298.14999999999998</v>
      </c>
      <c r="F12" s="4">
        <v>1100</v>
      </c>
      <c r="G12" s="17">
        <v>5.2149859999999997</v>
      </c>
      <c r="H12" s="18">
        <v>41.701000000000001</v>
      </c>
      <c r="I12" s="17">
        <v>4.0561670000000003</v>
      </c>
      <c r="J12" s="18">
        <v>2.357301E-5</v>
      </c>
      <c r="K12" s="17">
        <v>0.12889</v>
      </c>
      <c r="L12" s="18">
        <v>11.272</v>
      </c>
      <c r="M12" s="17">
        <v>-9.1847989999999999</v>
      </c>
      <c r="N12" s="18">
        <v>0</v>
      </c>
      <c r="O12" s="6">
        <v>1</v>
      </c>
      <c r="P12" s="37"/>
      <c r="Q12" s="4">
        <v>1</v>
      </c>
    </row>
    <row r="13" spans="1:18" ht="24" hidden="1" thickTop="1" x14ac:dyDescent="0.35">
      <c r="A13"/>
      <c r="B13" s="11"/>
      <c r="C13" s="45" t="s">
        <v>5</v>
      </c>
      <c r="D13" s="4" t="s">
        <v>2</v>
      </c>
      <c r="E13" s="4">
        <v>1100</v>
      </c>
      <c r="F13" s="4">
        <v>2500</v>
      </c>
      <c r="G13" s="21">
        <v>5.2149859999999997</v>
      </c>
      <c r="H13" s="22">
        <v>43.677999999999997</v>
      </c>
      <c r="I13" s="21">
        <v>4.8509000000000002</v>
      </c>
      <c r="J13" s="22">
        <v>-3.7446989999999998E-4</v>
      </c>
      <c r="K13" s="21">
        <v>0.1716596</v>
      </c>
      <c r="L13" s="22">
        <v>5.0346000000000002</v>
      </c>
      <c r="M13" s="21">
        <v>-0.32273000000000002</v>
      </c>
      <c r="N13" s="22">
        <v>0</v>
      </c>
      <c r="O13" s="23">
        <v>1</v>
      </c>
      <c r="P13" s="38"/>
      <c r="Q13" s="4">
        <v>1</v>
      </c>
    </row>
    <row r="14" spans="1:18" ht="24" hidden="1" thickTop="1" x14ac:dyDescent="0.35">
      <c r="A14"/>
      <c r="B14" s="11"/>
      <c r="C14" s="33" t="s">
        <v>18</v>
      </c>
      <c r="D14" s="4" t="s">
        <v>13</v>
      </c>
      <c r="E14" s="4">
        <v>298</v>
      </c>
      <c r="F14" s="4">
        <v>2000</v>
      </c>
      <c r="G14" s="19">
        <v>-2.2009742016958325</v>
      </c>
      <c r="H14" s="20">
        <v>13.590715015936015</v>
      </c>
      <c r="I14" s="19">
        <v>0</v>
      </c>
      <c r="J14" s="20">
        <v>0</v>
      </c>
      <c r="K14" s="19">
        <v>0</v>
      </c>
      <c r="L14" s="20">
        <v>0</v>
      </c>
      <c r="M14" s="19">
        <v>0</v>
      </c>
      <c r="N14" s="20">
        <v>0</v>
      </c>
      <c r="O14" s="15">
        <v>2</v>
      </c>
      <c r="P14" s="32"/>
      <c r="Q14" s="4"/>
    </row>
    <row r="15" spans="1:18" ht="24" hidden="1" thickTop="1" x14ac:dyDescent="0.35">
      <c r="A15"/>
      <c r="C15" s="45" t="s">
        <v>18</v>
      </c>
      <c r="D15" s="43" t="s">
        <v>13</v>
      </c>
      <c r="E15" s="43">
        <v>298.14999999999998</v>
      </c>
      <c r="F15" s="4">
        <v>398</v>
      </c>
      <c r="G15" s="17">
        <v>-2.2040892416862103</v>
      </c>
      <c r="H15" s="18">
        <v>13.586866317878405</v>
      </c>
      <c r="I15" s="17">
        <v>0</v>
      </c>
      <c r="J15" s="18">
        <v>0</v>
      </c>
      <c r="K15" s="17">
        <v>0</v>
      </c>
      <c r="L15" s="18">
        <v>0</v>
      </c>
      <c r="M15" s="17">
        <v>0</v>
      </c>
      <c r="N15" s="18">
        <v>0</v>
      </c>
      <c r="O15" s="1">
        <v>4</v>
      </c>
      <c r="P15" s="32"/>
      <c r="Q15" s="4">
        <v>1</v>
      </c>
    </row>
    <row r="16" spans="1:18" ht="24" hidden="1" thickTop="1" x14ac:dyDescent="0.35">
      <c r="A16"/>
      <c r="C16" s="45" t="s">
        <v>18</v>
      </c>
      <c r="D16" s="4" t="s">
        <v>2</v>
      </c>
      <c r="E16" s="4">
        <v>298.14999999999998</v>
      </c>
      <c r="F16" s="4">
        <v>2000</v>
      </c>
      <c r="G16" s="17">
        <v>1.157</v>
      </c>
      <c r="H16" s="18">
        <v>55.30301</v>
      </c>
      <c r="I16" s="17">
        <v>6.9866000000000001</v>
      </c>
      <c r="J16" s="18">
        <v>-1.7438999999999999E-4</v>
      </c>
      <c r="K16" s="17">
        <v>0.22003</v>
      </c>
      <c r="L16" s="18">
        <v>3.0068000000000001E-2</v>
      </c>
      <c r="M16" s="17">
        <v>0</v>
      </c>
      <c r="N16" s="18">
        <v>0</v>
      </c>
      <c r="O16" s="9">
        <v>1</v>
      </c>
      <c r="P16" s="33"/>
      <c r="Q16" s="4">
        <v>1</v>
      </c>
    </row>
    <row r="17" spans="1:17" ht="24" hidden="1" thickTop="1" x14ac:dyDescent="0.35">
      <c r="A17"/>
      <c r="C17" s="45" t="s">
        <v>17</v>
      </c>
      <c r="D17" s="4" t="s">
        <v>13</v>
      </c>
      <c r="E17" s="4">
        <v>298.14999999999998</v>
      </c>
      <c r="F17" s="4">
        <v>1278</v>
      </c>
      <c r="G17" s="19">
        <v>-4.9166999999999996</v>
      </c>
      <c r="H17" s="20">
        <v>52.323990000000002</v>
      </c>
      <c r="I17" s="19">
        <v>12.715999999999999</v>
      </c>
      <c r="J17" s="20">
        <v>0</v>
      </c>
      <c r="K17" s="19">
        <v>0.39800999999999997</v>
      </c>
      <c r="L17" s="20">
        <v>21.234000000000002</v>
      </c>
      <c r="M17" s="19">
        <v>0</v>
      </c>
      <c r="N17" s="20">
        <v>0</v>
      </c>
      <c r="O17" s="8">
        <v>1</v>
      </c>
      <c r="P17" s="33"/>
      <c r="Q17" s="4">
        <v>1</v>
      </c>
    </row>
    <row r="18" spans="1:17" ht="24" hidden="1" thickTop="1" x14ac:dyDescent="0.35">
      <c r="A18"/>
      <c r="C18" s="45" t="s">
        <v>31</v>
      </c>
      <c r="D18" s="4" t="s">
        <v>13</v>
      </c>
      <c r="E18" s="4">
        <v>298</v>
      </c>
      <c r="F18" s="4">
        <v>1211</v>
      </c>
      <c r="G18" s="19">
        <v>-1.9123218473750676</v>
      </c>
      <c r="H18" s="20">
        <v>21.483706893669559</v>
      </c>
      <c r="I18" s="19">
        <v>5.3689337903662278</v>
      </c>
      <c r="J18" s="20">
        <v>0</v>
      </c>
      <c r="K18" s="19">
        <v>0.16692060785374949</v>
      </c>
      <c r="L18" s="20">
        <v>7.799627157375669</v>
      </c>
      <c r="M18" s="19">
        <v>0</v>
      </c>
      <c r="N18" s="20">
        <v>0</v>
      </c>
      <c r="O18" s="14">
        <v>2</v>
      </c>
      <c r="P18" s="32">
        <v>3</v>
      </c>
      <c r="Q18" s="4">
        <v>1</v>
      </c>
    </row>
    <row r="19" spans="1:17" ht="24" hidden="1" thickTop="1" x14ac:dyDescent="0.35">
      <c r="A19"/>
      <c r="C19" s="45" t="s">
        <v>16</v>
      </c>
      <c r="D19" s="4" t="s">
        <v>13</v>
      </c>
      <c r="E19" s="4">
        <v>298.14999999999998</v>
      </c>
      <c r="F19" s="4">
        <v>1211.4000000000001</v>
      </c>
      <c r="G19" s="17">
        <v>-5.5760690000000002E-2</v>
      </c>
      <c r="H19" s="18">
        <v>10.808619999999999</v>
      </c>
      <c r="I19" s="17">
        <v>2.898209</v>
      </c>
      <c r="J19" s="18">
        <v>-9.4357770000000004E-5</v>
      </c>
      <c r="K19" s="17">
        <v>3.8575789999999999E-2</v>
      </c>
      <c r="L19" s="18">
        <v>1.796346</v>
      </c>
      <c r="M19" s="17">
        <v>0</v>
      </c>
      <c r="N19" s="18">
        <v>0</v>
      </c>
      <c r="O19" s="9">
        <v>1</v>
      </c>
      <c r="P19" s="33"/>
      <c r="Q19" s="4">
        <v>1</v>
      </c>
    </row>
    <row r="20" spans="1:17" ht="24" hidden="1" thickTop="1" x14ac:dyDescent="0.35">
      <c r="A20"/>
      <c r="C20" s="45" t="s">
        <v>16</v>
      </c>
      <c r="D20" s="4" t="s">
        <v>0</v>
      </c>
      <c r="E20" s="4">
        <v>1211.4000000000001</v>
      </c>
      <c r="F20" s="4">
        <v>4900</v>
      </c>
      <c r="G20" s="17">
        <v>-5.5760690000000002E-2</v>
      </c>
      <c r="H20" s="18">
        <v>15.395060000000001</v>
      </c>
      <c r="I20" s="17">
        <v>3.319661</v>
      </c>
      <c r="J20" s="18">
        <v>0</v>
      </c>
      <c r="K20" s="17">
        <v>-0.38367639999999997</v>
      </c>
      <c r="L20" s="18">
        <v>0</v>
      </c>
      <c r="M20" s="17">
        <v>0</v>
      </c>
      <c r="N20" s="18">
        <v>0</v>
      </c>
      <c r="O20" s="9">
        <v>1</v>
      </c>
      <c r="P20" s="33"/>
      <c r="Q20" s="4">
        <v>1</v>
      </c>
    </row>
    <row r="21" spans="1:17" ht="24" hidden="1" thickTop="1" x14ac:dyDescent="0.35">
      <c r="A21"/>
      <c r="C21" s="33" t="s">
        <v>16</v>
      </c>
      <c r="D21" s="4" t="s">
        <v>2</v>
      </c>
      <c r="E21" s="4">
        <v>298.14999999999998</v>
      </c>
      <c r="F21" s="4">
        <v>2000</v>
      </c>
      <c r="G21" s="19">
        <v>4.5041794455469359</v>
      </c>
      <c r="H21" s="20">
        <v>29.447554603809422</v>
      </c>
      <c r="I21" s="19">
        <v>3.5444103674303924</v>
      </c>
      <c r="J21" s="20">
        <v>1.9243490288050995E-4</v>
      </c>
      <c r="K21" s="19">
        <v>9.0811477271360019E-2</v>
      </c>
      <c r="L21" s="20">
        <v>-2.2009742016958325</v>
      </c>
      <c r="M21" s="19">
        <v>0</v>
      </c>
      <c r="N21" s="20">
        <v>0</v>
      </c>
      <c r="O21" s="14">
        <v>2</v>
      </c>
      <c r="P21" s="32"/>
      <c r="Q21" s="4"/>
    </row>
    <row r="22" spans="1:17" ht="24" hidden="1" thickTop="1" x14ac:dyDescent="0.35">
      <c r="A22"/>
      <c r="C22" s="45" t="s">
        <v>16</v>
      </c>
      <c r="D22" s="4" t="s">
        <v>2</v>
      </c>
      <c r="E22" s="4">
        <v>298.14999999999998</v>
      </c>
      <c r="F22" s="4">
        <v>1500</v>
      </c>
      <c r="G22" s="17">
        <v>4.3829390000000004</v>
      </c>
      <c r="H22" s="18">
        <v>34.862279999999998</v>
      </c>
      <c r="I22" s="17">
        <v>5.530119</v>
      </c>
      <c r="J22" s="18">
        <v>-3.3787839999999998E-4</v>
      </c>
      <c r="K22" s="17">
        <v>8.1663529999999998E-2</v>
      </c>
      <c r="L22" s="18">
        <v>-21.130780000000001</v>
      </c>
      <c r="M22" s="17">
        <v>36.52984</v>
      </c>
      <c r="N22" s="18">
        <v>-31.421589999999998</v>
      </c>
      <c r="O22" s="9">
        <v>1</v>
      </c>
      <c r="P22" s="33"/>
      <c r="Q22" s="4">
        <v>1</v>
      </c>
    </row>
    <row r="23" spans="1:17" ht="24" hidden="1" thickTop="1" x14ac:dyDescent="0.35">
      <c r="A23"/>
      <c r="C23" s="45" t="s">
        <v>16</v>
      </c>
      <c r="D23" s="4" t="s">
        <v>2</v>
      </c>
      <c r="E23" s="4">
        <v>1500</v>
      </c>
      <c r="F23" s="4">
        <v>6000</v>
      </c>
      <c r="G23" s="17">
        <v>4.3829390000000004</v>
      </c>
      <c r="H23" s="18">
        <v>26.704419999999999</v>
      </c>
      <c r="I23" s="17">
        <v>1.8358589999999999</v>
      </c>
      <c r="J23" s="18">
        <v>3.9919220000000002E-3</v>
      </c>
      <c r="K23" s="17">
        <v>-0.2011674</v>
      </c>
      <c r="L23" s="18">
        <v>2.865237</v>
      </c>
      <c r="M23" s="17">
        <v>-1.920703</v>
      </c>
      <c r="N23" s="18">
        <v>0.6292025</v>
      </c>
      <c r="O23" s="1">
        <v>1</v>
      </c>
      <c r="P23" s="33"/>
      <c r="Q23" s="4">
        <v>1</v>
      </c>
    </row>
    <row r="24" spans="1:17" ht="24" hidden="1" thickTop="1" x14ac:dyDescent="0.35">
      <c r="A24"/>
      <c r="C24" s="45" t="s">
        <v>16</v>
      </c>
      <c r="D24" s="4" t="s">
        <v>2</v>
      </c>
      <c r="E24" s="4">
        <v>6000</v>
      </c>
      <c r="F24" s="4">
        <v>10000</v>
      </c>
      <c r="G24" s="17">
        <v>4.3829390000000004</v>
      </c>
      <c r="H24" s="18">
        <v>30.185140000000001</v>
      </c>
      <c r="I24" s="17">
        <v>6.3430540000000004</v>
      </c>
      <c r="J24" s="18">
        <v>-9.5135109999999995E-2</v>
      </c>
      <c r="K24" s="17">
        <v>1.2754369999999999</v>
      </c>
      <c r="L24" s="18">
        <v>-4.2694150000000004</v>
      </c>
      <c r="M24" s="17">
        <v>1.041687</v>
      </c>
      <c r="N24" s="18">
        <v>-6.3588229999999996E-2</v>
      </c>
      <c r="O24" s="9">
        <v>1</v>
      </c>
      <c r="P24" s="33"/>
      <c r="Q24" s="4">
        <v>1</v>
      </c>
    </row>
    <row r="25" spans="1:17" ht="24" hidden="1" thickTop="1" x14ac:dyDescent="0.35">
      <c r="A25"/>
      <c r="C25" s="33" t="s">
        <v>38</v>
      </c>
      <c r="D25" s="33" t="s">
        <v>13</v>
      </c>
      <c r="E25" s="33">
        <v>298.14999999999998</v>
      </c>
      <c r="F25" s="33">
        <v>1211.4000000000001</v>
      </c>
      <c r="G25" s="17">
        <v>-5.5760690000000002E-2</v>
      </c>
      <c r="H25" s="18">
        <v>10.808619999999999</v>
      </c>
      <c r="I25" s="17">
        <v>2.898209</v>
      </c>
      <c r="J25" s="18">
        <v>-9.4357770000000004E-5</v>
      </c>
      <c r="K25" s="17">
        <v>3.8575789999999999E-2</v>
      </c>
      <c r="L25" s="18">
        <v>1.796346</v>
      </c>
      <c r="M25" s="17">
        <v>0</v>
      </c>
      <c r="N25" s="18">
        <v>0</v>
      </c>
      <c r="O25" s="40">
        <v>5</v>
      </c>
      <c r="P25" s="32"/>
      <c r="Q25" s="4"/>
    </row>
    <row r="26" spans="1:17" ht="24" hidden="1" thickTop="1" x14ac:dyDescent="0.35">
      <c r="A26"/>
      <c r="C26" s="45" t="s">
        <v>3</v>
      </c>
      <c r="D26" s="4" t="s">
        <v>2</v>
      </c>
      <c r="E26" s="4">
        <v>298.14999999999998</v>
      </c>
      <c r="F26" s="4">
        <v>1500</v>
      </c>
      <c r="G26" s="17">
        <v>5.674709</v>
      </c>
      <c r="H26" s="18">
        <v>49.524940000000001</v>
      </c>
      <c r="I26" s="17">
        <v>7.0513279999999998</v>
      </c>
      <c r="J26" s="18">
        <v>-1.341195E-5</v>
      </c>
      <c r="K26" s="17">
        <v>5.245814E-2</v>
      </c>
      <c r="L26" s="18">
        <v>-24.580100000000002</v>
      </c>
      <c r="M26" s="17">
        <v>62.099780000000003</v>
      </c>
      <c r="N26" s="18">
        <v>-81.046109999999999</v>
      </c>
      <c r="O26" s="13">
        <v>1</v>
      </c>
      <c r="P26" s="36"/>
      <c r="Q26" s="4">
        <v>1</v>
      </c>
    </row>
    <row r="27" spans="1:17" ht="24" hidden="1" thickTop="1" x14ac:dyDescent="0.35">
      <c r="A27"/>
      <c r="C27" s="45" t="s">
        <v>3</v>
      </c>
      <c r="D27" s="4" t="s">
        <v>2</v>
      </c>
      <c r="E27" s="4">
        <v>1500</v>
      </c>
      <c r="F27" s="4">
        <v>6000</v>
      </c>
      <c r="G27" s="19">
        <v>5.674709</v>
      </c>
      <c r="H27" s="20">
        <v>40.162990000000001</v>
      </c>
      <c r="I27" s="19">
        <v>2.7510140000000001</v>
      </c>
      <c r="J27" s="20">
        <v>7.8054969999999998E-3</v>
      </c>
      <c r="K27" s="19">
        <v>-0.32734089999999999</v>
      </c>
      <c r="L27" s="20">
        <v>6.01546</v>
      </c>
      <c r="M27" s="19">
        <v>-3.5431430000000002</v>
      </c>
      <c r="N27" s="20">
        <v>0.75900279999999998</v>
      </c>
      <c r="O27" s="8">
        <v>1</v>
      </c>
      <c r="P27" s="33"/>
      <c r="Q27" s="4">
        <v>1</v>
      </c>
    </row>
    <row r="28" spans="1:17" ht="24" hidden="1" thickTop="1" x14ac:dyDescent="0.35">
      <c r="A28"/>
      <c r="C28" s="45" t="s">
        <v>15</v>
      </c>
      <c r="D28" s="4" t="s">
        <v>13</v>
      </c>
      <c r="E28" s="4">
        <v>298.14999999999998</v>
      </c>
      <c r="F28" s="4">
        <v>947.99990000000003</v>
      </c>
      <c r="G28" s="17">
        <v>-0.82987549999999999</v>
      </c>
      <c r="H28" s="18">
        <v>22.446940000000001</v>
      </c>
      <c r="I28" s="17">
        <v>5.4242590000000002</v>
      </c>
      <c r="J28" s="18">
        <v>0</v>
      </c>
      <c r="K28" s="17">
        <v>0.17049120000000001</v>
      </c>
      <c r="L28" s="18">
        <v>9.8622890000000005</v>
      </c>
      <c r="M28" s="17">
        <v>0</v>
      </c>
      <c r="N28" s="18">
        <v>0</v>
      </c>
      <c r="O28" s="9">
        <v>1</v>
      </c>
      <c r="P28" s="33"/>
      <c r="Q28" s="4">
        <v>1</v>
      </c>
    </row>
    <row r="29" spans="1:17" ht="24" hidden="1" thickTop="1" x14ac:dyDescent="0.35">
      <c r="A29"/>
      <c r="C29" s="45" t="s">
        <v>15</v>
      </c>
      <c r="D29" s="4" t="s">
        <v>0</v>
      </c>
      <c r="E29" s="4">
        <v>948</v>
      </c>
      <c r="F29" s="4">
        <v>2000</v>
      </c>
      <c r="G29" s="19">
        <v>-0.82987551867219922</v>
      </c>
      <c r="H29" s="20">
        <v>30.469745783181889</v>
      </c>
      <c r="I29" s="19">
        <v>7.6492873895002704</v>
      </c>
      <c r="J29" s="20">
        <v>0</v>
      </c>
      <c r="K29" s="19">
        <v>-3.6947501353057355E-3</v>
      </c>
      <c r="L29" s="20">
        <v>0</v>
      </c>
      <c r="M29" s="19">
        <v>0</v>
      </c>
      <c r="N29" s="20">
        <v>0</v>
      </c>
      <c r="O29" s="14">
        <v>2</v>
      </c>
      <c r="P29" s="32"/>
      <c r="Q29" s="4">
        <v>1</v>
      </c>
    </row>
    <row r="30" spans="1:17" ht="24" hidden="1" thickTop="1" x14ac:dyDescent="0.35">
      <c r="A30"/>
      <c r="C30" s="45" t="s">
        <v>15</v>
      </c>
      <c r="D30" s="4" t="s">
        <v>2</v>
      </c>
      <c r="E30" s="4">
        <v>298.14999999999998</v>
      </c>
      <c r="F30" s="4">
        <v>2000</v>
      </c>
      <c r="G30" s="17">
        <v>1.2677</v>
      </c>
      <c r="H30" s="18">
        <v>11.071</v>
      </c>
      <c r="I30" s="17">
        <v>4.4489000000000001</v>
      </c>
      <c r="J30" s="18">
        <v>-1.0823999999999999E-4</v>
      </c>
      <c r="K30" s="17">
        <v>0.13999</v>
      </c>
      <c r="L30" s="18">
        <v>0.10223</v>
      </c>
      <c r="M30" s="17">
        <v>0</v>
      </c>
      <c r="N30" s="18">
        <v>0</v>
      </c>
      <c r="O30" s="10">
        <v>1</v>
      </c>
      <c r="P30" s="33"/>
      <c r="Q30" s="4">
        <v>1</v>
      </c>
    </row>
    <row r="31" spans="1:17" ht="24" hidden="1" thickTop="1" x14ac:dyDescent="0.35">
      <c r="A31"/>
      <c r="C31" s="33" t="s">
        <v>14</v>
      </c>
      <c r="D31" s="4" t="s">
        <v>13</v>
      </c>
      <c r="E31" s="4">
        <v>298.14999999999998</v>
      </c>
      <c r="F31" s="4">
        <v>1013</v>
      </c>
      <c r="G31" s="17">
        <v>-1.3591</v>
      </c>
      <c r="H31" s="18">
        <v>31.553999999999998</v>
      </c>
      <c r="I31" s="17">
        <v>7.5639000000000003</v>
      </c>
      <c r="J31" s="18">
        <v>0</v>
      </c>
      <c r="K31" s="17">
        <v>0.24035000000000001</v>
      </c>
      <c r="L31" s="18">
        <v>16.681999999999999</v>
      </c>
      <c r="M31" s="17">
        <v>0</v>
      </c>
      <c r="N31" s="18">
        <v>0</v>
      </c>
      <c r="O31" s="9">
        <v>1</v>
      </c>
      <c r="P31" s="33"/>
      <c r="Q31" s="4"/>
    </row>
    <row r="32" spans="1:17" ht="24" hidden="1" thickTop="1" x14ac:dyDescent="0.35">
      <c r="C32" s="45" t="s">
        <v>14</v>
      </c>
      <c r="D32" s="4" t="s">
        <v>13</v>
      </c>
      <c r="E32" s="4">
        <v>298.14999999999998</v>
      </c>
      <c r="F32" s="4">
        <v>350</v>
      </c>
      <c r="G32" s="17">
        <v>-1.3586866317878405</v>
      </c>
      <c r="H32" s="18">
        <v>68.816676906083146</v>
      </c>
      <c r="I32" s="17">
        <v>17.608515244452462</v>
      </c>
      <c r="J32" s="18">
        <v>-5.8145408623489088E-4</v>
      </c>
      <c r="K32" s="17">
        <v>0.41318596346922787</v>
      </c>
      <c r="L32" s="18">
        <v>-252.13723014011663</v>
      </c>
      <c r="M32" s="17">
        <v>1383.1599414677171</v>
      </c>
      <c r="N32" s="18">
        <v>0</v>
      </c>
      <c r="O32" s="1">
        <v>4</v>
      </c>
      <c r="P32" s="32"/>
      <c r="Q32" s="4">
        <v>1</v>
      </c>
    </row>
    <row r="33" spans="3:17" ht="24" hidden="1" thickTop="1" x14ac:dyDescent="0.35">
      <c r="C33" s="45" t="s">
        <v>14</v>
      </c>
      <c r="D33" s="4" t="s">
        <v>13</v>
      </c>
      <c r="E33" s="4">
        <v>350</v>
      </c>
      <c r="F33" s="4">
        <v>420</v>
      </c>
      <c r="G33" s="17">
        <v>-1.3586866317878405</v>
      </c>
      <c r="H33" s="18">
        <v>12.046908589131874</v>
      </c>
      <c r="I33" s="17">
        <v>1.7622226231282696</v>
      </c>
      <c r="J33" s="18">
        <v>0</v>
      </c>
      <c r="K33" s="17">
        <v>0.14511938535984314</v>
      </c>
      <c r="L33" s="18">
        <v>105.72854651512418</v>
      </c>
      <c r="M33" s="17">
        <v>0</v>
      </c>
      <c r="N33" s="18">
        <v>0</v>
      </c>
      <c r="O33" s="1">
        <v>4</v>
      </c>
      <c r="P33" s="32"/>
      <c r="Q33" s="4">
        <v>1</v>
      </c>
    </row>
    <row r="34" spans="3:17" ht="24" hidden="1" thickTop="1" x14ac:dyDescent="0.35">
      <c r="C34" s="45" t="s">
        <v>14</v>
      </c>
      <c r="D34" s="4" t="s">
        <v>13</v>
      </c>
      <c r="E34" s="4">
        <v>420</v>
      </c>
      <c r="F34" s="4">
        <v>450</v>
      </c>
      <c r="G34" s="17">
        <v>-1.3586866317878405</v>
      </c>
      <c r="H34" s="18">
        <v>38.768510038576053</v>
      </c>
      <c r="I34" s="17">
        <v>9.9832822178122544</v>
      </c>
      <c r="J34" s="18">
        <v>0</v>
      </c>
      <c r="K34" s="17">
        <v>0.30389873228389108</v>
      </c>
      <c r="L34" s="18">
        <v>0</v>
      </c>
      <c r="M34" s="17">
        <v>0</v>
      </c>
      <c r="N34" s="18">
        <v>0</v>
      </c>
      <c r="O34" s="1">
        <v>4</v>
      </c>
      <c r="P34" s="32"/>
      <c r="Q34" s="4">
        <v>1</v>
      </c>
    </row>
    <row r="35" spans="3:17" ht="24" hidden="1" thickTop="1" x14ac:dyDescent="0.35">
      <c r="C35" s="45" t="s">
        <v>14</v>
      </c>
      <c r="D35" s="4" t="s">
        <v>13</v>
      </c>
      <c r="E35" s="4">
        <v>450</v>
      </c>
      <c r="F35" s="4">
        <v>900</v>
      </c>
      <c r="G35" s="17">
        <v>-1.3586866317878405</v>
      </c>
      <c r="H35" s="18">
        <v>18.364758562217371</v>
      </c>
      <c r="I35" s="17">
        <v>2.0299476817607793</v>
      </c>
      <c r="J35" s="18">
        <v>2.736243911239401E-3</v>
      </c>
      <c r="K35" s="17">
        <v>-6.5765806573927721E-2</v>
      </c>
      <c r="L35" s="18">
        <v>61.455288953033858</v>
      </c>
      <c r="M35" s="17">
        <v>-80.11305550544229</v>
      </c>
      <c r="N35" s="18">
        <v>0</v>
      </c>
      <c r="O35" s="1">
        <v>4</v>
      </c>
      <c r="P35" s="32"/>
      <c r="Q35" s="4">
        <v>1</v>
      </c>
    </row>
    <row r="36" spans="3:17" ht="24" hidden="1" thickTop="1" x14ac:dyDescent="0.35">
      <c r="C36" s="45" t="s">
        <v>1</v>
      </c>
      <c r="D36" s="4" t="s">
        <v>13</v>
      </c>
      <c r="E36" s="4">
        <v>298.14999999999998</v>
      </c>
      <c r="F36" s="4">
        <v>494.3</v>
      </c>
      <c r="G36" s="17">
        <v>-6.6260929999999996E-2</v>
      </c>
      <c r="H36" s="18">
        <v>10.212899999999999</v>
      </c>
      <c r="I36" s="17">
        <v>2.3373539999999999</v>
      </c>
      <c r="J36" s="18">
        <v>0</v>
      </c>
      <c r="K36" s="17">
        <v>1.4182739999999999E-2</v>
      </c>
      <c r="L36" s="18">
        <v>13.63707</v>
      </c>
      <c r="M36" s="17">
        <v>-25.78952</v>
      </c>
      <c r="N36" s="18">
        <v>0</v>
      </c>
      <c r="O36" s="9">
        <v>1</v>
      </c>
      <c r="P36" s="33"/>
      <c r="Q36" s="4">
        <v>1</v>
      </c>
    </row>
    <row r="37" spans="3:17" ht="24" hidden="1" thickTop="1" x14ac:dyDescent="0.35">
      <c r="C37" s="45" t="s">
        <v>1</v>
      </c>
      <c r="D37" s="4" t="s">
        <v>13</v>
      </c>
      <c r="E37" s="4">
        <v>494.3</v>
      </c>
      <c r="F37" s="4">
        <v>1000</v>
      </c>
      <c r="G37" s="17">
        <v>-6.6260929999999996E-2</v>
      </c>
      <c r="H37" s="18">
        <v>23.305810000000001</v>
      </c>
      <c r="I37" s="17">
        <v>6.3044700000000002</v>
      </c>
      <c r="J37" s="18">
        <v>0</v>
      </c>
      <c r="K37" s="17">
        <v>5.1929419999999997E-2</v>
      </c>
      <c r="L37" s="18">
        <v>-29.829440000000002</v>
      </c>
      <c r="M37" s="17">
        <v>65.022059999999996</v>
      </c>
      <c r="N37" s="18">
        <v>0</v>
      </c>
      <c r="O37" s="9">
        <v>1</v>
      </c>
      <c r="P37" s="33"/>
      <c r="Q37" s="4">
        <v>1</v>
      </c>
    </row>
    <row r="38" spans="3:17" ht="24" hidden="1" thickTop="1" x14ac:dyDescent="0.35">
      <c r="C38" s="45" t="s">
        <v>1</v>
      </c>
      <c r="D38" s="4" t="s">
        <v>13</v>
      </c>
      <c r="E38" s="4">
        <v>1000</v>
      </c>
      <c r="F38" s="4">
        <v>1800</v>
      </c>
      <c r="G38" s="17">
        <v>-6.6260929999999996E-2</v>
      </c>
      <c r="H38" s="18">
        <v>16.601150000000001</v>
      </c>
      <c r="I38" s="17">
        <v>4.2397850000000004</v>
      </c>
      <c r="J38" s="18">
        <v>0</v>
      </c>
      <c r="K38" s="17">
        <v>1.3699609999999999E-2</v>
      </c>
      <c r="L38" s="18">
        <v>0</v>
      </c>
      <c r="M38" s="17">
        <v>0</v>
      </c>
      <c r="N38" s="18">
        <v>0</v>
      </c>
      <c r="O38" s="9">
        <v>1</v>
      </c>
      <c r="P38" s="46"/>
      <c r="Q38" s="4">
        <v>1</v>
      </c>
    </row>
    <row r="39" spans="3:17" ht="24" thickTop="1" x14ac:dyDescent="0.35">
      <c r="C39" s="33" t="s">
        <v>1</v>
      </c>
      <c r="D39" s="4" t="s">
        <v>0</v>
      </c>
      <c r="E39" s="4">
        <v>493.00009999999997</v>
      </c>
      <c r="F39" s="4">
        <v>957.00009999999997</v>
      </c>
      <c r="G39" s="17">
        <v>0</v>
      </c>
      <c r="H39" s="18">
        <v>16.690000000000001</v>
      </c>
      <c r="I39" s="17">
        <v>4.2279999999999998</v>
      </c>
      <c r="J39" s="18">
        <v>0</v>
      </c>
      <c r="K39" s="17">
        <v>7.2510000000000005E-2</v>
      </c>
      <c r="L39" s="18">
        <v>0</v>
      </c>
      <c r="M39" s="17">
        <v>0</v>
      </c>
      <c r="N39" s="18">
        <v>0</v>
      </c>
      <c r="O39" s="13">
        <v>1</v>
      </c>
      <c r="P39" s="47"/>
      <c r="Q39" s="4"/>
    </row>
    <row r="40" spans="3:17" x14ac:dyDescent="0.35">
      <c r="C40" t="s">
        <v>1</v>
      </c>
      <c r="D40" t="s">
        <v>0</v>
      </c>
      <c r="E40">
        <v>1000</v>
      </c>
      <c r="F40">
        <v>1800</v>
      </c>
      <c r="G40" s="17">
        <v>-6.6260929999999996E-2</v>
      </c>
      <c r="H40" s="18">
        <v>16.601150000000001</v>
      </c>
      <c r="I40" s="17">
        <v>4.2397850000000004</v>
      </c>
      <c r="J40" s="18">
        <v>0</v>
      </c>
      <c r="K40" s="17">
        <v>1.3699609999999999E-2</v>
      </c>
      <c r="L40" s="18">
        <v>0</v>
      </c>
      <c r="M40" s="17">
        <v>0</v>
      </c>
      <c r="N40" s="18">
        <v>0</v>
      </c>
      <c r="O40" s="13">
        <v>1</v>
      </c>
      <c r="P40" s="32"/>
      <c r="Q40" s="4"/>
    </row>
    <row r="41" spans="3:17" x14ac:dyDescent="0.35">
      <c r="C41" s="4" t="s">
        <v>1</v>
      </c>
      <c r="D41" s="43" t="s">
        <v>0</v>
      </c>
      <c r="E41" s="4">
        <v>493</v>
      </c>
      <c r="F41" s="4">
        <v>957</v>
      </c>
      <c r="G41" s="17">
        <v>0.13590715015936014</v>
      </c>
      <c r="H41" s="18">
        <v>16.688836423544643</v>
      </c>
      <c r="I41" s="17">
        <v>4.2275542726562021</v>
      </c>
      <c r="J41" s="18">
        <v>0</v>
      </c>
      <c r="K41" s="17">
        <v>0.20841842564195076</v>
      </c>
      <c r="L41" s="18">
        <v>0</v>
      </c>
      <c r="M41" s="17">
        <v>0</v>
      </c>
      <c r="N41" s="18">
        <v>0</v>
      </c>
      <c r="O41" s="1">
        <v>2</v>
      </c>
      <c r="P41" s="33"/>
      <c r="Q41" s="4"/>
    </row>
    <row r="42" spans="3:17" x14ac:dyDescent="0.35">
      <c r="C42" s="45" t="s">
        <v>1</v>
      </c>
      <c r="D42" s="33" t="s">
        <v>0</v>
      </c>
      <c r="E42" s="33">
        <v>494.00009999999997</v>
      </c>
      <c r="F42" s="33">
        <v>1000</v>
      </c>
      <c r="G42" s="17">
        <v>7.4080010000000002E-2</v>
      </c>
      <c r="H42" s="18">
        <v>23.32</v>
      </c>
      <c r="I42" s="17">
        <v>6.3019999999999996</v>
      </c>
      <c r="J42" s="18">
        <v>0</v>
      </c>
      <c r="K42" s="17">
        <v>0.19220000000000001</v>
      </c>
      <c r="L42" s="18">
        <v>-29.83</v>
      </c>
      <c r="M42" s="17">
        <v>64.95</v>
      </c>
      <c r="N42" s="18">
        <v>0</v>
      </c>
      <c r="O42" s="13">
        <v>4</v>
      </c>
      <c r="P42" s="32"/>
      <c r="Q42" s="4">
        <v>1</v>
      </c>
    </row>
    <row r="43" spans="3:17" hidden="1" x14ac:dyDescent="0.35">
      <c r="C43" s="45" t="s">
        <v>1</v>
      </c>
      <c r="D43" s="4" t="s">
        <v>2</v>
      </c>
      <c r="E43" s="4">
        <v>298.14999999999998</v>
      </c>
      <c r="F43" s="4">
        <v>1500</v>
      </c>
      <c r="G43" s="19">
        <v>2.783115</v>
      </c>
      <c r="H43" s="20">
        <v>25.378499999999999</v>
      </c>
      <c r="I43" s="19">
        <v>1.797085</v>
      </c>
      <c r="J43" s="20">
        <v>1.090393E-4</v>
      </c>
      <c r="K43" s="19">
        <v>-2.1003919999999999E-2</v>
      </c>
      <c r="L43" s="20">
        <v>9.1604179999999999</v>
      </c>
      <c r="M43" s="19">
        <v>-16.28604</v>
      </c>
      <c r="N43" s="20">
        <v>12.30222</v>
      </c>
      <c r="O43" s="8">
        <v>1</v>
      </c>
      <c r="P43" s="33"/>
      <c r="Q43" s="4">
        <v>1</v>
      </c>
    </row>
    <row r="44" spans="3:17" hidden="1" x14ac:dyDescent="0.35">
      <c r="C44" s="45" t="s">
        <v>1</v>
      </c>
      <c r="D44" s="4" t="s">
        <v>2</v>
      </c>
      <c r="E44" s="4">
        <v>1500</v>
      </c>
      <c r="F44" s="4">
        <v>10000</v>
      </c>
      <c r="G44" s="17">
        <v>2.783115</v>
      </c>
      <c r="H44" s="18">
        <v>27.619869999999999</v>
      </c>
      <c r="I44" s="17">
        <v>2.4307400000000001</v>
      </c>
      <c r="J44" s="18">
        <v>2.4488410000000002E-3</v>
      </c>
      <c r="K44" s="17">
        <v>-5.4265309999999997E-2</v>
      </c>
      <c r="L44" s="18">
        <v>0.91438399999999997</v>
      </c>
      <c r="M44" s="17">
        <v>-0.4321508</v>
      </c>
      <c r="N44" s="18">
        <v>8.956944E-2</v>
      </c>
      <c r="O44" s="9">
        <v>1</v>
      </c>
      <c r="P44" s="33"/>
      <c r="Q44" s="4">
        <v>1</v>
      </c>
    </row>
    <row r="45" spans="3:17" hidden="1" x14ac:dyDescent="0.35">
      <c r="C45" s="45" t="s">
        <v>32</v>
      </c>
      <c r="D45" s="4" t="s">
        <v>13</v>
      </c>
      <c r="E45" s="4">
        <v>298.14999999999998</v>
      </c>
      <c r="F45" s="4">
        <v>398</v>
      </c>
      <c r="G45" s="17">
        <v>6.0388477960190028E-2</v>
      </c>
      <c r="H45" s="18">
        <v>14.027300531776039</v>
      </c>
      <c r="I45" s="17">
        <v>3.265379758253653</v>
      </c>
      <c r="J45" s="18">
        <v>0</v>
      </c>
      <c r="K45" s="17">
        <v>9.7357297492332656E-2</v>
      </c>
      <c r="L45" s="18">
        <v>0</v>
      </c>
      <c r="M45" s="17">
        <v>0</v>
      </c>
      <c r="N45" s="18">
        <v>0</v>
      </c>
      <c r="O45" s="1">
        <v>4</v>
      </c>
      <c r="P45" s="32"/>
      <c r="Q45" s="4"/>
    </row>
    <row r="46" spans="3:17" hidden="1" x14ac:dyDescent="0.35">
      <c r="C46" s="45" t="s">
        <v>33</v>
      </c>
      <c r="D46" s="4" t="s">
        <v>13</v>
      </c>
      <c r="E46" s="4">
        <v>298</v>
      </c>
      <c r="F46" s="4">
        <v>413</v>
      </c>
      <c r="G46" s="17">
        <v>0.10769138252450537</v>
      </c>
      <c r="H46" s="18">
        <v>54.853251742343801</v>
      </c>
      <c r="I46" s="17">
        <v>12.931625473570268</v>
      </c>
      <c r="J46" s="18">
        <v>-2.6345540922484819E-4</v>
      </c>
      <c r="K46" s="17">
        <v>0.40426080105349993</v>
      </c>
      <c r="L46" s="18">
        <v>-5.4483131878044384</v>
      </c>
      <c r="M46" s="17">
        <v>114.404554292702</v>
      </c>
      <c r="N46" s="18">
        <v>0</v>
      </c>
      <c r="O46" s="1">
        <v>4</v>
      </c>
      <c r="P46" s="32"/>
      <c r="Q46" s="4"/>
    </row>
    <row r="47" spans="3:17" hidden="1" x14ac:dyDescent="0.35">
      <c r="C47" s="45" t="s">
        <v>34</v>
      </c>
      <c r="D47" s="43" t="s">
        <v>13</v>
      </c>
      <c r="E47" s="43">
        <v>298.14999999999998</v>
      </c>
      <c r="F47" s="4">
        <v>398</v>
      </c>
      <c r="G47" s="17">
        <v>0.1962595465752601</v>
      </c>
      <c r="H47" s="18">
        <v>18.555499584494658</v>
      </c>
      <c r="I47" s="17">
        <v>4.881231583378435</v>
      </c>
      <c r="J47" s="18">
        <v>0</v>
      </c>
      <c r="K47" s="17">
        <v>0.14553391965842802</v>
      </c>
      <c r="L47" s="18">
        <v>0</v>
      </c>
      <c r="M47" s="17">
        <v>0</v>
      </c>
      <c r="N47" s="18">
        <v>0</v>
      </c>
      <c r="O47" s="1">
        <v>4</v>
      </c>
      <c r="P47" s="32"/>
      <c r="Q47" s="4"/>
    </row>
    <row r="48" spans="3:17" hidden="1" x14ac:dyDescent="0.35">
      <c r="C48" s="45" t="s">
        <v>12</v>
      </c>
      <c r="D48" s="4" t="s">
        <v>2</v>
      </c>
      <c r="E48" s="4">
        <v>298.14999999999998</v>
      </c>
      <c r="F48" s="4">
        <v>1500</v>
      </c>
      <c r="G48" s="17">
        <v>1.6083639999999999</v>
      </c>
      <c r="H48" s="18">
        <v>46.654719999999998</v>
      </c>
      <c r="I48" s="17">
        <v>6.370749</v>
      </c>
      <c r="J48" s="18">
        <v>-1.7220000000000001E-4</v>
      </c>
      <c r="K48" s="17">
        <v>6.049562E-2</v>
      </c>
      <c r="L48" s="18">
        <v>-20.810030000000001</v>
      </c>
      <c r="M48" s="17">
        <v>56.994140000000002</v>
      </c>
      <c r="N48" s="18">
        <v>-73.985680000000002</v>
      </c>
      <c r="O48" s="9">
        <v>1</v>
      </c>
      <c r="P48" s="33"/>
      <c r="Q48" s="4">
        <v>1</v>
      </c>
    </row>
    <row r="49" spans="3:17" hidden="1" x14ac:dyDescent="0.35">
      <c r="C49" s="45" t="s">
        <v>12</v>
      </c>
      <c r="D49" s="4" t="s">
        <v>2</v>
      </c>
      <c r="E49" s="4">
        <v>1500</v>
      </c>
      <c r="F49" s="4">
        <v>6000</v>
      </c>
      <c r="G49" s="17">
        <v>1.6083639999999999</v>
      </c>
      <c r="H49" s="18">
        <v>41.393599999999999</v>
      </c>
      <c r="I49" s="17">
        <v>4.6638549999999999</v>
      </c>
      <c r="J49" s="18">
        <v>-1.334432E-3</v>
      </c>
      <c r="K49" s="17">
        <v>3.6780319999999998E-2</v>
      </c>
      <c r="L49" s="18">
        <v>0.98545360000000004</v>
      </c>
      <c r="M49" s="17">
        <v>-0.13838919999999999</v>
      </c>
      <c r="N49" s="18">
        <v>-0.2247374</v>
      </c>
      <c r="O49" s="9">
        <v>1</v>
      </c>
      <c r="P49" s="33"/>
      <c r="Q49" s="4">
        <v>1</v>
      </c>
    </row>
    <row r="50" spans="3:17" hidden="1" x14ac:dyDescent="0.35">
      <c r="C50" s="45" t="s">
        <v>11</v>
      </c>
      <c r="D50" s="4" t="s">
        <v>2</v>
      </c>
      <c r="E50" s="4">
        <v>298.14999999999998</v>
      </c>
      <c r="F50" s="4">
        <v>1500</v>
      </c>
      <c r="G50" s="17">
        <v>1.9782420000000001</v>
      </c>
      <c r="H50" s="18">
        <v>54.51784</v>
      </c>
      <c r="I50" s="17">
        <v>6.89046</v>
      </c>
      <c r="J50" s="18">
        <v>-1.736525E-4</v>
      </c>
      <c r="K50" s="17">
        <v>5.6347979999999999E-2</v>
      </c>
      <c r="L50" s="18">
        <v>1.1843140000000001</v>
      </c>
      <c r="M50" s="17">
        <v>-3.094471</v>
      </c>
      <c r="N50" s="18">
        <v>4.1616710000000001</v>
      </c>
      <c r="O50" s="9">
        <v>1</v>
      </c>
      <c r="P50" s="33"/>
      <c r="Q50" s="4">
        <v>1</v>
      </c>
    </row>
    <row r="51" spans="3:17" hidden="1" x14ac:dyDescent="0.35">
      <c r="C51" s="45" t="s">
        <v>11</v>
      </c>
      <c r="D51" s="4" t="s">
        <v>2</v>
      </c>
      <c r="E51" s="4">
        <v>1500</v>
      </c>
      <c r="F51" s="4">
        <v>6000</v>
      </c>
      <c r="G51" s="17">
        <v>1.9782420000000001</v>
      </c>
      <c r="H51" s="18">
        <v>54.816650000000003</v>
      </c>
      <c r="I51" s="17">
        <v>7.0000840000000002</v>
      </c>
      <c r="J51" s="18">
        <v>-2.193664E-4</v>
      </c>
      <c r="K51" s="17">
        <v>6.1325909999999997E-2</v>
      </c>
      <c r="L51" s="18">
        <v>3.7539989999999998E-4</v>
      </c>
      <c r="M51" s="17">
        <v>-1.8322499999999999E-4</v>
      </c>
      <c r="N51" s="18">
        <v>4.3410669999999999E-5</v>
      </c>
      <c r="O51" s="9">
        <v>1</v>
      </c>
      <c r="P51" s="33"/>
      <c r="Q51" s="4">
        <v>1</v>
      </c>
    </row>
    <row r="52" spans="3:17" hidden="1" x14ac:dyDescent="0.35">
      <c r="C52" s="45" t="s">
        <v>10</v>
      </c>
      <c r="D52" s="4" t="s">
        <v>2</v>
      </c>
      <c r="E52" s="4">
        <v>298.14999999999998</v>
      </c>
      <c r="F52" s="4">
        <v>1500</v>
      </c>
      <c r="G52" s="17">
        <v>1.7796749999999999</v>
      </c>
      <c r="H52" s="18">
        <v>65.627989999999997</v>
      </c>
      <c r="I52" s="17">
        <v>9.8077830000000006</v>
      </c>
      <c r="J52" s="18">
        <v>-2.9475889999999998E-4</v>
      </c>
      <c r="K52" s="17">
        <v>0.1005359</v>
      </c>
      <c r="L52" s="18">
        <v>2.0750869999999999</v>
      </c>
      <c r="M52" s="17">
        <v>-5.417872</v>
      </c>
      <c r="N52" s="18">
        <v>7.2822940000000003</v>
      </c>
      <c r="O52" s="9">
        <v>1</v>
      </c>
      <c r="P52" s="33"/>
      <c r="Q52" s="4">
        <v>1</v>
      </c>
    </row>
    <row r="53" spans="3:17" hidden="1" x14ac:dyDescent="0.35">
      <c r="C53" s="45" t="s">
        <v>10</v>
      </c>
      <c r="D53" s="4" t="s">
        <v>2</v>
      </c>
      <c r="E53" s="4">
        <v>1500</v>
      </c>
      <c r="F53" s="4">
        <v>6000</v>
      </c>
      <c r="G53" s="17">
        <v>1.7796749999999999</v>
      </c>
      <c r="H53" s="18">
        <v>66.151300000000006</v>
      </c>
      <c r="I53" s="17">
        <v>9.9996779999999994</v>
      </c>
      <c r="J53" s="18">
        <v>-3.7359040000000001E-4</v>
      </c>
      <c r="K53" s="17">
        <v>0.1092219</v>
      </c>
      <c r="L53" s="18">
        <v>1.8328540000000001E-3</v>
      </c>
      <c r="M53" s="17">
        <v>-1.155547E-3</v>
      </c>
      <c r="N53" s="18">
        <v>3.7609010000000002E-4</v>
      </c>
      <c r="O53" s="9">
        <v>1</v>
      </c>
      <c r="P53" s="33"/>
      <c r="Q53" s="4">
        <v>1</v>
      </c>
    </row>
    <row r="54" spans="3:17" hidden="1" x14ac:dyDescent="0.35">
      <c r="C54" s="45" t="s">
        <v>9</v>
      </c>
      <c r="D54" s="4" t="s">
        <v>2</v>
      </c>
      <c r="E54" s="4">
        <v>298.14999999999998</v>
      </c>
      <c r="F54" s="4">
        <v>1500</v>
      </c>
      <c r="G54" s="17">
        <v>1.593137</v>
      </c>
      <c r="H54" s="18">
        <v>82.10181</v>
      </c>
      <c r="I54" s="17">
        <v>12.889200000000001</v>
      </c>
      <c r="J54" s="18">
        <v>-2.7534359999999998E-4</v>
      </c>
      <c r="K54" s="17">
        <v>0.11292489999999999</v>
      </c>
      <c r="L54" s="18">
        <v>1.2045049999999999</v>
      </c>
      <c r="M54" s="17">
        <v>-3.1549330000000002</v>
      </c>
      <c r="N54" s="18">
        <v>4.2508710000000001</v>
      </c>
      <c r="O54" s="6">
        <v>1</v>
      </c>
      <c r="P54" s="33"/>
      <c r="Q54" s="4">
        <v>1</v>
      </c>
    </row>
    <row r="55" spans="3:17" hidden="1" x14ac:dyDescent="0.35">
      <c r="C55" s="45" t="s">
        <v>9</v>
      </c>
      <c r="D55" s="4" t="s">
        <v>2</v>
      </c>
      <c r="E55" s="4">
        <v>1500</v>
      </c>
      <c r="F55" s="4">
        <v>6000</v>
      </c>
      <c r="G55" s="17">
        <v>1.593137</v>
      </c>
      <c r="H55" s="18">
        <v>82.404619999999994</v>
      </c>
      <c r="I55" s="17">
        <v>12.999980000000001</v>
      </c>
      <c r="J55" s="18">
        <v>-3.1975439999999998E-4</v>
      </c>
      <c r="K55" s="17">
        <v>0.117897</v>
      </c>
      <c r="L55" s="18">
        <v>1.496076E-3</v>
      </c>
      <c r="M55" s="17">
        <v>-1.046272E-3</v>
      </c>
      <c r="N55" s="18">
        <v>3.8618760000000001E-4</v>
      </c>
      <c r="O55" s="6">
        <v>1</v>
      </c>
      <c r="P55" s="33"/>
      <c r="Q55" s="4">
        <v>1</v>
      </c>
    </row>
    <row r="56" spans="3:17" hidden="1" x14ac:dyDescent="0.35">
      <c r="C56" s="45" t="s">
        <v>8</v>
      </c>
      <c r="D56" s="4" t="s">
        <v>2</v>
      </c>
      <c r="E56" s="4">
        <v>298.14999999999998</v>
      </c>
      <c r="F56" s="4">
        <v>1500</v>
      </c>
      <c r="G56" s="17">
        <v>1.310376</v>
      </c>
      <c r="H56" s="18">
        <v>92.080410000000001</v>
      </c>
      <c r="I56" s="17">
        <v>15.90657</v>
      </c>
      <c r="J56" s="18">
        <v>-3.1941130000000002E-4</v>
      </c>
      <c r="K56" s="17">
        <v>0.14695030000000001</v>
      </c>
      <c r="L56" s="18">
        <v>1.017784</v>
      </c>
      <c r="M56" s="17">
        <v>-2.6653210000000001</v>
      </c>
      <c r="N56" s="18">
        <v>3.5898659999999998</v>
      </c>
      <c r="O56" s="6">
        <v>1</v>
      </c>
      <c r="P56" s="33"/>
      <c r="Q56" s="4">
        <v>1</v>
      </c>
    </row>
    <row r="57" spans="3:17" hidden="1" x14ac:dyDescent="0.35">
      <c r="C57" s="45" t="s">
        <v>8</v>
      </c>
      <c r="D57" s="4" t="s">
        <v>2</v>
      </c>
      <c r="E57" s="4">
        <v>1500</v>
      </c>
      <c r="F57" s="4">
        <v>6000</v>
      </c>
      <c r="G57" s="17">
        <v>1.310376</v>
      </c>
      <c r="H57" s="18">
        <v>92.335269999999994</v>
      </c>
      <c r="I57" s="17">
        <v>15.99952</v>
      </c>
      <c r="J57" s="18">
        <v>-3.5474159999999999E-4</v>
      </c>
      <c r="K57" s="17">
        <v>0.151062</v>
      </c>
      <c r="L57" s="18">
        <v>3.4559289999999999E-3</v>
      </c>
      <c r="M57" s="17">
        <v>-2.5853989999999999E-3</v>
      </c>
      <c r="N57" s="18">
        <v>9.828650999999999E-4</v>
      </c>
      <c r="O57" s="6">
        <v>1</v>
      </c>
      <c r="P57" s="33"/>
      <c r="Q57" s="4">
        <v>1</v>
      </c>
    </row>
    <row r="58" spans="3:17" hidden="1" x14ac:dyDescent="0.35">
      <c r="C58" s="45" t="s">
        <v>7</v>
      </c>
      <c r="D58" s="4" t="s">
        <v>2</v>
      </c>
      <c r="E58" s="4">
        <v>298.14999999999998</v>
      </c>
      <c r="F58" s="4">
        <v>1500</v>
      </c>
      <c r="G58" s="17">
        <v>1.3764209999999999</v>
      </c>
      <c r="H58" s="18">
        <v>106.2873</v>
      </c>
      <c r="I58" s="17">
        <v>18.87481</v>
      </c>
      <c r="J58" s="18">
        <v>-3.9471889999999999E-4</v>
      </c>
      <c r="K58" s="17">
        <v>0.18061250000000001</v>
      </c>
      <c r="L58" s="18">
        <v>1.363551</v>
      </c>
      <c r="M58" s="17">
        <v>-3.5720109999999998</v>
      </c>
      <c r="N58" s="18">
        <v>4.8116719999999997</v>
      </c>
      <c r="O58" s="6">
        <v>1</v>
      </c>
      <c r="P58" s="33"/>
      <c r="Q58" s="4">
        <v>1</v>
      </c>
    </row>
    <row r="59" spans="3:17" ht="24.75" hidden="1" customHeight="1" x14ac:dyDescent="0.35">
      <c r="C59" s="45" t="s">
        <v>7</v>
      </c>
      <c r="D59" s="4" t="s">
        <v>2</v>
      </c>
      <c r="E59" s="4">
        <v>1500</v>
      </c>
      <c r="F59" s="4">
        <v>6000</v>
      </c>
      <c r="G59" s="17">
        <v>1.3764209999999999</v>
      </c>
      <c r="H59" s="18">
        <v>106.6301</v>
      </c>
      <c r="I59" s="17">
        <v>19.000219999999999</v>
      </c>
      <c r="J59" s="18">
        <v>-4.455711E-4</v>
      </c>
      <c r="K59" s="17">
        <v>0.18625030000000001</v>
      </c>
      <c r="L59" s="18">
        <v>1.466539E-3</v>
      </c>
      <c r="M59" s="17">
        <v>-9.910276E-4</v>
      </c>
      <c r="N59" s="18">
        <v>3.4599259999999998E-4</v>
      </c>
      <c r="O59" s="6">
        <v>1</v>
      </c>
      <c r="P59" s="33"/>
      <c r="Q59" s="4">
        <v>1</v>
      </c>
    </row>
    <row r="60" spans="3:17" hidden="1" x14ac:dyDescent="0.35">
      <c r="C60" s="45" t="s">
        <v>6</v>
      </c>
      <c r="D60" s="4" t="s">
        <v>2</v>
      </c>
      <c r="E60" s="4">
        <v>298.14999999999998</v>
      </c>
      <c r="F60" s="4">
        <v>1500</v>
      </c>
      <c r="G60" s="17">
        <v>1.4184099999999999</v>
      </c>
      <c r="H60" s="18">
        <v>118.3836</v>
      </c>
      <c r="I60" s="17">
        <v>21.846499999999999</v>
      </c>
      <c r="J60" s="18">
        <v>-4.55196E-4</v>
      </c>
      <c r="K60" s="17">
        <v>0.2049985</v>
      </c>
      <c r="L60" s="18">
        <v>1.669807</v>
      </c>
      <c r="M60" s="17">
        <v>-4.3705270000000001</v>
      </c>
      <c r="N60" s="18">
        <v>5.8827660000000002</v>
      </c>
      <c r="O60" s="6">
        <v>1</v>
      </c>
      <c r="P60" s="33"/>
      <c r="Q60" s="4">
        <v>1</v>
      </c>
    </row>
    <row r="61" spans="3:17" hidden="1" x14ac:dyDescent="0.35">
      <c r="C61" s="45" t="s">
        <v>6</v>
      </c>
      <c r="D61" s="42" t="s">
        <v>2</v>
      </c>
      <c r="E61" s="5">
        <v>1500</v>
      </c>
      <c r="F61" s="4">
        <v>6000</v>
      </c>
      <c r="G61" s="17">
        <v>1.4184099999999999</v>
      </c>
      <c r="H61" s="18">
        <v>118.80549999999999</v>
      </c>
      <c r="I61" s="17">
        <v>22.001380000000001</v>
      </c>
      <c r="J61" s="18">
        <v>-5.2171050000000005E-4</v>
      </c>
      <c r="K61" s="17">
        <v>0.21207509999999999</v>
      </c>
      <c r="L61" s="18">
        <v>-2.09779E-3</v>
      </c>
      <c r="M61" s="17">
        <v>1.840469E-3</v>
      </c>
      <c r="N61" s="18">
        <v>-7.697003E-4</v>
      </c>
      <c r="O61" s="6">
        <v>1</v>
      </c>
      <c r="P61" s="33"/>
      <c r="Q61" s="4">
        <v>1</v>
      </c>
    </row>
    <row r="62" spans="3:17" hidden="1" x14ac:dyDescent="0.35">
      <c r="C62" s="44" t="s">
        <v>17</v>
      </c>
      <c r="D62" s="5" t="s">
        <v>0</v>
      </c>
      <c r="E62" s="4">
        <v>1278</v>
      </c>
      <c r="F62" s="4">
        <v>3000</v>
      </c>
      <c r="G62" s="17">
        <v>-2.89167</v>
      </c>
      <c r="H62" s="18" t="s">
        <v>39</v>
      </c>
      <c r="I62" s="17"/>
      <c r="J62" s="18"/>
      <c r="K62" s="17"/>
      <c r="L62" s="18"/>
      <c r="M62" s="17"/>
      <c r="N62" s="18"/>
      <c r="O62" s="1">
        <v>6</v>
      </c>
      <c r="P62" s="32"/>
      <c r="Q62" s="4">
        <v>1</v>
      </c>
    </row>
    <row r="63" spans="3:17" hidden="1" x14ac:dyDescent="0.35">
      <c r="C63" s="4" t="s">
        <v>4</v>
      </c>
      <c r="D63" s="4" t="s">
        <v>0</v>
      </c>
      <c r="E63" s="4">
        <v>303</v>
      </c>
      <c r="F63" s="4">
        <v>700</v>
      </c>
      <c r="G63" s="17">
        <v>-6.7231949999999999E-2</v>
      </c>
      <c r="H63" s="18">
        <v>15.16194</v>
      </c>
      <c r="I63" s="17">
        <v>3.315607</v>
      </c>
      <c r="J63" s="18">
        <v>1.4229999999999999E-4</v>
      </c>
      <c r="K63" s="17">
        <v>8.3943879999999998E-2</v>
      </c>
      <c r="L63" s="18">
        <v>-0.18451719999999999</v>
      </c>
      <c r="M63" s="17">
        <v>0.49311440000000001</v>
      </c>
      <c r="N63" s="18">
        <v>0</v>
      </c>
      <c r="O63" s="48">
        <v>5</v>
      </c>
      <c r="P63" s="33"/>
      <c r="Q63" s="4"/>
    </row>
    <row r="64" spans="3:17" hidden="1" x14ac:dyDescent="0.35">
      <c r="C64" s="33" t="s">
        <v>4</v>
      </c>
      <c r="D64" s="4" t="s">
        <v>0</v>
      </c>
      <c r="E64" s="4">
        <v>303</v>
      </c>
      <c r="F64" s="4">
        <v>700</v>
      </c>
      <c r="G64" s="17">
        <v>-6.7231949999999999E-2</v>
      </c>
      <c r="H64" s="18">
        <v>15.16194</v>
      </c>
      <c r="I64" s="17">
        <v>3.315607</v>
      </c>
      <c r="J64" s="18">
        <v>1.4229999999999999E-4</v>
      </c>
      <c r="K64" s="17">
        <v>8.3943879999999998E-2</v>
      </c>
      <c r="L64" s="18">
        <v>-0.18451719999999999</v>
      </c>
      <c r="M64" s="17">
        <v>0.49311440000000001</v>
      </c>
      <c r="N64" s="18">
        <v>0</v>
      </c>
      <c r="O64" s="48">
        <v>5</v>
      </c>
      <c r="P64" s="32"/>
      <c r="Q64" s="4"/>
    </row>
    <row r="65" spans="1:26" hidden="1" x14ac:dyDescent="0.35">
      <c r="C65" s="33" t="s">
        <v>4</v>
      </c>
      <c r="D65" s="4" t="s">
        <v>0</v>
      </c>
      <c r="E65" s="4">
        <v>699.99990000000003</v>
      </c>
      <c r="F65" s="4">
        <v>4000.0010000000002</v>
      </c>
      <c r="G65" s="17">
        <v>-6.7231949999999999E-2</v>
      </c>
      <c r="H65" s="18">
        <v>15.16123</v>
      </c>
      <c r="I65" s="17">
        <v>3.1353659999999999</v>
      </c>
      <c r="J65" s="18">
        <v>1.4249999999999999E-4</v>
      </c>
      <c r="K65" s="17">
        <v>8.3929989999999996E-2</v>
      </c>
      <c r="L65" s="18">
        <v>-0.18099999999999999</v>
      </c>
      <c r="M65" s="17">
        <v>0.48299999999999998</v>
      </c>
      <c r="N65" s="18">
        <v>0</v>
      </c>
      <c r="O65" s="6">
        <v>5</v>
      </c>
      <c r="P65" s="33"/>
      <c r="Q65" s="4"/>
    </row>
    <row r="66" spans="1:26" hidden="1" x14ac:dyDescent="0.35">
      <c r="C66" s="33" t="s">
        <v>4</v>
      </c>
      <c r="D66" s="4" t="s">
        <v>2</v>
      </c>
      <c r="E66" s="4">
        <v>298.14999999999998</v>
      </c>
      <c r="F66" s="4">
        <v>1500</v>
      </c>
      <c r="G66" s="17">
        <v>3.192504</v>
      </c>
      <c r="H66" s="18">
        <v>33.995229999999999</v>
      </c>
      <c r="I66" s="17">
        <v>5.1932309999999999</v>
      </c>
      <c r="J66" s="18">
        <v>-4.8091060000000002E-4</v>
      </c>
      <c r="K66" s="17">
        <v>9.1439489999999998E-2</v>
      </c>
      <c r="L66" s="18">
        <v>-21.466670000000001</v>
      </c>
      <c r="M66" s="17">
        <v>42.981879999999997</v>
      </c>
      <c r="N66" s="18">
        <v>-45.813839999999999</v>
      </c>
      <c r="O66" s="7">
        <v>1</v>
      </c>
      <c r="P66" s="33"/>
      <c r="Q66" s="4">
        <v>1</v>
      </c>
    </row>
    <row r="67" spans="1:26" hidden="1" x14ac:dyDescent="0.35">
      <c r="C67" s="33" t="s">
        <v>4</v>
      </c>
      <c r="D67" s="4" t="s">
        <v>2</v>
      </c>
      <c r="E67" s="4">
        <v>1500</v>
      </c>
      <c r="F67" s="4">
        <v>6000</v>
      </c>
      <c r="G67" s="19">
        <v>3.192504</v>
      </c>
      <c r="H67" s="20">
        <v>27.29757</v>
      </c>
      <c r="I67" s="19">
        <v>2.370241</v>
      </c>
      <c r="J67" s="20">
        <v>2.138671E-3</v>
      </c>
      <c r="K67" s="19">
        <v>-9.5885429999999994E-2</v>
      </c>
      <c r="L67" s="20">
        <v>0.51440149999999996</v>
      </c>
      <c r="M67" s="19">
        <v>-0.49555690000000002</v>
      </c>
      <c r="N67" s="20">
        <v>0.24712329999999999</v>
      </c>
      <c r="O67" s="8">
        <v>1</v>
      </c>
      <c r="P67" s="35"/>
      <c r="Q67" s="4">
        <v>1</v>
      </c>
    </row>
    <row r="68" spans="1:26" hidden="1" x14ac:dyDescent="0.35">
      <c r="C68" s="33" t="s">
        <v>4</v>
      </c>
      <c r="D68" s="4" t="s">
        <v>2</v>
      </c>
      <c r="E68" s="4">
        <v>6000</v>
      </c>
      <c r="F68" s="4">
        <v>10000</v>
      </c>
      <c r="G68" s="17">
        <v>3.192504</v>
      </c>
      <c r="H68" s="18">
        <v>31.29327</v>
      </c>
      <c r="I68" s="17">
        <v>7.3013729999999999</v>
      </c>
      <c r="J68" s="18">
        <v>-9.3193609999999996E-2</v>
      </c>
      <c r="K68" s="17">
        <v>1.4353830000000001</v>
      </c>
      <c r="L68" s="18">
        <v>-7.4299809999999997</v>
      </c>
      <c r="M68" s="17">
        <v>2.6981959999999998</v>
      </c>
      <c r="N68" s="18">
        <v>-0.43421900000000002</v>
      </c>
      <c r="O68" s="7">
        <v>1</v>
      </c>
      <c r="P68" s="33"/>
      <c r="Q68" s="4">
        <v>1</v>
      </c>
    </row>
    <row r="69" spans="1:26" hidden="1" x14ac:dyDescent="0.35">
      <c r="C69" s="4" t="s">
        <v>4</v>
      </c>
      <c r="D69" s="5" t="s">
        <v>0</v>
      </c>
      <c r="E69" s="4">
        <v>699.99990000000003</v>
      </c>
      <c r="F69" s="4">
        <v>4000.0010000000002</v>
      </c>
      <c r="G69" s="17">
        <v>-6.7231949999999999E-2</v>
      </c>
      <c r="H69" s="18">
        <v>15.16123</v>
      </c>
      <c r="I69" s="17">
        <v>3.1353659999999999</v>
      </c>
      <c r="J69" s="18">
        <v>1.4249999999999999E-4</v>
      </c>
      <c r="K69" s="17">
        <v>8.3929989999999996E-2</v>
      </c>
      <c r="L69" s="18">
        <v>-0.18099999999999999</v>
      </c>
      <c r="M69" s="17">
        <v>0.48299999999999998</v>
      </c>
      <c r="N69" s="18">
        <v>0</v>
      </c>
      <c r="O69" s="6">
        <v>5</v>
      </c>
      <c r="P69" s="33"/>
      <c r="Q69" s="4"/>
    </row>
    <row r="70" spans="1:26" x14ac:dyDescent="0.35">
      <c r="C70" s="45" t="s">
        <v>1</v>
      </c>
      <c r="D70" s="49" t="s">
        <v>0</v>
      </c>
      <c r="E70" s="33">
        <v>1000</v>
      </c>
      <c r="F70" s="33">
        <v>1800</v>
      </c>
      <c r="G70" s="17">
        <v>7.4080010000000002E-2</v>
      </c>
      <c r="H70" s="18">
        <v>16.62</v>
      </c>
      <c r="I70" s="17">
        <v>4.2460000000000004</v>
      </c>
      <c r="J70" s="18">
        <v>0</v>
      </c>
      <c r="K70" s="17">
        <v>0.15490000000000001</v>
      </c>
      <c r="L70" s="18">
        <v>0</v>
      </c>
      <c r="M70" s="17">
        <v>0</v>
      </c>
      <c r="N70" s="18">
        <v>0</v>
      </c>
      <c r="O70" s="13">
        <v>4</v>
      </c>
      <c r="P70" s="32"/>
      <c r="Q70" s="4">
        <v>1</v>
      </c>
    </row>
    <row r="71" spans="1:26" x14ac:dyDescent="0.35">
      <c r="C71" s="4"/>
      <c r="D71" s="5"/>
      <c r="E71" s="4"/>
      <c r="F71" s="4"/>
      <c r="G71" s="18"/>
      <c r="H71" s="18"/>
      <c r="I71" s="18"/>
      <c r="J71" s="18"/>
      <c r="K71" s="18"/>
      <c r="L71" s="18"/>
      <c r="M71" s="18"/>
      <c r="N71" s="18"/>
    </row>
    <row r="72" spans="1:26" x14ac:dyDescent="0.35">
      <c r="C72" s="4"/>
      <c r="D72" s="5"/>
      <c r="E72" s="4"/>
      <c r="F72" s="4"/>
      <c r="G72" s="18"/>
      <c r="H72" s="18"/>
      <c r="I72" s="18"/>
      <c r="J72" s="18"/>
      <c r="K72" s="18"/>
      <c r="L72" s="18"/>
      <c r="M72" s="18"/>
      <c r="N72" s="18"/>
    </row>
    <row r="73" spans="1:26" x14ac:dyDescent="0.35">
      <c r="C73" s="4"/>
      <c r="D73" s="5"/>
      <c r="E73" s="4"/>
      <c r="F73" s="4"/>
      <c r="G73" s="18"/>
      <c r="H73" s="18"/>
      <c r="I73" s="18"/>
      <c r="J73" s="18"/>
      <c r="K73" s="18"/>
      <c r="L73" s="18"/>
      <c r="M73" s="18"/>
      <c r="N73" s="18"/>
    </row>
    <row r="74" spans="1:26" x14ac:dyDescent="0.35">
      <c r="C74" s="4"/>
      <c r="D74" s="5"/>
      <c r="E74" s="4"/>
      <c r="F74" s="4"/>
      <c r="G74" s="18"/>
      <c r="H74" s="18"/>
      <c r="I74" s="18"/>
      <c r="J74" s="18"/>
      <c r="K74" s="18"/>
      <c r="L74" s="18"/>
      <c r="M74" s="18"/>
      <c r="N74" s="18"/>
    </row>
    <row r="75" spans="1:26" x14ac:dyDescent="0.35">
      <c r="C75" s="4"/>
      <c r="D75" s="5"/>
      <c r="E75" s="4"/>
      <c r="F75" s="4"/>
      <c r="G75" s="18"/>
      <c r="H75" s="18"/>
      <c r="I75" s="18"/>
      <c r="J75" s="18"/>
      <c r="K75" s="18"/>
      <c r="L75" s="18"/>
      <c r="M75" s="18"/>
      <c r="N75" s="18"/>
    </row>
    <row r="76" spans="1:26" x14ac:dyDescent="0.35">
      <c r="C76" s="4"/>
      <c r="D76" s="5"/>
      <c r="E76" s="4"/>
      <c r="F76" s="4"/>
      <c r="G76" s="18"/>
      <c r="H76" s="18"/>
      <c r="I76" s="18"/>
      <c r="J76" s="18"/>
      <c r="K76" s="18"/>
      <c r="L76" s="18"/>
      <c r="M76" s="18"/>
      <c r="N76" s="18"/>
    </row>
    <row r="77" spans="1:26" x14ac:dyDescent="0.35">
      <c r="C77" s="4"/>
      <c r="D77" s="5"/>
      <c r="E77" s="4"/>
      <c r="F77" s="4"/>
      <c r="G77" s="18"/>
      <c r="H77" s="18"/>
      <c r="I77" s="18"/>
      <c r="J77" s="18"/>
      <c r="K77" s="18"/>
      <c r="L77" s="18"/>
      <c r="M77" s="18"/>
      <c r="N77" s="18"/>
    </row>
    <row r="78" spans="1:26" s="1" customFormat="1" x14ac:dyDescent="0.35">
      <c r="A78" s="3"/>
      <c r="B78" s="3"/>
      <c r="C78" s="4"/>
      <c r="D78" s="5"/>
      <c r="E78" s="4"/>
      <c r="F78" s="4"/>
      <c r="G78" s="18"/>
      <c r="H78" s="18"/>
      <c r="I78" s="18"/>
      <c r="J78" s="18"/>
      <c r="K78" s="18"/>
      <c r="L78" s="18"/>
      <c r="M78" s="18"/>
      <c r="N78" s="18"/>
      <c r="P78"/>
      <c r="Q78"/>
      <c r="R78"/>
      <c r="S78"/>
      <c r="T78"/>
      <c r="U78"/>
      <c r="V78"/>
      <c r="W78"/>
      <c r="X78"/>
      <c r="Y78"/>
      <c r="Z78"/>
    </row>
    <row r="79" spans="1:26" s="1" customFormat="1" x14ac:dyDescent="0.35">
      <c r="A79" s="3"/>
      <c r="B79" s="3"/>
      <c r="C79" s="4"/>
      <c r="D79" s="5"/>
      <c r="E79" s="4"/>
      <c r="F79" s="4"/>
      <c r="G79" s="18"/>
      <c r="H79" s="18"/>
      <c r="I79" s="18"/>
      <c r="J79" s="18"/>
      <c r="K79" s="18"/>
      <c r="L79" s="18"/>
      <c r="M79" s="18"/>
      <c r="N79" s="18"/>
      <c r="P79"/>
      <c r="Q79"/>
      <c r="R79"/>
      <c r="S79"/>
      <c r="T79"/>
      <c r="U79"/>
      <c r="V79"/>
      <c r="W79"/>
      <c r="X79"/>
      <c r="Y79"/>
      <c r="Z79"/>
    </row>
    <row r="80" spans="1:26" s="1" customFormat="1" x14ac:dyDescent="0.35">
      <c r="A80" s="3"/>
      <c r="B80" s="3"/>
      <c r="C80" s="4"/>
      <c r="D80" s="5"/>
      <c r="E80" s="4"/>
      <c r="F80" s="4"/>
      <c r="G80" s="18"/>
      <c r="H80" s="18"/>
      <c r="I80" s="18"/>
      <c r="J80" s="18"/>
      <c r="K80" s="18"/>
      <c r="L80" s="18"/>
      <c r="M80" s="18"/>
      <c r="N80" s="18"/>
      <c r="P80"/>
      <c r="Q80"/>
      <c r="R80"/>
      <c r="S80"/>
      <c r="T80"/>
      <c r="U80"/>
      <c r="V80"/>
      <c r="W80"/>
      <c r="X80"/>
      <c r="Y80"/>
      <c r="Z80"/>
    </row>
    <row r="81" spans="1:26" s="1" customFormat="1" x14ac:dyDescent="0.35">
      <c r="A81" s="3"/>
      <c r="B81" s="3"/>
      <c r="C81" s="4"/>
      <c r="D81" s="5"/>
      <c r="E81" s="4"/>
      <c r="F81" s="4"/>
      <c r="G81" s="18"/>
      <c r="H81" s="18"/>
      <c r="I81" s="18"/>
      <c r="J81" s="18"/>
      <c r="K81" s="18"/>
      <c r="L81" s="18"/>
      <c r="M81" s="18"/>
      <c r="N81" s="18"/>
      <c r="P81"/>
      <c r="Q81"/>
      <c r="R81"/>
      <c r="S81"/>
      <c r="T81"/>
      <c r="U81"/>
      <c r="V81"/>
      <c r="W81"/>
      <c r="X81"/>
      <c r="Y81"/>
      <c r="Z81"/>
    </row>
    <row r="82" spans="1:26" s="1" customFormat="1" x14ac:dyDescent="0.35">
      <c r="A82" s="3"/>
      <c r="B82" s="3"/>
      <c r="C82" s="4"/>
      <c r="D82" s="5"/>
      <c r="E82" s="4"/>
      <c r="F82" s="4"/>
      <c r="G82" s="18"/>
      <c r="H82" s="18"/>
      <c r="I82" s="18"/>
      <c r="J82" s="18"/>
      <c r="K82" s="18"/>
      <c r="L82" s="18"/>
      <c r="M82" s="18"/>
      <c r="N82" s="18"/>
      <c r="P82"/>
      <c r="Q82"/>
      <c r="R82"/>
      <c r="S82"/>
      <c r="T82"/>
      <c r="U82"/>
      <c r="V82"/>
      <c r="W82"/>
      <c r="X82"/>
      <c r="Y82"/>
      <c r="Z82"/>
    </row>
    <row r="83" spans="1:26" s="1" customFormat="1" x14ac:dyDescent="0.35">
      <c r="A83" s="3"/>
      <c r="B83" s="3"/>
      <c r="C83" s="4"/>
      <c r="D83" s="5"/>
      <c r="E83" s="4"/>
      <c r="F83" s="4"/>
      <c r="G83" s="18"/>
      <c r="H83" s="18"/>
      <c r="I83" s="18"/>
      <c r="J83" s="18"/>
      <c r="K83" s="18"/>
      <c r="L83" s="18"/>
      <c r="M83" s="18"/>
      <c r="N83" s="18"/>
      <c r="P83"/>
      <c r="Q83"/>
      <c r="R83"/>
      <c r="S83"/>
      <c r="T83"/>
      <c r="U83"/>
      <c r="V83"/>
      <c r="W83"/>
      <c r="X83"/>
      <c r="Y83"/>
      <c r="Z83"/>
    </row>
    <row r="84" spans="1:26" s="1" customFormat="1" x14ac:dyDescent="0.35">
      <c r="A84" s="3"/>
      <c r="B84" s="3"/>
      <c r="C84" s="4"/>
      <c r="D84" s="5"/>
      <c r="E84" s="4"/>
      <c r="F84" s="4"/>
      <c r="G84" s="18"/>
      <c r="H84" s="18"/>
      <c r="I84" s="18"/>
      <c r="J84" s="18"/>
      <c r="K84" s="18"/>
      <c r="L84" s="18"/>
      <c r="M84" s="18"/>
      <c r="N84" s="18"/>
      <c r="P84"/>
      <c r="Q84"/>
      <c r="R84"/>
      <c r="S84"/>
      <c r="T84"/>
      <c r="U84"/>
      <c r="V84"/>
      <c r="W84"/>
      <c r="X84"/>
      <c r="Y84"/>
      <c r="Z84"/>
    </row>
    <row r="85" spans="1:26" s="1" customFormat="1" x14ac:dyDescent="0.35">
      <c r="A85" s="3"/>
      <c r="B85" s="3"/>
      <c r="C85" s="4"/>
      <c r="D85" s="5"/>
      <c r="E85" s="4"/>
      <c r="F85" s="4"/>
      <c r="G85" s="18"/>
      <c r="H85" s="18"/>
      <c r="I85" s="18"/>
      <c r="J85" s="18"/>
      <c r="K85" s="18"/>
      <c r="L85" s="18"/>
      <c r="M85" s="18"/>
      <c r="N85" s="18"/>
      <c r="P85"/>
      <c r="Q85"/>
      <c r="R85"/>
      <c r="S85"/>
      <c r="T85"/>
      <c r="U85"/>
      <c r="V85"/>
      <c r="W85"/>
      <c r="X85"/>
      <c r="Y85"/>
      <c r="Z85"/>
    </row>
    <row r="86" spans="1:26" s="1" customFormat="1" x14ac:dyDescent="0.35">
      <c r="A86" s="3"/>
      <c r="B86" s="3"/>
      <c r="C86" s="4"/>
      <c r="D86" s="5"/>
      <c r="E86" s="4"/>
      <c r="F86" s="4"/>
      <c r="G86" s="18"/>
      <c r="H86" s="18"/>
      <c r="I86" s="18"/>
      <c r="J86" s="18"/>
      <c r="K86" s="18"/>
      <c r="L86" s="18"/>
      <c r="M86" s="18"/>
      <c r="N86" s="18"/>
      <c r="P86"/>
      <c r="Q86"/>
      <c r="R86"/>
      <c r="S86"/>
      <c r="T86"/>
      <c r="U86"/>
      <c r="V86"/>
      <c r="W86"/>
      <c r="X86"/>
      <c r="Y86"/>
      <c r="Z86"/>
    </row>
    <row r="87" spans="1:26" s="1" customFormat="1" x14ac:dyDescent="0.35">
      <c r="A87" s="3"/>
      <c r="B87" s="3"/>
      <c r="C87" s="4"/>
      <c r="D87" s="5"/>
      <c r="E87" s="4"/>
      <c r="F87" s="4"/>
      <c r="G87" s="18"/>
      <c r="H87" s="18"/>
      <c r="I87" s="18"/>
      <c r="J87" s="18"/>
      <c r="K87" s="18"/>
      <c r="L87" s="18"/>
      <c r="M87" s="18"/>
      <c r="N87" s="18"/>
      <c r="P87"/>
      <c r="Q87"/>
      <c r="R87"/>
      <c r="S87"/>
      <c r="T87"/>
      <c r="U87"/>
      <c r="V87"/>
      <c r="W87"/>
      <c r="X87"/>
      <c r="Y87"/>
      <c r="Z87"/>
    </row>
    <row r="88" spans="1:26" s="1" customFormat="1" x14ac:dyDescent="0.35">
      <c r="A88" s="3"/>
      <c r="B88" s="3"/>
      <c r="C88" s="4"/>
      <c r="D88" s="5"/>
      <c r="E88" s="4"/>
      <c r="F88" s="4"/>
      <c r="G88" s="18"/>
      <c r="H88" s="18"/>
      <c r="I88" s="18"/>
      <c r="J88" s="18"/>
      <c r="K88" s="18"/>
      <c r="L88" s="18"/>
      <c r="M88" s="18"/>
      <c r="N88" s="18"/>
      <c r="P88"/>
      <c r="Q88"/>
      <c r="R88"/>
      <c r="S88"/>
      <c r="T88"/>
      <c r="U88"/>
      <c r="V88"/>
      <c r="W88"/>
      <c r="X88"/>
      <c r="Y88"/>
      <c r="Z88"/>
    </row>
    <row r="89" spans="1:26" s="1" customFormat="1" x14ac:dyDescent="0.35">
      <c r="A89" s="3"/>
      <c r="B89" s="3"/>
      <c r="C89" s="4"/>
      <c r="D89" s="5"/>
      <c r="E89" s="4"/>
      <c r="F89" s="4"/>
      <c r="G89" s="18"/>
      <c r="H89" s="18"/>
      <c r="I89" s="18"/>
      <c r="J89" s="18"/>
      <c r="K89" s="18"/>
      <c r="L89" s="18"/>
      <c r="M89" s="18"/>
      <c r="N89" s="18"/>
      <c r="P89"/>
      <c r="Q89"/>
      <c r="R89"/>
      <c r="S89"/>
      <c r="T89"/>
      <c r="U89"/>
      <c r="V89"/>
      <c r="W89"/>
      <c r="X89"/>
      <c r="Y89"/>
      <c r="Z89"/>
    </row>
    <row r="90" spans="1:26" s="1" customFormat="1" x14ac:dyDescent="0.35">
      <c r="A90" s="3"/>
      <c r="B90" s="3"/>
      <c r="C90" s="4"/>
      <c r="D90" s="5"/>
      <c r="E90" s="4"/>
      <c r="F90" s="4"/>
      <c r="G90" s="18"/>
      <c r="H90" s="18"/>
      <c r="I90" s="18"/>
      <c r="J90" s="18"/>
      <c r="K90" s="18"/>
      <c r="L90" s="18"/>
      <c r="M90" s="18"/>
      <c r="N90" s="18"/>
      <c r="P90"/>
      <c r="Q90"/>
      <c r="R90"/>
      <c r="S90"/>
      <c r="T90"/>
      <c r="U90"/>
      <c r="V90"/>
      <c r="W90"/>
      <c r="X90"/>
      <c r="Y90"/>
      <c r="Z90"/>
    </row>
    <row r="91" spans="1:26" s="1" customFormat="1" x14ac:dyDescent="0.35">
      <c r="A91" s="3"/>
      <c r="B91" s="3"/>
      <c r="C91" s="4"/>
      <c r="D91" s="5"/>
      <c r="E91" s="4"/>
      <c r="F91" s="4"/>
      <c r="G91" s="18"/>
      <c r="H91" s="18"/>
      <c r="I91" s="18"/>
      <c r="J91" s="18"/>
      <c r="K91" s="18"/>
      <c r="L91" s="18"/>
      <c r="M91" s="18"/>
      <c r="N91" s="18"/>
      <c r="P91"/>
      <c r="Q91"/>
      <c r="R91"/>
      <c r="S91"/>
      <c r="T91"/>
      <c r="U91"/>
      <c r="V91"/>
      <c r="W91"/>
      <c r="X91"/>
      <c r="Y91"/>
      <c r="Z91"/>
    </row>
    <row r="92" spans="1:26" s="1" customFormat="1" x14ac:dyDescent="0.35">
      <c r="A92" s="3"/>
      <c r="B92" s="3"/>
      <c r="C92" s="4"/>
      <c r="D92" s="5"/>
      <c r="E92" s="4"/>
      <c r="F92" s="4"/>
      <c r="G92" s="18"/>
      <c r="H92" s="18"/>
      <c r="I92" s="18"/>
      <c r="J92" s="18"/>
      <c r="K92" s="18"/>
      <c r="L92" s="18"/>
      <c r="M92" s="18"/>
      <c r="N92" s="18"/>
      <c r="P92"/>
      <c r="Q92"/>
      <c r="R92"/>
      <c r="S92"/>
      <c r="T92"/>
      <c r="U92"/>
      <c r="V92"/>
      <c r="W92"/>
      <c r="X92"/>
      <c r="Y92"/>
      <c r="Z92"/>
    </row>
    <row r="93" spans="1:26" s="1" customFormat="1" x14ac:dyDescent="0.35">
      <c r="A93" s="3"/>
      <c r="B93" s="3"/>
      <c r="C93" s="4"/>
      <c r="D93" s="5"/>
      <c r="E93" s="4"/>
      <c r="F93" s="4"/>
      <c r="G93" s="18"/>
      <c r="H93" s="18"/>
      <c r="I93" s="18"/>
      <c r="J93" s="18"/>
      <c r="K93" s="18"/>
      <c r="L93" s="18"/>
      <c r="M93" s="18"/>
      <c r="N93" s="18"/>
      <c r="P93"/>
      <c r="Q93"/>
      <c r="R93"/>
      <c r="S93"/>
      <c r="T93"/>
      <c r="U93"/>
      <c r="V93"/>
      <c r="W93"/>
      <c r="X93"/>
      <c r="Y93"/>
      <c r="Z93"/>
    </row>
    <row r="94" spans="1:26" s="1" customFormat="1" x14ac:dyDescent="0.35">
      <c r="A94" s="3"/>
      <c r="B94" s="3"/>
      <c r="C94" s="4"/>
      <c r="D94" s="5"/>
      <c r="E94" s="4"/>
      <c r="F94" s="4"/>
      <c r="G94" s="18"/>
      <c r="H94" s="18"/>
      <c r="I94" s="18"/>
      <c r="J94" s="18"/>
      <c r="K94" s="18"/>
      <c r="L94" s="18"/>
      <c r="M94" s="18"/>
      <c r="N94" s="18"/>
      <c r="P94"/>
      <c r="Q94"/>
      <c r="R94"/>
      <c r="S94"/>
      <c r="T94"/>
      <c r="U94"/>
      <c r="V94"/>
      <c r="W94"/>
      <c r="X94"/>
      <c r="Y94"/>
      <c r="Z94"/>
    </row>
    <row r="95" spans="1:26" s="1" customFormat="1" x14ac:dyDescent="0.35">
      <c r="A95" s="3"/>
      <c r="B95" s="3"/>
      <c r="C95" s="4"/>
      <c r="D95" s="5"/>
      <c r="E95" s="4"/>
      <c r="F95" s="4"/>
      <c r="G95" s="18"/>
      <c r="H95" s="18"/>
      <c r="I95" s="18"/>
      <c r="J95" s="18"/>
      <c r="K95" s="18"/>
      <c r="L95" s="18"/>
      <c r="M95" s="18"/>
      <c r="N95" s="18"/>
      <c r="P95"/>
      <c r="Q95"/>
      <c r="R95"/>
      <c r="S95"/>
      <c r="T95"/>
      <c r="U95"/>
      <c r="V95"/>
      <c r="W95"/>
      <c r="X95"/>
      <c r="Y95"/>
      <c r="Z95"/>
    </row>
    <row r="96" spans="1:26" s="1" customFormat="1" x14ac:dyDescent="0.35">
      <c r="A96" s="3"/>
      <c r="B96" s="3"/>
      <c r="C96" s="4"/>
      <c r="D96" s="5"/>
      <c r="E96" s="4"/>
      <c r="F96" s="4"/>
      <c r="G96" s="18"/>
      <c r="H96" s="18"/>
      <c r="I96" s="18"/>
      <c r="J96" s="18"/>
      <c r="K96" s="18"/>
      <c r="L96" s="18"/>
      <c r="M96" s="18"/>
      <c r="N96" s="18"/>
      <c r="P96"/>
      <c r="Q96"/>
      <c r="R96"/>
      <c r="S96"/>
      <c r="T96"/>
      <c r="U96"/>
      <c r="V96"/>
      <c r="W96"/>
      <c r="X96"/>
      <c r="Y96"/>
      <c r="Z96"/>
    </row>
    <row r="97" spans="1:26" s="1" customFormat="1" x14ac:dyDescent="0.35">
      <c r="A97" s="3"/>
      <c r="B97" s="3"/>
      <c r="C97" s="4"/>
      <c r="D97" s="5"/>
      <c r="E97" s="4"/>
      <c r="F97" s="4"/>
      <c r="G97" s="18"/>
      <c r="H97" s="18"/>
      <c r="I97" s="18"/>
      <c r="J97" s="18"/>
      <c r="K97" s="18"/>
      <c r="L97" s="18"/>
      <c r="M97" s="18"/>
      <c r="N97" s="18"/>
      <c r="P97"/>
      <c r="Q97"/>
      <c r="R97"/>
      <c r="S97"/>
      <c r="T97"/>
      <c r="U97"/>
      <c r="V97"/>
      <c r="W97"/>
      <c r="X97"/>
      <c r="Y97"/>
      <c r="Z97"/>
    </row>
    <row r="98" spans="1:26" s="1" customFormat="1" x14ac:dyDescent="0.35">
      <c r="A98" s="3"/>
      <c r="B98" s="3"/>
      <c r="C98" s="4"/>
      <c r="D98" s="5"/>
      <c r="E98" s="4"/>
      <c r="F98" s="4"/>
      <c r="G98" s="18"/>
      <c r="H98" s="18"/>
      <c r="I98" s="18"/>
      <c r="J98" s="18"/>
      <c r="K98" s="18"/>
      <c r="L98" s="18"/>
      <c r="M98" s="18"/>
      <c r="N98" s="18"/>
      <c r="P98"/>
      <c r="Q98"/>
      <c r="R98"/>
      <c r="S98"/>
      <c r="T98"/>
      <c r="U98"/>
      <c r="V98"/>
      <c r="W98"/>
      <c r="X98"/>
      <c r="Y98"/>
      <c r="Z98"/>
    </row>
    <row r="99" spans="1:26" s="1" customFormat="1" x14ac:dyDescent="0.35">
      <c r="A99" s="3"/>
      <c r="B99" s="3"/>
      <c r="C99" s="4"/>
      <c r="D99" s="5"/>
      <c r="E99" s="4"/>
      <c r="F99" s="4"/>
      <c r="G99" s="18"/>
      <c r="H99" s="18"/>
      <c r="I99" s="18"/>
      <c r="J99" s="18"/>
      <c r="K99" s="18"/>
      <c r="L99" s="18"/>
      <c r="M99" s="18"/>
      <c r="N99" s="18"/>
      <c r="P99"/>
      <c r="Q99"/>
      <c r="R99"/>
      <c r="S99"/>
      <c r="T99"/>
      <c r="U99"/>
      <c r="V99"/>
      <c r="W99"/>
      <c r="X99"/>
      <c r="Y99"/>
      <c r="Z99"/>
    </row>
    <row r="100" spans="1:26" s="1" customFormat="1" x14ac:dyDescent="0.35">
      <c r="A100" s="3"/>
      <c r="B100" s="3"/>
      <c r="C100" s="4"/>
      <c r="D100" s="5"/>
      <c r="E100" s="4"/>
      <c r="F100" s="4"/>
      <c r="G100" s="18"/>
      <c r="H100" s="18"/>
      <c r="I100" s="18"/>
      <c r="J100" s="18"/>
      <c r="K100" s="18"/>
      <c r="L100" s="18"/>
      <c r="M100" s="18"/>
      <c r="N100" s="18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 x14ac:dyDescent="0.35">
      <c r="A101" s="3"/>
      <c r="B101" s="3"/>
      <c r="C101" s="4"/>
      <c r="D101" s="5"/>
      <c r="E101" s="4"/>
      <c r="F101" s="4"/>
      <c r="G101" s="18"/>
      <c r="H101" s="18"/>
      <c r="I101" s="18"/>
      <c r="J101" s="18"/>
      <c r="K101" s="18"/>
      <c r="L101" s="18"/>
      <c r="M101" s="18"/>
      <c r="N101" s="18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 x14ac:dyDescent="0.35">
      <c r="A102" s="3"/>
      <c r="B102" s="3"/>
      <c r="C102" s="4"/>
      <c r="D102" s="5"/>
      <c r="E102" s="4"/>
      <c r="F102" s="4"/>
      <c r="G102" s="18"/>
      <c r="H102" s="18"/>
      <c r="I102" s="18"/>
      <c r="J102" s="18"/>
      <c r="K102" s="18"/>
      <c r="L102" s="18"/>
      <c r="M102" s="18"/>
      <c r="N102" s="18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 x14ac:dyDescent="0.35">
      <c r="A103" s="3"/>
      <c r="B103" s="3"/>
      <c r="C103" s="4"/>
      <c r="D103" s="5"/>
      <c r="E103" s="4"/>
      <c r="F103" s="4"/>
      <c r="G103" s="18"/>
      <c r="H103" s="18"/>
      <c r="I103" s="18"/>
      <c r="J103" s="18"/>
      <c r="K103" s="18"/>
      <c r="L103" s="18"/>
      <c r="M103" s="18"/>
      <c r="N103" s="18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 x14ac:dyDescent="0.35">
      <c r="A104" s="3"/>
      <c r="B104" s="3"/>
      <c r="C104" s="4"/>
      <c r="D104" s="5"/>
      <c r="E104" s="4"/>
      <c r="F104" s="4"/>
      <c r="G104" s="18"/>
      <c r="H104" s="18"/>
      <c r="I104" s="18"/>
      <c r="J104" s="18"/>
      <c r="K104" s="18"/>
      <c r="L104" s="18"/>
      <c r="M104" s="18"/>
      <c r="N104" s="18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 x14ac:dyDescent="0.35">
      <c r="A105" s="3"/>
      <c r="B105" s="3"/>
      <c r="C105" s="4"/>
      <c r="D105" s="5"/>
      <c r="E105" s="4"/>
      <c r="F105" s="4"/>
      <c r="G105" s="18"/>
      <c r="H105" s="18"/>
      <c r="I105" s="18"/>
      <c r="J105" s="18"/>
      <c r="K105" s="18"/>
      <c r="L105" s="18"/>
      <c r="M105" s="18"/>
      <c r="N105" s="18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 x14ac:dyDescent="0.35">
      <c r="A106" s="3"/>
      <c r="B106" s="3"/>
      <c r="C106" s="4"/>
      <c r="D106" s="5"/>
      <c r="E106" s="4"/>
      <c r="F106" s="4"/>
      <c r="G106" s="18"/>
      <c r="H106" s="18"/>
      <c r="I106" s="18"/>
      <c r="J106" s="18"/>
      <c r="K106" s="18"/>
      <c r="L106" s="18"/>
      <c r="M106" s="18"/>
      <c r="N106" s="18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 x14ac:dyDescent="0.35">
      <c r="A107" s="3"/>
      <c r="B107" s="3"/>
      <c r="C107" s="4"/>
      <c r="D107" s="5"/>
      <c r="E107" s="4"/>
      <c r="F107" s="4"/>
      <c r="G107" s="18"/>
      <c r="H107" s="18"/>
      <c r="I107" s="18"/>
      <c r="J107" s="18"/>
      <c r="K107" s="18"/>
      <c r="L107" s="18"/>
      <c r="M107" s="18"/>
      <c r="N107" s="18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 x14ac:dyDescent="0.35">
      <c r="A108" s="3"/>
      <c r="B108" s="3"/>
      <c r="C108" s="4"/>
      <c r="D108" s="5"/>
      <c r="E108" s="4"/>
      <c r="F108" s="4"/>
      <c r="G108" s="18"/>
      <c r="H108" s="18"/>
      <c r="I108" s="18"/>
      <c r="J108" s="18"/>
      <c r="K108" s="18"/>
      <c r="L108" s="18"/>
      <c r="M108" s="18"/>
      <c r="N108" s="18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 x14ac:dyDescent="0.35">
      <c r="A109" s="3"/>
      <c r="B109" s="3"/>
      <c r="C109" s="4"/>
      <c r="D109" s="5"/>
      <c r="E109" s="4"/>
      <c r="F109" s="4"/>
      <c r="G109" s="18"/>
      <c r="H109" s="18"/>
      <c r="I109" s="18"/>
      <c r="J109" s="18"/>
      <c r="K109" s="18"/>
      <c r="L109" s="18"/>
      <c r="M109" s="18"/>
      <c r="N109" s="18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 x14ac:dyDescent="0.35">
      <c r="A110" s="3"/>
      <c r="B110" s="3"/>
      <c r="C110" s="4"/>
      <c r="D110" s="5"/>
      <c r="E110" s="4"/>
      <c r="F110" s="4"/>
      <c r="G110" s="18"/>
      <c r="H110" s="18"/>
      <c r="I110" s="18"/>
      <c r="J110" s="18"/>
      <c r="K110" s="18"/>
      <c r="L110" s="18"/>
      <c r="M110" s="18"/>
      <c r="N110" s="18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 x14ac:dyDescent="0.35">
      <c r="A111" s="3"/>
      <c r="B111" s="3"/>
      <c r="C111" s="4"/>
      <c r="D111" s="5"/>
      <c r="E111" s="4"/>
      <c r="F111" s="4"/>
      <c r="G111" s="18"/>
      <c r="H111" s="18"/>
      <c r="I111" s="18"/>
      <c r="J111" s="18"/>
      <c r="K111" s="18"/>
      <c r="L111" s="18"/>
      <c r="M111" s="18"/>
      <c r="N111" s="18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 x14ac:dyDescent="0.35">
      <c r="A112" s="3"/>
      <c r="B112" s="3"/>
      <c r="C112" s="4"/>
      <c r="D112" s="5"/>
      <c r="E112" s="4"/>
      <c r="F112" s="4"/>
      <c r="G112" s="18"/>
      <c r="H112" s="18"/>
      <c r="I112" s="18"/>
      <c r="J112" s="18"/>
      <c r="K112" s="18"/>
      <c r="L112" s="18"/>
      <c r="M112" s="18"/>
      <c r="N112" s="18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 x14ac:dyDescent="0.35">
      <c r="A113" s="3"/>
      <c r="B113" s="3"/>
      <c r="C113" s="4"/>
      <c r="D113" s="5"/>
      <c r="E113" s="4"/>
      <c r="F113" s="4"/>
      <c r="G113" s="18"/>
      <c r="H113" s="18"/>
      <c r="I113" s="18"/>
      <c r="J113" s="18"/>
      <c r="K113" s="18"/>
      <c r="L113" s="18"/>
      <c r="M113" s="18"/>
      <c r="N113" s="18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 x14ac:dyDescent="0.35">
      <c r="A114" s="3"/>
      <c r="B114" s="3"/>
      <c r="C114" s="4"/>
      <c r="D114" s="5"/>
      <c r="E114" s="4"/>
      <c r="F114" s="4"/>
      <c r="G114" s="18"/>
      <c r="H114" s="18"/>
      <c r="I114" s="18"/>
      <c r="J114" s="18"/>
      <c r="K114" s="18"/>
      <c r="L114" s="18"/>
      <c r="M114" s="18"/>
      <c r="N114" s="18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 x14ac:dyDescent="0.35">
      <c r="A115" s="3"/>
      <c r="B115" s="3"/>
      <c r="C115" s="4"/>
      <c r="D115" s="5"/>
      <c r="E115" s="4"/>
      <c r="F115" s="4"/>
      <c r="G115" s="18"/>
      <c r="H115" s="18"/>
      <c r="I115" s="18"/>
      <c r="J115" s="18"/>
      <c r="K115" s="18"/>
      <c r="L115" s="18"/>
      <c r="M115" s="18"/>
      <c r="N115" s="18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 x14ac:dyDescent="0.35">
      <c r="A116" s="3"/>
      <c r="B116" s="3"/>
      <c r="C116" s="4"/>
      <c r="D116" s="5"/>
      <c r="E116" s="4"/>
      <c r="F116" s="4"/>
      <c r="G116" s="18"/>
      <c r="H116" s="18"/>
      <c r="I116" s="18"/>
      <c r="J116" s="18"/>
      <c r="K116" s="18"/>
      <c r="L116" s="18"/>
      <c r="M116" s="18"/>
      <c r="N116" s="18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 x14ac:dyDescent="0.35">
      <c r="A117" s="3"/>
      <c r="B117" s="3"/>
      <c r="C117" s="4"/>
      <c r="D117" s="5"/>
      <c r="E117" s="4"/>
      <c r="F117" s="4"/>
      <c r="G117" s="18"/>
      <c r="H117" s="18"/>
      <c r="I117" s="18"/>
      <c r="J117" s="18"/>
      <c r="K117" s="18"/>
      <c r="L117" s="18"/>
      <c r="M117" s="18"/>
      <c r="N117" s="18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 x14ac:dyDescent="0.35">
      <c r="A118" s="3"/>
      <c r="B118" s="3"/>
      <c r="C118" s="4"/>
      <c r="D118" s="5"/>
      <c r="E118" s="4"/>
      <c r="F118" s="4"/>
      <c r="G118" s="18"/>
      <c r="H118" s="18"/>
      <c r="I118" s="18"/>
      <c r="J118" s="18"/>
      <c r="K118" s="18"/>
      <c r="L118" s="18"/>
      <c r="M118" s="18"/>
      <c r="N118" s="18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 x14ac:dyDescent="0.35">
      <c r="A119" s="3"/>
      <c r="B119" s="3"/>
      <c r="C119" s="4"/>
      <c r="D119" s="5"/>
      <c r="E119" s="4"/>
      <c r="F119" s="4"/>
      <c r="G119" s="18"/>
      <c r="H119" s="18"/>
      <c r="I119" s="18"/>
      <c r="J119" s="18"/>
      <c r="K119" s="18"/>
      <c r="L119" s="18"/>
      <c r="M119" s="18"/>
      <c r="N119" s="18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 x14ac:dyDescent="0.35">
      <c r="A120" s="3"/>
      <c r="B120" s="3"/>
      <c r="C120" s="4"/>
      <c r="D120" s="5"/>
      <c r="E120" s="4"/>
      <c r="F120" s="4"/>
      <c r="G120" s="18"/>
      <c r="H120" s="18"/>
      <c r="I120" s="18"/>
      <c r="J120" s="18"/>
      <c r="K120" s="18"/>
      <c r="L120" s="18"/>
      <c r="M120" s="18"/>
      <c r="N120" s="18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 x14ac:dyDescent="0.35">
      <c r="A121" s="3"/>
      <c r="B121" s="3"/>
      <c r="C121" s="4"/>
      <c r="D121" s="5"/>
      <c r="E121" s="4"/>
      <c r="F121" s="4"/>
      <c r="G121" s="18"/>
      <c r="H121" s="18"/>
      <c r="I121" s="18"/>
      <c r="J121" s="18"/>
      <c r="K121" s="18"/>
      <c r="L121" s="18"/>
      <c r="M121" s="18"/>
      <c r="N121" s="18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 x14ac:dyDescent="0.35">
      <c r="A122" s="3"/>
      <c r="B122" s="3"/>
      <c r="C122" s="4"/>
      <c r="D122" s="5"/>
      <c r="E122" s="4"/>
      <c r="F122" s="4"/>
      <c r="G122" s="18"/>
      <c r="H122" s="18"/>
      <c r="I122" s="18"/>
      <c r="J122" s="18"/>
      <c r="K122" s="18"/>
      <c r="L122" s="18"/>
      <c r="M122" s="18"/>
      <c r="N122" s="18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 x14ac:dyDescent="0.35">
      <c r="A123" s="3"/>
      <c r="B123" s="3"/>
      <c r="C123" s="4"/>
      <c r="D123" s="5"/>
      <c r="E123" s="4"/>
      <c r="F123" s="4"/>
      <c r="G123" s="18"/>
      <c r="H123" s="18"/>
      <c r="I123" s="18"/>
      <c r="J123" s="18"/>
      <c r="K123" s="18"/>
      <c r="L123" s="18"/>
      <c r="M123" s="18"/>
      <c r="N123" s="18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 x14ac:dyDescent="0.35">
      <c r="A124" s="3"/>
      <c r="B124" s="3"/>
      <c r="C124" s="4"/>
      <c r="D124" s="5"/>
      <c r="E124" s="4"/>
      <c r="F124" s="4"/>
      <c r="G124" s="18"/>
      <c r="H124" s="18"/>
      <c r="I124" s="18"/>
      <c r="J124" s="18"/>
      <c r="K124" s="18"/>
      <c r="L124" s="18"/>
      <c r="M124" s="18"/>
      <c r="N124" s="18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 x14ac:dyDescent="0.35">
      <c r="A125" s="3"/>
      <c r="B125" s="3"/>
      <c r="C125" s="4"/>
      <c r="D125" s="5"/>
      <c r="E125" s="4"/>
      <c r="F125" s="4"/>
      <c r="G125" s="18"/>
      <c r="H125" s="18"/>
      <c r="I125" s="18"/>
      <c r="J125" s="18"/>
      <c r="K125" s="18"/>
      <c r="L125" s="18"/>
      <c r="M125" s="18"/>
      <c r="N125" s="18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 x14ac:dyDescent="0.35">
      <c r="A126" s="3"/>
      <c r="B126" s="3"/>
      <c r="C126" s="4"/>
      <c r="D126" s="5"/>
      <c r="E126" s="4"/>
      <c r="F126" s="4"/>
      <c r="G126" s="18"/>
      <c r="H126" s="18"/>
      <c r="I126" s="18"/>
      <c r="J126" s="18"/>
      <c r="K126" s="18"/>
      <c r="L126" s="18"/>
      <c r="M126" s="18"/>
      <c r="N126" s="18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 x14ac:dyDescent="0.35">
      <c r="A127" s="3"/>
      <c r="B127" s="3"/>
      <c r="C127" s="4"/>
      <c r="D127" s="5"/>
      <c r="E127" s="4"/>
      <c r="F127" s="4"/>
      <c r="G127" s="18"/>
      <c r="H127" s="18"/>
      <c r="I127" s="18"/>
      <c r="J127" s="18"/>
      <c r="K127" s="18"/>
      <c r="L127" s="18"/>
      <c r="M127" s="18"/>
      <c r="N127" s="18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 x14ac:dyDescent="0.35">
      <c r="A128" s="3"/>
      <c r="B128" s="3"/>
      <c r="C128" s="4"/>
      <c r="D128" s="5"/>
      <c r="E128" s="4"/>
      <c r="F128" s="4"/>
      <c r="G128" s="18"/>
      <c r="H128" s="18"/>
      <c r="I128" s="18"/>
      <c r="J128" s="18"/>
      <c r="K128" s="18"/>
      <c r="L128" s="18"/>
      <c r="M128" s="18"/>
      <c r="N128" s="18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 x14ac:dyDescent="0.35">
      <c r="A129" s="3"/>
      <c r="B129" s="3"/>
      <c r="C129" s="4"/>
      <c r="D129" s="5"/>
      <c r="E129" s="4"/>
      <c r="F129" s="4"/>
      <c r="G129" s="18"/>
      <c r="H129" s="18"/>
      <c r="I129" s="18"/>
      <c r="J129" s="18"/>
      <c r="K129" s="18"/>
      <c r="L129" s="18"/>
      <c r="M129" s="18"/>
      <c r="N129" s="18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 x14ac:dyDescent="0.35">
      <c r="A130" s="3"/>
      <c r="B130" s="3"/>
      <c r="C130" s="4"/>
      <c r="D130" s="5"/>
      <c r="E130" s="4"/>
      <c r="F130" s="4"/>
      <c r="G130" s="18"/>
      <c r="H130" s="18"/>
      <c r="I130" s="18"/>
      <c r="J130" s="18"/>
      <c r="K130" s="18"/>
      <c r="L130" s="18"/>
      <c r="M130" s="18"/>
      <c r="N130" s="18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 x14ac:dyDescent="0.35">
      <c r="A131" s="3"/>
      <c r="B131" s="3"/>
      <c r="C131" s="4"/>
      <c r="D131" s="5"/>
      <c r="E131" s="4"/>
      <c r="F131" s="4"/>
      <c r="G131" s="18"/>
      <c r="H131" s="18"/>
      <c r="I131" s="18"/>
      <c r="J131" s="18"/>
      <c r="K131" s="18"/>
      <c r="L131" s="18"/>
      <c r="M131" s="18"/>
      <c r="N131" s="18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 x14ac:dyDescent="0.35">
      <c r="A132" s="3"/>
      <c r="B132" s="3"/>
      <c r="C132" s="4"/>
      <c r="D132" s="5"/>
      <c r="E132" s="4"/>
      <c r="F132" s="4"/>
      <c r="G132" s="18"/>
      <c r="H132" s="18"/>
      <c r="I132" s="18"/>
      <c r="J132" s="18"/>
      <c r="K132" s="18"/>
      <c r="L132" s="18"/>
      <c r="M132" s="18"/>
      <c r="N132" s="18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 x14ac:dyDescent="0.35">
      <c r="A133" s="3"/>
      <c r="B133" s="3"/>
      <c r="C133" s="4"/>
      <c r="D133" s="5"/>
      <c r="E133" s="4"/>
      <c r="F133" s="4"/>
      <c r="G133" s="18"/>
      <c r="H133" s="18"/>
      <c r="I133" s="18"/>
      <c r="J133" s="18"/>
      <c r="K133" s="18"/>
      <c r="L133" s="18"/>
      <c r="M133" s="18"/>
      <c r="N133" s="18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 x14ac:dyDescent="0.35">
      <c r="A134" s="3"/>
      <c r="B134" s="3"/>
      <c r="C134" s="4"/>
      <c r="D134" s="5"/>
      <c r="E134" s="4"/>
      <c r="F134" s="4"/>
      <c r="G134" s="18"/>
      <c r="H134" s="18"/>
      <c r="I134" s="18"/>
      <c r="J134" s="18"/>
      <c r="K134" s="18"/>
      <c r="L134" s="18"/>
      <c r="M134" s="18"/>
      <c r="N134" s="18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 x14ac:dyDescent="0.35">
      <c r="A135" s="3"/>
      <c r="B135" s="3"/>
      <c r="C135" s="4"/>
      <c r="D135" s="5"/>
      <c r="E135" s="4"/>
      <c r="F135" s="4"/>
      <c r="G135" s="18"/>
      <c r="H135" s="18"/>
      <c r="I135" s="18"/>
      <c r="J135" s="18"/>
      <c r="K135" s="18"/>
      <c r="L135" s="18"/>
      <c r="M135" s="18"/>
      <c r="N135" s="18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 x14ac:dyDescent="0.35">
      <c r="A136" s="3"/>
      <c r="B136" s="3"/>
      <c r="C136" s="4"/>
      <c r="D136" s="5"/>
      <c r="E136" s="4"/>
      <c r="F136" s="4"/>
      <c r="G136" s="18"/>
      <c r="H136" s="18"/>
      <c r="I136" s="18"/>
      <c r="J136" s="18"/>
      <c r="K136" s="18"/>
      <c r="L136" s="18"/>
      <c r="M136" s="18"/>
      <c r="N136" s="18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 x14ac:dyDescent="0.35">
      <c r="A137" s="3"/>
      <c r="B137" s="3"/>
      <c r="C137" s="4"/>
      <c r="D137" s="5"/>
      <c r="E137" s="4"/>
      <c r="F137" s="4"/>
      <c r="G137" s="18"/>
      <c r="H137" s="18"/>
      <c r="I137" s="18"/>
      <c r="J137" s="18"/>
      <c r="K137" s="18"/>
      <c r="L137" s="18"/>
      <c r="M137" s="18"/>
      <c r="N137" s="18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 x14ac:dyDescent="0.35">
      <c r="A138" s="3"/>
      <c r="B138" s="3"/>
      <c r="C138" s="4"/>
      <c r="D138" s="5"/>
      <c r="E138" s="4"/>
      <c r="F138" s="4"/>
      <c r="G138" s="18"/>
      <c r="H138" s="18"/>
      <c r="I138" s="18"/>
      <c r="J138" s="18"/>
      <c r="K138" s="18"/>
      <c r="L138" s="18"/>
      <c r="M138" s="18"/>
      <c r="N138" s="18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 x14ac:dyDescent="0.35">
      <c r="A139" s="3"/>
      <c r="B139" s="3"/>
      <c r="C139" s="4"/>
      <c r="D139" s="5"/>
      <c r="E139" s="4"/>
      <c r="F139" s="4"/>
      <c r="G139" s="18"/>
      <c r="H139" s="18"/>
      <c r="I139" s="18"/>
      <c r="J139" s="18"/>
      <c r="K139" s="18"/>
      <c r="L139" s="18"/>
      <c r="M139" s="18"/>
      <c r="N139" s="18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 x14ac:dyDescent="0.35">
      <c r="A140" s="3"/>
      <c r="B140" s="3"/>
      <c r="C140" s="4"/>
      <c r="D140" s="5"/>
      <c r="E140" s="4"/>
      <c r="F140" s="4"/>
      <c r="G140" s="18"/>
      <c r="H140" s="18"/>
      <c r="I140" s="18"/>
      <c r="J140" s="18"/>
      <c r="K140" s="18"/>
      <c r="L140" s="18"/>
      <c r="M140" s="18"/>
      <c r="N140" s="18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 x14ac:dyDescent="0.35">
      <c r="A141" s="3"/>
      <c r="B141" s="3"/>
      <c r="C141" s="4"/>
      <c r="D141" s="5"/>
      <c r="E141" s="4"/>
      <c r="F141" s="4"/>
      <c r="G141" s="18"/>
      <c r="H141" s="18"/>
      <c r="I141" s="18"/>
      <c r="J141" s="18"/>
      <c r="K141" s="18"/>
      <c r="L141" s="18"/>
      <c r="M141" s="18"/>
      <c r="N141" s="18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 x14ac:dyDescent="0.35">
      <c r="A142" s="3"/>
      <c r="B142" s="3"/>
      <c r="C142" s="4"/>
      <c r="D142" s="5"/>
      <c r="E142" s="4"/>
      <c r="F142" s="4"/>
      <c r="G142" s="18"/>
      <c r="H142" s="18"/>
      <c r="I142" s="18"/>
      <c r="J142" s="18"/>
      <c r="K142" s="18"/>
      <c r="L142" s="18"/>
      <c r="M142" s="18"/>
      <c r="N142" s="18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 x14ac:dyDescent="0.35">
      <c r="A143" s="3"/>
      <c r="B143" s="3"/>
      <c r="C143" s="4"/>
      <c r="D143" s="5"/>
      <c r="E143" s="4"/>
      <c r="F143" s="4"/>
      <c r="G143" s="18"/>
      <c r="H143" s="18"/>
      <c r="I143" s="18"/>
      <c r="J143" s="18"/>
      <c r="K143" s="18"/>
      <c r="L143" s="18"/>
      <c r="M143" s="18"/>
      <c r="N143" s="18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 x14ac:dyDescent="0.35">
      <c r="A144" s="3"/>
      <c r="B144" s="3"/>
      <c r="C144" s="4"/>
      <c r="D144" s="5"/>
      <c r="E144" s="4"/>
      <c r="F144" s="4"/>
      <c r="G144" s="18"/>
      <c r="H144" s="18"/>
      <c r="I144" s="18"/>
      <c r="J144" s="18"/>
      <c r="K144" s="18"/>
      <c r="L144" s="18"/>
      <c r="M144" s="18"/>
      <c r="N144" s="18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 x14ac:dyDescent="0.35">
      <c r="A145" s="3"/>
      <c r="B145" s="3"/>
      <c r="C145" s="4"/>
      <c r="D145" s="5"/>
      <c r="E145" s="4"/>
      <c r="F145" s="4"/>
      <c r="G145" s="18"/>
      <c r="H145" s="18"/>
      <c r="I145" s="18"/>
      <c r="J145" s="18"/>
      <c r="K145" s="18"/>
      <c r="L145" s="18"/>
      <c r="M145" s="18"/>
      <c r="N145" s="18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 x14ac:dyDescent="0.35">
      <c r="A146" s="3"/>
      <c r="B146" s="3"/>
      <c r="C146" s="4"/>
      <c r="D146" s="5"/>
      <c r="E146" s="4"/>
      <c r="F146" s="4"/>
      <c r="G146" s="18"/>
      <c r="H146" s="18"/>
      <c r="I146" s="18"/>
      <c r="J146" s="18"/>
      <c r="K146" s="18"/>
      <c r="L146" s="18"/>
      <c r="M146" s="18"/>
      <c r="N146" s="18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 x14ac:dyDescent="0.35">
      <c r="A147" s="3"/>
      <c r="B147" s="3"/>
      <c r="C147" s="4"/>
      <c r="D147" s="5"/>
      <c r="E147" s="4"/>
      <c r="F147" s="4"/>
      <c r="G147" s="18"/>
      <c r="H147" s="18"/>
      <c r="I147" s="18"/>
      <c r="J147" s="18"/>
      <c r="K147" s="18"/>
      <c r="L147" s="18"/>
      <c r="M147" s="18"/>
      <c r="N147" s="18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 x14ac:dyDescent="0.35">
      <c r="A148" s="3"/>
      <c r="B148" s="3"/>
      <c r="C148" s="4"/>
      <c r="D148" s="5"/>
      <c r="E148" s="4"/>
      <c r="F148" s="4"/>
      <c r="G148" s="18"/>
      <c r="H148" s="18"/>
      <c r="I148" s="18"/>
      <c r="J148" s="18"/>
      <c r="K148" s="18"/>
      <c r="L148" s="18"/>
      <c r="M148" s="18"/>
      <c r="N148" s="18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 x14ac:dyDescent="0.35">
      <c r="A149" s="3"/>
      <c r="B149" s="3"/>
      <c r="C149" s="4"/>
      <c r="D149" s="5"/>
      <c r="E149" s="4"/>
      <c r="F149" s="4"/>
      <c r="G149" s="18"/>
      <c r="H149" s="18"/>
      <c r="I149" s="18"/>
      <c r="J149" s="18"/>
      <c r="K149" s="18"/>
      <c r="L149" s="18"/>
      <c r="M149" s="18"/>
      <c r="N149" s="18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 x14ac:dyDescent="0.35">
      <c r="A150" s="3"/>
      <c r="B150" s="3"/>
      <c r="C150" s="4"/>
      <c r="D150" s="5"/>
      <c r="E150" s="4"/>
      <c r="F150" s="4"/>
      <c r="G150" s="18"/>
      <c r="H150" s="18"/>
      <c r="I150" s="18"/>
      <c r="J150" s="18"/>
      <c r="K150" s="18"/>
      <c r="L150" s="18"/>
      <c r="M150" s="18"/>
      <c r="N150" s="18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 x14ac:dyDescent="0.35">
      <c r="A151" s="3"/>
      <c r="B151" s="3"/>
      <c r="C151" s="4"/>
      <c r="D151" s="5"/>
      <c r="E151" s="4"/>
      <c r="F151" s="4"/>
      <c r="G151" s="18"/>
      <c r="H151" s="18"/>
      <c r="I151" s="18"/>
      <c r="J151" s="18"/>
      <c r="K151" s="18"/>
      <c r="L151" s="18"/>
      <c r="M151" s="18"/>
      <c r="N151" s="18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 x14ac:dyDescent="0.35">
      <c r="A152" s="3"/>
      <c r="B152" s="3"/>
      <c r="C152" s="4"/>
      <c r="D152" s="5"/>
      <c r="E152" s="4"/>
      <c r="F152" s="4"/>
      <c r="G152" s="18"/>
      <c r="H152" s="18"/>
      <c r="I152" s="18"/>
      <c r="J152" s="18"/>
      <c r="K152" s="18"/>
      <c r="L152" s="18"/>
      <c r="M152" s="18"/>
      <c r="N152" s="18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 x14ac:dyDescent="0.35">
      <c r="A153" s="3"/>
      <c r="B153" s="3"/>
      <c r="C153" s="4"/>
      <c r="D153" s="5"/>
      <c r="E153" s="4"/>
      <c r="F153" s="4"/>
      <c r="G153" s="18"/>
      <c r="H153" s="18"/>
      <c r="I153" s="18"/>
      <c r="J153" s="18"/>
      <c r="K153" s="18"/>
      <c r="L153" s="18"/>
      <c r="M153" s="18"/>
      <c r="N153" s="18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 x14ac:dyDescent="0.35">
      <c r="A154" s="3"/>
      <c r="B154" s="3"/>
      <c r="C154" s="4"/>
      <c r="D154" s="5"/>
      <c r="E154" s="4"/>
      <c r="F154" s="4"/>
      <c r="G154" s="18"/>
      <c r="H154" s="18"/>
      <c r="I154" s="18"/>
      <c r="J154" s="18"/>
      <c r="K154" s="18"/>
      <c r="L154" s="18"/>
      <c r="M154" s="18"/>
      <c r="N154" s="18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 x14ac:dyDescent="0.35">
      <c r="A155" s="3"/>
      <c r="B155" s="3"/>
      <c r="C155" s="4"/>
      <c r="D155" s="5"/>
      <c r="E155" s="4"/>
      <c r="F155" s="4"/>
      <c r="G155" s="18"/>
      <c r="H155" s="18"/>
      <c r="I155" s="18"/>
      <c r="J155" s="18"/>
      <c r="K155" s="18"/>
      <c r="L155" s="18"/>
      <c r="M155" s="18"/>
      <c r="N155" s="18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 x14ac:dyDescent="0.35">
      <c r="A156" s="3"/>
      <c r="B156" s="3"/>
      <c r="C156" s="4"/>
      <c r="D156" s="5"/>
      <c r="E156" s="4"/>
      <c r="F156" s="4"/>
      <c r="G156" s="18"/>
      <c r="H156" s="18"/>
      <c r="I156" s="18"/>
      <c r="J156" s="18"/>
      <c r="K156" s="18"/>
      <c r="L156" s="18"/>
      <c r="M156" s="18"/>
      <c r="N156" s="18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 x14ac:dyDescent="0.35">
      <c r="A157" s="3"/>
      <c r="B157" s="3"/>
      <c r="C157" s="4"/>
      <c r="D157" s="5"/>
      <c r="E157" s="4"/>
      <c r="F157" s="4"/>
      <c r="G157" s="18"/>
      <c r="H157" s="18"/>
      <c r="I157" s="18"/>
      <c r="J157" s="18"/>
      <c r="K157" s="18"/>
      <c r="L157" s="18"/>
      <c r="M157" s="18"/>
      <c r="N157" s="18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 x14ac:dyDescent="0.35">
      <c r="A158" s="3"/>
      <c r="B158" s="3"/>
      <c r="C158" s="4"/>
      <c r="D158" s="5"/>
      <c r="E158" s="4"/>
      <c r="F158" s="4"/>
      <c r="G158" s="18"/>
      <c r="H158" s="18"/>
      <c r="I158" s="18"/>
      <c r="J158" s="18"/>
      <c r="K158" s="18"/>
      <c r="L158" s="18"/>
      <c r="M158" s="18"/>
      <c r="N158" s="18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 x14ac:dyDescent="0.35">
      <c r="A159" s="3"/>
      <c r="B159" s="3"/>
      <c r="C159" s="4"/>
      <c r="D159" s="5"/>
      <c r="E159" s="4"/>
      <c r="F159" s="4"/>
      <c r="G159" s="18"/>
      <c r="H159" s="18"/>
      <c r="I159" s="18"/>
      <c r="J159" s="18"/>
      <c r="K159" s="18"/>
      <c r="L159" s="18"/>
      <c r="M159" s="18"/>
      <c r="N159" s="18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 x14ac:dyDescent="0.35">
      <c r="A160" s="3"/>
      <c r="B160" s="3"/>
      <c r="C160" s="4"/>
      <c r="D160" s="5"/>
      <c r="E160" s="4"/>
      <c r="F160" s="4"/>
      <c r="G160" s="18"/>
      <c r="H160" s="18"/>
      <c r="I160" s="18"/>
      <c r="J160" s="18"/>
      <c r="K160" s="18"/>
      <c r="L160" s="18"/>
      <c r="M160" s="18"/>
      <c r="N160" s="18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 x14ac:dyDescent="0.35">
      <c r="A161" s="3"/>
      <c r="B161" s="3"/>
      <c r="C161" s="4"/>
      <c r="D161" s="5"/>
      <c r="E161" s="4"/>
      <c r="F161" s="4"/>
      <c r="G161" s="18"/>
      <c r="H161" s="18"/>
      <c r="I161" s="18"/>
      <c r="J161" s="18"/>
      <c r="K161" s="18"/>
      <c r="L161" s="18"/>
      <c r="M161" s="18"/>
      <c r="N161" s="18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 x14ac:dyDescent="0.35">
      <c r="A162" s="3"/>
      <c r="B162" s="3"/>
      <c r="C162" s="4"/>
      <c r="D162" s="5"/>
      <c r="E162" s="4"/>
      <c r="F162" s="4"/>
      <c r="G162" s="18"/>
      <c r="H162" s="18"/>
      <c r="I162" s="18"/>
      <c r="J162" s="18"/>
      <c r="K162" s="18"/>
      <c r="L162" s="18"/>
      <c r="M162" s="18"/>
      <c r="N162" s="18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 x14ac:dyDescent="0.35">
      <c r="A163" s="3"/>
      <c r="B163" s="3"/>
      <c r="C163" s="4"/>
      <c r="D163" s="5"/>
      <c r="E163" s="4"/>
      <c r="F163" s="4"/>
      <c r="G163" s="18"/>
      <c r="H163" s="18"/>
      <c r="I163" s="18"/>
      <c r="J163" s="18"/>
      <c r="K163" s="18"/>
      <c r="L163" s="18"/>
      <c r="M163" s="18"/>
      <c r="N163" s="18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 x14ac:dyDescent="0.35">
      <c r="A164" s="3"/>
      <c r="B164" s="3"/>
      <c r="C164" s="4"/>
      <c r="D164" s="5"/>
      <c r="E164" s="4"/>
      <c r="F164" s="4"/>
      <c r="G164" s="18"/>
      <c r="H164" s="18"/>
      <c r="I164" s="18"/>
      <c r="J164" s="18"/>
      <c r="K164" s="18"/>
      <c r="L164" s="18"/>
      <c r="M164" s="18"/>
      <c r="N164" s="18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 x14ac:dyDescent="0.35">
      <c r="A165" s="3"/>
      <c r="B165" s="3"/>
      <c r="C165" s="4"/>
      <c r="D165" s="5"/>
      <c r="E165" s="4"/>
      <c r="F165" s="4"/>
      <c r="G165" s="18"/>
      <c r="H165" s="18"/>
      <c r="I165" s="18"/>
      <c r="J165" s="18"/>
      <c r="K165" s="18"/>
      <c r="L165" s="18"/>
      <c r="M165" s="18"/>
      <c r="N165" s="18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 x14ac:dyDescent="0.35">
      <c r="A166" s="3"/>
      <c r="B166" s="3"/>
      <c r="C166" s="4"/>
      <c r="D166" s="5"/>
      <c r="E166" s="4"/>
      <c r="F166" s="4"/>
      <c r="G166" s="18"/>
      <c r="H166" s="18"/>
      <c r="I166" s="18"/>
      <c r="J166" s="18"/>
      <c r="K166" s="18"/>
      <c r="L166" s="18"/>
      <c r="M166" s="18"/>
      <c r="N166" s="18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 x14ac:dyDescent="0.35">
      <c r="A167" s="3"/>
      <c r="B167" s="3"/>
      <c r="C167" s="4"/>
      <c r="D167" s="5"/>
      <c r="E167" s="4"/>
      <c r="F167" s="4"/>
      <c r="G167" s="18"/>
      <c r="H167" s="18"/>
      <c r="I167" s="18"/>
      <c r="J167" s="18"/>
      <c r="K167" s="18"/>
      <c r="L167" s="18"/>
      <c r="M167" s="18"/>
      <c r="N167" s="18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 x14ac:dyDescent="0.35">
      <c r="A168" s="3"/>
      <c r="B168" s="3"/>
      <c r="C168" s="4"/>
      <c r="D168" s="5"/>
      <c r="E168" s="4"/>
      <c r="F168" s="4"/>
      <c r="G168" s="18"/>
      <c r="H168" s="18"/>
      <c r="I168" s="18"/>
      <c r="J168" s="18"/>
      <c r="K168" s="18"/>
      <c r="L168" s="18"/>
      <c r="M168" s="18"/>
      <c r="N168" s="18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 x14ac:dyDescent="0.35">
      <c r="A169" s="3"/>
      <c r="B169" s="3"/>
      <c r="C169" s="4"/>
      <c r="D169" s="5"/>
      <c r="E169" s="4"/>
      <c r="F169" s="4"/>
      <c r="G169" s="18"/>
      <c r="H169" s="18"/>
      <c r="I169" s="18"/>
      <c r="J169" s="18"/>
      <c r="K169" s="18"/>
      <c r="L169" s="18"/>
      <c r="M169" s="18"/>
      <c r="N169" s="18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 x14ac:dyDescent="0.35">
      <c r="A170" s="3"/>
      <c r="B170" s="3"/>
      <c r="C170" s="4"/>
      <c r="D170" s="5"/>
      <c r="E170" s="4"/>
      <c r="F170" s="4"/>
      <c r="G170" s="18"/>
      <c r="H170" s="18"/>
      <c r="I170" s="18"/>
      <c r="J170" s="18"/>
      <c r="K170" s="18"/>
      <c r="L170" s="18"/>
      <c r="M170" s="18"/>
      <c r="N170" s="18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 x14ac:dyDescent="0.35">
      <c r="A171" s="3"/>
      <c r="B171" s="3"/>
      <c r="C171" s="4"/>
      <c r="D171" s="5"/>
      <c r="E171" s="4"/>
      <c r="F171" s="4"/>
      <c r="G171" s="18"/>
      <c r="H171" s="18"/>
      <c r="I171" s="18"/>
      <c r="J171" s="18"/>
      <c r="K171" s="18"/>
      <c r="L171" s="18"/>
      <c r="M171" s="18"/>
      <c r="N171" s="18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 x14ac:dyDescent="0.35">
      <c r="A172" s="3"/>
      <c r="B172" s="3"/>
      <c r="C172" s="4"/>
      <c r="D172" s="5"/>
      <c r="E172" s="4"/>
      <c r="F172" s="4"/>
      <c r="G172" s="18"/>
      <c r="H172" s="18"/>
      <c r="I172" s="18"/>
      <c r="J172" s="18"/>
      <c r="K172" s="18"/>
      <c r="L172" s="18"/>
      <c r="M172" s="18"/>
      <c r="N172" s="18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 x14ac:dyDescent="0.35">
      <c r="A173" s="3"/>
      <c r="B173" s="3"/>
      <c r="C173" s="4"/>
      <c r="D173" s="5"/>
      <c r="E173" s="4"/>
      <c r="F173" s="4"/>
      <c r="G173" s="18"/>
      <c r="H173" s="18"/>
      <c r="I173" s="18"/>
      <c r="J173" s="18"/>
      <c r="K173" s="18"/>
      <c r="L173" s="18"/>
      <c r="M173" s="18"/>
      <c r="N173" s="18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 x14ac:dyDescent="0.35">
      <c r="A174" s="3"/>
      <c r="B174" s="3"/>
      <c r="C174" s="4"/>
      <c r="D174" s="5"/>
      <c r="E174" s="4"/>
      <c r="F174" s="4"/>
      <c r="G174" s="18"/>
      <c r="H174" s="18"/>
      <c r="I174" s="18"/>
      <c r="J174" s="18"/>
      <c r="K174" s="18"/>
      <c r="L174" s="18"/>
      <c r="M174" s="18"/>
      <c r="N174" s="18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 x14ac:dyDescent="0.35">
      <c r="A175" s="3"/>
      <c r="B175" s="3"/>
      <c r="C175" s="4"/>
      <c r="D175" s="5"/>
      <c r="E175" s="4"/>
      <c r="F175" s="4"/>
      <c r="G175" s="18"/>
      <c r="H175" s="18"/>
      <c r="I175" s="18"/>
      <c r="J175" s="18"/>
      <c r="K175" s="18"/>
      <c r="L175" s="18"/>
      <c r="M175" s="18"/>
      <c r="N175" s="18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 x14ac:dyDescent="0.35">
      <c r="A176" s="3"/>
      <c r="B176" s="3"/>
      <c r="C176" s="4"/>
      <c r="D176" s="5"/>
      <c r="E176" s="4"/>
      <c r="F176" s="4"/>
      <c r="G176" s="18"/>
      <c r="H176" s="18"/>
      <c r="I176" s="18"/>
      <c r="J176" s="18"/>
      <c r="K176" s="18"/>
      <c r="L176" s="18"/>
      <c r="M176" s="18"/>
      <c r="N176" s="18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 x14ac:dyDescent="0.35">
      <c r="A177" s="3"/>
      <c r="B177" s="3"/>
      <c r="C177" s="4"/>
      <c r="D177" s="5"/>
      <c r="E177" s="4"/>
      <c r="F177" s="4"/>
      <c r="G177" s="18"/>
      <c r="H177" s="18"/>
      <c r="I177" s="18"/>
      <c r="J177" s="18"/>
      <c r="K177" s="18"/>
      <c r="L177" s="18"/>
      <c r="M177" s="18"/>
      <c r="N177" s="18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 x14ac:dyDescent="0.35">
      <c r="A178" s="3"/>
      <c r="B178" s="3"/>
      <c r="C178" s="4"/>
      <c r="D178" s="5"/>
      <c r="E178" s="4"/>
      <c r="F178" s="4"/>
      <c r="G178" s="18"/>
      <c r="H178" s="18"/>
      <c r="I178" s="18"/>
      <c r="J178" s="18"/>
      <c r="K178" s="18"/>
      <c r="L178" s="18"/>
      <c r="M178" s="18"/>
      <c r="N178" s="18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 x14ac:dyDescent="0.35">
      <c r="A179" s="3"/>
      <c r="B179" s="3"/>
      <c r="C179" s="4"/>
      <c r="D179" s="5"/>
      <c r="E179" s="4"/>
      <c r="F179" s="4"/>
      <c r="G179" s="18"/>
      <c r="H179" s="18"/>
      <c r="I179" s="18"/>
      <c r="J179" s="18"/>
      <c r="K179" s="18"/>
      <c r="L179" s="18"/>
      <c r="M179" s="18"/>
      <c r="N179" s="18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 x14ac:dyDescent="0.35">
      <c r="A180" s="3"/>
      <c r="B180" s="3"/>
      <c r="C180" s="4"/>
      <c r="D180" s="5"/>
      <c r="E180" s="4"/>
      <c r="F180" s="4"/>
      <c r="G180" s="18"/>
      <c r="H180" s="18"/>
      <c r="I180" s="18"/>
      <c r="J180" s="18"/>
      <c r="K180" s="18"/>
      <c r="L180" s="18"/>
      <c r="M180" s="18"/>
      <c r="N180" s="18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 x14ac:dyDescent="0.35">
      <c r="A181" s="3"/>
      <c r="B181" s="3"/>
      <c r="C181" s="4"/>
      <c r="D181" s="5"/>
      <c r="E181" s="4"/>
      <c r="F181" s="4"/>
      <c r="G181" s="18"/>
      <c r="H181" s="18"/>
      <c r="I181" s="18"/>
      <c r="J181" s="18"/>
      <c r="K181" s="18"/>
      <c r="L181" s="18"/>
      <c r="M181" s="18"/>
      <c r="N181" s="18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 x14ac:dyDescent="0.35">
      <c r="A182" s="3"/>
      <c r="B182" s="3"/>
      <c r="C182" s="4"/>
      <c r="D182" s="5"/>
      <c r="E182" s="4"/>
      <c r="F182" s="4"/>
      <c r="G182" s="18"/>
      <c r="H182" s="18"/>
      <c r="I182" s="18"/>
      <c r="J182" s="18"/>
      <c r="K182" s="18"/>
      <c r="L182" s="18"/>
      <c r="M182" s="18"/>
      <c r="N182" s="18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 x14ac:dyDescent="0.35">
      <c r="A183" s="3"/>
      <c r="B183" s="3"/>
      <c r="C183" s="4"/>
      <c r="D183" s="5"/>
      <c r="E183" s="4"/>
      <c r="F183" s="4"/>
      <c r="G183" s="18"/>
      <c r="H183" s="18"/>
      <c r="I183" s="18"/>
      <c r="J183" s="18"/>
      <c r="K183" s="18"/>
      <c r="L183" s="18"/>
      <c r="M183" s="18"/>
      <c r="N183" s="18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 x14ac:dyDescent="0.35">
      <c r="A184" s="3"/>
      <c r="B184" s="3"/>
      <c r="C184" s="4"/>
      <c r="D184" s="5"/>
      <c r="E184" s="4"/>
      <c r="F184" s="4"/>
      <c r="G184" s="18"/>
      <c r="H184" s="18"/>
      <c r="I184" s="18"/>
      <c r="J184" s="18"/>
      <c r="K184" s="18"/>
      <c r="L184" s="18"/>
      <c r="M184" s="18"/>
      <c r="N184" s="18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 x14ac:dyDescent="0.35">
      <c r="A185" s="3"/>
      <c r="B185" s="3"/>
      <c r="C185" s="4"/>
      <c r="D185" s="5"/>
      <c r="E185" s="4"/>
      <c r="F185" s="4"/>
      <c r="G185" s="18"/>
      <c r="H185" s="18"/>
      <c r="I185" s="18"/>
      <c r="J185" s="18"/>
      <c r="K185" s="18"/>
      <c r="L185" s="18"/>
      <c r="M185" s="18"/>
      <c r="N185" s="18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 x14ac:dyDescent="0.35">
      <c r="A186" s="3"/>
      <c r="B186" s="3"/>
      <c r="C186" s="4"/>
      <c r="D186" s="5"/>
      <c r="E186" s="4"/>
      <c r="F186" s="4"/>
      <c r="G186" s="18"/>
      <c r="H186" s="18"/>
      <c r="I186" s="18"/>
      <c r="J186" s="18"/>
      <c r="K186" s="18"/>
      <c r="L186" s="18"/>
      <c r="M186" s="18"/>
      <c r="N186" s="18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 x14ac:dyDescent="0.35">
      <c r="A187" s="3"/>
      <c r="B187" s="3"/>
      <c r="C187" s="4"/>
      <c r="D187" s="5"/>
      <c r="E187" s="4"/>
      <c r="F187" s="4"/>
      <c r="G187" s="18"/>
      <c r="H187" s="18"/>
      <c r="I187" s="18"/>
      <c r="J187" s="18"/>
      <c r="K187" s="18"/>
      <c r="L187" s="18"/>
      <c r="M187" s="18"/>
      <c r="N187" s="18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 x14ac:dyDescent="0.35">
      <c r="A188" s="3"/>
      <c r="B188" s="3"/>
      <c r="C188" s="4"/>
      <c r="D188" s="5"/>
      <c r="E188" s="4"/>
      <c r="F188" s="4"/>
      <c r="G188" s="18"/>
      <c r="H188" s="18"/>
      <c r="I188" s="18"/>
      <c r="J188" s="18"/>
      <c r="K188" s="18"/>
      <c r="L188" s="18"/>
      <c r="M188" s="18"/>
      <c r="N188" s="18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 x14ac:dyDescent="0.35">
      <c r="A189" s="3"/>
      <c r="B189" s="3"/>
      <c r="C189" s="4"/>
      <c r="D189" s="5"/>
      <c r="E189" s="4"/>
      <c r="F189" s="4"/>
      <c r="G189" s="18"/>
      <c r="H189" s="18"/>
      <c r="I189" s="18"/>
      <c r="J189" s="18"/>
      <c r="K189" s="18"/>
      <c r="L189" s="18"/>
      <c r="M189" s="18"/>
      <c r="N189" s="18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 x14ac:dyDescent="0.35">
      <c r="A190" s="3"/>
      <c r="B190" s="3"/>
      <c r="C190" s="4"/>
      <c r="D190" s="5"/>
      <c r="E190" s="4"/>
      <c r="F190" s="4"/>
      <c r="G190" s="18"/>
      <c r="H190" s="18"/>
      <c r="I190" s="18"/>
      <c r="J190" s="18"/>
      <c r="K190" s="18"/>
      <c r="L190" s="18"/>
      <c r="M190" s="18"/>
      <c r="N190" s="18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 x14ac:dyDescent="0.35">
      <c r="A191" s="3"/>
      <c r="B191" s="3"/>
      <c r="C191" s="4"/>
      <c r="D191" s="5"/>
      <c r="E191" s="4"/>
      <c r="F191" s="4"/>
      <c r="G191" s="18"/>
      <c r="H191" s="18"/>
      <c r="I191" s="18"/>
      <c r="J191" s="18"/>
      <c r="K191" s="18"/>
      <c r="L191" s="18"/>
      <c r="M191" s="18"/>
      <c r="N191" s="18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 x14ac:dyDescent="0.35">
      <c r="A192" s="3"/>
      <c r="B192" s="3"/>
      <c r="C192" s="4"/>
      <c r="D192" s="5"/>
      <c r="E192" s="4"/>
      <c r="F192" s="4"/>
      <c r="G192" s="18"/>
      <c r="H192" s="18"/>
      <c r="I192" s="18"/>
      <c r="J192" s="18"/>
      <c r="K192" s="18"/>
      <c r="L192" s="18"/>
      <c r="M192" s="18"/>
      <c r="N192" s="18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 x14ac:dyDescent="0.35">
      <c r="A193" s="3"/>
      <c r="B193" s="3"/>
      <c r="C193" s="4"/>
      <c r="D193" s="5"/>
      <c r="E193" s="4"/>
      <c r="F193" s="4"/>
      <c r="G193" s="18"/>
      <c r="H193" s="18"/>
      <c r="I193" s="18"/>
      <c r="J193" s="18"/>
      <c r="K193" s="18"/>
      <c r="L193" s="18"/>
      <c r="M193" s="18"/>
      <c r="N193" s="18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 x14ac:dyDescent="0.35">
      <c r="A194" s="3"/>
      <c r="B194" s="3"/>
      <c r="C194" s="4"/>
      <c r="D194" s="5"/>
      <c r="E194" s="4"/>
      <c r="F194" s="4"/>
      <c r="G194" s="18"/>
      <c r="H194" s="18"/>
      <c r="I194" s="18"/>
      <c r="J194" s="18"/>
      <c r="K194" s="18"/>
      <c r="L194" s="18"/>
      <c r="M194" s="18"/>
      <c r="N194" s="18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 x14ac:dyDescent="0.35">
      <c r="A195" s="3"/>
      <c r="B195" s="3"/>
      <c r="C195" s="4"/>
      <c r="D195" s="5"/>
      <c r="E195" s="4"/>
      <c r="F195" s="4"/>
      <c r="G195" s="18"/>
      <c r="H195" s="18"/>
      <c r="I195" s="18"/>
      <c r="J195" s="18"/>
      <c r="K195" s="18"/>
      <c r="L195" s="18"/>
      <c r="M195" s="18"/>
      <c r="N195" s="18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 x14ac:dyDescent="0.35">
      <c r="A196" s="3"/>
      <c r="B196" s="3"/>
      <c r="C196" s="4"/>
      <c r="D196" s="5"/>
      <c r="E196" s="4"/>
      <c r="F196" s="4"/>
      <c r="G196" s="18"/>
      <c r="H196" s="18"/>
      <c r="I196" s="18"/>
      <c r="J196" s="18"/>
      <c r="K196" s="18"/>
      <c r="L196" s="18"/>
      <c r="M196" s="18"/>
      <c r="N196" s="18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 x14ac:dyDescent="0.35">
      <c r="A197" s="3"/>
      <c r="B197" s="3"/>
      <c r="C197" s="4"/>
      <c r="D197" s="5"/>
      <c r="E197" s="4"/>
      <c r="F197" s="4"/>
      <c r="G197" s="18"/>
      <c r="H197" s="18"/>
      <c r="I197" s="18"/>
      <c r="J197" s="18"/>
      <c r="K197" s="18"/>
      <c r="L197" s="18"/>
      <c r="M197" s="18"/>
      <c r="N197" s="18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 x14ac:dyDescent="0.35">
      <c r="A198" s="3"/>
      <c r="B198" s="3"/>
      <c r="C198" s="4"/>
      <c r="D198" s="5"/>
      <c r="E198" s="4"/>
      <c r="F198" s="4"/>
      <c r="G198" s="18"/>
      <c r="H198" s="18"/>
      <c r="I198" s="18"/>
      <c r="J198" s="18"/>
      <c r="K198" s="18"/>
      <c r="L198" s="18"/>
      <c r="M198" s="18"/>
      <c r="N198" s="18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 x14ac:dyDescent="0.35">
      <c r="A199" s="3"/>
      <c r="B199" s="3"/>
      <c r="C199" s="4"/>
      <c r="D199" s="5"/>
      <c r="E199" s="4"/>
      <c r="F199" s="4"/>
      <c r="G199" s="18"/>
      <c r="H199" s="18"/>
      <c r="I199" s="18"/>
      <c r="J199" s="18"/>
      <c r="K199" s="18"/>
      <c r="L199" s="18"/>
      <c r="M199" s="18"/>
      <c r="N199" s="18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 x14ac:dyDescent="0.35">
      <c r="A200" s="3"/>
      <c r="B200" s="3"/>
      <c r="C200" s="4"/>
      <c r="D200" s="5"/>
      <c r="E200" s="4"/>
      <c r="F200" s="4"/>
      <c r="G200" s="18"/>
      <c r="H200" s="18"/>
      <c r="I200" s="18"/>
      <c r="J200" s="18"/>
      <c r="K200" s="18"/>
      <c r="L200" s="18"/>
      <c r="M200" s="18"/>
      <c r="N200" s="18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 x14ac:dyDescent="0.35">
      <c r="A201" s="3"/>
      <c r="B201" s="3"/>
      <c r="C201" s="4"/>
      <c r="D201" s="5"/>
      <c r="E201" s="4"/>
      <c r="F201" s="4"/>
      <c r="G201" s="18"/>
      <c r="H201" s="18"/>
      <c r="I201" s="18"/>
      <c r="J201" s="18"/>
      <c r="K201" s="18"/>
      <c r="L201" s="18"/>
      <c r="M201" s="18"/>
      <c r="N201" s="18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 x14ac:dyDescent="0.35">
      <c r="A202" s="3"/>
      <c r="B202" s="3"/>
      <c r="C202" s="4"/>
      <c r="D202" s="5"/>
      <c r="E202" s="4"/>
      <c r="F202" s="4"/>
      <c r="G202" s="18"/>
      <c r="H202" s="18"/>
      <c r="I202" s="18"/>
      <c r="J202" s="18"/>
      <c r="K202" s="18"/>
      <c r="L202" s="18"/>
      <c r="M202" s="18"/>
      <c r="N202" s="18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 x14ac:dyDescent="0.35">
      <c r="A203" s="3"/>
      <c r="B203" s="3"/>
      <c r="C203" s="4"/>
      <c r="D203" s="5"/>
      <c r="E203" s="4"/>
      <c r="F203" s="4"/>
      <c r="G203" s="18"/>
      <c r="H203" s="18"/>
      <c r="I203" s="18"/>
      <c r="J203" s="18"/>
      <c r="K203" s="18"/>
      <c r="L203" s="18"/>
      <c r="M203" s="18"/>
      <c r="N203" s="18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 x14ac:dyDescent="0.35">
      <c r="A204" s="3"/>
      <c r="B204" s="3"/>
      <c r="C204" s="4"/>
      <c r="D204" s="5"/>
      <c r="E204" s="4"/>
      <c r="F204" s="4"/>
      <c r="G204" s="18"/>
      <c r="H204" s="18"/>
      <c r="I204" s="18"/>
      <c r="J204" s="18"/>
      <c r="K204" s="18"/>
      <c r="L204" s="18"/>
      <c r="M204" s="18"/>
      <c r="N204" s="18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 x14ac:dyDescent="0.35">
      <c r="A205" s="3"/>
      <c r="B205" s="3"/>
      <c r="C205" s="4"/>
      <c r="D205" s="5"/>
      <c r="E205" s="4"/>
      <c r="F205" s="4"/>
      <c r="G205" s="18"/>
      <c r="H205" s="18"/>
      <c r="I205" s="18"/>
      <c r="J205" s="18"/>
      <c r="K205" s="18"/>
      <c r="L205" s="18"/>
      <c r="M205" s="18"/>
      <c r="N205" s="18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 x14ac:dyDescent="0.35">
      <c r="A206" s="3"/>
      <c r="B206" s="3"/>
      <c r="C206" s="4"/>
      <c r="D206" s="5"/>
      <c r="E206" s="4"/>
      <c r="F206" s="4"/>
      <c r="G206" s="18"/>
      <c r="H206" s="18"/>
      <c r="I206" s="18"/>
      <c r="J206" s="18"/>
      <c r="K206" s="18"/>
      <c r="L206" s="18"/>
      <c r="M206" s="18"/>
      <c r="N206" s="18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 x14ac:dyDescent="0.35">
      <c r="A207" s="3"/>
      <c r="B207" s="3"/>
      <c r="C207" s="4"/>
      <c r="D207" s="5"/>
      <c r="E207" s="4"/>
      <c r="F207" s="4"/>
      <c r="G207" s="18"/>
      <c r="H207" s="18"/>
      <c r="I207" s="18"/>
      <c r="J207" s="18"/>
      <c r="K207" s="18"/>
      <c r="L207" s="18"/>
      <c r="M207" s="18"/>
      <c r="N207" s="18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 x14ac:dyDescent="0.35">
      <c r="A208" s="3"/>
      <c r="B208" s="3"/>
      <c r="C208" s="4"/>
      <c r="D208" s="5"/>
      <c r="E208" s="4"/>
      <c r="F208" s="4"/>
      <c r="G208" s="18"/>
      <c r="H208" s="18"/>
      <c r="I208" s="18"/>
      <c r="J208" s="18"/>
      <c r="K208" s="18"/>
      <c r="L208" s="18"/>
      <c r="M208" s="18"/>
      <c r="N208" s="18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 x14ac:dyDescent="0.35">
      <c r="A209" s="3"/>
      <c r="B209" s="3"/>
      <c r="C209" s="4"/>
      <c r="D209" s="5"/>
      <c r="E209" s="4"/>
      <c r="F209" s="4"/>
      <c r="G209" s="18"/>
      <c r="H209" s="18"/>
      <c r="I209" s="18"/>
      <c r="J209" s="18"/>
      <c r="K209" s="18"/>
      <c r="L209" s="18"/>
      <c r="M209" s="18"/>
      <c r="N209" s="18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 x14ac:dyDescent="0.35">
      <c r="A210" s="3"/>
      <c r="B210" s="3"/>
      <c r="C210" s="4"/>
      <c r="D210" s="5"/>
      <c r="E210" s="4"/>
      <c r="F210" s="4"/>
      <c r="G210" s="18"/>
      <c r="H210" s="18"/>
      <c r="I210" s="18"/>
      <c r="J210" s="18"/>
      <c r="K210" s="18"/>
      <c r="L210" s="18"/>
      <c r="M210" s="18"/>
      <c r="N210" s="18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 x14ac:dyDescent="0.35">
      <c r="A211" s="3"/>
      <c r="B211" s="3"/>
      <c r="C211" s="4"/>
      <c r="D211" s="5"/>
      <c r="E211" s="4"/>
      <c r="F211" s="4"/>
      <c r="G211" s="18"/>
      <c r="H211" s="18"/>
      <c r="I211" s="18"/>
      <c r="J211" s="18"/>
      <c r="K211" s="18"/>
      <c r="L211" s="18"/>
      <c r="M211" s="18"/>
      <c r="N211" s="18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 x14ac:dyDescent="0.35">
      <c r="A212" s="3"/>
      <c r="B212" s="3"/>
      <c r="C212" s="4"/>
      <c r="D212" s="5"/>
      <c r="E212" s="4"/>
      <c r="F212" s="4"/>
      <c r="G212" s="18"/>
      <c r="H212" s="18"/>
      <c r="I212" s="18"/>
      <c r="J212" s="18"/>
      <c r="K212" s="18"/>
      <c r="L212" s="18"/>
      <c r="M212" s="18"/>
      <c r="N212" s="18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 x14ac:dyDescent="0.35">
      <c r="A213" s="3"/>
      <c r="B213" s="3"/>
      <c r="C213" s="4"/>
      <c r="D213" s="5"/>
      <c r="E213" s="4"/>
      <c r="F213" s="4"/>
      <c r="G213" s="18"/>
      <c r="H213" s="18"/>
      <c r="I213" s="18"/>
      <c r="J213" s="18"/>
      <c r="K213" s="18"/>
      <c r="L213" s="18"/>
      <c r="M213" s="18"/>
      <c r="N213" s="18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 x14ac:dyDescent="0.35">
      <c r="A214" s="3"/>
      <c r="B214" s="3"/>
      <c r="C214" s="4"/>
      <c r="D214" s="5"/>
      <c r="E214" s="4"/>
      <c r="F214" s="4"/>
      <c r="G214" s="18"/>
      <c r="H214" s="18"/>
      <c r="I214" s="18"/>
      <c r="J214" s="18"/>
      <c r="K214" s="18"/>
      <c r="L214" s="18"/>
      <c r="M214" s="18"/>
      <c r="N214" s="18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 x14ac:dyDescent="0.35">
      <c r="A215" s="3"/>
      <c r="B215" s="3"/>
      <c r="C215" s="4"/>
      <c r="D215" s="5"/>
      <c r="E215" s="4"/>
      <c r="F215" s="4"/>
      <c r="G215" s="18"/>
      <c r="H215" s="18"/>
      <c r="I215" s="18"/>
      <c r="J215" s="18"/>
      <c r="K215" s="18"/>
      <c r="L215" s="18"/>
      <c r="M215" s="18"/>
      <c r="N215" s="18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 x14ac:dyDescent="0.35">
      <c r="A216" s="3"/>
      <c r="B216" s="3"/>
      <c r="C216" s="4"/>
      <c r="D216" s="5"/>
      <c r="E216" s="4"/>
      <c r="F216" s="4"/>
      <c r="G216" s="18"/>
      <c r="H216" s="18"/>
      <c r="I216" s="18"/>
      <c r="J216" s="18"/>
      <c r="K216" s="18"/>
      <c r="L216" s="18"/>
      <c r="M216" s="18"/>
      <c r="N216" s="18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 x14ac:dyDescent="0.35">
      <c r="A217" s="3"/>
      <c r="B217" s="3"/>
      <c r="C217" s="4"/>
      <c r="D217" s="5"/>
      <c r="E217" s="4"/>
      <c r="F217" s="4"/>
      <c r="G217" s="18"/>
      <c r="H217" s="18"/>
      <c r="I217" s="18"/>
      <c r="J217" s="18"/>
      <c r="K217" s="18"/>
      <c r="L217" s="18"/>
      <c r="M217" s="18"/>
      <c r="N217" s="18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 x14ac:dyDescent="0.35">
      <c r="A218" s="3"/>
      <c r="B218" s="3"/>
      <c r="C218" s="4"/>
      <c r="D218" s="5"/>
      <c r="E218" s="4"/>
      <c r="F218" s="4"/>
      <c r="G218" s="18"/>
      <c r="H218" s="18"/>
      <c r="I218" s="18"/>
      <c r="J218" s="18"/>
      <c r="K218" s="18"/>
      <c r="L218" s="18"/>
      <c r="M218" s="18"/>
      <c r="N218" s="18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 x14ac:dyDescent="0.35">
      <c r="A219" s="3"/>
      <c r="B219" s="3"/>
      <c r="C219" s="4"/>
      <c r="D219" s="5"/>
      <c r="E219" s="4"/>
      <c r="F219" s="4"/>
      <c r="G219" s="18"/>
      <c r="H219" s="18"/>
      <c r="I219" s="18"/>
      <c r="J219" s="18"/>
      <c r="K219" s="18"/>
      <c r="L219" s="18"/>
      <c r="M219" s="18"/>
      <c r="N219" s="18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 x14ac:dyDescent="0.35">
      <c r="A220" s="3"/>
      <c r="B220" s="3"/>
      <c r="C220" s="4"/>
      <c r="D220" s="5"/>
      <c r="E220" s="4"/>
      <c r="F220" s="4"/>
      <c r="G220" s="18"/>
      <c r="H220" s="18"/>
      <c r="I220" s="18"/>
      <c r="J220" s="18"/>
      <c r="K220" s="18"/>
      <c r="L220" s="18"/>
      <c r="M220" s="18"/>
      <c r="N220" s="18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 x14ac:dyDescent="0.35">
      <c r="A221" s="3"/>
      <c r="B221" s="3"/>
      <c r="C221" s="4"/>
      <c r="D221" s="5"/>
      <c r="E221" s="4"/>
      <c r="F221" s="4"/>
      <c r="G221" s="18"/>
      <c r="H221" s="18"/>
      <c r="I221" s="18"/>
      <c r="J221" s="18"/>
      <c r="K221" s="18"/>
      <c r="L221" s="18"/>
      <c r="M221" s="18"/>
      <c r="N221" s="18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 x14ac:dyDescent="0.35">
      <c r="A222" s="3"/>
      <c r="B222" s="3"/>
      <c r="C222" s="4"/>
      <c r="D222" s="5"/>
      <c r="E222" s="4"/>
      <c r="F222" s="4"/>
      <c r="G222" s="18"/>
      <c r="H222" s="18"/>
      <c r="I222" s="18"/>
      <c r="J222" s="18"/>
      <c r="K222" s="18"/>
      <c r="L222" s="18"/>
      <c r="M222" s="18"/>
      <c r="N222" s="18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 x14ac:dyDescent="0.35">
      <c r="A223" s="3"/>
      <c r="B223" s="3"/>
      <c r="C223" s="4"/>
      <c r="D223" s="5"/>
      <c r="E223" s="4"/>
      <c r="F223" s="4"/>
      <c r="G223" s="18"/>
      <c r="H223" s="18"/>
      <c r="I223" s="18"/>
      <c r="J223" s="18"/>
      <c r="K223" s="18"/>
      <c r="L223" s="18"/>
      <c r="M223" s="18"/>
      <c r="N223" s="18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 x14ac:dyDescent="0.35">
      <c r="A224" s="3"/>
      <c r="B224" s="3"/>
      <c r="C224" s="4"/>
      <c r="D224" s="5"/>
      <c r="E224" s="4"/>
      <c r="F224" s="4"/>
      <c r="G224" s="18"/>
      <c r="H224" s="18"/>
      <c r="I224" s="18"/>
      <c r="J224" s="18"/>
      <c r="K224" s="18"/>
      <c r="L224" s="18"/>
      <c r="M224" s="18"/>
      <c r="N224" s="18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 x14ac:dyDescent="0.35">
      <c r="A225" s="3"/>
      <c r="B225" s="3"/>
      <c r="C225" s="4"/>
      <c r="D225" s="5"/>
      <c r="E225" s="4"/>
      <c r="F225" s="4"/>
      <c r="G225" s="18"/>
      <c r="H225" s="18"/>
      <c r="I225" s="18"/>
      <c r="J225" s="18"/>
      <c r="K225" s="18"/>
      <c r="L225" s="18"/>
      <c r="M225" s="18"/>
      <c r="N225" s="18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 x14ac:dyDescent="0.35">
      <c r="A226" s="3"/>
      <c r="B226" s="3"/>
      <c r="C226" s="4"/>
      <c r="D226" s="5"/>
      <c r="E226" s="4"/>
      <c r="F226" s="4"/>
      <c r="G226" s="18"/>
      <c r="H226" s="18"/>
      <c r="I226" s="18"/>
      <c r="J226" s="18"/>
      <c r="K226" s="18"/>
      <c r="L226" s="18"/>
      <c r="M226" s="18"/>
      <c r="N226" s="18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 x14ac:dyDescent="0.35">
      <c r="A227" s="3"/>
      <c r="B227" s="3"/>
      <c r="C227" s="4"/>
      <c r="D227" s="5"/>
      <c r="E227" s="4"/>
      <c r="F227" s="4"/>
      <c r="G227" s="18"/>
      <c r="H227" s="18"/>
      <c r="I227" s="18"/>
      <c r="J227" s="18"/>
      <c r="K227" s="18"/>
      <c r="L227" s="18"/>
      <c r="M227" s="18"/>
      <c r="N227" s="18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 x14ac:dyDescent="0.35">
      <c r="A228" s="3"/>
      <c r="B228" s="3"/>
      <c r="C228" s="4"/>
      <c r="D228" s="5"/>
      <c r="E228" s="4"/>
      <c r="F228" s="4"/>
      <c r="G228" s="18"/>
      <c r="H228" s="18"/>
      <c r="I228" s="18"/>
      <c r="J228" s="18"/>
      <c r="K228" s="18"/>
      <c r="L228" s="18"/>
      <c r="M228" s="18"/>
      <c r="N228" s="18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 x14ac:dyDescent="0.35">
      <c r="A229" s="3"/>
      <c r="B229" s="3"/>
      <c r="C229" s="4"/>
      <c r="D229" s="5"/>
      <c r="E229" s="4"/>
      <c r="F229" s="4"/>
      <c r="G229" s="18"/>
      <c r="H229" s="18"/>
      <c r="I229" s="18"/>
      <c r="J229" s="18"/>
      <c r="K229" s="18"/>
      <c r="L229" s="18"/>
      <c r="M229" s="18"/>
      <c r="N229" s="18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 x14ac:dyDescent="0.35">
      <c r="A230" s="3"/>
      <c r="B230" s="3"/>
      <c r="C230" s="4"/>
      <c r="D230" s="5"/>
      <c r="E230" s="4"/>
      <c r="F230" s="4"/>
      <c r="G230" s="18"/>
      <c r="H230" s="18"/>
      <c r="I230" s="18"/>
      <c r="J230" s="18"/>
      <c r="K230" s="18"/>
      <c r="L230" s="18"/>
      <c r="M230" s="18"/>
      <c r="N230" s="18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 x14ac:dyDescent="0.35">
      <c r="A231" s="3"/>
      <c r="B231" s="3"/>
      <c r="C231" s="4"/>
      <c r="D231" s="5"/>
      <c r="E231" s="4"/>
      <c r="F231" s="4"/>
      <c r="G231" s="18"/>
      <c r="H231" s="18"/>
      <c r="I231" s="18"/>
      <c r="J231" s="18"/>
      <c r="K231" s="18"/>
      <c r="L231" s="18"/>
      <c r="M231" s="18"/>
      <c r="N231" s="18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 x14ac:dyDescent="0.35">
      <c r="A232" s="3"/>
      <c r="B232" s="3"/>
      <c r="C232" s="4"/>
      <c r="D232" s="5"/>
      <c r="E232" s="4"/>
      <c r="F232" s="4"/>
      <c r="G232" s="18"/>
      <c r="H232" s="18"/>
      <c r="I232" s="18"/>
      <c r="J232" s="18"/>
      <c r="K232" s="18"/>
      <c r="L232" s="18"/>
      <c r="M232" s="18"/>
      <c r="N232" s="18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 x14ac:dyDescent="0.35">
      <c r="A233" s="3"/>
      <c r="B233" s="3"/>
      <c r="C233" s="4"/>
      <c r="D233" s="5"/>
      <c r="E233" s="4"/>
      <c r="F233" s="4"/>
      <c r="G233" s="18"/>
      <c r="H233" s="18"/>
      <c r="I233" s="18"/>
      <c r="J233" s="18"/>
      <c r="K233" s="18"/>
      <c r="L233" s="18"/>
      <c r="M233" s="18"/>
      <c r="N233" s="18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 x14ac:dyDescent="0.35">
      <c r="A234" s="3"/>
      <c r="B234" s="3"/>
      <c r="C234" s="4"/>
      <c r="D234" s="5"/>
      <c r="E234" s="4"/>
      <c r="F234" s="4"/>
      <c r="G234" s="18"/>
      <c r="H234" s="18"/>
      <c r="I234" s="18"/>
      <c r="J234" s="18"/>
      <c r="K234" s="18"/>
      <c r="L234" s="18"/>
      <c r="M234" s="18"/>
      <c r="N234" s="18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 x14ac:dyDescent="0.35">
      <c r="A235" s="3"/>
      <c r="B235" s="3"/>
      <c r="C235" s="4"/>
      <c r="D235" s="5"/>
      <c r="E235" s="4"/>
      <c r="F235" s="4"/>
      <c r="G235" s="18"/>
      <c r="H235" s="18"/>
      <c r="I235" s="18"/>
      <c r="J235" s="18"/>
      <c r="K235" s="18"/>
      <c r="L235" s="18"/>
      <c r="M235" s="18"/>
      <c r="N235" s="18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 x14ac:dyDescent="0.35">
      <c r="A236" s="3"/>
      <c r="B236" s="3"/>
      <c r="C236" s="4"/>
      <c r="D236" s="5"/>
      <c r="E236" s="4"/>
      <c r="F236" s="4"/>
      <c r="G236" s="18"/>
      <c r="H236" s="18"/>
      <c r="I236" s="18"/>
      <c r="J236" s="18"/>
      <c r="K236" s="18"/>
      <c r="L236" s="18"/>
      <c r="M236" s="18"/>
      <c r="N236" s="18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 x14ac:dyDescent="0.35">
      <c r="A237" s="3"/>
      <c r="B237" s="3"/>
      <c r="C237" s="4"/>
      <c r="D237" s="5"/>
      <c r="E237" s="4"/>
      <c r="F237" s="4"/>
      <c r="G237" s="18"/>
      <c r="H237" s="18"/>
      <c r="I237" s="18"/>
      <c r="J237" s="18"/>
      <c r="K237" s="18"/>
      <c r="L237" s="18"/>
      <c r="M237" s="18"/>
      <c r="N237" s="18"/>
      <c r="P237"/>
      <c r="Q237"/>
      <c r="R237"/>
      <c r="S237"/>
      <c r="T237"/>
      <c r="U237"/>
      <c r="V237"/>
      <c r="W237"/>
      <c r="X237"/>
      <c r="Y237"/>
      <c r="Z237"/>
    </row>
    <row r="238" spans="1:26" s="1" customFormat="1" x14ac:dyDescent="0.35">
      <c r="A238" s="3"/>
      <c r="B238" s="3"/>
      <c r="C238" s="4"/>
      <c r="D238" s="5"/>
      <c r="E238" s="4"/>
      <c r="F238" s="4"/>
      <c r="G238" s="18"/>
      <c r="H238" s="18"/>
      <c r="I238" s="18"/>
      <c r="J238" s="18"/>
      <c r="K238" s="18"/>
      <c r="L238" s="18"/>
      <c r="M238" s="18"/>
      <c r="N238" s="18"/>
      <c r="P238"/>
      <c r="Q238"/>
      <c r="R238"/>
      <c r="S238"/>
      <c r="T238"/>
      <c r="U238"/>
      <c r="V238"/>
      <c r="W238"/>
      <c r="X238"/>
      <c r="Y238"/>
      <c r="Z238"/>
    </row>
    <row r="239" spans="1:26" s="1" customFormat="1" x14ac:dyDescent="0.35">
      <c r="A239" s="3"/>
      <c r="B239" s="3"/>
      <c r="C239" s="4"/>
      <c r="D239" s="5"/>
      <c r="E239" s="4"/>
      <c r="F239" s="4"/>
      <c r="G239" s="18"/>
      <c r="H239" s="18"/>
      <c r="I239" s="18"/>
      <c r="J239" s="18"/>
      <c r="K239" s="18"/>
      <c r="L239" s="18"/>
      <c r="M239" s="18"/>
      <c r="N239" s="18"/>
      <c r="P239"/>
      <c r="Q239"/>
      <c r="R239"/>
      <c r="S239"/>
      <c r="T239"/>
      <c r="U239"/>
      <c r="V239"/>
      <c r="W239"/>
      <c r="X239"/>
      <c r="Y239"/>
      <c r="Z239"/>
    </row>
    <row r="240" spans="1:26" s="1" customFormat="1" x14ac:dyDescent="0.35">
      <c r="A240" s="3"/>
      <c r="B240" s="3"/>
      <c r="C240" s="4"/>
      <c r="D240" s="5"/>
      <c r="E240" s="4"/>
      <c r="F240" s="4"/>
      <c r="G240" s="18"/>
      <c r="H240" s="18"/>
      <c r="I240" s="18"/>
      <c r="J240" s="18"/>
      <c r="K240" s="18"/>
      <c r="L240" s="18"/>
      <c r="M240" s="18"/>
      <c r="N240" s="18"/>
      <c r="P240"/>
      <c r="Q240"/>
      <c r="R240"/>
      <c r="S240"/>
      <c r="T240"/>
      <c r="U240"/>
      <c r="V240"/>
      <c r="W240"/>
      <c r="X240"/>
      <c r="Y240"/>
      <c r="Z240"/>
    </row>
  </sheetData>
  <sheetProtection formatCells="0" formatColumns="0" formatRows="0" insertColumns="0" insertRows="0" deleteRows="0" sort="0" autoFilter="0"/>
  <conditionalFormatting sqref="O3:O70">
    <cfRule type="cellIs" dxfId="19" priority="25" operator="equal">
      <formula>1</formula>
    </cfRule>
    <cfRule type="cellIs" dxfId="18" priority="29" operator="equal">
      <formula>2</formula>
    </cfRule>
    <cfRule type="cellIs" dxfId="17" priority="30" operator="equal">
      <formula>3</formula>
    </cfRule>
    <cfRule type="cellIs" dxfId="16" priority="31" operator="equal">
      <formula>4</formula>
    </cfRule>
    <cfRule type="cellIs" dxfId="15" priority="32" operator="equal">
      <formula>5</formula>
    </cfRule>
  </conditionalFormatting>
  <conditionalFormatting sqref="P3:P70">
    <cfRule type="cellIs" dxfId="14" priority="26" operator="equal">
      <formula>1</formula>
    </cfRule>
    <cfRule type="cellIs" dxfId="13" priority="27" operator="equal">
      <formula>2</formula>
    </cfRule>
    <cfRule type="cellIs" dxfId="12" priority="28" operator="equal">
      <formula>3</formula>
    </cfRule>
  </conditionalFormatting>
  <conditionalFormatting sqref="Q3:Q70">
    <cfRule type="cellIs" dxfId="11" priority="16" operator="equal">
      <formula>0</formula>
    </cfRule>
    <cfRule type="cellIs" dxfId="10" priority="17" operator="equal">
      <formula>1</formula>
    </cfRule>
  </conditionalFormatting>
  <conditionalFormatting sqref="O63:O64">
    <cfRule type="cellIs" dxfId="91" priority="11" operator="equal">
      <formula>1</formula>
    </cfRule>
    <cfRule type="cellIs" dxfId="90" priority="12" operator="equal">
      <formula>2</formula>
    </cfRule>
    <cfRule type="cellIs" dxfId="89" priority="13" operator="equal">
      <formula>3</formula>
    </cfRule>
    <cfRule type="cellIs" dxfId="88" priority="14" operator="equal">
      <formula>4</formula>
    </cfRule>
    <cfRule type="cellIs" dxfId="87" priority="15" operator="equal">
      <formula>5</formula>
    </cfRule>
  </conditionalFormatting>
  <conditionalFormatting sqref="O65:O66">
    <cfRule type="cellIs" dxfId="86" priority="6" operator="equal">
      <formula>1</formula>
    </cfRule>
    <cfRule type="cellIs" dxfId="85" priority="7" operator="equal">
      <formula>2</formula>
    </cfRule>
    <cfRule type="cellIs" dxfId="84" priority="8" operator="equal">
      <formula>3</formula>
    </cfRule>
    <cfRule type="cellIs" dxfId="83" priority="9" operator="equal">
      <formula>4</formula>
    </cfRule>
    <cfRule type="cellIs" dxfId="82" priority="10" operator="equal">
      <formula>5</formula>
    </cfRule>
  </conditionalFormatting>
  <conditionalFormatting sqref="O67:O68">
    <cfRule type="cellIs" dxfId="71" priority="1" operator="equal">
      <formula>1</formula>
    </cfRule>
    <cfRule type="cellIs" dxfId="70" priority="2" operator="equal">
      <formula>2</formula>
    </cfRule>
    <cfRule type="cellIs" dxfId="69" priority="3" operator="equal">
      <formula>3</formula>
    </cfRule>
    <cfRule type="cellIs" dxfId="68" priority="4" operator="equal">
      <formula>4</formula>
    </cfRule>
    <cfRule type="cellIs" dxfId="67" priority="5" operator="equal">
      <formula>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3.Sorting">
                <anchor moveWithCells="1" sizeWithCells="1">
                  <from>
                    <xdr:col>17</xdr:col>
                    <xdr:colOff>333375</xdr:colOff>
                    <xdr:row>1</xdr:row>
                    <xdr:rowOff>19050</xdr:rowOff>
                  </from>
                  <to>
                    <xdr:col>18</xdr:col>
                    <xdr:colOff>38100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2021-04-09T12:21:04Z</dcterms:created>
  <dcterms:modified xsi:type="dcterms:W3CDTF">2021-04-18T09:12:39Z</dcterms:modified>
</cp:coreProperties>
</file>