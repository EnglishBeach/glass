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slicerCaches/slicerCache1.xml" ContentType="application/vnd.ms-excel.slicerCache+xml"/>
  <Override PartName="/xl/slicerCaches/slicerCache2.xml" ContentType="application/vnd.ms-excel.slicerCach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licerCaches/slicerCache5.xml" ContentType="application/vnd.ms-excel.slicerCache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28680" yWindow="-120" windowWidth="29040" windowHeight="15990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25725"/>
  <extLst xmlns:x15="http://schemas.microsoft.com/office/spreadsheetml/2010/11/main">
    <ext xmlns:x14="http://schemas.microsoft.com/office/spreadsheetml/2009/9/main" uri="{79F54976-1DA5-4618-B147-4CDE4B953A38}">
      <x14:workbookPr/>
    </ext>
    <ext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/>
</calcChain>
</file>

<file path=xl/comments1.xml><?xml version="1.0" encoding="utf-8"?>
<comments xmlns="http://schemas.openxmlformats.org/spreadsheetml/2006/main">
  <authors>
    <author>IlIa</author>
  </authors>
  <commentList>
    <comment ref="O2" authorId="0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<sst xmlns="http://schemas.openxmlformats.org/spreadsheetml/2006/main" count="133" uniqueCount="39">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</sst>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>
  <numFmts count="2">
    <numFmt numFmtId="164" formatCode="_-* #,##0_-;\-* #,##0_-;_-* &quot;-&quot;_-;_-@_-"/>
    <numFmt numFmtId="165" formatCode="0.0000E+00"/>
  </numFmts>
  <fonts count="20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9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5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164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5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</cellXfs>
  <cellStyles count="7">
    <cellStyle name="Заголовок" xfId="6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/>
  </cellStyles>
  <dxfs count="27"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5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id="1" name="Таблица716" displayName="Таблица716" ref="C2:Q61" totalsRowShown="0" headerRowDxfId="16" dataDxfId="15">
  <autoFilter ref="C2:Q61">
    <filterColumn colId="14">
      <customFilters>
        <customFilter operator="notEqual" val=" "/>
      </customFilters>
    </filterColumn>
  </autoFilter>
  <sortState ref="C4:Q61">
    <sortCondition ref="C3:C61"/>
    <sortCondition descending="1" ref="D3:D61"/>
    <sortCondition ref="E3:E61"/>
  </sortState>
  <tableColumns count="15">
    <tableColumn id="1" name="Названиe" dataDxfId="14"/>
    <tableColumn id="2" name="Ф          if &quot;?&quot; =&gt; not &quot;g&quot;" dataDxfId="13"/>
    <tableColumn id="3" name="To К" dataDxfId="12"/>
    <tableColumn id="4" name="T К" dataDxfId="11"/>
    <tableColumn id="5" name="ho" dataDxfId="10"/>
    <tableColumn id="6" name="ф1" dataDxfId="9"/>
    <tableColumn id="7" name="ф2 *lnX" dataDxfId="8"/>
    <tableColumn id="8" name="ф3 *X^(-2)" dataDxfId="7"/>
    <tableColumn id="9" name="ф4 *X^(-1)" dataDxfId="6"/>
    <tableColumn id="10" name="ф5 *X" dataDxfId="5"/>
    <tableColumn id="11" name="ф6 *X^2" dataDxfId="4"/>
    <tableColumn id="12" name="ф7 *Х^3" dataDxfId="3"/>
    <tableColumn id="13" name="Т " dataDxfId="2"/>
    <tableColumn id="14" name="М    " dataDxfId="1"/>
    <tableColumn id="15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3">
    <tabColor rgb="FFFF0000"/>
  </sheetPr>
  <dimension ref="A1:Z240"/>
  <sheetViews>
    <sheetView tabSelected="1" zoomScale="85" zoomScaleNormal="85" workbookViewId="0">
      <pane xSplit="3" ySplit="2" topLeftCell="D48" activePane="bottomRight" state="frozen"/>
      <selection pane="topRight" activeCell="D1" sqref="D1"/>
      <selection pane="bottomLeft" activeCell="A2" sqref="A2"/>
      <selection pane="bottomRight" activeCell="R46" sqref="R46"/>
    </sheetView>
  </sheetViews>
  <sheetFormatPr defaultRowHeight="23.25" outlineLevelCol="1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>
      <c r="D1" s="26"/>
    </row>
    <row r="2" spans="1:18" ht="24.75" thickTop="1" thickBot="1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4" t="s">
        <v>37</v>
      </c>
      <c r="R2" s="41">
        <f>COUNTA(O3:O242)</f>
        <v>59</v>
      </c>
    </row>
    <row r="3" spans="1:18" ht="24" hidden="1" thickTop="1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thickTop="1">
      <c r="A4"/>
      <c r="B4" s="13"/>
      <c r="C4" s="48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idden="1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>
      <c r="A6"/>
      <c r="B6" s="12"/>
      <c r="C6" s="48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idden="1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>
      <c r="A8"/>
      <c r="B8" s="12"/>
      <c r="C8" s="48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>
      <c r="A9"/>
      <c r="B9" s="12"/>
      <c r="C9" s="48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>
      <c r="A10"/>
      <c r="B10" s="12"/>
      <c r="C10" s="48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>
      <c r="A11"/>
      <c r="B11" s="12"/>
      <c r="C11" s="48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>
      <c r="A12"/>
      <c r="B12" s="12"/>
      <c r="C12" s="48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>
      <c r="A13"/>
      <c r="B13" s="12"/>
      <c r="C13" s="48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idden="1">
      <c r="A14"/>
      <c r="B14" s="12"/>
      <c r="C14" s="3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>
      <c r="A15"/>
      <c r="C15" s="48" t="s">
        <v>18</v>
      </c>
      <c r="D15" s="46" t="s">
        <v>13</v>
      </c>
      <c r="E15" s="46">
        <v>298.14999999999998</v>
      </c>
      <c r="F15" s="4">
        <v>398</v>
      </c>
      <c r="G15" s="18">
        <v>-2.2040892416862103</v>
      </c>
      <c r="H15" s="19">
        <v>13.586866317878405</v>
      </c>
      <c r="I15" s="18">
        <v>0</v>
      </c>
      <c r="J15" s="19">
        <v>0</v>
      </c>
      <c r="K15" s="18">
        <v>0</v>
      </c>
      <c r="L15" s="19">
        <v>0</v>
      </c>
      <c r="M15" s="18">
        <v>0</v>
      </c>
      <c r="N15" s="19">
        <v>0</v>
      </c>
      <c r="O15" s="1">
        <v>4</v>
      </c>
      <c r="P15" s="33"/>
      <c r="Q15" s="4">
        <v>1</v>
      </c>
    </row>
    <row r="16" spans="1:18">
      <c r="A16"/>
      <c r="C16" s="48" t="s">
        <v>18</v>
      </c>
      <c r="D16" s="4" t="s">
        <v>2</v>
      </c>
      <c r="E16" s="4">
        <v>298.14999999999998</v>
      </c>
      <c r="F16" s="4">
        <v>2000</v>
      </c>
      <c r="G16" s="18">
        <v>1.157</v>
      </c>
      <c r="H16" s="19">
        <v>55.30301</v>
      </c>
      <c r="I16" s="18">
        <v>6.9866000000000001</v>
      </c>
      <c r="J16" s="19">
        <v>-1.7438999999999999E-4</v>
      </c>
      <c r="K16" s="18">
        <v>0.22003</v>
      </c>
      <c r="L16" s="19">
        <v>3.0068000000000001E-2</v>
      </c>
      <c r="M16" s="18">
        <v>0</v>
      </c>
      <c r="N16" s="19">
        <v>0</v>
      </c>
      <c r="O16" s="10">
        <v>1</v>
      </c>
      <c r="P16" s="34"/>
      <c r="Q16" s="4">
        <v>1</v>
      </c>
    </row>
    <row r="17" spans="1:17">
      <c r="A17"/>
      <c r="C17" s="48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hidden="1">
      <c r="A18"/>
      <c r="C18" s="34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2">
        <v>5</v>
      </c>
      <c r="P18" s="33"/>
      <c r="Q18" s="4"/>
    </row>
    <row r="19" spans="1:17">
      <c r="A19"/>
      <c r="C19" s="48" t="s">
        <v>31</v>
      </c>
      <c r="D19" s="4" t="s">
        <v>13</v>
      </c>
      <c r="E19" s="4">
        <v>298</v>
      </c>
      <c r="F19" s="4">
        <v>1211</v>
      </c>
      <c r="G19" s="20">
        <v>-1.9123218473750676</v>
      </c>
      <c r="H19" s="21">
        <v>21.483706893669559</v>
      </c>
      <c r="I19" s="20">
        <v>5.3689337903662278</v>
      </c>
      <c r="J19" s="21">
        <v>0</v>
      </c>
      <c r="K19" s="20">
        <v>0.16692060785374949</v>
      </c>
      <c r="L19" s="21">
        <v>7.799627157375669</v>
      </c>
      <c r="M19" s="20">
        <v>0</v>
      </c>
      <c r="N19" s="21">
        <v>0</v>
      </c>
      <c r="O19" s="15">
        <v>2</v>
      </c>
      <c r="P19" s="33">
        <v>3</v>
      </c>
      <c r="Q19" s="4">
        <v>1</v>
      </c>
    </row>
    <row r="20" spans="1:17">
      <c r="A20"/>
      <c r="C20" s="48" t="s">
        <v>16</v>
      </c>
      <c r="D20" s="4" t="s">
        <v>13</v>
      </c>
      <c r="E20" s="4">
        <v>298.14999999999998</v>
      </c>
      <c r="F20" s="4">
        <v>1211.4000000000001</v>
      </c>
      <c r="G20" s="18">
        <v>-5.5760690000000002E-2</v>
      </c>
      <c r="H20" s="19">
        <v>10.808619999999999</v>
      </c>
      <c r="I20" s="18">
        <v>2.898209</v>
      </c>
      <c r="J20" s="19">
        <v>-9.4357770000000004E-5</v>
      </c>
      <c r="K20" s="18">
        <v>3.8575789999999999E-2</v>
      </c>
      <c r="L20" s="19">
        <v>1.796346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>
      <c r="A21"/>
      <c r="C21" s="48" t="s">
        <v>16</v>
      </c>
      <c r="D21" s="4" t="s">
        <v>0</v>
      </c>
      <c r="E21" s="4">
        <v>1211.4000000000001</v>
      </c>
      <c r="F21" s="4">
        <v>4900</v>
      </c>
      <c r="G21" s="18">
        <v>-5.5760690000000002E-2</v>
      </c>
      <c r="H21" s="19">
        <v>15.395060000000001</v>
      </c>
      <c r="I21" s="18">
        <v>3.319661</v>
      </c>
      <c r="J21" s="19">
        <v>0</v>
      </c>
      <c r="K21" s="18">
        <v>-0.38367639999999997</v>
      </c>
      <c r="L21" s="19">
        <v>0</v>
      </c>
      <c r="M21" s="18">
        <v>0</v>
      </c>
      <c r="N21" s="19">
        <v>0</v>
      </c>
      <c r="O21" s="10">
        <v>1</v>
      </c>
      <c r="P21" s="34"/>
      <c r="Q21" s="4">
        <v>1</v>
      </c>
    </row>
    <row r="22" spans="1:17" hidden="1">
      <c r="A22"/>
      <c r="C22" s="34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>
      <c r="A23"/>
      <c r="C23" s="48" t="s">
        <v>16</v>
      </c>
      <c r="D23" s="4" t="s">
        <v>2</v>
      </c>
      <c r="E23" s="4">
        <v>298.14999999999998</v>
      </c>
      <c r="F23" s="4">
        <v>1500</v>
      </c>
      <c r="G23" s="18">
        <v>4.3829390000000004</v>
      </c>
      <c r="H23" s="19">
        <v>34.862279999999998</v>
      </c>
      <c r="I23" s="18">
        <v>5.530119</v>
      </c>
      <c r="J23" s="19">
        <v>-3.3787839999999998E-4</v>
      </c>
      <c r="K23" s="18">
        <v>8.1663529999999998E-2</v>
      </c>
      <c r="L23" s="19">
        <v>-21.130780000000001</v>
      </c>
      <c r="M23" s="18">
        <v>36.52984</v>
      </c>
      <c r="N23" s="19">
        <v>-31.421589999999998</v>
      </c>
      <c r="O23" s="10">
        <v>1</v>
      </c>
      <c r="P23" s="34"/>
      <c r="Q23" s="4">
        <v>1</v>
      </c>
    </row>
    <row r="24" spans="1:17">
      <c r="A24"/>
      <c r="C24" s="48" t="s">
        <v>16</v>
      </c>
      <c r="D24" s="4" t="s">
        <v>2</v>
      </c>
      <c r="E24" s="4">
        <v>1500</v>
      </c>
      <c r="F24" s="4">
        <v>6000</v>
      </c>
      <c r="G24" s="18">
        <v>4.3829390000000004</v>
      </c>
      <c r="H24" s="19">
        <v>26.704419999999999</v>
      </c>
      <c r="I24" s="18">
        <v>1.8358589999999999</v>
      </c>
      <c r="J24" s="19">
        <v>3.9919220000000002E-3</v>
      </c>
      <c r="K24" s="18">
        <v>-0.2011674</v>
      </c>
      <c r="L24" s="19">
        <v>2.865237</v>
      </c>
      <c r="M24" s="18">
        <v>-1.920703</v>
      </c>
      <c r="N24" s="19">
        <v>0.6292025</v>
      </c>
      <c r="O24" s="1">
        <v>1</v>
      </c>
      <c r="P24" s="34"/>
      <c r="Q24" s="4">
        <v>1</v>
      </c>
    </row>
    <row r="25" spans="1:17">
      <c r="A25"/>
      <c r="C25" s="48" t="s">
        <v>16</v>
      </c>
      <c r="D25" s="4" t="s">
        <v>2</v>
      </c>
      <c r="E25" s="4">
        <v>6000</v>
      </c>
      <c r="F25" s="4">
        <v>10000</v>
      </c>
      <c r="G25" s="18">
        <v>4.3829390000000004</v>
      </c>
      <c r="H25" s="19">
        <v>30.185140000000001</v>
      </c>
      <c r="I25" s="18">
        <v>6.3430540000000004</v>
      </c>
      <c r="J25" s="19">
        <v>-9.5135109999999995E-2</v>
      </c>
      <c r="K25" s="18">
        <v>1.2754369999999999</v>
      </c>
      <c r="L25" s="19">
        <v>-4.2694150000000004</v>
      </c>
      <c r="M25" s="18">
        <v>1.041687</v>
      </c>
      <c r="N25" s="19">
        <v>-6.3588229999999996E-2</v>
      </c>
      <c r="O25" s="10">
        <v>1</v>
      </c>
      <c r="P25" s="34"/>
      <c r="Q25" s="4">
        <v>1</v>
      </c>
    </row>
    <row r="26" spans="1:17">
      <c r="A26"/>
      <c r="C26" s="48" t="s">
        <v>3</v>
      </c>
      <c r="D26" s="4" t="s">
        <v>2</v>
      </c>
      <c r="E26" s="4">
        <v>298.14999999999998</v>
      </c>
      <c r="F26" s="4">
        <v>1500</v>
      </c>
      <c r="G26" s="18">
        <v>5.674709</v>
      </c>
      <c r="H26" s="19">
        <v>49.524940000000001</v>
      </c>
      <c r="I26" s="18">
        <v>7.0513279999999998</v>
      </c>
      <c r="J26" s="19">
        <v>-1.341195E-5</v>
      </c>
      <c r="K26" s="18">
        <v>5.245814E-2</v>
      </c>
      <c r="L26" s="19">
        <v>-24.580100000000002</v>
      </c>
      <c r="M26" s="18">
        <v>62.099780000000003</v>
      </c>
      <c r="N26" s="19">
        <v>-81.046109999999999</v>
      </c>
      <c r="O26" s="14">
        <v>1</v>
      </c>
      <c r="P26" s="38"/>
      <c r="Q26" s="4">
        <v>1</v>
      </c>
    </row>
    <row r="27" spans="1:17">
      <c r="A27"/>
      <c r="C27" s="48" t="s">
        <v>3</v>
      </c>
      <c r="D27" s="4" t="s">
        <v>2</v>
      </c>
      <c r="E27" s="4">
        <v>1500</v>
      </c>
      <c r="F27" s="4">
        <v>6000</v>
      </c>
      <c r="G27" s="20">
        <v>5.674709</v>
      </c>
      <c r="H27" s="21">
        <v>40.162990000000001</v>
      </c>
      <c r="I27" s="20">
        <v>2.7510140000000001</v>
      </c>
      <c r="J27" s="21">
        <v>7.8054969999999998E-3</v>
      </c>
      <c r="K27" s="20">
        <v>-0.32734089999999999</v>
      </c>
      <c r="L27" s="21">
        <v>6.01546</v>
      </c>
      <c r="M27" s="20">
        <v>-3.5431430000000002</v>
      </c>
      <c r="N27" s="21">
        <v>0.75900279999999998</v>
      </c>
      <c r="O27" s="9">
        <v>1</v>
      </c>
      <c r="P27" s="34"/>
      <c r="Q27" s="4">
        <v>1</v>
      </c>
    </row>
    <row r="28" spans="1:17">
      <c r="A28"/>
      <c r="C28" s="48" t="s">
        <v>15</v>
      </c>
      <c r="D28" s="4" t="s">
        <v>13</v>
      </c>
      <c r="E28" s="4">
        <v>298.14999999999998</v>
      </c>
      <c r="F28" s="4">
        <v>947.99990000000003</v>
      </c>
      <c r="G28" s="18">
        <v>-0.82987549999999999</v>
      </c>
      <c r="H28" s="19">
        <v>22.446940000000001</v>
      </c>
      <c r="I28" s="18">
        <v>5.4242590000000002</v>
      </c>
      <c r="J28" s="19">
        <v>0</v>
      </c>
      <c r="K28" s="18">
        <v>0.17049120000000001</v>
      </c>
      <c r="L28" s="19">
        <v>9.8622890000000005</v>
      </c>
      <c r="M28" s="18">
        <v>0</v>
      </c>
      <c r="N28" s="19">
        <v>0</v>
      </c>
      <c r="O28" s="10">
        <v>1</v>
      </c>
      <c r="P28" s="34"/>
      <c r="Q28" s="4">
        <v>1</v>
      </c>
    </row>
    <row r="29" spans="1:17">
      <c r="A29"/>
      <c r="C29" s="48" t="s">
        <v>15</v>
      </c>
      <c r="D29" s="4" t="s">
        <v>0</v>
      </c>
      <c r="E29" s="4">
        <v>948</v>
      </c>
      <c r="F29" s="4">
        <v>2000</v>
      </c>
      <c r="G29" s="20">
        <v>-0.82987551867219922</v>
      </c>
      <c r="H29" s="21">
        <v>30.469745783181889</v>
      </c>
      <c r="I29" s="20">
        <v>7.6492873895002704</v>
      </c>
      <c r="J29" s="21">
        <v>0</v>
      </c>
      <c r="K29" s="20">
        <v>-3.6947501353057355E-3</v>
      </c>
      <c r="L29" s="21">
        <v>0</v>
      </c>
      <c r="M29" s="20">
        <v>0</v>
      </c>
      <c r="N29" s="21">
        <v>0</v>
      </c>
      <c r="O29" s="15">
        <v>2</v>
      </c>
      <c r="P29" s="33">
        <v>2</v>
      </c>
      <c r="Q29" s="4">
        <v>1</v>
      </c>
    </row>
    <row r="30" spans="1:17" hidden="1">
      <c r="A30"/>
      <c r="C30" s="34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>
      <c r="A31"/>
      <c r="C31" s="48" t="s">
        <v>15</v>
      </c>
      <c r="D31" s="4" t="s">
        <v>2</v>
      </c>
      <c r="E31" s="4">
        <v>298.14999999999998</v>
      </c>
      <c r="F31" s="4">
        <v>2000</v>
      </c>
      <c r="G31" s="18">
        <v>1.2677</v>
      </c>
      <c r="H31" s="19">
        <v>11.071</v>
      </c>
      <c r="I31" s="18">
        <v>4.4489000000000001</v>
      </c>
      <c r="J31" s="19">
        <v>-1.0823999999999999E-4</v>
      </c>
      <c r="K31" s="18">
        <v>0.13999</v>
      </c>
      <c r="L31" s="19">
        <v>0.10223</v>
      </c>
      <c r="M31" s="18">
        <v>0</v>
      </c>
      <c r="N31" s="19">
        <v>0</v>
      </c>
      <c r="O31" s="11">
        <v>1</v>
      </c>
      <c r="P31" s="34"/>
      <c r="Q31" s="4">
        <v>1</v>
      </c>
    </row>
    <row r="32" spans="1:17">
      <c r="C32" s="48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>
      <c r="C33" s="48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>
      <c r="C34" s="48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>
      <c r="C35" s="48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>
      <c r="C36" s="48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>
      <c r="C37" s="48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hidden="1">
      <c r="C38" s="3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3"/>
      <c r="Q38" s="4"/>
    </row>
    <row r="39" spans="3:17">
      <c r="C39" s="48" t="s">
        <v>1</v>
      </c>
      <c r="D39" s="4" t="s">
        <v>13</v>
      </c>
      <c r="E39" s="4">
        <v>1000</v>
      </c>
      <c r="F39" s="4">
        <v>1800</v>
      </c>
      <c r="G39" s="18">
        <v>-6.6260929999999996E-2</v>
      </c>
      <c r="H39" s="19">
        <v>16.601150000000001</v>
      </c>
      <c r="I39" s="18">
        <v>4.2397850000000004</v>
      </c>
      <c r="J39" s="19">
        <v>0</v>
      </c>
      <c r="K39" s="18">
        <v>1.3699609999999999E-2</v>
      </c>
      <c r="L39" s="19">
        <v>0</v>
      </c>
      <c r="M39" s="18">
        <v>0</v>
      </c>
      <c r="N39" s="19">
        <v>0</v>
      </c>
      <c r="O39" s="10">
        <v>1</v>
      </c>
      <c r="P39" s="34"/>
      <c r="Q39" s="4">
        <v>1</v>
      </c>
    </row>
    <row r="40" spans="3:17">
      <c r="C40" s="48" t="s">
        <v>1</v>
      </c>
      <c r="D40" s="34" t="s">
        <v>0</v>
      </c>
      <c r="E40" s="34">
        <v>494.00009999999997</v>
      </c>
      <c r="F40" s="34">
        <v>1000</v>
      </c>
      <c r="G40" s="18">
        <v>7.4080010000000002E-2</v>
      </c>
      <c r="H40" s="19">
        <v>23.32</v>
      </c>
      <c r="I40" s="18">
        <v>6.3019999999999996</v>
      </c>
      <c r="J40" s="19">
        <v>0</v>
      </c>
      <c r="K40" s="18">
        <v>0.19220000000000001</v>
      </c>
      <c r="L40" s="19">
        <v>-29.83</v>
      </c>
      <c r="M40" s="18">
        <v>64.95</v>
      </c>
      <c r="N40" s="19">
        <v>0</v>
      </c>
      <c r="O40" s="14">
        <v>4</v>
      </c>
      <c r="P40" s="33"/>
      <c r="Q40" s="4">
        <v>1</v>
      </c>
    </row>
    <row r="41" spans="3:17" hidden="1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>
      <c r="C42" s="48" t="s">
        <v>1</v>
      </c>
      <c r="D42" s="34" t="s">
        <v>0</v>
      </c>
      <c r="E42" s="34">
        <v>1000</v>
      </c>
      <c r="F42" s="34">
        <v>1800</v>
      </c>
      <c r="G42" s="18">
        <v>7.4080010000000002E-2</v>
      </c>
      <c r="H42" s="19">
        <v>16.62</v>
      </c>
      <c r="I42" s="18">
        <v>4.2460000000000004</v>
      </c>
      <c r="J42" s="19">
        <v>0</v>
      </c>
      <c r="K42" s="18">
        <v>0.15490000000000001</v>
      </c>
      <c r="L42" s="19">
        <v>0</v>
      </c>
      <c r="M42" s="18">
        <v>0</v>
      </c>
      <c r="N42" s="19">
        <v>0</v>
      </c>
      <c r="O42" s="14">
        <v>4</v>
      </c>
      <c r="P42" s="33"/>
      <c r="Q42" s="4">
        <v>1</v>
      </c>
    </row>
    <row r="43" spans="3:17">
      <c r="C43" s="48" t="s">
        <v>1</v>
      </c>
      <c r="D43" s="4" t="s">
        <v>2</v>
      </c>
      <c r="E43" s="4">
        <v>298.14999999999998</v>
      </c>
      <c r="F43" s="4">
        <v>1500</v>
      </c>
      <c r="G43" s="20">
        <v>2.783115</v>
      </c>
      <c r="H43" s="21">
        <v>25.378499999999999</v>
      </c>
      <c r="I43" s="20">
        <v>1.797085</v>
      </c>
      <c r="J43" s="21">
        <v>1.090393E-4</v>
      </c>
      <c r="K43" s="20">
        <v>-2.1003919999999999E-2</v>
      </c>
      <c r="L43" s="21">
        <v>9.1604179999999999</v>
      </c>
      <c r="M43" s="20">
        <v>-16.28604</v>
      </c>
      <c r="N43" s="21">
        <v>12.30222</v>
      </c>
      <c r="O43" s="9">
        <v>1</v>
      </c>
      <c r="P43" s="34"/>
      <c r="Q43" s="4">
        <v>1</v>
      </c>
    </row>
    <row r="44" spans="3:17">
      <c r="C44" s="48" t="s">
        <v>1</v>
      </c>
      <c r="D44" s="4" t="s">
        <v>2</v>
      </c>
      <c r="E44" s="4">
        <v>1500</v>
      </c>
      <c r="F44" s="4">
        <v>10000</v>
      </c>
      <c r="G44" s="18">
        <v>2.783115</v>
      </c>
      <c r="H44" s="19">
        <v>27.619869999999999</v>
      </c>
      <c r="I44" s="18">
        <v>2.4307400000000001</v>
      </c>
      <c r="J44" s="19">
        <v>2.4488410000000002E-3</v>
      </c>
      <c r="K44" s="18">
        <v>-5.4265309999999997E-2</v>
      </c>
      <c r="L44" s="19">
        <v>0.91438399999999997</v>
      </c>
      <c r="M44" s="18">
        <v>-0.4321508</v>
      </c>
      <c r="N44" s="19">
        <v>8.956944E-2</v>
      </c>
      <c r="O44" s="10">
        <v>1</v>
      </c>
      <c r="P44" s="34"/>
      <c r="Q44" s="4">
        <v>1</v>
      </c>
    </row>
    <row r="45" spans="3:17">
      <c r="C45" s="48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1</v>
      </c>
      <c r="Q45" s="4">
        <v>1</v>
      </c>
    </row>
    <row r="46" spans="3:17">
      <c r="C46" s="48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1</v>
      </c>
      <c r="Q46" s="4">
        <v>1</v>
      </c>
    </row>
    <row r="47" spans="3:17">
      <c r="C47" s="48" t="s">
        <v>34</v>
      </c>
      <c r="D47" s="46" t="s">
        <v>13</v>
      </c>
      <c r="E47" s="46">
        <v>298.14999999999998</v>
      </c>
      <c r="F47" s="4">
        <v>398</v>
      </c>
      <c r="G47" s="18">
        <v>0.1962595465752601</v>
      </c>
      <c r="H47" s="19">
        <v>18.555499584494658</v>
      </c>
      <c r="I47" s="18">
        <v>4.881231583378435</v>
      </c>
      <c r="J47" s="19">
        <v>0</v>
      </c>
      <c r="K47" s="18">
        <v>0.14553391965842802</v>
      </c>
      <c r="L47" s="19">
        <v>0</v>
      </c>
      <c r="M47" s="18">
        <v>0</v>
      </c>
      <c r="N47" s="19">
        <v>0</v>
      </c>
      <c r="O47" s="1">
        <v>4</v>
      </c>
      <c r="P47" s="33">
        <v>1</v>
      </c>
      <c r="Q47" s="4">
        <v>1</v>
      </c>
    </row>
    <row r="48" spans="3:17">
      <c r="C48" s="48" t="s">
        <v>12</v>
      </c>
      <c r="D48" s="4" t="s">
        <v>2</v>
      </c>
      <c r="E48" s="4">
        <v>298.14999999999998</v>
      </c>
      <c r="F48" s="4">
        <v>1500</v>
      </c>
      <c r="G48" s="18">
        <v>1.6083639999999999</v>
      </c>
      <c r="H48" s="19">
        <v>46.654719999999998</v>
      </c>
      <c r="I48" s="18">
        <v>6.370749</v>
      </c>
      <c r="J48" s="19">
        <v>-1.7220000000000001E-4</v>
      </c>
      <c r="K48" s="18">
        <v>6.049562E-2</v>
      </c>
      <c r="L48" s="19">
        <v>-20.810030000000001</v>
      </c>
      <c r="M48" s="18">
        <v>56.994140000000002</v>
      </c>
      <c r="N48" s="19">
        <v>-73.985680000000002</v>
      </c>
      <c r="O48" s="10">
        <v>1</v>
      </c>
      <c r="P48" s="34"/>
      <c r="Q48" s="4">
        <v>1</v>
      </c>
    </row>
    <row r="49" spans="3:17">
      <c r="C49" s="48" t="s">
        <v>12</v>
      </c>
      <c r="D49" s="4" t="s">
        <v>2</v>
      </c>
      <c r="E49" s="4">
        <v>1500</v>
      </c>
      <c r="F49" s="4">
        <v>6000</v>
      </c>
      <c r="G49" s="18">
        <v>1.6083639999999999</v>
      </c>
      <c r="H49" s="19">
        <v>41.393599999999999</v>
      </c>
      <c r="I49" s="18">
        <v>4.6638549999999999</v>
      </c>
      <c r="J49" s="19">
        <v>-1.334432E-3</v>
      </c>
      <c r="K49" s="18">
        <v>3.6780319999999998E-2</v>
      </c>
      <c r="L49" s="19">
        <v>0.98545360000000004</v>
      </c>
      <c r="M49" s="18">
        <v>-0.13838919999999999</v>
      </c>
      <c r="N49" s="19">
        <v>-0.2247374</v>
      </c>
      <c r="O49" s="10">
        <v>1</v>
      </c>
      <c r="P49" s="34"/>
      <c r="Q49" s="4">
        <v>1</v>
      </c>
    </row>
    <row r="50" spans="3:17">
      <c r="C50" s="48" t="s">
        <v>11</v>
      </c>
      <c r="D50" s="4" t="s">
        <v>2</v>
      </c>
      <c r="E50" s="4">
        <v>298.14999999999998</v>
      </c>
      <c r="F50" s="4">
        <v>1500</v>
      </c>
      <c r="G50" s="18">
        <v>1.9782420000000001</v>
      </c>
      <c r="H50" s="19">
        <v>54.51784</v>
      </c>
      <c r="I50" s="18">
        <v>6.89046</v>
      </c>
      <c r="J50" s="19">
        <v>-1.736525E-4</v>
      </c>
      <c r="K50" s="18">
        <v>5.6347979999999999E-2</v>
      </c>
      <c r="L50" s="19">
        <v>1.1843140000000001</v>
      </c>
      <c r="M50" s="18">
        <v>-3.094471</v>
      </c>
      <c r="N50" s="19">
        <v>4.1616710000000001</v>
      </c>
      <c r="O50" s="10">
        <v>1</v>
      </c>
      <c r="P50" s="34"/>
      <c r="Q50" s="4">
        <v>1</v>
      </c>
    </row>
    <row r="51" spans="3:17">
      <c r="C51" s="48" t="s">
        <v>11</v>
      </c>
      <c r="D51" s="4" t="s">
        <v>2</v>
      </c>
      <c r="E51" s="4">
        <v>1500</v>
      </c>
      <c r="F51" s="4">
        <v>6000</v>
      </c>
      <c r="G51" s="18">
        <v>1.9782420000000001</v>
      </c>
      <c r="H51" s="19">
        <v>54.816650000000003</v>
      </c>
      <c r="I51" s="18">
        <v>7.0000840000000002</v>
      </c>
      <c r="J51" s="19">
        <v>-2.193664E-4</v>
      </c>
      <c r="K51" s="18">
        <v>6.1325909999999997E-2</v>
      </c>
      <c r="L51" s="19">
        <v>3.7539989999999998E-4</v>
      </c>
      <c r="M51" s="18">
        <v>-1.8322499999999999E-4</v>
      </c>
      <c r="N51" s="19">
        <v>4.3410669999999999E-5</v>
      </c>
      <c r="O51" s="10">
        <v>1</v>
      </c>
      <c r="P51" s="34"/>
      <c r="Q51" s="4">
        <v>1</v>
      </c>
    </row>
    <row r="52" spans="3:17">
      <c r="C52" s="48" t="s">
        <v>10</v>
      </c>
      <c r="D52" s="4" t="s">
        <v>2</v>
      </c>
      <c r="E52" s="4">
        <v>298.14999999999998</v>
      </c>
      <c r="F52" s="4">
        <v>1500</v>
      </c>
      <c r="G52" s="18">
        <v>1.7796749999999999</v>
      </c>
      <c r="H52" s="19">
        <v>65.627989999999997</v>
      </c>
      <c r="I52" s="18">
        <v>9.8077830000000006</v>
      </c>
      <c r="J52" s="19">
        <v>-2.9475889999999998E-4</v>
      </c>
      <c r="K52" s="18">
        <v>0.1005359</v>
      </c>
      <c r="L52" s="19">
        <v>2.0750869999999999</v>
      </c>
      <c r="M52" s="18">
        <v>-5.417872</v>
      </c>
      <c r="N52" s="19">
        <v>7.2822940000000003</v>
      </c>
      <c r="O52" s="10">
        <v>1</v>
      </c>
      <c r="P52" s="34"/>
      <c r="Q52" s="4">
        <v>1</v>
      </c>
    </row>
    <row r="53" spans="3:17">
      <c r="C53" s="48" t="s">
        <v>10</v>
      </c>
      <c r="D53" s="4" t="s">
        <v>2</v>
      </c>
      <c r="E53" s="4">
        <v>1500</v>
      </c>
      <c r="F53" s="4">
        <v>6000</v>
      </c>
      <c r="G53" s="18">
        <v>1.7796749999999999</v>
      </c>
      <c r="H53" s="19">
        <v>66.151300000000006</v>
      </c>
      <c r="I53" s="18">
        <v>9.9996779999999994</v>
      </c>
      <c r="J53" s="19">
        <v>-3.7359040000000001E-4</v>
      </c>
      <c r="K53" s="18">
        <v>0.1092219</v>
      </c>
      <c r="L53" s="19">
        <v>1.8328540000000001E-3</v>
      </c>
      <c r="M53" s="18">
        <v>-1.155547E-3</v>
      </c>
      <c r="N53" s="19">
        <v>3.7609010000000002E-4</v>
      </c>
      <c r="O53" s="10">
        <v>1</v>
      </c>
      <c r="P53" s="34"/>
      <c r="Q53" s="4">
        <v>1</v>
      </c>
    </row>
    <row r="54" spans="3:17">
      <c r="C54" s="48" t="s">
        <v>9</v>
      </c>
      <c r="D54" s="4" t="s">
        <v>2</v>
      </c>
      <c r="E54" s="4">
        <v>298.14999999999998</v>
      </c>
      <c r="F54" s="4">
        <v>1500</v>
      </c>
      <c r="G54" s="18">
        <v>1.593137</v>
      </c>
      <c r="H54" s="19">
        <v>82.10181</v>
      </c>
      <c r="I54" s="18">
        <v>12.889200000000001</v>
      </c>
      <c r="J54" s="19">
        <v>-2.7534359999999998E-4</v>
      </c>
      <c r="K54" s="18">
        <v>0.11292489999999999</v>
      </c>
      <c r="L54" s="19">
        <v>1.2045049999999999</v>
      </c>
      <c r="M54" s="18">
        <v>-3.1549330000000002</v>
      </c>
      <c r="N54" s="19">
        <v>4.2508710000000001</v>
      </c>
      <c r="O54" s="7">
        <v>1</v>
      </c>
      <c r="P54" s="34"/>
      <c r="Q54" s="4">
        <v>1</v>
      </c>
    </row>
    <row r="55" spans="3:17">
      <c r="C55" s="48" t="s">
        <v>9</v>
      </c>
      <c r="D55" s="4" t="s">
        <v>2</v>
      </c>
      <c r="E55" s="4">
        <v>1500</v>
      </c>
      <c r="F55" s="4">
        <v>6000</v>
      </c>
      <c r="G55" s="18">
        <v>1.593137</v>
      </c>
      <c r="H55" s="19">
        <v>82.404619999999994</v>
      </c>
      <c r="I55" s="18">
        <v>12.999980000000001</v>
      </c>
      <c r="J55" s="19">
        <v>-3.1975439999999998E-4</v>
      </c>
      <c r="K55" s="18">
        <v>0.117897</v>
      </c>
      <c r="L55" s="19">
        <v>1.496076E-3</v>
      </c>
      <c r="M55" s="18">
        <v>-1.046272E-3</v>
      </c>
      <c r="N55" s="19">
        <v>3.8618760000000001E-4</v>
      </c>
      <c r="O55" s="7">
        <v>1</v>
      </c>
      <c r="P55" s="34"/>
      <c r="Q55" s="4">
        <v>1</v>
      </c>
    </row>
    <row r="56" spans="3:17">
      <c r="C56" s="48" t="s">
        <v>8</v>
      </c>
      <c r="D56" s="4" t="s">
        <v>2</v>
      </c>
      <c r="E56" s="4">
        <v>298.14999999999998</v>
      </c>
      <c r="F56" s="4">
        <v>1500</v>
      </c>
      <c r="G56" s="18">
        <v>1.310376</v>
      </c>
      <c r="H56" s="19">
        <v>92.080410000000001</v>
      </c>
      <c r="I56" s="18">
        <v>15.90657</v>
      </c>
      <c r="J56" s="19">
        <v>-3.1941130000000002E-4</v>
      </c>
      <c r="K56" s="18">
        <v>0.14695030000000001</v>
      </c>
      <c r="L56" s="19">
        <v>1.017784</v>
      </c>
      <c r="M56" s="18">
        <v>-2.6653210000000001</v>
      </c>
      <c r="N56" s="19">
        <v>3.5898659999999998</v>
      </c>
      <c r="O56" s="7">
        <v>1</v>
      </c>
      <c r="P56" s="34"/>
      <c r="Q56" s="4">
        <v>1</v>
      </c>
    </row>
    <row r="57" spans="3:17">
      <c r="C57" s="48" t="s">
        <v>8</v>
      </c>
      <c r="D57" s="4" t="s">
        <v>2</v>
      </c>
      <c r="E57" s="4">
        <v>1500</v>
      </c>
      <c r="F57" s="4">
        <v>6000</v>
      </c>
      <c r="G57" s="18">
        <v>1.310376</v>
      </c>
      <c r="H57" s="19">
        <v>92.335269999999994</v>
      </c>
      <c r="I57" s="18">
        <v>15.99952</v>
      </c>
      <c r="J57" s="19">
        <v>-3.5474159999999999E-4</v>
      </c>
      <c r="K57" s="18">
        <v>0.151062</v>
      </c>
      <c r="L57" s="19">
        <v>3.4559289999999999E-3</v>
      </c>
      <c r="M57" s="18">
        <v>-2.5853989999999999E-3</v>
      </c>
      <c r="N57" s="19">
        <v>9.828650999999999E-4</v>
      </c>
      <c r="O57" s="7">
        <v>1</v>
      </c>
      <c r="P57" s="34"/>
      <c r="Q57" s="4">
        <v>1</v>
      </c>
    </row>
    <row r="58" spans="3:17">
      <c r="C58" s="48" t="s">
        <v>7</v>
      </c>
      <c r="D58" s="4" t="s">
        <v>2</v>
      </c>
      <c r="E58" s="4">
        <v>298.14999999999998</v>
      </c>
      <c r="F58" s="4">
        <v>1500</v>
      </c>
      <c r="G58" s="18">
        <v>1.3764209999999999</v>
      </c>
      <c r="H58" s="19">
        <v>106.2873</v>
      </c>
      <c r="I58" s="18">
        <v>18.87481</v>
      </c>
      <c r="J58" s="19">
        <v>-3.9471889999999999E-4</v>
      </c>
      <c r="K58" s="18">
        <v>0.18061250000000001</v>
      </c>
      <c r="L58" s="19">
        <v>1.363551</v>
      </c>
      <c r="M58" s="18">
        <v>-3.5720109999999998</v>
      </c>
      <c r="N58" s="19">
        <v>4.8116719999999997</v>
      </c>
      <c r="O58" s="7">
        <v>1</v>
      </c>
      <c r="P58" s="34"/>
      <c r="Q58" s="4">
        <v>1</v>
      </c>
    </row>
    <row r="59" spans="3:17" ht="24.75" customHeight="1">
      <c r="C59" s="48" t="s">
        <v>7</v>
      </c>
      <c r="D59" s="4" t="s">
        <v>2</v>
      </c>
      <c r="E59" s="4">
        <v>1500</v>
      </c>
      <c r="F59" s="4">
        <v>6000</v>
      </c>
      <c r="G59" s="18">
        <v>1.3764209999999999</v>
      </c>
      <c r="H59" s="19">
        <v>106.6301</v>
      </c>
      <c r="I59" s="18">
        <v>19.000219999999999</v>
      </c>
      <c r="J59" s="19">
        <v>-4.455711E-4</v>
      </c>
      <c r="K59" s="18">
        <v>0.18625030000000001</v>
      </c>
      <c r="L59" s="19">
        <v>1.466539E-3</v>
      </c>
      <c r="M59" s="18">
        <v>-9.910276E-4</v>
      </c>
      <c r="N59" s="19">
        <v>3.4599259999999998E-4</v>
      </c>
      <c r="O59" s="7">
        <v>1</v>
      </c>
      <c r="P59" s="34"/>
      <c r="Q59" s="4">
        <v>1</v>
      </c>
    </row>
    <row r="60" spans="3:17">
      <c r="C60" s="48" t="s">
        <v>6</v>
      </c>
      <c r="D60" s="4" t="s">
        <v>2</v>
      </c>
      <c r="E60" s="4">
        <v>298.14999999999998</v>
      </c>
      <c r="F60" s="4">
        <v>1500</v>
      </c>
      <c r="G60" s="18">
        <v>1.4184099999999999</v>
      </c>
      <c r="H60" s="19">
        <v>118.3836</v>
      </c>
      <c r="I60" s="18">
        <v>21.846499999999999</v>
      </c>
      <c r="J60" s="19">
        <v>-4.55196E-4</v>
      </c>
      <c r="K60" s="18">
        <v>0.2049985</v>
      </c>
      <c r="L60" s="19">
        <v>1.669807</v>
      </c>
      <c r="M60" s="18">
        <v>-4.3705270000000001</v>
      </c>
      <c r="N60" s="19">
        <v>5.8827660000000002</v>
      </c>
      <c r="O60" s="7">
        <v>1</v>
      </c>
      <c r="P60" s="34"/>
      <c r="Q60" s="4">
        <v>1</v>
      </c>
    </row>
    <row r="61" spans="3:17">
      <c r="C61" s="48" t="s">
        <v>6</v>
      </c>
      <c r="D61" s="45" t="s">
        <v>2</v>
      </c>
      <c r="E61" s="5">
        <v>1500</v>
      </c>
      <c r="F61" s="4">
        <v>6000</v>
      </c>
      <c r="G61" s="18">
        <v>1.4184099999999999</v>
      </c>
      <c r="H61" s="19">
        <v>118.80549999999999</v>
      </c>
      <c r="I61" s="18">
        <v>22.001380000000001</v>
      </c>
      <c r="J61" s="19">
        <v>-5.2171050000000005E-4</v>
      </c>
      <c r="K61" s="18">
        <v>0.21207509999999999</v>
      </c>
      <c r="L61" s="19">
        <v>-2.09779E-3</v>
      </c>
      <c r="M61" s="18">
        <v>1.840469E-3</v>
      </c>
      <c r="N61" s="19">
        <v>-7.697003E-4</v>
      </c>
      <c r="O61" s="7">
        <v>1</v>
      </c>
      <c r="P61" s="34"/>
      <c r="Q61" s="4">
        <v>1</v>
      </c>
    </row>
    <row r="62" spans="3:17">
      <c r="C62" s="47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 xmlns:x14="http://schemas.microsoft.com/office/spreadsheetml/2009/9/main">
    <ext xmlns:x15="http://schemas.microsoft.com/office/spreadsheetml/2010/11/main" uri="{3A4CF648-6AED-40f4-86FF-DC5316D8AED3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2021-04-09T12:21:04Z</dcterms:created>
  <dcterms:modified xsi:type="dcterms:W3CDTF">2021-04-16T10:56:43Z</dcterms:modified>
</cp:coreProperties>
</file>