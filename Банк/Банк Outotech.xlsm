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418D5BA9-C285-40EC-918A-3AA4FA629F36}" xr6:coauthVersionLast="46" xr6:coauthVersionMax="46" xr10:uidLastSave="{00000000-0000-0000-0000-000000000000}"/>
  <bookViews>
    <workbookView xWindow="7620" yWindow="255" windowWidth="20010" windowHeight="4995" xr2:uid="{C5AEC547-7FEA-4A09-B9B3-F20DA3B65905}"/>
  </bookViews>
  <sheets>
    <sheet name="Из Autotech " sheetId="1" r:id="rId1"/>
  </sheets>
  <definedNames>
    <definedName name="_xlnm._FilterDatabase" localSheetId="0" hidden="1">'Из Autotech '!$A$30:$AA$48</definedName>
    <definedName name="Срез_8_31">#N/A</definedName>
    <definedName name="Срез_Ф_______Фаза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K1" i="1" l="1"/>
  <c r="L1" i="1"/>
  <c r="M3" i="1"/>
  <c r="N3" i="1"/>
  <c r="O3" i="1"/>
  <c r="S3" i="1"/>
  <c r="U3" i="1"/>
  <c r="V3" i="1"/>
  <c r="X3" i="1"/>
  <c r="Y3" i="1"/>
  <c r="Z3" i="1"/>
  <c r="M4" i="1"/>
  <c r="N4" i="1"/>
  <c r="S4" i="1"/>
  <c r="U4" i="1"/>
  <c r="V4" i="1"/>
  <c r="X4" i="1"/>
  <c r="Y4" i="1"/>
  <c r="Z4" i="1"/>
  <c r="M5" i="1"/>
  <c r="N5" i="1"/>
  <c r="S5" i="1"/>
  <c r="U5" i="1"/>
  <c r="V5" i="1"/>
  <c r="X5" i="1"/>
  <c r="Y5" i="1"/>
  <c r="Z5" i="1"/>
  <c r="M6" i="1"/>
  <c r="N6" i="1"/>
  <c r="S6" i="1"/>
  <c r="U6" i="1"/>
  <c r="V6" i="1"/>
  <c r="X6" i="1"/>
  <c r="Y6" i="1"/>
  <c r="Z6" i="1"/>
  <c r="M7" i="1"/>
  <c r="N7" i="1"/>
  <c r="S7" i="1"/>
  <c r="U7" i="1"/>
  <c r="V7" i="1"/>
  <c r="X7" i="1"/>
  <c r="Y7" i="1"/>
  <c r="Z7" i="1"/>
  <c r="M34" i="1"/>
  <c r="N34" i="1"/>
  <c r="O34" i="1"/>
  <c r="Q34" i="1"/>
  <c r="S34" i="1"/>
  <c r="U34" i="1"/>
  <c r="V34" i="1"/>
  <c r="X34" i="1"/>
  <c r="Y34" i="1"/>
  <c r="Z34" i="1"/>
  <c r="M35" i="1"/>
  <c r="N35" i="1"/>
  <c r="S35" i="1"/>
  <c r="U35" i="1"/>
  <c r="V35" i="1"/>
  <c r="X35" i="1"/>
  <c r="Y35" i="1"/>
  <c r="Z35" i="1"/>
  <c r="M36" i="1"/>
  <c r="N36" i="1"/>
  <c r="S36" i="1"/>
  <c r="U36" i="1"/>
  <c r="V36" i="1"/>
  <c r="X36" i="1"/>
  <c r="Y36" i="1"/>
  <c r="Z36" i="1"/>
  <c r="M37" i="1"/>
  <c r="N37" i="1"/>
  <c r="S37" i="1"/>
  <c r="U37" i="1"/>
  <c r="V37" i="1"/>
  <c r="X37" i="1"/>
  <c r="Y37" i="1"/>
  <c r="Z37" i="1"/>
  <c r="M38" i="1"/>
  <c r="N38" i="1"/>
  <c r="S38" i="1"/>
  <c r="U38" i="1"/>
  <c r="V38" i="1"/>
  <c r="X38" i="1"/>
  <c r="Y38" i="1"/>
  <c r="Z38" i="1"/>
  <c r="T3" i="1" l="1"/>
  <c r="R3" i="1" s="1"/>
  <c r="Q4" i="1" s="1"/>
  <c r="T4" i="1" s="1"/>
  <c r="R4" i="1" s="1"/>
  <c r="Q5" i="1" s="1"/>
  <c r="T5" i="1" s="1"/>
  <c r="R5" i="1" s="1"/>
  <c r="Q6" i="1" s="1"/>
  <c r="T6" i="1" s="1"/>
  <c r="R6" i="1" s="1"/>
  <c r="Q7" i="1" s="1"/>
  <c r="T7" i="1" s="1"/>
  <c r="R7" i="1" s="1"/>
  <c r="W3" i="1"/>
  <c r="P3" i="1" s="1"/>
  <c r="O4" i="1" s="1"/>
  <c r="W4" i="1" s="1"/>
  <c r="P4" i="1" s="1"/>
  <c r="O5" i="1" s="1"/>
  <c r="W5" i="1" s="1"/>
  <c r="P5" i="1" s="1"/>
  <c r="O6" i="1" s="1"/>
  <c r="W6" i="1" s="1"/>
  <c r="P6" i="1" s="1"/>
  <c r="O7" i="1" s="1"/>
  <c r="W7" i="1" s="1"/>
  <c r="P7" i="1" s="1"/>
  <c r="T34" i="1"/>
  <c r="R34" i="1" s="1"/>
  <c r="Q35" i="1" s="1"/>
  <c r="T35" i="1" s="1"/>
  <c r="R35" i="1" s="1"/>
  <c r="Q36" i="1" s="1"/>
  <c r="T36" i="1" s="1"/>
  <c r="R36" i="1" s="1"/>
  <c r="Q37" i="1" s="1"/>
  <c r="T37" i="1" s="1"/>
  <c r="R37" i="1" s="1"/>
  <c r="Q38" i="1" s="1"/>
  <c r="T38" i="1" s="1"/>
  <c r="R38" i="1" s="1"/>
  <c r="W34" i="1"/>
  <c r="P34" i="1" s="1"/>
  <c r="O35" i="1" s="1"/>
  <c r="W35" i="1" s="1"/>
  <c r="P35" i="1" s="1"/>
  <c r="O36" i="1" s="1"/>
  <c r="W36" i="1" s="1"/>
  <c r="P36" i="1" s="1"/>
  <c r="O37" i="1" s="1"/>
  <c r="W37" i="1" s="1"/>
  <c r="P37" i="1" s="1"/>
  <c r="O38" i="1" s="1"/>
  <c r="W38" i="1" s="1"/>
  <c r="P38" i="1" s="1"/>
</calcChain>
</file>

<file path=xl/sharedStrings.xml><?xml version="1.0" encoding="utf-8"?>
<sst xmlns="http://schemas.openxmlformats.org/spreadsheetml/2006/main" count="122" uniqueCount="49">
  <si>
    <t>4</t>
  </si>
  <si>
    <t>s</t>
  </si>
  <si>
    <t>Se[R]</t>
  </si>
  <si>
    <t>Se[M]</t>
  </si>
  <si>
    <t>Se[A]</t>
  </si>
  <si>
    <t>l</t>
  </si>
  <si>
    <t>Se</t>
  </si>
  <si>
    <t>GeSe2</t>
  </si>
  <si>
    <t>GeSe</t>
  </si>
  <si>
    <t>Ge</t>
  </si>
  <si>
    <t>Ga2Se3</t>
  </si>
  <si>
    <t>Ga2Se</t>
  </si>
  <si>
    <t>g</t>
  </si>
  <si>
    <t>Ga</t>
  </si>
  <si>
    <t xml:space="preserve"> Т         Тип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</si>
  <si>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</si>
  <si>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</si>
  <si>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</si>
  <si>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</si>
  <si>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</si>
  <si>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</si>
  <si>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</si>
  <si>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</si>
  <si>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S(T) Дж</t>
  </si>
  <si>
    <t>S(To) Дж</t>
  </si>
  <si>
    <t>H(T) Дж</t>
  </si>
  <si>
    <t>H(To) Дж</t>
  </si>
  <si>
    <t>X                       К/10000</t>
  </si>
  <si>
    <t>Xo                    К/10000</t>
  </si>
  <si>
    <t>f *T^3</t>
  </si>
  <si>
    <t>e *T^(-3)</t>
  </si>
  <si>
    <t>d *T^(2)</t>
  </si>
  <si>
    <t>c *T^(-2)</t>
  </si>
  <si>
    <t>b*T</t>
  </si>
  <si>
    <t xml:space="preserve">а </t>
  </si>
  <si>
    <t>S(To)  Дж</t>
  </si>
  <si>
    <t>Н(To) кДж</t>
  </si>
  <si>
    <t>Ф       Фаза</t>
  </si>
  <si>
    <t>T K</t>
  </si>
  <si>
    <t>Тo К</t>
  </si>
  <si>
    <t>8,31</t>
  </si>
  <si>
    <t>степень</t>
  </si>
  <si>
    <t xml:space="preserve"> Т    </t>
  </si>
  <si>
    <t>S(T) J</t>
  </si>
  <si>
    <t>S(To) J</t>
  </si>
  <si>
    <t>H(T) J</t>
  </si>
  <si>
    <t>H(To) J</t>
  </si>
  <si>
    <t xml:space="preserve">Ф </t>
  </si>
  <si>
    <t>GaSe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</si>
</sst>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_ ;[Red]\-#,##0.0\ "/>
  </numFmts>
  <fonts count="8" x14ac:knownFonts="1">
    <font>
      <sz val="16"/>
      <color theme="1"/>
      <name val="Calibri"/>
      <family val="2"/>
      <charset val="204"/>
      <scheme val="minor"/>
    </font>
    <font>
      <sz val="16"/>
      <color rgb="FF00B05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9FF7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9" fontId="3" fillId="7" borderId="2" applyNumberFormat="0">
      <alignment horizontal="left" vertical="center"/>
    </xf>
  </cellStyleXfs>
  <cellXfs count="72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0" fillId="0" borderId="1" xfId="0" applyBorder="1"/>
    <xf numFmtId="49" fontId="1" fillId="2" borderId="0" xfId="0" applyNumberFormat="1" applyFont="1" applyFill="1" applyProtection="1">
      <protection locked="0"/>
    </xf>
    <xf numFmtId="164" fontId="0" fillId="4" borderId="0" xfId="0" applyNumberFormat="1" applyFill="1" applyAlignment="1">
      <alignment vertical="center"/>
    </xf>
    <xf numFmtId="164" fontId="0" fillId="5" borderId="0" xfId="0" applyNumberFormat="1" applyFill="1" applyAlignment="1">
      <alignment vertical="center"/>
    </xf>
    <xf numFmtId="2" fontId="0" fillId="0" borderId="0" xfId="0" applyNumberFormat="1" applyAlignment="1">
      <alignment vertical="center"/>
    </xf>
    <xf numFmtId="0" fontId="0" fillId="3" borderId="0" xfId="0" applyFill="1"/>
    <xf numFmtId="0" fontId="0" fillId="6" borderId="1" xfId="0" applyFill="1" applyBorder="1"/>
    <xf numFmtId="0" fontId="0" fillId="6" borderId="0" xfId="0" applyFill="1"/>
    <xf numFmtId="49" fontId="0" fillId="6" borderId="0" xfId="0" applyNumberFormat="1" applyFill="1" applyAlignment="1" applyProtection="1">
      <alignment vertical="center"/>
      <protection locked="0"/>
    </xf>
    <xf numFmtId="0" fontId="0" fillId="0" borderId="0" xfId="0" applyAlignment="1">
      <alignment horizontal="left" vertical="center"/>
    </xf>
    <xf numFmtId="49" fontId="2" fillId="7" borderId="2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4" fillId="0" borderId="0" xfId="0" applyFont="1"/>
    <xf numFmtId="0" fontId="2" fillId="7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49" fontId="3" fillId="7" borderId="2" xfId="1" applyNumberFormat="1">
      <alignment horizontal="left" vertical="center"/>
    </xf>
    <xf numFmtId="0" fontId="3" fillId="7" borderId="2" xfId="1" applyNumberFormat="1">
      <alignment horizontal="left" vertical="center"/>
    </xf>
    <xf numFmtId="164" fontId="3" fillId="7" borderId="2" xfId="1" applyNumberFormat="1">
      <alignment horizontal="left" vertical="center"/>
    </xf>
    <xf numFmtId="0" fontId="3" fillId="7" borderId="3" xfId="1" applyNumberFormat="1" applyBorder="1">
      <alignment horizontal="left" vertical="center"/>
    </xf>
    <xf numFmtId="0" fontId="3" fillId="7" borderId="8" xfId="1" applyNumberFormat="1" applyBorder="1">
      <alignment horizontal="left" vertical="center"/>
    </xf>
    <xf numFmtId="0" fontId="3" fillId="7" borderId="5" xfId="1" applyNumberFormat="1" applyBorder="1">
      <alignment horizontal="left" vertical="center"/>
    </xf>
    <xf numFmtId="2" fontId="3" fillId="7" borderId="2" xfId="1" applyNumberFormat="1">
      <alignment horizontal="left" vertical="center"/>
    </xf>
    <xf numFmtId="2" fontId="2" fillId="0" borderId="7" xfId="0" applyNumberFormat="1" applyFont="1" applyBorder="1" applyAlignment="1" applyProtection="1">
      <alignment horizontal="center"/>
      <protection locked="0"/>
    </xf>
    <xf numFmtId="2" fontId="2" fillId="0" borderId="2" xfId="0" applyNumberFormat="1" applyFont="1" applyBorder="1" applyAlignment="1" applyProtection="1">
      <alignment horizont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5" fillId="0" borderId="0" xfId="0" applyFont="1"/>
    <xf numFmtId="0" fontId="5" fillId="0" borderId="1" xfId="0" applyFont="1" applyBorder="1"/>
    <xf numFmtId="164" fontId="5" fillId="0" borderId="0" xfId="0" applyNumberFormat="1" applyFont="1"/>
    <xf numFmtId="2" fontId="6" fillId="7" borderId="2" xfId="0" applyNumberFormat="1" applyFont="1" applyFill="1" applyBorder="1" applyAlignment="1" applyProtection="1">
      <alignment horizontal="left" vertical="center"/>
      <protection locked="0"/>
    </xf>
    <xf numFmtId="0" fontId="7" fillId="7" borderId="2" xfId="0" applyFont="1" applyFill="1" applyBorder="1" applyAlignment="1" applyProtection="1">
      <alignment horizontal="left" vertical="center"/>
      <protection locked="0"/>
    </xf>
    <xf numFmtId="0" fontId="7" fillId="7" borderId="5" xfId="0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left" vertical="center"/>
      <protection locked="0"/>
    </xf>
    <xf numFmtId="0" fontId="7" fillId="7" borderId="3" xfId="0" applyFont="1" applyFill="1" applyBorder="1" applyAlignment="1" applyProtection="1">
      <alignment horizontal="left" vertical="center"/>
      <protection locked="0"/>
    </xf>
    <xf numFmtId="164" fontId="7" fillId="7" borderId="2" xfId="0" applyNumberFormat="1" applyFont="1" applyFill="1" applyBorder="1" applyAlignment="1" applyProtection="1">
      <alignment horizontal="left" vertical="center"/>
      <protection locked="0"/>
    </xf>
    <xf numFmtId="49" fontId="5" fillId="6" borderId="0" xfId="0" applyNumberFormat="1" applyFont="1" applyFill="1" applyAlignment="1" applyProtection="1">
      <alignment vertical="center"/>
      <protection locked="0"/>
    </xf>
    <xf numFmtId="0" fontId="5" fillId="6" borderId="0" xfId="0" applyFont="1" applyFill="1"/>
    <xf numFmtId="0" fontId="5" fillId="6" borderId="1" xfId="0" applyFont="1" applyFill="1" applyBorder="1"/>
    <xf numFmtId="0" fontId="5" fillId="3" borderId="0" xfId="0" applyFont="1" applyFill="1"/>
    <xf numFmtId="2" fontId="5" fillId="0" borderId="0" xfId="0" applyNumberFormat="1" applyFont="1" applyAlignment="1">
      <alignment vertical="center"/>
    </xf>
    <xf numFmtId="164" fontId="5" fillId="5" borderId="0" xfId="0" applyNumberFormat="1" applyFont="1" applyFill="1" applyAlignment="1">
      <alignment vertical="center"/>
    </xf>
    <xf numFmtId="164" fontId="5" fillId="4" borderId="0" xfId="0" applyNumberFormat="1" applyFont="1" applyFill="1" applyAlignment="1">
      <alignment vertical="center"/>
    </xf>
    <xf numFmtId="0" fontId="0" fillId="3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0" fontId="5" fillId="0" borderId="0" xfId="0" applyNumberFormat="1" applyFont="1"/>
    <xf numFmtId="0" fontId="7" fillId="7" borderId="2" xfId="0" applyNumberFormat="1" applyFont="1" applyFill="1" applyBorder="1" applyAlignment="1" applyProtection="1">
      <alignment horizontal="left" vertical="center"/>
      <protection locked="0"/>
    </xf>
    <xf numFmtId="0" fontId="6" fillId="7" borderId="2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NumberFormat="1" applyFont="1" applyFill="1" applyAlignment="1">
      <alignment vertical="center"/>
    </xf>
    <xf numFmtId="0" fontId="5" fillId="0" borderId="0" xfId="0" applyNumberFormat="1" applyFont="1" applyAlignment="1">
      <alignment vertical="center"/>
    </xf>
    <xf numFmtId="49" fontId="5" fillId="8" borderId="0" xfId="0" applyNumberFormat="1" applyFont="1" applyFill="1" applyAlignment="1" applyProtection="1">
      <alignment vertical="center"/>
      <protection locked="0"/>
    </xf>
    <xf numFmtId="0" fontId="5" fillId="8" borderId="0" xfId="0" applyFont="1" applyFill="1"/>
    <xf numFmtId="0" fontId="5" fillId="8" borderId="1" xfId="0" applyFont="1" applyFill="1" applyBorder="1"/>
    <xf numFmtId="0" fontId="5" fillId="8" borderId="0" xfId="0" applyNumberFormat="1" applyFont="1" applyFill="1" applyAlignment="1">
      <alignment vertical="center"/>
    </xf>
    <xf numFmtId="164" fontId="5" fillId="10" borderId="0" xfId="0" applyNumberFormat="1" applyFont="1" applyFill="1" applyAlignment="1">
      <alignment vertical="center"/>
    </xf>
    <xf numFmtId="164" fontId="5" fillId="11" borderId="0" xfId="0" applyNumberFormat="1" applyFont="1" applyFill="1" applyAlignment="1">
      <alignment vertical="center"/>
    </xf>
    <xf numFmtId="164" fontId="5" fillId="9" borderId="0" xfId="0" applyNumberFormat="1" applyFont="1" applyFill="1" applyAlignment="1">
      <alignment vertical="center"/>
    </xf>
    <xf numFmtId="49" fontId="5" fillId="8" borderId="9" xfId="0" applyNumberFormat="1" applyFont="1" applyFill="1" applyBorder="1" applyAlignment="1" applyProtection="1">
      <alignment vertical="center"/>
      <protection locked="0"/>
    </xf>
    <xf numFmtId="0" fontId="1" fillId="2" borderId="0" xfId="0" applyNumberFormat="1" applyFont="1" applyFill="1" applyProtection="1">
      <protection locked="0"/>
    </xf>
    <xf numFmtId="0" fontId="1" fillId="8" borderId="0" xfId="0" applyNumberFormat="1" applyFont="1" applyFill="1" applyProtection="1">
      <protection locked="0"/>
    </xf>
    <xf numFmtId="49" fontId="5" fillId="4" borderId="0" xfId="0" applyNumberFormat="1" applyFont="1" applyFill="1" applyAlignment="1" applyProtection="1">
      <alignment vertical="center"/>
      <protection locked="0"/>
    </xf>
    <xf numFmtId="0" fontId="5" fillId="4" borderId="0" xfId="0" applyFont="1" applyFill="1"/>
    <xf numFmtId="0" fontId="5" fillId="4" borderId="1" xfId="0" applyFont="1" applyFill="1" applyBorder="1"/>
    <xf numFmtId="0" fontId="5" fillId="4" borderId="0" xfId="0" applyNumberFormat="1" applyFont="1" applyFill="1" applyAlignment="1">
      <alignment vertical="center"/>
    </xf>
    <xf numFmtId="49" fontId="5" fillId="4" borderId="9" xfId="0" applyNumberFormat="1" applyFont="1" applyFill="1" applyBorder="1" applyAlignment="1" applyProtection="1">
      <alignment vertical="center"/>
      <protection locked="0"/>
    </xf>
  </cellXfs>
  <cellStyles count="2">
    <cellStyle name="Заголовок" xfId="1" xr:uid="{54FC48B9-6B73-42B9-999C-0ECC47345F47}"/>
    <cellStyle name="Обычный" xfId="0" builtinId="0"/>
  </cellStyles>
  <dxfs count="27"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#,##0.0_ ;[Red]\-#,##0.0\ 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#,##0.0_ ;[Red]\-#,##0.0\ 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164" formatCode="#,##0.0_ ;[Red]\-#,##0.0\ "/>
      <fill>
        <patternFill patternType="solid">
          <fgColor indexed="64"/>
          <bgColor theme="9" tint="0.39997558519241921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border diagonalUp="0" diagonalDown="0"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microsoft.com/office/2007/relationships/slicerCache" Target="slicerCaches/slicerCache2.xml"/><Relationship Id="rId7" Type="http://schemas.openxmlformats.org/officeDocument/2006/relationships/calcChain" Target="calcChain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476751"/>
    <xdr:ext cx="2238375" cy="3143250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8,31">
              <a:extLst>
                <a:ext uri="{FF2B5EF4-FFF2-40B4-BE49-F238E27FC236}">
                  <a16:creationId xmlns:a16="http://schemas.microsoft.com/office/drawing/2014/main" id="{611A48BA-05A4-4B0D-A36F-9D0EC12B8F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8,3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76750"/>
              <a:ext cx="2257424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absoluteAnchor>
  <xdr:oneCellAnchor>
    <xdr:from>
      <xdr:col>0</xdr:col>
      <xdr:colOff>85724</xdr:colOff>
      <xdr:row>10</xdr:row>
      <xdr:rowOff>133351</xdr:rowOff>
    </xdr:from>
    <xdr:ext cx="2085975" cy="1543049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Ф       Фаза">
              <a:extLst>
                <a:ext uri="{FF2B5EF4-FFF2-40B4-BE49-F238E27FC236}">
                  <a16:creationId xmlns:a16="http://schemas.microsoft.com/office/drawing/2014/main" id="{0444FB19-1267-4104-81C1-04EA389C92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Фаз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4" y="2847976"/>
              <a:ext cx="2085975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8_31" xr10:uid="{B7D9E1F3-2B85-439F-A246-694C012A9854}" sourceName="8,31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Фаза" xr10:uid="{D525355A-4940-44CF-A790-F168D6931088}" sourceName="Ф       Фаза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8,31" xr10:uid="{EDFD4F9F-6A7F-4259-84FF-81AE6C935AFF}" cache="Срез_8_31" caption="Вещество" columnCount="2" rowHeight="336550"/>
  <slicer name="Ф       Фаза" xr10:uid="{795957D9-B3E8-4A36-8173-8EB7957D3556}" cache="Срез_Ф_______Фаза" caption="Фаза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B71C3-975F-40FB-BCCB-CD81933B2D21}" name="Таблица315" displayName="Таблица315" ref="A30:AA56" totalsRowShown="0">
  <autoFilter ref="A30:AA56" xr:uid="{4FE95747-0AEA-48F8-9F8C-330210B39C6C}">
    <filterColumn colId="0" hiddenButton="1">
      <filters>
        <filter val="GeSe"/>
        <filter val="GeSe2"/>
      </filters>
    </filterColumn>
    <filterColumn colId="1" hiddenButton="1"/>
    <filterColumn colId="2" hiddenButton="1"/>
    <filterColumn colId="3" hiddenButton="1">
      <filters>
        <filter val="l"/>
        <filter val="s"/>
      </filters>
    </filterColumn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</autoFilter>
  <sortState xmlns:xlrd2="http://schemas.microsoft.com/office/spreadsheetml/2017/richdata2" ref="A43:AA54">
    <sortCondition ref="A31:A56"/>
    <sortCondition descending="1" ref="D31:D56"/>
    <sortCondition ref="B31:B56"/>
  </sortState>
  <tableColumns count="27">
    <tableColumn id="1" xr3:uid="{7DC7EB8C-134E-49FA-B3D7-C77AFE430049}" name="8,31" dataDxfId="26"/>
    <tableColumn id="2" xr3:uid="{BEFC19ED-CC2E-4F6C-A361-429D2FE64B42}" name="Тo К" dataDxfId="25"/>
    <tableColumn id="3" xr3:uid="{AB6B299C-CFBE-4483-A2AC-8F44C6667CF6}" name="T K" dataDxfId="24"/>
    <tableColumn id="4" xr3:uid="{8CA245D3-FDC5-4621-A823-59AD2FF5370F}" name="Ф       Фаза" dataDxfId="23"/>
    <tableColumn id="5" xr3:uid="{C47501F5-5524-4092-A8B8-A306F4568E41}" name="Н(To) кДж" dataDxfId="22"/>
    <tableColumn id="6" xr3:uid="{B0A7A882-F555-4BC7-B034-C3E6DC7CF0A6}" name="S(To)  Дж" dataDxfId="21"/>
    <tableColumn id="7" xr3:uid="{324E29AA-088F-45B6-82D5-72AE83646E67}" name="а " dataDxfId="20"/>
    <tableColumn id="8" xr3:uid="{8082A936-6E34-42E1-9FDF-B4FF370C03A2}" name="b*T" dataDxfId="19"/>
    <tableColumn id="9" xr3:uid="{F480D5DF-1C15-4963-B1B4-62D7F5B1E26D}" name="c *T^(-2)" dataDxfId="18"/>
    <tableColumn id="10" xr3:uid="{DD68B8C2-5768-463A-A36C-8B0A4D6DFB9F}" name="d *T^(2)" dataDxfId="17"/>
    <tableColumn id="11" xr3:uid="{2373092D-8A41-4A33-A7EC-7AF52700B805}" name="e *T^(-3)" dataDxfId="16"/>
    <tableColumn id="12" xr3:uid="{7DCBB5C4-54B2-408E-91E5-E789F4F6176E}" name="f *T^3" dataDxfId="15"/>
    <tableColumn id="13" xr3:uid="{D1E8C51F-562E-4FB5-B733-5AA2D2C1F851}" name="Xo                    К/10000" dataDxfId="14">
      <calculatedColumnFormula>B31/10000</calculatedColumnFormula>
    </tableColumn>
    <tableColumn id="14" xr3:uid="{8FF1E617-9041-4FC4-B634-3CCCB7A009AE}" name="X                       К/10000" dataDxfId="13">
      <calculatedColumnFormula>C31/10000</calculatedColumnFormula>
    </tableColumn>
    <tableColumn id="15" xr3:uid="{3CBF3903-6CF9-490D-A942-2CA2407FB7BB}" name="H(To) Дж" dataDxfId="12">
      <calculatedColumnFormula>P30+E31*1000</calculatedColumnFormula>
    </tableColumn>
    <tableColumn id="16" xr3:uid="{EFA307E3-6D19-4E47-9CCD-9C785B0C7444}" name="H(T) Дж" dataDxfId="11">
      <calculatedColumnFormula>10000*$A$1*(N31*U31-V31*2/N31+X31*N31^2+Y31*2*N31^3+Z31*3*N31^4-W31+S31)</calculatedColumnFormula>
    </tableColumn>
    <tableColumn id="17" xr3:uid="{FFB96AC3-BD2F-453A-9CD4-208A91DC38CA}" name="S(To) Дж" dataDxfId="10">
      <calculatedColumnFormula>R30+F31</calculatedColumnFormula>
    </tableColumn>
    <tableColumn id="18" xr3:uid="{5901A4FE-6590-453C-A13F-3B780A639FBA}" name="S(T) Дж" dataDxfId="9">
      <calculatedColumnFormula>$A$1*(T31+U31+U31*LN(N31)-V31/N31^2+X31*2*N31+Y31*3*N31^2+Z31*4*N31^3)</calculatedColumnFormula>
    </tableColumn>
    <tableColumn id="19" xr3:uid="{07C07276-9B83-47B8-8FAB-1C96538C4D2B}" name="ho" dataDxfId="8">
      <calculatedColumnFormula>SUM($E$3:E31)/$A$1/10</calculatedColumnFormula>
    </tableColumn>
    <tableColumn id="20" xr3:uid="{11150CE3-42DB-4D56-AE31-7985ED06D056}" name="ф1" dataDxfId="7">
      <calculatedColumnFormula>IF(D31="end","N/D",Q31/$A$1 - U31 - U31*LN(M31) + V31/(M31^2) - X31*2*M31 - Y31*3*M31^2 - Z31*4*M31^3)</calculatedColumnFormula>
    </tableColumn>
    <tableColumn id="21" xr3:uid="{068E7A92-715D-4577-8718-3293C0FB7D79}" name="ф2 *lnX" dataDxfId="6">
      <calculatedColumnFormula>G31*10^($G$2)/$A$1</calculatedColumnFormula>
    </tableColumn>
    <tableColumn id="22" xr3:uid="{B2E92D05-3779-41E0-BC52-92849F19213B}" name="ф3 *X^(-2)" dataDxfId="5">
      <calculatedColumnFormula>I31/(2*$A$1)*(10^($I$2)/10^8)</calculatedColumnFormula>
    </tableColumn>
    <tableColumn id="23" xr3:uid="{692700CC-D00E-4551-B95C-CB8FF631D265}" name="ф4 *X^(-1)" dataDxfId="4">
      <calculatedColumnFormula>U31*M31 - V31*2/M31 + X31*M31^2 + Y31*2*M31^3 + Z31*3*M31^4 + S31-O31/10000/$A$1</calculatedColumnFormula>
    </tableColumn>
    <tableColumn id="24" xr3:uid="{A5600CA1-1237-45DF-819B-A547BB5F520D}" name="ф5 *X" dataDxfId="3">
      <calculatedColumnFormula>H31/2/$A$1*(10^($H$2)*10^4)</calculatedColumnFormula>
    </tableColumn>
    <tableColumn id="25" xr3:uid="{F6E1346B-1754-44FB-973D-147E2D64844B}" name="ф6 *X^2" dataDxfId="2">
      <calculatedColumnFormula>J31/6/$A$1*(10^($J$2)*10^8)</calculatedColumnFormula>
    </tableColumn>
    <tableColumn id="26" xr3:uid="{3026EB22-F08A-4FE1-9FCD-7C7800243BE4}" name="ф7 *Х^3" dataDxfId="1">
      <calculatedColumnFormula>L31/12/$A$1*(10^($L$2)*10^12)</calculatedColumnFormula>
    </tableColumn>
    <tableColumn id="27" xr3:uid="{11A2DE53-255D-4121-A394-0C3C1F1883AB}" name=" Т         Тип" dataDxfId="0"/>
  </tableColumns>
  <tableStyleInfo name="TableStyleLight9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68E0B-3CE8-4236-9A42-413DE4BD3437}">
  <sheetPr codeName="Лист11">
    <tabColor rgb="FF00B050"/>
  </sheetPr>
  <dimension ref="A1:AD56"/>
  <sheetViews>
    <sheetView tabSelected="1" zoomScale="70" zoomScaleNormal="70" workbookViewId="0">
      <pane xSplit="4" ySplit="1" topLeftCell="S8" activePane="bottomRight" state="frozen"/>
      <selection pane="topRight" activeCell="E1" sqref="E1"/>
      <selection pane="bottomLeft" activeCell="A2" sqref="A2"/>
      <selection pane="bottomRight" activeCell="Y20" sqref="Y20"/>
    </sheetView>
  </sheetViews>
  <sheetFormatPr defaultRowHeight="21" outlineLevelCol="1" x14ac:dyDescent="0.35"/>
  <cols>
    <col min="1" max="1" width="7.36328125" style="1" customWidth="1"/>
    <col min="2" max="3" width="6.1796875" customWidth="1"/>
    <col min="4" max="4" width="2.6328125" style="3" customWidth="1"/>
    <col min="5" max="5" width="9.7265625" hidden="1" customWidth="1" outlineLevel="1"/>
    <col min="6" max="6" width="9.81640625" hidden="1" customWidth="1" outlineLevel="1"/>
    <col min="7" max="10" width="9.6328125" hidden="1" customWidth="1" outlineLevel="1"/>
    <col min="11" max="11" width="9.1796875" hidden="1" customWidth="1" outlineLevel="1"/>
    <col min="12" max="12" width="6.90625" hidden="1" customWidth="1" outlineLevel="1"/>
    <col min="13" max="14" width="2.6328125" hidden="1" customWidth="1" outlineLevel="1"/>
    <col min="15" max="16" width="11.6328125" style="2" hidden="1" customWidth="1" outlineLevel="1"/>
    <col min="17" max="18" width="7.6328125" style="2" hidden="1" customWidth="1" outlineLevel="1"/>
    <col min="19" max="19" width="10.1796875" style="51" customWidth="1" collapsed="1"/>
    <col min="20" max="21" width="10.1796875" style="51" customWidth="1"/>
    <col min="22" max="23" width="10.54296875" style="51" customWidth="1"/>
    <col min="24" max="26" width="10.1796875" style="51" customWidth="1"/>
    <col min="27" max="27" width="2.7265625" style="1" customWidth="1"/>
    <col min="28" max="31" width="9.6328125" customWidth="1"/>
  </cols>
  <sheetData>
    <row r="1" spans="1:30" s="20" customFormat="1" ht="22.5" thickTop="1" thickBot="1" x14ac:dyDescent="0.4">
      <c r="A1" s="27">
        <v>8.3145000000000007</v>
      </c>
      <c r="B1" s="22" t="s">
        <v>39</v>
      </c>
      <c r="C1" s="26" t="s">
        <v>38</v>
      </c>
      <c r="D1" s="25" t="s">
        <v>47</v>
      </c>
      <c r="E1" s="24" t="s">
        <v>36</v>
      </c>
      <c r="F1" s="22" t="s">
        <v>35</v>
      </c>
      <c r="G1" s="22" t="s">
        <v>34</v>
      </c>
      <c r="H1" s="22" t="s">
        <v>33</v>
      </c>
      <c r="I1" s="22" t="s">
        <v>32</v>
      </c>
      <c r="J1" s="22" t="s">
        <v>31</v>
      </c>
      <c r="K1" s="22" t="str">
        <f>"-3          e *T^(-3)"</f>
        <v>-3          e *T^(-3)</v>
      </c>
      <c r="L1" s="22" t="str">
        <f>" 3           f *T^3"</f>
        <v xml:space="preserve"> 3           f *T^3</v>
      </c>
      <c r="M1" s="22" t="s">
        <v>28</v>
      </c>
      <c r="N1" s="22" t="s">
        <v>27</v>
      </c>
      <c r="O1" s="23" t="s">
        <v>46</v>
      </c>
      <c r="P1" s="23" t="s">
        <v>45</v>
      </c>
      <c r="Q1" s="23" t="s">
        <v>44</v>
      </c>
      <c r="R1" s="23" t="s">
        <v>43</v>
      </c>
      <c r="S1" s="22" t="s">
        <v>22</v>
      </c>
      <c r="T1" s="22" t="s">
        <v>21</v>
      </c>
      <c r="U1" s="22" t="s">
        <v>20</v>
      </c>
      <c r="V1" s="22" t="s">
        <v>19</v>
      </c>
      <c r="W1" s="22" t="s">
        <v>18</v>
      </c>
      <c r="X1" s="22" t="s">
        <v>17</v>
      </c>
      <c r="Y1" s="22" t="s">
        <v>16</v>
      </c>
      <c r="Z1" s="22" t="s">
        <v>15</v>
      </c>
      <c r="AA1" s="21" t="s">
        <v>42</v>
      </c>
    </row>
    <row r="2" spans="1:30" s="18" customFormat="1" ht="22.5" thickTop="1" thickBot="1" x14ac:dyDescent="0.4">
      <c r="A2" s="28"/>
      <c r="B2" s="29"/>
      <c r="C2" s="29"/>
      <c r="D2" s="29"/>
      <c r="E2" s="29"/>
      <c r="F2" s="19" t="s">
        <v>41</v>
      </c>
      <c r="G2" s="19">
        <v>0</v>
      </c>
      <c r="H2" s="19">
        <v>-3</v>
      </c>
      <c r="I2" s="19">
        <v>5</v>
      </c>
      <c r="J2" s="19">
        <v>-6</v>
      </c>
      <c r="K2" s="19">
        <v>8</v>
      </c>
      <c r="L2" s="19">
        <v>-9</v>
      </c>
      <c r="M2" s="30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2"/>
    </row>
    <row r="3" spans="1:30" ht="21.75" thickTop="1" x14ac:dyDescent="0.35">
      <c r="A3" s="11" t="s">
        <v>8</v>
      </c>
      <c r="B3" s="10">
        <v>298.14999999999998</v>
      </c>
      <c r="C3" s="10">
        <v>1233</v>
      </c>
      <c r="D3" s="9" t="s">
        <v>1</v>
      </c>
      <c r="E3" s="8">
        <v>-158.99199999999999</v>
      </c>
      <c r="F3" s="8">
        <v>70.290999999999997</v>
      </c>
      <c r="G3" s="8">
        <v>44.643000000000001</v>
      </c>
      <c r="H3" s="8">
        <v>12.97</v>
      </c>
      <c r="I3" s="8">
        <v>0</v>
      </c>
      <c r="J3" s="8">
        <v>0</v>
      </c>
      <c r="K3" s="8">
        <v>0</v>
      </c>
      <c r="L3" s="8">
        <v>0</v>
      </c>
      <c r="M3" s="7">
        <f t="shared" ref="M3:N6" si="0">B3/10000</f>
        <v>2.9814999999999998E-2</v>
      </c>
      <c r="N3" s="7">
        <f t="shared" si="0"/>
        <v>0.12330000000000001</v>
      </c>
      <c r="O3" s="6">
        <f>E3*1000</f>
        <v>-158992</v>
      </c>
      <c r="P3" s="6">
        <f>10000*$A$1*(N3*U3-V3*2/N3+X3*N3^2+Y3*2*N3^3+Z3*3*N3^4-W3+S3)</f>
        <v>-107974.8911299125</v>
      </c>
      <c r="Q3" s="5">
        <f>F3</f>
        <v>70.290999999999997</v>
      </c>
      <c r="R3" s="5">
        <f>$A$1*(T3+U3+U3*LN(N3)-V3/N3^2+X3*2*N3+Y3*3*N3^2+Z3*4*N3^3)</f>
        <v>145.79159960461379</v>
      </c>
      <c r="S3" s="49">
        <f>SUM($E$3:E3)/$A$1/10</f>
        <v>-1.9122256299236269</v>
      </c>
      <c r="T3" s="50">
        <f>IF(D3="end","N/D",Q3/$A$1 - U3 - U3*LN(M3) + V3/(M3^2) - X3*2*M3 - Y3*3*M3^2 - Z3*4*M3^3)</f>
        <v>21.480595291716963</v>
      </c>
      <c r="U3" s="49">
        <f>G3*10^($G$2)/$A$1</f>
        <v>5.3692946058091282</v>
      </c>
      <c r="V3" s="50">
        <f>I3/(2*$A$1)*(10^($I$2)/10^8)</f>
        <v>0</v>
      </c>
      <c r="W3" s="49">
        <f>U3*M3 - V3*2/M3 + X3*M3^2 + Y3*2*M3^3 + Z3*3*M3^4 + S3-O3/10000/$A$1</f>
        <v>0.16701887419463035</v>
      </c>
      <c r="X3" s="50">
        <f>H3/2/$A$1*(10^($H$2)*10^4)</f>
        <v>7.799627157375669</v>
      </c>
      <c r="Y3" s="49">
        <f>J3/6/$A$1*(10^($J$2)*10^8)</f>
        <v>0</v>
      </c>
      <c r="Z3" s="50">
        <f>L3/12/$A$1*(10^($L$2)*10^12)</f>
        <v>0</v>
      </c>
      <c r="AA3" s="4" t="s">
        <v>0</v>
      </c>
    </row>
    <row r="4" spans="1:30" x14ac:dyDescent="0.35">
      <c r="A4" s="11"/>
      <c r="B4" s="10"/>
      <c r="C4" s="10"/>
      <c r="D4" s="9"/>
      <c r="E4" s="8"/>
      <c r="F4" s="8"/>
      <c r="G4" s="8"/>
      <c r="H4" s="8"/>
      <c r="I4" s="8"/>
      <c r="J4" s="8"/>
      <c r="K4" s="8"/>
      <c r="L4" s="8"/>
      <c r="M4" s="7">
        <f t="shared" si="0"/>
        <v>0</v>
      </c>
      <c r="N4" s="7">
        <f t="shared" si="0"/>
        <v>0</v>
      </c>
      <c r="O4" s="6">
        <f>P3+E4*1000</f>
        <v>-107974.8911299125</v>
      </c>
      <c r="P4" s="6" t="e">
        <f>10000*$A$1*(N4*U4-V4*2/N4+X4*N4^2+Y4*2*N4^3+Z4*3*N4^4-W4+S4)</f>
        <v>#DIV/0!</v>
      </c>
      <c r="Q4" s="5">
        <f>R3+F4</f>
        <v>145.79159960461379</v>
      </c>
      <c r="R4" s="5" t="e">
        <f>$A$1*(T4+U4+U4*LN(N4)-V4/N4^2+X4*2*N4+Y4*3*N4^2+Z4*4*N4^3)</f>
        <v>#NUM!</v>
      </c>
      <c r="S4" s="49">
        <f>SUM($E$3:E4)/$A$1/10</f>
        <v>-1.9122256299236269</v>
      </c>
      <c r="T4" s="50" t="e">
        <f>IF(D4="end","N/D",Q4/$A$1 - U4 - U4*LN(M4) + V4/(M4^2) - X4*2*M4 - Y4*3*M4^2 - Z4*4*M4^3)</f>
        <v>#NUM!</v>
      </c>
      <c r="U4" s="49">
        <f>G4*10^($G$2)/$A$1</f>
        <v>0</v>
      </c>
      <c r="V4" s="50">
        <f>I4/(2*$A$1)*(10^($I$2)/10^8)</f>
        <v>0</v>
      </c>
      <c r="W4" s="49" t="e">
        <f>U4*M4 - V4*2/M4 + X4*M4^2 + Y4*2*M4^3 + Z4*3*M4^4 + S4-O4/10000/$A$1</f>
        <v>#DIV/0!</v>
      </c>
      <c r="X4" s="50">
        <f>H4/2/$A$1*(10^($H$2)*10^4)</f>
        <v>0</v>
      </c>
      <c r="Y4" s="49">
        <f>J4/6/$A$1*(10^($J$2)*10^8)</f>
        <v>0</v>
      </c>
      <c r="Z4" s="50">
        <f>L4/12/$A$1*(10^($L$2)*10^12)</f>
        <v>0</v>
      </c>
      <c r="AA4" s="4" t="s">
        <v>0</v>
      </c>
    </row>
    <row r="5" spans="1:30" x14ac:dyDescent="0.35">
      <c r="A5" s="11"/>
      <c r="B5" s="10"/>
      <c r="C5" s="10"/>
      <c r="D5" s="9"/>
      <c r="E5" s="8"/>
      <c r="F5" s="8"/>
      <c r="G5" s="8"/>
      <c r="H5" s="8"/>
      <c r="I5" s="8"/>
      <c r="J5" s="8"/>
      <c r="K5" s="8"/>
      <c r="L5" s="8"/>
      <c r="M5" s="7">
        <f t="shared" si="0"/>
        <v>0</v>
      </c>
      <c r="N5" s="7">
        <f t="shared" si="0"/>
        <v>0</v>
      </c>
      <c r="O5" s="6" t="e">
        <f>P4+E5*1000</f>
        <v>#DIV/0!</v>
      </c>
      <c r="P5" s="6" t="e">
        <f>10000*$A$1*(N5*U5-V5*2/N5+X5*N5^2+Y5*2*N5^3+Z5*3*N5^4-W5+S5)</f>
        <v>#DIV/0!</v>
      </c>
      <c r="Q5" s="5" t="e">
        <f>R4+F5</f>
        <v>#NUM!</v>
      </c>
      <c r="R5" s="5" t="e">
        <f>$A$1*(T5+U5+U5*LN(N5)-V5/N5^2+X5*2*N5+Y5*3*N5^2+Z5*4*N5^3)</f>
        <v>#NUM!</v>
      </c>
      <c r="S5" s="49">
        <f>SUM($E$3:E5)/$A$1/10</f>
        <v>-1.9122256299236269</v>
      </c>
      <c r="T5" s="50" t="e">
        <f>IF(D5="end","N/D",Q5/$A$1 - U5 - U5*LN(M5) + V5/(M5^2) - X5*2*M5 - Y5*3*M5^2 - Z5*4*M5^3)</f>
        <v>#NUM!</v>
      </c>
      <c r="U5" s="49">
        <f>G5*10^($G$2)/$A$1</f>
        <v>0</v>
      </c>
      <c r="V5" s="50">
        <f>I5/(2*$A$1)*(10^($I$2)/10^8)</f>
        <v>0</v>
      </c>
      <c r="W5" s="49" t="e">
        <f>U5*M5 - V5*2/M5 + X5*M5^2 + Y5*2*M5^3 + Z5*3*M5^4 + S5-O5/10000/$A$1</f>
        <v>#DIV/0!</v>
      </c>
      <c r="X5" s="50">
        <f>H5/2/$A$1*(10^($H$2)*10^4)</f>
        <v>0</v>
      </c>
      <c r="Y5" s="49">
        <f>J5/6/$A$1*(10^($J$2)*10^8)</f>
        <v>0</v>
      </c>
      <c r="Z5" s="50">
        <f>L5/12/$A$1*(10^($L$2)*10^12)</f>
        <v>0</v>
      </c>
      <c r="AA5" s="4" t="s">
        <v>0</v>
      </c>
    </row>
    <row r="6" spans="1:30" x14ac:dyDescent="0.35">
      <c r="A6" s="11"/>
      <c r="B6" s="10"/>
      <c r="C6" s="10"/>
      <c r="D6" s="9"/>
      <c r="E6" s="8"/>
      <c r="F6" s="8"/>
      <c r="G6" s="8"/>
      <c r="H6" s="8"/>
      <c r="I6" s="8"/>
      <c r="J6" s="8"/>
      <c r="K6" s="8"/>
      <c r="L6" s="8"/>
      <c r="M6" s="7">
        <f t="shared" si="0"/>
        <v>0</v>
      </c>
      <c r="N6" s="7">
        <f t="shared" si="0"/>
        <v>0</v>
      </c>
      <c r="O6" s="6" t="e">
        <f>P5+E6*1000</f>
        <v>#DIV/0!</v>
      </c>
      <c r="P6" s="6" t="e">
        <f>10000*$A$1*(N6*U6-V6*2/N6+X6*N6^2+Y6*2*N6^3+Z6*3*N6^4-W6+S6)</f>
        <v>#DIV/0!</v>
      </c>
      <c r="Q6" s="5" t="e">
        <f>R5+F6</f>
        <v>#NUM!</v>
      </c>
      <c r="R6" s="5" t="e">
        <f>$A$1*(T6+U6+U6*LN(N6)-V6/N6^2+X6*2*N6+Y6*3*N6^2+Z6*4*N6^3)</f>
        <v>#NUM!</v>
      </c>
      <c r="S6" s="49">
        <f>SUM($E$3:E6)/$A$1/10</f>
        <v>-1.9122256299236269</v>
      </c>
      <c r="T6" s="50" t="e">
        <f>IF(D6="end","N/D",Q6/$A$1 - U6 - U6*LN(M6) + V6/(M6^2) - X6*2*M6 - Y6*3*M6^2 - Z6*4*M6^3)</f>
        <v>#NUM!</v>
      </c>
      <c r="U6" s="49">
        <f>G6*10^($G$2)/$A$1</f>
        <v>0</v>
      </c>
      <c r="V6" s="50">
        <f>I6/(2*$A$1)*(10^($I$2)/10^8)</f>
        <v>0</v>
      </c>
      <c r="W6" s="49" t="e">
        <f>U6*M6 - V6*2/M6 + X6*M6^2 + Y6*2*M6^3 + Z6*3*M6^4 + S6-O6/10000/$A$1</f>
        <v>#DIV/0!</v>
      </c>
      <c r="X6" s="50">
        <f>H6/2/$A$1*(10^($H$2)*10^4)</f>
        <v>0</v>
      </c>
      <c r="Y6" s="49">
        <f>J6/6/$A$1*(10^($J$2)*10^8)</f>
        <v>0</v>
      </c>
      <c r="Z6" s="50">
        <f>L6/12/$A$1*(10^($L$2)*10^12)</f>
        <v>0</v>
      </c>
      <c r="AA6" s="4" t="s">
        <v>0</v>
      </c>
    </row>
    <row r="7" spans="1:30" x14ac:dyDescent="0.35">
      <c r="A7" s="11"/>
      <c r="B7" s="10"/>
      <c r="C7" s="10"/>
      <c r="D7" s="9"/>
      <c r="E7" s="8"/>
      <c r="F7" s="8"/>
      <c r="G7" s="8"/>
      <c r="H7" s="8"/>
      <c r="I7" s="8"/>
      <c r="J7" s="8"/>
      <c r="K7" s="8"/>
      <c r="L7" s="8"/>
      <c r="M7" s="7">
        <f>B7/10000</f>
        <v>0</v>
      </c>
      <c r="N7" s="7">
        <f>C7/10000</f>
        <v>0</v>
      </c>
      <c r="O7" s="6" t="e">
        <f>P6+E7*1000</f>
        <v>#DIV/0!</v>
      </c>
      <c r="P7" s="6" t="e">
        <f>10000*$A$1*(N7*U7-V7*2/N7+X7*N7^2+Y7*2*N7^3+Z7*3*N7^4-W7+S7)</f>
        <v>#DIV/0!</v>
      </c>
      <c r="Q7" s="5" t="e">
        <f>R6+F7</f>
        <v>#NUM!</v>
      </c>
      <c r="R7" s="5" t="e">
        <f>$A$1*(T7+U7+U7*LN(N7)-V7/N7^2+X7*2*N7+Y7*3*N7^2+Z7*4*N7^3)</f>
        <v>#NUM!</v>
      </c>
      <c r="S7" s="49">
        <f>SUM($E$3:E7)/$A$1/10</f>
        <v>-1.9122256299236269</v>
      </c>
      <c r="T7" s="50" t="e">
        <f>IF(D7="end","N/D",Q7/$A$1 - U7 - U7*LN(M7) + V7/(M7^2) - X7*2*M7 - Y7*3*M7^2 - Z7*4*M7^3)</f>
        <v>#NUM!</v>
      </c>
      <c r="U7" s="49">
        <f>G7*10^($G$2)/$A$1</f>
        <v>0</v>
      </c>
      <c r="V7" s="50">
        <f>I7/(2*$A$1)*(10^($I$2)/10^8)</f>
        <v>0</v>
      </c>
      <c r="W7" s="49" t="e">
        <f>U7*M7 - V7*2/M7 + X7*M7^2 + Y7*2*M7^3 + Z7*3*M7^4 + S7-O7/10000/$A$1</f>
        <v>#DIV/0!</v>
      </c>
      <c r="X7" s="50">
        <f>H7/2/$A$1*(10^($H$2)*10^4)</f>
        <v>0</v>
      </c>
      <c r="Y7" s="49">
        <f>J7/6/$A$1*(10^($J$2)*10^8)</f>
        <v>0</v>
      </c>
      <c r="Z7" s="50">
        <f>L7/12/$A$1*(10^($L$2)*10^12)</f>
        <v>0</v>
      </c>
      <c r="AA7" s="4" t="s">
        <v>0</v>
      </c>
    </row>
    <row r="8" spans="1:30" x14ac:dyDescent="0.35">
      <c r="A8"/>
      <c r="O8" s="17"/>
      <c r="P8" s="17"/>
      <c r="Q8" s="17"/>
      <c r="AA8"/>
    </row>
    <row r="9" spans="1:30" x14ac:dyDescent="0.35">
      <c r="A9"/>
      <c r="E9">
        <v>298.14999999999998</v>
      </c>
      <c r="F9">
        <v>298.14999999999998</v>
      </c>
      <c r="G9">
        <v>1233</v>
      </c>
      <c r="H9" t="s">
        <v>1</v>
      </c>
      <c r="I9">
        <v>-158.99199999999999</v>
      </c>
      <c r="J9">
        <v>70.290999999999997</v>
      </c>
      <c r="K9">
        <v>44.643000000000001</v>
      </c>
      <c r="L9">
        <v>12.97</v>
      </c>
      <c r="M9">
        <v>0</v>
      </c>
      <c r="N9">
        <v>0</v>
      </c>
      <c r="O9">
        <v>0</v>
      </c>
      <c r="P9" s="14">
        <v>0</v>
      </c>
      <c r="Q9" s="17"/>
      <c r="AA9"/>
    </row>
    <row r="10" spans="1:30" x14ac:dyDescent="0.35">
      <c r="A10"/>
      <c r="E10">
        <v>1233</v>
      </c>
      <c r="O10" s="14"/>
      <c r="P10" s="14"/>
      <c r="AA10" s="51"/>
      <c r="AB10" s="51"/>
      <c r="AC10" s="51"/>
      <c r="AD10" s="51"/>
    </row>
    <row r="11" spans="1:30" x14ac:dyDescent="0.35">
      <c r="A11"/>
      <c r="E11" t="s">
        <v>1</v>
      </c>
      <c r="AA11"/>
    </row>
    <row r="12" spans="1:30" x14ac:dyDescent="0.35">
      <c r="A12"/>
      <c r="E12">
        <v>-158.99199999999999</v>
      </c>
      <c r="AA12"/>
    </row>
    <row r="13" spans="1:30" x14ac:dyDescent="0.35">
      <c r="A13"/>
      <c r="E13">
        <v>70.290999999999997</v>
      </c>
      <c r="K13" s="14"/>
      <c r="L13" s="14"/>
      <c r="M13" s="14"/>
      <c r="AA13"/>
    </row>
    <row r="14" spans="1:30" x14ac:dyDescent="0.35">
      <c r="A14"/>
      <c r="E14">
        <v>44.643000000000001</v>
      </c>
      <c r="K14" s="14"/>
      <c r="L14" s="14"/>
      <c r="M14" s="14"/>
      <c r="AA14"/>
    </row>
    <row r="15" spans="1:30" x14ac:dyDescent="0.35">
      <c r="A15"/>
      <c r="E15">
        <v>12.97</v>
      </c>
      <c r="K15" s="14"/>
      <c r="L15" s="14"/>
      <c r="M15" s="14"/>
      <c r="AA15"/>
    </row>
    <row r="16" spans="1:30" x14ac:dyDescent="0.35">
      <c r="A16" s="14"/>
      <c r="E16">
        <v>0</v>
      </c>
      <c r="K16" s="14"/>
      <c r="L16" s="14"/>
      <c r="M16" s="14"/>
      <c r="AA16"/>
    </row>
    <row r="17" spans="1:27" x14ac:dyDescent="0.35">
      <c r="A17" s="14"/>
      <c r="B17" s="14"/>
      <c r="E17">
        <v>0</v>
      </c>
      <c r="K17" s="14"/>
      <c r="L17" s="14"/>
      <c r="M17" s="14"/>
    </row>
    <row r="18" spans="1:27" x14ac:dyDescent="0.35">
      <c r="A18" s="14"/>
      <c r="B18" s="14"/>
      <c r="E18">
        <v>0</v>
      </c>
      <c r="K18" s="14"/>
      <c r="L18" s="14"/>
      <c r="M18" s="14"/>
    </row>
    <row r="19" spans="1:27" x14ac:dyDescent="0.35">
      <c r="B19" s="14"/>
      <c r="C19" s="14"/>
      <c r="D19" s="15"/>
      <c r="E19" s="14">
        <v>0</v>
      </c>
      <c r="F19" s="14"/>
      <c r="G19" s="14"/>
      <c r="H19" s="14"/>
      <c r="I19" s="14"/>
      <c r="J19" s="14"/>
      <c r="K19" s="14"/>
      <c r="L19" s="14"/>
    </row>
    <row r="20" spans="1:27" x14ac:dyDescent="0.35">
      <c r="A20" s="16"/>
      <c r="B20" s="14"/>
      <c r="C20" s="14"/>
      <c r="D20" s="15"/>
      <c r="E20" s="14"/>
      <c r="F20" s="14"/>
      <c r="G20" s="14"/>
      <c r="H20" s="16"/>
      <c r="I20" s="16"/>
      <c r="J20" s="14"/>
      <c r="K20" s="14"/>
      <c r="L20" s="14"/>
    </row>
    <row r="21" spans="1:27" x14ac:dyDescent="0.35">
      <c r="A21" s="14"/>
      <c r="B21" s="14"/>
      <c r="C21" s="14"/>
      <c r="D21" s="15"/>
      <c r="E21" s="14"/>
      <c r="F21" s="14"/>
      <c r="G21" s="14"/>
      <c r="H21" s="14"/>
      <c r="I21" s="14"/>
      <c r="J21" s="14"/>
      <c r="K21" s="14"/>
      <c r="L21" s="14"/>
    </row>
    <row r="22" spans="1:27" x14ac:dyDescent="0.35">
      <c r="A22" s="14"/>
      <c r="B22" s="14"/>
      <c r="C22" s="14"/>
      <c r="D22" s="15"/>
      <c r="E22" s="14"/>
      <c r="F22" s="14"/>
      <c r="G22" s="14"/>
      <c r="H22" s="14"/>
      <c r="I22" s="14"/>
      <c r="J22" s="14"/>
      <c r="K22" s="14"/>
      <c r="L22" s="14"/>
    </row>
    <row r="23" spans="1:27" x14ac:dyDescent="0.35">
      <c r="A23" s="14"/>
      <c r="B23" s="14"/>
      <c r="C23" s="14"/>
      <c r="D23" s="15"/>
      <c r="E23" s="14"/>
      <c r="F23" s="14"/>
      <c r="G23" s="14"/>
      <c r="H23" s="14"/>
      <c r="I23" s="14"/>
      <c r="J23" s="14"/>
      <c r="K23" s="14"/>
      <c r="L23" s="14"/>
    </row>
    <row r="24" spans="1:27" x14ac:dyDescent="0.35">
      <c r="A24" s="14"/>
      <c r="B24" s="14"/>
      <c r="C24" s="14"/>
      <c r="D24" s="15"/>
      <c r="E24" s="14"/>
      <c r="F24" s="14"/>
      <c r="G24" s="14"/>
      <c r="H24" s="14"/>
      <c r="I24" s="14"/>
      <c r="J24" s="14"/>
      <c r="K24" s="14"/>
      <c r="L24" s="14"/>
    </row>
    <row r="25" spans="1:27" x14ac:dyDescent="0.35">
      <c r="A25" s="14"/>
      <c r="B25" s="14"/>
      <c r="C25" s="14"/>
      <c r="D25" s="15"/>
      <c r="E25" s="14"/>
      <c r="F25" s="14"/>
      <c r="G25" s="14"/>
      <c r="H25" s="14"/>
      <c r="I25" s="14"/>
      <c r="J25" s="14"/>
      <c r="K25" s="14"/>
      <c r="L25" s="14"/>
    </row>
    <row r="26" spans="1:27" x14ac:dyDescent="0.35">
      <c r="A26" s="14"/>
      <c r="B26" s="14"/>
      <c r="C26" s="14"/>
      <c r="D26" s="15"/>
      <c r="E26" s="14"/>
      <c r="F26" s="14"/>
      <c r="G26" s="14"/>
      <c r="H26" s="14"/>
      <c r="I26" s="14"/>
      <c r="J26" s="14"/>
      <c r="K26" s="14"/>
      <c r="L26" s="14"/>
    </row>
    <row r="27" spans="1:27" x14ac:dyDescent="0.35">
      <c r="A27" s="14"/>
      <c r="B27" s="14"/>
      <c r="C27" s="14"/>
      <c r="D27" s="15"/>
      <c r="E27" s="14"/>
      <c r="F27" s="14"/>
      <c r="G27" s="14"/>
      <c r="H27" s="14"/>
      <c r="I27" s="14"/>
      <c r="J27" s="14"/>
      <c r="K27" s="14"/>
      <c r="L27" s="14"/>
    </row>
    <row r="28" spans="1:27" x14ac:dyDescent="0.35">
      <c r="A28" s="14"/>
      <c r="B28" s="14"/>
      <c r="C28" s="14"/>
      <c r="D28" s="15"/>
      <c r="E28" s="14"/>
      <c r="F28" s="14"/>
      <c r="G28" s="14"/>
      <c r="H28" s="14"/>
      <c r="I28" s="14"/>
      <c r="J28" s="14"/>
      <c r="K28" s="14"/>
      <c r="L28" s="14"/>
    </row>
    <row r="29" spans="1:27" ht="23.25" x14ac:dyDescent="0.35">
      <c r="A29" s="33"/>
      <c r="B29" s="33"/>
      <c r="C29" s="33"/>
      <c r="D29" s="34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5"/>
      <c r="P29" s="35"/>
      <c r="Q29" s="35"/>
      <c r="R29" s="35"/>
      <c r="S29" s="52"/>
      <c r="T29" s="52"/>
      <c r="U29" s="52"/>
      <c r="V29" s="52"/>
      <c r="W29" s="52"/>
      <c r="X29" s="52"/>
      <c r="Y29" s="52"/>
      <c r="Z29" s="52"/>
    </row>
    <row r="30" spans="1:27" s="12" customFormat="1" ht="24.75" hidden="1" thickTop="1" thickBot="1" x14ac:dyDescent="0.4">
      <c r="A30" s="36" t="s">
        <v>40</v>
      </c>
      <c r="B30" s="37" t="s">
        <v>39</v>
      </c>
      <c r="C30" s="38" t="s">
        <v>38</v>
      </c>
      <c r="D30" s="39" t="s">
        <v>37</v>
      </c>
      <c r="E30" s="40" t="s">
        <v>36</v>
      </c>
      <c r="F30" s="37" t="s">
        <v>35</v>
      </c>
      <c r="G30" s="37" t="s">
        <v>34</v>
      </c>
      <c r="H30" s="37" t="s">
        <v>33</v>
      </c>
      <c r="I30" s="37" t="s">
        <v>32</v>
      </c>
      <c r="J30" s="37" t="s">
        <v>31</v>
      </c>
      <c r="K30" s="37" t="s">
        <v>30</v>
      </c>
      <c r="L30" s="37" t="s">
        <v>29</v>
      </c>
      <c r="M30" s="37" t="s">
        <v>28</v>
      </c>
      <c r="N30" s="37" t="s">
        <v>27</v>
      </c>
      <c r="O30" s="41" t="s">
        <v>26</v>
      </c>
      <c r="P30" s="41" t="s">
        <v>25</v>
      </c>
      <c r="Q30" s="41" t="s">
        <v>24</v>
      </c>
      <c r="R30" s="41" t="s">
        <v>23</v>
      </c>
      <c r="S30" s="53" t="s">
        <v>22</v>
      </c>
      <c r="T30" s="53" t="s">
        <v>21</v>
      </c>
      <c r="U30" s="53" t="s">
        <v>20</v>
      </c>
      <c r="V30" s="53" t="s">
        <v>19</v>
      </c>
      <c r="W30" s="53" t="s">
        <v>18</v>
      </c>
      <c r="X30" s="53" t="s">
        <v>17</v>
      </c>
      <c r="Y30" s="53" t="s">
        <v>16</v>
      </c>
      <c r="Z30" s="54" t="s">
        <v>15</v>
      </c>
      <c r="AA30" s="13" t="s">
        <v>14</v>
      </c>
    </row>
    <row r="31" spans="1:27" ht="23.25" hidden="1" x14ac:dyDescent="0.35">
      <c r="A31" s="57" t="s">
        <v>13</v>
      </c>
      <c r="B31" s="58">
        <v>298.14999999999998</v>
      </c>
      <c r="C31" s="58">
        <v>302.91000000000003</v>
      </c>
      <c r="D31" s="59" t="s">
        <v>1</v>
      </c>
      <c r="E31" s="45">
        <v>0</v>
      </c>
      <c r="F31" s="45">
        <v>40.726999999999997</v>
      </c>
      <c r="G31" s="45">
        <v>-385.053</v>
      </c>
      <c r="H31" s="45">
        <v>1732.9169999999999</v>
      </c>
      <c r="I31" s="45">
        <v>65.540999999999997</v>
      </c>
      <c r="J31" s="45">
        <v>-2016.1869999999999</v>
      </c>
      <c r="K31" s="45">
        <v>0</v>
      </c>
      <c r="L31" s="45">
        <v>0</v>
      </c>
      <c r="M31" s="46">
        <v>2.9814999999999998E-2</v>
      </c>
      <c r="N31" s="46">
        <v>3.0291000000000002E-2</v>
      </c>
      <c r="O31" s="47">
        <v>0</v>
      </c>
      <c r="P31" s="47">
        <v>124.75698787267221</v>
      </c>
      <c r="Q31" s="48">
        <v>40.726999999999997</v>
      </c>
      <c r="R31" s="48">
        <v>41.142128128570683</v>
      </c>
      <c r="S31" s="60">
        <v>0</v>
      </c>
      <c r="T31" s="60">
        <v>-158.39844524532509</v>
      </c>
      <c r="U31" s="60">
        <v>-46.311022911780618</v>
      </c>
      <c r="V31" s="60">
        <v>3.9413674905285946E-3</v>
      </c>
      <c r="W31" s="60">
        <v>-0.93301705784567912</v>
      </c>
      <c r="X31" s="60">
        <v>1042.105358109327</v>
      </c>
      <c r="Y31" s="60">
        <v>-4041.5078076452774</v>
      </c>
      <c r="Z31" s="60">
        <v>0</v>
      </c>
      <c r="AA31" s="4" t="s">
        <v>0</v>
      </c>
    </row>
    <row r="32" spans="1:27" ht="23.25" hidden="1" x14ac:dyDescent="0.35">
      <c r="A32" s="42" t="s">
        <v>13</v>
      </c>
      <c r="B32" s="43">
        <v>302.91000000000003</v>
      </c>
      <c r="C32" s="43">
        <v>700</v>
      </c>
      <c r="D32" s="44" t="s">
        <v>5</v>
      </c>
      <c r="E32" s="45">
        <v>5.59</v>
      </c>
      <c r="F32" s="45">
        <v>18.454000000000001</v>
      </c>
      <c r="G32" s="45">
        <v>26.071000000000002</v>
      </c>
      <c r="H32" s="45">
        <v>-0.307</v>
      </c>
      <c r="I32" s="45">
        <v>2.3660000000000001</v>
      </c>
      <c r="J32" s="45">
        <v>0.246</v>
      </c>
      <c r="K32" s="45">
        <v>0</v>
      </c>
      <c r="L32" s="45">
        <v>0</v>
      </c>
      <c r="M32" s="46">
        <v>3.0291000000000002E-2</v>
      </c>
      <c r="N32" s="46">
        <v>7.0000000000000007E-2</v>
      </c>
      <c r="O32" s="47">
        <v>5714.7569878726727</v>
      </c>
      <c r="P32" s="47">
        <v>16475.096727126416</v>
      </c>
      <c r="Q32" s="48">
        <v>59.596128128570683</v>
      </c>
      <c r="R32" s="48">
        <v>82.409320091077461</v>
      </c>
      <c r="S32" s="55">
        <v>6.7231944193878151E-2</v>
      </c>
      <c r="T32" s="56">
        <v>15.161939633818086</v>
      </c>
      <c r="U32" s="55">
        <v>3.1356064706236091</v>
      </c>
      <c r="V32" s="56">
        <v>1.4228155631727706E-4</v>
      </c>
      <c r="W32" s="55">
        <v>8.3943884453347564E-2</v>
      </c>
      <c r="X32" s="56">
        <v>-0.18461723495098922</v>
      </c>
      <c r="Y32" s="55">
        <v>0.49311443863130677</v>
      </c>
      <c r="Z32" s="56">
        <v>0</v>
      </c>
      <c r="AA32" s="4" t="s">
        <v>0</v>
      </c>
    </row>
    <row r="33" spans="1:27" ht="23.25" hidden="1" x14ac:dyDescent="0.35">
      <c r="A33" s="42" t="s">
        <v>13</v>
      </c>
      <c r="B33" s="43">
        <v>700</v>
      </c>
      <c r="C33" s="43">
        <v>4000</v>
      </c>
      <c r="D33" s="44" t="s">
        <v>5</v>
      </c>
      <c r="E33" s="45">
        <v>0</v>
      </c>
      <c r="F33" s="45">
        <v>0</v>
      </c>
      <c r="G33" s="45">
        <v>26.068999999999999</v>
      </c>
      <c r="H33" s="45">
        <v>-0.30099999999999999</v>
      </c>
      <c r="I33" s="45">
        <v>2.37</v>
      </c>
      <c r="J33" s="45">
        <v>0.24099999999999999</v>
      </c>
      <c r="K33" s="45">
        <v>0</v>
      </c>
      <c r="L33" s="45">
        <v>0</v>
      </c>
      <c r="M33" s="46">
        <v>7.0000000000000007E-2</v>
      </c>
      <c r="N33" s="46">
        <v>0.4</v>
      </c>
      <c r="O33" s="47">
        <v>16475.096727126416</v>
      </c>
      <c r="P33" s="47">
        <v>105561.64215569783</v>
      </c>
      <c r="Q33" s="48">
        <v>82.409320091077461</v>
      </c>
      <c r="R33" s="48">
        <v>128.9568723893446</v>
      </c>
      <c r="S33" s="55">
        <v>6.7231944193878151E-2</v>
      </c>
      <c r="T33" s="56">
        <v>15.161231791276917</v>
      </c>
      <c r="U33" s="55">
        <v>3.1353659269950085</v>
      </c>
      <c r="V33" s="56">
        <v>1.4252209994587768E-4</v>
      </c>
      <c r="W33" s="55">
        <v>8.3930978142227303E-2</v>
      </c>
      <c r="X33" s="56">
        <v>-0.18100908052197964</v>
      </c>
      <c r="Y33" s="55">
        <v>0.48309178743961351</v>
      </c>
      <c r="Z33" s="56">
        <v>0</v>
      </c>
      <c r="AA33" s="4" t="s">
        <v>0</v>
      </c>
    </row>
    <row r="34" spans="1:27" ht="23.25" hidden="1" x14ac:dyDescent="0.35">
      <c r="A34" s="42" t="s">
        <v>13</v>
      </c>
      <c r="B34" s="43">
        <v>100</v>
      </c>
      <c r="C34" s="43">
        <v>298.14999999999998</v>
      </c>
      <c r="D34" s="44" t="s">
        <v>12</v>
      </c>
      <c r="E34" s="45">
        <v>272</v>
      </c>
      <c r="F34" s="45">
        <v>169.042</v>
      </c>
      <c r="G34" s="45">
        <v>10.333</v>
      </c>
      <c r="H34" s="45">
        <v>69.971999999999994</v>
      </c>
      <c r="I34" s="45">
        <v>0.41799999999999998</v>
      </c>
      <c r="J34" s="45">
        <v>-72.948999999999998</v>
      </c>
      <c r="K34" s="45">
        <v>0</v>
      </c>
      <c r="L34" s="45">
        <v>0</v>
      </c>
      <c r="M34" s="46">
        <f t="shared" ref="M34:N38" si="1">B34/10000</f>
        <v>0.01</v>
      </c>
      <c r="N34" s="46">
        <f t="shared" si="1"/>
        <v>2.9814999999999998E-2</v>
      </c>
      <c r="O34" s="47">
        <f>E34*1000</f>
        <v>272000</v>
      </c>
      <c r="P34" s="47">
        <f>10000*$A$1*(N34*U34-V34*2/N34+X34*N34^2+Y34*2*N34^3+Z34*3*N34^4-W34+S34)</f>
        <v>276465.29793802486</v>
      </c>
      <c r="Q34" s="48">
        <f>F34</f>
        <v>169.042</v>
      </c>
      <c r="R34" s="48">
        <f>$A$1*(T34+U34+U34*LN(N34)-V34/N34^2+X34*2*N34+Y34*3*N34^2+Z34*4*N34^3)</f>
        <v>193.17228398268267</v>
      </c>
      <c r="S34" s="55">
        <f>SUM($E$3:E34)/$A$1/10</f>
        <v>19.467917493535388</v>
      </c>
      <c r="T34" s="56">
        <f>IF(D34="end","N/D",Q34/$A$1 - U34 - U34*LN(M34) + V34/(M34^2) - X34*2*M34 - Y34*3*M34^2 - Z34*4*M34^3)</f>
        <v>24.265051239619336</v>
      </c>
      <c r="U34" s="55">
        <f>G34*10^($G$2)/$A$1</f>
        <v>1.2427686571651932</v>
      </c>
      <c r="V34" s="56">
        <f>I34/(2*$A$1)*(10^($I$2)/10^8)</f>
        <v>2.5136809188766609E-5</v>
      </c>
      <c r="W34" s="55">
        <f>U34*M34 - V34*2/M34 + X34*M34^2 + Y34*2*M34^3 + Z34*3*M34^4 + S34-O34/10000/$A$1</f>
        <v>16.207839842043015</v>
      </c>
      <c r="X34" s="56">
        <f t="shared" ref="X34:X38" si="2">H34/2/$A$1*(10^($H$2)*10^4)</f>
        <v>42.078296951109508</v>
      </c>
      <c r="Y34" s="55">
        <f t="shared" ref="Y34:Y38" si="3">J34/6/$A$1*(10^($J$2)*10^8)</f>
        <v>-146.22847635656581</v>
      </c>
      <c r="Z34" s="56">
        <f t="shared" ref="Z34:Z38" si="4">L34/12/$A$1*(10^($L$2)*10^12)</f>
        <v>0</v>
      </c>
      <c r="AA34" s="4" t="s">
        <v>0</v>
      </c>
    </row>
    <row r="35" spans="1:27" ht="23.25" hidden="1" x14ac:dyDescent="0.35">
      <c r="A35" s="42" t="s">
        <v>13</v>
      </c>
      <c r="B35" s="43">
        <v>298.14999999999998</v>
      </c>
      <c r="C35" s="43">
        <v>700</v>
      </c>
      <c r="D35" s="44" t="s">
        <v>12</v>
      </c>
      <c r="E35" s="45">
        <v>0</v>
      </c>
      <c r="F35" s="45">
        <v>0</v>
      </c>
      <c r="G35" s="45">
        <v>38.252000000000002</v>
      </c>
      <c r="H35" s="45">
        <v>-19.521999999999998</v>
      </c>
      <c r="I35" s="45">
        <v>-6.6580000000000004</v>
      </c>
      <c r="J35" s="45">
        <v>4.476</v>
      </c>
      <c r="K35" s="45">
        <v>0</v>
      </c>
      <c r="L35" s="45">
        <v>0</v>
      </c>
      <c r="M35" s="46">
        <f t="shared" si="1"/>
        <v>2.9814999999999998E-2</v>
      </c>
      <c r="N35" s="46">
        <f t="shared" si="1"/>
        <v>7.0000000000000007E-2</v>
      </c>
      <c r="O35" s="47">
        <f>P34+E35*1000</f>
        <v>276465.29793802486</v>
      </c>
      <c r="P35" s="47">
        <f>10000*$A$1*(N35*U35-V35*2/N35+X35*N35^2+Y35*2*N35^3+Z35*3*N35^4-W35+S35)</f>
        <v>287111.91421769373</v>
      </c>
      <c r="Q35" s="48">
        <f>R34+F35</f>
        <v>193.17228398268267</v>
      </c>
      <c r="R35" s="48">
        <f>$A$1*(T35+U35+U35*LN(N35)-V35/N35^2+X35*2*N35+Y35*3*N35^2+Z35*4*N35^3)</f>
        <v>215.80695397369695</v>
      </c>
      <c r="S35" s="55">
        <f>SUM($E$3:E35)/$A$1/10</f>
        <v>19.467917493535388</v>
      </c>
      <c r="T35" s="56">
        <f>IF(D35="end","N/D",Q35/$A$1 - U35 - U35*LN(M35) + V35/(M35^2) - X35*2*M35 - Y35*3*M35^2 - Z35*4*M35^3)</f>
        <v>35.019106518894404</v>
      </c>
      <c r="U35" s="55">
        <f>G35*10^($G$2)/$A$1</f>
        <v>4.6006374406157917</v>
      </c>
      <c r="V35" s="56">
        <f>I35/(2*$A$1)*(10^($I$2)/10^8)</f>
        <v>-4.0038486980576099E-4</v>
      </c>
      <c r="W35" s="55">
        <f>U35*M35 - V35*2/M35 + X35*M35^2 + Y35*2*M35^3 + Z35*3*M35^4 + S35-O35/10000/$A$1</f>
        <v>16.296884895537303</v>
      </c>
      <c r="X35" s="56">
        <f t="shared" si="2"/>
        <v>-11.739731793854109</v>
      </c>
      <c r="Y35" s="55">
        <f t="shared" si="3"/>
        <v>8.9722773468037751</v>
      </c>
      <c r="Z35" s="56">
        <f t="shared" si="4"/>
        <v>0</v>
      </c>
      <c r="AA35" s="4" t="s">
        <v>0</v>
      </c>
    </row>
    <row r="36" spans="1:27" ht="23.25" hidden="1" x14ac:dyDescent="0.35">
      <c r="A36" s="42" t="s">
        <v>13</v>
      </c>
      <c r="B36" s="43">
        <v>700</v>
      </c>
      <c r="C36" s="43">
        <v>1400</v>
      </c>
      <c r="D36" s="44" t="s">
        <v>12</v>
      </c>
      <c r="E36" s="45">
        <v>0</v>
      </c>
      <c r="F36" s="45">
        <v>0</v>
      </c>
      <c r="G36" s="45">
        <v>30.738</v>
      </c>
      <c r="H36" s="45">
        <v>-10.738</v>
      </c>
      <c r="I36" s="45">
        <v>3.0350000000000001</v>
      </c>
      <c r="J36" s="45">
        <v>3.2719999999999998</v>
      </c>
      <c r="K36" s="45">
        <v>0</v>
      </c>
      <c r="L36" s="45">
        <v>0</v>
      </c>
      <c r="M36" s="46">
        <f t="shared" si="1"/>
        <v>7.0000000000000007E-2</v>
      </c>
      <c r="N36" s="46">
        <f t="shared" si="1"/>
        <v>0.14000000000000001</v>
      </c>
      <c r="O36" s="47">
        <f>P35+E36*1000</f>
        <v>287111.91421769373</v>
      </c>
      <c r="P36" s="47">
        <f>10000*$A$1*(N36*U36-V36*2/N36+X36*N36^2+Y36*2*N36^3+Z36*3*N36^4-W36+S36)</f>
        <v>303571.56059864617</v>
      </c>
      <c r="Q36" s="48">
        <f>R35+F36</f>
        <v>215.80695397369695</v>
      </c>
      <c r="R36" s="48">
        <f>$A$1*(T36+U36+U36*LN(N36)-V36/N36^2+X36*2*N36+Y36*3*N36^2+Z36*4*N36^3)</f>
        <v>232.23350241791178</v>
      </c>
      <c r="S36" s="55">
        <f>SUM($E$3:E36)/$A$1/10</f>
        <v>19.467917493535388</v>
      </c>
      <c r="T36" s="56">
        <f>IF(D36="end","N/D",Q36/$A$1 - U36 - U36*LN(M36) + V36/(M36^2) - X36*2*M36 - Y36*3*M36^2 - Z36*4*M36^3)</f>
        <v>32.934505125562289</v>
      </c>
      <c r="U36" s="55">
        <f>G36*10^($G$2)/$A$1</f>
        <v>3.6969150279631964</v>
      </c>
      <c r="V36" s="56">
        <f>I36/(2*$A$1)*(10^($I$2)/10^8)</f>
        <v>1.8251247820073367E-4</v>
      </c>
      <c r="W36" s="55">
        <f>U36*M36 - V36*2/M36 + X36*M36^2 + Y36*2*M36^3 + Z36*3*M36^4 + S36-O36/10000/$A$1</f>
        <v>16.241197943597346</v>
      </c>
      <c r="X36" s="56">
        <f t="shared" si="2"/>
        <v>-6.4573937097841121</v>
      </c>
      <c r="Y36" s="55">
        <f t="shared" si="3"/>
        <v>6.5588229398440472</v>
      </c>
      <c r="Z36" s="56">
        <f t="shared" si="4"/>
        <v>0</v>
      </c>
      <c r="AA36" s="4" t="s">
        <v>0</v>
      </c>
    </row>
    <row r="37" spans="1:27" ht="23.25" hidden="1" x14ac:dyDescent="0.35">
      <c r="A37" s="42" t="s">
        <v>13</v>
      </c>
      <c r="B37" s="43">
        <v>1400</v>
      </c>
      <c r="C37" s="43">
        <v>6000</v>
      </c>
      <c r="D37" s="44" t="s">
        <v>12</v>
      </c>
      <c r="E37" s="45">
        <v>0</v>
      </c>
      <c r="F37" s="45">
        <v>0</v>
      </c>
      <c r="G37" s="45">
        <v>21.984999999999999</v>
      </c>
      <c r="H37" s="45">
        <v>-0.63900000000000001</v>
      </c>
      <c r="I37" s="45">
        <v>19.834</v>
      </c>
      <c r="J37" s="45">
        <v>8.7999999999999995E-2</v>
      </c>
      <c r="K37" s="45">
        <v>0</v>
      </c>
      <c r="L37" s="45">
        <v>0</v>
      </c>
      <c r="M37" s="46">
        <f t="shared" si="1"/>
        <v>0.14000000000000001</v>
      </c>
      <c r="N37" s="46">
        <f t="shared" si="1"/>
        <v>0.6</v>
      </c>
      <c r="O37" s="47">
        <f>P36+E37*1000</f>
        <v>303571.56059864617</v>
      </c>
      <c r="P37" s="47">
        <f>10000*$A$1*(N37*U37-V37*2/N37+X37*N37^2+Y37*2*N37^3+Z37*3*N37^4-W37+S37)</f>
        <v>401168.43755102681</v>
      </c>
      <c r="Q37" s="48">
        <f>R36+F37</f>
        <v>232.23350241791178</v>
      </c>
      <c r="R37" s="48">
        <f>$A$1*(T37+U37+U37*LN(N37)-V37/N37^2+X37*2*N37+Y37*3*N37^2+Z37*4*N37^3)</f>
        <v>263.26477439230604</v>
      </c>
      <c r="S37" s="55">
        <f>SUM($E$3:E37)/$A$1/10</f>
        <v>19.467917493535388</v>
      </c>
      <c r="T37" s="56">
        <f>IF(D37="end","N/D",Q37/$A$1 - U37 - U37*LN(M37) + V37/(M37^2) - X37*2*M37 - Y37*3*M37^2 - Z37*4*M37^3)</f>
        <v>30.643793728188538</v>
      </c>
      <c r="U37" s="55">
        <f>G37*10^($G$2)/$A$1</f>
        <v>2.6441758373925066</v>
      </c>
      <c r="V37" s="56">
        <f>I37/(2*$A$1)*(10^($I$2)/10^8)</f>
        <v>1.1927355824162607E-3</v>
      </c>
      <c r="W37" s="55">
        <f>U37*M37 - V37*2/M37 + X37*M37^2 + Y37*2*M37^3 + Z37*3*M37^4 + S37-O37/10000/$A$1</f>
        <v>16.163389209000016</v>
      </c>
      <c r="X37" s="56">
        <f t="shared" si="2"/>
        <v>-0.38426844668951826</v>
      </c>
      <c r="Y37" s="55">
        <f t="shared" si="3"/>
        <v>0.17639866097380077</v>
      </c>
      <c r="Z37" s="56">
        <f t="shared" si="4"/>
        <v>0</v>
      </c>
      <c r="AA37" s="4" t="s">
        <v>0</v>
      </c>
    </row>
    <row r="38" spans="1:27" ht="23.25" hidden="1" x14ac:dyDescent="0.35">
      <c r="A38" s="42" t="s">
        <v>13</v>
      </c>
      <c r="B38" s="43">
        <v>6000</v>
      </c>
      <c r="C38" s="43">
        <v>10000</v>
      </c>
      <c r="D38" s="44" t="s">
        <v>12</v>
      </c>
      <c r="E38" s="45">
        <v>0</v>
      </c>
      <c r="F38" s="45">
        <v>0</v>
      </c>
      <c r="G38" s="45">
        <v>9.6980000000000004</v>
      </c>
      <c r="H38" s="45">
        <v>0.90400000000000003</v>
      </c>
      <c r="I38" s="45">
        <v>1368.24</v>
      </c>
      <c r="J38" s="45">
        <v>6.8000000000000005E-2</v>
      </c>
      <c r="K38" s="45">
        <v>0</v>
      </c>
      <c r="L38" s="45">
        <v>0</v>
      </c>
      <c r="M38" s="46">
        <f t="shared" si="1"/>
        <v>0.6</v>
      </c>
      <c r="N38" s="46">
        <f t="shared" si="1"/>
        <v>1</v>
      </c>
      <c r="O38" s="47">
        <f>P37+E38*1000</f>
        <v>401168.43755102681</v>
      </c>
      <c r="P38" s="47">
        <f>10000*$A$1*(N38*U38-V38*2/N38+X38*N38^2+Y38*2*N38^3+Z38*3*N38^4-W38+S38)</f>
        <v>495780.70421769336</v>
      </c>
      <c r="Q38" s="48">
        <f>R37+F38</f>
        <v>263.26477439230604</v>
      </c>
      <c r="R38" s="48">
        <f>$A$1*(T38+U38+U38*LN(N38)-V38/N38^2+X38*2*N38+Y38*3*N38^2+Z38*4*N38^3)</f>
        <v>275.22697462492192</v>
      </c>
      <c r="S38" s="55">
        <f>SUM($E$3:E38)/$A$1/10</f>
        <v>19.467917493535388</v>
      </c>
      <c r="T38" s="56">
        <f>IF(D38="end","N/D",Q38/$A$1 - U38 - U38*LN(M38) + V38/(M38^2) - X38*2*M38 - Y38*3*M38^2 - Z38*4*M38^3)</f>
        <v>30.521750511145822</v>
      </c>
      <c r="U38" s="55">
        <f>G38*10^($G$2)/$A$1</f>
        <v>1.166396055084491</v>
      </c>
      <c r="V38" s="56">
        <f>I38/(2*$A$1)*(10^($I$2)/10^8)</f>
        <v>8.2280353599134035E-2</v>
      </c>
      <c r="W38" s="55">
        <f>U38*M38 - V38*2/M38 + X38*M38^2 + Y38*2*M38^3 + Z38*3*M38^4 + S38-O38/10000/$A$1</f>
        <v>15.323153075337942</v>
      </c>
      <c r="X38" s="56">
        <f t="shared" si="2"/>
        <v>0.54362860063744056</v>
      </c>
      <c r="Y38" s="55">
        <f t="shared" si="3"/>
        <v>0.13630805620702788</v>
      </c>
      <c r="Z38" s="56">
        <f t="shared" si="4"/>
        <v>0</v>
      </c>
      <c r="AA38" s="4" t="s">
        <v>0</v>
      </c>
    </row>
    <row r="39" spans="1:27" ht="23.25" hidden="1" x14ac:dyDescent="0.35">
      <c r="A39" s="57" t="s">
        <v>11</v>
      </c>
      <c r="B39" s="58">
        <v>298.14999999999998</v>
      </c>
      <c r="C39" s="58">
        <v>398</v>
      </c>
      <c r="D39" s="59" t="s">
        <v>1</v>
      </c>
      <c r="E39" s="45">
        <v>-183.25899999999999</v>
      </c>
      <c r="F39" s="45">
        <v>112.968</v>
      </c>
      <c r="G39" s="45">
        <v>0</v>
      </c>
      <c r="H39" s="45">
        <v>0</v>
      </c>
      <c r="I39" s="45">
        <v>0</v>
      </c>
      <c r="J39" s="45">
        <v>0</v>
      </c>
      <c r="K39" s="45">
        <v>0</v>
      </c>
      <c r="L39" s="45">
        <v>0</v>
      </c>
      <c r="M39" s="46">
        <v>2.9814999999999998E-2</v>
      </c>
      <c r="N39" s="46">
        <v>3.9800000000000002E-2</v>
      </c>
      <c r="O39" s="47">
        <v>-183259</v>
      </c>
      <c r="P39" s="47">
        <v>-183258.99999999997</v>
      </c>
      <c r="Q39" s="48">
        <v>112.968</v>
      </c>
      <c r="R39" s="48">
        <v>112.968</v>
      </c>
      <c r="S39" s="60">
        <v>-2.2040892416862103</v>
      </c>
      <c r="T39" s="60">
        <v>13.586866317878405</v>
      </c>
      <c r="U39" s="60">
        <v>0</v>
      </c>
      <c r="V39" s="60">
        <v>0</v>
      </c>
      <c r="W39" s="60">
        <v>0</v>
      </c>
      <c r="X39" s="60">
        <v>0</v>
      </c>
      <c r="Y39" s="60">
        <v>0</v>
      </c>
      <c r="Z39" s="60">
        <v>0</v>
      </c>
      <c r="AA39" s="65">
        <v>4</v>
      </c>
    </row>
    <row r="40" spans="1:27" ht="23.25" hidden="1" x14ac:dyDescent="0.35">
      <c r="A40" s="57" t="s">
        <v>10</v>
      </c>
      <c r="B40" s="58">
        <v>298.14999999999998</v>
      </c>
      <c r="C40" s="58">
        <v>1293</v>
      </c>
      <c r="D40" s="59" t="s">
        <v>1</v>
      </c>
      <c r="E40" s="45">
        <v>-408.77699999999999</v>
      </c>
      <c r="F40" s="45">
        <v>179.91200000000001</v>
      </c>
      <c r="G40" s="45">
        <v>105.73</v>
      </c>
      <c r="H40" s="45">
        <v>35.313000000000002</v>
      </c>
      <c r="I40" s="45">
        <v>0</v>
      </c>
      <c r="J40" s="45">
        <v>0</v>
      </c>
      <c r="K40" s="45">
        <v>0</v>
      </c>
      <c r="L40" s="45">
        <v>0</v>
      </c>
      <c r="M40" s="46">
        <v>2.9814999999999998E-2</v>
      </c>
      <c r="N40" s="46">
        <v>0.1293</v>
      </c>
      <c r="O40" s="47">
        <v>-408777</v>
      </c>
      <c r="P40" s="47">
        <v>-275642.05434587126</v>
      </c>
      <c r="Q40" s="48">
        <v>179.91200000000001</v>
      </c>
      <c r="R40" s="48">
        <v>370.16212296042596</v>
      </c>
      <c r="S40" s="60">
        <v>-4.9164351434241382</v>
      </c>
      <c r="T40" s="60">
        <v>52.324952293212974</v>
      </c>
      <c r="U40" s="60">
        <v>12.716338925972698</v>
      </c>
      <c r="V40" s="60">
        <v>0</v>
      </c>
      <c r="W40" s="60">
        <v>0.39801486817452936</v>
      </c>
      <c r="X40" s="60">
        <v>21.235792891935773</v>
      </c>
      <c r="Y40" s="60">
        <v>0</v>
      </c>
      <c r="Z40" s="60">
        <v>0</v>
      </c>
      <c r="AA40" s="65">
        <v>4</v>
      </c>
    </row>
    <row r="41" spans="1:27" ht="23.25" hidden="1" x14ac:dyDescent="0.35">
      <c r="A41" s="57" t="s">
        <v>9</v>
      </c>
      <c r="B41" s="58">
        <v>298.14999999999998</v>
      </c>
      <c r="C41" s="58">
        <v>1211.4000000000001</v>
      </c>
      <c r="D41" s="59" t="s">
        <v>1</v>
      </c>
      <c r="E41" s="45">
        <v>0</v>
      </c>
      <c r="F41" s="45">
        <v>31.087</v>
      </c>
      <c r="G41" s="45">
        <v>24.1</v>
      </c>
      <c r="H41" s="45">
        <v>2.99</v>
      </c>
      <c r="I41" s="45">
        <v>-1.57</v>
      </c>
      <c r="J41" s="45">
        <v>0</v>
      </c>
      <c r="K41" s="45">
        <v>0</v>
      </c>
      <c r="L41" s="45">
        <v>0</v>
      </c>
      <c r="M41" s="46">
        <v>2.9814999999999998E-2</v>
      </c>
      <c r="N41" s="46">
        <v>0.12114000000000001</v>
      </c>
      <c r="O41" s="47">
        <v>0</v>
      </c>
      <c r="P41" s="47">
        <v>23673.348356575047</v>
      </c>
      <c r="Q41" s="48">
        <v>31.087</v>
      </c>
      <c r="R41" s="48">
        <v>66.774670463076021</v>
      </c>
      <c r="S41" s="60">
        <v>0</v>
      </c>
      <c r="T41" s="60">
        <v>10.808776674393879</v>
      </c>
      <c r="U41" s="60">
        <v>2.8985507246376812</v>
      </c>
      <c r="V41" s="60">
        <v>-9.4413374225750193E-5</v>
      </c>
      <c r="W41" s="60">
        <v>9.4351930325122887E-2</v>
      </c>
      <c r="X41" s="60">
        <v>1.7980636237897649</v>
      </c>
      <c r="Y41" s="60">
        <v>0</v>
      </c>
      <c r="Z41" s="60">
        <v>0</v>
      </c>
      <c r="AA41" s="66">
        <v>4</v>
      </c>
    </row>
    <row r="42" spans="1:27" ht="23.25" hidden="1" x14ac:dyDescent="0.35">
      <c r="A42" s="57" t="s">
        <v>9</v>
      </c>
      <c r="B42" s="58">
        <v>1211.4000000000001</v>
      </c>
      <c r="C42" s="58">
        <v>4900</v>
      </c>
      <c r="D42" s="59" t="s">
        <v>5</v>
      </c>
      <c r="E42" s="45">
        <v>36.945</v>
      </c>
      <c r="F42" s="45">
        <v>30.521999999999998</v>
      </c>
      <c r="G42" s="45">
        <v>27.6</v>
      </c>
      <c r="H42" s="45">
        <v>0</v>
      </c>
      <c r="I42" s="45">
        <v>0</v>
      </c>
      <c r="J42" s="45">
        <v>0</v>
      </c>
      <c r="K42" s="45">
        <v>0</v>
      </c>
      <c r="L42" s="45">
        <v>0</v>
      </c>
      <c r="M42" s="46">
        <v>0.12114000000000001</v>
      </c>
      <c r="N42" s="46">
        <v>0.49</v>
      </c>
      <c r="O42" s="47">
        <v>60618.34835657505</v>
      </c>
      <c r="P42" s="47">
        <v>162423.70835657502</v>
      </c>
      <c r="Q42" s="48">
        <v>97.296670463076026</v>
      </c>
      <c r="R42" s="48">
        <v>135.86652477470767</v>
      </c>
      <c r="S42" s="60">
        <v>0.44434421793252749</v>
      </c>
      <c r="T42" s="60">
        <v>15.389377795432761</v>
      </c>
      <c r="U42" s="60">
        <v>3.3195020746887964</v>
      </c>
      <c r="V42" s="60">
        <v>0</v>
      </c>
      <c r="W42" s="60">
        <v>0.11740082558692588</v>
      </c>
      <c r="X42" s="60">
        <v>0</v>
      </c>
      <c r="Y42" s="60">
        <v>0</v>
      </c>
      <c r="Z42" s="60">
        <v>0</v>
      </c>
      <c r="AA42" s="66">
        <v>4</v>
      </c>
    </row>
    <row r="43" spans="1:27" ht="23.25" x14ac:dyDescent="0.35">
      <c r="A43" s="57" t="s">
        <v>8</v>
      </c>
      <c r="B43" s="58">
        <v>298.14999999999998</v>
      </c>
      <c r="C43" s="58">
        <v>948</v>
      </c>
      <c r="D43" s="59" t="s">
        <v>1</v>
      </c>
      <c r="E43" s="45">
        <v>-69.036000000000001</v>
      </c>
      <c r="F43" s="45">
        <v>78.241</v>
      </c>
      <c r="G43" s="45">
        <v>45.104999999999997</v>
      </c>
      <c r="H43" s="45">
        <v>16.393999999999998</v>
      </c>
      <c r="I43" s="45">
        <v>0</v>
      </c>
      <c r="J43" s="45">
        <v>6.0000000000000001E-3</v>
      </c>
      <c r="K43" s="45">
        <v>0</v>
      </c>
      <c r="L43" s="45">
        <v>0</v>
      </c>
      <c r="M43" s="46">
        <v>2.9814999999999998E-2</v>
      </c>
      <c r="N43" s="46">
        <v>9.4799999999999995E-2</v>
      </c>
      <c r="O43" s="47">
        <v>-69036</v>
      </c>
      <c r="P43" s="47">
        <v>-33084.847510596337</v>
      </c>
      <c r="Q43" s="48">
        <v>78.241</v>
      </c>
      <c r="R43" s="48">
        <v>141.07263030020036</v>
      </c>
      <c r="S43" s="60">
        <v>-0.83030849720368027</v>
      </c>
      <c r="T43" s="60">
        <v>22.453564837569701</v>
      </c>
      <c r="U43" s="60">
        <v>5.4248601840158752</v>
      </c>
      <c r="V43" s="60">
        <v>0</v>
      </c>
      <c r="W43" s="60">
        <v>0.17050656252787699</v>
      </c>
      <c r="X43" s="60">
        <v>9.8586806181971252</v>
      </c>
      <c r="Y43" s="60">
        <v>1.2027181430031871E-2</v>
      </c>
      <c r="Z43" s="60">
        <v>0</v>
      </c>
      <c r="AA43" s="66">
        <v>4</v>
      </c>
    </row>
    <row r="44" spans="1:27" ht="23.25" x14ac:dyDescent="0.35">
      <c r="A44" s="57" t="s">
        <v>8</v>
      </c>
      <c r="B44" s="58">
        <v>948</v>
      </c>
      <c r="C44" s="58">
        <v>1200</v>
      </c>
      <c r="D44" s="59" t="s">
        <v>5</v>
      </c>
      <c r="E44" s="45">
        <v>24.686</v>
      </c>
      <c r="F44" s="45">
        <v>26.041</v>
      </c>
      <c r="G44" s="45">
        <v>63.597000000000001</v>
      </c>
      <c r="H44" s="45">
        <v>0</v>
      </c>
      <c r="I44" s="45">
        <v>0</v>
      </c>
      <c r="J44" s="45">
        <v>0</v>
      </c>
      <c r="K44" s="45">
        <v>0</v>
      </c>
      <c r="L44" s="45">
        <v>0</v>
      </c>
      <c r="M44" s="46">
        <v>9.4799999999999995E-2</v>
      </c>
      <c r="N44" s="46">
        <v>0.12</v>
      </c>
      <c r="O44" s="47">
        <v>-8398.8475105963371</v>
      </c>
      <c r="P44" s="47">
        <v>7627.5964894036615</v>
      </c>
      <c r="Q44" s="48">
        <v>167.11363030020036</v>
      </c>
      <c r="R44" s="48">
        <v>182.10486354513984</v>
      </c>
      <c r="S44" s="60">
        <v>-0.53340549642191348</v>
      </c>
      <c r="T44" s="60">
        <v>30.47089586347429</v>
      </c>
      <c r="U44" s="60">
        <v>7.6489265740573691</v>
      </c>
      <c r="V44" s="60">
        <v>0</v>
      </c>
      <c r="W44" s="60">
        <v>0.29272720561183874</v>
      </c>
      <c r="X44" s="60">
        <v>0</v>
      </c>
      <c r="Y44" s="60">
        <v>0</v>
      </c>
      <c r="Z44" s="60">
        <v>0</v>
      </c>
      <c r="AA44" s="66">
        <v>4</v>
      </c>
    </row>
    <row r="45" spans="1:27" ht="23.25" x14ac:dyDescent="0.35">
      <c r="A45" s="67" t="s">
        <v>7</v>
      </c>
      <c r="B45" s="68">
        <v>298.14999999999998</v>
      </c>
      <c r="C45" s="68">
        <v>350</v>
      </c>
      <c r="D45" s="69" t="s">
        <v>1</v>
      </c>
      <c r="E45" s="45">
        <v>-112.968</v>
      </c>
      <c r="F45" s="45">
        <v>115.395</v>
      </c>
      <c r="G45" s="45">
        <v>146.40600000000001</v>
      </c>
      <c r="H45" s="45">
        <v>-419.279</v>
      </c>
      <c r="I45" s="45">
        <v>-9.6690000000000005</v>
      </c>
      <c r="J45" s="45">
        <v>690.01700000000005</v>
      </c>
      <c r="K45" s="45">
        <v>0</v>
      </c>
      <c r="L45" s="45">
        <v>0</v>
      </c>
      <c r="M45" s="46">
        <v>2.9814999999999998E-2</v>
      </c>
      <c r="N45" s="46">
        <v>3.5000000000000003E-2</v>
      </c>
      <c r="O45" s="47">
        <v>-112968</v>
      </c>
      <c r="P45" s="47">
        <v>-109137.02129574418</v>
      </c>
      <c r="Q45" s="48">
        <v>115.395</v>
      </c>
      <c r="R45" s="48">
        <v>127.2321509136336</v>
      </c>
      <c r="S45" s="70">
        <v>-1.3586866317878405</v>
      </c>
      <c r="T45" s="70">
        <v>68.816676906083146</v>
      </c>
      <c r="U45" s="70">
        <v>17.608515244452462</v>
      </c>
      <c r="V45" s="70">
        <v>-5.8145408623489088E-4</v>
      </c>
      <c r="W45" s="70">
        <v>0.41318596346922787</v>
      </c>
      <c r="X45" s="70">
        <v>-252.13723014011663</v>
      </c>
      <c r="Y45" s="70">
        <v>1383.1599414677171</v>
      </c>
      <c r="Z45" s="70">
        <v>0</v>
      </c>
      <c r="AA45" s="65">
        <v>4</v>
      </c>
    </row>
    <row r="46" spans="1:27" ht="23.25" x14ac:dyDescent="0.35">
      <c r="A46" s="67" t="s">
        <v>7</v>
      </c>
      <c r="B46" s="68">
        <v>350</v>
      </c>
      <c r="C46" s="68">
        <v>420</v>
      </c>
      <c r="D46" s="69" t="s">
        <v>1</v>
      </c>
      <c r="E46" s="45">
        <v>0</v>
      </c>
      <c r="F46" s="45">
        <v>0</v>
      </c>
      <c r="G46" s="45">
        <v>14.651999999999999</v>
      </c>
      <c r="H46" s="45">
        <v>175.816</v>
      </c>
      <c r="I46" s="45">
        <v>0</v>
      </c>
      <c r="J46" s="45">
        <v>0</v>
      </c>
      <c r="K46" s="45">
        <v>0</v>
      </c>
      <c r="L46" s="45">
        <v>0</v>
      </c>
      <c r="M46" s="46">
        <v>3.5000000000000003E-2</v>
      </c>
      <c r="N46" s="46">
        <v>4.2000000000000003E-2</v>
      </c>
      <c r="O46" s="47">
        <v>-109137.02129574418</v>
      </c>
      <c r="P46" s="47">
        <v>-103373.14009574415</v>
      </c>
      <c r="Q46" s="48">
        <v>127.2321509136336</v>
      </c>
      <c r="R46" s="48">
        <v>142.21064636377864</v>
      </c>
      <c r="S46" s="70">
        <v>-1.3586866317878405</v>
      </c>
      <c r="T46" s="70">
        <v>12.046908589131874</v>
      </c>
      <c r="U46" s="70">
        <v>1.7622226231282696</v>
      </c>
      <c r="V46" s="70">
        <v>0</v>
      </c>
      <c r="W46" s="70">
        <v>0.14511938535984314</v>
      </c>
      <c r="X46" s="70">
        <v>105.72854651512418</v>
      </c>
      <c r="Y46" s="70">
        <v>0</v>
      </c>
      <c r="Z46" s="70">
        <v>0</v>
      </c>
      <c r="AA46" s="65">
        <v>4</v>
      </c>
    </row>
    <row r="47" spans="1:27" ht="24" thickBot="1" x14ac:dyDescent="0.4">
      <c r="A47" s="67" t="s">
        <v>7</v>
      </c>
      <c r="B47" s="68">
        <v>420</v>
      </c>
      <c r="C47" s="68">
        <v>450</v>
      </c>
      <c r="D47" s="69" t="s">
        <v>1</v>
      </c>
      <c r="E47" s="45">
        <v>0</v>
      </c>
      <c r="F47" s="45">
        <v>0</v>
      </c>
      <c r="G47" s="45">
        <v>83.006</v>
      </c>
      <c r="H47" s="45">
        <v>0</v>
      </c>
      <c r="I47" s="45">
        <v>0</v>
      </c>
      <c r="J47" s="45">
        <v>0</v>
      </c>
      <c r="K47" s="45">
        <v>0</v>
      </c>
      <c r="L47" s="45">
        <v>0</v>
      </c>
      <c r="M47" s="46">
        <v>4.2000000000000003E-2</v>
      </c>
      <c r="N47" s="46">
        <v>4.4999999999999998E-2</v>
      </c>
      <c r="O47" s="47">
        <v>-103373.14009574415</v>
      </c>
      <c r="P47" s="47">
        <v>-100882.96009574414</v>
      </c>
      <c r="Q47" s="48">
        <v>142.21064636377864</v>
      </c>
      <c r="R47" s="48">
        <v>147.93746865442452</v>
      </c>
      <c r="S47" s="70">
        <v>-1.3586866317878405</v>
      </c>
      <c r="T47" s="70">
        <v>38.768510038576053</v>
      </c>
      <c r="U47" s="70">
        <v>9.9832822178122544</v>
      </c>
      <c r="V47" s="70">
        <v>0</v>
      </c>
      <c r="W47" s="70">
        <v>0.30389873228389108</v>
      </c>
      <c r="X47" s="70">
        <v>0</v>
      </c>
      <c r="Y47" s="70">
        <v>0</v>
      </c>
      <c r="Z47" s="70">
        <v>0</v>
      </c>
      <c r="AA47" s="65">
        <v>4</v>
      </c>
    </row>
    <row r="48" spans="1:27" ht="23.25" hidden="1" x14ac:dyDescent="0.35">
      <c r="A48" s="67" t="s">
        <v>6</v>
      </c>
      <c r="B48" s="68">
        <v>298.14999999999998</v>
      </c>
      <c r="C48" s="68">
        <v>494.3</v>
      </c>
      <c r="D48" s="69" t="s">
        <v>1</v>
      </c>
      <c r="E48" s="45">
        <v>0</v>
      </c>
      <c r="F48" s="45">
        <v>42.442</v>
      </c>
      <c r="G48" s="45">
        <v>19.399999999999999</v>
      </c>
      <c r="H48" s="45">
        <v>22.7</v>
      </c>
      <c r="I48" s="45">
        <v>0</v>
      </c>
      <c r="J48" s="45">
        <v>-12.9</v>
      </c>
      <c r="K48" s="45">
        <v>0</v>
      </c>
      <c r="L48" s="45">
        <v>0</v>
      </c>
      <c r="M48" s="46">
        <v>2.9814999999999998E-2</v>
      </c>
      <c r="N48" s="46">
        <v>4.9430000000000002E-2</v>
      </c>
      <c r="O48" s="47">
        <v>0</v>
      </c>
      <c r="P48" s="47">
        <v>5164.1825198039123</v>
      </c>
      <c r="Q48" s="48">
        <v>42.442</v>
      </c>
      <c r="R48" s="48">
        <v>55.699613566654705</v>
      </c>
      <c r="S48" s="70">
        <v>0</v>
      </c>
      <c r="T48" s="70">
        <v>10.222452884649963</v>
      </c>
      <c r="U48" s="70">
        <v>2.3332731974261827</v>
      </c>
      <c r="V48" s="70">
        <v>0</v>
      </c>
      <c r="W48" s="70">
        <v>8.0330566811305376E-2</v>
      </c>
      <c r="X48" s="70">
        <v>13.650850923086173</v>
      </c>
      <c r="Y48" s="70">
        <v>-25.858440074568524</v>
      </c>
      <c r="Z48" s="70">
        <v>0</v>
      </c>
      <c r="AA48" s="65">
        <v>4</v>
      </c>
    </row>
    <row r="49" spans="1:27" ht="23.25" hidden="1" x14ac:dyDescent="0.35">
      <c r="A49" s="67" t="s">
        <v>6</v>
      </c>
      <c r="B49" s="68">
        <v>494.3</v>
      </c>
      <c r="C49" s="68">
        <v>1000</v>
      </c>
      <c r="D49" s="69" t="s">
        <v>5</v>
      </c>
      <c r="E49" s="45">
        <v>6.1589999999999998</v>
      </c>
      <c r="F49" s="45">
        <v>12.46</v>
      </c>
      <c r="G49" s="45">
        <v>52.4</v>
      </c>
      <c r="H49" s="45">
        <v>-49.6</v>
      </c>
      <c r="I49" s="45">
        <v>0</v>
      </c>
      <c r="J49" s="45">
        <v>32.4</v>
      </c>
      <c r="K49" s="45">
        <v>0</v>
      </c>
      <c r="L49" s="45">
        <v>0</v>
      </c>
      <c r="M49" s="46">
        <v>4.9430000000000002E-2</v>
      </c>
      <c r="N49" s="46">
        <v>0.1</v>
      </c>
      <c r="O49" s="47">
        <v>11323.182519803911</v>
      </c>
      <c r="P49" s="47">
        <v>28576.953933888308</v>
      </c>
      <c r="Q49" s="48">
        <v>68.159613566654713</v>
      </c>
      <c r="R49" s="48">
        <v>92.240410542922049</v>
      </c>
      <c r="S49" s="70">
        <v>7.4075410427566296E-2</v>
      </c>
      <c r="T49" s="70">
        <v>23.32020799997715</v>
      </c>
      <c r="U49" s="70">
        <v>6.3022430693367006</v>
      </c>
      <c r="V49" s="70">
        <v>0</v>
      </c>
      <c r="W49" s="70">
        <v>0.19221896766025248</v>
      </c>
      <c r="X49" s="70">
        <v>-29.82740994647904</v>
      </c>
      <c r="Y49" s="70">
        <v>64.94677972217211</v>
      </c>
      <c r="Z49" s="70">
        <v>0</v>
      </c>
      <c r="AA49" s="65">
        <v>4</v>
      </c>
    </row>
    <row r="50" spans="1:27" ht="23.25" hidden="1" x14ac:dyDescent="0.35">
      <c r="A50" s="67" t="s">
        <v>6</v>
      </c>
      <c r="B50" s="68">
        <v>1000</v>
      </c>
      <c r="C50" s="68">
        <v>1800</v>
      </c>
      <c r="D50" s="69" t="s">
        <v>5</v>
      </c>
      <c r="E50" s="45">
        <v>0</v>
      </c>
      <c r="F50" s="45">
        <v>0</v>
      </c>
      <c r="G50" s="45">
        <v>35.299999999999997</v>
      </c>
      <c r="H50" s="45">
        <v>0</v>
      </c>
      <c r="I50" s="45">
        <v>0</v>
      </c>
      <c r="J50" s="45">
        <v>0</v>
      </c>
      <c r="K50" s="45">
        <v>0</v>
      </c>
      <c r="L50" s="45">
        <v>0</v>
      </c>
      <c r="M50" s="46">
        <v>0.1</v>
      </c>
      <c r="N50" s="46">
        <v>0.18</v>
      </c>
      <c r="O50" s="47">
        <v>28576.953933888308</v>
      </c>
      <c r="P50" s="47">
        <v>56816.953933888297</v>
      </c>
      <c r="Q50" s="48">
        <v>92.240410542922049</v>
      </c>
      <c r="R50" s="48">
        <v>112.9892798139668</v>
      </c>
      <c r="S50" s="70">
        <v>7.4075410427566296E-2</v>
      </c>
      <c r="T50" s="70">
        <v>16.624170344050974</v>
      </c>
      <c r="U50" s="70">
        <v>4.2455950448012505</v>
      </c>
      <c r="V50" s="70">
        <v>0</v>
      </c>
      <c r="W50" s="70">
        <v>0.15493470522715369</v>
      </c>
      <c r="X50" s="70">
        <v>0</v>
      </c>
      <c r="Y50" s="70">
        <v>0</v>
      </c>
      <c r="Z50" s="70">
        <v>0</v>
      </c>
      <c r="AA50" s="65">
        <v>4</v>
      </c>
    </row>
    <row r="51" spans="1:27" ht="23.25" hidden="1" x14ac:dyDescent="0.35">
      <c r="A51" s="67" t="s">
        <v>4</v>
      </c>
      <c r="B51" s="68">
        <v>298.14999999999998</v>
      </c>
      <c r="C51" s="68">
        <v>398</v>
      </c>
      <c r="D51" s="69" t="s">
        <v>1</v>
      </c>
      <c r="E51" s="45">
        <v>5.0209999999999999</v>
      </c>
      <c r="F51" s="45">
        <v>48.408999999999999</v>
      </c>
      <c r="G51" s="45">
        <v>27.15</v>
      </c>
      <c r="H51" s="45">
        <v>0</v>
      </c>
      <c r="I51" s="45">
        <v>0</v>
      </c>
      <c r="J51" s="45">
        <v>0</v>
      </c>
      <c r="K51" s="45">
        <v>0</v>
      </c>
      <c r="L51" s="45">
        <v>0</v>
      </c>
      <c r="M51" s="46">
        <v>2.9814999999999998E-2</v>
      </c>
      <c r="N51" s="46">
        <v>3.9800000000000002E-2</v>
      </c>
      <c r="O51" s="47">
        <v>5021</v>
      </c>
      <c r="P51" s="47">
        <v>7731.9275000000007</v>
      </c>
      <c r="Q51" s="48">
        <v>48.408999999999999</v>
      </c>
      <c r="R51" s="48">
        <v>56.251421115771024</v>
      </c>
      <c r="S51" s="70">
        <v>6.0388477960190028E-2</v>
      </c>
      <c r="T51" s="70">
        <v>14.027300531776039</v>
      </c>
      <c r="U51" s="70">
        <v>3.265379758253653</v>
      </c>
      <c r="V51" s="70">
        <v>0</v>
      </c>
      <c r="W51" s="70">
        <v>9.7357297492332656E-2</v>
      </c>
      <c r="X51" s="70">
        <v>0</v>
      </c>
      <c r="Y51" s="70">
        <v>0</v>
      </c>
      <c r="Z51" s="70">
        <v>0</v>
      </c>
      <c r="AA51" s="65">
        <v>4</v>
      </c>
    </row>
    <row r="52" spans="1:27" ht="23.25" hidden="1" x14ac:dyDescent="0.35">
      <c r="A52" s="67" t="s">
        <v>3</v>
      </c>
      <c r="B52" s="68">
        <v>298</v>
      </c>
      <c r="C52" s="68">
        <v>413</v>
      </c>
      <c r="D52" s="69" t="s">
        <v>1</v>
      </c>
      <c r="E52" s="45">
        <v>8.9540000000000006</v>
      </c>
      <c r="F52" s="45">
        <v>188.154</v>
      </c>
      <c r="G52" s="45">
        <v>107.52</v>
      </c>
      <c r="H52" s="45">
        <v>-9.06</v>
      </c>
      <c r="I52" s="45">
        <v>-4.3810000000000002</v>
      </c>
      <c r="J52" s="45">
        <v>57.073</v>
      </c>
      <c r="K52" s="45">
        <v>0</v>
      </c>
      <c r="L52" s="45">
        <v>0</v>
      </c>
      <c r="M52" s="46">
        <v>2.98E-2</v>
      </c>
      <c r="N52" s="46">
        <v>4.1300000000000003E-2</v>
      </c>
      <c r="O52" s="47">
        <v>8954</v>
      </c>
      <c r="P52" s="47">
        <v>21375.76204940235</v>
      </c>
      <c r="Q52" s="48">
        <v>188.154</v>
      </c>
      <c r="R52" s="48">
        <v>223.35254329552305</v>
      </c>
      <c r="S52" s="70">
        <v>0.10769138252450537</v>
      </c>
      <c r="T52" s="70">
        <v>54.853251742343801</v>
      </c>
      <c r="U52" s="70">
        <v>12.931625473570268</v>
      </c>
      <c r="V52" s="70">
        <v>-2.6345540922484819E-4</v>
      </c>
      <c r="W52" s="70">
        <v>0.40426080105349993</v>
      </c>
      <c r="X52" s="70">
        <v>-5.4483131878044384</v>
      </c>
      <c r="Y52" s="70">
        <v>114.404554292702</v>
      </c>
      <c r="Z52" s="70">
        <v>0</v>
      </c>
      <c r="AA52" s="65">
        <v>4</v>
      </c>
    </row>
    <row r="53" spans="1:27" ht="23.25" hidden="1" x14ac:dyDescent="0.35">
      <c r="A53" s="67" t="s">
        <v>2</v>
      </c>
      <c r="B53" s="68">
        <v>298.14999999999998</v>
      </c>
      <c r="C53" s="68">
        <v>398</v>
      </c>
      <c r="D53" s="69" t="s">
        <v>1</v>
      </c>
      <c r="E53" s="45">
        <v>16.318000000000001</v>
      </c>
      <c r="F53" s="45">
        <v>52.3</v>
      </c>
      <c r="G53" s="45">
        <v>40.585000000000001</v>
      </c>
      <c r="H53" s="45">
        <v>0</v>
      </c>
      <c r="I53" s="45">
        <v>0</v>
      </c>
      <c r="J53" s="45">
        <v>0</v>
      </c>
      <c r="K53" s="45">
        <v>0</v>
      </c>
      <c r="L53" s="45">
        <v>0</v>
      </c>
      <c r="M53" s="46">
        <v>2.9814999999999998E-2</v>
      </c>
      <c r="N53" s="46">
        <v>3.9800000000000002E-2</v>
      </c>
      <c r="O53" s="47">
        <v>16318.000000000002</v>
      </c>
      <c r="P53" s="47">
        <v>20370.412250000005</v>
      </c>
      <c r="Q53" s="48">
        <v>52.3</v>
      </c>
      <c r="R53" s="48">
        <v>64.023191933096371</v>
      </c>
      <c r="S53" s="70">
        <v>0.1962595465752601</v>
      </c>
      <c r="T53" s="70">
        <v>18.555499584494658</v>
      </c>
      <c r="U53" s="70">
        <v>4.881231583378435</v>
      </c>
      <c r="V53" s="70">
        <v>0</v>
      </c>
      <c r="W53" s="70">
        <v>0.14553391965842802</v>
      </c>
      <c r="X53" s="70">
        <v>0</v>
      </c>
      <c r="Y53" s="70">
        <v>0</v>
      </c>
      <c r="Z53" s="70">
        <v>0</v>
      </c>
      <c r="AA53" s="65">
        <v>4</v>
      </c>
    </row>
    <row r="54" spans="1:27" ht="23.25" x14ac:dyDescent="0.35">
      <c r="A54" s="71" t="s">
        <v>7</v>
      </c>
      <c r="B54" s="68">
        <v>450</v>
      </c>
      <c r="C54" s="68">
        <v>900</v>
      </c>
      <c r="D54" s="69" t="s">
        <v>1</v>
      </c>
      <c r="E54" s="45">
        <v>0</v>
      </c>
      <c r="F54" s="45">
        <v>0</v>
      </c>
      <c r="G54" s="45">
        <v>16.878</v>
      </c>
      <c r="H54" s="45">
        <v>102.194</v>
      </c>
      <c r="I54" s="45">
        <v>45.500999999999998</v>
      </c>
      <c r="J54" s="45">
        <v>-39.966000000000001</v>
      </c>
      <c r="K54" s="45">
        <v>0</v>
      </c>
      <c r="L54" s="45">
        <v>0</v>
      </c>
      <c r="M54" s="46">
        <v>4.4999999999999998E-2</v>
      </c>
      <c r="N54" s="46">
        <v>0.09</v>
      </c>
      <c r="O54" s="47">
        <v>-100882.96009574414</v>
      </c>
      <c r="P54" s="47">
        <v>-65688.536679077442</v>
      </c>
      <c r="Q54" s="48">
        <v>147.93746865442452</v>
      </c>
      <c r="R54" s="48">
        <v>201.91014537902635</v>
      </c>
      <c r="S54" s="70">
        <v>-1.3586866317878405</v>
      </c>
      <c r="T54" s="70">
        <v>18.364758562217371</v>
      </c>
      <c r="U54" s="70">
        <v>2.0299476817607793</v>
      </c>
      <c r="V54" s="70">
        <v>2.736243911239401E-3</v>
      </c>
      <c r="W54" s="70">
        <v>-6.5765806573927721E-2</v>
      </c>
      <c r="X54" s="70">
        <v>61.455288953033858</v>
      </c>
      <c r="Y54" s="70">
        <v>-80.11305550544229</v>
      </c>
      <c r="Z54" s="70">
        <v>0</v>
      </c>
      <c r="AA54" s="65">
        <v>4</v>
      </c>
    </row>
    <row r="55" spans="1:27" ht="23.25" hidden="1" x14ac:dyDescent="0.35">
      <c r="A55" s="64" t="s">
        <v>11</v>
      </c>
      <c r="B55" s="58">
        <v>298.14999999999998</v>
      </c>
      <c r="C55" s="58">
        <v>2000</v>
      </c>
      <c r="D55" s="59" t="s">
        <v>12</v>
      </c>
      <c r="E55" s="45">
        <v>96.231999999999999</v>
      </c>
      <c r="F55" s="45">
        <v>315.47399999999999</v>
      </c>
      <c r="G55" s="45">
        <v>58.082000000000001</v>
      </c>
      <c r="H55" s="45">
        <v>5.3999999999999999E-2</v>
      </c>
      <c r="I55" s="45">
        <v>-2.8490000000000002</v>
      </c>
      <c r="J55" s="45">
        <v>0</v>
      </c>
      <c r="K55" s="45">
        <v>0</v>
      </c>
      <c r="L55" s="45">
        <v>0</v>
      </c>
      <c r="M55" s="46">
        <v>2.9814999999999998E-2</v>
      </c>
      <c r="N55" s="46">
        <v>0.2</v>
      </c>
      <c r="O55" s="61">
        <v>96232</v>
      </c>
      <c r="P55" s="62">
        <v>194371.34229535202</v>
      </c>
      <c r="Q55" s="48">
        <v>315.47399999999999</v>
      </c>
      <c r="R55" s="63">
        <v>424.54683585296476</v>
      </c>
      <c r="S55" s="60">
        <v>1.157399723374827</v>
      </c>
      <c r="T55" s="60">
        <v>55.301051919293066</v>
      </c>
      <c r="U55" s="60">
        <v>6.9856275181911114</v>
      </c>
      <c r="V55" s="60">
        <v>-1.7132719947080403E-4</v>
      </c>
      <c r="W55" s="60">
        <v>0.21979803601717451</v>
      </c>
      <c r="X55" s="60">
        <v>3.2473389861086055E-2</v>
      </c>
      <c r="Y55" s="60">
        <v>0</v>
      </c>
      <c r="Z55" s="60">
        <v>0</v>
      </c>
      <c r="AA55" s="65">
        <v>4</v>
      </c>
    </row>
    <row r="56" spans="1:27" ht="23.25" hidden="1" x14ac:dyDescent="0.35">
      <c r="A56" s="64" t="s">
        <v>48</v>
      </c>
      <c r="B56" s="58">
        <v>298.14999999999998</v>
      </c>
      <c r="C56" s="58">
        <v>1233</v>
      </c>
      <c r="D56" s="59" t="s">
        <v>1</v>
      </c>
      <c r="E56" s="45">
        <v>-158.99199999999999</v>
      </c>
      <c r="F56" s="45">
        <v>70.290999999999997</v>
      </c>
      <c r="G56" s="45">
        <v>44.643000000000001</v>
      </c>
      <c r="H56" s="45">
        <v>12.97</v>
      </c>
      <c r="I56" s="45">
        <v>0</v>
      </c>
      <c r="J56" s="45">
        <v>0</v>
      </c>
      <c r="K56" s="45">
        <v>0</v>
      </c>
      <c r="L56" s="45">
        <v>0</v>
      </c>
      <c r="M56" s="46">
        <v>2.9814999999999998E-2</v>
      </c>
      <c r="N56" s="46">
        <v>0.12330000000000001</v>
      </c>
      <c r="O56" s="61">
        <v>-158992</v>
      </c>
      <c r="P56" s="62">
        <v>-107974.8911299125</v>
      </c>
      <c r="Q56" s="48">
        <v>70.290999999999997</v>
      </c>
      <c r="R56" s="63">
        <v>145.79159960461379</v>
      </c>
      <c r="S56" s="60">
        <v>-1.9122256299236269</v>
      </c>
      <c r="T56" s="60">
        <v>21.480595291716963</v>
      </c>
      <c r="U56" s="60">
        <v>5.3692946058091282</v>
      </c>
      <c r="V56" s="60">
        <v>0</v>
      </c>
      <c r="W56" s="60">
        <v>0.16701887419463035</v>
      </c>
      <c r="X56" s="60">
        <v>7.799627157375669</v>
      </c>
      <c r="Y56" s="60">
        <v>0</v>
      </c>
      <c r="Z56" s="60">
        <v>0</v>
      </c>
      <c r="AA56" s="4" t="s">
        <v>0</v>
      </c>
    </row>
  </sheetData>
  <sheetProtection formatCells="0" formatColumns="0" formatRows="0" insertColumns="0" insertRows="0" sort="0" autoFilter="0" pivotTables="0"/>
  <mergeCells count="2">
    <mergeCell ref="A2:E2"/>
    <mergeCell ref="M2:AA2"/>
  </mergeCells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Из Autotech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2021-04-09T12:20:31Z</dcterms:created>
  <dcterms:modified xsi:type="dcterms:W3CDTF">2021-04-09T21:12:30Z</dcterms:modified>
</cp:coreProperties>
</file>