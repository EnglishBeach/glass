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2.xml" ContentType="application/vnd.ms-excel.slicer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slicers/slicer3.xml" ContentType="application/vnd.ms-excel.slicer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slicers/slicer4.xml" ContentType="application/vnd.ms-excel.slicer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19EEB918-699B-4A1C-B537-EF869B98AFF7}" xr6:coauthVersionLast="46" xr6:coauthVersionMax="46" xr10:uidLastSave="{00000000-0000-0000-0000-000000000000}"/>
  <bookViews>
    <workbookView xWindow="-120" yWindow="-120" windowWidth="29040" windowHeight="15990" tabRatio="827" activeTab="1" xr2:uid="{00000000-000D-0000-FFFF-FFFF00000000}"/>
  </bookViews>
  <sheets>
    <sheet name="TERRA" sheetId="1" r:id="rId1"/>
    <sheet name="Из Autotech " sheetId="26" r:id="rId2"/>
    <sheet name="MILKE" sheetId="25" r:id="rId3"/>
    <sheet name="CTC" sheetId="27" r:id="rId4"/>
    <sheet name="Банк Других" sheetId="4" r:id="rId5"/>
  </sheets>
  <definedNames>
    <definedName name="_xlnm._FilterDatabase" localSheetId="3" hidden="1">CTC!$C$1:$P$41</definedName>
    <definedName name="_xlnm._FilterDatabase" localSheetId="2" hidden="1">MILKE!$A$17:$AD$17</definedName>
    <definedName name="_xlnm._FilterDatabase" localSheetId="0" hidden="1">TERRA!$A$28:$C$28</definedName>
    <definedName name="_xlnm._FilterDatabase" localSheetId="4" hidden="1">'Банк Других'!$A$1:$C$26</definedName>
    <definedName name="_xlnm._FilterDatabase" localSheetId="1" hidden="1">'Из Autotech '!$A$30:$AB$51</definedName>
    <definedName name="Z_5CD7248E_C04A_445B_8512_C9303DEF235B_.wvu.Cols" localSheetId="2" hidden="1">MILKE!$N:$N</definedName>
    <definedName name="Z_5CD7248E_C04A_445B_8512_C9303DEF235B_.wvu.Cols" localSheetId="0" hidden="1">TERRA!$L:$R</definedName>
    <definedName name="Z_5CD7248E_C04A_445B_8512_C9303DEF235B_.wvu.Cols" localSheetId="4" hidden="1">'Банк Других'!$D:$J</definedName>
    <definedName name="Z_5CD7248E_C04A_445B_8512_C9303DEF235B_.wvu.FilterData" localSheetId="4" hidden="1">'Банк Других'!$A$1:$C$23</definedName>
    <definedName name="Z_5CD7248E_C04A_445B_8512_C9303DEF235B_.wvu.Rows" localSheetId="4" hidden="1">'Банк Других'!#REF!</definedName>
    <definedName name="Срез_8_31">#N/A</definedName>
    <definedName name="Срез_Вещество">#N/A</definedName>
    <definedName name="Срез_Названиe1">#N/A</definedName>
    <definedName name="Срез_название">#N/A</definedName>
    <definedName name="Срез_Ф__________if__?_____not__g">#N/A</definedName>
    <definedName name="Срез_Ф_______Фаза">#N/A</definedName>
    <definedName name="Срез_Ф_____Фаза">#N/A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27" l="1"/>
  <c r="K1" i="26"/>
  <c r="L1" i="26"/>
  <c r="M3" i="26"/>
  <c r="N3" i="26"/>
  <c r="O3" i="26"/>
  <c r="Q3" i="26"/>
  <c r="S3" i="26"/>
  <c r="U3" i="26"/>
  <c r="T3" i="26" s="1"/>
  <c r="R3" i="26" s="1"/>
  <c r="Q4" i="26" s="1"/>
  <c r="T4" i="26" s="1"/>
  <c r="R4" i="26" s="1"/>
  <c r="Q5" i="26" s="1"/>
  <c r="T5" i="26" s="1"/>
  <c r="R5" i="26" s="1"/>
  <c r="Q6" i="26" s="1"/>
  <c r="T6" i="26" s="1"/>
  <c r="R6" i="26" s="1"/>
  <c r="Q7" i="26" s="1"/>
  <c r="T7" i="26" s="1"/>
  <c r="R7" i="26" s="1"/>
  <c r="V3" i="26"/>
  <c r="X3" i="26"/>
  <c r="Y3" i="26"/>
  <c r="Z3" i="26"/>
  <c r="M4" i="26"/>
  <c r="N4" i="26"/>
  <c r="S4" i="26"/>
  <c r="U4" i="26"/>
  <c r="V4" i="26"/>
  <c r="X4" i="26"/>
  <c r="Y4" i="26"/>
  <c r="Z4" i="26"/>
  <c r="M5" i="26"/>
  <c r="N5" i="26"/>
  <c r="S5" i="26"/>
  <c r="U5" i="26"/>
  <c r="V5" i="26"/>
  <c r="X5" i="26"/>
  <c r="Y5" i="26"/>
  <c r="Z5" i="26"/>
  <c r="M6" i="26"/>
  <c r="N6" i="26"/>
  <c r="S6" i="26"/>
  <c r="U6" i="26"/>
  <c r="V6" i="26"/>
  <c r="X6" i="26"/>
  <c r="Y6" i="26"/>
  <c r="Z6" i="26"/>
  <c r="M7" i="26"/>
  <c r="N7" i="26"/>
  <c r="S7" i="26"/>
  <c r="U7" i="26"/>
  <c r="V7" i="26"/>
  <c r="X7" i="26"/>
  <c r="Y7" i="26"/>
  <c r="Z7" i="26"/>
  <c r="M39" i="26"/>
  <c r="N39" i="26"/>
  <c r="O39" i="26"/>
  <c r="Q39" i="26"/>
  <c r="S39" i="26"/>
  <c r="U39" i="26"/>
  <c r="V39" i="26"/>
  <c r="X39" i="26"/>
  <c r="Y39" i="26"/>
  <c r="Z39" i="26"/>
  <c r="M40" i="26"/>
  <c r="N40" i="26"/>
  <c r="S40" i="26"/>
  <c r="U40" i="26"/>
  <c r="V40" i="26"/>
  <c r="X40" i="26"/>
  <c r="Y40" i="26"/>
  <c r="Z40" i="26"/>
  <c r="M34" i="26"/>
  <c r="N34" i="26"/>
  <c r="O34" i="26"/>
  <c r="Q34" i="26"/>
  <c r="S34" i="26"/>
  <c r="U34" i="26"/>
  <c r="V34" i="26"/>
  <c r="X34" i="26"/>
  <c r="Y34" i="26"/>
  <c r="Z34" i="26"/>
  <c r="M35" i="26"/>
  <c r="N35" i="26"/>
  <c r="S35" i="26"/>
  <c r="U35" i="26"/>
  <c r="V35" i="26"/>
  <c r="X35" i="26"/>
  <c r="Y35" i="26"/>
  <c r="Z35" i="26"/>
  <c r="M36" i="26"/>
  <c r="N36" i="26"/>
  <c r="S36" i="26"/>
  <c r="U36" i="26"/>
  <c r="V36" i="26"/>
  <c r="X36" i="26"/>
  <c r="Y36" i="26"/>
  <c r="Z36" i="26"/>
  <c r="M37" i="26"/>
  <c r="N37" i="26"/>
  <c r="S37" i="26"/>
  <c r="U37" i="26"/>
  <c r="V37" i="26"/>
  <c r="X37" i="26"/>
  <c r="Y37" i="26"/>
  <c r="Z37" i="26"/>
  <c r="M38" i="26"/>
  <c r="N38" i="26"/>
  <c r="S38" i="26"/>
  <c r="U38" i="26"/>
  <c r="V38" i="26"/>
  <c r="X38" i="26"/>
  <c r="Y38" i="26"/>
  <c r="Z38" i="26"/>
  <c r="L3" i="25"/>
  <c r="M3" i="25"/>
  <c r="U4" i="25"/>
  <c r="T4" i="25"/>
  <c r="N3" i="25"/>
  <c r="O3" i="25"/>
  <c r="L4" i="25"/>
  <c r="M4" i="25"/>
  <c r="N4" i="25"/>
  <c r="O4" i="25"/>
  <c r="P3" i="25"/>
  <c r="S3" i="25"/>
  <c r="X3" i="25"/>
  <c r="Y3" i="25"/>
  <c r="AA3" i="25"/>
  <c r="AB3" i="25"/>
  <c r="AC3" i="25"/>
  <c r="P4" i="25"/>
  <c r="S4" i="25"/>
  <c r="X4" i="25"/>
  <c r="Y4" i="25"/>
  <c r="AA4" i="25"/>
  <c r="AB4" i="25"/>
  <c r="AC4" i="25"/>
  <c r="AC2" i="25"/>
  <c r="AB2" i="25"/>
  <c r="AA2" i="25"/>
  <c r="Y2" i="25"/>
  <c r="X2" i="25"/>
  <c r="S2" i="25"/>
  <c r="P2" i="25"/>
  <c r="V2" i="25" s="1"/>
  <c r="O2" i="25"/>
  <c r="N2" i="25"/>
  <c r="T39" i="26" l="1"/>
  <c r="R39" i="26" s="1"/>
  <c r="Q40" i="26" s="1"/>
  <c r="T40" i="26" s="1"/>
  <c r="R40" i="26" s="1"/>
  <c r="T34" i="26"/>
  <c r="R34" i="26" s="1"/>
  <c r="Q35" i="26" s="1"/>
  <c r="T35" i="26" s="1"/>
  <c r="R35" i="26" s="1"/>
  <c r="Q36" i="26" s="1"/>
  <c r="T36" i="26" s="1"/>
  <c r="R36" i="26" s="1"/>
  <c r="Q37" i="26" s="1"/>
  <c r="T37" i="26" s="1"/>
  <c r="R37" i="26" s="1"/>
  <c r="Q38" i="26" s="1"/>
  <c r="T38" i="26" s="1"/>
  <c r="R38" i="26" s="1"/>
  <c r="W39" i="26"/>
  <c r="P39" i="26" s="1"/>
  <c r="O40" i="26" s="1"/>
  <c r="W40" i="26" s="1"/>
  <c r="P40" i="26" s="1"/>
  <c r="W34" i="26"/>
  <c r="P34" i="26" s="1"/>
  <c r="O35" i="26" s="1"/>
  <c r="W35" i="26" s="1"/>
  <c r="P35" i="26" s="1"/>
  <c r="O36" i="26" s="1"/>
  <c r="W36" i="26" s="1"/>
  <c r="P36" i="26" s="1"/>
  <c r="O37" i="26" s="1"/>
  <c r="W37" i="26" s="1"/>
  <c r="P37" i="26" s="1"/>
  <c r="O38" i="26" s="1"/>
  <c r="W38" i="26" s="1"/>
  <c r="P38" i="26" s="1"/>
  <c r="W3" i="26"/>
  <c r="P3" i="26" s="1"/>
  <c r="O4" i="26" s="1"/>
  <c r="W4" i="26" s="1"/>
  <c r="P4" i="26" s="1"/>
  <c r="O5" i="26" s="1"/>
  <c r="W5" i="26" s="1"/>
  <c r="P5" i="26" s="1"/>
  <c r="O6" i="26" s="1"/>
  <c r="W6" i="26" s="1"/>
  <c r="P6" i="26" s="1"/>
  <c r="O7" i="26" s="1"/>
  <c r="W7" i="26" s="1"/>
  <c r="P7" i="26" s="1"/>
  <c r="U3" i="25"/>
  <c r="U2" i="25"/>
  <c r="W3" i="25"/>
  <c r="T3" i="25" s="1"/>
  <c r="Z4" i="25"/>
  <c r="Q4" i="25" s="1"/>
  <c r="R4" i="25" s="1"/>
  <c r="V4" i="25"/>
  <c r="V3" i="25"/>
  <c r="W4" i="25"/>
  <c r="Z3" i="25"/>
  <c r="Q3" i="25" s="1"/>
  <c r="R3" i="25" s="1"/>
  <c r="Z2" i="25"/>
  <c r="Q2" i="25" s="1"/>
  <c r="R2" i="25" s="1"/>
  <c r="L2" i="25" s="1"/>
  <c r="M2" i="25" s="1"/>
  <c r="W2" i="25"/>
  <c r="T2" i="25" s="1"/>
  <c r="S69" i="1" l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L64" i="1"/>
  <c r="L2" i="1" l="1"/>
  <c r="S2" i="1" l="1"/>
  <c r="R2" i="1"/>
  <c r="Q2" i="1"/>
  <c r="P2" i="1"/>
  <c r="O2" i="1"/>
  <c r="N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  <author>Home</author>
  </authors>
  <commentList>
    <comment ref="G1" authorId="0" shapeId="0" xr:uid="{216BA17C-B0D3-4745-85AC-726984BECAC0}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 shapeId="0" xr:uid="{D23E9A09-F0CC-42AE-9A23-E0EBEF239E8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 shapeId="0" xr:uid="{3EE50CD6-B2AD-4F44-952E-8917C761DF23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 shapeId="0" xr:uid="{592612FF-4C12-4979-AD15-D4EE9AC9E6E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 shapeId="0" xr:uid="{7FAA9022-C6B2-48E2-B65A-E97AE3E3F437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 shapeId="0" xr:uid="{19BA8D88-E5C9-4709-B9E0-F0DF014BDE5D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 shapeId="0" xr:uid="{C7CCA4BE-A5CF-4AB9-B1E3-BC114ED7F4B6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R1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<sst xmlns="http://schemas.openxmlformats.org/spreadsheetml/2006/main" count="568" uniqueCount="141">
  <si>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</si>
  <si>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</si>
  <si>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</si>
  <si>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</si>
  <si>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</si>
  <si>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</si>
  <si>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</si>
  <si>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</si>
  <si>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</si>
  <si>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</si>
  <si>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</si>
  <si>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</si>
  <si>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</si>
  <si>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</si>
  <si>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</si>
  <si>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</si>
  <si>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</si>
  <si>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</si>
  <si>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</si>
  <si>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</si>
  <si>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</si>
  <si>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</si>
  <si>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</si>
  <si>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</si>
  <si>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</si>
  <si>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</si>
  <si>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</si>
  <si>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</si>
  <si>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</si>
  <si>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</si>
  <si>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</si>
  <si>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</si>
  <si>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</si>
  <si>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</si>
  <si>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</si>
  <si>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</si>
  <si>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</si>
  <si>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</si>
  <si>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</si>
  <si>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</si>
  <si>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</si>
  <si>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</si>
  <si>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</si>
  <si>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</si>
  <si>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</si>
  <si>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</si>
  <si>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</si>
  <si>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</si>
  <si>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</si>
  <si>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</si>
  <si>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</si>
  <si>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</si>
  <si>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</si>
  <si>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</si>
  <si>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</si>
  <si>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</si>
  <si>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</si>
  <si>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</si>
  <si>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</si>
  <si>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</si>
  <si>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</si>
  <si>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</si>
  <si>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</si>
  <si>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</si>
  <si>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</si>
  <si>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</si>
  <si>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</si>
  <si>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</si>
  <si>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</si>
  <si>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</si>
  <si>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</si>
  <si>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</si>
  <si>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</si>
  <si>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</si>
  <si>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</si>
  <si>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</si>
  <si>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</si>
  <si>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</si>
  <si>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</si>
  <si>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</si>
  <si>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</si>
  <si>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</si>
  <si>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</si>
  <si>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</si>
  <si>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</si>
  <si>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</si>
  <si>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</si>
  <si>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Se2</t>
  </si>
  <si>
    <t>Se3</t>
  </si>
  <si>
    <t>Se4</t>
  </si>
  <si>
    <t>Se5</t>
  </si>
  <si>
    <t>Se6</t>
  </si>
  <si>
    <t>Se7</t>
  </si>
  <si>
    <t>Se8</t>
  </si>
  <si>
    <t>Ge2</t>
  </si>
  <si>
    <t>Ga2</t>
  </si>
  <si>
    <t>Тип</t>
  </si>
  <si>
    <t>Н(To) кДж</t>
  </si>
  <si>
    <t>Se[A]</t>
  </si>
  <si>
    <t>Se[M]</t>
  </si>
  <si>
    <t>Se[R]</t>
  </si>
  <si>
    <t>Названиe</t>
  </si>
  <si>
    <t>4</t>
  </si>
  <si>
    <t>степень</t>
  </si>
  <si>
    <t>Ф       Фаза</t>
  </si>
  <si>
    <t>S(To)  Дж</t>
  </si>
  <si>
    <t>Xo                    К/10000</t>
  </si>
  <si>
    <t>X                       К/10000</t>
  </si>
  <si>
    <t xml:space="preserve"> Т         Тип</t>
  </si>
  <si>
    <t>Ga(l)2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</si>
  <si>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</si>
  <si>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</si>
  <si>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</si>
  <si>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</si>
  <si>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</si>
  <si>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</si>
  <si>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</si>
  <si>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</si>
  <si>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</si>
  <si>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</si>
  <si>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</si>
  <si>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</si>
  <si>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</si>
  <si>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</si>
  <si>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</si>
  <si>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</si>
  <si>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</si>
  <si>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</si>
  <si>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</si>
  <si>
    <t>Метка</t>
  </si>
  <si>
    <t>f *T^3</t>
  </si>
  <si>
    <t>e *T^(-3)</t>
  </si>
  <si>
    <t>8,31</t>
  </si>
  <si>
    <t xml:space="preserve"> Т    </t>
  </si>
  <si>
    <t xml:space="preserve">Ф </t>
  </si>
  <si>
    <t>Т</t>
  </si>
  <si>
    <t>Ф          if "?" =&gt; not "g"</t>
  </si>
  <si>
    <t>To К</t>
  </si>
  <si>
    <t>T К</t>
  </si>
  <si>
    <t>Мeтка            2 - добавить, 1 - удалить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</si>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</sst>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-* #,##0_-;\-* #,##0_-;_-* &quot;-&quot;_-;_-@_-"/>
    <numFmt numFmtId="164" formatCode="_-* #,##0.00\ _₽_-;\-* #,##0.00\ _₽_-;_-* &quot;-&quot;??\ _₽_-;_-@_-"/>
    <numFmt numFmtId="165" formatCode="0.000"/>
    <numFmt numFmtId="166" formatCode="0.000E+00"/>
    <numFmt numFmtId="167" formatCode="0.0"/>
    <numFmt numFmtId="168" formatCode="0.0000E+00"/>
    <numFmt numFmtId="170" formatCode="#,##0.0"/>
    <numFmt numFmtId="171" formatCode="#,##0.0_ ;[Red]\-#,##0.0\ "/>
    <numFmt numFmtId="172" formatCode="0E+00"/>
    <numFmt numFmtId="173" formatCode="0.0_ ;[Red]\-0.0\ "/>
    <numFmt numFmtId="174" formatCode="0.00_ ;[Red]\-0.00\ "/>
  </numFmts>
  <fonts count="26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16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6"/>
      <color rgb="FF00B050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rgb="FFFFC7CE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8" fontId="1" fillId="0" borderId="0">
      <alignment vertical="center"/>
    </xf>
    <xf numFmtId="11" fontId="16" fillId="19" borderId="0">
      <alignment vertical="top"/>
    </xf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22" borderId="0" applyNumberFormat="0" applyBorder="0" applyAlignment="0" applyProtection="0"/>
    <xf numFmtId="0" fontId="24" fillId="0" borderId="47" applyNumberFormat="0" applyFill="0" applyAlignment="0" applyProtection="0"/>
    <xf numFmtId="0" fontId="25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7" borderId="19" xfId="0" applyFill="1" applyBorder="1" applyAlignment="1">
      <alignment vertical="center"/>
    </xf>
    <xf numFmtId="165" fontId="0" fillId="7" borderId="20" xfId="0" applyNumberFormat="1" applyFill="1" applyBorder="1" applyAlignment="1">
      <alignment vertical="center"/>
    </xf>
    <xf numFmtId="165" fontId="1" fillId="7" borderId="4" xfId="4" applyNumberFormat="1" applyFill="1" applyBorder="1" applyAlignment="1">
      <alignment horizontal="right" vertical="center"/>
    </xf>
    <xf numFmtId="165" fontId="1" fillId="7" borderId="5" xfId="4" applyNumberFormat="1" applyFill="1" applyBorder="1" applyAlignment="1">
      <alignment horizontal="right" vertical="center"/>
    </xf>
    <xf numFmtId="165" fontId="1" fillId="7" borderId="6" xfId="4" applyNumberFormat="1" applyFill="1" applyBorder="1" applyAlignment="1">
      <alignment horizontal="right" vertical="center"/>
    </xf>
    <xf numFmtId="0" fontId="1" fillId="11" borderId="4" xfId="3" applyFill="1" applyBorder="1" applyAlignment="1">
      <alignment horizontal="right" vertical="center"/>
    </xf>
    <xf numFmtId="2" fontId="1" fillId="11" borderId="5" xfId="1" applyNumberFormat="1" applyFill="1" applyBorder="1" applyAlignment="1">
      <alignment horizontal="right" vertical="center"/>
    </xf>
    <xf numFmtId="2" fontId="1" fillId="11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9" borderId="25" xfId="2" applyFont="1" applyFill="1" applyBorder="1" applyAlignment="1"/>
    <xf numFmtId="0" fontId="0" fillId="10" borderId="25" xfId="2" applyFont="1" applyFill="1" applyBorder="1" applyAlignment="1"/>
    <xf numFmtId="0" fontId="6" fillId="5" borderId="12" xfId="0" applyFont="1" applyFill="1" applyBorder="1"/>
    <xf numFmtId="0" fontId="6" fillId="12" borderId="12" xfId="0" applyFont="1" applyFill="1" applyBorder="1" applyAlignment="1">
      <alignment horizontal="right"/>
    </xf>
    <xf numFmtId="0" fontId="6" fillId="12" borderId="12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28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5" fontId="0" fillId="0" borderId="26" xfId="0" applyNumberFormat="1" applyBorder="1"/>
    <xf numFmtId="165" fontId="0" fillId="0" borderId="27" xfId="0" applyNumberFormat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0" fontId="0" fillId="10" borderId="2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26" xfId="0" applyFill="1" applyBorder="1"/>
    <xf numFmtId="165" fontId="0" fillId="13" borderId="2" xfId="0" applyNumberFormat="1" applyFill="1" applyBorder="1"/>
    <xf numFmtId="165" fontId="0" fillId="13" borderId="0" xfId="0" applyNumberFormat="1" applyFill="1" applyBorder="1"/>
    <xf numFmtId="165" fontId="0" fillId="13" borderId="5" xfId="0" applyNumberFormat="1" applyFill="1" applyBorder="1"/>
    <xf numFmtId="165" fontId="0" fillId="13" borderId="26" xfId="0" applyNumberFormat="1" applyFill="1" applyBorder="1"/>
    <xf numFmtId="0" fontId="0" fillId="14" borderId="2" xfId="0" applyFont="1" applyFill="1" applyBorder="1"/>
    <xf numFmtId="0" fontId="0" fillId="14" borderId="0" xfId="0" applyFont="1" applyFill="1" applyBorder="1"/>
    <xf numFmtId="0" fontId="0" fillId="14" borderId="5" xfId="0" applyFont="1" applyFill="1" applyBorder="1"/>
    <xf numFmtId="0" fontId="0" fillId="14" borderId="26" xfId="0" applyFont="1" applyFill="1" applyBorder="1"/>
    <xf numFmtId="0" fontId="0" fillId="14" borderId="2" xfId="0" applyFill="1" applyBorder="1"/>
    <xf numFmtId="0" fontId="0" fillId="14" borderId="0" xfId="0" applyFill="1" applyBorder="1"/>
    <xf numFmtId="0" fontId="0" fillId="14" borderId="5" xfId="0" applyFill="1" applyBorder="1"/>
    <xf numFmtId="0" fontId="0" fillId="14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8" fontId="2" fillId="5" borderId="9" xfId="0" applyNumberFormat="1" applyFont="1" applyFill="1" applyBorder="1" applyAlignment="1">
      <alignment horizontal="center" vertical="center"/>
    </xf>
    <xf numFmtId="168" fontId="2" fillId="5" borderId="10" xfId="0" applyNumberFormat="1" applyFont="1" applyFill="1" applyBorder="1" applyAlignment="1">
      <alignment horizontal="center" vertical="center"/>
    </xf>
    <xf numFmtId="168" fontId="2" fillId="5" borderId="11" xfId="0" applyNumberFormat="1" applyFont="1" applyFill="1" applyBorder="1" applyAlignment="1">
      <alignment horizontal="center" vertical="center"/>
    </xf>
    <xf numFmtId="168" fontId="0" fillId="0" borderId="20" xfId="0" applyNumberFormat="1" applyBorder="1" applyAlignment="1">
      <alignment vertical="center"/>
    </xf>
    <xf numFmtId="168" fontId="0" fillId="13" borderId="20" xfId="0" applyNumberFormat="1" applyFill="1" applyBorder="1" applyAlignment="1">
      <alignment vertical="center"/>
    </xf>
    <xf numFmtId="168" fontId="0" fillId="0" borderId="22" xfId="0" applyNumberFormat="1" applyBorder="1" applyAlignment="1">
      <alignment vertical="center"/>
    </xf>
    <xf numFmtId="168" fontId="0" fillId="0" borderId="0" xfId="0" applyNumberFormat="1"/>
    <xf numFmtId="0" fontId="0" fillId="0" borderId="0" xfId="0"/>
    <xf numFmtId="0" fontId="8" fillId="0" borderId="30" xfId="0" applyFont="1" applyBorder="1" applyAlignment="1">
      <alignment vertical="center"/>
    </xf>
    <xf numFmtId="0" fontId="0" fillId="0" borderId="30" xfId="0" applyBorder="1" applyAlignment="1">
      <alignment vertical="center"/>
    </xf>
    <xf numFmtId="0" fontId="0" fillId="7" borderId="30" xfId="0" applyFill="1" applyBorder="1" applyAlignment="1">
      <alignment vertical="center"/>
    </xf>
    <xf numFmtId="0" fontId="0" fillId="7" borderId="32" xfId="0" applyFill="1" applyBorder="1" applyAlignment="1">
      <alignment vertical="center"/>
    </xf>
    <xf numFmtId="0" fontId="0" fillId="0" borderId="32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7" borderId="33" xfId="0" applyFill="1" applyBorder="1" applyAlignment="1">
      <alignment vertical="center"/>
    </xf>
    <xf numFmtId="0" fontId="8" fillId="0" borderId="5" xfId="0" applyFont="1" applyBorder="1"/>
    <xf numFmtId="0" fontId="0" fillId="0" borderId="34" xfId="0" applyFill="1" applyBorder="1" applyAlignment="1">
      <alignment vertical="center"/>
    </xf>
    <xf numFmtId="0" fontId="0" fillId="7" borderId="35" xfId="0" applyFill="1" applyBorder="1" applyAlignment="1">
      <alignment vertical="center"/>
    </xf>
    <xf numFmtId="168" fontId="0" fillId="13" borderId="19" xfId="0" applyNumberFormat="1" applyFill="1" applyBorder="1" applyAlignment="1" applyProtection="1">
      <alignment vertical="center"/>
    </xf>
    <xf numFmtId="168" fontId="0" fillId="0" borderId="19" xfId="0" applyNumberFormat="1" applyBorder="1" applyAlignment="1" applyProtection="1">
      <alignment vertical="center"/>
    </xf>
    <xf numFmtId="168" fontId="0" fillId="0" borderId="21" xfId="0" applyNumberFormat="1" applyBorder="1" applyAlignment="1" applyProtection="1">
      <alignment vertical="center"/>
    </xf>
    <xf numFmtId="168" fontId="0" fillId="0" borderId="31" xfId="0" applyNumberFormat="1" applyBorder="1" applyAlignment="1" applyProtection="1">
      <alignment vertical="center"/>
    </xf>
    <xf numFmtId="0" fontId="13" fillId="0" borderId="0" xfId="0" applyFont="1"/>
    <xf numFmtId="0" fontId="0" fillId="0" borderId="0" xfId="0" applyNumberFormat="1"/>
    <xf numFmtId="0" fontId="12" fillId="5" borderId="12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13" fillId="0" borderId="0" xfId="0" applyFont="1" applyBorder="1"/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6" xfId="0" applyNumberFormat="1" applyFont="1" applyFill="1" applyBorder="1"/>
    <xf numFmtId="49" fontId="7" fillId="5" borderId="3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4" fillId="7" borderId="0" xfId="0" applyNumberFormat="1" applyFont="1" applyFill="1" applyBorder="1" applyAlignment="1" applyProtection="1">
      <alignment vertical="top"/>
    </xf>
    <xf numFmtId="0" fontId="10" fillId="0" borderId="0" xfId="0" applyFont="1"/>
    <xf numFmtId="0" fontId="10" fillId="0" borderId="0" xfId="0" applyFont="1" applyFill="1"/>
    <xf numFmtId="0" fontId="12" fillId="5" borderId="3" xfId="0" applyFont="1" applyFill="1" applyBorder="1"/>
    <xf numFmtId="49" fontId="13" fillId="0" borderId="0" xfId="0" applyNumberFormat="1" applyFont="1" applyFill="1" applyAlignment="1">
      <alignment horizontal="left"/>
    </xf>
    <xf numFmtId="0" fontId="2" fillId="5" borderId="12" xfId="0" applyFont="1" applyFill="1" applyBorder="1" applyAlignment="1" applyProtection="1">
      <alignment horizontal="left" vertical="center"/>
      <protection locked="0"/>
    </xf>
    <xf numFmtId="2" fontId="12" fillId="5" borderId="12" xfId="0" applyNumberFormat="1" applyFont="1" applyFill="1" applyBorder="1" applyAlignment="1" applyProtection="1">
      <alignment horizontal="left" vertical="center"/>
      <protection locked="0"/>
    </xf>
    <xf numFmtId="0" fontId="12" fillId="5" borderId="12" xfId="0" applyFont="1" applyFill="1" applyBorder="1" applyAlignment="1" applyProtection="1">
      <alignment horizontal="left" vertical="center"/>
      <protection locked="0"/>
    </xf>
    <xf numFmtId="49" fontId="12" fillId="5" borderId="12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0" xfId="0" applyFont="1"/>
    <xf numFmtId="0" fontId="13" fillId="0" borderId="0" xfId="0" applyFont="1" applyFill="1" applyBorder="1"/>
    <xf numFmtId="49" fontId="13" fillId="6" borderId="0" xfId="0" applyNumberFormat="1" applyFont="1" applyFill="1" applyBorder="1" applyAlignment="1">
      <alignment horizontal="left"/>
    </xf>
    <xf numFmtId="0" fontId="2" fillId="5" borderId="12" xfId="5" applyNumberFormat="1">
      <alignment horizontal="left" vertical="center"/>
    </xf>
    <xf numFmtId="49" fontId="2" fillId="5" borderId="12" xfId="5" applyNumberFormat="1">
      <alignment horizontal="left" vertical="center"/>
    </xf>
    <xf numFmtId="2" fontId="2" fillId="5" borderId="12" xfId="5" applyNumberFormat="1">
      <alignment horizontal="left" vertical="center"/>
    </xf>
    <xf numFmtId="168" fontId="1" fillId="0" borderId="0" xfId="6">
      <alignment vertical="center"/>
    </xf>
    <xf numFmtId="0" fontId="13" fillId="0" borderId="38" xfId="0" applyFont="1" applyFill="1" applyBorder="1"/>
    <xf numFmtId="0" fontId="13" fillId="0" borderId="0" xfId="0" applyFont="1" applyFill="1" applyBorder="1" applyProtection="1">
      <protection locked="0"/>
    </xf>
    <xf numFmtId="0" fontId="2" fillId="5" borderId="41" xfId="5" applyNumberFormat="1" applyBorder="1">
      <alignment horizontal="left" vertical="center"/>
    </xf>
    <xf numFmtId="168" fontId="2" fillId="5" borderId="41" xfId="5" applyNumberFormat="1" applyBorder="1">
      <alignment horizontal="left" vertical="center"/>
    </xf>
    <xf numFmtId="49" fontId="2" fillId="5" borderId="41" xfId="5" applyNumberFormat="1" applyBorder="1">
      <alignment horizontal="left" vertical="center"/>
    </xf>
    <xf numFmtId="0" fontId="13" fillId="0" borderId="38" xfId="0" applyFont="1" applyBorder="1"/>
    <xf numFmtId="0" fontId="13" fillId="6" borderId="0" xfId="0" applyNumberFormat="1" applyFont="1" applyFill="1" applyBorder="1" applyAlignment="1">
      <alignment horizontal="left"/>
    </xf>
    <xf numFmtId="0" fontId="13" fillId="17" borderId="0" xfId="0" applyNumberFormat="1" applyFont="1" applyFill="1" applyBorder="1" applyAlignment="1" applyProtection="1">
      <alignment horizontal="left"/>
      <protection locked="0"/>
    </xf>
    <xf numFmtId="0" fontId="13" fillId="0" borderId="38" xfId="0" applyFont="1" applyFill="1" applyBorder="1" applyProtection="1">
      <protection locked="0"/>
    </xf>
    <xf numFmtId="0" fontId="0" fillId="0" borderId="0" xfId="0" applyAlignment="1">
      <alignment horizontal="center" vertical="center"/>
    </xf>
    <xf numFmtId="166" fontId="13" fillId="0" borderId="0" xfId="0" applyNumberFormat="1" applyFont="1" applyBorder="1" applyAlignment="1" applyProtection="1">
      <alignment vertical="center"/>
    </xf>
    <xf numFmtId="170" fontId="0" fillId="0" borderId="0" xfId="0" applyNumberFormat="1"/>
    <xf numFmtId="170" fontId="0" fillId="0" borderId="0" xfId="0" applyNumberFormat="1" applyProtection="1">
      <protection locked="0"/>
    </xf>
    <xf numFmtId="171" fontId="2" fillId="5" borderId="12" xfId="5" applyNumberFormat="1">
      <alignment horizontal="left" vertical="center"/>
    </xf>
    <xf numFmtId="171" fontId="0" fillId="0" borderId="0" xfId="0" applyNumberFormat="1"/>
    <xf numFmtId="171" fontId="0" fillId="0" borderId="0" xfId="0" applyNumberFormat="1" applyProtection="1">
      <protection locked="0"/>
    </xf>
    <xf numFmtId="172" fontId="0" fillId="0" borderId="0" xfId="0" applyNumberFormat="1"/>
    <xf numFmtId="172" fontId="0" fillId="0" borderId="0" xfId="0" applyNumberFormat="1" applyProtection="1">
      <protection locked="0"/>
    </xf>
    <xf numFmtId="173" fontId="0" fillId="0" borderId="0" xfId="0" applyNumberFormat="1"/>
    <xf numFmtId="173" fontId="0" fillId="0" borderId="0" xfId="0" applyNumberFormat="1" applyProtection="1">
      <protection locked="0"/>
    </xf>
    <xf numFmtId="0" fontId="0" fillId="0" borderId="38" xfId="0" applyBorder="1"/>
    <xf numFmtId="49" fontId="13" fillId="0" borderId="0" xfId="0" applyNumberFormat="1" applyFont="1" applyFill="1" applyBorder="1" applyAlignment="1">
      <alignment horizontal="left"/>
    </xf>
    <xf numFmtId="173" fontId="2" fillId="5" borderId="41" xfId="5" applyNumberFormat="1" applyBorder="1">
      <alignment horizontal="left" vertical="center"/>
    </xf>
    <xf numFmtId="171" fontId="2" fillId="5" borderId="41" xfId="5" applyNumberFormat="1" applyBorder="1">
      <alignment horizontal="left" vertical="center"/>
    </xf>
    <xf numFmtId="170" fontId="2" fillId="5" borderId="41" xfId="5" applyNumberFormat="1" applyBorder="1">
      <alignment horizontal="left" vertical="center"/>
    </xf>
    <xf numFmtId="0" fontId="13" fillId="13" borderId="0" xfId="0" applyFont="1" applyFill="1" applyBorder="1"/>
    <xf numFmtId="167" fontId="13" fillId="13" borderId="0" xfId="0" applyNumberFormat="1" applyFont="1" applyFill="1" applyBorder="1" applyProtection="1">
      <protection locked="0"/>
    </xf>
    <xf numFmtId="173" fontId="13" fillId="15" borderId="0" xfId="0" applyNumberFormat="1" applyFont="1" applyFill="1" applyBorder="1" applyAlignment="1" applyProtection="1">
      <alignment vertical="center"/>
    </xf>
    <xf numFmtId="172" fontId="13" fillId="0" borderId="0" xfId="0" applyNumberFormat="1" applyFont="1" applyBorder="1" applyAlignment="1" applyProtection="1">
      <alignment vertical="center"/>
    </xf>
    <xf numFmtId="171" fontId="13" fillId="21" borderId="0" xfId="0" applyNumberFormat="1" applyFont="1" applyFill="1" applyBorder="1" applyAlignment="1" applyProtection="1">
      <alignment vertical="center"/>
    </xf>
    <xf numFmtId="171" fontId="13" fillId="8" borderId="0" xfId="0" applyNumberFormat="1" applyFont="1" applyFill="1" applyBorder="1" applyAlignment="1" applyProtection="1">
      <alignment vertical="center"/>
    </xf>
    <xf numFmtId="170" fontId="13" fillId="0" borderId="0" xfId="0" applyNumberFormat="1" applyFont="1" applyBorder="1" applyAlignment="1" applyProtection="1">
      <alignment vertical="center"/>
    </xf>
    <xf numFmtId="166" fontId="13" fillId="13" borderId="0" xfId="0" applyNumberFormat="1" applyFont="1" applyFill="1" applyBorder="1" applyAlignment="1" applyProtection="1">
      <alignment vertical="center"/>
    </xf>
    <xf numFmtId="0" fontId="13" fillId="0" borderId="0" xfId="0" applyFont="1" applyProtection="1">
      <protection locked="0"/>
    </xf>
    <xf numFmtId="172" fontId="2" fillId="5" borderId="41" xfId="5" applyNumberFormat="1" applyBorder="1" applyAlignment="1">
      <alignment vertical="center"/>
    </xf>
    <xf numFmtId="0" fontId="13" fillId="16" borderId="0" xfId="0" applyFont="1" applyFill="1" applyBorder="1"/>
    <xf numFmtId="0" fontId="13" fillId="16" borderId="0" xfId="0" applyFont="1" applyFill="1" applyBorder="1" applyAlignment="1" applyProtection="1">
      <alignment vertical="center"/>
      <protection locked="0"/>
    </xf>
    <xf numFmtId="0" fontId="13" fillId="16" borderId="0" xfId="0" applyFont="1" applyFill="1" applyBorder="1" applyAlignment="1" applyProtection="1">
      <alignment vertical="center"/>
    </xf>
    <xf numFmtId="0" fontId="0" fillId="16" borderId="0" xfId="0" applyFill="1"/>
    <xf numFmtId="0" fontId="9" fillId="16" borderId="44" xfId="0" applyFont="1" applyFill="1" applyBorder="1"/>
    <xf numFmtId="0" fontId="13" fillId="16" borderId="43" xfId="0" applyFont="1" applyFill="1" applyBorder="1" applyAlignment="1">
      <alignment vertical="center"/>
    </xf>
    <xf numFmtId="167" fontId="13" fillId="13" borderId="43" xfId="0" applyNumberFormat="1" applyFont="1" applyFill="1" applyBorder="1"/>
    <xf numFmtId="167" fontId="13" fillId="13" borderId="43" xfId="0" applyNumberFormat="1" applyFont="1" applyFill="1" applyBorder="1" applyAlignment="1">
      <alignment vertical="center"/>
    </xf>
    <xf numFmtId="171" fontId="13" fillId="21" borderId="43" xfId="0" applyNumberFormat="1" applyFont="1" applyFill="1" applyBorder="1" applyAlignment="1">
      <alignment vertical="center"/>
    </xf>
    <xf numFmtId="0" fontId="9" fillId="16" borderId="0" xfId="0" applyFont="1" applyFill="1" applyBorder="1"/>
    <xf numFmtId="0" fontId="13" fillId="16" borderId="0" xfId="0" applyFont="1" applyFill="1" applyBorder="1" applyAlignment="1">
      <alignment vertical="center"/>
    </xf>
    <xf numFmtId="167" fontId="13" fillId="13" borderId="0" xfId="0" applyNumberFormat="1" applyFont="1" applyFill="1" applyBorder="1"/>
    <xf numFmtId="167" fontId="13" fillId="13" borderId="0" xfId="0" applyNumberFormat="1" applyFont="1" applyFill="1" applyBorder="1" applyAlignment="1">
      <alignment vertical="center"/>
    </xf>
    <xf numFmtId="173" fontId="13" fillId="15" borderId="0" xfId="0" applyNumberFormat="1" applyFont="1" applyFill="1" applyBorder="1" applyAlignment="1">
      <alignment vertical="center"/>
    </xf>
    <xf numFmtId="172" fontId="13" fillId="0" borderId="0" xfId="0" applyNumberFormat="1" applyFont="1" applyBorder="1" applyAlignment="1">
      <alignment vertical="center"/>
    </xf>
    <xf numFmtId="171" fontId="13" fillId="21" borderId="0" xfId="0" applyNumberFormat="1" applyFont="1" applyFill="1" applyBorder="1" applyAlignment="1">
      <alignment vertical="center"/>
    </xf>
    <xf numFmtId="171" fontId="13" fillId="8" borderId="0" xfId="0" applyNumberFormat="1" applyFont="1" applyFill="1" applyBorder="1" applyAlignment="1">
      <alignment vertical="center"/>
    </xf>
    <xf numFmtId="170" fontId="13" fillId="0" borderId="0" xfId="0" applyNumberFormat="1" applyFont="1" applyBorder="1" applyAlignment="1">
      <alignment vertical="center"/>
    </xf>
    <xf numFmtId="166" fontId="13" fillId="13" borderId="0" xfId="0" applyNumberFormat="1" applyFont="1" applyFill="1" applyBorder="1" applyAlignment="1">
      <alignment vertical="center"/>
    </xf>
    <xf numFmtId="166" fontId="13" fillId="0" borderId="0" xfId="0" applyNumberFormat="1" applyFont="1" applyBorder="1" applyAlignment="1">
      <alignment vertical="center"/>
    </xf>
    <xf numFmtId="173" fontId="0" fillId="0" borderId="0" xfId="0" applyNumberFormat="1" applyBorder="1"/>
    <xf numFmtId="172" fontId="0" fillId="0" borderId="0" xfId="0" applyNumberFormat="1" applyBorder="1"/>
    <xf numFmtId="171" fontId="0" fillId="0" borderId="0" xfId="0" applyNumberFormat="1" applyBorder="1"/>
    <xf numFmtId="170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3" fontId="2" fillId="5" borderId="0" xfId="0" applyNumberFormat="1" applyFont="1" applyFill="1" applyBorder="1" applyAlignment="1" applyProtection="1">
      <alignment horizontal="left" vertical="center"/>
    </xf>
    <xf numFmtId="172" fontId="2" fillId="5" borderId="0" xfId="0" applyNumberFormat="1" applyFont="1" applyFill="1" applyBorder="1" applyAlignment="1" applyProtection="1">
      <alignment vertical="center"/>
    </xf>
    <xf numFmtId="171" fontId="2" fillId="5" borderId="0" xfId="0" applyNumberFormat="1" applyFont="1" applyFill="1" applyBorder="1" applyAlignment="1" applyProtection="1">
      <alignment horizontal="left" vertical="center"/>
    </xf>
    <xf numFmtId="170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4" fontId="2" fillId="5" borderId="41" xfId="5" applyNumberFormat="1" applyBorder="1">
      <alignment horizontal="left" vertical="center"/>
    </xf>
    <xf numFmtId="174" fontId="2" fillId="5" borderId="12" xfId="5" applyNumberFormat="1">
      <alignment horizontal="left" vertical="center"/>
    </xf>
    <xf numFmtId="174" fontId="13" fillId="13" borderId="43" xfId="0" applyNumberFormat="1" applyFont="1" applyFill="1" applyBorder="1" applyAlignment="1">
      <alignment vertical="center"/>
    </xf>
    <xf numFmtId="174" fontId="13" fillId="13" borderId="43" xfId="0" applyNumberFormat="1" applyFont="1" applyFill="1" applyBorder="1"/>
    <xf numFmtId="174" fontId="13" fillId="13" borderId="0" xfId="0" applyNumberFormat="1" applyFont="1" applyFill="1" applyBorder="1" applyProtection="1">
      <protection locked="0"/>
    </xf>
    <xf numFmtId="174" fontId="13" fillId="13" borderId="0" xfId="0" applyNumberFormat="1" applyFont="1" applyFill="1" applyBorder="1"/>
    <xf numFmtId="174" fontId="0" fillId="0" borderId="0" xfId="0" applyNumberFormat="1"/>
    <xf numFmtId="174" fontId="0" fillId="0" borderId="0" xfId="0" applyNumberFormat="1" applyBorder="1"/>
    <xf numFmtId="174" fontId="2" fillId="5" borderId="0" xfId="0" applyNumberFormat="1" applyFont="1" applyFill="1" applyBorder="1" applyAlignment="1" applyProtection="1">
      <alignment horizontal="left" vertical="center"/>
    </xf>
    <xf numFmtId="174" fontId="13" fillId="13" borderId="0" xfId="0" applyNumberFormat="1" applyFont="1" applyFill="1" applyBorder="1" applyAlignment="1">
      <alignment vertical="center"/>
    </xf>
    <xf numFmtId="174" fontId="0" fillId="0" borderId="0" xfId="0" applyNumberFormat="1" applyProtection="1">
      <protection locked="0"/>
    </xf>
    <xf numFmtId="0" fontId="13" fillId="0" borderId="0" xfId="0" applyNumberFormat="1" applyFont="1" applyBorder="1" applyAlignment="1" applyProtection="1">
      <alignment vertical="center"/>
    </xf>
    <xf numFmtId="49" fontId="18" fillId="20" borderId="0" xfId="0" applyNumberFormat="1" applyFont="1" applyFill="1" applyProtection="1">
      <protection locked="0"/>
    </xf>
    <xf numFmtId="166" fontId="0" fillId="0" borderId="0" xfId="0" applyNumberFormat="1" applyAlignment="1">
      <alignment vertical="center"/>
    </xf>
    <xf numFmtId="166" fontId="0" fillId="13" borderId="0" xfId="0" applyNumberFormat="1" applyFill="1" applyAlignment="1">
      <alignment vertical="center"/>
    </xf>
    <xf numFmtId="171" fontId="0" fillId="8" borderId="0" xfId="0" applyNumberFormat="1" applyFill="1" applyAlignment="1">
      <alignment vertical="center"/>
    </xf>
    <xf numFmtId="171" fontId="0" fillId="21" borderId="0" xfId="0" applyNumberFormat="1" applyFill="1" applyAlignment="1">
      <alignment vertical="center"/>
    </xf>
    <xf numFmtId="2" fontId="0" fillId="0" borderId="0" xfId="0" applyNumberFormat="1" applyAlignment="1">
      <alignment vertical="center"/>
    </xf>
    <xf numFmtId="0" fontId="0" fillId="13" borderId="0" xfId="0" applyFill="1"/>
    <xf numFmtId="49" fontId="0" fillId="16" borderId="0" xfId="0" applyNumberFormat="1" applyFill="1" applyAlignment="1" applyProtection="1">
      <alignment vertical="center"/>
      <protection locked="0"/>
    </xf>
    <xf numFmtId="171" fontId="2" fillId="5" borderId="12" xfId="0" applyNumberFormat="1" applyFont="1" applyFill="1" applyBorder="1" applyAlignment="1" applyProtection="1">
      <alignment horizontal="left" vertical="center"/>
      <protection locked="0"/>
    </xf>
    <xf numFmtId="0" fontId="2" fillId="5" borderId="37" xfId="5" applyNumberFormat="1" applyBorder="1">
      <alignment horizontal="left" vertical="center"/>
    </xf>
    <xf numFmtId="0" fontId="2" fillId="5" borderId="39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3" fillId="16" borderId="38" xfId="0" applyFont="1" applyFill="1" applyBorder="1" applyAlignment="1">
      <alignment vertical="center"/>
    </xf>
    <xf numFmtId="0" fontId="13" fillId="16" borderId="42" xfId="0" applyFont="1" applyFill="1" applyBorder="1" applyAlignment="1">
      <alignment vertical="center"/>
    </xf>
    <xf numFmtId="0" fontId="13" fillId="16" borderId="38" xfId="0" applyFont="1" applyFill="1" applyBorder="1" applyAlignment="1" applyProtection="1">
      <alignment vertical="center"/>
      <protection locked="0"/>
    </xf>
    <xf numFmtId="0" fontId="2" fillId="5" borderId="38" xfId="0" applyNumberFormat="1" applyFont="1" applyFill="1" applyBorder="1" applyAlignment="1" applyProtection="1">
      <alignment horizontal="left" vertical="center"/>
    </xf>
    <xf numFmtId="0" fontId="0" fillId="0" borderId="38" xfId="0" applyBorder="1" applyProtection="1">
      <protection locked="0"/>
    </xf>
    <xf numFmtId="0" fontId="2" fillId="5" borderId="9" xfId="5" applyNumberFormat="1" applyBorder="1">
      <alignment horizontal="left" vertical="center"/>
    </xf>
    <xf numFmtId="0" fontId="2" fillId="5" borderId="9" xfId="0" applyFont="1" applyFill="1" applyBorder="1" applyAlignment="1" applyProtection="1">
      <alignment horizontal="left" vertical="center"/>
      <protection locked="0"/>
    </xf>
    <xf numFmtId="0" fontId="2" fillId="5" borderId="40" xfId="5" applyNumberFormat="1" applyBorder="1">
      <alignment horizontal="left" vertical="center"/>
    </xf>
    <xf numFmtId="0" fontId="3" fillId="5" borderId="40" xfId="0" applyFont="1" applyFill="1" applyBorder="1" applyAlignment="1" applyProtection="1">
      <alignment horizontal="left" vertical="center"/>
      <protection locked="0"/>
    </xf>
    <xf numFmtId="0" fontId="2" fillId="5" borderId="45" xfId="5" applyNumberFormat="1" applyBorder="1">
      <alignment horizontal="left" vertical="center"/>
    </xf>
    <xf numFmtId="0" fontId="0" fillId="16" borderId="38" xfId="0" applyFill="1" applyBorder="1"/>
    <xf numFmtId="0" fontId="3" fillId="5" borderId="46" xfId="0" applyFont="1" applyFill="1" applyBorder="1" applyAlignment="1" applyProtection="1">
      <alignment horizontal="left" vertical="center"/>
      <protection locked="0"/>
    </xf>
    <xf numFmtId="49" fontId="21" fillId="5" borderId="0" xfId="0" applyNumberFormat="1" applyFont="1" applyFill="1" applyBorder="1" applyProtection="1"/>
    <xf numFmtId="49" fontId="22" fillId="5" borderId="0" xfId="0" applyNumberFormat="1" applyFont="1" applyFill="1" applyBorder="1"/>
    <xf numFmtId="49" fontId="22" fillId="5" borderId="0" xfId="0" applyNumberFormat="1" applyFont="1" applyFill="1" applyBorder="1" applyProtection="1"/>
    <xf numFmtId="0" fontId="13" fillId="0" borderId="0" xfId="0" applyNumberFormat="1" applyFont="1" applyFill="1" applyBorder="1" applyAlignment="1">
      <alignment horizontal="left"/>
    </xf>
    <xf numFmtId="1" fontId="13" fillId="0" borderId="0" xfId="0" applyNumberFormat="1" applyFont="1" applyFill="1" applyBorder="1" applyProtection="1">
      <protection locked="0"/>
    </xf>
    <xf numFmtId="0" fontId="13" fillId="0" borderId="0" xfId="0" applyNumberFormat="1" applyFont="1" applyFill="1" applyBorder="1" applyProtection="1">
      <protection locked="0"/>
    </xf>
    <xf numFmtId="49" fontId="13" fillId="18" borderId="0" xfId="0" applyNumberFormat="1" applyFont="1" applyFill="1" applyBorder="1" applyAlignment="1">
      <alignment horizontal="left"/>
    </xf>
    <xf numFmtId="49" fontId="13" fillId="0" borderId="0" xfId="0" applyNumberFormat="1" applyFont="1" applyFill="1" applyBorder="1" applyAlignment="1" applyProtection="1">
      <alignment vertical="center"/>
      <protection locked="0"/>
    </xf>
    <xf numFmtId="0" fontId="11" fillId="0" borderId="0" xfId="0" applyNumberFormat="1" applyFont="1" applyFill="1" applyBorder="1" applyAlignment="1" applyProtection="1">
      <alignment vertical="top"/>
    </xf>
    <xf numFmtId="0" fontId="8" fillId="0" borderId="0" xfId="0" applyFont="1" applyBorder="1"/>
    <xf numFmtId="0" fontId="13" fillId="13" borderId="0" xfId="0" applyNumberFormat="1" applyFont="1" applyFill="1" applyBorder="1" applyAlignment="1" applyProtection="1">
      <alignment vertical="center"/>
    </xf>
    <xf numFmtId="0" fontId="13" fillId="0" borderId="0" xfId="0" applyNumberFormat="1" applyFont="1" applyFill="1" applyBorder="1" applyAlignment="1" applyProtection="1">
      <alignment vertical="center"/>
    </xf>
    <xf numFmtId="0" fontId="13" fillId="13" borderId="0" xfId="0" applyNumberFormat="1" applyFont="1" applyFill="1" applyBorder="1"/>
    <xf numFmtId="0" fontId="13" fillId="0" borderId="0" xfId="0" applyNumberFormat="1" applyFont="1" applyFill="1" applyBorder="1"/>
    <xf numFmtId="0" fontId="13" fillId="0" borderId="0" xfId="0" applyNumberFormat="1" applyFont="1"/>
    <xf numFmtId="2" fontId="12" fillId="0" borderId="41" xfId="0" applyNumberFormat="1" applyFont="1" applyBorder="1" applyAlignment="1" applyProtection="1">
      <alignment horizontal="center"/>
      <protection locked="0"/>
    </xf>
    <xf numFmtId="2" fontId="12" fillId="0" borderId="12" xfId="0" applyNumberFormat="1" applyFont="1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 vertical="center"/>
      <protection locked="0"/>
    </xf>
    <xf numFmtId="0" fontId="12" fillId="0" borderId="16" xfId="0" applyFont="1" applyBorder="1" applyAlignment="1" applyProtection="1">
      <alignment horizontal="center" vertical="center"/>
      <protection locked="0"/>
    </xf>
    <xf numFmtId="0" fontId="12" fillId="0" borderId="40" xfId="0" applyFont="1" applyBorder="1" applyAlignment="1" applyProtection="1">
      <alignment horizontal="center" vertical="center"/>
      <protection locked="0"/>
    </xf>
    <xf numFmtId="0" fontId="13" fillId="13" borderId="0" xfId="0" applyNumberFormat="1" applyFont="1" applyFill="1"/>
    <xf numFmtId="0" fontId="23" fillId="22" borderId="0" xfId="10" applyAlignment="1">
      <alignment horizontal="center" vertical="center"/>
    </xf>
    <xf numFmtId="0" fontId="13" fillId="0" borderId="0" xfId="0" applyNumberFormat="1" applyFont="1" applyFill="1" applyAlignment="1">
      <alignment horizontal="left"/>
    </xf>
    <xf numFmtId="0" fontId="25" fillId="0" borderId="0" xfId="12" applyAlignment="1">
      <alignment horizontal="center" vertical="center"/>
    </xf>
    <xf numFmtId="0" fontId="13" fillId="0" borderId="0" xfId="0" applyNumberFormat="1" applyFont="1" applyBorder="1"/>
    <xf numFmtId="0" fontId="0" fillId="2" borderId="48" xfId="2" applyFont="1" applyBorder="1" applyAlignment="1">
      <alignment horizontal="center" vertical="center"/>
    </xf>
    <xf numFmtId="9" fontId="0" fillId="0" borderId="0" xfId="9" applyFont="1" applyAlignment="1">
      <alignment horizontal="center" vertical="center"/>
    </xf>
    <xf numFmtId="0" fontId="24" fillId="0" borderId="0" xfId="11" applyFill="1" applyBorder="1" applyAlignment="1">
      <alignment horizontal="center" vertical="center"/>
    </xf>
    <xf numFmtId="41" fontId="0" fillId="0" borderId="0" xfId="8" applyFont="1" applyAlignment="1">
      <alignment horizontal="center" vertical="center"/>
    </xf>
    <xf numFmtId="11" fontId="16" fillId="19" borderId="0" xfId="7">
      <alignment vertical="top"/>
    </xf>
  </cellXfs>
  <cellStyles count="13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лохой" xfId="10" builtinId="27"/>
    <cellStyle name="Пояснение" xfId="12" builtinId="53"/>
    <cellStyle name="Примечание" xfId="2" builtinId="10"/>
    <cellStyle name="Процентный" xfId="9" builtinId="5"/>
    <cellStyle name="Связанная ячейка" xfId="11" builtinId="24"/>
    <cellStyle name="Финансовый" xfId="1" builtinId="3"/>
    <cellStyle name="Финансовый [0]" xfId="8" builtinId="6"/>
    <cellStyle name="Форм" xfId="7" xr:uid="{C513593A-0608-4709-8881-DD8FFE279C8E}"/>
  </cellStyles>
  <dxfs count="136">
    <dxf>
      <numFmt numFmtId="0" formatCode="General"/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>
          <bgColor theme="1" tint="4.9989318521683403E-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168" formatCode="0.0000E+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4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30" formatCode="@"/>
      <protection locked="0" hidden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66" formatCode="0.000E+00"/>
      <alignment horizontal="general" vertical="center" textRotation="0" wrapText="0" indent="0" justifyLastLine="0" shrinkToFit="0" readingOrder="0"/>
    </dxf>
    <dxf>
      <numFmt numFmtId="166" formatCode="0.000E+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numFmt numFmtId="171" formatCode="#,##0.0_ ;[Red]\-#,##0.0\ 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</dxf>
    <dxf>
      <numFmt numFmtId="171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numFmt numFmtId="171" formatCode="#,##0.0_ ;[Red]\-#,##0.0\ 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numFmt numFmtId="171" formatCode="#,##0.0_ ;[Red]\-#,##0.0\ "/>
      <fill>
        <patternFill patternType="solid">
          <fgColor indexed="64"/>
          <bgColor theme="9" tint="0.39997558519241921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vertical/>
      </border>
    </dxf>
    <dxf>
      <numFmt numFmtId="30" formatCode="@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/>
        <vertical/>
        <horizontal/>
      </border>
      <protection locked="0" hidden="0"/>
    </dxf>
    <dxf>
      <numFmt numFmtId="30" formatCode="@"/>
    </dxf>
    <dxf>
      <numFmt numFmtId="165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4429125"/>
    <xdr:ext cx="2257424" cy="3381375"/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8,3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8,3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429125"/>
              <a:ext cx="2257424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absoluteAnchor>
  <xdr:twoCellAnchor editAs="oneCell">
    <xdr:from>
      <xdr:col>18</xdr:col>
      <xdr:colOff>19050</xdr:colOff>
      <xdr:row>16</xdr:row>
      <xdr:rowOff>142876</xdr:rowOff>
    </xdr:from>
    <xdr:to>
      <xdr:col>19</xdr:col>
      <xdr:colOff>781050</xdr:colOff>
      <xdr:row>22</xdr:row>
      <xdr:rowOff>142876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Ф       Фаза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Фаз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5050" y="4457701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19050</xdr:rowOff>
    </xdr:from>
    <xdr:to>
      <xdr:col>2</xdr:col>
      <xdr:colOff>619125</xdr:colOff>
      <xdr:row>15</xdr:row>
      <xdr:rowOff>76199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295400"/>
              <a:ext cx="1800225" cy="3086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28575</xdr:colOff>
      <xdr:row>4</xdr:row>
      <xdr:rowOff>28575</xdr:rowOff>
    </xdr:from>
    <xdr:to>
      <xdr:col>22</xdr:col>
      <xdr:colOff>66675</xdr:colOff>
      <xdr:row>9</xdr:row>
      <xdr:rowOff>180975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57375" y="1304925"/>
              <a:ext cx="184785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19050</xdr:rowOff>
        </xdr:from>
        <xdr:to>
          <xdr:col>17</xdr:col>
          <xdr:colOff>276225</xdr:colOff>
          <xdr:row>0</xdr:row>
          <xdr:rowOff>257175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3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905996</xdr:colOff>
      <xdr:row>42</xdr:row>
      <xdr:rowOff>17929</xdr:rowOff>
    </xdr:from>
    <xdr:ext cx="13143379" cy="2344272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5996" y="12400429"/>
              <a:ext cx="13143379" cy="23442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twoCellAnchor editAs="oneCell">
    <xdr:from>
      <xdr:col>13</xdr:col>
      <xdr:colOff>848285</xdr:colOff>
      <xdr:row>42</xdr:row>
      <xdr:rowOff>38100</xdr:rowOff>
    </xdr:from>
    <xdr:to>
      <xdr:col>16</xdr:col>
      <xdr:colOff>674033</xdr:colOff>
      <xdr:row>53</xdr:row>
      <xdr:rowOff>218515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54710" y="12420600"/>
              <a:ext cx="1825998" cy="34284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8_31" xr10:uid="{E5627938-7BCB-4627-B450-64E65220A7CE}" sourceName="8,31">
  <extLst>
    <x:ext xmlns:x15="http://schemas.microsoft.com/office/spreadsheetml/2010/11/main" uri="{2F2917AC-EB37-4324-AD4E-5DD8C200BD13}">
      <x15:tableSlicerCache tableId="14" column="1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A76ACEA8-272E-486B-9334-13DDA7C646E5}" sourceName="Ф          if &quot;?&quot; =&gt; not &quot;g&quot;">
  <extLst>
    <x:ext xmlns:x15="http://schemas.microsoft.com/office/spreadsheetml/2010/11/main" uri="{2F2917AC-EB37-4324-AD4E-5DD8C200BD13}">
      <x15:tableSlicerCache tableId="15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Фаза" xr10:uid="{B7BB0F43-5FF3-486B-86A3-4272AC87609E}" sourceName="Ф       Фаза">
  <extLst>
    <x:ext xmlns:x15="http://schemas.microsoft.com/office/spreadsheetml/2010/11/main" uri="{2F2917AC-EB37-4324-AD4E-5DD8C200BD13}">
      <x15:tableSlicerCache tableId="14" column="4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DB06CF97-19ED-49BA-90C6-E5A903248971}" sourceName="Названиe">
  <extLst>
    <x:ext xmlns:x15="http://schemas.microsoft.com/office/spreadsheetml/2010/11/main" uri="{2F2917AC-EB37-4324-AD4E-5DD8C200BD13}">
      <x15:tableSlicerCache tableId="15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8,31" xr10:uid="{48AB99C5-05EC-41C5-99B2-EC82E4C53A1C}" cache="Срез_8_31" caption="Вещество" columnCount="2" rowHeight="336550"/>
  <slicer name="Ф       Фаза" xr10:uid="{FE2C3C87-8F87-4F36-B17F-66B48326E492}" cache="Срез_Ф_______Фаза" caption="Фаза" rowHeight="3365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CE91E11D-D3B9-4C8B-B4C0-0BB192A724F9}" cache="Срез_Ф__________if__?_____not__g" caption="Фаза" rowHeight="336550"/>
  <slicer name="Названиe 1" xr10:uid="{EE3033F4-1C76-4D40-927C-5C3DCFCEC239}" cache="Срез_Названиe1" caption="Вещество" columnCount="4" rowHeight="43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E09405-AE14-40D5-B341-50C5324F0DA7}" name="TerraРасчет" displayName="TerraРасчет" ref="A1:T2" totalsRowShown="0" headerRowDxfId="135" dataDxfId="134" dataCellStyle="Акцент3">
  <autoFilter ref="A1:T2" xr:uid="{F864FCED-5B62-400A-A6F1-416199C86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F6D70477-5653-4862-844E-F4C16F63FEE4}" name="8,3145" dataDxfId="133"/>
    <tableColumn id="2" xr3:uid="{BB40138A-8808-4061-AEDA-CF469EFB4093}" name="To" dataDxfId="132"/>
    <tableColumn id="3" xr3:uid="{43E7B414-AB47-428B-9A0D-DF042EF59F80}" name="T" dataDxfId="131"/>
    <tableColumn id="4" xr3:uid="{962C345B-46D3-4BA8-81F8-8B5DBBA25F4D}" name="ΔfH298 кДж" dataDxfId="130" dataCellStyle="60% — акцент6"/>
    <tableColumn id="5" xr3:uid="{09C4003E-90AB-4543-8CB0-65D02D47956A}" name="f1" dataDxfId="129"/>
    <tableColumn id="6" xr3:uid="{887E2589-4390-49B0-9135-C50E7CFD4C9D}" name=" +f2 lnx" dataDxfId="128"/>
    <tableColumn id="7" xr3:uid="{6ABFC53E-E6B7-495E-A610-477F073B9B8B}" name=" +f3 /x^2" dataDxfId="127"/>
    <tableColumn id="8" xr3:uid="{A86EFD9D-1EBD-43B7-A0D0-A329591090EC}" name=" +f4 /x" dataDxfId="126"/>
    <tableColumn id="9" xr3:uid="{88C19ABD-4EC3-4304-85BB-3774D23DEE2F}" name="  +f5 x" dataDxfId="125"/>
    <tableColumn id="10" xr3:uid="{19739978-D976-432F-A7E6-7504DD8D4966}" name=" +f6 x^2" dataDxfId="124"/>
    <tableColumn id="11" xr3:uid="{01A66EF0-D18E-474B-A021-49EF50FD2588}" name=" +f7 x^3" dataDxfId="123"/>
    <tableColumn id="12" xr3:uid="{009EEC10-9A23-43DD-8AD4-D748C6DFC094}" name="h0" dataDxfId="122" dataCellStyle="Акцент3">
      <calculatedColumnFormula>D2/10/A1</calculatedColumnFormula>
    </tableColumn>
    <tableColumn id="13" xr3:uid="{659548A5-C601-4EF4-8BA3-8293E1075BED}" name="φ1" dataDxfId="121" dataCellStyle="Акцент3">
      <calculatedColumnFormula>E2/A1</calculatedColumnFormula>
    </tableColumn>
    <tableColumn id="14" xr3:uid="{AAE2C31D-0366-4E59-95C1-C0C0DCC1A361}" name="φ2" dataDxfId="120" dataCellStyle="Акцент3">
      <calculatedColumnFormula>F2/A1</calculatedColumnFormula>
    </tableColumn>
    <tableColumn id="15" xr3:uid="{A8D9100C-7848-4D41-8082-2ED38BC3B447}" name="φ3" dataDxfId="119" dataCellStyle="Акцент3">
      <calculatedColumnFormula>G2/A1</calculatedColumnFormula>
    </tableColumn>
    <tableColumn id="16" xr3:uid="{191574BD-2C69-49A1-8B80-387BE1281538}" name="φ4" dataDxfId="118" dataCellStyle="Акцент3">
      <calculatedColumnFormula>H2/A1</calculatedColumnFormula>
    </tableColumn>
    <tableColumn id="17" xr3:uid="{656F5846-8C99-463F-85D3-1D966920686B}" name="φ5" dataDxfId="117" dataCellStyle="Акцент3">
      <calculatedColumnFormula>I2/A1</calculatedColumnFormula>
    </tableColumn>
    <tableColumn id="18" xr3:uid="{F3FBB6BC-0ADE-44B4-926C-D51EA6D5CE47}" name="φ6" dataDxfId="116" dataCellStyle="Акцент3">
      <calculatedColumnFormula>J2/A1</calculatedColumnFormula>
    </tableColumn>
    <tableColumn id="19" xr3:uid="{F3CC7336-84AD-4BF8-A3FB-562250B41B23}" name="φ7" dataDxfId="115" dataCellStyle="Акцент3">
      <calculatedColumnFormula>K2/A1</calculatedColumnFormula>
    </tableColumn>
    <tableColumn id="20" xr3:uid="{85C266A3-4D2A-4200-90D7-21819B35CDE8}" name="Тип" dataDxfId="11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4A2A63-ABD6-4FAC-B4B9-94FF014C572B}" name="TerraБанк" displayName="TerraБанк" ref="A28:T92" totalsRowShown="0" headerRowDxfId="113">
  <autoFilter ref="A28:T92" xr:uid="{E7C1E993-DC47-4C1B-A2C6-B12A0E48E37E}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9:T92">
    <sortCondition ref="A29:A92"/>
    <sortCondition ref="B29:B92"/>
  </sortState>
  <tableColumns count="20">
    <tableColumn id="1" xr3:uid="{A496D1C9-75D5-44EA-B0F5-12B24567AC66}" name="Вещество:" dataDxfId="112"/>
    <tableColumn id="2" xr3:uid="{B27A7AFD-6437-43CB-B205-001947AF22C5}" name="To" dataDxfId="111"/>
    <tableColumn id="3" xr3:uid="{F8B6FE0F-47E0-4F56-8D49-E7F8D9BDE532}" name="T" dataDxfId="110"/>
    <tableColumn id="4" xr3:uid="{AA60D029-D510-409E-B2D8-79341F783BF9}" name="ΔfH298 кДж"/>
    <tableColumn id="5" xr3:uid="{4FDE5A16-7FD7-426A-B019-A32BA6B3BA68}" name="f1" dataDxfId="109"/>
    <tableColumn id="6" xr3:uid="{6C7EB40F-8185-4A32-BB84-D7AE92FB15E9}" name=" +f2 lnx"/>
    <tableColumn id="7" xr3:uid="{F4B00BEF-2CEA-4B03-A1D1-5652EB13D89B}" name=" +f3 /x^2" dataDxfId="108"/>
    <tableColumn id="8" xr3:uid="{CB3505D4-3797-42B2-BB00-30AECA739707}" name=" +f4 /x"/>
    <tableColumn id="9" xr3:uid="{1D68A0CE-67B8-4DC0-8E3F-E3787709577D}" name="  +f5 x" dataDxfId="107"/>
    <tableColumn id="10" xr3:uid="{09DCABF0-143F-4B8D-A0EA-42CD38BE813F}" name=" +f6 x^2"/>
    <tableColumn id="11" xr3:uid="{E62579E3-A9DE-47E1-8924-BB9D66919382}" name=" +f7 x^3" dataDxfId="106"/>
    <tableColumn id="12" xr3:uid="{1100EBF6-5FDF-4E55-AB42-D192C3F5D035}" name="h0" dataDxfId="105"/>
    <tableColumn id="13" xr3:uid="{7472095F-82D1-4F30-BD4F-EF47376FA9C5}" name="φ1" dataDxfId="104"/>
    <tableColumn id="14" xr3:uid="{65423363-3F37-4009-BEA4-D5FAA62E913F}" name="φ2" dataDxfId="103"/>
    <tableColumn id="15" xr3:uid="{D2547A53-4426-41EE-8CF3-B68A8EF8A5BA}" name="φ3" dataDxfId="102"/>
    <tableColumn id="16" xr3:uid="{04B96E84-AFBF-4929-96A4-E1D614078EDA}" name="φ4" dataDxfId="101"/>
    <tableColumn id="17" xr3:uid="{4C1AA269-00ED-4D3E-8200-3A4CE6BD9FAC}" name="φ5" dataDxfId="100"/>
    <tableColumn id="18" xr3:uid="{370E4D8C-FFF5-416C-A881-E1EC896832A8}" name="φ6" dataDxfId="99"/>
    <tableColumn id="19" xr3:uid="{01BCAA21-0789-445E-B9B9-1064903EC4CD}" name="φ7" dataDxfId="98"/>
    <tableColumn id="20" xr3:uid="{4856DF7F-5A02-49C4-8727-B1E70E81A40F}" name="Тип" dataDxfId="97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39CB874-028C-4475-B9E7-EDF430E72DC3}" name="Таблица315" displayName="Таблица315" ref="A30:AB56" totalsRowShown="0">
  <autoFilter ref="A30:AB56" xr:uid="{4FE95747-0AEA-48F8-9F8C-330210B39C6C}">
    <filterColumn colId="0" hiddenButton="1">
      <filters>
        <filter val="Se"/>
      </filters>
    </filterColumn>
    <filterColumn colId="1" hiddenButton="1"/>
    <filterColumn colId="2" hiddenButton="1"/>
    <filterColumn colId="3" hiddenButton="1">
      <filters>
        <filter val="l"/>
        <filter val="s"/>
      </filters>
    </filterColumn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sortState xmlns:xlrd2="http://schemas.microsoft.com/office/spreadsheetml/2017/richdata2" ref="A31:AB56">
    <sortCondition ref="A31:A56"/>
    <sortCondition descending="1" ref="D31:D56"/>
    <sortCondition ref="B31:B56"/>
  </sortState>
  <tableColumns count="28">
    <tableColumn id="1" xr3:uid="{7DC7EB8C-134E-49FA-B3D7-C77AFE430049}" name="8,31" dataDxfId="96"/>
    <tableColumn id="2" xr3:uid="{BEFC19ED-CC2E-4F6C-A361-429D2FE64B42}" name="Тo К"/>
    <tableColumn id="3" xr3:uid="{AB6B299C-CFBE-4483-A2AC-8F44C6667CF6}" name="T K"/>
    <tableColumn id="4" xr3:uid="{8CA245D3-FDC5-4621-A823-59AD2FF5370F}" name="Ф       Фаза" dataDxfId="95"/>
    <tableColumn id="5" xr3:uid="{C47501F5-5524-4092-A8B8-A306F4568E41}" name="Н(To) кДж"/>
    <tableColumn id="6" xr3:uid="{B0A7A882-F555-4BC7-B034-C3E6DC7CF0A6}" name="S(To)  Дж"/>
    <tableColumn id="7" xr3:uid="{324E29AA-088F-45B6-82D5-72AE83646E67}" name="а "/>
    <tableColumn id="8" xr3:uid="{8082A936-6E34-42E1-9FDF-B4FF370C03A2}" name="b*T"/>
    <tableColumn id="9" xr3:uid="{F480D5DF-1C15-4963-B1B4-62D7F5B1E26D}" name="c *T^(-2)"/>
    <tableColumn id="10" xr3:uid="{DD68B8C2-5768-463A-A36C-8B0A4D6DFB9F}" name="d *T^(2)"/>
    <tableColumn id="11" xr3:uid="{2373092D-8A41-4A33-A7EC-7AF52700B805}" name="e *T^(-3)"/>
    <tableColumn id="12" xr3:uid="{7DCBB5C4-54B2-408E-91E5-E789F4F6176E}" name="f *T^3"/>
    <tableColumn id="13" xr3:uid="{D1E8C51F-562E-4FB5-B733-5AA2D2C1F851}" name="Xo                    К/10000" dataDxfId="94">
      <calculatedColumnFormula>B31/10000</calculatedColumnFormula>
    </tableColumn>
    <tableColumn id="14" xr3:uid="{8FF1E617-9041-4FC4-B634-3CCCB7A009AE}" name="X                       К/10000" dataDxfId="93">
      <calculatedColumnFormula>C31/10000</calculatedColumnFormula>
    </tableColumn>
    <tableColumn id="15" xr3:uid="{3CBF3903-6CF9-490D-A942-2CA2407FB7BB}" name="H(To) Дж" dataDxfId="92">
      <calculatedColumnFormula>P30+E31*1000</calculatedColumnFormula>
    </tableColumn>
    <tableColumn id="16" xr3:uid="{EFA307E3-6D19-4E47-9CCD-9C785B0C7444}" name="H(T) Дж" dataDxfId="91">
      <calculatedColumnFormula>10000*$A$1*(N31*U31-V31*2/N31+X31*N31^2+Y31*2*N31^3+Z31*3*N31^4-W31+S31)</calculatedColumnFormula>
    </tableColumn>
    <tableColumn id="17" xr3:uid="{FFB96AC3-BD2F-453A-9CD4-208A91DC38CA}" name="S(To) Дж" dataDxfId="90">
      <calculatedColumnFormula>R30+F31</calculatedColumnFormula>
    </tableColumn>
    <tableColumn id="18" xr3:uid="{5901A4FE-6590-453C-A13F-3B780A639FBA}" name="S(T) Дж" dataDxfId="89">
      <calculatedColumnFormula>$A$1*(T31+U31+U31*LN(N31)-V31/N31^2+X31*2*N31+Y31*3*N31^2+Z31*4*N31^3)</calculatedColumnFormula>
    </tableColumn>
    <tableColumn id="19" xr3:uid="{07C07276-9B83-47B8-8FAB-1C96538C4D2B}" name="ho" dataDxfId="88">
      <calculatedColumnFormula>SUM($E$3:E31)/$A$1/10</calculatedColumnFormula>
    </tableColumn>
    <tableColumn id="20" xr3:uid="{11150CE3-42DB-4D56-AE31-7985ED06D056}" name="ф1" dataDxfId="87">
      <calculatedColumnFormula>IF(D31="end","N/D",Q31/$A$1 - U31 - U31*LN(M31) + V31/(M31^2) - X31*2*M31 - Y31*3*M31^2 - Z31*4*M31^3)</calculatedColumnFormula>
    </tableColumn>
    <tableColumn id="21" xr3:uid="{068E7A92-715D-4577-8718-3293C0FB7D79}" name="ф2 *lnX" dataDxfId="86">
      <calculatedColumnFormula>G31*10^($G$2)/$A$1</calculatedColumnFormula>
    </tableColumn>
    <tableColumn id="22" xr3:uid="{B2E92D05-3779-41E0-BC52-92849F19213B}" name="ф3 *X^(-2)" dataDxfId="85">
      <calculatedColumnFormula>I31/(2*$A$1)*(10^($I$2)/10^8)</calculatedColumnFormula>
    </tableColumn>
    <tableColumn id="23" xr3:uid="{692700CC-D00E-4551-B95C-CB8FF631D265}" name="ф4 *X^(-1)" dataDxfId="84">
      <calculatedColumnFormula>U31*M31 - V31*2/M31 + X31*M31^2 + Y31*2*M31^3 + Z31*3*M31^4 + S31-O31/10000/$A$1</calculatedColumnFormula>
    </tableColumn>
    <tableColumn id="24" xr3:uid="{A5600CA1-1237-45DF-819B-A547BB5F520D}" name="ф5 *X" dataDxfId="83">
      <calculatedColumnFormula>H31/2/$A$1*(10^($H$2)*10^4)</calculatedColumnFormula>
    </tableColumn>
    <tableColumn id="25" xr3:uid="{F6E1346B-1754-44FB-973D-147E2D64844B}" name="ф6 *X^2" dataDxfId="82">
      <calculatedColumnFormula>J31/6/$A$1*(10^($J$2)*10^8)</calculatedColumnFormula>
    </tableColumn>
    <tableColumn id="26" xr3:uid="{3026EB22-F08A-4FE1-9FCD-7C7800243BE4}" name="ф7 *Х^3" dataDxfId="81">
      <calculatedColumnFormula>L31/12/$A$1*(10^($L$2)*10^12)</calculatedColumnFormula>
    </tableColumn>
    <tableColumn id="27" xr3:uid="{11A2DE53-255D-4121-A394-0C3C1F1883AB}" name=" Т         Тип" dataDxfId="80"/>
    <tableColumn id="28" xr3:uid="{B9762EEB-3CAD-4896-ADF9-508E524599CD}" name="Метка" dataDxfId="79"/>
  </tableColumns>
  <tableStyleInfo name="TableStyleLight9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A0AE93-E72B-4F1E-87D1-400CE7A21804}" name="MilkeРасчет" displayName="MilkeРасчет" ref="A1:AD4" totalsRowShown="0" headerRowDxfId="78" dataDxfId="77" headerRowCellStyle="Обычный_CTC">
  <autoFilter ref="A1:AD4" xr:uid="{13BE609B-A647-413F-9844-2457BA0FD3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6875A46-5DC4-426F-A9E8-89D2CA029F79}" name="8,3145" dataDxfId="76"/>
    <tableColumn id="2" xr3:uid="{CA5F83F4-3916-49DD-9C80-1C6BA08C41FD}" name="Ф     Фаза" dataDxfId="75"/>
    <tableColumn id="3" xr3:uid="{E1CF9AB4-D1F1-4707-9F8E-7A1D8EEAD264}" name="Тo К" dataDxfId="74"/>
    <tableColumn id="4" xr3:uid="{BB48AD1F-9346-4482-9C8B-5289F7C64287}" name="T K" dataDxfId="73"/>
    <tableColumn id="5" xr3:uid="{3194BE27-4815-4F90-9C66-DAB42A668AE5}" name="ΔfН(To)     кДж для точки отсчета H0 = H(T0)" dataDxfId="72"/>
    <tableColumn id="6" xr3:uid="{D53ED5D6-546D-4C59-94A9-87AD91A14D97}" name="S(To)              Дж" dataDxfId="71"/>
    <tableColumn id="7" xr3:uid="{B1AB7FBC-61E1-47A8-ACDC-F1492D2C3938}" name="а " dataDxfId="70"/>
    <tableColumn id="8" xr3:uid="{360D6969-2564-4470-A9FE-E6ED68BFE2BE}" name="b*T" dataDxfId="69"/>
    <tableColumn id="9" xr3:uid="{37C5A353-2260-45D5-91E1-75286627F452}" name="c *T^(-2)" dataDxfId="68"/>
    <tableColumn id="10" xr3:uid="{9E61002E-1974-4255-AC5E-18B193537764}" name="d *T^(2)" dataDxfId="67"/>
    <tableColumn id="11" xr3:uid="{1773CF09-ABC5-4EDC-9DEA-3A5B0002E916}" name="e *T^3" dataDxfId="66"/>
    <tableColumn id="12" xr3:uid="{5330F6DE-0C6F-47EF-BDCB-E7A31EEC1D37}" name="Н tr       кДж" dataDxfId="65">
      <calculatedColumnFormula>IF(ISBLANK(B3),"N/D",(P3-R2)/1000)</calculatedColumnFormula>
    </tableColumn>
    <tableColumn id="13" xr3:uid="{557974E4-936C-45C0-8681-867E0B532CF6}" name="S tr       Дж" dataDxfId="64">
      <calculatedColumnFormula>IF(ISBLANK(B3),"N/D",L2*1000/C3)</calculatedColumnFormula>
    </tableColumn>
    <tableColumn id="14" xr3:uid="{9C89DADE-8E33-4ED6-90D7-AC02B43E0511}" name="X0     К/10000" dataDxfId="63">
      <calculatedColumnFormula>C2/10000</calculatedColumnFormula>
    </tableColumn>
    <tableColumn id="15" xr3:uid="{A4EDC85D-50F1-4EAB-9449-CE72612049F8}" name="Х     К/10000" dataDxfId="62">
      <calculatedColumnFormula>D2/10000</calculatedColumnFormula>
    </tableColumn>
    <tableColumn id="16" xr3:uid="{035B77D6-DB28-48D6-BC23-527C9A59E463}" name="H(To) J" dataDxfId="61">
      <calculatedColumnFormula>E2*1000</calculatedColumnFormula>
    </tableColumn>
    <tableColumn id="17" xr3:uid="{0D98C8F1-CEFB-429B-81CA-508080279E92}" name="H(T) - H0 J" dataDxfId="60">
      <calculatedColumnFormula>10000*$A$1*(O2*X2-Y2*2/O2+AA2*O2^2+AB2*2*O2^3+AC2*3*O2^4-Z2)</calculatedColumnFormula>
    </tableColumn>
    <tableColumn id="18" xr3:uid="{DCE4A490-A745-4C35-AA5B-71A53EC07D93}" name="H(T) J" dataDxfId="59">
      <calculatedColumnFormula>$P$2+Q2</calculatedColumnFormula>
    </tableColumn>
    <tableColumn id="19" xr3:uid="{257A9C2D-55C7-4DBB-990E-728FF037648C}" name="S(To) J" dataDxfId="58">
      <calculatedColumnFormula>F2</calculatedColumnFormula>
    </tableColumn>
    <tableColumn id="20" xr3:uid="{C6BECD75-2AC5-4099-9EE7-01C09B69768E}" name="S(T) J" dataDxfId="57">
      <calculatedColumnFormula>$A$1*(W2+X2+X2*LN(O2)-Y2/O2^2+AA2*2*O2+AB2*3*O2^2+AC2*4*O2^3)</calculatedColumnFormula>
    </tableColumn>
    <tableColumn id="21" xr3:uid="{6F7F052E-4066-43EA-90C5-29293DF0E0FA}" name="Cp (T) J" dataDxfId="56">
      <calculatedColumnFormula>$A$1*(X2+Y2*2/(O2^2)+AA2*2*O2+AB2*6+AC2*12*O2^3)</calculatedColumnFormula>
    </tableColumn>
    <tableColumn id="22" xr3:uid="{486C4A7F-B2B9-4D91-9DC9-9B5035E81056}" name="ho" dataDxfId="55">
      <calculatedColumnFormula>$P$2/$A$1/10000</calculatedColumnFormula>
    </tableColumn>
    <tableColumn id="23" xr3:uid="{33134932-530C-47D7-9138-E4364C515395}" name="ф1" dataDxfId="54">
      <calculatedColumnFormula>S2/$A$1 - X2 - X2*LN(N2) + Y2/(N2^2) - AA2*2*N2 - AB2*3*N2^2 - AC2*4*N2^3</calculatedColumnFormula>
    </tableColumn>
    <tableColumn id="24" xr3:uid="{46594191-BD2F-4F38-88F2-4810BAC7B58F}" name="ф2 *lnX" dataDxfId="53">
      <calculatedColumnFormula>G2/$A$1</calculatedColumnFormula>
    </tableColumn>
    <tableColumn id="25" xr3:uid="{673218A2-5D33-46A8-93B6-761C66681EE0}" name="ф3 *X^(-2)" dataDxfId="52">
      <calculatedColumnFormula>I2/(2*100*$A$1)</calculatedColumnFormula>
    </tableColumn>
    <tableColumn id="26" xr3:uid="{91F53B7A-2ABD-43CD-8626-BD25302C3333}" name="ф4 *X^(-1)" dataDxfId="51">
      <calculatedColumnFormula>X2*N2 - Y2*2/N2 + AA2*N2^2 + AB2*2*N2^3 + AC2*3*N2^4 + ($P$2-P2)/10000/$A$1</calculatedColumnFormula>
    </tableColumn>
    <tableColumn id="27" xr3:uid="{4C825536-B2AD-4B6A-A1F2-5A76D2F2309D}" name="ф5 *X" dataDxfId="50">
      <calculatedColumnFormula>H2*10/2/$A$1</calculatedColumnFormula>
    </tableColumn>
    <tableColumn id="28" xr3:uid="{E29757EF-1186-4BD1-90A9-82CE06AB457E}" name="ф6 *X^2" dataDxfId="49">
      <calculatedColumnFormula>J2*100/6/$A$1</calculatedColumnFormula>
    </tableColumn>
    <tableColumn id="29" xr3:uid="{E1C7E8C3-BD57-4F6D-B6A8-941AD58ADE4A}" name="ф7 *Х^3" dataDxfId="48">
      <calculatedColumnFormula>K2*10^12/12/$A$1</calculatedColumnFormula>
    </tableColumn>
    <tableColumn id="30" xr3:uid="{82CA8E94-5EE5-4984-87D5-A56DDAE6DE31}" name="T" dataDxfId="47"/>
  </tableColumns>
  <tableStyleInfo name="TableStyleLight13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4F75F-238F-46D9-B740-B8FE63164E25}" name="MilkeБанк" displayName="MilkeБанк" ref="A17:AD33" totalsRowShown="0" headerRowDxfId="46" tableBorderDxfId="45" headerRowCellStyle="Обычный_CTC">
  <autoFilter ref="A17:AD33" xr:uid="{55889691-888E-472C-B930-030D336B6197}">
    <filterColumn colId="0">
      <filters>
        <filter val="Ga"/>
      </filters>
    </filterColumn>
    <filterColumn colId="1">
      <filters>
        <filter val="l"/>
        <filter val="s"/>
      </filters>
    </filterColumn>
  </autoFilter>
  <sortState xmlns:xlrd2="http://schemas.microsoft.com/office/spreadsheetml/2017/richdata2" ref="A18:AD33">
    <sortCondition ref="A18:A33"/>
    <sortCondition descending="1" ref="B18:B33"/>
    <sortCondition ref="C18:C33"/>
  </sortState>
  <tableColumns count="30">
    <tableColumn id="1" xr3:uid="{2DF3FE88-75ED-4DE3-9DD1-88CC8A7D7A73}" name="название" dataDxfId="44"/>
    <tableColumn id="2" xr3:uid="{73447398-797A-491E-A035-045CA07049E7}" name="Ф     Фаза" dataDxfId="43"/>
    <tableColumn id="3" xr3:uid="{7B80C032-990D-4586-82F1-490B9D181D5B}" name="Тo К" dataDxfId="42"/>
    <tableColumn id="4" xr3:uid="{0AEC1A94-C423-4B29-AFEF-70243D21D257}" name="T K" dataDxfId="41"/>
    <tableColumn id="5" xr3:uid="{20037553-F368-469A-92E2-14D298B70F35}" name="ΔfН(To)     кДж" dataDxfId="40"/>
    <tableColumn id="6" xr3:uid="{7DD43DA8-ACDF-4DFB-A431-C0D6D88A9335}" name="S(To)              Дж" dataDxfId="39"/>
    <tableColumn id="7" xr3:uid="{797478C0-6E17-4D25-8F5D-B06C5642F4CA}" name="а " dataDxfId="38"/>
    <tableColumn id="8" xr3:uid="{41CEBB69-DEE4-488F-A36F-F229B387300A}" name="b*T" dataDxfId="37"/>
    <tableColumn id="9" xr3:uid="{D63DA749-AB18-4064-AE24-D7D69ECA1FC4}" name="c *T^(-2)" dataDxfId="36"/>
    <tableColumn id="10" xr3:uid="{FA2C4DD9-6B23-4F7E-8D25-67446D6C121C}" name="d *T^(2)" dataDxfId="35"/>
    <tableColumn id="11" xr3:uid="{B2D29193-7A6A-4188-96D0-6E65097930D0}" name="e *T^3" dataDxfId="34"/>
    <tableColumn id="12" xr3:uid="{806D5DD5-2A8F-4D42-B220-490B894AC25D}" name="Н tr       кДж" dataDxfId="33"/>
    <tableColumn id="13" xr3:uid="{5FF9359F-232C-45F8-A0F6-105D55B65299}" name="S tr       Дж" dataDxfId="32"/>
    <tableColumn id="14" xr3:uid="{250601F9-0323-4523-8A25-7D6BD8D34B49}" name="X0     К/10000" dataDxfId="31"/>
    <tableColumn id="15" xr3:uid="{BFAB7FA4-D1AF-40BC-85E9-266BDB76C877}" name="Х     К/10000" dataDxfId="30"/>
    <tableColumn id="16" xr3:uid="{5B18D4D6-94FC-4844-BF0B-03AB2123626B}" name="H(To) J" dataDxfId="29"/>
    <tableColumn id="17" xr3:uid="{E2BEF9F2-F6DA-4E27-A280-A3A612D8A484}" name="dH(T) J" dataDxfId="28"/>
    <tableColumn id="18" xr3:uid="{22EBED41-BDAB-4FCA-978E-BD4CC76FFB20}" name="H(T) J" dataDxfId="27"/>
    <tableColumn id="19" xr3:uid="{9C02638D-E636-4BA0-99F8-5BB693BB0BB7}" name="S(To) J" dataDxfId="26"/>
    <tableColumn id="20" xr3:uid="{C8CA97C8-7FAD-493A-B6C2-7FB392E8547C}" name="S(T) J" dataDxfId="25"/>
    <tableColumn id="21" xr3:uid="{5A960C3B-CCAD-401A-A9BE-262CAA4E443C}" name="Cp (T) J" dataDxfId="24"/>
    <tableColumn id="22" xr3:uid="{BEBEE202-9A5D-4849-A886-D5182AD9D49D}" name="ho" dataDxfId="23"/>
    <tableColumn id="23" xr3:uid="{A85A4FEF-9E3C-43B6-82AE-6C37B9B047D7}" name="ф1" dataDxfId="22"/>
    <tableColumn id="24" xr3:uid="{056B3C91-A59D-4BAE-BEAB-392206B4ACDD}" name="ф2 *lnX" dataDxfId="21"/>
    <tableColumn id="25" xr3:uid="{E03C3A96-7EF7-4B1C-B48B-7D73126A309F}" name="ф3 *X^(-2)" dataDxfId="20"/>
    <tableColumn id="26" xr3:uid="{BFA56CEF-9B57-4466-862A-7D3B59DEDD95}" name="ф4 *X^(-1)" dataDxfId="19"/>
    <tableColumn id="27" xr3:uid="{086A06D6-607C-4233-9DA2-C7E5939EB250}" name="ф5 *X" dataDxfId="18"/>
    <tableColumn id="28" xr3:uid="{BD04E61C-6D7C-40D0-8F51-011E5C6CE7B3}" name="ф6 *X^2" dataDxfId="17"/>
    <tableColumn id="29" xr3:uid="{9309F1CE-6642-4D85-A27A-13677AE1781B}" name="ф7 *Х^3" dataDxfId="16"/>
    <tableColumn id="30" xr3:uid="{A7BC8D50-7351-4F6D-AC32-21F80FD39E70}" name="T" dataDxfId="15"/>
  </tableColumns>
  <tableStyleInfo name="TableStyleLight13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C7D4134-E6D4-48BD-B66B-43C3586A5A8E}" name="Таблица716" displayName="Таблица716" ref="C1:P41" totalsRowShown="0" headerRowDxfId="14" headerRowCellStyle="Обычный_CTC">
  <autoFilter ref="C1:P41" xr:uid="{85F36A9E-31F0-4B95-BC01-5F8E9850E1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2:P37">
    <sortCondition ref="C2:C37"/>
    <sortCondition descending="1" ref="D2:D37"/>
    <sortCondition ref="E2:E37"/>
  </sortState>
  <tableColumns count="14">
    <tableColumn id="1" xr3:uid="{51E0FEB3-FB8F-4540-9E1C-405AC2C88955}" name="Названиe"/>
    <tableColumn id="2" xr3:uid="{5EE37EAA-7FA3-40C9-89E6-5445793852CE}" name="Ф          if &quot;?&quot; =&gt; not &quot;g&quot;" dataDxfId="13"/>
    <tableColumn id="3" xr3:uid="{D6C68FCE-3D4C-4817-8387-267EB81DD616}" name="To К"/>
    <tableColumn id="4" xr3:uid="{6E2835C1-DEB0-4ECE-A370-E5A8EC3F6135}" name="T К"/>
    <tableColumn id="5" xr3:uid="{6FA3E292-F325-451C-9E65-C6B7C599C9BD}" name="ho" dataDxfId="7"/>
    <tableColumn id="6" xr3:uid="{7226643F-5D06-489D-B2D3-589ED89E8615}" name="ф1" dataDxfId="6"/>
    <tableColumn id="7" xr3:uid="{09FFEBA2-0D4B-4607-9AF7-D3BC7B74DF86}" name="ф2 *lnX" dataDxfId="5"/>
    <tableColumn id="8" xr3:uid="{FA65B820-8B0F-4B63-BBCA-B40CD6435889}" name="ф3 *X^(-2)" dataDxfId="4"/>
    <tableColumn id="9" xr3:uid="{0D25B8D0-6E2F-4724-A859-E0B9ACBAD1B0}" name="ф4 *X^(-1)" dataDxfId="3"/>
    <tableColumn id="10" xr3:uid="{EA142FDF-91B1-43BC-97DA-75F0EFEC882A}" name="ф5 *X" dataDxfId="2"/>
    <tableColumn id="11" xr3:uid="{65EF8AAB-82F9-42E0-84C2-B5CB15B86B7C}" name="ф6 *X^2" dataDxfId="1"/>
    <tableColumn id="12" xr3:uid="{C107D857-C08E-427E-93B2-74E62357BBD4}" name="ф7 *Х^3" dataDxfId="0"/>
    <tableColumn id="13" xr3:uid="{A8723221-273B-40C7-98D7-DF0AABE2D300}" name="Т"/>
    <tableColumn id="14" xr3:uid="{B0CE308A-07CD-4E55-9C12-6CA799C7EEF1}" name="Мeтка            2 - добавить, 1 - удалить" dataCellStyle="Хороший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4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2"/>
  <sheetViews>
    <sheetView zoomScaleNormal="100" workbookViewId="0">
      <selection activeCell="G23" sqref="G23"/>
    </sheetView>
  </sheetViews>
  <sheetFormatPr defaultRowHeight="21" outlineLevelCol="1" x14ac:dyDescent="0.35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6" customWidth="1"/>
  </cols>
  <sheetData>
    <row r="1" spans="1:20" ht="22.5" thickTop="1" thickBot="1" x14ac:dyDescent="0.4">
      <c r="A1" s="104" t="s">
        <v>110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8" t="s">
        <v>96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6">
        <v>3</v>
      </c>
    </row>
    <row r="4" spans="1:20" s="75" customFormat="1" x14ac:dyDescent="0.35">
      <c r="T4" s="96"/>
    </row>
    <row r="5" spans="1:20" s="75" customFormat="1" x14ac:dyDescent="0.35">
      <c r="T5" s="96"/>
    </row>
    <row r="6" spans="1:20" s="75" customFormat="1" x14ac:dyDescent="0.35">
      <c r="T6" s="96"/>
    </row>
    <row r="7" spans="1:20" s="75" customFormat="1" x14ac:dyDescent="0.35">
      <c r="T7" s="96"/>
    </row>
    <row r="8" spans="1:20" s="75" customFormat="1" x14ac:dyDescent="0.35">
      <c r="T8" s="96"/>
    </row>
    <row r="9" spans="1:20" s="75" customFormat="1" x14ac:dyDescent="0.35">
      <c r="T9" s="96"/>
    </row>
    <row r="10" spans="1:20" s="75" customFormat="1" x14ac:dyDescent="0.35">
      <c r="T10" s="96"/>
    </row>
    <row r="11" spans="1:20" s="75" customFormat="1" x14ac:dyDescent="0.35">
      <c r="T11" s="96"/>
    </row>
    <row r="12" spans="1:20" s="75" customFormat="1" x14ac:dyDescent="0.35">
      <c r="T12" s="96"/>
    </row>
    <row r="13" spans="1:20" s="75" customFormat="1" x14ac:dyDescent="0.35">
      <c r="T13" s="96"/>
    </row>
    <row r="14" spans="1:20" s="75" customFormat="1" x14ac:dyDescent="0.35">
      <c r="T14" s="96"/>
    </row>
    <row r="15" spans="1:20" s="75" customFormat="1" x14ac:dyDescent="0.35">
      <c r="T15" s="96"/>
    </row>
    <row r="16" spans="1:20" s="75" customFormat="1" x14ac:dyDescent="0.35">
      <c r="T16" s="96"/>
    </row>
    <row r="17" spans="1:20" s="75" customFormat="1" x14ac:dyDescent="0.35">
      <c r="T17" s="96"/>
    </row>
    <row r="18" spans="1:20" s="75" customFormat="1" x14ac:dyDescent="0.35">
      <c r="T18" s="96"/>
    </row>
    <row r="19" spans="1:20" s="75" customFormat="1" x14ac:dyDescent="0.35">
      <c r="T19" s="96"/>
    </row>
    <row r="20" spans="1:20" s="75" customFormat="1" x14ac:dyDescent="0.35">
      <c r="T20" s="96"/>
    </row>
    <row r="21" spans="1:20" s="75" customFormat="1" x14ac:dyDescent="0.35">
      <c r="T21" s="96"/>
    </row>
    <row r="27" spans="1:20" ht="21.75" thickBot="1" x14ac:dyDescent="0.4"/>
    <row r="28" spans="1:20" ht="24.75" thickTop="1" thickBot="1" x14ac:dyDescent="0.4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99" t="s">
        <v>96</v>
      </c>
    </row>
    <row r="29" spans="1:20" ht="21.75" hidden="1" thickTop="1" x14ac:dyDescent="0.35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6">
        <v>3</v>
      </c>
    </row>
    <row r="30" spans="1:20" ht="21.75" hidden="1" thickTop="1" x14ac:dyDescent="0.35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6">
        <v>3</v>
      </c>
    </row>
    <row r="31" spans="1:20" ht="21.75" hidden="1" thickTop="1" x14ac:dyDescent="0.35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6">
        <v>3</v>
      </c>
    </row>
    <row r="32" spans="1:20" ht="22.5" hidden="1" thickTop="1" thickBot="1" x14ac:dyDescent="0.4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6">
        <v>3</v>
      </c>
    </row>
    <row r="33" spans="1:20" ht="21.75" hidden="1" thickTop="1" x14ac:dyDescent="0.35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6">
        <v>3</v>
      </c>
    </row>
    <row r="34" spans="1:20" ht="22.5" hidden="1" thickTop="1" thickBot="1" x14ac:dyDescent="0.4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6">
        <v>3</v>
      </c>
    </row>
    <row r="35" spans="1:20" ht="21.75" hidden="1" thickTop="1" x14ac:dyDescent="0.35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6">
        <v>3</v>
      </c>
    </row>
    <row r="36" spans="1:20" ht="22.5" hidden="1" thickTop="1" thickBot="1" x14ac:dyDescent="0.4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6">
        <v>3</v>
      </c>
    </row>
    <row r="37" spans="1:20" ht="21.75" hidden="1" thickTop="1" x14ac:dyDescent="0.35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6">
        <v>3</v>
      </c>
    </row>
    <row r="38" spans="1:20" ht="21.75" hidden="1" thickTop="1" x14ac:dyDescent="0.35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6">
        <v>3</v>
      </c>
    </row>
    <row r="39" spans="1:20" ht="22.5" hidden="1" thickTop="1" thickBot="1" x14ac:dyDescent="0.4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6">
        <v>3</v>
      </c>
    </row>
    <row r="40" spans="1:20" ht="21.75" hidden="1" thickTop="1" x14ac:dyDescent="0.35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6">
        <v>3</v>
      </c>
    </row>
    <row r="41" spans="1:20" ht="22.5" hidden="1" thickTop="1" thickBot="1" x14ac:dyDescent="0.4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6">
        <v>3</v>
      </c>
    </row>
    <row r="42" spans="1:20" ht="21.75" hidden="1" thickTop="1" x14ac:dyDescent="0.35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6">
        <v>3</v>
      </c>
    </row>
    <row r="43" spans="1:20" ht="22.5" hidden="1" thickTop="1" thickBot="1" x14ac:dyDescent="0.4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6">
        <v>3</v>
      </c>
    </row>
    <row r="44" spans="1:20" ht="22.5" hidden="1" thickTop="1" thickBot="1" x14ac:dyDescent="0.4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6">
        <v>3</v>
      </c>
    </row>
    <row r="45" spans="1:20" ht="21.75" hidden="1" thickTop="1" x14ac:dyDescent="0.35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6">
        <v>3</v>
      </c>
    </row>
    <row r="46" spans="1:20" ht="21.75" hidden="1" thickTop="1" x14ac:dyDescent="0.35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6">
        <v>3</v>
      </c>
    </row>
    <row r="47" spans="1:20" ht="22.5" hidden="1" thickTop="1" thickBot="1" x14ac:dyDescent="0.4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6">
        <v>3</v>
      </c>
    </row>
    <row r="48" spans="1:20" ht="21.75" hidden="1" thickTop="1" x14ac:dyDescent="0.35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6">
        <v>3</v>
      </c>
    </row>
    <row r="49" spans="1:20" ht="21.75" hidden="1" thickTop="1" x14ac:dyDescent="0.35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6">
        <v>3</v>
      </c>
    </row>
    <row r="50" spans="1:20" ht="22.5" hidden="1" thickTop="1" thickBot="1" x14ac:dyDescent="0.4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6">
        <v>3</v>
      </c>
    </row>
    <row r="51" spans="1:20" ht="21.75" hidden="1" thickTop="1" x14ac:dyDescent="0.35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6">
        <v>3</v>
      </c>
    </row>
    <row r="52" spans="1:20" ht="21.75" hidden="1" thickTop="1" x14ac:dyDescent="0.35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6">
        <v>3</v>
      </c>
    </row>
    <row r="53" spans="1:20" ht="22.5" thickTop="1" thickBot="1" x14ac:dyDescent="0.4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6">
        <v>3</v>
      </c>
    </row>
    <row r="54" spans="1:20" x14ac:dyDescent="0.35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6">
        <v>3</v>
      </c>
    </row>
    <row r="55" spans="1:20" x14ac:dyDescent="0.35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6">
        <v>3</v>
      </c>
    </row>
    <row r="56" spans="1:20" ht="21.75" thickBot="1" x14ac:dyDescent="0.4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6">
        <v>3</v>
      </c>
    </row>
    <row r="57" spans="1:20" hidden="1" x14ac:dyDescent="0.35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6">
        <v>3</v>
      </c>
    </row>
    <row r="58" spans="1:20" hidden="1" x14ac:dyDescent="0.35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6">
        <v>3</v>
      </c>
    </row>
    <row r="59" spans="1:20" ht="21.75" hidden="1" thickBot="1" x14ac:dyDescent="0.4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6">
        <v>3</v>
      </c>
    </row>
    <row r="60" spans="1:20" hidden="1" x14ac:dyDescent="0.35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6">
        <v>3</v>
      </c>
    </row>
    <row r="61" spans="1:20" hidden="1" x14ac:dyDescent="0.35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6">
        <v>3</v>
      </c>
    </row>
    <row r="62" spans="1:20" ht="21.75" hidden="1" thickBot="1" x14ac:dyDescent="0.4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6">
        <v>3</v>
      </c>
    </row>
    <row r="63" spans="1:20" hidden="1" x14ac:dyDescent="0.35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6">
        <v>3</v>
      </c>
    </row>
    <row r="64" spans="1:20" ht="21.75" hidden="1" thickBot="1" x14ac:dyDescent="0.4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 t="shared" ref="M64:S64" si="0">M56*0.4+0.6*M60</f>
        <v>26.683528775031565</v>
      </c>
      <c r="N64" s="54">
        <f t="shared" si="0"/>
        <v>8.7742786697937341</v>
      </c>
      <c r="O64" s="36">
        <f t="shared" si="0"/>
        <v>-9.512466173552226E-4</v>
      </c>
      <c r="P64" s="54">
        <f t="shared" si="0"/>
        <v>0.21411197305911356</v>
      </c>
      <c r="Q64" s="36">
        <f t="shared" si="0"/>
        <v>14.079018581995308</v>
      </c>
      <c r="R64" s="54">
        <f t="shared" si="0"/>
        <v>0</v>
      </c>
      <c r="S64" s="37">
        <f t="shared" si="0"/>
        <v>0</v>
      </c>
      <c r="T64" s="96">
        <v>3</v>
      </c>
    </row>
    <row r="65" spans="1:20" hidden="1" x14ac:dyDescent="0.35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 t="shared" ref="M65:S65" si="1">M56*0.4+0.6*M61</f>
        <v>31.188814721270067</v>
      </c>
      <c r="N65" s="52">
        <f t="shared" si="1"/>
        <v>10.623313488483973</v>
      </c>
      <c r="O65" s="28">
        <f t="shared" si="1"/>
        <v>-1.8126646220458231E-3</v>
      </c>
      <c r="P65" s="52">
        <f t="shared" si="1"/>
        <v>0.31202718143003183</v>
      </c>
      <c r="Q65" s="28">
        <f t="shared" si="1"/>
        <v>2.4819772686270971</v>
      </c>
      <c r="R65" s="52">
        <f t="shared" si="1"/>
        <v>0</v>
      </c>
      <c r="S65" s="29">
        <f t="shared" si="1"/>
        <v>0</v>
      </c>
      <c r="T65" s="96">
        <v>3</v>
      </c>
    </row>
    <row r="66" spans="1:20" hidden="1" x14ac:dyDescent="0.35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 t="shared" ref="M66:S67" si="2">M57*0.4+0.6*M61</f>
        <v>45.571351253833669</v>
      </c>
      <c r="N66" s="53">
        <f t="shared" si="2"/>
        <v>15.115942028985508</v>
      </c>
      <c r="O66" s="32">
        <f t="shared" si="2"/>
        <v>-2.1540874376089958E-3</v>
      </c>
      <c r="P66" s="53">
        <f t="shared" si="2"/>
        <v>0.4267891033736243</v>
      </c>
      <c r="Q66" s="32">
        <f t="shared" si="2"/>
        <v>3.3946479042636355</v>
      </c>
      <c r="R66" s="53">
        <f t="shared" si="2"/>
        <v>0</v>
      </c>
      <c r="S66" s="33">
        <f t="shared" si="2"/>
        <v>0</v>
      </c>
      <c r="T66" s="96">
        <v>3</v>
      </c>
    </row>
    <row r="67" spans="1:20" ht="21.75" hidden="1" thickBot="1" x14ac:dyDescent="0.4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 t="shared" si="2"/>
        <v>44.591111912923211</v>
      </c>
      <c r="N67" s="54">
        <f t="shared" si="2"/>
        <v>15.460081303746465</v>
      </c>
      <c r="O67" s="36">
        <f t="shared" si="2"/>
        <v>0</v>
      </c>
      <c r="P67" s="54">
        <f t="shared" si="2"/>
        <v>0.63079198989716767</v>
      </c>
      <c r="Q67" s="36">
        <f t="shared" si="2"/>
        <v>5.9784953996031014</v>
      </c>
      <c r="R67" s="54">
        <f t="shared" si="2"/>
        <v>0</v>
      </c>
      <c r="S67" s="37">
        <f t="shared" si="2"/>
        <v>0</v>
      </c>
      <c r="T67" s="96">
        <v>3</v>
      </c>
    </row>
    <row r="68" spans="1:20" hidden="1" x14ac:dyDescent="0.35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 t="shared" ref="M68:S68" si="3">M59*0.4+0.6*M62</f>
        <v>47.490191833543804</v>
      </c>
      <c r="N68" s="52">
        <f t="shared" si="3"/>
        <v>17.384430332551567</v>
      </c>
      <c r="O68" s="28">
        <f t="shared" si="3"/>
        <v>0</v>
      </c>
      <c r="P68" s="52">
        <f t="shared" si="3"/>
        <v>0.52649227253593123</v>
      </c>
      <c r="Q68" s="28">
        <f t="shared" si="3"/>
        <v>5.9784953996031014</v>
      </c>
      <c r="R68" s="52">
        <f t="shared" si="3"/>
        <v>0</v>
      </c>
      <c r="S68" s="29">
        <f t="shared" si="3"/>
        <v>0</v>
      </c>
      <c r="T68" s="96">
        <v>3</v>
      </c>
    </row>
    <row r="69" spans="1:20" hidden="1" x14ac:dyDescent="0.35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 t="shared" ref="M69:S69" si="4">M59*0.4+0.6*M63</f>
        <v>55.555788081063199</v>
      </c>
      <c r="N69" s="53">
        <f t="shared" si="4"/>
        <v>21.377126706356364</v>
      </c>
      <c r="O69" s="32">
        <f t="shared" si="4"/>
        <v>0</v>
      </c>
      <c r="P69" s="53">
        <f t="shared" si="4"/>
        <v>0.32797883216068319</v>
      </c>
      <c r="Q69" s="32">
        <f t="shared" si="4"/>
        <v>0</v>
      </c>
      <c r="R69" s="53">
        <f t="shared" si="4"/>
        <v>0</v>
      </c>
      <c r="S69" s="33">
        <f t="shared" si="4"/>
        <v>0</v>
      </c>
      <c r="T69" s="96">
        <v>3</v>
      </c>
    </row>
    <row r="70" spans="1:20" ht="21.75" hidden="1" thickBot="1" x14ac:dyDescent="0.4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6">
        <v>3</v>
      </c>
    </row>
    <row r="71" spans="1:20" hidden="1" x14ac:dyDescent="0.35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6">
        <v>3</v>
      </c>
    </row>
    <row r="72" spans="1:20" ht="21.75" hidden="1" thickBot="1" x14ac:dyDescent="0.4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6">
        <v>3</v>
      </c>
    </row>
    <row r="73" spans="1:20" hidden="1" x14ac:dyDescent="0.35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6">
        <v>3</v>
      </c>
    </row>
    <row r="74" spans="1:20" ht="21.75" hidden="1" thickBot="1" x14ac:dyDescent="0.4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6">
        <v>3</v>
      </c>
    </row>
    <row r="75" spans="1:20" hidden="1" x14ac:dyDescent="0.35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6">
        <v>3</v>
      </c>
    </row>
    <row r="76" spans="1:20" hidden="1" x14ac:dyDescent="0.35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6">
        <v>3</v>
      </c>
    </row>
    <row r="77" spans="1:20" hidden="1" x14ac:dyDescent="0.35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6">
        <v>3</v>
      </c>
    </row>
    <row r="78" spans="1:20" ht="21.75" hidden="1" thickBot="1" x14ac:dyDescent="0.4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6">
        <v>3</v>
      </c>
    </row>
    <row r="79" spans="1:20" hidden="1" x14ac:dyDescent="0.35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6">
        <v>3</v>
      </c>
    </row>
    <row r="80" spans="1:20" hidden="1" x14ac:dyDescent="0.35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6">
        <v>3</v>
      </c>
    </row>
    <row r="81" spans="1:20" hidden="1" x14ac:dyDescent="0.35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6">
        <v>3</v>
      </c>
    </row>
    <row r="82" spans="1:20" ht="21.75" hidden="1" thickBot="1" x14ac:dyDescent="0.4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6">
        <v>3</v>
      </c>
    </row>
    <row r="83" spans="1:20" hidden="1" x14ac:dyDescent="0.35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6">
        <v>3</v>
      </c>
    </row>
    <row r="84" spans="1:20" hidden="1" x14ac:dyDescent="0.35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6">
        <v>3</v>
      </c>
    </row>
    <row r="85" spans="1:20" hidden="1" x14ac:dyDescent="0.35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6">
        <v>3</v>
      </c>
    </row>
    <row r="86" spans="1:20" ht="21.75" hidden="1" thickBot="1" x14ac:dyDescent="0.4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6">
        <v>3</v>
      </c>
    </row>
    <row r="87" spans="1:20" hidden="1" x14ac:dyDescent="0.35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6">
        <v>3</v>
      </c>
    </row>
    <row r="88" spans="1:20" hidden="1" x14ac:dyDescent="0.35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6">
        <v>3</v>
      </c>
    </row>
    <row r="89" spans="1:20" hidden="1" x14ac:dyDescent="0.35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6">
        <v>3</v>
      </c>
    </row>
    <row r="90" spans="1:20" hidden="1" x14ac:dyDescent="0.35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6">
        <v>3</v>
      </c>
    </row>
    <row r="91" spans="1:20" hidden="1" x14ac:dyDescent="0.35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6">
        <v>3</v>
      </c>
    </row>
    <row r="92" spans="1:20" ht="21.75" hidden="1" thickBot="1" x14ac:dyDescent="0.4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6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96250-B6EC-4BB4-B08E-2552C3BB0118}">
  <sheetPr codeName="Лист11">
    <tabColor rgb="FF00B050"/>
  </sheetPr>
  <dimension ref="A1:AB56"/>
  <sheetViews>
    <sheetView tabSelected="1" zoomScaleNormal="100" workbookViewId="0">
      <pane xSplit="4" ySplit="1" topLeftCell="S14" activePane="bottomRight" state="frozen"/>
      <selection pane="topRight" activeCell="E1" sqref="E1"/>
      <selection pane="bottomLeft" activeCell="A2" sqref="A2"/>
      <selection pane="bottomRight" activeCell="W28" sqref="W28"/>
    </sheetView>
  </sheetViews>
  <sheetFormatPr defaultRowHeight="21" outlineLevelCol="1" x14ac:dyDescent="0.35"/>
  <cols>
    <col min="1" max="1" width="6.81640625" style="96" customWidth="1"/>
    <col min="2" max="3" width="6.1796875" style="75" customWidth="1"/>
    <col min="4" max="4" width="2.6328125" style="139" customWidth="1"/>
    <col min="5" max="5" width="9.7265625" style="75" hidden="1" customWidth="1" outlineLevel="1"/>
    <col min="6" max="6" width="9.81640625" style="75" hidden="1" customWidth="1" outlineLevel="1"/>
    <col min="7" max="10" width="9.6328125" style="75" hidden="1" customWidth="1" outlineLevel="1"/>
    <col min="11" max="11" width="9.1796875" style="75" hidden="1" customWidth="1" outlineLevel="1"/>
    <col min="12" max="12" width="6.90625" style="75" hidden="1" customWidth="1" outlineLevel="1"/>
    <col min="13" max="14" width="2.6328125" style="75" hidden="1" customWidth="1" outlineLevel="1"/>
    <col min="15" max="16" width="11.6328125" style="133" hidden="1" customWidth="1" outlineLevel="1"/>
    <col min="17" max="18" width="7.6328125" style="133" hidden="1" customWidth="1" outlineLevel="1"/>
    <col min="19" max="19" width="10.1796875" style="75" customWidth="1" collapsed="1"/>
    <col min="20" max="21" width="10.1796875" style="75" customWidth="1"/>
    <col min="22" max="23" width="10.54296875" style="75" customWidth="1"/>
    <col min="24" max="26" width="10.1796875" style="75" customWidth="1"/>
    <col min="27" max="27" width="2.7265625" style="96" customWidth="1"/>
    <col min="28" max="28" width="3.7265625" style="75" customWidth="1"/>
    <col min="29" max="32" width="9.6328125" style="75" customWidth="1"/>
    <col min="33" max="16384" width="8.7265625" style="75"/>
  </cols>
  <sheetData>
    <row r="1" spans="1:27" s="111" customFormat="1" ht="22.5" thickTop="1" thickBot="1" x14ac:dyDescent="0.4">
      <c r="A1" s="117">
        <v>8.3145000000000007</v>
      </c>
      <c r="B1" s="115" t="s">
        <v>55</v>
      </c>
      <c r="C1" s="213" t="s">
        <v>56</v>
      </c>
      <c r="D1" s="217" t="s">
        <v>134</v>
      </c>
      <c r="E1" s="215" t="s">
        <v>97</v>
      </c>
      <c r="F1" s="115" t="s">
        <v>105</v>
      </c>
      <c r="G1" s="115" t="s">
        <v>40</v>
      </c>
      <c r="H1" s="115" t="s">
        <v>65</v>
      </c>
      <c r="I1" s="115" t="s">
        <v>66</v>
      </c>
      <c r="J1" s="115" t="s">
        <v>68</v>
      </c>
      <c r="K1" s="115" t="str">
        <f>"-3          e *T^(-3)"</f>
        <v>-3          e *T^(-3)</v>
      </c>
      <c r="L1" s="115" t="str">
        <f>" 3           f *T^3"</f>
        <v xml:space="preserve"> 3           f *T^3</v>
      </c>
      <c r="M1" s="115" t="s">
        <v>106</v>
      </c>
      <c r="N1" s="115" t="s">
        <v>107</v>
      </c>
      <c r="O1" s="132" t="s">
        <v>114</v>
      </c>
      <c r="P1" s="132" t="s">
        <v>116</v>
      </c>
      <c r="Q1" s="132" t="s">
        <v>111</v>
      </c>
      <c r="R1" s="132" t="s">
        <v>112</v>
      </c>
      <c r="S1" s="115" t="s">
        <v>41</v>
      </c>
      <c r="T1" s="115" t="s">
        <v>42</v>
      </c>
      <c r="U1" s="115" t="s">
        <v>43</v>
      </c>
      <c r="V1" s="115" t="s">
        <v>44</v>
      </c>
      <c r="W1" s="115" t="s">
        <v>45</v>
      </c>
      <c r="X1" s="115" t="s">
        <v>46</v>
      </c>
      <c r="Y1" s="115" t="s">
        <v>47</v>
      </c>
      <c r="Z1" s="115" t="s">
        <v>48</v>
      </c>
      <c r="AA1" s="116" t="s">
        <v>133</v>
      </c>
    </row>
    <row r="2" spans="1:27" s="112" customFormat="1" ht="22.5" thickTop="1" thickBot="1" x14ac:dyDescent="0.4">
      <c r="A2" s="235"/>
      <c r="B2" s="236"/>
      <c r="C2" s="236"/>
      <c r="D2" s="236"/>
      <c r="E2" s="236"/>
      <c r="F2" s="92" t="s">
        <v>103</v>
      </c>
      <c r="G2" s="92">
        <v>0</v>
      </c>
      <c r="H2" s="92">
        <v>-3</v>
      </c>
      <c r="I2" s="92">
        <v>5</v>
      </c>
      <c r="J2" s="92">
        <v>-6</v>
      </c>
      <c r="K2" s="92">
        <v>8</v>
      </c>
      <c r="L2" s="92">
        <v>-9</v>
      </c>
      <c r="M2" s="237"/>
      <c r="N2" s="238"/>
      <c r="O2" s="238"/>
      <c r="P2" s="238"/>
      <c r="Q2" s="238"/>
      <c r="R2" s="238"/>
      <c r="S2" s="238"/>
      <c r="T2" s="238"/>
      <c r="U2" s="238"/>
      <c r="V2" s="238"/>
      <c r="W2" s="238"/>
      <c r="X2" s="238"/>
      <c r="Y2" s="238"/>
      <c r="Z2" s="238"/>
      <c r="AA2" s="239"/>
    </row>
    <row r="3" spans="1:27" ht="21.75" thickTop="1" x14ac:dyDescent="0.35">
      <c r="A3" s="203" t="s">
        <v>69</v>
      </c>
      <c r="B3" s="157">
        <v>100</v>
      </c>
      <c r="C3" s="157">
        <v>298.14999999999998</v>
      </c>
      <c r="D3" s="218" t="s">
        <v>61</v>
      </c>
      <c r="E3" s="202">
        <v>272</v>
      </c>
      <c r="F3" s="202">
        <v>169.042</v>
      </c>
      <c r="G3" s="202">
        <v>10.333</v>
      </c>
      <c r="H3" s="202">
        <v>69.971999999999994</v>
      </c>
      <c r="I3" s="202">
        <v>0.41799999999999998</v>
      </c>
      <c r="J3" s="202">
        <v>-72.948999999999998</v>
      </c>
      <c r="K3" s="202">
        <v>0</v>
      </c>
      <c r="L3" s="202">
        <v>0</v>
      </c>
      <c r="M3" s="201">
        <f t="shared" ref="M3:N7" si="0">B3/10000</f>
        <v>0.01</v>
      </c>
      <c r="N3" s="201">
        <f t="shared" si="0"/>
        <v>2.9814999999999998E-2</v>
      </c>
      <c r="O3" s="200">
        <f>E3*1000</f>
        <v>272000</v>
      </c>
      <c r="P3" s="200">
        <f>10000*$A$1*(N3*U3-V3*2/N3+X3*N3^2+Y3*2*N3^3+Z3*3*N3^4-W3+S3)</f>
        <v>276465.2979380248</v>
      </c>
      <c r="Q3" s="199">
        <f>F3</f>
        <v>169.042</v>
      </c>
      <c r="R3" s="199">
        <f>$A$1*(T3+U3+U3*LN(N3)-V3/N3^2+X3*2*N3+Y3*3*N3^2+Z3*4*N3^3)</f>
        <v>193.17228398268267</v>
      </c>
      <c r="S3" s="198">
        <f>SUM($E$3:E3)/$A$1/10</f>
        <v>3.2713933489686688</v>
      </c>
      <c r="T3" s="197">
        <f>IF(D3="end","N/D",Q3/$A$1 - U3 - U3*LN(M3) + V3/(M3^2) - X3*2*M3 - Y3*3*M3^2 - Z3*4*M3^3)</f>
        <v>24.265051239619336</v>
      </c>
      <c r="U3" s="198">
        <f>G3*10^($G$2)/$A$1</f>
        <v>1.2427686571651932</v>
      </c>
      <c r="V3" s="197">
        <f>I3/(2*$A$1)*(10^($I$2)/10^8)</f>
        <v>2.5136809188766609E-5</v>
      </c>
      <c r="W3" s="198">
        <f>U3*M3 - V3*2/M3 + X3*M3^2 + Y3*2*M3^3 + Z3*3*M3^4 + S3-O3/10000/$A$1</f>
        <v>1.131569747629646E-2</v>
      </c>
      <c r="X3" s="197">
        <f>H3/2/$A$1*(10^($H$2)*10^4)</f>
        <v>42.078296951109508</v>
      </c>
      <c r="Y3" s="198">
        <f>J3/6/$A$1*(10^($J$2)*10^8)</f>
        <v>-146.22847635656581</v>
      </c>
      <c r="Z3" s="197">
        <f>L3/12/$A$1*(10^($L$2)*10^12)</f>
        <v>0</v>
      </c>
      <c r="AA3" s="196" t="s">
        <v>102</v>
      </c>
    </row>
    <row r="4" spans="1:27" x14ac:dyDescent="0.35">
      <c r="A4" s="203" t="s">
        <v>69</v>
      </c>
      <c r="B4" s="157">
        <v>298.14999999999998</v>
      </c>
      <c r="C4" s="157">
        <v>700</v>
      </c>
      <c r="D4" s="218" t="s">
        <v>61</v>
      </c>
      <c r="E4" s="202">
        <v>0</v>
      </c>
      <c r="F4" s="202">
        <v>0</v>
      </c>
      <c r="G4" s="202">
        <v>38.252000000000002</v>
      </c>
      <c r="H4" s="202">
        <v>-19.521999999999998</v>
      </c>
      <c r="I4" s="202">
        <v>-6.6580000000000004</v>
      </c>
      <c r="J4" s="202">
        <v>4.476</v>
      </c>
      <c r="K4" s="202">
        <v>0</v>
      </c>
      <c r="L4" s="202">
        <v>0</v>
      </c>
      <c r="M4" s="201">
        <f t="shared" si="0"/>
        <v>2.9814999999999998E-2</v>
      </c>
      <c r="N4" s="201">
        <f t="shared" si="0"/>
        <v>7.0000000000000007E-2</v>
      </c>
      <c r="O4" s="200">
        <f>P3+E4*1000</f>
        <v>276465.2979380248</v>
      </c>
      <c r="P4" s="200">
        <f>10000*$A$1*(N4*U4-V4*2/N4+X4*N4^2+Y4*2*N4^3+Z4*3*N4^4-W4+S4)</f>
        <v>287111.91421769361</v>
      </c>
      <c r="Q4" s="199">
        <f>R3+F4</f>
        <v>193.17228398268267</v>
      </c>
      <c r="R4" s="199">
        <f>$A$1*(T4+U4+U4*LN(N4)-V4/N4^2+X4*2*N4+Y4*3*N4^2+Z4*4*N4^3)</f>
        <v>215.80695397369695</v>
      </c>
      <c r="S4" s="198">
        <f>SUM($E$3:E4)/$A$1/10</f>
        <v>3.2713933489686688</v>
      </c>
      <c r="T4" s="197">
        <f>IF(D4="end","N/D",Q4/$A$1 - U4 - U4*LN(M4) + V4/(M4^2) - X4*2*M4 - Y4*3*M4^2 - Z4*4*M4^3)</f>
        <v>35.019106518894404</v>
      </c>
      <c r="U4" s="198">
        <f>G4*10^($G$2)/$A$1</f>
        <v>4.6006374406157917</v>
      </c>
      <c r="V4" s="197">
        <f>I4/(2*$A$1)*(10^($I$2)/10^8)</f>
        <v>-4.0038486980576099E-4</v>
      </c>
      <c r="W4" s="198">
        <f>U4*M4 - V4*2/M4 + X4*M4^2 + Y4*2*M4^3 + Z4*3*M4^4 + S4-O4/10000/$A$1</f>
        <v>0.10036075097058417</v>
      </c>
      <c r="X4" s="197">
        <f>H4/2/$A$1*(10^($H$2)*10^4)</f>
        <v>-11.739731793854109</v>
      </c>
      <c r="Y4" s="198">
        <f>J4/6/$A$1*(10^($J$2)*10^8)</f>
        <v>8.9722773468037751</v>
      </c>
      <c r="Z4" s="197">
        <f>L4/12/$A$1*(10^($L$2)*10^12)</f>
        <v>0</v>
      </c>
      <c r="AA4" s="196" t="s">
        <v>102</v>
      </c>
    </row>
    <row r="5" spans="1:27" x14ac:dyDescent="0.35">
      <c r="A5" s="203" t="s">
        <v>69</v>
      </c>
      <c r="B5" s="157">
        <v>700</v>
      </c>
      <c r="C5" s="157">
        <v>1400</v>
      </c>
      <c r="D5" s="218" t="s">
        <v>61</v>
      </c>
      <c r="E5" s="202">
        <v>0</v>
      </c>
      <c r="F5" s="202">
        <v>0</v>
      </c>
      <c r="G5" s="202">
        <v>30.738</v>
      </c>
      <c r="H5" s="202">
        <v>-10.738</v>
      </c>
      <c r="I5" s="202">
        <v>3.0350000000000001</v>
      </c>
      <c r="J5" s="202">
        <v>3.2719999999999998</v>
      </c>
      <c r="K5" s="202">
        <v>0</v>
      </c>
      <c r="L5" s="202">
        <v>0</v>
      </c>
      <c r="M5" s="201">
        <f t="shared" si="0"/>
        <v>7.0000000000000007E-2</v>
      </c>
      <c r="N5" s="201">
        <f t="shared" si="0"/>
        <v>0.14000000000000001</v>
      </c>
      <c r="O5" s="200">
        <f>P4+E5*1000</f>
        <v>287111.91421769361</v>
      </c>
      <c r="P5" s="200">
        <f>10000*$A$1*(N5*U5-V5*2/N5+X5*N5^2+Y5*2*N5^3+Z5*3*N5^4-W5+S5)</f>
        <v>303571.56059864594</v>
      </c>
      <c r="Q5" s="199">
        <f>R4+F5</f>
        <v>215.80695397369695</v>
      </c>
      <c r="R5" s="199">
        <f>$A$1*(T5+U5+U5*LN(N5)-V5/N5^2+X5*2*N5+Y5*3*N5^2+Z5*4*N5^3)</f>
        <v>232.23350241791178</v>
      </c>
      <c r="S5" s="198">
        <f>SUM($E$3:E5)/$A$1/10</f>
        <v>3.2713933489686688</v>
      </c>
      <c r="T5" s="197">
        <f>IF(D5="end","N/D",Q5/$A$1 - U5 - U5*LN(M5) + V5/(M5^2) - X5*2*M5 - Y5*3*M5^2 - Z5*4*M5^3)</f>
        <v>32.934505125562289</v>
      </c>
      <c r="U5" s="198">
        <f>G5*10^($G$2)/$A$1</f>
        <v>3.6969150279631964</v>
      </c>
      <c r="V5" s="197">
        <f>I5/(2*$A$1)*(10^($I$2)/10^8)</f>
        <v>1.8251247820073367E-4</v>
      </c>
      <c r="W5" s="198">
        <f>U5*M5 - V5*2/M5 + X5*M5^2 + Y5*2*M5^3 + Z5*3*M5^4 + S5-O5/10000/$A$1</f>
        <v>4.4673799030628736E-2</v>
      </c>
      <c r="X5" s="197">
        <f>H5/2/$A$1*(10^($H$2)*10^4)</f>
        <v>-6.4573937097841121</v>
      </c>
      <c r="Y5" s="198">
        <f>J5/6/$A$1*(10^($J$2)*10^8)</f>
        <v>6.5588229398440472</v>
      </c>
      <c r="Z5" s="197">
        <f>L5/12/$A$1*(10^($L$2)*10^12)</f>
        <v>0</v>
      </c>
      <c r="AA5" s="196" t="s">
        <v>102</v>
      </c>
    </row>
    <row r="6" spans="1:27" x14ac:dyDescent="0.35">
      <c r="A6" s="203" t="s">
        <v>69</v>
      </c>
      <c r="B6" s="157">
        <v>1400</v>
      </c>
      <c r="C6" s="157">
        <v>6000</v>
      </c>
      <c r="D6" s="218" t="s">
        <v>61</v>
      </c>
      <c r="E6" s="202">
        <v>0</v>
      </c>
      <c r="F6" s="202">
        <v>0</v>
      </c>
      <c r="G6" s="202">
        <v>21.984999999999999</v>
      </c>
      <c r="H6" s="202">
        <v>-0.63900000000000001</v>
      </c>
      <c r="I6" s="202">
        <v>19.834</v>
      </c>
      <c r="J6" s="202">
        <v>8.7999999999999995E-2</v>
      </c>
      <c r="K6" s="202">
        <v>0</v>
      </c>
      <c r="L6" s="202">
        <v>0</v>
      </c>
      <c r="M6" s="201">
        <f t="shared" si="0"/>
        <v>0.14000000000000001</v>
      </c>
      <c r="N6" s="201">
        <f t="shared" si="0"/>
        <v>0.6</v>
      </c>
      <c r="O6" s="200">
        <f>P5+E6*1000</f>
        <v>303571.56059864594</v>
      </c>
      <c r="P6" s="200">
        <f>10000*$A$1*(N6*U6-V6*2/N6+X6*N6^2+Y6*2*N6^3+Z6*3*N6^4-W6+S6)</f>
        <v>401168.43755102681</v>
      </c>
      <c r="Q6" s="199">
        <f>R5+F6</f>
        <v>232.23350241791178</v>
      </c>
      <c r="R6" s="199">
        <f>$A$1*(T6+U6+U6*LN(N6)-V6/N6^2+X6*2*N6+Y6*3*N6^2+Z6*4*N6^3)</f>
        <v>263.26477439230604</v>
      </c>
      <c r="S6" s="198">
        <f>SUM($E$3:E6)/$A$1/10</f>
        <v>3.2713933489686688</v>
      </c>
      <c r="T6" s="197">
        <f>IF(D6="end","N/D",Q6/$A$1 - U6 - U6*LN(M6) + V6/(M6^2) - X6*2*M6 - Y6*3*M6^2 - Z6*4*M6^3)</f>
        <v>30.643793728188538</v>
      </c>
      <c r="U6" s="198">
        <f>G6*10^($G$2)/$A$1</f>
        <v>2.6441758373925066</v>
      </c>
      <c r="V6" s="197">
        <f>I6/(2*$A$1)*(10^($I$2)/10^8)</f>
        <v>1.1927355824162607E-3</v>
      </c>
      <c r="W6" s="198">
        <f>U6*M6 - V6*2/M6 + X6*M6^2 + Y6*2*M6^3 + Z6*3*M6^4 + S6-O6/10000/$A$1</f>
        <v>-3.313493556670366E-2</v>
      </c>
      <c r="X6" s="197">
        <f>H6/2/$A$1*(10^($H$2)*10^4)</f>
        <v>-0.38426844668951826</v>
      </c>
      <c r="Y6" s="198">
        <f>J6/6/$A$1*(10^($J$2)*10^8)</f>
        <v>0.17639866097380077</v>
      </c>
      <c r="Z6" s="197">
        <f>L6/12/$A$1*(10^($L$2)*10^12)</f>
        <v>0</v>
      </c>
      <c r="AA6" s="196" t="s">
        <v>102</v>
      </c>
    </row>
    <row r="7" spans="1:27" x14ac:dyDescent="0.35">
      <c r="A7" s="203" t="s">
        <v>69</v>
      </c>
      <c r="B7" s="157">
        <v>6000</v>
      </c>
      <c r="C7" s="157">
        <v>10000</v>
      </c>
      <c r="D7" s="218" t="s">
        <v>61</v>
      </c>
      <c r="E7" s="202">
        <v>0</v>
      </c>
      <c r="F7" s="202">
        <v>0</v>
      </c>
      <c r="G7" s="202">
        <v>9.6980000000000004</v>
      </c>
      <c r="H7" s="202">
        <v>0.90400000000000003</v>
      </c>
      <c r="I7" s="202">
        <v>1368.24</v>
      </c>
      <c r="J7" s="202">
        <v>6.8000000000000005E-2</v>
      </c>
      <c r="K7" s="202">
        <v>0</v>
      </c>
      <c r="L7" s="202">
        <v>0</v>
      </c>
      <c r="M7" s="201">
        <f t="shared" si="0"/>
        <v>0.6</v>
      </c>
      <c r="N7" s="201">
        <f t="shared" si="0"/>
        <v>1</v>
      </c>
      <c r="O7" s="200">
        <f>P6+E7*1000</f>
        <v>401168.43755102681</v>
      </c>
      <c r="P7" s="200">
        <f>10000*$A$1*(N7*U7-V7*2/N7+X7*N7^2+Y7*2*N7^3+Z7*3*N7^4-W7+S7)</f>
        <v>495780.70421769342</v>
      </c>
      <c r="Q7" s="199">
        <f>R6+F7</f>
        <v>263.26477439230604</v>
      </c>
      <c r="R7" s="199">
        <f>$A$1*(T7+U7+U7*LN(N7)-V7/N7^2+X7*2*N7+Y7*3*N7^2+Z7*4*N7^3)</f>
        <v>275.22697462492192</v>
      </c>
      <c r="S7" s="198">
        <f>SUM($E$3:E7)/$A$1/10</f>
        <v>3.2713933489686688</v>
      </c>
      <c r="T7" s="197">
        <f>IF(D7="end","N/D",Q7/$A$1 - U7 - U7*LN(M7) + V7/(M7^2) - X7*2*M7 - Y7*3*M7^2 - Z7*4*M7^3)</f>
        <v>30.521750511145822</v>
      </c>
      <c r="U7" s="198">
        <f>G7*10^($G$2)/$A$1</f>
        <v>1.166396055084491</v>
      </c>
      <c r="V7" s="197">
        <f>I7/(2*$A$1)*(10^($I$2)/10^8)</f>
        <v>8.2280353599134035E-2</v>
      </c>
      <c r="W7" s="198">
        <f>U7*M7 - V7*2/M7 + X7*M7^2 + Y7*2*M7^3 + Z7*3*M7^4 + S7-O7/10000/$A$1</f>
        <v>-0.87337106922877838</v>
      </c>
      <c r="X7" s="197">
        <f>H7/2/$A$1*(10^($H$2)*10^4)</f>
        <v>0.54362860063744056</v>
      </c>
      <c r="Y7" s="198">
        <f>J7/6/$A$1*(10^($J$2)*10^8)</f>
        <v>0.13630805620702788</v>
      </c>
      <c r="Z7" s="197">
        <f>L7/12/$A$1*(10^($L$2)*10^12)</f>
        <v>0</v>
      </c>
      <c r="AA7" s="196" t="s">
        <v>102</v>
      </c>
    </row>
    <row r="8" spans="1:27" x14ac:dyDescent="0.35">
      <c r="A8" s="75"/>
      <c r="O8" s="134"/>
      <c r="P8" s="134"/>
      <c r="Q8" s="134"/>
      <c r="AA8" s="75"/>
    </row>
    <row r="9" spans="1:27" x14ac:dyDescent="0.35">
      <c r="A9" s="75"/>
      <c r="P9" s="134"/>
      <c r="Q9" s="134"/>
      <c r="AA9" s="75"/>
    </row>
    <row r="10" spans="1:27" x14ac:dyDescent="0.35">
      <c r="A10" s="75"/>
      <c r="AA10" s="75"/>
    </row>
    <row r="11" spans="1:27" x14ac:dyDescent="0.35">
      <c r="A11" s="75"/>
      <c r="AA11" s="75"/>
    </row>
    <row r="12" spans="1:27" x14ac:dyDescent="0.35">
      <c r="A12" s="75"/>
      <c r="AA12" s="75"/>
    </row>
    <row r="13" spans="1:27" x14ac:dyDescent="0.35">
      <c r="A13" s="75"/>
      <c r="K13" s="67"/>
      <c r="L13" s="67"/>
      <c r="M13" s="67"/>
      <c r="AA13" s="75"/>
    </row>
    <row r="14" spans="1:27" x14ac:dyDescent="0.35">
      <c r="A14" s="75"/>
      <c r="K14" s="67"/>
      <c r="L14" s="67"/>
      <c r="M14" s="67"/>
      <c r="AA14" s="75"/>
    </row>
    <row r="15" spans="1:27" x14ac:dyDescent="0.35">
      <c r="A15" s="75"/>
      <c r="K15" s="67"/>
      <c r="L15" s="67"/>
      <c r="M15" s="67"/>
      <c r="AA15" s="75"/>
    </row>
    <row r="16" spans="1:27" x14ac:dyDescent="0.35">
      <c r="A16" s="67"/>
      <c r="K16" s="67"/>
      <c r="L16" s="67"/>
      <c r="M16" s="67"/>
      <c r="AA16" s="75"/>
    </row>
    <row r="17" spans="1:28" x14ac:dyDescent="0.35">
      <c r="A17" s="67"/>
      <c r="B17" s="67"/>
      <c r="K17" s="67"/>
      <c r="L17" s="67"/>
      <c r="M17" s="67"/>
    </row>
    <row r="18" spans="1:28" x14ac:dyDescent="0.35">
      <c r="A18" s="67"/>
      <c r="B18" s="67"/>
      <c r="K18" s="67"/>
      <c r="L18" s="67"/>
      <c r="M18" s="67"/>
    </row>
    <row r="19" spans="1:28" x14ac:dyDescent="0.35">
      <c r="B19" s="67"/>
      <c r="C19" s="67"/>
      <c r="D19" s="212"/>
      <c r="E19" s="67"/>
      <c r="F19" s="67"/>
      <c r="G19" s="67"/>
      <c r="H19" s="67"/>
      <c r="I19" s="67"/>
      <c r="J19" s="67"/>
      <c r="K19" s="67"/>
      <c r="L19" s="67"/>
    </row>
    <row r="20" spans="1:28" x14ac:dyDescent="0.35">
      <c r="A20" s="97"/>
      <c r="B20" s="67"/>
      <c r="C20" s="67"/>
      <c r="D20" s="212"/>
      <c r="E20" s="67"/>
      <c r="F20" s="67"/>
      <c r="G20" s="67"/>
      <c r="H20" s="97"/>
      <c r="I20" s="97"/>
      <c r="J20" s="67"/>
      <c r="K20" s="67"/>
      <c r="L20" s="67"/>
    </row>
    <row r="21" spans="1:28" x14ac:dyDescent="0.35">
      <c r="A21" s="67"/>
      <c r="B21" s="67"/>
      <c r="C21" s="67"/>
      <c r="D21" s="212"/>
      <c r="E21" s="67"/>
      <c r="F21" s="67"/>
      <c r="G21" s="67"/>
      <c r="H21" s="67"/>
      <c r="I21" s="67"/>
      <c r="J21" s="67"/>
      <c r="K21" s="67"/>
      <c r="L21" s="67"/>
    </row>
    <row r="22" spans="1:28" x14ac:dyDescent="0.35">
      <c r="A22" s="67"/>
      <c r="B22" s="67"/>
      <c r="C22" s="67"/>
      <c r="D22" s="212"/>
      <c r="E22" s="67"/>
      <c r="F22" s="67"/>
      <c r="G22" s="67"/>
      <c r="H22" s="67"/>
      <c r="I22" s="67"/>
      <c r="J22" s="67"/>
      <c r="K22" s="67"/>
      <c r="L22" s="67"/>
    </row>
    <row r="23" spans="1:28" x14ac:dyDescent="0.35">
      <c r="A23" s="67"/>
      <c r="B23" s="67"/>
      <c r="C23" s="67"/>
      <c r="D23" s="212"/>
      <c r="E23" s="67"/>
      <c r="F23" s="67"/>
      <c r="G23" s="67"/>
      <c r="H23" s="67"/>
      <c r="I23" s="67"/>
      <c r="J23" s="67"/>
      <c r="K23" s="67"/>
      <c r="L23" s="67"/>
    </row>
    <row r="24" spans="1:28" x14ac:dyDescent="0.35">
      <c r="A24" s="67"/>
      <c r="B24" s="67"/>
      <c r="C24" s="67"/>
      <c r="D24" s="212"/>
      <c r="E24" s="67"/>
      <c r="F24" s="67"/>
      <c r="G24" s="67"/>
      <c r="H24" s="67"/>
      <c r="I24" s="67"/>
      <c r="J24" s="67"/>
      <c r="K24" s="67"/>
      <c r="L24" s="67"/>
    </row>
    <row r="25" spans="1:28" x14ac:dyDescent="0.35">
      <c r="A25" s="67"/>
      <c r="B25" s="67"/>
      <c r="C25" s="67"/>
      <c r="D25" s="212"/>
      <c r="E25" s="67"/>
      <c r="F25" s="67"/>
      <c r="G25" s="67"/>
      <c r="H25" s="67"/>
      <c r="I25" s="67"/>
      <c r="J25" s="67"/>
      <c r="K25" s="67"/>
      <c r="L25" s="67"/>
    </row>
    <row r="26" spans="1:28" x14ac:dyDescent="0.35">
      <c r="A26" s="67"/>
      <c r="B26" s="67"/>
      <c r="C26" s="67"/>
      <c r="D26" s="212"/>
      <c r="E26" s="67"/>
      <c r="F26" s="67"/>
      <c r="G26" s="67"/>
      <c r="H26" s="67"/>
      <c r="I26" s="67"/>
      <c r="J26" s="67"/>
      <c r="K26" s="67"/>
      <c r="L26" s="67"/>
    </row>
    <row r="27" spans="1:28" x14ac:dyDescent="0.35">
      <c r="A27" s="67"/>
      <c r="B27" s="67"/>
      <c r="C27" s="67"/>
      <c r="D27" s="212"/>
      <c r="E27" s="67"/>
      <c r="F27" s="67"/>
      <c r="G27" s="67"/>
      <c r="H27" s="67"/>
      <c r="I27" s="67"/>
      <c r="J27" s="67"/>
      <c r="K27" s="67"/>
      <c r="L27" s="67"/>
    </row>
    <row r="28" spans="1:28" x14ac:dyDescent="0.35">
      <c r="A28" s="67"/>
      <c r="B28" s="67"/>
      <c r="C28" s="67"/>
      <c r="D28" s="212"/>
      <c r="E28" s="67"/>
      <c r="F28" s="67"/>
      <c r="G28" s="67"/>
      <c r="H28" s="67"/>
      <c r="I28" s="67"/>
      <c r="J28" s="67"/>
      <c r="K28" s="67"/>
      <c r="L28" s="67"/>
    </row>
    <row r="29" spans="1:28" x14ac:dyDescent="0.35">
      <c r="A29" s="75"/>
    </row>
    <row r="30" spans="1:28" s="110" customFormat="1" ht="22.5" hidden="1" thickTop="1" thickBot="1" x14ac:dyDescent="0.4">
      <c r="A30" s="107" t="s">
        <v>132</v>
      </c>
      <c r="B30" s="106" t="s">
        <v>55</v>
      </c>
      <c r="C30" s="214" t="s">
        <v>56</v>
      </c>
      <c r="D30" s="219" t="s">
        <v>104</v>
      </c>
      <c r="E30" s="216" t="s">
        <v>97</v>
      </c>
      <c r="F30" s="106" t="s">
        <v>105</v>
      </c>
      <c r="G30" s="106" t="s">
        <v>40</v>
      </c>
      <c r="H30" s="106" t="s">
        <v>65</v>
      </c>
      <c r="I30" s="106" t="s">
        <v>66</v>
      </c>
      <c r="J30" s="106" t="s">
        <v>68</v>
      </c>
      <c r="K30" s="106" t="s">
        <v>131</v>
      </c>
      <c r="L30" s="106" t="s">
        <v>130</v>
      </c>
      <c r="M30" s="106" t="s">
        <v>106</v>
      </c>
      <c r="N30" s="106" t="s">
        <v>107</v>
      </c>
      <c r="O30" s="204" t="s">
        <v>51</v>
      </c>
      <c r="P30" s="204" t="s">
        <v>49</v>
      </c>
      <c r="Q30" s="204" t="s">
        <v>52</v>
      </c>
      <c r="R30" s="204" t="s">
        <v>50</v>
      </c>
      <c r="S30" s="106" t="s">
        <v>41</v>
      </c>
      <c r="T30" s="106" t="s">
        <v>42</v>
      </c>
      <c r="U30" s="106" t="s">
        <v>43</v>
      </c>
      <c r="V30" s="106" t="s">
        <v>44</v>
      </c>
      <c r="W30" s="106" t="s">
        <v>45</v>
      </c>
      <c r="X30" s="106" t="s">
        <v>46</v>
      </c>
      <c r="Y30" s="106" t="s">
        <v>47</v>
      </c>
      <c r="Z30" s="108" t="s">
        <v>48</v>
      </c>
      <c r="AA30" s="109" t="s">
        <v>108</v>
      </c>
      <c r="AB30" s="110" t="s">
        <v>129</v>
      </c>
    </row>
    <row r="31" spans="1:28" hidden="1" x14ac:dyDescent="0.35">
      <c r="A31" s="203" t="s">
        <v>69</v>
      </c>
      <c r="B31" s="157">
        <v>298.14999999999998</v>
      </c>
      <c r="C31" s="157">
        <v>302.91000000000003</v>
      </c>
      <c r="D31" s="218" t="s">
        <v>63</v>
      </c>
      <c r="E31" s="202">
        <v>0</v>
      </c>
      <c r="F31" s="202">
        <v>40.726999999999997</v>
      </c>
      <c r="G31" s="202">
        <v>-385.053</v>
      </c>
      <c r="H31" s="202">
        <v>1732.9169999999999</v>
      </c>
      <c r="I31" s="202">
        <v>65.540999999999997</v>
      </c>
      <c r="J31" s="202">
        <v>-2016.1869999999999</v>
      </c>
      <c r="K31" s="202">
        <v>0</v>
      </c>
      <c r="L31" s="202">
        <v>0</v>
      </c>
      <c r="M31" s="201">
        <v>2.9814999999999998E-2</v>
      </c>
      <c r="N31" s="201">
        <v>3.0291000000000002E-2</v>
      </c>
      <c r="O31" s="200">
        <v>0</v>
      </c>
      <c r="P31" s="200">
        <v>124.75698787267221</v>
      </c>
      <c r="Q31" s="199">
        <v>40.726999999999997</v>
      </c>
      <c r="R31" s="199">
        <v>41.142128128570683</v>
      </c>
      <c r="S31" s="198">
        <v>0</v>
      </c>
      <c r="T31" s="197">
        <v>-158.39844524532509</v>
      </c>
      <c r="U31" s="198">
        <v>-46.311022911780618</v>
      </c>
      <c r="V31" s="197">
        <v>3.9413674905285946E-3</v>
      </c>
      <c r="W31" s="198">
        <v>-0.93301705784567912</v>
      </c>
      <c r="X31" s="197">
        <v>1042.105358109327</v>
      </c>
      <c r="Y31" s="198">
        <v>-4041.5078076452774</v>
      </c>
      <c r="Z31" s="197">
        <v>0</v>
      </c>
      <c r="AA31" s="196" t="s">
        <v>102</v>
      </c>
      <c r="AB31" s="128"/>
    </row>
    <row r="32" spans="1:28" hidden="1" x14ac:dyDescent="0.35">
      <c r="A32" s="203" t="s">
        <v>69</v>
      </c>
      <c r="B32" s="157">
        <v>302.91000000000003</v>
      </c>
      <c r="C32" s="157">
        <v>700</v>
      </c>
      <c r="D32" s="218" t="s">
        <v>58</v>
      </c>
      <c r="E32" s="202">
        <v>5.59</v>
      </c>
      <c r="F32" s="202">
        <v>18.454000000000001</v>
      </c>
      <c r="G32" s="202">
        <v>26.071000000000002</v>
      </c>
      <c r="H32" s="202">
        <v>-0.307</v>
      </c>
      <c r="I32" s="202">
        <v>2.3660000000000001</v>
      </c>
      <c r="J32" s="202">
        <v>0.246</v>
      </c>
      <c r="K32" s="202">
        <v>0</v>
      </c>
      <c r="L32" s="202">
        <v>0</v>
      </c>
      <c r="M32" s="201">
        <v>3.0291000000000002E-2</v>
      </c>
      <c r="N32" s="201">
        <v>7.0000000000000007E-2</v>
      </c>
      <c r="O32" s="200">
        <v>5714.7569878726727</v>
      </c>
      <c r="P32" s="200">
        <v>16475.096727126416</v>
      </c>
      <c r="Q32" s="199">
        <v>59.596128128570683</v>
      </c>
      <c r="R32" s="199">
        <v>82.409320091077461</v>
      </c>
      <c r="S32" s="198">
        <v>6.7231944193878151E-2</v>
      </c>
      <c r="T32" s="197">
        <v>15.161939633818086</v>
      </c>
      <c r="U32" s="198">
        <v>3.1356064706236091</v>
      </c>
      <c r="V32" s="197">
        <v>1.4228155631727706E-4</v>
      </c>
      <c r="W32" s="198">
        <v>8.3943884453347564E-2</v>
      </c>
      <c r="X32" s="197">
        <v>-0.18461723495098922</v>
      </c>
      <c r="Y32" s="198">
        <v>0.49311443863130677</v>
      </c>
      <c r="Z32" s="197">
        <v>0</v>
      </c>
      <c r="AA32" s="196" t="s">
        <v>102</v>
      </c>
      <c r="AB32" s="128"/>
    </row>
    <row r="33" spans="1:28" hidden="1" x14ac:dyDescent="0.35">
      <c r="A33" s="203" t="s">
        <v>69</v>
      </c>
      <c r="B33" s="157">
        <v>700</v>
      </c>
      <c r="C33" s="157">
        <v>4000</v>
      </c>
      <c r="D33" s="218" t="s">
        <v>58</v>
      </c>
      <c r="E33" s="202">
        <v>0</v>
      </c>
      <c r="F33" s="202">
        <v>0</v>
      </c>
      <c r="G33" s="202">
        <v>26.068999999999999</v>
      </c>
      <c r="H33" s="202">
        <v>-0.30099999999999999</v>
      </c>
      <c r="I33" s="202">
        <v>2.37</v>
      </c>
      <c r="J33" s="202">
        <v>0.24099999999999999</v>
      </c>
      <c r="K33" s="202">
        <v>0</v>
      </c>
      <c r="L33" s="202">
        <v>0</v>
      </c>
      <c r="M33" s="201">
        <v>7.0000000000000007E-2</v>
      </c>
      <c r="N33" s="201">
        <v>0.4</v>
      </c>
      <c r="O33" s="200">
        <v>16475.096727126416</v>
      </c>
      <c r="P33" s="200">
        <v>105561.64215569783</v>
      </c>
      <c r="Q33" s="199">
        <v>82.409320091077461</v>
      </c>
      <c r="R33" s="199">
        <v>128.9568723893446</v>
      </c>
      <c r="S33" s="198">
        <v>6.7231944193878151E-2</v>
      </c>
      <c r="T33" s="197">
        <v>15.161231791276917</v>
      </c>
      <c r="U33" s="198">
        <v>3.1353659269950085</v>
      </c>
      <c r="V33" s="197">
        <v>1.4252209994587768E-4</v>
      </c>
      <c r="W33" s="198">
        <v>8.3930978142227303E-2</v>
      </c>
      <c r="X33" s="197">
        <v>-0.18100908052197964</v>
      </c>
      <c r="Y33" s="198">
        <v>0.48309178743961351</v>
      </c>
      <c r="Z33" s="197">
        <v>0</v>
      </c>
      <c r="AA33" s="196" t="s">
        <v>102</v>
      </c>
      <c r="AB33" s="128"/>
    </row>
    <row r="34" spans="1:28" hidden="1" x14ac:dyDescent="0.35">
      <c r="A34" s="203" t="s">
        <v>69</v>
      </c>
      <c r="B34" s="157">
        <v>100</v>
      </c>
      <c r="C34" s="157">
        <v>298.14999999999998</v>
      </c>
      <c r="D34" s="218" t="s">
        <v>61</v>
      </c>
      <c r="E34" s="202">
        <v>272</v>
      </c>
      <c r="F34" s="202">
        <v>169.042</v>
      </c>
      <c r="G34" s="202">
        <v>10.333</v>
      </c>
      <c r="H34" s="202">
        <v>69.971999999999994</v>
      </c>
      <c r="I34" s="202">
        <v>0.41799999999999998</v>
      </c>
      <c r="J34" s="202">
        <v>-72.948999999999998</v>
      </c>
      <c r="K34" s="202">
        <v>0</v>
      </c>
      <c r="L34" s="202">
        <v>0</v>
      </c>
      <c r="M34" s="201">
        <f t="shared" ref="M34:N40" si="1">B34/10000</f>
        <v>0.01</v>
      </c>
      <c r="N34" s="201">
        <f t="shared" si="1"/>
        <v>2.9814999999999998E-2</v>
      </c>
      <c r="O34" s="200">
        <f>E34*1000</f>
        <v>272000</v>
      </c>
      <c r="P34" s="200">
        <f t="shared" ref="P34:P40" si="2">10000*$A$1*(N34*U34-V34*2/N34+X34*N34^2+Y34*2*N34^3+Z34*3*N34^4-W34+S34)</f>
        <v>276465.29793802486</v>
      </c>
      <c r="Q34" s="199">
        <f>F34</f>
        <v>169.042</v>
      </c>
      <c r="R34" s="199">
        <f t="shared" ref="R34:R40" si="3">$A$1*(T34+U34+U34*LN(N34)-V34/N34^2+X34*2*N34+Y34*3*N34^2+Z34*4*N34^3)</f>
        <v>193.17228398268267</v>
      </c>
      <c r="S34" s="198">
        <f>SUM($E$3:E34)/$A$1/10</f>
        <v>6.6100186421312142</v>
      </c>
      <c r="T34" s="197">
        <f t="shared" ref="T34:T40" si="4">IF(D34="end","N/D",Q34/$A$1 - U34 - U34*LN(M34) + V34/(M34^2) - X34*2*M34 - Y34*3*M34^2 - Z34*4*M34^3)</f>
        <v>24.265051239619336</v>
      </c>
      <c r="U34" s="198">
        <f t="shared" ref="U34:U40" si="5">G34*10^($G$2)/$A$1</f>
        <v>1.2427686571651932</v>
      </c>
      <c r="V34" s="197">
        <f t="shared" ref="V34:V40" si="6">I34/(2*$A$1)*(10^($I$2)/10^8)</f>
        <v>2.5136809188766609E-5</v>
      </c>
      <c r="W34" s="198">
        <f t="shared" ref="W34:W40" si="7">U34*M34 - V34*2/M34 + X34*M34^2 + Y34*2*M34^3 + Z34*3*M34^4 + S34-O34/10000/$A$1</f>
        <v>3.3499409906388413</v>
      </c>
      <c r="X34" s="197">
        <f t="shared" ref="X34:X40" si="8">H34/2/$A$1*(10^($H$2)*10^4)</f>
        <v>42.078296951109508</v>
      </c>
      <c r="Y34" s="198">
        <f t="shared" ref="Y34:Y40" si="9">J34/6/$A$1*(10^($J$2)*10^8)</f>
        <v>-146.22847635656581</v>
      </c>
      <c r="Z34" s="197">
        <f t="shared" ref="Z34:Z40" si="10">L34/12/$A$1*(10^($L$2)*10^12)</f>
        <v>0</v>
      </c>
      <c r="AA34" s="196" t="s">
        <v>102</v>
      </c>
      <c r="AB34" s="128"/>
    </row>
    <row r="35" spans="1:28" hidden="1" x14ac:dyDescent="0.35">
      <c r="A35" s="203" t="s">
        <v>69</v>
      </c>
      <c r="B35" s="157">
        <v>298.14999999999998</v>
      </c>
      <c r="C35" s="157">
        <v>700</v>
      </c>
      <c r="D35" s="218" t="s">
        <v>61</v>
      </c>
      <c r="E35" s="202">
        <v>0</v>
      </c>
      <c r="F35" s="202">
        <v>0</v>
      </c>
      <c r="G35" s="202">
        <v>38.252000000000002</v>
      </c>
      <c r="H35" s="202">
        <v>-19.521999999999998</v>
      </c>
      <c r="I35" s="202">
        <v>-6.6580000000000004</v>
      </c>
      <c r="J35" s="202">
        <v>4.476</v>
      </c>
      <c r="K35" s="202">
        <v>0</v>
      </c>
      <c r="L35" s="202">
        <v>0</v>
      </c>
      <c r="M35" s="201">
        <f t="shared" si="1"/>
        <v>2.9814999999999998E-2</v>
      </c>
      <c r="N35" s="201">
        <f t="shared" si="1"/>
        <v>7.0000000000000007E-2</v>
      </c>
      <c r="O35" s="200">
        <f>P34+E35*1000</f>
        <v>276465.29793802486</v>
      </c>
      <c r="P35" s="200">
        <f t="shared" si="2"/>
        <v>287111.91421769373</v>
      </c>
      <c r="Q35" s="199">
        <f>R34+F35</f>
        <v>193.17228398268267</v>
      </c>
      <c r="R35" s="199">
        <f t="shared" si="3"/>
        <v>215.80695397369695</v>
      </c>
      <c r="S35" s="198">
        <f>SUM($E$3:E35)/$A$1/10</f>
        <v>6.6100186421312142</v>
      </c>
      <c r="T35" s="197">
        <f t="shared" si="4"/>
        <v>35.019106518894404</v>
      </c>
      <c r="U35" s="198">
        <f t="shared" si="5"/>
        <v>4.6006374406157917</v>
      </c>
      <c r="V35" s="197">
        <f t="shared" si="6"/>
        <v>-4.0038486980576099E-4</v>
      </c>
      <c r="W35" s="198">
        <f t="shared" si="7"/>
        <v>3.4389860441331286</v>
      </c>
      <c r="X35" s="197">
        <f t="shared" si="8"/>
        <v>-11.739731793854109</v>
      </c>
      <c r="Y35" s="198">
        <f t="shared" si="9"/>
        <v>8.9722773468037751</v>
      </c>
      <c r="Z35" s="197">
        <f t="shared" si="10"/>
        <v>0</v>
      </c>
      <c r="AA35" s="196" t="s">
        <v>102</v>
      </c>
      <c r="AB35" s="128"/>
    </row>
    <row r="36" spans="1:28" hidden="1" x14ac:dyDescent="0.35">
      <c r="A36" s="203" t="s">
        <v>69</v>
      </c>
      <c r="B36" s="157">
        <v>700</v>
      </c>
      <c r="C36" s="157">
        <v>1400</v>
      </c>
      <c r="D36" s="218" t="s">
        <v>61</v>
      </c>
      <c r="E36" s="202">
        <v>0</v>
      </c>
      <c r="F36" s="202">
        <v>0</v>
      </c>
      <c r="G36" s="202">
        <v>30.738</v>
      </c>
      <c r="H36" s="202">
        <v>-10.738</v>
      </c>
      <c r="I36" s="202">
        <v>3.0350000000000001</v>
      </c>
      <c r="J36" s="202">
        <v>3.2719999999999998</v>
      </c>
      <c r="K36" s="202">
        <v>0</v>
      </c>
      <c r="L36" s="202">
        <v>0</v>
      </c>
      <c r="M36" s="201">
        <f t="shared" si="1"/>
        <v>7.0000000000000007E-2</v>
      </c>
      <c r="N36" s="201">
        <f t="shared" si="1"/>
        <v>0.14000000000000001</v>
      </c>
      <c r="O36" s="200">
        <f>P35+E36*1000</f>
        <v>287111.91421769373</v>
      </c>
      <c r="P36" s="200">
        <f t="shared" si="2"/>
        <v>303571.56059864612</v>
      </c>
      <c r="Q36" s="199">
        <f>R35+F36</f>
        <v>215.80695397369695</v>
      </c>
      <c r="R36" s="199">
        <f t="shared" si="3"/>
        <v>232.23350241791178</v>
      </c>
      <c r="S36" s="198">
        <f>SUM($E$3:E36)/$A$1/10</f>
        <v>6.6100186421312142</v>
      </c>
      <c r="T36" s="197">
        <f t="shared" si="4"/>
        <v>32.934505125562289</v>
      </c>
      <c r="U36" s="198">
        <f t="shared" si="5"/>
        <v>3.6969150279631964</v>
      </c>
      <c r="V36" s="197">
        <f t="shared" si="6"/>
        <v>1.8251247820073367E-4</v>
      </c>
      <c r="W36" s="198">
        <f t="shared" si="7"/>
        <v>3.3832990921931723</v>
      </c>
      <c r="X36" s="197">
        <f t="shared" si="8"/>
        <v>-6.4573937097841121</v>
      </c>
      <c r="Y36" s="198">
        <f t="shared" si="9"/>
        <v>6.5588229398440472</v>
      </c>
      <c r="Z36" s="197">
        <f t="shared" si="10"/>
        <v>0</v>
      </c>
      <c r="AA36" s="196" t="s">
        <v>102</v>
      </c>
      <c r="AB36" s="128"/>
    </row>
    <row r="37" spans="1:28" hidden="1" x14ac:dyDescent="0.35">
      <c r="A37" s="203" t="s">
        <v>69</v>
      </c>
      <c r="B37" s="157">
        <v>1400</v>
      </c>
      <c r="C37" s="157">
        <v>6000</v>
      </c>
      <c r="D37" s="218" t="s">
        <v>61</v>
      </c>
      <c r="E37" s="202">
        <v>0</v>
      </c>
      <c r="F37" s="202">
        <v>0</v>
      </c>
      <c r="G37" s="202">
        <v>21.984999999999999</v>
      </c>
      <c r="H37" s="202">
        <v>-0.63900000000000001</v>
      </c>
      <c r="I37" s="202">
        <v>19.834</v>
      </c>
      <c r="J37" s="202">
        <v>8.7999999999999995E-2</v>
      </c>
      <c r="K37" s="202">
        <v>0</v>
      </c>
      <c r="L37" s="202">
        <v>0</v>
      </c>
      <c r="M37" s="201">
        <f t="shared" si="1"/>
        <v>0.14000000000000001</v>
      </c>
      <c r="N37" s="201">
        <f t="shared" si="1"/>
        <v>0.6</v>
      </c>
      <c r="O37" s="200">
        <f>P36+E37*1000</f>
        <v>303571.56059864612</v>
      </c>
      <c r="P37" s="200">
        <f t="shared" si="2"/>
        <v>401168.43755102699</v>
      </c>
      <c r="Q37" s="199">
        <f>R36+F37</f>
        <v>232.23350241791178</v>
      </c>
      <c r="R37" s="199">
        <f t="shared" si="3"/>
        <v>263.26477439230604</v>
      </c>
      <c r="S37" s="198">
        <f>SUM($E$3:E37)/$A$1/10</f>
        <v>6.6100186421312142</v>
      </c>
      <c r="T37" s="197">
        <f t="shared" si="4"/>
        <v>30.643793728188538</v>
      </c>
      <c r="U37" s="198">
        <f t="shared" si="5"/>
        <v>2.6441758373925066</v>
      </c>
      <c r="V37" s="197">
        <f t="shared" si="6"/>
        <v>1.1927355824162607E-3</v>
      </c>
      <c r="W37" s="198">
        <f t="shared" si="7"/>
        <v>3.3054903575958399</v>
      </c>
      <c r="X37" s="197">
        <f t="shared" si="8"/>
        <v>-0.38426844668951826</v>
      </c>
      <c r="Y37" s="198">
        <f t="shared" si="9"/>
        <v>0.17639866097380077</v>
      </c>
      <c r="Z37" s="197">
        <f t="shared" si="10"/>
        <v>0</v>
      </c>
      <c r="AA37" s="196" t="s">
        <v>102</v>
      </c>
      <c r="AB37" s="128"/>
    </row>
    <row r="38" spans="1:28" hidden="1" x14ac:dyDescent="0.35">
      <c r="A38" s="203" t="s">
        <v>69</v>
      </c>
      <c r="B38" s="157">
        <v>6000</v>
      </c>
      <c r="C38" s="157">
        <v>10000</v>
      </c>
      <c r="D38" s="218" t="s">
        <v>61</v>
      </c>
      <c r="E38" s="202">
        <v>0</v>
      </c>
      <c r="F38" s="202">
        <v>0</v>
      </c>
      <c r="G38" s="202">
        <v>9.6980000000000004</v>
      </c>
      <c r="H38" s="202">
        <v>0.90400000000000003</v>
      </c>
      <c r="I38" s="202">
        <v>1368.24</v>
      </c>
      <c r="J38" s="202">
        <v>6.8000000000000005E-2</v>
      </c>
      <c r="K38" s="202">
        <v>0</v>
      </c>
      <c r="L38" s="202">
        <v>0</v>
      </c>
      <c r="M38" s="201">
        <f t="shared" si="1"/>
        <v>0.6</v>
      </c>
      <c r="N38" s="201">
        <f t="shared" si="1"/>
        <v>1</v>
      </c>
      <c r="O38" s="200">
        <f>P37+E38*1000</f>
        <v>401168.43755102699</v>
      </c>
      <c r="P38" s="200">
        <f t="shared" si="2"/>
        <v>495780.70421769365</v>
      </c>
      <c r="Q38" s="199">
        <f>R37+F38</f>
        <v>263.26477439230604</v>
      </c>
      <c r="R38" s="199">
        <f t="shared" si="3"/>
        <v>275.22697462492192</v>
      </c>
      <c r="S38" s="198">
        <f>SUM($E$3:E38)/$A$1/10</f>
        <v>6.6100186421312142</v>
      </c>
      <c r="T38" s="197">
        <f t="shared" si="4"/>
        <v>30.521750511145822</v>
      </c>
      <c r="U38" s="198">
        <f t="shared" si="5"/>
        <v>1.166396055084491</v>
      </c>
      <c r="V38" s="197">
        <f t="shared" si="6"/>
        <v>8.2280353599134035E-2</v>
      </c>
      <c r="W38" s="198">
        <f t="shared" si="7"/>
        <v>2.4652542239337638</v>
      </c>
      <c r="X38" s="197">
        <f t="shared" si="8"/>
        <v>0.54362860063744056</v>
      </c>
      <c r="Y38" s="198">
        <f t="shared" si="9"/>
        <v>0.13630805620702788</v>
      </c>
      <c r="Z38" s="197">
        <f t="shared" si="10"/>
        <v>0</v>
      </c>
      <c r="AA38" s="196" t="s">
        <v>102</v>
      </c>
    </row>
    <row r="39" spans="1:28" hidden="1" x14ac:dyDescent="0.35">
      <c r="A39" s="203" t="s">
        <v>109</v>
      </c>
      <c r="B39" s="157">
        <v>298.14999999999998</v>
      </c>
      <c r="C39" s="157">
        <v>600</v>
      </c>
      <c r="D39" s="218" t="s">
        <v>58</v>
      </c>
      <c r="E39" s="202">
        <v>5.569</v>
      </c>
      <c r="F39" s="202">
        <v>59.218000000000004</v>
      </c>
      <c r="G39" s="202">
        <v>24.388999999999999</v>
      </c>
      <c r="H39" s="202">
        <v>2.2890000000000001</v>
      </c>
      <c r="I39" s="202">
        <v>3.105</v>
      </c>
      <c r="J39" s="202">
        <v>0</v>
      </c>
      <c r="K39" s="202">
        <v>0</v>
      </c>
      <c r="L39" s="202">
        <v>0</v>
      </c>
      <c r="M39" s="201">
        <f t="shared" si="1"/>
        <v>2.9814999999999998E-2</v>
      </c>
      <c r="N39" s="201">
        <f t="shared" si="1"/>
        <v>0.06</v>
      </c>
      <c r="O39" s="200">
        <f>E39*1000</f>
        <v>5569</v>
      </c>
      <c r="P39" s="200">
        <f t="shared" si="2"/>
        <v>13765.023230916981</v>
      </c>
      <c r="Q39" s="199">
        <f>F39</f>
        <v>59.218000000000004</v>
      </c>
      <c r="R39" s="199">
        <f t="shared" si="3"/>
        <v>78.280189139449064</v>
      </c>
      <c r="S39" s="198">
        <f>SUM($E$3:E39)/$A$1/10</f>
        <v>6.6769980155150623</v>
      </c>
      <c r="T39" s="197">
        <f t="shared" si="4"/>
        <v>14.62088076378731</v>
      </c>
      <c r="U39" s="198">
        <f t="shared" si="5"/>
        <v>2.9333092789704729</v>
      </c>
      <c r="V39" s="197">
        <f t="shared" si="6"/>
        <v>1.867219917012448E-4</v>
      </c>
      <c r="W39" s="198">
        <f t="shared" si="7"/>
        <v>6.6861735133692086</v>
      </c>
      <c r="X39" s="197">
        <f t="shared" si="8"/>
        <v>1.3765109146671479</v>
      </c>
      <c r="Y39" s="198">
        <f t="shared" si="9"/>
        <v>0</v>
      </c>
      <c r="Z39" s="197">
        <f t="shared" si="10"/>
        <v>0</v>
      </c>
      <c r="AA39" s="196" t="s">
        <v>102</v>
      </c>
      <c r="AB39" s="128"/>
    </row>
    <row r="40" spans="1:28" hidden="1" x14ac:dyDescent="0.35">
      <c r="A40" s="203" t="s">
        <v>109</v>
      </c>
      <c r="B40" s="157">
        <v>600</v>
      </c>
      <c r="C40" s="157">
        <v>2478</v>
      </c>
      <c r="D40" s="218" t="s">
        <v>58</v>
      </c>
      <c r="E40" s="202">
        <v>0</v>
      </c>
      <c r="F40" s="202">
        <v>0</v>
      </c>
      <c r="G40" s="202">
        <v>26.568000000000001</v>
      </c>
      <c r="H40" s="202">
        <v>0</v>
      </c>
      <c r="I40" s="202">
        <v>0</v>
      </c>
      <c r="J40" s="202">
        <v>0</v>
      </c>
      <c r="K40" s="202">
        <v>0</v>
      </c>
      <c r="L40" s="202">
        <v>0</v>
      </c>
      <c r="M40" s="201">
        <f t="shared" si="1"/>
        <v>0.06</v>
      </c>
      <c r="N40" s="201">
        <f t="shared" si="1"/>
        <v>0.24779999999999999</v>
      </c>
      <c r="O40" s="200">
        <f>P39+E40*1000</f>
        <v>13765.023230916981</v>
      </c>
      <c r="P40" s="200">
        <f t="shared" si="2"/>
        <v>63659.727230916913</v>
      </c>
      <c r="Q40" s="199">
        <f>R39+F40</f>
        <v>78.280189139449064</v>
      </c>
      <c r="R40" s="199">
        <f t="shared" si="3"/>
        <v>115.9609832879062</v>
      </c>
      <c r="S40" s="198">
        <f>SUM($E$3:E40)/$A$1/10</f>
        <v>6.6769980155150623</v>
      </c>
      <c r="T40" s="197">
        <f t="shared" si="4"/>
        <v>15.209439540841867</v>
      </c>
      <c r="U40" s="198">
        <f t="shared" si="5"/>
        <v>3.1953815623308675</v>
      </c>
      <c r="V40" s="197">
        <f t="shared" si="6"/>
        <v>0</v>
      </c>
      <c r="W40" s="198">
        <f t="shared" si="7"/>
        <v>6.7031664774680726</v>
      </c>
      <c r="X40" s="197">
        <f t="shared" si="8"/>
        <v>0</v>
      </c>
      <c r="Y40" s="198">
        <f t="shared" si="9"/>
        <v>0</v>
      </c>
      <c r="Z40" s="197">
        <f t="shared" si="10"/>
        <v>0</v>
      </c>
      <c r="AA40" s="196" t="s">
        <v>102</v>
      </c>
      <c r="AB40" s="128"/>
    </row>
    <row r="41" spans="1:28" hidden="1" x14ac:dyDescent="0.35">
      <c r="A41" s="203" t="s">
        <v>70</v>
      </c>
      <c r="B41" s="157">
        <v>298.14999999999998</v>
      </c>
      <c r="C41" s="157">
        <v>398</v>
      </c>
      <c r="D41" s="218" t="s">
        <v>63</v>
      </c>
      <c r="E41" s="202">
        <v>-183.25899999999999</v>
      </c>
      <c r="F41" s="202">
        <v>112.968</v>
      </c>
      <c r="G41" s="202">
        <v>0</v>
      </c>
      <c r="H41" s="202">
        <v>0</v>
      </c>
      <c r="I41" s="202">
        <v>0</v>
      </c>
      <c r="J41" s="202">
        <v>0</v>
      </c>
      <c r="K41" s="202">
        <v>0</v>
      </c>
      <c r="L41" s="202">
        <v>0</v>
      </c>
      <c r="M41" s="201">
        <v>2.9814999999999998E-2</v>
      </c>
      <c r="N41" s="201">
        <v>3.9800000000000002E-2</v>
      </c>
      <c r="O41" s="200">
        <v>-183259</v>
      </c>
      <c r="P41" s="200">
        <v>-183258.99999999997</v>
      </c>
      <c r="Q41" s="199">
        <v>112.968</v>
      </c>
      <c r="R41" s="199">
        <v>112.968</v>
      </c>
      <c r="S41" s="198">
        <v>-2.2040892416862103</v>
      </c>
      <c r="T41" s="197">
        <v>13.586866317878405</v>
      </c>
      <c r="U41" s="198">
        <v>0</v>
      </c>
      <c r="V41" s="197">
        <v>0</v>
      </c>
      <c r="W41" s="198">
        <v>0</v>
      </c>
      <c r="X41" s="197">
        <v>0</v>
      </c>
      <c r="Y41" s="198">
        <v>0</v>
      </c>
      <c r="Z41" s="197">
        <v>0</v>
      </c>
      <c r="AA41" s="196" t="s">
        <v>102</v>
      </c>
      <c r="AB41" s="128"/>
    </row>
    <row r="42" spans="1:28" hidden="1" x14ac:dyDescent="0.35">
      <c r="A42" s="203" t="s">
        <v>71</v>
      </c>
      <c r="B42" s="157">
        <v>298.14999999999998</v>
      </c>
      <c r="C42" s="157">
        <v>1293</v>
      </c>
      <c r="D42" s="218" t="s">
        <v>63</v>
      </c>
      <c r="E42" s="202">
        <v>-408.77699999999999</v>
      </c>
      <c r="F42" s="202">
        <v>179.91200000000001</v>
      </c>
      <c r="G42" s="202">
        <v>105.73</v>
      </c>
      <c r="H42" s="202">
        <v>35.313000000000002</v>
      </c>
      <c r="I42" s="202">
        <v>0</v>
      </c>
      <c r="J42" s="202">
        <v>0</v>
      </c>
      <c r="K42" s="202">
        <v>0</v>
      </c>
      <c r="L42" s="202">
        <v>0</v>
      </c>
      <c r="M42" s="201">
        <v>2.9814999999999998E-2</v>
      </c>
      <c r="N42" s="201">
        <v>0.1293</v>
      </c>
      <c r="O42" s="200">
        <v>-408777</v>
      </c>
      <c r="P42" s="200">
        <v>-275642.05434587126</v>
      </c>
      <c r="Q42" s="199">
        <v>179.91200000000001</v>
      </c>
      <c r="R42" s="199">
        <v>370.16212296042596</v>
      </c>
      <c r="S42" s="198">
        <v>-4.9164351434241382</v>
      </c>
      <c r="T42" s="197">
        <v>52.324952293212974</v>
      </c>
      <c r="U42" s="198">
        <v>12.716338925972698</v>
      </c>
      <c r="V42" s="197">
        <v>0</v>
      </c>
      <c r="W42" s="198">
        <v>0.39801486817452936</v>
      </c>
      <c r="X42" s="197">
        <v>21.235792891935773</v>
      </c>
      <c r="Y42" s="198">
        <v>0</v>
      </c>
      <c r="Z42" s="197">
        <v>0</v>
      </c>
      <c r="AA42" s="196" t="s">
        <v>102</v>
      </c>
      <c r="AB42" s="128"/>
    </row>
    <row r="43" spans="1:28" hidden="1" x14ac:dyDescent="0.35">
      <c r="A43" s="203" t="s">
        <v>62</v>
      </c>
      <c r="B43" s="157">
        <v>298.14999999999998</v>
      </c>
      <c r="C43" s="157">
        <v>1211.4000000000001</v>
      </c>
      <c r="D43" s="218" t="s">
        <v>63</v>
      </c>
      <c r="E43" s="202">
        <v>0</v>
      </c>
      <c r="F43" s="202">
        <v>31.087</v>
      </c>
      <c r="G43" s="202">
        <v>24.1</v>
      </c>
      <c r="H43" s="202">
        <v>2.99</v>
      </c>
      <c r="I43" s="202">
        <v>-1.57</v>
      </c>
      <c r="J43" s="202">
        <v>0</v>
      </c>
      <c r="K43" s="202">
        <v>0</v>
      </c>
      <c r="L43" s="202">
        <v>0</v>
      </c>
      <c r="M43" s="201">
        <v>2.9814999999999998E-2</v>
      </c>
      <c r="N43" s="201">
        <v>0.12114000000000001</v>
      </c>
      <c r="O43" s="200">
        <v>0</v>
      </c>
      <c r="P43" s="200">
        <v>23673.348356575047</v>
      </c>
      <c r="Q43" s="199">
        <v>31.087</v>
      </c>
      <c r="R43" s="199">
        <v>66.774670463076021</v>
      </c>
      <c r="S43" s="198">
        <v>0</v>
      </c>
      <c r="T43" s="197">
        <v>10.808776674393879</v>
      </c>
      <c r="U43" s="198">
        <v>2.8985507246376812</v>
      </c>
      <c r="V43" s="197">
        <v>-9.4413374225750193E-5</v>
      </c>
      <c r="W43" s="198">
        <v>9.4351930325122887E-2</v>
      </c>
      <c r="X43" s="197">
        <v>1.7980636237897649</v>
      </c>
      <c r="Y43" s="198">
        <v>0</v>
      </c>
      <c r="Z43" s="197">
        <v>0</v>
      </c>
      <c r="AA43" s="196" t="s">
        <v>102</v>
      </c>
      <c r="AB43" s="128"/>
    </row>
    <row r="44" spans="1:28" hidden="1" x14ac:dyDescent="0.35">
      <c r="A44" s="203" t="s">
        <v>62</v>
      </c>
      <c r="B44" s="157">
        <v>1211.4000000000001</v>
      </c>
      <c r="C44" s="157">
        <v>4900</v>
      </c>
      <c r="D44" s="218" t="s">
        <v>58</v>
      </c>
      <c r="E44" s="202">
        <v>36.945</v>
      </c>
      <c r="F44" s="202">
        <v>30.521999999999998</v>
      </c>
      <c r="G44" s="202">
        <v>27.6</v>
      </c>
      <c r="H44" s="202">
        <v>0</v>
      </c>
      <c r="I44" s="202">
        <v>0</v>
      </c>
      <c r="J44" s="202">
        <v>0</v>
      </c>
      <c r="K44" s="202">
        <v>0</v>
      </c>
      <c r="L44" s="202">
        <v>0</v>
      </c>
      <c r="M44" s="201">
        <v>0.12114000000000001</v>
      </c>
      <c r="N44" s="201">
        <v>0.49</v>
      </c>
      <c r="O44" s="200">
        <v>60618.34835657505</v>
      </c>
      <c r="P44" s="200">
        <v>162423.70835657502</v>
      </c>
      <c r="Q44" s="199">
        <v>97.296670463076026</v>
      </c>
      <c r="R44" s="199">
        <v>135.86652477470767</v>
      </c>
      <c r="S44" s="198">
        <v>0.44434421793252749</v>
      </c>
      <c r="T44" s="197">
        <v>15.389377795432761</v>
      </c>
      <c r="U44" s="198">
        <v>3.3195020746887964</v>
      </c>
      <c r="V44" s="197">
        <v>0</v>
      </c>
      <c r="W44" s="198">
        <v>0.11740082558692588</v>
      </c>
      <c r="X44" s="197">
        <v>0</v>
      </c>
      <c r="Y44" s="198">
        <v>0</v>
      </c>
      <c r="Z44" s="197">
        <v>0</v>
      </c>
      <c r="AA44" s="196" t="s">
        <v>102</v>
      </c>
      <c r="AB44" s="128"/>
    </row>
    <row r="45" spans="1:28" hidden="1" x14ac:dyDescent="0.35">
      <c r="A45" s="203" t="s">
        <v>81</v>
      </c>
      <c r="B45" s="157">
        <v>298.14999999999998</v>
      </c>
      <c r="C45" s="157">
        <v>948</v>
      </c>
      <c r="D45" s="218" t="s">
        <v>63</v>
      </c>
      <c r="E45" s="202">
        <v>-69.036000000000001</v>
      </c>
      <c r="F45" s="202">
        <v>78.241</v>
      </c>
      <c r="G45" s="202">
        <v>45.104999999999997</v>
      </c>
      <c r="H45" s="202">
        <v>16.393999999999998</v>
      </c>
      <c r="I45" s="202">
        <v>0</v>
      </c>
      <c r="J45" s="202">
        <v>6.0000000000000001E-3</v>
      </c>
      <c r="K45" s="202">
        <v>0</v>
      </c>
      <c r="L45" s="202">
        <v>0</v>
      </c>
      <c r="M45" s="201">
        <v>2.9814999999999998E-2</v>
      </c>
      <c r="N45" s="201">
        <v>9.4799999999999995E-2</v>
      </c>
      <c r="O45" s="200">
        <v>-69036</v>
      </c>
      <c r="P45" s="200">
        <v>-33084.847510596337</v>
      </c>
      <c r="Q45" s="199">
        <v>78.241</v>
      </c>
      <c r="R45" s="199">
        <v>141.07263030020036</v>
      </c>
      <c r="S45" s="198">
        <v>-0.83030849720368027</v>
      </c>
      <c r="T45" s="197">
        <v>22.453564837569701</v>
      </c>
      <c r="U45" s="198">
        <v>5.4248601840158752</v>
      </c>
      <c r="V45" s="197">
        <v>0</v>
      </c>
      <c r="W45" s="198">
        <v>0.17050656252787699</v>
      </c>
      <c r="X45" s="197">
        <v>9.8586806181971252</v>
      </c>
      <c r="Y45" s="198">
        <v>1.2027181430031871E-2</v>
      </c>
      <c r="Z45" s="197">
        <v>0</v>
      </c>
      <c r="AA45" s="196" t="s">
        <v>102</v>
      </c>
      <c r="AB45" s="128"/>
    </row>
    <row r="46" spans="1:28" hidden="1" x14ac:dyDescent="0.35">
      <c r="A46" s="203" t="s">
        <v>81</v>
      </c>
      <c r="B46" s="157">
        <v>948</v>
      </c>
      <c r="C46" s="157">
        <v>1200</v>
      </c>
      <c r="D46" s="218" t="s">
        <v>58</v>
      </c>
      <c r="E46" s="202">
        <v>24.686</v>
      </c>
      <c r="F46" s="202">
        <v>26.041</v>
      </c>
      <c r="G46" s="202">
        <v>63.597000000000001</v>
      </c>
      <c r="H46" s="202">
        <v>0</v>
      </c>
      <c r="I46" s="202">
        <v>0</v>
      </c>
      <c r="J46" s="202">
        <v>0</v>
      </c>
      <c r="K46" s="202">
        <v>0</v>
      </c>
      <c r="L46" s="202">
        <v>0</v>
      </c>
      <c r="M46" s="201">
        <v>9.4799999999999995E-2</v>
      </c>
      <c r="N46" s="201">
        <v>0.12</v>
      </c>
      <c r="O46" s="200">
        <v>-8398.8475105963371</v>
      </c>
      <c r="P46" s="200">
        <v>7627.5964894036615</v>
      </c>
      <c r="Q46" s="199">
        <v>167.11363030020036</v>
      </c>
      <c r="R46" s="199">
        <v>182.10486354513984</v>
      </c>
      <c r="S46" s="198">
        <v>-0.53340549642191348</v>
      </c>
      <c r="T46" s="197">
        <v>30.47089586347429</v>
      </c>
      <c r="U46" s="198">
        <v>7.6489265740573691</v>
      </c>
      <c r="V46" s="197">
        <v>0</v>
      </c>
      <c r="W46" s="198">
        <v>0.29272720561183874</v>
      </c>
      <c r="X46" s="197">
        <v>0</v>
      </c>
      <c r="Y46" s="198">
        <v>0</v>
      </c>
      <c r="Z46" s="197">
        <v>0</v>
      </c>
      <c r="AA46" s="196" t="s">
        <v>102</v>
      </c>
      <c r="AB46" s="128"/>
    </row>
    <row r="47" spans="1:28" hidden="1" x14ac:dyDescent="0.35">
      <c r="A47" s="203" t="s">
        <v>82</v>
      </c>
      <c r="B47" s="157">
        <v>298.14999999999998</v>
      </c>
      <c r="C47" s="157">
        <v>350</v>
      </c>
      <c r="D47" s="218" t="s">
        <v>63</v>
      </c>
      <c r="E47" s="202">
        <v>-112.968</v>
      </c>
      <c r="F47" s="202">
        <v>115.395</v>
      </c>
      <c r="G47" s="202">
        <v>146.40600000000001</v>
      </c>
      <c r="H47" s="202">
        <v>-419.279</v>
      </c>
      <c r="I47" s="202">
        <v>-9.6690000000000005</v>
      </c>
      <c r="J47" s="202">
        <v>690.01700000000005</v>
      </c>
      <c r="K47" s="202">
        <v>0</v>
      </c>
      <c r="L47" s="202">
        <v>0</v>
      </c>
      <c r="M47" s="201">
        <v>2.9814999999999998E-2</v>
      </c>
      <c r="N47" s="201">
        <v>3.5000000000000003E-2</v>
      </c>
      <c r="O47" s="200">
        <v>-112968</v>
      </c>
      <c r="P47" s="200">
        <v>-109137.02129574418</v>
      </c>
      <c r="Q47" s="199">
        <v>115.395</v>
      </c>
      <c r="R47" s="199">
        <v>127.2321509136336</v>
      </c>
      <c r="S47" s="198">
        <v>-1.3586866317878405</v>
      </c>
      <c r="T47" s="197">
        <v>68.816676906083146</v>
      </c>
      <c r="U47" s="198">
        <v>17.608515244452462</v>
      </c>
      <c r="V47" s="197">
        <v>-5.8145408623489088E-4</v>
      </c>
      <c r="W47" s="198">
        <v>0.41318596346922787</v>
      </c>
      <c r="X47" s="197">
        <v>-252.13723014011663</v>
      </c>
      <c r="Y47" s="198">
        <v>1383.1599414677171</v>
      </c>
      <c r="Z47" s="197">
        <v>0</v>
      </c>
      <c r="AA47" s="196" t="s">
        <v>102</v>
      </c>
      <c r="AB47" s="128"/>
    </row>
    <row r="48" spans="1:28" hidden="1" x14ac:dyDescent="0.35">
      <c r="A48" s="203" t="s">
        <v>82</v>
      </c>
      <c r="B48" s="157">
        <v>350</v>
      </c>
      <c r="C48" s="157">
        <v>420</v>
      </c>
      <c r="D48" s="218" t="s">
        <v>63</v>
      </c>
      <c r="E48" s="202">
        <v>0</v>
      </c>
      <c r="F48" s="202">
        <v>0</v>
      </c>
      <c r="G48" s="202">
        <v>14.651999999999999</v>
      </c>
      <c r="H48" s="202">
        <v>175.816</v>
      </c>
      <c r="I48" s="202">
        <v>0</v>
      </c>
      <c r="J48" s="202">
        <v>0</v>
      </c>
      <c r="K48" s="202">
        <v>0</v>
      </c>
      <c r="L48" s="202">
        <v>0</v>
      </c>
      <c r="M48" s="201">
        <v>3.5000000000000003E-2</v>
      </c>
      <c r="N48" s="201">
        <v>4.2000000000000003E-2</v>
      </c>
      <c r="O48" s="200">
        <v>-109137.02129574418</v>
      </c>
      <c r="P48" s="200">
        <v>-103373.14009574415</v>
      </c>
      <c r="Q48" s="199">
        <v>127.2321509136336</v>
      </c>
      <c r="R48" s="199">
        <v>142.21064636377864</v>
      </c>
      <c r="S48" s="198">
        <v>-1.3586866317878405</v>
      </c>
      <c r="T48" s="197">
        <v>12.046908589131874</v>
      </c>
      <c r="U48" s="198">
        <v>1.7622226231282696</v>
      </c>
      <c r="V48" s="197">
        <v>0</v>
      </c>
      <c r="W48" s="198">
        <v>0.14511938535984314</v>
      </c>
      <c r="X48" s="197">
        <v>105.72854651512418</v>
      </c>
      <c r="Y48" s="198">
        <v>0</v>
      </c>
      <c r="Z48" s="197">
        <v>0</v>
      </c>
      <c r="AA48" s="196" t="s">
        <v>102</v>
      </c>
      <c r="AB48" s="128"/>
    </row>
    <row r="49" spans="1:28" hidden="1" x14ac:dyDescent="0.35">
      <c r="A49" s="203" t="s">
        <v>82</v>
      </c>
      <c r="B49" s="157">
        <v>420</v>
      </c>
      <c r="C49" s="157">
        <v>450</v>
      </c>
      <c r="D49" s="218" t="s">
        <v>63</v>
      </c>
      <c r="E49" s="202">
        <v>0</v>
      </c>
      <c r="F49" s="202">
        <v>0</v>
      </c>
      <c r="G49" s="202">
        <v>83.006</v>
      </c>
      <c r="H49" s="202">
        <v>0</v>
      </c>
      <c r="I49" s="202">
        <v>0</v>
      </c>
      <c r="J49" s="202">
        <v>0</v>
      </c>
      <c r="K49" s="202">
        <v>0</v>
      </c>
      <c r="L49" s="202">
        <v>0</v>
      </c>
      <c r="M49" s="201">
        <v>4.2000000000000003E-2</v>
      </c>
      <c r="N49" s="201">
        <v>4.4999999999999998E-2</v>
      </c>
      <c r="O49" s="200">
        <v>-103373.14009574415</v>
      </c>
      <c r="P49" s="200">
        <v>-100882.96009574414</v>
      </c>
      <c r="Q49" s="199">
        <v>142.21064636377864</v>
      </c>
      <c r="R49" s="199">
        <v>147.93746865442452</v>
      </c>
      <c r="S49" s="198">
        <v>-1.3586866317878405</v>
      </c>
      <c r="T49" s="197">
        <v>38.768510038576053</v>
      </c>
      <c r="U49" s="198">
        <v>9.9832822178122544</v>
      </c>
      <c r="V49" s="197">
        <v>0</v>
      </c>
      <c r="W49" s="198">
        <v>0.30389873228389108</v>
      </c>
      <c r="X49" s="197">
        <v>0</v>
      </c>
      <c r="Y49" s="198">
        <v>0</v>
      </c>
      <c r="Z49" s="197">
        <v>0</v>
      </c>
      <c r="AA49" s="196" t="s">
        <v>102</v>
      </c>
      <c r="AB49" s="128"/>
    </row>
    <row r="50" spans="1:28" hidden="1" x14ac:dyDescent="0.35">
      <c r="A50" s="203" t="s">
        <v>82</v>
      </c>
      <c r="B50" s="157">
        <v>450</v>
      </c>
      <c r="C50" s="157">
        <v>900</v>
      </c>
      <c r="D50" s="218" t="s">
        <v>63</v>
      </c>
      <c r="E50" s="202">
        <v>0</v>
      </c>
      <c r="F50" s="202">
        <v>0</v>
      </c>
      <c r="G50" s="202">
        <v>16.878</v>
      </c>
      <c r="H50" s="202">
        <v>102.194</v>
      </c>
      <c r="I50" s="202">
        <v>45.500999999999998</v>
      </c>
      <c r="J50" s="202">
        <v>-39.966000000000001</v>
      </c>
      <c r="K50" s="202">
        <v>0</v>
      </c>
      <c r="L50" s="202">
        <v>0</v>
      </c>
      <c r="M50" s="201">
        <v>4.4999999999999998E-2</v>
      </c>
      <c r="N50" s="201">
        <v>0.09</v>
      </c>
      <c r="O50" s="200">
        <v>-100882.96009574414</v>
      </c>
      <c r="P50" s="200">
        <v>-65688.536679077442</v>
      </c>
      <c r="Q50" s="199">
        <v>147.93746865442452</v>
      </c>
      <c r="R50" s="199">
        <v>201.91014537902635</v>
      </c>
      <c r="S50" s="198">
        <v>-1.3586866317878405</v>
      </c>
      <c r="T50" s="197">
        <v>18.364758562217371</v>
      </c>
      <c r="U50" s="198">
        <v>2.0299476817607793</v>
      </c>
      <c r="V50" s="197">
        <v>2.736243911239401E-3</v>
      </c>
      <c r="W50" s="198">
        <v>-6.5765806573927721E-2</v>
      </c>
      <c r="X50" s="197">
        <v>61.455288953033858</v>
      </c>
      <c r="Y50" s="198">
        <v>-80.11305550544229</v>
      </c>
      <c r="Z50" s="197">
        <v>0</v>
      </c>
      <c r="AA50" s="196" t="s">
        <v>102</v>
      </c>
      <c r="AB50" s="128"/>
    </row>
    <row r="51" spans="1:28" x14ac:dyDescent="0.35">
      <c r="A51" s="203" t="s">
        <v>64</v>
      </c>
      <c r="B51" s="157">
        <v>298.14999999999998</v>
      </c>
      <c r="C51" s="157">
        <v>494.3</v>
      </c>
      <c r="D51" s="218" t="s">
        <v>63</v>
      </c>
      <c r="E51" s="202">
        <v>0</v>
      </c>
      <c r="F51" s="202">
        <v>42.442</v>
      </c>
      <c r="G51" s="202">
        <v>19.399999999999999</v>
      </c>
      <c r="H51" s="202">
        <v>22.7</v>
      </c>
      <c r="I51" s="202">
        <v>0</v>
      </c>
      <c r="J51" s="202">
        <v>-12.9</v>
      </c>
      <c r="K51" s="202">
        <v>0</v>
      </c>
      <c r="L51" s="202">
        <v>0</v>
      </c>
      <c r="M51" s="201">
        <v>2.9814999999999998E-2</v>
      </c>
      <c r="N51" s="201">
        <v>4.9430000000000002E-2</v>
      </c>
      <c r="O51" s="200">
        <v>0</v>
      </c>
      <c r="P51" s="200">
        <v>5164.1825198039123</v>
      </c>
      <c r="Q51" s="199">
        <v>42.442</v>
      </c>
      <c r="R51" s="199">
        <v>55.699613566654705</v>
      </c>
      <c r="S51" s="198">
        <v>0</v>
      </c>
      <c r="T51" s="197">
        <v>10.222452884649963</v>
      </c>
      <c r="U51" s="198">
        <v>2.3332731974261827</v>
      </c>
      <c r="V51" s="197">
        <v>0</v>
      </c>
      <c r="W51" s="198">
        <v>8.0330566811305376E-2</v>
      </c>
      <c r="X51" s="197">
        <v>13.650850923086173</v>
      </c>
      <c r="Y51" s="198">
        <v>-25.858440074568524</v>
      </c>
      <c r="Z51" s="197">
        <v>0</v>
      </c>
      <c r="AA51" s="196" t="s">
        <v>102</v>
      </c>
      <c r="AB51" s="128"/>
    </row>
    <row r="52" spans="1:28" x14ac:dyDescent="0.35">
      <c r="A52" s="203" t="s">
        <v>64</v>
      </c>
      <c r="B52" s="157">
        <v>494.3</v>
      </c>
      <c r="C52" s="157">
        <v>1000</v>
      </c>
      <c r="D52" s="218" t="s">
        <v>58</v>
      </c>
      <c r="E52" s="202">
        <v>6.1589999999999998</v>
      </c>
      <c r="F52" s="202">
        <v>12.46</v>
      </c>
      <c r="G52" s="202">
        <v>52.4</v>
      </c>
      <c r="H52" s="202">
        <v>-49.6</v>
      </c>
      <c r="I52" s="202">
        <v>0</v>
      </c>
      <c r="J52" s="202">
        <v>32.4</v>
      </c>
      <c r="K52" s="202">
        <v>0</v>
      </c>
      <c r="L52" s="202">
        <v>0</v>
      </c>
      <c r="M52" s="201">
        <v>4.9430000000000002E-2</v>
      </c>
      <c r="N52" s="201">
        <v>0.1</v>
      </c>
      <c r="O52" s="200">
        <v>11323.182519803911</v>
      </c>
      <c r="P52" s="200">
        <v>28576.953933888308</v>
      </c>
      <c r="Q52" s="199">
        <v>68.159613566654713</v>
      </c>
      <c r="R52" s="199">
        <v>92.240410542922049</v>
      </c>
      <c r="S52" s="198">
        <v>7.4075410427566296E-2</v>
      </c>
      <c r="T52" s="197">
        <v>23.32020799997715</v>
      </c>
      <c r="U52" s="198">
        <v>6.3022430693367006</v>
      </c>
      <c r="V52" s="197">
        <v>0</v>
      </c>
      <c r="W52" s="198">
        <v>0.19221896766025248</v>
      </c>
      <c r="X52" s="197">
        <v>-29.82740994647904</v>
      </c>
      <c r="Y52" s="198">
        <v>64.94677972217211</v>
      </c>
      <c r="Z52" s="197">
        <v>0</v>
      </c>
      <c r="AA52" s="196" t="s">
        <v>102</v>
      </c>
      <c r="AB52" s="128"/>
    </row>
    <row r="53" spans="1:28" x14ac:dyDescent="0.35">
      <c r="A53" s="203" t="s">
        <v>64</v>
      </c>
      <c r="B53" s="157">
        <v>1000</v>
      </c>
      <c r="C53" s="157">
        <v>1800</v>
      </c>
      <c r="D53" s="218" t="s">
        <v>58</v>
      </c>
      <c r="E53" s="202">
        <v>0</v>
      </c>
      <c r="F53" s="202">
        <v>0</v>
      </c>
      <c r="G53" s="202">
        <v>35.299999999999997</v>
      </c>
      <c r="H53" s="202">
        <v>0</v>
      </c>
      <c r="I53" s="202">
        <v>0</v>
      </c>
      <c r="J53" s="202">
        <v>0</v>
      </c>
      <c r="K53" s="202">
        <v>0</v>
      </c>
      <c r="L53" s="202">
        <v>0</v>
      </c>
      <c r="M53" s="201">
        <v>0.1</v>
      </c>
      <c r="N53" s="201">
        <v>0.18</v>
      </c>
      <c r="O53" s="200">
        <v>28576.953933888308</v>
      </c>
      <c r="P53" s="200">
        <v>56816.953933888297</v>
      </c>
      <c r="Q53" s="199">
        <v>92.240410542922049</v>
      </c>
      <c r="R53" s="199">
        <v>112.9892798139668</v>
      </c>
      <c r="S53" s="198">
        <v>7.4075410427566296E-2</v>
      </c>
      <c r="T53" s="197">
        <v>16.624170344050974</v>
      </c>
      <c r="U53" s="198">
        <v>4.2455950448012505</v>
      </c>
      <c r="V53" s="197">
        <v>0</v>
      </c>
      <c r="W53" s="198">
        <v>0.15493470522715369</v>
      </c>
      <c r="X53" s="197">
        <v>0</v>
      </c>
      <c r="Y53" s="198">
        <v>0</v>
      </c>
      <c r="Z53" s="197">
        <v>0</v>
      </c>
      <c r="AA53" s="196" t="s">
        <v>102</v>
      </c>
      <c r="AB53" s="128"/>
    </row>
    <row r="54" spans="1:28" hidden="1" x14ac:dyDescent="0.35">
      <c r="A54" s="203" t="s">
        <v>98</v>
      </c>
      <c r="B54" s="157">
        <v>298.14999999999998</v>
      </c>
      <c r="C54" s="157">
        <v>398</v>
      </c>
      <c r="D54" s="218" t="s">
        <v>63</v>
      </c>
      <c r="E54" s="202">
        <v>5.0209999999999999</v>
      </c>
      <c r="F54" s="202">
        <v>48.408999999999999</v>
      </c>
      <c r="G54" s="202">
        <v>27.15</v>
      </c>
      <c r="H54" s="202">
        <v>0</v>
      </c>
      <c r="I54" s="202">
        <v>0</v>
      </c>
      <c r="J54" s="202">
        <v>0</v>
      </c>
      <c r="K54" s="202">
        <v>0</v>
      </c>
      <c r="L54" s="202">
        <v>0</v>
      </c>
      <c r="M54" s="201">
        <v>2.9814999999999998E-2</v>
      </c>
      <c r="N54" s="201">
        <v>3.9800000000000002E-2</v>
      </c>
      <c r="O54" s="200">
        <v>5021</v>
      </c>
      <c r="P54" s="200">
        <v>7731.9275000000007</v>
      </c>
      <c r="Q54" s="199">
        <v>48.408999999999999</v>
      </c>
      <c r="R54" s="199">
        <v>56.251421115771024</v>
      </c>
      <c r="S54" s="198">
        <v>6.0388477960190028E-2</v>
      </c>
      <c r="T54" s="197">
        <v>14.027300531776039</v>
      </c>
      <c r="U54" s="198">
        <v>3.265379758253653</v>
      </c>
      <c r="V54" s="197">
        <v>0</v>
      </c>
      <c r="W54" s="198">
        <v>9.7357297492332656E-2</v>
      </c>
      <c r="X54" s="197">
        <v>0</v>
      </c>
      <c r="Y54" s="198">
        <v>0</v>
      </c>
      <c r="Z54" s="197">
        <v>0</v>
      </c>
      <c r="AA54" s="196" t="s">
        <v>102</v>
      </c>
      <c r="AB54" s="128"/>
    </row>
    <row r="55" spans="1:28" hidden="1" x14ac:dyDescent="0.35">
      <c r="A55" s="203" t="s">
        <v>99</v>
      </c>
      <c r="B55" s="157">
        <v>298</v>
      </c>
      <c r="C55" s="157">
        <v>413</v>
      </c>
      <c r="D55" s="218" t="s">
        <v>63</v>
      </c>
      <c r="E55" s="202">
        <v>8.9540000000000006</v>
      </c>
      <c r="F55" s="202">
        <v>188.154</v>
      </c>
      <c r="G55" s="202">
        <v>107.52</v>
      </c>
      <c r="H55" s="202">
        <v>-9.06</v>
      </c>
      <c r="I55" s="202">
        <v>-4.3810000000000002</v>
      </c>
      <c r="J55" s="202">
        <v>57.073</v>
      </c>
      <c r="K55" s="202">
        <v>0</v>
      </c>
      <c r="L55" s="202">
        <v>0</v>
      </c>
      <c r="M55" s="201">
        <v>2.98E-2</v>
      </c>
      <c r="N55" s="201">
        <v>4.1300000000000003E-2</v>
      </c>
      <c r="O55" s="200">
        <v>8954</v>
      </c>
      <c r="P55" s="200">
        <v>21375.76204940235</v>
      </c>
      <c r="Q55" s="199">
        <v>188.154</v>
      </c>
      <c r="R55" s="199">
        <v>223.35254329552305</v>
      </c>
      <c r="S55" s="198">
        <v>0.10769138252450537</v>
      </c>
      <c r="T55" s="197">
        <v>54.853251742343801</v>
      </c>
      <c r="U55" s="198">
        <v>12.931625473570268</v>
      </c>
      <c r="V55" s="197">
        <v>-2.6345540922484819E-4</v>
      </c>
      <c r="W55" s="198">
        <v>0.40426080105349993</v>
      </c>
      <c r="X55" s="197">
        <v>-5.4483131878044384</v>
      </c>
      <c r="Y55" s="198">
        <v>114.404554292702</v>
      </c>
      <c r="Z55" s="197">
        <v>0</v>
      </c>
      <c r="AA55" s="196" t="s">
        <v>102</v>
      </c>
      <c r="AB55" s="128"/>
    </row>
    <row r="56" spans="1:28" hidden="1" x14ac:dyDescent="0.35">
      <c r="A56" s="203" t="s">
        <v>100</v>
      </c>
      <c r="B56" s="157">
        <v>298.14999999999998</v>
      </c>
      <c r="C56" s="157">
        <v>398</v>
      </c>
      <c r="D56" s="218" t="s">
        <v>63</v>
      </c>
      <c r="E56" s="202">
        <v>16.318000000000001</v>
      </c>
      <c r="F56" s="202">
        <v>52.3</v>
      </c>
      <c r="G56" s="202">
        <v>40.585000000000001</v>
      </c>
      <c r="H56" s="202">
        <v>0</v>
      </c>
      <c r="I56" s="202">
        <v>0</v>
      </c>
      <c r="J56" s="202">
        <v>0</v>
      </c>
      <c r="K56" s="202">
        <v>0</v>
      </c>
      <c r="L56" s="202">
        <v>0</v>
      </c>
      <c r="M56" s="201">
        <v>2.9814999999999998E-2</v>
      </c>
      <c r="N56" s="201">
        <v>3.9800000000000002E-2</v>
      </c>
      <c r="O56" s="200">
        <v>16318.000000000002</v>
      </c>
      <c r="P56" s="200">
        <v>20370.412250000005</v>
      </c>
      <c r="Q56" s="199">
        <v>52.3</v>
      </c>
      <c r="R56" s="199">
        <v>64.023191933096371</v>
      </c>
      <c r="S56" s="198">
        <v>0.1962595465752601</v>
      </c>
      <c r="T56" s="197">
        <v>18.555499584494658</v>
      </c>
      <c r="U56" s="198">
        <v>4.881231583378435</v>
      </c>
      <c r="V56" s="197">
        <v>0</v>
      </c>
      <c r="W56" s="198">
        <v>0.14553391965842802</v>
      </c>
      <c r="X56" s="197">
        <v>0</v>
      </c>
      <c r="Y56" s="198">
        <v>0</v>
      </c>
      <c r="Z56" s="197">
        <v>0</v>
      </c>
      <c r="AA56" s="196" t="s">
        <v>102</v>
      </c>
      <c r="AB56" s="128"/>
    </row>
  </sheetData>
  <sheetProtection sheet="1" formatCells="0" formatColumns="0" formatRows="0" insertColumns="0" insertRows="0" sort="0" autoFilter="0" pivotTables="0"/>
  <mergeCells count="2">
    <mergeCell ref="A2:E2"/>
    <mergeCell ref="M2:AA2"/>
  </mergeCells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10C8-0343-49A7-BE1C-064BAE70105F}">
  <sheetPr codeName="Лист5">
    <tabColor rgb="FF0070C0"/>
  </sheetPr>
  <dimension ref="A1:AD33"/>
  <sheetViews>
    <sheetView zoomScaleNormal="100" workbookViewId="0">
      <pane xSplit="3" ySplit="1" topLeftCell="D5" activePane="bottomRight" state="frozen"/>
      <selection pane="topRight" activeCell="D1" sqref="D1"/>
      <selection pane="bottomLeft" activeCell="A2" sqref="A2"/>
      <selection pane="bottomRight" activeCell="W37" sqref="W37"/>
    </sheetView>
  </sheetViews>
  <sheetFormatPr defaultRowHeight="21" outlineLevelCol="1" x14ac:dyDescent="0.35"/>
  <cols>
    <col min="1" max="1" width="8.6328125" style="75" bestFit="1" customWidth="1"/>
    <col min="2" max="2" width="2.6328125" style="212" customWidth="1"/>
    <col min="3" max="4" width="6.1796875" style="67" customWidth="1"/>
    <col min="5" max="6" width="8.6328125" style="67" hidden="1" customWidth="1" outlineLevel="1"/>
    <col min="7" max="8" width="7.6328125" style="194" hidden="1" customWidth="1" outlineLevel="1"/>
    <col min="9" max="9" width="8.81640625" style="194" hidden="1" customWidth="1" outlineLevel="1"/>
    <col min="10" max="10" width="8.453125" style="194" hidden="1" customWidth="1" outlineLevel="1"/>
    <col min="11" max="11" width="7.6328125" style="190" hidden="1" customWidth="1" outlineLevel="1"/>
    <col min="12" max="13" width="5.6328125" style="138" hidden="1" customWidth="1" outlineLevel="1"/>
    <col min="14" max="15" width="2.6328125" style="136" hidden="1" customWidth="1" outlineLevel="1"/>
    <col min="16" max="18" width="11.6328125" style="134" hidden="1" customWidth="1" outlineLevel="1"/>
    <col min="19" max="20" width="7.6328125" style="134" hidden="1" customWidth="1" outlineLevel="1"/>
    <col min="21" max="21" width="7.6328125" style="131" hidden="1" customWidth="1" outlineLevel="1"/>
    <col min="22" max="22" width="11.08984375" style="67" bestFit="1" customWidth="1" collapsed="1"/>
    <col min="23" max="24" width="9.90625" style="67" customWidth="1"/>
    <col min="25" max="25" width="12.1796875" style="67" bestFit="1" customWidth="1"/>
    <col min="26" max="26" width="10.453125" style="67" customWidth="1"/>
    <col min="27" max="27" width="10.6328125" style="67" bestFit="1" customWidth="1"/>
    <col min="28" max="29" width="9.90625" style="67" customWidth="1"/>
    <col min="30" max="30" width="2.90625" style="97" customWidth="1"/>
    <col min="31" max="16384" width="8.7265625" style="67"/>
  </cols>
  <sheetData>
    <row r="1" spans="1:30" ht="28.5" customHeight="1" thickTop="1" thickBot="1" x14ac:dyDescent="0.4">
      <c r="A1" s="205" t="s">
        <v>110</v>
      </c>
      <c r="B1" s="207" t="s">
        <v>119</v>
      </c>
      <c r="C1" s="206" t="s">
        <v>55</v>
      </c>
      <c r="D1" s="121" t="s">
        <v>56</v>
      </c>
      <c r="E1" s="121" t="s">
        <v>128</v>
      </c>
      <c r="F1" s="121" t="s">
        <v>120</v>
      </c>
      <c r="G1" s="184" t="s">
        <v>40</v>
      </c>
      <c r="H1" s="184" t="s">
        <v>65</v>
      </c>
      <c r="I1" s="184" t="s">
        <v>66</v>
      </c>
      <c r="J1" s="184" t="s">
        <v>68</v>
      </c>
      <c r="K1" s="185" t="s">
        <v>67</v>
      </c>
      <c r="L1" s="141" t="s">
        <v>122</v>
      </c>
      <c r="M1" s="141" t="s">
        <v>123</v>
      </c>
      <c r="N1" s="153" t="s">
        <v>118</v>
      </c>
      <c r="O1" s="153" t="s">
        <v>117</v>
      </c>
      <c r="P1" s="132" t="s">
        <v>114</v>
      </c>
      <c r="Q1" s="132" t="s">
        <v>127</v>
      </c>
      <c r="R1" s="132" t="s">
        <v>116</v>
      </c>
      <c r="S1" s="142" t="s">
        <v>111</v>
      </c>
      <c r="T1" s="142" t="s">
        <v>112</v>
      </c>
      <c r="U1" s="143" t="s">
        <v>113</v>
      </c>
      <c r="V1" s="121" t="s">
        <v>41</v>
      </c>
      <c r="W1" s="121" t="s">
        <v>42</v>
      </c>
      <c r="X1" s="121" t="s">
        <v>43</v>
      </c>
      <c r="Y1" s="121" t="s">
        <v>44</v>
      </c>
      <c r="Z1" s="121" t="s">
        <v>45</v>
      </c>
      <c r="AA1" s="121" t="s">
        <v>46</v>
      </c>
      <c r="AB1" s="121" t="s">
        <v>47</v>
      </c>
      <c r="AC1" s="121" t="s">
        <v>48</v>
      </c>
      <c r="AD1" s="123" t="s">
        <v>80</v>
      </c>
    </row>
    <row r="2" spans="1:30" s="152" customFormat="1" ht="24" customHeight="1" thickTop="1" x14ac:dyDescent="0.35">
      <c r="A2" s="163" t="s">
        <v>82</v>
      </c>
      <c r="B2" s="208" t="s">
        <v>63</v>
      </c>
      <c r="C2" s="164">
        <v>298</v>
      </c>
      <c r="D2" s="164">
        <v>1013</v>
      </c>
      <c r="E2" s="165">
        <v>-113</v>
      </c>
      <c r="F2" s="166">
        <v>112.6</v>
      </c>
      <c r="G2" s="193">
        <v>62.89</v>
      </c>
      <c r="H2" s="193">
        <v>27.74</v>
      </c>
      <c r="I2" s="193"/>
      <c r="J2" s="193"/>
      <c r="K2" s="189"/>
      <c r="L2" s="146" t="str">
        <f t="shared" ref="L2:L4" si="0">IF(ISBLANK(B3),"N/D",(P3-R2)/1000)</f>
        <v>N/D</v>
      </c>
      <c r="M2" s="146" t="str">
        <f t="shared" ref="M2:M4" si="1">IF(ISBLANK(B3),"N/D",L2*1000/C3)</f>
        <v>N/D</v>
      </c>
      <c r="N2" s="147">
        <f>C2/10000</f>
        <v>2.98E-2</v>
      </c>
      <c r="O2" s="147">
        <f>D2/10000</f>
        <v>0.1013</v>
      </c>
      <c r="P2" s="148">
        <f>E2*1000</f>
        <v>-113000</v>
      </c>
      <c r="Q2" s="162">
        <f>10000*$A$1*(O2*X2-Y2*2/O2+AA2*O2^2+AB2*2*O2^3+AC2*3*O2^4-Z2)</f>
        <v>57967.602549999996</v>
      </c>
      <c r="R2" s="148">
        <f>$P$2+Q2</f>
        <v>-55032.397450000004</v>
      </c>
      <c r="S2" s="149">
        <f>F2</f>
        <v>112.6</v>
      </c>
      <c r="T2" s="149">
        <f t="shared" ref="T2:T4" si="2">$A$1*(W2+X2+X2*LN(O2)-Y2/O2^2+AA2*2*O2+AB2*3*O2^2+AC2*4*O2^3)</f>
        <v>209.38492153587475</v>
      </c>
      <c r="U2" s="195">
        <f t="shared" ref="U2:U4" si="3">$A$1*(X2+Y2*2/(O2^2)+AA2*2*O2+AB2*6+AC2*12*O2^3)</f>
        <v>90.990619999999993</v>
      </c>
      <c r="V2" s="151">
        <f>$P$2/$A$1/10000</f>
        <v>-1.3590715015936015</v>
      </c>
      <c r="W2" s="129">
        <f>S2/$A$1 - X2 - X2*LN(N2) + Y2/(N2^2) - AA2*2*N2 - AB2*3*N2^2 - AC2*4*N2^3</f>
        <v>31.55831097808133</v>
      </c>
      <c r="X2" s="151">
        <f>G2/$A$1</f>
        <v>7.5638944013470439</v>
      </c>
      <c r="Y2" s="129">
        <f>I2/(2*100*$A$1)</f>
        <v>0</v>
      </c>
      <c r="Z2" s="151">
        <f>X2*N2 - Y2*2/N2 + AA2*N2^2 + AB2*2*N2^3 + AC2*3*N2^4 + ($P$2-P2)/10000/$A$1</f>
        <v>0.24021807059955499</v>
      </c>
      <c r="AA2" s="129">
        <f>H2*10/2/$A$1</f>
        <v>16.681700643454203</v>
      </c>
      <c r="AB2" s="151">
        <f>J2*100/6/$A$1</f>
        <v>0</v>
      </c>
      <c r="AC2" s="129">
        <f>K2*10^12/12/$A$1</f>
        <v>0</v>
      </c>
      <c r="AD2" s="220">
        <v>2</v>
      </c>
    </row>
    <row r="3" spans="1:30" s="152" customFormat="1" ht="24" customHeight="1" x14ac:dyDescent="0.35">
      <c r="A3" s="158"/>
      <c r="B3" s="209"/>
      <c r="C3" s="159"/>
      <c r="D3" s="159"/>
      <c r="E3" s="160"/>
      <c r="F3" s="161"/>
      <c r="G3" s="186"/>
      <c r="H3" s="186"/>
      <c r="I3" s="186"/>
      <c r="J3" s="186"/>
      <c r="K3" s="187"/>
      <c r="L3" s="146" t="str">
        <f t="shared" si="0"/>
        <v>N/D</v>
      </c>
      <c r="M3" s="146" t="str">
        <f t="shared" si="1"/>
        <v>N/D</v>
      </c>
      <c r="N3" s="147">
        <f t="shared" ref="N3:N4" si="4">C3/10000</f>
        <v>0</v>
      </c>
      <c r="O3" s="147">
        <f t="shared" ref="O3:O4" si="5">D3/10000</f>
        <v>0</v>
      </c>
      <c r="P3" s="148">
        <f t="shared" ref="P3:P4" si="6">E3*1000</f>
        <v>0</v>
      </c>
      <c r="Q3" s="148" t="e">
        <f t="shared" ref="Q3:Q4" si="7">10000*$A$1*(O3*X3-Y3*2/O3+AA3*O3^2+AB3*2*O3^3+AC3*3*O3^4-Z3)</f>
        <v>#DIV/0!</v>
      </c>
      <c r="R3" s="148" t="e">
        <f t="shared" ref="R3:R4" si="8">$P$2+Q3</f>
        <v>#DIV/0!</v>
      </c>
      <c r="S3" s="149">
        <f t="shared" ref="S3:S4" si="9">F3</f>
        <v>0</v>
      </c>
      <c r="T3" s="149" t="e">
        <f t="shared" si="2"/>
        <v>#NUM!</v>
      </c>
      <c r="U3" s="195" t="e">
        <f t="shared" si="3"/>
        <v>#DIV/0!</v>
      </c>
      <c r="V3" s="151">
        <f t="shared" ref="V3:V4" si="10">$P$2/$A$1/10000</f>
        <v>-1.3590715015936015</v>
      </c>
      <c r="W3" s="129" t="e">
        <f t="shared" ref="W3:W4" si="11">S3/$A$1 - X3 - X3*LN(N3) + Y3/(N3^2) - AA3*2*N3 - AB3*3*N3^2 - AC3*4*N3^3</f>
        <v>#NUM!</v>
      </c>
      <c r="X3" s="151">
        <f t="shared" ref="X3:X4" si="12">G3/$A$1</f>
        <v>0</v>
      </c>
      <c r="Y3" s="129">
        <f t="shared" ref="Y3:Y4" si="13">I3/(2*100*$A$1)</f>
        <v>0</v>
      </c>
      <c r="Z3" s="151" t="e">
        <f t="shared" ref="Z3:Z4" si="14">X3*N3 - Y3*2/N3 + AA3*N3^2 + AB3*2*N3^3 + AC3*3*N3^4 + ($P$2-P3)/10000/$A$1</f>
        <v>#DIV/0!</v>
      </c>
      <c r="AA3" s="129">
        <f t="shared" ref="AA3:AA4" si="15">H3*10/2/$A$1</f>
        <v>0</v>
      </c>
      <c r="AB3" s="151">
        <f t="shared" ref="AB3:AB4" si="16">J3*100/6/$A$1</f>
        <v>0</v>
      </c>
      <c r="AC3" s="129">
        <f t="shared" ref="AC3:AC4" si="17">K3*10^12/12/$A$1</f>
        <v>0</v>
      </c>
      <c r="AD3" s="220">
        <v>2</v>
      </c>
    </row>
    <row r="4" spans="1:30" s="152" customFormat="1" ht="24" customHeight="1" x14ac:dyDescent="0.35">
      <c r="A4" s="154"/>
      <c r="B4" s="210"/>
      <c r="C4" s="155"/>
      <c r="D4" s="156"/>
      <c r="E4" s="145"/>
      <c r="F4" s="144"/>
      <c r="G4" s="188"/>
      <c r="H4" s="188"/>
      <c r="I4" s="188"/>
      <c r="J4" s="188"/>
      <c r="K4" s="189"/>
      <c r="L4" s="146" t="str">
        <f t="shared" si="0"/>
        <v>N/D</v>
      </c>
      <c r="M4" s="146" t="str">
        <f t="shared" si="1"/>
        <v>N/D</v>
      </c>
      <c r="N4" s="147">
        <f t="shared" si="4"/>
        <v>0</v>
      </c>
      <c r="O4" s="147">
        <f t="shared" si="5"/>
        <v>0</v>
      </c>
      <c r="P4" s="148">
        <f t="shared" si="6"/>
        <v>0</v>
      </c>
      <c r="Q4" s="148" t="e">
        <f t="shared" si="7"/>
        <v>#DIV/0!</v>
      </c>
      <c r="R4" s="148" t="e">
        <f t="shared" si="8"/>
        <v>#DIV/0!</v>
      </c>
      <c r="S4" s="149">
        <f t="shared" si="9"/>
        <v>0</v>
      </c>
      <c r="T4" s="149" t="e">
        <f t="shared" si="2"/>
        <v>#NUM!</v>
      </c>
      <c r="U4" s="195" t="e">
        <f t="shared" si="3"/>
        <v>#DIV/0!</v>
      </c>
      <c r="V4" s="151">
        <f t="shared" si="10"/>
        <v>-1.3590715015936015</v>
      </c>
      <c r="W4" s="129" t="e">
        <f t="shared" si="11"/>
        <v>#NUM!</v>
      </c>
      <c r="X4" s="151">
        <f t="shared" si="12"/>
        <v>0</v>
      </c>
      <c r="Y4" s="129">
        <f t="shared" si="13"/>
        <v>0</v>
      </c>
      <c r="Z4" s="151" t="e">
        <f t="shared" si="14"/>
        <v>#DIV/0!</v>
      </c>
      <c r="AA4" s="129">
        <f t="shared" si="15"/>
        <v>0</v>
      </c>
      <c r="AB4" s="151">
        <f t="shared" si="16"/>
        <v>0</v>
      </c>
      <c r="AC4" s="129">
        <f t="shared" si="17"/>
        <v>0</v>
      </c>
      <c r="AD4" s="220">
        <v>2</v>
      </c>
    </row>
    <row r="5" spans="1:30" s="75" customFormat="1" ht="21.75" customHeight="1" x14ac:dyDescent="0.35">
      <c r="B5" s="139"/>
      <c r="G5" s="190"/>
      <c r="H5" s="190"/>
      <c r="I5" s="190"/>
      <c r="J5" s="190"/>
      <c r="K5" s="190"/>
      <c r="L5" s="137"/>
      <c r="M5" s="137"/>
      <c r="N5" s="135"/>
      <c r="O5" s="135"/>
      <c r="P5" s="133"/>
      <c r="Q5" s="133"/>
      <c r="R5" s="133"/>
      <c r="S5" s="133"/>
      <c r="T5" s="133"/>
      <c r="U5" s="130"/>
    </row>
    <row r="6" spans="1:30" s="75" customFormat="1" ht="21.75" customHeight="1" x14ac:dyDescent="0.35">
      <c r="B6" s="139"/>
      <c r="G6" s="190"/>
      <c r="H6" s="190"/>
      <c r="I6" s="190"/>
      <c r="J6" s="190"/>
      <c r="K6" s="190"/>
      <c r="L6" s="137"/>
      <c r="M6" s="137"/>
      <c r="N6" s="135"/>
      <c r="O6" s="135"/>
      <c r="P6" s="133"/>
      <c r="Q6" s="133"/>
      <c r="R6" s="133"/>
      <c r="S6" s="133"/>
      <c r="T6" s="133"/>
      <c r="U6" s="130"/>
    </row>
    <row r="7" spans="1:30" s="75" customFormat="1" ht="21.75" customHeight="1" x14ac:dyDescent="0.35">
      <c r="B7" s="139"/>
      <c r="G7" s="190"/>
      <c r="H7" s="190"/>
      <c r="I7" s="190"/>
      <c r="J7" s="190"/>
      <c r="K7" s="190"/>
      <c r="L7" s="137"/>
      <c r="M7" s="137"/>
      <c r="N7" s="135"/>
      <c r="O7" s="135"/>
      <c r="P7" s="133"/>
      <c r="Q7" s="133"/>
      <c r="R7" s="133"/>
      <c r="S7" s="133"/>
      <c r="T7" s="133"/>
      <c r="U7" s="130"/>
    </row>
    <row r="8" spans="1:30" s="75" customFormat="1" ht="21.75" customHeight="1" x14ac:dyDescent="0.35">
      <c r="B8" s="139"/>
      <c r="G8" s="190"/>
      <c r="H8" s="190"/>
      <c r="I8" s="190"/>
      <c r="J8" s="190"/>
      <c r="K8" s="190"/>
      <c r="L8" s="137"/>
      <c r="M8" s="137"/>
      <c r="N8" s="135"/>
      <c r="O8" s="135"/>
      <c r="P8" s="133"/>
      <c r="R8" s="133"/>
      <c r="S8" s="133"/>
      <c r="T8" s="133"/>
      <c r="U8" s="130"/>
    </row>
    <row r="9" spans="1:30" s="75" customFormat="1" ht="21.75" customHeight="1" x14ac:dyDescent="0.35">
      <c r="B9" s="139"/>
      <c r="G9" s="190"/>
      <c r="H9" s="190"/>
      <c r="I9" s="190"/>
      <c r="J9" s="190"/>
      <c r="K9" s="190"/>
      <c r="L9" s="137"/>
      <c r="M9" s="137"/>
      <c r="N9" s="135"/>
      <c r="O9" s="135"/>
      <c r="P9" s="133"/>
      <c r="Q9" s="133"/>
      <c r="R9" s="133"/>
      <c r="S9" s="133"/>
      <c r="T9" s="133"/>
      <c r="U9" s="130"/>
    </row>
    <row r="10" spans="1:30" s="75" customFormat="1" ht="21.75" customHeight="1" x14ac:dyDescent="0.35">
      <c r="B10" s="139"/>
      <c r="G10" s="190"/>
      <c r="H10" s="190"/>
      <c r="I10" s="190"/>
      <c r="J10" s="190"/>
      <c r="K10" s="190"/>
      <c r="L10" s="137"/>
      <c r="M10" s="137"/>
      <c r="N10" s="135"/>
      <c r="O10" s="135"/>
      <c r="P10" s="133"/>
      <c r="Q10" s="133"/>
      <c r="R10" s="133"/>
      <c r="S10" s="133"/>
      <c r="T10" s="133"/>
      <c r="U10" s="130"/>
    </row>
    <row r="11" spans="1:30" s="75" customFormat="1" ht="21.75" customHeight="1" x14ac:dyDescent="0.35">
      <c r="B11" s="139"/>
      <c r="G11" s="190"/>
      <c r="H11" s="190"/>
      <c r="I11" s="190"/>
      <c r="J11" s="190"/>
      <c r="K11" s="190"/>
      <c r="L11" s="137"/>
      <c r="M11" s="137"/>
      <c r="N11" s="135"/>
      <c r="O11" s="135"/>
      <c r="P11" s="133"/>
      <c r="Q11" s="133" t="s">
        <v>126</v>
      </c>
      <c r="R11" s="133"/>
      <c r="S11" s="133"/>
      <c r="T11" s="133"/>
      <c r="U11" s="130"/>
    </row>
    <row r="12" spans="1:30" s="75" customFormat="1" ht="21.75" customHeight="1" x14ac:dyDescent="0.35">
      <c r="B12" s="139"/>
      <c r="G12" s="190"/>
      <c r="H12" s="190"/>
      <c r="I12" s="190"/>
      <c r="J12" s="190"/>
      <c r="K12" s="190"/>
      <c r="L12" s="137"/>
      <c r="M12" s="137"/>
      <c r="N12" s="135"/>
      <c r="O12" s="135"/>
      <c r="P12" s="133"/>
      <c r="Q12" s="133"/>
      <c r="R12" s="133"/>
      <c r="S12" s="133"/>
      <c r="T12" s="133"/>
      <c r="U12" s="130"/>
    </row>
    <row r="13" spans="1:30" s="75" customFormat="1" ht="21.75" customHeight="1" x14ac:dyDescent="0.35">
      <c r="B13" s="139"/>
      <c r="G13" s="190"/>
      <c r="H13" s="190"/>
      <c r="I13" s="190"/>
      <c r="J13" s="190"/>
      <c r="K13" s="190"/>
      <c r="L13" s="137"/>
      <c r="M13" s="137"/>
      <c r="N13" s="135"/>
      <c r="O13" s="135"/>
      <c r="P13" s="133"/>
      <c r="Q13" s="133"/>
      <c r="R13" s="133"/>
      <c r="S13" s="133"/>
      <c r="T13" s="133"/>
      <c r="U13" s="130"/>
    </row>
    <row r="14" spans="1:30" s="75" customFormat="1" ht="21.75" customHeight="1" x14ac:dyDescent="0.35">
      <c r="B14" s="139"/>
      <c r="G14" s="190"/>
      <c r="H14" s="190"/>
      <c r="I14" s="190"/>
      <c r="J14" s="190"/>
      <c r="K14" s="190"/>
      <c r="L14" s="137"/>
      <c r="M14" s="137"/>
      <c r="N14" s="135"/>
      <c r="O14" s="135"/>
      <c r="P14" s="133"/>
      <c r="Q14" s="133"/>
      <c r="R14" s="133"/>
      <c r="S14" s="133"/>
      <c r="T14" s="133"/>
      <c r="U14" s="130"/>
    </row>
    <row r="15" spans="1:30" s="75" customFormat="1" x14ac:dyDescent="0.35">
      <c r="B15" s="139"/>
      <c r="G15" s="190"/>
      <c r="H15" s="190"/>
      <c r="I15" s="190"/>
      <c r="J15" s="190"/>
      <c r="K15" s="190"/>
      <c r="L15" s="137"/>
      <c r="M15" s="137"/>
      <c r="N15" s="135"/>
      <c r="O15" s="135"/>
      <c r="P15" s="133"/>
      <c r="Q15" s="133"/>
      <c r="R15" s="133"/>
      <c r="S15" s="133"/>
      <c r="T15" s="133"/>
      <c r="U15" s="130"/>
    </row>
    <row r="16" spans="1:30" s="75" customFormat="1" x14ac:dyDescent="0.35">
      <c r="A16" s="31"/>
      <c r="B16" s="139"/>
      <c r="C16" s="31"/>
      <c r="D16" s="31"/>
      <c r="E16" s="31"/>
      <c r="F16" s="31"/>
      <c r="G16" s="191"/>
      <c r="H16" s="191"/>
      <c r="I16" s="191"/>
      <c r="J16" s="191"/>
      <c r="K16" s="191"/>
      <c r="L16" s="174"/>
      <c r="M16" s="174"/>
      <c r="N16" s="175"/>
      <c r="O16" s="175"/>
      <c r="P16" s="176"/>
      <c r="Q16" s="176"/>
      <c r="R16" s="176"/>
      <c r="S16" s="176"/>
      <c r="T16" s="176"/>
      <c r="U16" s="177"/>
      <c r="V16" s="31"/>
      <c r="W16" s="31"/>
      <c r="X16" s="31"/>
      <c r="Y16" s="31"/>
      <c r="Z16" s="31"/>
      <c r="AA16" s="31"/>
      <c r="AB16" s="31"/>
      <c r="AC16" s="31"/>
      <c r="AD16" s="31"/>
    </row>
    <row r="17" spans="1:30" ht="27" hidden="1" customHeight="1" thickBot="1" x14ac:dyDescent="0.4">
      <c r="A17" s="178" t="s">
        <v>124</v>
      </c>
      <c r="B17" s="211" t="s">
        <v>119</v>
      </c>
      <c r="C17" s="178" t="s">
        <v>55</v>
      </c>
      <c r="D17" s="178" t="s">
        <v>56</v>
      </c>
      <c r="E17" s="178" t="s">
        <v>121</v>
      </c>
      <c r="F17" s="178" t="s">
        <v>120</v>
      </c>
      <c r="G17" s="192" t="s">
        <v>40</v>
      </c>
      <c r="H17" s="192" t="s">
        <v>65</v>
      </c>
      <c r="I17" s="192" t="s">
        <v>66</v>
      </c>
      <c r="J17" s="192" t="s">
        <v>68</v>
      </c>
      <c r="K17" s="192" t="s">
        <v>67</v>
      </c>
      <c r="L17" s="179" t="s">
        <v>122</v>
      </c>
      <c r="M17" s="179" t="s">
        <v>123</v>
      </c>
      <c r="N17" s="180" t="s">
        <v>118</v>
      </c>
      <c r="O17" s="180" t="s">
        <v>117</v>
      </c>
      <c r="P17" s="181" t="s">
        <v>114</v>
      </c>
      <c r="Q17" s="181" t="s">
        <v>115</v>
      </c>
      <c r="R17" s="181" t="s">
        <v>116</v>
      </c>
      <c r="S17" s="181" t="s">
        <v>111</v>
      </c>
      <c r="T17" s="181" t="s">
        <v>112</v>
      </c>
      <c r="U17" s="182" t="s">
        <v>113</v>
      </c>
      <c r="V17" s="178" t="s">
        <v>41</v>
      </c>
      <c r="W17" s="178" t="s">
        <v>42</v>
      </c>
      <c r="X17" s="178" t="s">
        <v>43</v>
      </c>
      <c r="Y17" s="178" t="s">
        <v>44</v>
      </c>
      <c r="Z17" s="178" t="s">
        <v>45</v>
      </c>
      <c r="AA17" s="178" t="s">
        <v>46</v>
      </c>
      <c r="AB17" s="178" t="s">
        <v>47</v>
      </c>
      <c r="AC17" s="178" t="s">
        <v>48</v>
      </c>
      <c r="AD17" s="183" t="s">
        <v>80</v>
      </c>
    </row>
    <row r="18" spans="1:30" s="95" customFormat="1" ht="23.25" x14ac:dyDescent="0.35">
      <c r="A18" s="163" t="s">
        <v>69</v>
      </c>
      <c r="B18" s="208" t="s">
        <v>63</v>
      </c>
      <c r="C18" s="164">
        <v>298.14999999999998</v>
      </c>
      <c r="D18" s="164">
        <v>303</v>
      </c>
      <c r="E18" s="165">
        <v>0</v>
      </c>
      <c r="F18" s="166">
        <v>40.799999999999997</v>
      </c>
      <c r="G18" s="193">
        <v>26.2</v>
      </c>
      <c r="H18" s="193"/>
      <c r="I18" s="193"/>
      <c r="J18" s="193"/>
      <c r="K18" s="189"/>
      <c r="L18" s="167">
        <v>5.5729299999999995</v>
      </c>
      <c r="M18" s="167">
        <v>18.392508250825081</v>
      </c>
      <c r="N18" s="168">
        <v>2.9814999999999998E-2</v>
      </c>
      <c r="O18" s="168">
        <v>3.0300000000000001E-2</v>
      </c>
      <c r="P18" s="169">
        <v>0</v>
      </c>
      <c r="Q18" s="169">
        <v>127.07000000000039</v>
      </c>
      <c r="R18" s="169">
        <v>127.07000000000039</v>
      </c>
      <c r="S18" s="170">
        <v>40.799999999999997</v>
      </c>
      <c r="T18" s="170">
        <v>41.222765556434673</v>
      </c>
      <c r="U18" s="171">
        <v>26.2</v>
      </c>
      <c r="V18" s="172">
        <v>0</v>
      </c>
      <c r="W18" s="173">
        <v>12.825050670258605</v>
      </c>
      <c r="X18" s="172">
        <v>3.1511215346683503</v>
      </c>
      <c r="Y18" s="173">
        <v>0</v>
      </c>
      <c r="Z18" s="172">
        <v>9.3950688556136863E-2</v>
      </c>
      <c r="AA18" s="173">
        <v>0</v>
      </c>
      <c r="AB18" s="172">
        <v>0</v>
      </c>
      <c r="AC18" s="173">
        <v>0</v>
      </c>
      <c r="AD18" s="221">
        <v>2</v>
      </c>
    </row>
    <row r="19" spans="1:30" s="95" customFormat="1" ht="23.25" x14ac:dyDescent="0.35">
      <c r="A19" s="163" t="s">
        <v>69</v>
      </c>
      <c r="B19" s="208" t="s">
        <v>58</v>
      </c>
      <c r="C19" s="164">
        <v>303</v>
      </c>
      <c r="D19" s="164">
        <v>700</v>
      </c>
      <c r="E19" s="165">
        <v>5.7</v>
      </c>
      <c r="F19" s="166">
        <v>59.7</v>
      </c>
      <c r="G19" s="193">
        <v>24.38</v>
      </c>
      <c r="H19" s="193">
        <v>2.29</v>
      </c>
      <c r="I19" s="193">
        <v>0.31</v>
      </c>
      <c r="J19" s="193"/>
      <c r="K19" s="189"/>
      <c r="L19" s="167" t="s">
        <v>60</v>
      </c>
      <c r="M19" s="167" t="s">
        <v>60</v>
      </c>
      <c r="N19" s="168">
        <v>3.0300000000000001E-2</v>
      </c>
      <c r="O19" s="168">
        <v>7.0000000000000007E-2</v>
      </c>
      <c r="P19" s="169">
        <v>5700</v>
      </c>
      <c r="Q19" s="169">
        <v>16415.033862373879</v>
      </c>
      <c r="R19" s="169">
        <v>16415.033862373879</v>
      </c>
      <c r="S19" s="170">
        <v>59.7</v>
      </c>
      <c r="T19" s="170">
        <v>82.395623880072804</v>
      </c>
      <c r="U19" s="171">
        <v>26.615653061224489</v>
      </c>
      <c r="V19" s="172">
        <v>0</v>
      </c>
      <c r="W19" s="173">
        <v>14.620447424512136</v>
      </c>
      <c r="X19" s="172">
        <v>2.9322268326417702</v>
      </c>
      <c r="Y19" s="173">
        <v>1.8642131216549401E-4</v>
      </c>
      <c r="Z19" s="172">
        <v>9.2508147786274225E-3</v>
      </c>
      <c r="AA19" s="173">
        <v>1.3771122737386492</v>
      </c>
      <c r="AB19" s="172">
        <v>0</v>
      </c>
      <c r="AC19" s="173">
        <v>0</v>
      </c>
      <c r="AD19" s="221">
        <v>2</v>
      </c>
    </row>
    <row r="20" spans="1:30" s="95" customFormat="1" ht="23.25" hidden="1" x14ac:dyDescent="0.35">
      <c r="A20" s="163" t="s">
        <v>69</v>
      </c>
      <c r="B20" s="208" t="s">
        <v>61</v>
      </c>
      <c r="C20" s="164">
        <v>298.14999999999998</v>
      </c>
      <c r="D20" s="164">
        <v>3000</v>
      </c>
      <c r="E20" s="165">
        <v>272</v>
      </c>
      <c r="F20" s="166">
        <v>169</v>
      </c>
      <c r="G20" s="193">
        <v>24.87</v>
      </c>
      <c r="H20" s="193">
        <v>-1.38</v>
      </c>
      <c r="I20" s="193">
        <v>0.25</v>
      </c>
      <c r="J20" s="193"/>
      <c r="K20" s="189"/>
      <c r="L20" s="167" t="s">
        <v>60</v>
      </c>
      <c r="M20" s="167" t="s">
        <v>60</v>
      </c>
      <c r="N20" s="168">
        <v>2.9814999999999998E-2</v>
      </c>
      <c r="O20" s="168">
        <v>0.3</v>
      </c>
      <c r="P20" s="169">
        <v>272000</v>
      </c>
      <c r="Q20" s="169">
        <v>61801.516736861806</v>
      </c>
      <c r="R20" s="169">
        <v>333801.51673686178</v>
      </c>
      <c r="S20" s="170">
        <v>169</v>
      </c>
      <c r="T20" s="170">
        <v>224.08286748288222</v>
      </c>
      <c r="U20" s="171">
        <v>20.757777777777779</v>
      </c>
      <c r="V20" s="172">
        <v>3.2713933489686688</v>
      </c>
      <c r="W20" s="173">
        <v>28.060564076656096</v>
      </c>
      <c r="X20" s="172">
        <v>2.9911600216489265</v>
      </c>
      <c r="Y20" s="173">
        <v>1.503397678753984E-4</v>
      </c>
      <c r="Z20" s="172">
        <v>7.8358890249622545E-2</v>
      </c>
      <c r="AA20" s="173">
        <v>-0.829875518672199</v>
      </c>
      <c r="AB20" s="172">
        <v>0</v>
      </c>
      <c r="AC20" s="173">
        <v>0</v>
      </c>
      <c r="AD20" s="221">
        <v>2</v>
      </c>
    </row>
    <row r="21" spans="1:30" s="95" customFormat="1" ht="23.25" hidden="1" x14ac:dyDescent="0.35">
      <c r="A21" s="163" t="s">
        <v>70</v>
      </c>
      <c r="B21" s="208" t="s">
        <v>63</v>
      </c>
      <c r="C21" s="164">
        <v>298</v>
      </c>
      <c r="D21" s="164">
        <v>2000</v>
      </c>
      <c r="E21" s="165">
        <v>-183</v>
      </c>
      <c r="F21" s="166">
        <v>113</v>
      </c>
      <c r="G21" s="193"/>
      <c r="H21" s="193"/>
      <c r="I21" s="193"/>
      <c r="J21" s="193"/>
      <c r="K21" s="189"/>
      <c r="L21" s="146" t="s">
        <v>60</v>
      </c>
      <c r="M21" s="146" t="s">
        <v>60</v>
      </c>
      <c r="N21" s="147">
        <v>2.98E-2</v>
      </c>
      <c r="O21" s="147">
        <v>0.2</v>
      </c>
      <c r="P21" s="148">
        <v>-183000</v>
      </c>
      <c r="Q21" s="148">
        <v>0</v>
      </c>
      <c r="R21" s="148">
        <v>-183000</v>
      </c>
      <c r="S21" s="149">
        <v>113</v>
      </c>
      <c r="T21" s="149">
        <v>113</v>
      </c>
      <c r="U21" s="150">
        <v>0</v>
      </c>
      <c r="V21" s="151">
        <v>-2.2009742016958325</v>
      </c>
      <c r="W21" s="129">
        <v>13.590715015936015</v>
      </c>
      <c r="X21" s="151">
        <v>0</v>
      </c>
      <c r="Y21" s="129">
        <v>0</v>
      </c>
      <c r="Z21" s="151">
        <v>0</v>
      </c>
      <c r="AA21" s="129">
        <v>0</v>
      </c>
      <c r="AB21" s="151">
        <v>0</v>
      </c>
      <c r="AC21" s="129">
        <v>0</v>
      </c>
      <c r="AD21" s="220">
        <v>2</v>
      </c>
    </row>
    <row r="22" spans="1:30" s="95" customFormat="1" ht="23.25" hidden="1" x14ac:dyDescent="0.35">
      <c r="A22" s="163" t="s">
        <v>70</v>
      </c>
      <c r="B22" s="208" t="s">
        <v>61</v>
      </c>
      <c r="C22" s="164">
        <v>298</v>
      </c>
      <c r="D22" s="164">
        <v>2000</v>
      </c>
      <c r="E22" s="165">
        <v>96.2</v>
      </c>
      <c r="F22" s="166">
        <v>315.5</v>
      </c>
      <c r="G22" s="193">
        <v>58.09</v>
      </c>
      <c r="H22" s="193">
        <v>0.05</v>
      </c>
      <c r="I22" s="193">
        <v>-0.28999999999999998</v>
      </c>
      <c r="J22" s="193"/>
      <c r="K22" s="189"/>
      <c r="L22" s="146" t="s">
        <v>60</v>
      </c>
      <c r="M22" s="146" t="s">
        <v>60</v>
      </c>
      <c r="N22" s="147">
        <v>2.98E-2</v>
      </c>
      <c r="O22" s="147">
        <v>0.2</v>
      </c>
      <c r="P22" s="148">
        <v>96200</v>
      </c>
      <c r="Q22" s="148">
        <v>98138.805537583903</v>
      </c>
      <c r="R22" s="148">
        <v>194338.80553758389</v>
      </c>
      <c r="S22" s="149">
        <v>315.5</v>
      </c>
      <c r="T22" s="149">
        <v>424.58080391078767</v>
      </c>
      <c r="U22" s="150">
        <v>58.117500000000007</v>
      </c>
      <c r="V22" s="151">
        <v>1.1570148535690659</v>
      </c>
      <c r="W22" s="129">
        <v>55.306609206095921</v>
      </c>
      <c r="X22" s="151">
        <v>6.9865896927055147</v>
      </c>
      <c r="Y22" s="129">
        <v>-1.7439413073546211E-4</v>
      </c>
      <c r="Z22" s="151">
        <v>0.21993137846432265</v>
      </c>
      <c r="AA22" s="129">
        <v>3.0067953575079676E-2</v>
      </c>
      <c r="AB22" s="151">
        <v>0</v>
      </c>
      <c r="AC22" s="129">
        <v>0</v>
      </c>
      <c r="AD22" s="222">
        <v>2</v>
      </c>
    </row>
    <row r="23" spans="1:30" s="95" customFormat="1" ht="23.25" hidden="1" x14ac:dyDescent="0.35">
      <c r="A23" s="163" t="s">
        <v>71</v>
      </c>
      <c r="B23" s="208" t="s">
        <v>63</v>
      </c>
      <c r="C23" s="164">
        <v>298</v>
      </c>
      <c r="D23" s="164">
        <v>1278</v>
      </c>
      <c r="E23" s="165">
        <v>-408.8</v>
      </c>
      <c r="F23" s="166">
        <v>179.9</v>
      </c>
      <c r="G23" s="193">
        <v>105.73</v>
      </c>
      <c r="H23" s="193">
        <v>35.31</v>
      </c>
      <c r="I23" s="193"/>
      <c r="J23" s="193"/>
      <c r="K23" s="189"/>
      <c r="L23" s="146" t="s">
        <v>60</v>
      </c>
      <c r="M23" s="146" t="s">
        <v>60</v>
      </c>
      <c r="N23" s="147">
        <v>2.98E-2</v>
      </c>
      <c r="O23" s="147">
        <v>0.1278</v>
      </c>
      <c r="P23" s="148">
        <v>-408800</v>
      </c>
      <c r="Q23" s="148">
        <v>130883.19439999999</v>
      </c>
      <c r="R23" s="148">
        <v>-277916.80560000002</v>
      </c>
      <c r="S23" s="149">
        <v>179.9</v>
      </c>
      <c r="T23" s="149">
        <v>368.44225503372337</v>
      </c>
      <c r="U23" s="150">
        <v>150.85617999999999</v>
      </c>
      <c r="V23" s="151">
        <v>-4.916711768597029</v>
      </c>
      <c r="W23" s="129">
        <v>52.33065285956166</v>
      </c>
      <c r="X23" s="151">
        <v>12.716338925972698</v>
      </c>
      <c r="Y23" s="129">
        <v>0</v>
      </c>
      <c r="Z23" s="151">
        <v>0.39780353142101149</v>
      </c>
      <c r="AA23" s="129">
        <v>21.233988814721268</v>
      </c>
      <c r="AB23" s="151">
        <v>0</v>
      </c>
      <c r="AC23" s="129">
        <v>0</v>
      </c>
      <c r="AD23" s="222">
        <v>2</v>
      </c>
    </row>
    <row r="24" spans="1:30" s="118" customFormat="1" ht="23.25" hidden="1" x14ac:dyDescent="0.35">
      <c r="A24" s="163" t="s">
        <v>125</v>
      </c>
      <c r="B24" s="208" t="s">
        <v>63</v>
      </c>
      <c r="C24" s="164">
        <v>298</v>
      </c>
      <c r="D24" s="164">
        <v>1211</v>
      </c>
      <c r="E24" s="165">
        <v>-159</v>
      </c>
      <c r="F24" s="166">
        <v>70.3</v>
      </c>
      <c r="G24" s="193">
        <v>44.64</v>
      </c>
      <c r="H24" s="193">
        <v>12.97</v>
      </c>
      <c r="I24" s="193"/>
      <c r="J24" s="193"/>
      <c r="K24" s="189"/>
      <c r="L24" s="146" t="s">
        <v>60</v>
      </c>
      <c r="M24" s="146" t="s">
        <v>60</v>
      </c>
      <c r="N24" s="147">
        <v>2.98E-2</v>
      </c>
      <c r="O24" s="147">
        <v>0.1211</v>
      </c>
      <c r="P24" s="148">
        <v>-159000</v>
      </c>
      <c r="Q24" s="148">
        <v>49690.814744999989</v>
      </c>
      <c r="R24" s="148">
        <v>-109309.18525500002</v>
      </c>
      <c r="S24" s="149">
        <v>70.3</v>
      </c>
      <c r="T24" s="149">
        <v>144.73172259460881</v>
      </c>
      <c r="U24" s="150">
        <v>60.346670000000003</v>
      </c>
      <c r="V24" s="151">
        <v>-1.9123218473750676</v>
      </c>
      <c r="W24" s="129">
        <v>21.483706893669559</v>
      </c>
      <c r="X24" s="151">
        <v>5.3689337903662278</v>
      </c>
      <c r="Y24" s="129">
        <v>0</v>
      </c>
      <c r="Z24" s="151">
        <v>0.16692060785374949</v>
      </c>
      <c r="AA24" s="129">
        <v>7.799627157375669</v>
      </c>
      <c r="AB24" s="151">
        <v>0</v>
      </c>
      <c r="AC24" s="129">
        <v>0</v>
      </c>
      <c r="AD24" s="222">
        <v>2</v>
      </c>
    </row>
    <row r="25" spans="1:30" ht="23.25" hidden="1" x14ac:dyDescent="0.35">
      <c r="A25" s="163" t="s">
        <v>62</v>
      </c>
      <c r="B25" s="208" t="s">
        <v>63</v>
      </c>
      <c r="C25" s="164">
        <v>298.14999999999998</v>
      </c>
      <c r="D25" s="164">
        <v>1210</v>
      </c>
      <c r="E25" s="165">
        <v>0</v>
      </c>
      <c r="F25" s="166">
        <v>31.1</v>
      </c>
      <c r="G25" s="193">
        <v>23.35</v>
      </c>
      <c r="H25" s="193">
        <v>3.9</v>
      </c>
      <c r="I25" s="193">
        <v>-0.11</v>
      </c>
      <c r="J25" s="193"/>
      <c r="K25" s="189"/>
      <c r="L25" s="167">
        <v>35.18098239078077</v>
      </c>
      <c r="M25" s="167">
        <v>29.075192058496508</v>
      </c>
      <c r="N25" s="168">
        <v>2.9814999999999998E-2</v>
      </c>
      <c r="O25" s="168">
        <v>0.121</v>
      </c>
      <c r="P25" s="169">
        <v>0</v>
      </c>
      <c r="Q25" s="169">
        <v>23695.317609219233</v>
      </c>
      <c r="R25" s="169">
        <v>23695.317609219233</v>
      </c>
      <c r="S25" s="170">
        <v>31.1</v>
      </c>
      <c r="T25" s="170">
        <v>66.783250149175245</v>
      </c>
      <c r="U25" s="171">
        <v>27.993868519909846</v>
      </c>
      <c r="V25" s="172">
        <v>0</v>
      </c>
      <c r="W25" s="173">
        <v>10.582844540703489</v>
      </c>
      <c r="X25" s="172">
        <v>2.8083468639124423</v>
      </c>
      <c r="Y25" s="173">
        <v>-6.6149497865175294E-5</v>
      </c>
      <c r="Z25" s="172">
        <v>9.0253009581933469E-2</v>
      </c>
      <c r="AA25" s="173">
        <v>2.3453003788562148</v>
      </c>
      <c r="AB25" s="172">
        <v>0</v>
      </c>
      <c r="AC25" s="173">
        <v>0</v>
      </c>
      <c r="AD25" s="221">
        <v>2</v>
      </c>
    </row>
    <row r="26" spans="1:30" ht="23.25" hidden="1" x14ac:dyDescent="0.35">
      <c r="A26" s="163" t="s">
        <v>62</v>
      </c>
      <c r="B26" s="208" t="s">
        <v>58</v>
      </c>
      <c r="C26" s="164">
        <v>1210</v>
      </c>
      <c r="D26" s="164">
        <v>2000</v>
      </c>
      <c r="E26" s="165">
        <v>60.7</v>
      </c>
      <c r="F26" s="166">
        <v>97.3</v>
      </c>
      <c r="G26" s="193">
        <v>24.61</v>
      </c>
      <c r="H26" s="193"/>
      <c r="I26" s="193"/>
      <c r="J26" s="193"/>
      <c r="K26" s="189"/>
      <c r="L26" s="167" t="s">
        <v>60</v>
      </c>
      <c r="M26" s="167" t="s">
        <v>60</v>
      </c>
      <c r="N26" s="168">
        <v>0.121</v>
      </c>
      <c r="O26" s="168">
        <v>0.2</v>
      </c>
      <c r="P26" s="169">
        <v>60700</v>
      </c>
      <c r="Q26" s="169">
        <v>80141.900000000009</v>
      </c>
      <c r="R26" s="169">
        <v>80141.900000000009</v>
      </c>
      <c r="S26" s="170">
        <v>97.3</v>
      </c>
      <c r="T26" s="170">
        <v>109.66718506361138</v>
      </c>
      <c r="U26" s="171">
        <v>24.61</v>
      </c>
      <c r="V26" s="172">
        <v>0</v>
      </c>
      <c r="W26" s="173">
        <v>14.993740103267132</v>
      </c>
      <c r="X26" s="172">
        <v>2.9598893499308434</v>
      </c>
      <c r="Y26" s="173">
        <v>0</v>
      </c>
      <c r="Z26" s="172">
        <v>-0.37190330146130257</v>
      </c>
      <c r="AA26" s="173">
        <v>0</v>
      </c>
      <c r="AB26" s="172">
        <v>0</v>
      </c>
      <c r="AC26" s="173">
        <v>0</v>
      </c>
      <c r="AD26" s="221">
        <v>2</v>
      </c>
    </row>
    <row r="27" spans="1:30" ht="23.25" hidden="1" x14ac:dyDescent="0.35">
      <c r="A27" s="163" t="s">
        <v>62</v>
      </c>
      <c r="B27" s="208" t="s">
        <v>61</v>
      </c>
      <c r="C27" s="164">
        <v>298.14999999999998</v>
      </c>
      <c r="D27" s="164">
        <v>2000</v>
      </c>
      <c r="E27" s="165">
        <v>374.5</v>
      </c>
      <c r="F27" s="166">
        <v>167.9</v>
      </c>
      <c r="G27" s="193">
        <v>29.47</v>
      </c>
      <c r="H27" s="193">
        <v>-3.66</v>
      </c>
      <c r="I27" s="193">
        <v>0.32</v>
      </c>
      <c r="J27" s="193"/>
      <c r="K27" s="189"/>
      <c r="L27" s="167" t="s">
        <v>60</v>
      </c>
      <c r="M27" s="167" t="s">
        <v>60</v>
      </c>
      <c r="N27" s="168">
        <v>2.9814999999999998E-2</v>
      </c>
      <c r="O27" s="168">
        <v>0.2</v>
      </c>
      <c r="P27" s="169">
        <v>374500</v>
      </c>
      <c r="Q27" s="169">
        <v>43909.479722272772</v>
      </c>
      <c r="R27" s="169">
        <v>418409.47972227278</v>
      </c>
      <c r="S27" s="170">
        <v>167.9</v>
      </c>
      <c r="T27" s="170">
        <v>219.52155747394053</v>
      </c>
      <c r="U27" s="171">
        <v>22.23</v>
      </c>
      <c r="V27" s="172">
        <v>4.5041794455469359</v>
      </c>
      <c r="W27" s="173">
        <v>29.447554603809422</v>
      </c>
      <c r="X27" s="172">
        <v>3.5444103674303924</v>
      </c>
      <c r="Y27" s="173">
        <v>1.9243490288050995E-4</v>
      </c>
      <c r="Z27" s="172">
        <v>9.0811477271360019E-2</v>
      </c>
      <c r="AA27" s="173">
        <v>-2.2009742016958325</v>
      </c>
      <c r="AB27" s="172">
        <v>0</v>
      </c>
      <c r="AC27" s="173">
        <v>0</v>
      </c>
      <c r="AD27" s="221">
        <v>2</v>
      </c>
    </row>
    <row r="28" spans="1:30" ht="23.25" hidden="1" x14ac:dyDescent="0.35">
      <c r="A28" s="163" t="s">
        <v>81</v>
      </c>
      <c r="B28" s="208" t="s">
        <v>63</v>
      </c>
      <c r="C28" s="164">
        <v>298</v>
      </c>
      <c r="D28" s="164">
        <v>948</v>
      </c>
      <c r="E28" s="165">
        <v>-69</v>
      </c>
      <c r="F28" s="166">
        <v>78.2</v>
      </c>
      <c r="G28" s="193">
        <v>45.1</v>
      </c>
      <c r="H28" s="193">
        <v>16.399999999999999</v>
      </c>
      <c r="I28" s="193"/>
      <c r="J28" s="193"/>
      <c r="K28" s="189"/>
      <c r="L28" s="146">
        <v>24.643819999999998</v>
      </c>
      <c r="M28" s="146">
        <v>25.995590717299578</v>
      </c>
      <c r="N28" s="147">
        <v>2.98E-2</v>
      </c>
      <c r="O28" s="147">
        <v>9.4799999999999995E-2</v>
      </c>
      <c r="P28" s="148">
        <v>-69000</v>
      </c>
      <c r="Q28" s="148">
        <v>35956.18</v>
      </c>
      <c r="R28" s="148">
        <v>-33043.82</v>
      </c>
      <c r="S28" s="149">
        <v>78.2</v>
      </c>
      <c r="T28" s="149">
        <v>141.05247181030774</v>
      </c>
      <c r="U28" s="150">
        <v>60.647200000000005</v>
      </c>
      <c r="V28" s="151">
        <v>-0.82987551867219922</v>
      </c>
      <c r="W28" s="129">
        <v>22.449965065215235</v>
      </c>
      <c r="X28" s="151">
        <v>5.4242588249443742</v>
      </c>
      <c r="Y28" s="129">
        <v>0</v>
      </c>
      <c r="Z28" s="151">
        <v>0.17040101990498527</v>
      </c>
      <c r="AA28" s="129">
        <v>9.862288772626135</v>
      </c>
      <c r="AB28" s="151">
        <v>0</v>
      </c>
      <c r="AC28" s="129">
        <v>0</v>
      </c>
      <c r="AD28" s="222">
        <v>2</v>
      </c>
    </row>
    <row r="29" spans="1:30" ht="23.25" hidden="1" x14ac:dyDescent="0.35">
      <c r="A29" s="163" t="s">
        <v>81</v>
      </c>
      <c r="B29" s="208" t="s">
        <v>58</v>
      </c>
      <c r="C29" s="164">
        <v>948</v>
      </c>
      <c r="D29" s="164">
        <v>2000</v>
      </c>
      <c r="E29" s="165">
        <v>-8.4</v>
      </c>
      <c r="F29" s="166">
        <v>167.1</v>
      </c>
      <c r="G29" s="193">
        <v>63.6</v>
      </c>
      <c r="H29" s="193"/>
      <c r="I29" s="193"/>
      <c r="J29" s="193"/>
      <c r="K29" s="189"/>
      <c r="L29" s="146" t="s">
        <v>60</v>
      </c>
      <c r="M29" s="146" t="s">
        <v>60</v>
      </c>
      <c r="N29" s="147">
        <v>9.4799999999999995E-2</v>
      </c>
      <c r="O29" s="147">
        <v>0.2</v>
      </c>
      <c r="P29" s="148">
        <v>-8400</v>
      </c>
      <c r="Q29" s="148">
        <v>127507.2</v>
      </c>
      <c r="R29" s="148">
        <v>58507.199999999997</v>
      </c>
      <c r="S29" s="149">
        <v>167.1</v>
      </c>
      <c r="T29" s="149">
        <v>214.58045008345707</v>
      </c>
      <c r="U29" s="150">
        <v>63.6</v>
      </c>
      <c r="V29" s="151">
        <v>-0.82987551867219922</v>
      </c>
      <c r="W29" s="129">
        <v>30.469745783181889</v>
      </c>
      <c r="X29" s="151">
        <v>7.6492873895002704</v>
      </c>
      <c r="Y29" s="129">
        <v>0</v>
      </c>
      <c r="Z29" s="151">
        <v>-3.6947501353057355E-3</v>
      </c>
      <c r="AA29" s="129">
        <v>0</v>
      </c>
      <c r="AB29" s="151">
        <v>0</v>
      </c>
      <c r="AC29" s="129">
        <v>0</v>
      </c>
      <c r="AD29" s="222">
        <v>2</v>
      </c>
    </row>
    <row r="30" spans="1:30" ht="23.25" hidden="1" x14ac:dyDescent="0.35">
      <c r="A30" s="163" t="s">
        <v>82</v>
      </c>
      <c r="B30" s="208" t="s">
        <v>63</v>
      </c>
      <c r="C30" s="164">
        <v>298</v>
      </c>
      <c r="D30" s="164">
        <v>1013</v>
      </c>
      <c r="E30" s="165">
        <v>-113</v>
      </c>
      <c r="F30" s="166">
        <v>112.6</v>
      </c>
      <c r="G30" s="193">
        <v>62.89</v>
      </c>
      <c r="H30" s="193">
        <v>27.74</v>
      </c>
      <c r="I30" s="193"/>
      <c r="J30" s="193"/>
      <c r="K30" s="189"/>
      <c r="L30" s="146" t="s">
        <v>60</v>
      </c>
      <c r="M30" s="146" t="s">
        <v>60</v>
      </c>
      <c r="N30" s="147">
        <v>2.98E-2</v>
      </c>
      <c r="O30" s="147">
        <v>0.1013</v>
      </c>
      <c r="P30" s="148">
        <v>-113000</v>
      </c>
      <c r="Q30" s="162">
        <v>57967.602549999996</v>
      </c>
      <c r="R30" s="148">
        <v>-55032.397450000004</v>
      </c>
      <c r="S30" s="149">
        <v>112.6</v>
      </c>
      <c r="T30" s="149">
        <v>209.38492153587475</v>
      </c>
      <c r="U30" s="195">
        <v>90.990619999999993</v>
      </c>
      <c r="V30" s="151">
        <v>-1.3590715015936015</v>
      </c>
      <c r="W30" s="129">
        <v>31.55831097808133</v>
      </c>
      <c r="X30" s="151">
        <v>7.5638944013470439</v>
      </c>
      <c r="Y30" s="129">
        <v>0</v>
      </c>
      <c r="Z30" s="151">
        <v>0.24021807059955499</v>
      </c>
      <c r="AA30" s="129">
        <v>16.681700643454203</v>
      </c>
      <c r="AB30" s="151">
        <v>0</v>
      </c>
      <c r="AC30" s="129">
        <v>0</v>
      </c>
      <c r="AD30" s="220">
        <v>2</v>
      </c>
    </row>
    <row r="31" spans="1:30" ht="23.25" hidden="1" x14ac:dyDescent="0.35">
      <c r="A31" s="158" t="s">
        <v>64</v>
      </c>
      <c r="B31" s="209" t="s">
        <v>63</v>
      </c>
      <c r="C31" s="159">
        <v>298.14999999999998</v>
      </c>
      <c r="D31" s="159">
        <v>493</v>
      </c>
      <c r="E31" s="160">
        <v>0</v>
      </c>
      <c r="F31" s="161">
        <v>42.3</v>
      </c>
      <c r="G31" s="186">
        <v>17.89</v>
      </c>
      <c r="H31" s="186">
        <v>25.1</v>
      </c>
      <c r="I31" s="186"/>
      <c r="J31" s="186"/>
      <c r="K31" s="187"/>
      <c r="L31" s="146">
        <v>5.8794810023750008</v>
      </c>
      <c r="M31" s="146">
        <v>11.925924954107506</v>
      </c>
      <c r="N31" s="147">
        <v>2.9814999999999998E-2</v>
      </c>
      <c r="O31" s="147">
        <v>4.9299999999999997E-2</v>
      </c>
      <c r="P31" s="148">
        <v>0</v>
      </c>
      <c r="Q31" s="162">
        <v>5420.5189976249994</v>
      </c>
      <c r="R31" s="148">
        <v>5420.5189976249994</v>
      </c>
      <c r="S31" s="149">
        <v>42.3</v>
      </c>
      <c r="T31" s="149">
        <v>56.187838882092244</v>
      </c>
      <c r="U31" s="195">
        <v>30.264299999999999</v>
      </c>
      <c r="V31" s="151">
        <v>0</v>
      </c>
      <c r="W31" s="129">
        <v>9.5940127503905739</v>
      </c>
      <c r="X31" s="151">
        <v>2.1516627578327019</v>
      </c>
      <c r="Y31" s="129">
        <v>0</v>
      </c>
      <c r="Z31" s="151">
        <v>7.7569498495098907E-2</v>
      </c>
      <c r="AA31" s="129">
        <v>15.094112694689999</v>
      </c>
      <c r="AB31" s="151">
        <v>0</v>
      </c>
      <c r="AC31" s="129">
        <v>0</v>
      </c>
      <c r="AD31" s="220">
        <v>2</v>
      </c>
    </row>
    <row r="32" spans="1:30" ht="23.25" hidden="1" x14ac:dyDescent="0.35">
      <c r="A32" s="158" t="s">
        <v>64</v>
      </c>
      <c r="B32" s="209" t="s">
        <v>58</v>
      </c>
      <c r="C32" s="159">
        <v>493</v>
      </c>
      <c r="D32" s="159">
        <v>957</v>
      </c>
      <c r="E32" s="160">
        <v>11.3</v>
      </c>
      <c r="F32" s="161">
        <v>68.113763836199666</v>
      </c>
      <c r="G32" s="186">
        <v>35.15</v>
      </c>
      <c r="H32" s="186"/>
      <c r="I32" s="186"/>
      <c r="J32" s="186"/>
      <c r="K32" s="187"/>
      <c r="L32" s="146" t="s">
        <v>60</v>
      </c>
      <c r="M32" s="146" t="s">
        <v>60</v>
      </c>
      <c r="N32" s="147">
        <v>4.9299999999999997E-2</v>
      </c>
      <c r="O32" s="147">
        <v>9.5699999999999993E-2</v>
      </c>
      <c r="P32" s="148">
        <v>11300</v>
      </c>
      <c r="Q32" s="148">
        <v>27609.599999999995</v>
      </c>
      <c r="R32" s="148">
        <v>27609.599999999995</v>
      </c>
      <c r="S32" s="149">
        <v>68.113763836199666</v>
      </c>
      <c r="T32" s="149">
        <v>91.428555578170489</v>
      </c>
      <c r="U32" s="195">
        <v>35.15</v>
      </c>
      <c r="V32" s="151">
        <v>0</v>
      </c>
      <c r="W32" s="129">
        <v>16.688836423544643</v>
      </c>
      <c r="X32" s="151">
        <v>4.2275542726562021</v>
      </c>
      <c r="Y32" s="129">
        <v>0</v>
      </c>
      <c r="Z32" s="151">
        <v>7.251127548259062E-2</v>
      </c>
      <c r="AA32" s="129">
        <v>0</v>
      </c>
      <c r="AB32" s="151">
        <v>0</v>
      </c>
      <c r="AC32" s="129">
        <v>0</v>
      </c>
      <c r="AD32" s="220">
        <v>2</v>
      </c>
    </row>
    <row r="33" spans="1:30" ht="23.25" hidden="1" x14ac:dyDescent="0.35">
      <c r="A33" s="158" t="s">
        <v>64</v>
      </c>
      <c r="B33" s="209" t="s">
        <v>61</v>
      </c>
      <c r="C33" s="159">
        <v>298.14999999999998</v>
      </c>
      <c r="D33" s="159">
        <v>2000</v>
      </c>
      <c r="E33" s="160">
        <v>235.4</v>
      </c>
      <c r="F33" s="161">
        <v>176.7</v>
      </c>
      <c r="G33" s="186">
        <v>21.46</v>
      </c>
      <c r="H33" s="186">
        <v>1.51</v>
      </c>
      <c r="I33" s="186">
        <v>0.09</v>
      </c>
      <c r="J33" s="186"/>
      <c r="K33" s="187"/>
      <c r="L33" s="167" t="s">
        <v>60</v>
      </c>
      <c r="M33" s="167" t="s">
        <v>60</v>
      </c>
      <c r="N33" s="168">
        <v>2.9814999999999998E-2</v>
      </c>
      <c r="O33" s="168">
        <v>0.2</v>
      </c>
      <c r="P33" s="169">
        <v>235400</v>
      </c>
      <c r="Q33" s="169">
        <v>39731.447945133754</v>
      </c>
      <c r="R33" s="169">
        <v>275131.44794513378</v>
      </c>
      <c r="S33" s="170">
        <v>176.7</v>
      </c>
      <c r="T33" s="170">
        <v>220.60970894664467</v>
      </c>
      <c r="U33" s="171">
        <v>24.502499999999998</v>
      </c>
      <c r="V33" s="172">
        <v>2.8311985086295026</v>
      </c>
      <c r="W33" s="173">
        <v>27.744241571649582</v>
      </c>
      <c r="X33" s="172">
        <v>2.5810331348848394</v>
      </c>
      <c r="Y33" s="173">
        <v>5.4122316435143416E-5</v>
      </c>
      <c r="Z33" s="172">
        <v>7.4130158817322156E-2</v>
      </c>
      <c r="AA33" s="173">
        <v>0.90805219796740622</v>
      </c>
      <c r="AB33" s="172">
        <v>0</v>
      </c>
      <c r="AC33" s="173">
        <v>0</v>
      </c>
      <c r="AD33" s="221">
        <v>2</v>
      </c>
    </row>
  </sheetData>
  <sheetProtection sheet="1" formatCells="0" formatColumns="0" formatRows="0" insertColumns="0" insertRows="0" deleteRows="0" sort="0" autoFilter="0" pivotTables="0"/>
  <phoneticPr fontId="17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3C795-491B-4A21-876B-C775EFD163ED}">
  <sheetPr codeName="Лист13">
    <tabColor rgb="FFFF0000"/>
  </sheetPr>
  <dimension ref="A1:Z246"/>
  <sheetViews>
    <sheetView zoomScaleNormal="100" workbookViewId="0">
      <pane xSplit="3" ySplit="1" topLeftCell="D35" activePane="bottomRight" state="frozen"/>
      <selection pane="topRight" activeCell="D1" sqref="D1"/>
      <selection pane="bottomLeft" activeCell="A2" sqref="A2"/>
      <selection pane="bottomRight" activeCell="I34" sqref="I34"/>
    </sheetView>
  </sheetViews>
  <sheetFormatPr defaultRowHeight="23.25" outlineLevelCol="1" x14ac:dyDescent="0.35"/>
  <cols>
    <col min="1" max="1" width="10.26953125" style="102" bestFit="1" customWidth="1"/>
    <col min="2" max="2" width="1.6328125" style="102" customWidth="1"/>
    <col min="3" max="3" width="11.7265625" style="75" customWidth="1"/>
    <col min="4" max="4" width="3.453125" style="139" customWidth="1"/>
    <col min="5" max="6" width="8.81640625" style="75" bestFit="1" customWidth="1"/>
    <col min="7" max="9" width="11.81640625" style="91" customWidth="1" outlineLevel="1"/>
    <col min="10" max="10" width="11.36328125" style="91" customWidth="1" outlineLevel="1"/>
    <col min="11" max="14" width="11.81640625" style="91" customWidth="1" outlineLevel="1"/>
    <col min="15" max="15" width="3.36328125" style="105" customWidth="1"/>
    <col min="16" max="16" width="3.90625" style="75" customWidth="1"/>
    <col min="17" max="17" width="10.1796875" style="75" bestFit="1" customWidth="1"/>
    <col min="18" max="19" width="10.54296875" style="75" bestFit="1" customWidth="1"/>
    <col min="20" max="21" width="11.1796875" style="75" bestFit="1" customWidth="1"/>
    <col min="22" max="22" width="10.54296875" style="75" bestFit="1" customWidth="1"/>
    <col min="23" max="23" width="11.1796875" style="75" bestFit="1" customWidth="1"/>
    <col min="24" max="16384" width="8.7265625" style="75"/>
  </cols>
  <sheetData>
    <row r="1" spans="1:18" ht="21.75" thickTop="1" x14ac:dyDescent="0.35">
      <c r="A1"/>
      <c r="B1" s="101"/>
      <c r="C1" s="205" t="s">
        <v>101</v>
      </c>
      <c r="D1" s="207" t="s">
        <v>136</v>
      </c>
      <c r="E1" s="206" t="s">
        <v>137</v>
      </c>
      <c r="F1" s="121" t="s">
        <v>138</v>
      </c>
      <c r="G1" s="121" t="s">
        <v>41</v>
      </c>
      <c r="H1" s="121" t="s">
        <v>42</v>
      </c>
      <c r="I1" s="121" t="s">
        <v>43</v>
      </c>
      <c r="J1" s="121" t="s">
        <v>44</v>
      </c>
      <c r="K1" s="121" t="s">
        <v>45</v>
      </c>
      <c r="L1" s="121" t="s">
        <v>46</v>
      </c>
      <c r="M1" s="121" t="s">
        <v>47</v>
      </c>
      <c r="N1" s="121" t="s">
        <v>48</v>
      </c>
      <c r="O1" s="123" t="s">
        <v>135</v>
      </c>
      <c r="P1" s="122" t="s">
        <v>139</v>
      </c>
      <c r="R1" s="123">
        <f>COUNTA(O2:O248)</f>
        <v>40</v>
      </c>
    </row>
    <row r="2" spans="1:18" x14ac:dyDescent="0.35">
      <c r="A2"/>
      <c r="B2" s="101"/>
      <c r="C2" s="90" t="s">
        <v>69</v>
      </c>
      <c r="D2" s="124" t="s">
        <v>63</v>
      </c>
      <c r="E2" s="90">
        <v>298.14999999999998</v>
      </c>
      <c r="F2" s="90">
        <v>302.92</v>
      </c>
      <c r="G2" s="240">
        <v>-6.7018670000000002E-2</v>
      </c>
      <c r="H2" s="234">
        <v>-1611406</v>
      </c>
      <c r="I2" s="240">
        <v>-370772.3</v>
      </c>
      <c r="J2" s="234">
        <v>0</v>
      </c>
      <c r="K2" s="240">
        <v>-2763.64</v>
      </c>
      <c r="L2" s="234">
        <v>18653810</v>
      </c>
      <c r="M2" s="240">
        <v>-208550600</v>
      </c>
      <c r="N2" s="234">
        <v>1165804000</v>
      </c>
      <c r="O2" s="242">
        <v>1</v>
      </c>
      <c r="P2" s="241"/>
    </row>
    <row r="3" spans="1:18" x14ac:dyDescent="0.35">
      <c r="A3"/>
      <c r="B3" s="101"/>
      <c r="C3" s="90" t="s">
        <v>69</v>
      </c>
      <c r="D3" s="124" t="s">
        <v>63</v>
      </c>
      <c r="E3" s="90">
        <v>302.92</v>
      </c>
      <c r="F3" s="90">
        <v>4000</v>
      </c>
      <c r="G3" s="240">
        <v>-6.7018670000000002E-2</v>
      </c>
      <c r="H3" s="234">
        <v>15.167669999999999</v>
      </c>
      <c r="I3" s="240">
        <v>3.135516</v>
      </c>
      <c r="J3" s="234">
        <v>1.4234849999999999E-4</v>
      </c>
      <c r="K3" s="240">
        <v>-5.0186000000000001E-2</v>
      </c>
      <c r="L3" s="234">
        <v>-0.18101780000000001</v>
      </c>
      <c r="M3" s="240">
        <v>0.48311500000000002</v>
      </c>
      <c r="N3" s="234">
        <v>0</v>
      </c>
      <c r="O3" s="242">
        <v>1</v>
      </c>
      <c r="P3" s="243"/>
    </row>
    <row r="4" spans="1:18" x14ac:dyDescent="0.35">
      <c r="A4"/>
      <c r="B4" s="101"/>
      <c r="C4" s="113" t="s">
        <v>69</v>
      </c>
      <c r="D4" s="119" t="s">
        <v>61</v>
      </c>
      <c r="E4" s="113">
        <v>298.14999999999998</v>
      </c>
      <c r="F4" s="113">
        <v>1500</v>
      </c>
      <c r="G4" s="232">
        <v>3.192504</v>
      </c>
      <c r="H4" s="233">
        <v>33.995229999999999</v>
      </c>
      <c r="I4" s="232">
        <v>5.1932309999999999</v>
      </c>
      <c r="J4" s="233">
        <v>-4.8091060000000002E-4</v>
      </c>
      <c r="K4" s="232">
        <v>9.1439489999999998E-2</v>
      </c>
      <c r="L4" s="233">
        <v>-21.466670000000001</v>
      </c>
      <c r="M4" s="232">
        <v>42.981879999999997</v>
      </c>
      <c r="N4" s="233">
        <v>-45.813839999999999</v>
      </c>
      <c r="O4" s="226">
        <v>1</v>
      </c>
      <c r="P4" s="31"/>
    </row>
    <row r="5" spans="1:18" x14ac:dyDescent="0.35">
      <c r="A5"/>
      <c r="B5" s="100"/>
      <c r="C5" s="113" t="s">
        <v>70</v>
      </c>
      <c r="D5" s="119" t="s">
        <v>61</v>
      </c>
      <c r="E5" s="113">
        <v>298.14999999999998</v>
      </c>
      <c r="F5" s="113">
        <v>2000</v>
      </c>
      <c r="G5" s="232">
        <v>1.157</v>
      </c>
      <c r="H5" s="233">
        <v>55.30301</v>
      </c>
      <c r="I5" s="232">
        <v>6.9866000000000001</v>
      </c>
      <c r="J5" s="233">
        <v>-1.7438999999999999E-4</v>
      </c>
      <c r="K5" s="232">
        <v>0.22003</v>
      </c>
      <c r="L5" s="233">
        <v>3.0068000000000001E-2</v>
      </c>
      <c r="M5" s="232">
        <v>0</v>
      </c>
      <c r="N5" s="233">
        <v>0</v>
      </c>
      <c r="O5" s="114">
        <v>1</v>
      </c>
      <c r="P5" s="31"/>
    </row>
    <row r="6" spans="1:18" x14ac:dyDescent="0.35">
      <c r="A6"/>
      <c r="B6" s="100"/>
      <c r="C6" s="227" t="s">
        <v>71</v>
      </c>
      <c r="D6" s="127" t="s">
        <v>63</v>
      </c>
      <c r="E6" s="120">
        <v>298.14999999999998</v>
      </c>
      <c r="F6" s="120">
        <v>1278</v>
      </c>
      <c r="G6" s="230">
        <v>-4.9166999999999996</v>
      </c>
      <c r="H6" s="231">
        <v>52.323990000000002</v>
      </c>
      <c r="I6" s="230">
        <v>12.715999999999999</v>
      </c>
      <c r="J6" s="231">
        <v>0</v>
      </c>
      <c r="K6" s="230">
        <v>0.39800999999999997</v>
      </c>
      <c r="L6" s="231">
        <v>21.234000000000002</v>
      </c>
      <c r="M6" s="230">
        <v>0</v>
      </c>
      <c r="N6" s="231">
        <v>0</v>
      </c>
      <c r="O6" s="126">
        <v>1</v>
      </c>
      <c r="P6" s="31"/>
    </row>
    <row r="7" spans="1:18" x14ac:dyDescent="0.35">
      <c r="A7"/>
      <c r="B7" s="100"/>
      <c r="C7" s="113" t="s">
        <v>62</v>
      </c>
      <c r="D7" s="119" t="s">
        <v>63</v>
      </c>
      <c r="E7" s="113">
        <v>298.14999999999998</v>
      </c>
      <c r="F7" s="113">
        <v>1211.4000000000001</v>
      </c>
      <c r="G7" s="232">
        <v>-5.5760690000000002E-2</v>
      </c>
      <c r="H7" s="233">
        <v>10.808619999999999</v>
      </c>
      <c r="I7" s="232">
        <v>2.898209</v>
      </c>
      <c r="J7" s="233">
        <v>-9.4357770000000004E-5</v>
      </c>
      <c r="K7" s="232">
        <v>3.8575789999999999E-2</v>
      </c>
      <c r="L7" s="233">
        <v>1.796346</v>
      </c>
      <c r="M7" s="232">
        <v>0</v>
      </c>
      <c r="N7" s="233">
        <v>0</v>
      </c>
      <c r="O7" s="114">
        <v>1</v>
      </c>
      <c r="P7" s="31"/>
    </row>
    <row r="8" spans="1:18" x14ac:dyDescent="0.35">
      <c r="A8"/>
      <c r="B8" s="100"/>
      <c r="C8" s="113" t="s">
        <v>62</v>
      </c>
      <c r="D8" s="119" t="s">
        <v>58</v>
      </c>
      <c r="E8" s="113">
        <v>1211.4000000000001</v>
      </c>
      <c r="F8" s="113">
        <v>4900</v>
      </c>
      <c r="G8" s="232">
        <v>-5.5760690000000002E-2</v>
      </c>
      <c r="H8" s="233">
        <v>15.395060000000001</v>
      </c>
      <c r="I8" s="232">
        <v>3.319661</v>
      </c>
      <c r="J8" s="233">
        <v>0</v>
      </c>
      <c r="K8" s="232">
        <v>-0.38367639999999997</v>
      </c>
      <c r="L8" s="233">
        <v>0</v>
      </c>
      <c r="M8" s="232">
        <v>0</v>
      </c>
      <c r="N8" s="233">
        <v>0</v>
      </c>
      <c r="O8" s="114">
        <v>1</v>
      </c>
      <c r="P8" s="31"/>
    </row>
    <row r="9" spans="1:18" x14ac:dyDescent="0.35">
      <c r="A9"/>
      <c r="B9" s="100"/>
      <c r="C9" s="113" t="s">
        <v>62</v>
      </c>
      <c r="D9" s="119" t="s">
        <v>61</v>
      </c>
      <c r="E9" s="113">
        <v>298.14999999999998</v>
      </c>
      <c r="F9" s="113">
        <v>1500</v>
      </c>
      <c r="G9" s="232">
        <v>4.3829390000000004</v>
      </c>
      <c r="H9" s="233">
        <v>34.862279999999998</v>
      </c>
      <c r="I9" s="232">
        <v>5.530119</v>
      </c>
      <c r="J9" s="233">
        <v>-3.3787839999999998E-4</v>
      </c>
      <c r="K9" s="232">
        <v>8.1663529999999998E-2</v>
      </c>
      <c r="L9" s="233">
        <v>-21.130780000000001</v>
      </c>
      <c r="M9" s="232">
        <v>36.52984</v>
      </c>
      <c r="N9" s="233">
        <v>-31.421589999999998</v>
      </c>
      <c r="O9" s="114">
        <v>1</v>
      </c>
      <c r="P9" s="31"/>
    </row>
    <row r="10" spans="1:18" x14ac:dyDescent="0.35">
      <c r="A10"/>
      <c r="B10" s="100"/>
      <c r="C10" s="113" t="s">
        <v>62</v>
      </c>
      <c r="D10" s="119" t="s">
        <v>61</v>
      </c>
      <c r="E10" s="113">
        <v>1500</v>
      </c>
      <c r="F10" s="113">
        <v>6000</v>
      </c>
      <c r="G10" s="232">
        <v>4.3829390000000004</v>
      </c>
      <c r="H10" s="233">
        <v>26.704419999999999</v>
      </c>
      <c r="I10" s="232">
        <v>1.8358589999999999</v>
      </c>
      <c r="J10" s="233">
        <v>3.9919220000000002E-3</v>
      </c>
      <c r="K10" s="232">
        <v>-0.2011674</v>
      </c>
      <c r="L10" s="233">
        <v>2.865237</v>
      </c>
      <c r="M10" s="232">
        <v>-1.920703</v>
      </c>
      <c r="N10" s="233">
        <v>0.6292025</v>
      </c>
      <c r="O10" s="140">
        <v>1</v>
      </c>
      <c r="P10" s="31"/>
    </row>
    <row r="11" spans="1:18" x14ac:dyDescent="0.35">
      <c r="A11"/>
      <c r="B11" s="100"/>
      <c r="C11" s="113" t="s">
        <v>62</v>
      </c>
      <c r="D11" s="119" t="s">
        <v>61</v>
      </c>
      <c r="E11" s="113">
        <v>6000</v>
      </c>
      <c r="F11" s="113">
        <v>10000</v>
      </c>
      <c r="G11" s="232">
        <v>4.3829390000000004</v>
      </c>
      <c r="H11" s="233">
        <v>30.185140000000001</v>
      </c>
      <c r="I11" s="232">
        <v>6.3430540000000004</v>
      </c>
      <c r="J11" s="233">
        <v>-9.5135109999999995E-2</v>
      </c>
      <c r="K11" s="232">
        <v>1.2754369999999999</v>
      </c>
      <c r="L11" s="233">
        <v>-4.2694150000000004</v>
      </c>
      <c r="M11" s="232">
        <v>1.041687</v>
      </c>
      <c r="N11" s="233">
        <v>-6.3588229999999996E-2</v>
      </c>
      <c r="O11" s="114">
        <v>1</v>
      </c>
      <c r="P11" s="31"/>
    </row>
    <row r="12" spans="1:18" x14ac:dyDescent="0.35">
      <c r="A12"/>
      <c r="B12" s="100"/>
      <c r="C12" s="227" t="s">
        <v>94</v>
      </c>
      <c r="D12" s="127" t="s">
        <v>61</v>
      </c>
      <c r="E12" s="120">
        <v>1500</v>
      </c>
      <c r="F12" s="120">
        <v>6000</v>
      </c>
      <c r="G12" s="230">
        <v>5.674709</v>
      </c>
      <c r="H12" s="231">
        <v>40.162990000000001</v>
      </c>
      <c r="I12" s="230">
        <v>2.7510140000000001</v>
      </c>
      <c r="J12" s="231">
        <v>7.8054969999999998E-3</v>
      </c>
      <c r="K12" s="230">
        <v>-0.32734089999999999</v>
      </c>
      <c r="L12" s="231">
        <v>6.01546</v>
      </c>
      <c r="M12" s="230">
        <v>-3.5431430000000002</v>
      </c>
      <c r="N12" s="231">
        <v>0.75900279999999998</v>
      </c>
      <c r="O12" s="126">
        <v>1</v>
      </c>
      <c r="P12" s="31"/>
    </row>
    <row r="13" spans="1:18" x14ac:dyDescent="0.35">
      <c r="A13"/>
      <c r="B13" s="100"/>
      <c r="C13" s="228" t="s">
        <v>81</v>
      </c>
      <c r="D13" s="119" t="s">
        <v>63</v>
      </c>
      <c r="E13" s="113">
        <v>298.14999999999998</v>
      </c>
      <c r="F13" s="113">
        <v>947.99990000000003</v>
      </c>
      <c r="G13" s="232">
        <v>-0.82987549999999999</v>
      </c>
      <c r="H13" s="233">
        <v>22.446940000000001</v>
      </c>
      <c r="I13" s="232">
        <v>5.4242590000000002</v>
      </c>
      <c r="J13" s="233">
        <v>0</v>
      </c>
      <c r="K13" s="232">
        <v>0.17049120000000001</v>
      </c>
      <c r="L13" s="233">
        <v>9.8622890000000005</v>
      </c>
      <c r="M13" s="232">
        <v>0</v>
      </c>
      <c r="N13" s="233">
        <v>0</v>
      </c>
      <c r="O13" s="114">
        <v>1</v>
      </c>
      <c r="P13" s="31"/>
    </row>
    <row r="14" spans="1:18" x14ac:dyDescent="0.35">
      <c r="A14"/>
      <c r="C14" s="228" t="s">
        <v>81</v>
      </c>
      <c r="D14" s="119" t="s">
        <v>61</v>
      </c>
      <c r="E14" s="113">
        <v>298.14999999999998</v>
      </c>
      <c r="F14" s="113">
        <v>2000</v>
      </c>
      <c r="G14" s="232">
        <v>1.2677</v>
      </c>
      <c r="H14" s="233">
        <v>11.071</v>
      </c>
      <c r="I14" s="232">
        <v>4.4489000000000001</v>
      </c>
      <c r="J14" s="233">
        <v>-1.0823999999999999E-4</v>
      </c>
      <c r="K14" s="232">
        <v>0.13999</v>
      </c>
      <c r="L14" s="233">
        <v>0.10223</v>
      </c>
      <c r="M14" s="232">
        <v>0</v>
      </c>
      <c r="N14" s="233">
        <v>0</v>
      </c>
      <c r="O14" s="125">
        <v>1</v>
      </c>
      <c r="P14" s="31"/>
    </row>
    <row r="15" spans="1:18" x14ac:dyDescent="0.35">
      <c r="A15"/>
      <c r="C15" s="228" t="s">
        <v>82</v>
      </c>
      <c r="D15" s="119" t="s">
        <v>63</v>
      </c>
      <c r="E15" s="113">
        <v>298.14999999999998</v>
      </c>
      <c r="F15" s="113">
        <v>1013</v>
      </c>
      <c r="G15" s="232">
        <v>-1.3591</v>
      </c>
      <c r="H15" s="233">
        <v>31.553999999999998</v>
      </c>
      <c r="I15" s="232">
        <v>7.5639000000000003</v>
      </c>
      <c r="J15" s="233">
        <v>0</v>
      </c>
      <c r="K15" s="232">
        <v>0.24035000000000001</v>
      </c>
      <c r="L15" s="233">
        <v>16.681999999999999</v>
      </c>
      <c r="M15" s="232">
        <v>0</v>
      </c>
      <c r="N15" s="233">
        <v>0</v>
      </c>
      <c r="O15" s="114">
        <v>1</v>
      </c>
      <c r="P15" s="31"/>
    </row>
    <row r="16" spans="1:18" s="93" customFormat="1" x14ac:dyDescent="0.35">
      <c r="A16"/>
      <c r="B16" s="103"/>
      <c r="C16" s="113" t="s">
        <v>64</v>
      </c>
      <c r="D16" s="119" t="s">
        <v>63</v>
      </c>
      <c r="E16" s="113">
        <v>298.14999999999998</v>
      </c>
      <c r="F16" s="113">
        <v>494.3</v>
      </c>
      <c r="G16" s="232">
        <v>-6.6260929999999996E-2</v>
      </c>
      <c r="H16" s="233">
        <v>10.212899999999999</v>
      </c>
      <c r="I16" s="232">
        <v>2.3373539999999999</v>
      </c>
      <c r="J16" s="233">
        <v>0</v>
      </c>
      <c r="K16" s="232">
        <v>1.4182739999999999E-2</v>
      </c>
      <c r="L16" s="233">
        <v>13.63707</v>
      </c>
      <c r="M16" s="232">
        <v>-25.78952</v>
      </c>
      <c r="N16" s="233">
        <v>0</v>
      </c>
      <c r="O16" s="114">
        <v>1</v>
      </c>
      <c r="P16" s="31"/>
    </row>
    <row r="17" spans="1:16" s="93" customFormat="1" x14ac:dyDescent="0.35">
      <c r="A17" s="103"/>
      <c r="B17" s="103"/>
      <c r="C17" s="113" t="s">
        <v>64</v>
      </c>
      <c r="D17" s="119" t="s">
        <v>63</v>
      </c>
      <c r="E17" s="113">
        <v>494.3</v>
      </c>
      <c r="F17" s="113">
        <v>1000</v>
      </c>
      <c r="G17" s="232">
        <v>-6.6260929999999996E-2</v>
      </c>
      <c r="H17" s="233">
        <v>23.305810000000001</v>
      </c>
      <c r="I17" s="232">
        <v>6.3044700000000002</v>
      </c>
      <c r="J17" s="233">
        <v>0</v>
      </c>
      <c r="K17" s="232">
        <v>5.1929419999999997E-2</v>
      </c>
      <c r="L17" s="233">
        <v>-29.829440000000002</v>
      </c>
      <c r="M17" s="232">
        <v>65.022059999999996</v>
      </c>
      <c r="N17" s="233">
        <v>0</v>
      </c>
      <c r="O17" s="114">
        <v>1</v>
      </c>
      <c r="P17" s="31"/>
    </row>
    <row r="18" spans="1:16" s="93" customFormat="1" x14ac:dyDescent="0.35">
      <c r="A18" s="103"/>
      <c r="B18" s="103"/>
      <c r="C18" s="113" t="s">
        <v>64</v>
      </c>
      <c r="D18" s="119" t="s">
        <v>63</v>
      </c>
      <c r="E18" s="113">
        <v>1000</v>
      </c>
      <c r="F18" s="113">
        <v>1800</v>
      </c>
      <c r="G18" s="232">
        <v>-6.6260929999999996E-2</v>
      </c>
      <c r="H18" s="233">
        <v>16.601150000000001</v>
      </c>
      <c r="I18" s="232">
        <v>4.2397850000000004</v>
      </c>
      <c r="J18" s="233">
        <v>0</v>
      </c>
      <c r="K18" s="232">
        <v>1.3699609999999999E-2</v>
      </c>
      <c r="L18" s="233">
        <v>0</v>
      </c>
      <c r="M18" s="232">
        <v>0</v>
      </c>
      <c r="N18" s="233">
        <v>0</v>
      </c>
      <c r="O18" s="114">
        <v>1</v>
      </c>
      <c r="P18" s="31"/>
    </row>
    <row r="19" spans="1:16" x14ac:dyDescent="0.35">
      <c r="C19" s="227" t="s">
        <v>64</v>
      </c>
      <c r="D19" s="127" t="s">
        <v>61</v>
      </c>
      <c r="E19" s="225">
        <v>298.14999999999998</v>
      </c>
      <c r="F19" s="120">
        <v>1500</v>
      </c>
      <c r="G19" s="230">
        <v>2.783115</v>
      </c>
      <c r="H19" s="231">
        <v>25.378499999999999</v>
      </c>
      <c r="I19" s="230">
        <v>1.797085</v>
      </c>
      <c r="J19" s="231">
        <v>1.090393E-4</v>
      </c>
      <c r="K19" s="230">
        <v>-2.1003919999999999E-2</v>
      </c>
      <c r="L19" s="231">
        <v>9.1604179999999999</v>
      </c>
      <c r="M19" s="230">
        <v>-16.28604</v>
      </c>
      <c r="N19" s="231">
        <v>12.30222</v>
      </c>
      <c r="O19" s="126">
        <v>1</v>
      </c>
      <c r="P19" s="31"/>
    </row>
    <row r="20" spans="1:16" x14ac:dyDescent="0.35">
      <c r="C20" s="228" t="s">
        <v>64</v>
      </c>
      <c r="D20" s="119" t="s">
        <v>61</v>
      </c>
      <c r="E20" s="113">
        <v>1500</v>
      </c>
      <c r="F20" s="113">
        <v>10000</v>
      </c>
      <c r="G20" s="232">
        <v>2.783115</v>
      </c>
      <c r="H20" s="233">
        <v>27.619869999999999</v>
      </c>
      <c r="I20" s="232">
        <v>2.4307400000000001</v>
      </c>
      <c r="J20" s="233">
        <v>2.4488410000000002E-3</v>
      </c>
      <c r="K20" s="232">
        <v>-5.4265309999999997E-2</v>
      </c>
      <c r="L20" s="233">
        <v>0.91438399999999997</v>
      </c>
      <c r="M20" s="232">
        <v>-0.4321508</v>
      </c>
      <c r="N20" s="233">
        <v>8.956944E-2</v>
      </c>
      <c r="O20" s="114">
        <v>1</v>
      </c>
      <c r="P20" s="31"/>
    </row>
    <row r="21" spans="1:16" x14ac:dyDescent="0.35">
      <c r="C21" s="113" t="s">
        <v>87</v>
      </c>
      <c r="D21" s="119" t="s">
        <v>61</v>
      </c>
      <c r="E21" s="113">
        <v>298.14999999999998</v>
      </c>
      <c r="F21" s="113">
        <v>1500</v>
      </c>
      <c r="G21" s="232">
        <v>1.6083639999999999</v>
      </c>
      <c r="H21" s="233">
        <v>46.654719999999998</v>
      </c>
      <c r="I21" s="232">
        <v>6.370749</v>
      </c>
      <c r="J21" s="233">
        <v>-1.7220000000000001E-4</v>
      </c>
      <c r="K21" s="232">
        <v>6.049562E-2</v>
      </c>
      <c r="L21" s="233">
        <v>-20.810030000000001</v>
      </c>
      <c r="M21" s="232">
        <v>56.994140000000002</v>
      </c>
      <c r="N21" s="233">
        <v>-73.985680000000002</v>
      </c>
      <c r="O21" s="114">
        <v>1</v>
      </c>
      <c r="P21" s="31"/>
    </row>
    <row r="22" spans="1:16" x14ac:dyDescent="0.35">
      <c r="C22" s="113" t="s">
        <v>87</v>
      </c>
      <c r="D22" s="119" t="s">
        <v>61</v>
      </c>
      <c r="E22" s="113">
        <v>1500</v>
      </c>
      <c r="F22" s="113">
        <v>6000</v>
      </c>
      <c r="G22" s="232">
        <v>1.6083639999999999</v>
      </c>
      <c r="H22" s="233">
        <v>41.393599999999999</v>
      </c>
      <c r="I22" s="232">
        <v>4.6638549999999999</v>
      </c>
      <c r="J22" s="233">
        <v>-1.334432E-3</v>
      </c>
      <c r="K22" s="232">
        <v>3.6780319999999998E-2</v>
      </c>
      <c r="L22" s="233">
        <v>0.98545360000000004</v>
      </c>
      <c r="M22" s="232">
        <v>-0.13838919999999999</v>
      </c>
      <c r="N22" s="233">
        <v>-0.2247374</v>
      </c>
      <c r="O22" s="114">
        <v>1</v>
      </c>
      <c r="P22" s="31"/>
    </row>
    <row r="23" spans="1:16" x14ac:dyDescent="0.35">
      <c r="C23" s="113" t="s">
        <v>88</v>
      </c>
      <c r="D23" s="119" t="s">
        <v>61</v>
      </c>
      <c r="E23" s="113">
        <v>298.14999999999998</v>
      </c>
      <c r="F23" s="113">
        <v>1500</v>
      </c>
      <c r="G23" s="232">
        <v>1.9782420000000001</v>
      </c>
      <c r="H23" s="233">
        <v>54.51784</v>
      </c>
      <c r="I23" s="232">
        <v>6.89046</v>
      </c>
      <c r="J23" s="233">
        <v>-1.736525E-4</v>
      </c>
      <c r="K23" s="232">
        <v>5.6347979999999999E-2</v>
      </c>
      <c r="L23" s="233">
        <v>1.1843140000000001</v>
      </c>
      <c r="M23" s="232">
        <v>-3.094471</v>
      </c>
      <c r="N23" s="233">
        <v>4.1616710000000001</v>
      </c>
      <c r="O23" s="114">
        <v>1</v>
      </c>
      <c r="P23" s="31"/>
    </row>
    <row r="24" spans="1:16" x14ac:dyDescent="0.35">
      <c r="C24" s="113" t="s">
        <v>88</v>
      </c>
      <c r="D24" s="119" t="s">
        <v>61</v>
      </c>
      <c r="E24" s="113">
        <v>1500</v>
      </c>
      <c r="F24" s="113">
        <v>6000</v>
      </c>
      <c r="G24" s="232">
        <v>1.9782420000000001</v>
      </c>
      <c r="H24" s="233">
        <v>54.816650000000003</v>
      </c>
      <c r="I24" s="232">
        <v>7.0000840000000002</v>
      </c>
      <c r="J24" s="233">
        <v>-2.193664E-4</v>
      </c>
      <c r="K24" s="232">
        <v>6.1325909999999997E-2</v>
      </c>
      <c r="L24" s="233">
        <v>3.7539989999999998E-4</v>
      </c>
      <c r="M24" s="232">
        <v>-1.8322499999999999E-4</v>
      </c>
      <c r="N24" s="233">
        <v>4.3410669999999999E-5</v>
      </c>
      <c r="O24" s="114">
        <v>1</v>
      </c>
      <c r="P24" s="31"/>
    </row>
    <row r="25" spans="1:16" x14ac:dyDescent="0.35">
      <c r="C25" s="113" t="s">
        <v>89</v>
      </c>
      <c r="D25" s="119" t="s">
        <v>61</v>
      </c>
      <c r="E25" s="113">
        <v>298.14999999999998</v>
      </c>
      <c r="F25" s="113">
        <v>1500</v>
      </c>
      <c r="G25" s="232">
        <v>1.7796749999999999</v>
      </c>
      <c r="H25" s="233">
        <v>65.627989999999997</v>
      </c>
      <c r="I25" s="232">
        <v>9.8077830000000006</v>
      </c>
      <c r="J25" s="233">
        <v>-2.9475889999999998E-4</v>
      </c>
      <c r="K25" s="232">
        <v>0.1005359</v>
      </c>
      <c r="L25" s="233">
        <v>2.0750869999999999</v>
      </c>
      <c r="M25" s="232">
        <v>-5.417872</v>
      </c>
      <c r="N25" s="233">
        <v>7.2822940000000003</v>
      </c>
      <c r="O25" s="114">
        <v>1</v>
      </c>
      <c r="P25" s="31"/>
    </row>
    <row r="26" spans="1:16" x14ac:dyDescent="0.35">
      <c r="C26" s="113" t="s">
        <v>89</v>
      </c>
      <c r="D26" s="119" t="s">
        <v>61</v>
      </c>
      <c r="E26" s="113">
        <v>1500</v>
      </c>
      <c r="F26" s="113">
        <v>6000</v>
      </c>
      <c r="G26" s="232">
        <v>1.7796749999999999</v>
      </c>
      <c r="H26" s="233">
        <v>66.151300000000006</v>
      </c>
      <c r="I26" s="232">
        <v>9.9996779999999994</v>
      </c>
      <c r="J26" s="233">
        <v>-3.7359040000000001E-4</v>
      </c>
      <c r="K26" s="232">
        <v>0.1092219</v>
      </c>
      <c r="L26" s="233">
        <v>1.8328540000000001E-3</v>
      </c>
      <c r="M26" s="232">
        <v>-1.155547E-3</v>
      </c>
      <c r="N26" s="233">
        <v>3.7609010000000002E-4</v>
      </c>
      <c r="O26" s="114">
        <v>1</v>
      </c>
      <c r="P26" s="31"/>
    </row>
    <row r="27" spans="1:16" x14ac:dyDescent="0.35">
      <c r="C27" s="94" t="s">
        <v>90</v>
      </c>
      <c r="D27" s="124" t="s">
        <v>61</v>
      </c>
      <c r="E27" s="94">
        <v>298.14999999999998</v>
      </c>
      <c r="F27" s="94">
        <v>1500</v>
      </c>
      <c r="G27" s="232">
        <v>1.593137</v>
      </c>
      <c r="H27" s="244">
        <v>82.10181</v>
      </c>
      <c r="I27" s="232">
        <v>12.889200000000001</v>
      </c>
      <c r="J27" s="244">
        <v>-2.7534359999999998E-4</v>
      </c>
      <c r="K27" s="232">
        <v>0.11292489999999999</v>
      </c>
      <c r="L27" s="244">
        <v>1.2045049999999999</v>
      </c>
      <c r="M27" s="232">
        <v>-3.1549330000000002</v>
      </c>
      <c r="N27" s="244">
        <v>4.2508710000000001</v>
      </c>
      <c r="O27" s="223">
        <v>1</v>
      </c>
      <c r="P27" s="31"/>
    </row>
    <row r="28" spans="1:16" x14ac:dyDescent="0.35">
      <c r="C28" s="94" t="s">
        <v>90</v>
      </c>
      <c r="D28" s="124" t="s">
        <v>61</v>
      </c>
      <c r="E28" s="94">
        <v>1500</v>
      </c>
      <c r="F28" s="94">
        <v>6000</v>
      </c>
      <c r="G28" s="232">
        <v>1.593137</v>
      </c>
      <c r="H28" s="244">
        <v>82.404619999999994</v>
      </c>
      <c r="I28" s="232">
        <v>12.999980000000001</v>
      </c>
      <c r="J28" s="244">
        <v>-3.1975439999999998E-4</v>
      </c>
      <c r="K28" s="232">
        <v>0.117897</v>
      </c>
      <c r="L28" s="244">
        <v>1.496076E-3</v>
      </c>
      <c r="M28" s="232">
        <v>-1.046272E-3</v>
      </c>
      <c r="N28" s="244">
        <v>3.8618760000000001E-4</v>
      </c>
      <c r="O28" s="223">
        <v>1</v>
      </c>
      <c r="P28" s="31"/>
    </row>
    <row r="29" spans="1:16" x14ac:dyDescent="0.35">
      <c r="C29" s="94" t="s">
        <v>91</v>
      </c>
      <c r="D29" s="124" t="s">
        <v>61</v>
      </c>
      <c r="E29" s="94">
        <v>298.14999999999998</v>
      </c>
      <c r="F29" s="94">
        <v>1500</v>
      </c>
      <c r="G29" s="232">
        <v>1.310376</v>
      </c>
      <c r="H29" s="244">
        <v>92.080410000000001</v>
      </c>
      <c r="I29" s="232">
        <v>15.90657</v>
      </c>
      <c r="J29" s="244">
        <v>-3.1941130000000002E-4</v>
      </c>
      <c r="K29" s="232">
        <v>0.14695030000000001</v>
      </c>
      <c r="L29" s="244">
        <v>1.017784</v>
      </c>
      <c r="M29" s="232">
        <v>-2.6653210000000001</v>
      </c>
      <c r="N29" s="244">
        <v>3.5898659999999998</v>
      </c>
      <c r="O29" s="223">
        <v>1</v>
      </c>
      <c r="P29" s="31"/>
    </row>
    <row r="30" spans="1:16" x14ac:dyDescent="0.35">
      <c r="C30" s="229" t="s">
        <v>91</v>
      </c>
      <c r="D30" s="124" t="s">
        <v>61</v>
      </c>
      <c r="E30" s="94">
        <v>1500</v>
      </c>
      <c r="F30" s="94">
        <v>6000</v>
      </c>
      <c r="G30" s="232">
        <v>1.310376</v>
      </c>
      <c r="H30" s="244">
        <v>92.335269999999994</v>
      </c>
      <c r="I30" s="232">
        <v>15.99952</v>
      </c>
      <c r="J30" s="244">
        <v>-3.5474159999999999E-4</v>
      </c>
      <c r="K30" s="232">
        <v>0.151062</v>
      </c>
      <c r="L30" s="244">
        <v>3.4559289999999999E-3</v>
      </c>
      <c r="M30" s="232">
        <v>-2.5853989999999999E-3</v>
      </c>
      <c r="N30" s="244">
        <v>9.828650999999999E-4</v>
      </c>
      <c r="O30" s="223">
        <v>1</v>
      </c>
      <c r="P30" s="31"/>
    </row>
    <row r="31" spans="1:16" x14ac:dyDescent="0.35">
      <c r="C31" s="94" t="s">
        <v>92</v>
      </c>
      <c r="D31" s="124" t="s">
        <v>61</v>
      </c>
      <c r="E31" s="94">
        <v>298.14999999999998</v>
      </c>
      <c r="F31" s="94">
        <v>1500</v>
      </c>
      <c r="G31" s="232">
        <v>1.3764209999999999</v>
      </c>
      <c r="H31" s="244">
        <v>106.2873</v>
      </c>
      <c r="I31" s="232">
        <v>18.87481</v>
      </c>
      <c r="J31" s="244">
        <v>-3.9471889999999999E-4</v>
      </c>
      <c r="K31" s="232">
        <v>0.18061250000000001</v>
      </c>
      <c r="L31" s="244">
        <v>1.363551</v>
      </c>
      <c r="M31" s="232">
        <v>-3.5720109999999998</v>
      </c>
      <c r="N31" s="244">
        <v>4.8116719999999997</v>
      </c>
      <c r="O31" s="223">
        <v>1</v>
      </c>
      <c r="P31" s="31"/>
    </row>
    <row r="32" spans="1:16" x14ac:dyDescent="0.35">
      <c r="C32" s="94" t="s">
        <v>92</v>
      </c>
      <c r="D32" s="124" t="s">
        <v>61</v>
      </c>
      <c r="E32" s="94">
        <v>1500</v>
      </c>
      <c r="F32" s="94">
        <v>6000</v>
      </c>
      <c r="G32" s="232">
        <v>1.3764209999999999</v>
      </c>
      <c r="H32" s="244">
        <v>106.6301</v>
      </c>
      <c r="I32" s="232">
        <v>19.000219999999999</v>
      </c>
      <c r="J32" s="244">
        <v>-4.455711E-4</v>
      </c>
      <c r="K32" s="232">
        <v>0.18625030000000001</v>
      </c>
      <c r="L32" s="244">
        <v>1.466539E-3</v>
      </c>
      <c r="M32" s="232">
        <v>-9.910276E-4</v>
      </c>
      <c r="N32" s="244">
        <v>3.4599259999999998E-4</v>
      </c>
      <c r="O32" s="223">
        <v>1</v>
      </c>
      <c r="P32" s="31"/>
    </row>
    <row r="33" spans="3:16" x14ac:dyDescent="0.35">
      <c r="C33" s="94" t="s">
        <v>93</v>
      </c>
      <c r="D33" s="124" t="s">
        <v>61</v>
      </c>
      <c r="E33" s="94">
        <v>298.14999999999998</v>
      </c>
      <c r="F33" s="94">
        <v>1500</v>
      </c>
      <c r="G33" s="232">
        <v>1.4184099999999999</v>
      </c>
      <c r="H33" s="244">
        <v>118.3836</v>
      </c>
      <c r="I33" s="232">
        <v>21.846499999999999</v>
      </c>
      <c r="J33" s="244">
        <v>-4.55196E-4</v>
      </c>
      <c r="K33" s="232">
        <v>0.2049985</v>
      </c>
      <c r="L33" s="244">
        <v>1.669807</v>
      </c>
      <c r="M33" s="232">
        <v>-4.3705270000000001</v>
      </c>
      <c r="N33" s="244">
        <v>5.8827660000000002</v>
      </c>
      <c r="O33" s="223">
        <v>1</v>
      </c>
      <c r="P33" s="31"/>
    </row>
    <row r="34" spans="3:16" x14ac:dyDescent="0.35">
      <c r="C34" s="94" t="s">
        <v>93</v>
      </c>
      <c r="D34" s="124" t="s">
        <v>61</v>
      </c>
      <c r="E34" s="94">
        <v>1500</v>
      </c>
      <c r="F34" s="94">
        <v>6000</v>
      </c>
      <c r="G34" s="232">
        <v>1.4184099999999999</v>
      </c>
      <c r="H34" s="244">
        <v>118.80549999999999</v>
      </c>
      <c r="I34" s="232">
        <v>22.001380000000001</v>
      </c>
      <c r="J34" s="244">
        <v>-5.2171050000000005E-4</v>
      </c>
      <c r="K34" s="232">
        <v>0.21207509999999999</v>
      </c>
      <c r="L34" s="244">
        <v>-2.09779E-3</v>
      </c>
      <c r="M34" s="232">
        <v>1.840469E-3</v>
      </c>
      <c r="N34" s="244">
        <v>-7.697003E-4</v>
      </c>
      <c r="O34" s="223">
        <v>1</v>
      </c>
      <c r="P34" s="31"/>
    </row>
    <row r="35" spans="3:16" x14ac:dyDescent="0.35">
      <c r="C35" s="227" t="s">
        <v>69</v>
      </c>
      <c r="D35" s="127" t="s">
        <v>61</v>
      </c>
      <c r="E35" s="224">
        <v>1500</v>
      </c>
      <c r="F35" s="224">
        <v>6000</v>
      </c>
      <c r="G35" s="230">
        <v>3.192504</v>
      </c>
      <c r="H35" s="231">
        <v>27.29757</v>
      </c>
      <c r="I35" s="230">
        <v>2.370241</v>
      </c>
      <c r="J35" s="231">
        <v>2.138671E-3</v>
      </c>
      <c r="K35" s="230">
        <v>-9.5885429999999994E-2</v>
      </c>
      <c r="L35" s="231">
        <v>0.51440149999999996</v>
      </c>
      <c r="M35" s="230">
        <v>-0.49555690000000002</v>
      </c>
      <c r="N35" s="231">
        <v>0.24712329999999999</v>
      </c>
      <c r="O35" s="126">
        <v>1</v>
      </c>
      <c r="P35" s="31"/>
    </row>
    <row r="36" spans="3:16" x14ac:dyDescent="0.35">
      <c r="C36" s="113" t="s">
        <v>69</v>
      </c>
      <c r="D36" s="119" t="s">
        <v>61</v>
      </c>
      <c r="E36" s="113">
        <v>6000</v>
      </c>
      <c r="F36" s="113">
        <v>10000</v>
      </c>
      <c r="G36" s="232">
        <v>3.192504</v>
      </c>
      <c r="H36" s="233">
        <v>31.29327</v>
      </c>
      <c r="I36" s="232">
        <v>7.3013729999999999</v>
      </c>
      <c r="J36" s="233">
        <v>-9.3193609999999996E-2</v>
      </c>
      <c r="K36" s="232">
        <v>1.4353830000000001</v>
      </c>
      <c r="L36" s="233">
        <v>-7.4299809999999997</v>
      </c>
      <c r="M36" s="232">
        <v>2.6981959999999998</v>
      </c>
      <c r="N36" s="233">
        <v>-0.43421900000000002</v>
      </c>
      <c r="O36" s="226">
        <v>1</v>
      </c>
      <c r="P36" s="31"/>
    </row>
    <row r="37" spans="3:16" x14ac:dyDescent="0.35">
      <c r="C37" s="94" t="s">
        <v>95</v>
      </c>
      <c r="D37" s="124" t="s">
        <v>61</v>
      </c>
      <c r="E37" s="94">
        <v>298.14999999999998</v>
      </c>
      <c r="F37" s="94">
        <v>1100</v>
      </c>
      <c r="G37" s="232">
        <v>5.2149859999999997</v>
      </c>
      <c r="H37" s="244">
        <v>41.701000000000001</v>
      </c>
      <c r="I37" s="232">
        <v>4.0561670000000003</v>
      </c>
      <c r="J37" s="244">
        <v>2.357301E-5</v>
      </c>
      <c r="K37" s="232">
        <v>0.12889</v>
      </c>
      <c r="L37" s="244">
        <v>11.272</v>
      </c>
      <c r="M37" s="232">
        <v>-9.1847989999999999</v>
      </c>
      <c r="N37" s="244">
        <v>0</v>
      </c>
      <c r="O37" s="223">
        <v>1</v>
      </c>
      <c r="P37" s="245"/>
    </row>
    <row r="38" spans="3:16" x14ac:dyDescent="0.35">
      <c r="C38" s="90" t="s">
        <v>95</v>
      </c>
      <c r="D38" s="124" t="s">
        <v>61</v>
      </c>
      <c r="E38" s="90">
        <v>1100</v>
      </c>
      <c r="F38" s="90">
        <v>2500</v>
      </c>
      <c r="G38" s="240">
        <v>5.2149859999999997</v>
      </c>
      <c r="H38" s="234">
        <v>43.677999999999997</v>
      </c>
      <c r="I38" s="240">
        <v>4.8509000000000002</v>
      </c>
      <c r="J38" s="234">
        <v>-3.7446989999999998E-4</v>
      </c>
      <c r="K38" s="240">
        <v>0.1716596</v>
      </c>
      <c r="L38" s="234">
        <v>5.0346000000000002</v>
      </c>
      <c r="M38" s="240">
        <v>-0.32273000000000002</v>
      </c>
      <c r="N38" s="234">
        <v>0</v>
      </c>
      <c r="O38" s="242">
        <v>1</v>
      </c>
      <c r="P38" s="246"/>
    </row>
    <row r="39" spans="3:16" x14ac:dyDescent="0.35">
      <c r="C39" s="94" t="s">
        <v>69</v>
      </c>
      <c r="D39" s="124" t="s">
        <v>58</v>
      </c>
      <c r="E39" s="94">
        <v>303</v>
      </c>
      <c r="F39" s="94">
        <v>699.99990000000003</v>
      </c>
      <c r="G39" s="232">
        <v>0</v>
      </c>
      <c r="H39" s="244">
        <v>14.61</v>
      </c>
      <c r="I39" s="232">
        <v>2.9321999999999999</v>
      </c>
      <c r="J39" s="244">
        <v>1.8641999999999999E-4</v>
      </c>
      <c r="K39" s="232">
        <v>9.2508020000000007E-3</v>
      </c>
      <c r="L39" s="244">
        <v>1.3771</v>
      </c>
      <c r="M39" s="232">
        <v>0</v>
      </c>
      <c r="N39" s="244">
        <v>0</v>
      </c>
      <c r="O39" s="223">
        <v>1</v>
      </c>
      <c r="P39" s="247"/>
    </row>
    <row r="40" spans="3:16" x14ac:dyDescent="0.35">
      <c r="C40" s="90" t="s">
        <v>94</v>
      </c>
      <c r="D40" s="124" t="s">
        <v>61</v>
      </c>
      <c r="E40" s="90">
        <v>298.14999999999998</v>
      </c>
      <c r="F40" s="90">
        <v>1500</v>
      </c>
      <c r="G40" s="240">
        <v>5.674709</v>
      </c>
      <c r="H40" s="234">
        <v>49.524940000000001</v>
      </c>
      <c r="I40" s="240">
        <v>7.0513279999999998</v>
      </c>
      <c r="J40" s="234">
        <v>-1.341195E-5</v>
      </c>
      <c r="K40" s="240">
        <v>5.245814E-2</v>
      </c>
      <c r="L40" s="234">
        <v>-24.580100000000002</v>
      </c>
      <c r="M40" s="240">
        <v>62.099780000000003</v>
      </c>
      <c r="N40" s="234">
        <v>-81.046109999999999</v>
      </c>
      <c r="O40" s="105" t="s">
        <v>140</v>
      </c>
      <c r="P40" s="248"/>
    </row>
    <row r="41" spans="3:16" x14ac:dyDescent="0.35">
      <c r="C41" s="90" t="s">
        <v>64</v>
      </c>
      <c r="D41" s="124" t="s">
        <v>58</v>
      </c>
      <c r="E41" s="90">
        <v>493.00009999999997</v>
      </c>
      <c r="F41" s="90">
        <v>957.00009999999997</v>
      </c>
      <c r="G41" s="240">
        <v>0</v>
      </c>
      <c r="H41" s="234">
        <v>16.690000000000001</v>
      </c>
      <c r="I41" s="240">
        <v>4.2279999999999998</v>
      </c>
      <c r="J41" s="234">
        <v>0</v>
      </c>
      <c r="K41" s="240">
        <v>7.2510000000000005E-2</v>
      </c>
      <c r="L41" s="234">
        <v>0</v>
      </c>
      <c r="M41" s="240">
        <v>0</v>
      </c>
      <c r="N41" s="234">
        <v>0</v>
      </c>
      <c r="O41" s="105" t="s">
        <v>140</v>
      </c>
      <c r="P41" s="249"/>
    </row>
    <row r="42" spans="3:16" x14ac:dyDescent="0.35">
      <c r="C42" s="90"/>
      <c r="D42" s="124"/>
      <c r="E42" s="90"/>
      <c r="F42" s="90"/>
      <c r="G42" s="234"/>
      <c r="H42" s="234"/>
      <c r="I42" s="234"/>
      <c r="J42" s="234"/>
      <c r="K42" s="234"/>
      <c r="L42" s="234"/>
      <c r="M42" s="234"/>
      <c r="N42" s="234"/>
      <c r="P42" s="128"/>
    </row>
    <row r="43" spans="3:16" x14ac:dyDescent="0.35">
      <c r="C43" s="90"/>
      <c r="D43" s="124"/>
      <c r="E43" s="90"/>
      <c r="F43" s="90"/>
      <c r="G43" s="234"/>
      <c r="H43" s="234"/>
      <c r="I43" s="234"/>
      <c r="J43" s="234"/>
      <c r="K43" s="234"/>
      <c r="L43" s="234"/>
      <c r="M43" s="234"/>
      <c r="N43" s="234"/>
      <c r="P43" s="128"/>
    </row>
    <row r="44" spans="3:16" x14ac:dyDescent="0.35">
      <c r="C44" s="90"/>
      <c r="D44" s="124"/>
      <c r="E44" s="90"/>
      <c r="F44" s="90"/>
      <c r="G44" s="234"/>
      <c r="H44" s="234"/>
      <c r="I44" s="234"/>
      <c r="J44" s="234"/>
      <c r="K44" s="234"/>
      <c r="L44" s="234"/>
      <c r="M44" s="234"/>
      <c r="N44" s="234"/>
      <c r="P44" s="128"/>
    </row>
    <row r="45" spans="3:16" x14ac:dyDescent="0.35">
      <c r="C45" s="90"/>
      <c r="D45" s="124"/>
      <c r="E45" s="90"/>
      <c r="F45" s="90"/>
      <c r="G45" s="234"/>
      <c r="H45" s="234"/>
      <c r="I45" s="234"/>
      <c r="J45" s="234"/>
      <c r="K45" s="234"/>
      <c r="L45" s="234"/>
      <c r="M45" s="234"/>
      <c r="N45" s="234"/>
      <c r="P45" s="128"/>
    </row>
    <row r="46" spans="3:16" x14ac:dyDescent="0.35">
      <c r="C46" s="90"/>
      <c r="D46" s="124"/>
      <c r="E46" s="90"/>
      <c r="F46" s="90"/>
      <c r="G46" s="234"/>
      <c r="H46" s="234"/>
      <c r="I46" s="234"/>
      <c r="J46" s="234"/>
      <c r="K46" s="234"/>
      <c r="L46" s="234"/>
      <c r="M46" s="234"/>
      <c r="N46" s="234"/>
      <c r="P46" s="128"/>
    </row>
    <row r="47" spans="3:16" x14ac:dyDescent="0.35">
      <c r="C47" s="90"/>
      <c r="D47" s="124"/>
      <c r="E47" s="90"/>
      <c r="F47" s="90"/>
      <c r="G47" s="234"/>
      <c r="H47" s="234"/>
      <c r="I47" s="234"/>
      <c r="J47" s="234"/>
      <c r="K47" s="234"/>
      <c r="L47" s="234"/>
      <c r="M47" s="234"/>
      <c r="N47" s="234"/>
      <c r="P47" s="128"/>
    </row>
    <row r="48" spans="3:16" x14ac:dyDescent="0.35">
      <c r="C48" s="90"/>
      <c r="D48" s="124"/>
      <c r="E48" s="90"/>
      <c r="F48" s="90"/>
      <c r="G48" s="234"/>
      <c r="H48" s="234"/>
      <c r="I48" s="234"/>
      <c r="J48" s="234"/>
      <c r="K48" s="234"/>
      <c r="L48" s="234"/>
      <c r="M48" s="234"/>
      <c r="N48" s="234"/>
      <c r="P48" s="128"/>
    </row>
    <row r="49" spans="3:16" x14ac:dyDescent="0.35">
      <c r="C49" s="90"/>
      <c r="D49" s="124"/>
      <c r="E49" s="90"/>
      <c r="F49" s="90"/>
      <c r="G49" s="234"/>
      <c r="H49" s="234"/>
      <c r="I49" s="234"/>
      <c r="J49" s="234"/>
      <c r="K49" s="234"/>
      <c r="L49" s="234"/>
      <c r="M49" s="234"/>
      <c r="N49" s="234"/>
      <c r="P49" s="128"/>
    </row>
    <row r="50" spans="3:16" x14ac:dyDescent="0.35">
      <c r="C50" s="90"/>
      <c r="D50" s="124"/>
      <c r="E50" s="90"/>
      <c r="F50" s="90"/>
      <c r="G50" s="234"/>
      <c r="H50" s="234"/>
      <c r="I50" s="234"/>
      <c r="J50" s="234"/>
      <c r="K50" s="234"/>
      <c r="L50" s="234"/>
      <c r="M50" s="234"/>
      <c r="N50" s="234"/>
      <c r="P50" s="128"/>
    </row>
    <row r="51" spans="3:16" x14ac:dyDescent="0.35">
      <c r="C51" s="90"/>
      <c r="D51" s="124"/>
      <c r="E51" s="90"/>
      <c r="F51" s="90"/>
      <c r="G51" s="234"/>
      <c r="H51" s="234"/>
      <c r="I51" s="234"/>
      <c r="J51" s="234"/>
      <c r="K51" s="234"/>
      <c r="L51" s="234"/>
      <c r="M51" s="234"/>
      <c r="N51" s="234"/>
      <c r="P51" s="128"/>
    </row>
    <row r="52" spans="3:16" x14ac:dyDescent="0.35">
      <c r="C52" s="90"/>
      <c r="D52" s="124"/>
      <c r="E52" s="90"/>
      <c r="F52" s="90"/>
      <c r="G52" s="234"/>
      <c r="H52" s="234"/>
      <c r="I52" s="234"/>
      <c r="J52" s="234"/>
      <c r="K52" s="234"/>
      <c r="L52" s="234"/>
      <c r="M52" s="234"/>
      <c r="N52" s="234"/>
      <c r="P52" s="128"/>
    </row>
    <row r="53" spans="3:16" x14ac:dyDescent="0.35">
      <c r="C53" s="90"/>
      <c r="D53" s="124"/>
      <c r="E53" s="90"/>
      <c r="F53" s="90"/>
      <c r="G53" s="234"/>
      <c r="H53" s="234"/>
      <c r="I53" s="234"/>
      <c r="J53" s="234"/>
      <c r="K53" s="234"/>
      <c r="L53" s="234"/>
      <c r="M53" s="234"/>
      <c r="N53" s="234"/>
      <c r="P53" s="128"/>
    </row>
    <row r="54" spans="3:16" x14ac:dyDescent="0.35">
      <c r="C54" s="90"/>
      <c r="D54" s="124"/>
      <c r="E54" s="90"/>
      <c r="F54" s="90"/>
      <c r="G54" s="234"/>
      <c r="H54" s="234"/>
      <c r="I54" s="234"/>
      <c r="J54" s="234"/>
      <c r="K54" s="234"/>
      <c r="L54" s="234"/>
      <c r="M54" s="234"/>
      <c r="N54" s="234"/>
      <c r="P54" s="128"/>
    </row>
    <row r="55" spans="3:16" x14ac:dyDescent="0.35">
      <c r="C55" s="90"/>
      <c r="D55" s="124"/>
      <c r="E55" s="90"/>
      <c r="F55" s="90"/>
      <c r="G55" s="234"/>
      <c r="H55" s="234"/>
      <c r="I55" s="234"/>
      <c r="J55" s="234"/>
      <c r="K55" s="234"/>
      <c r="L55" s="234"/>
      <c r="M55" s="234"/>
      <c r="N55" s="234"/>
      <c r="P55" s="128"/>
    </row>
    <row r="56" spans="3:16" x14ac:dyDescent="0.35">
      <c r="C56" s="90"/>
      <c r="D56" s="124"/>
      <c r="E56" s="90"/>
      <c r="F56" s="90"/>
      <c r="G56" s="234"/>
      <c r="H56" s="234"/>
      <c r="I56" s="234"/>
      <c r="J56" s="234"/>
      <c r="K56" s="234"/>
      <c r="L56" s="234"/>
      <c r="M56" s="234"/>
      <c r="N56" s="234"/>
      <c r="P56" s="128"/>
    </row>
    <row r="57" spans="3:16" x14ac:dyDescent="0.35">
      <c r="C57" s="90"/>
      <c r="D57" s="124"/>
      <c r="E57" s="90"/>
      <c r="F57" s="90"/>
      <c r="G57" s="234"/>
      <c r="H57" s="234"/>
      <c r="I57" s="234"/>
      <c r="J57" s="234"/>
      <c r="K57" s="234"/>
      <c r="L57" s="234"/>
      <c r="M57" s="234"/>
      <c r="N57" s="234"/>
      <c r="P57" s="128"/>
    </row>
    <row r="58" spans="3:16" x14ac:dyDescent="0.35">
      <c r="C58" s="90"/>
      <c r="D58" s="124"/>
      <c r="E58" s="90"/>
      <c r="F58" s="90"/>
      <c r="G58" s="234"/>
      <c r="H58" s="234"/>
      <c r="I58" s="234"/>
      <c r="J58" s="234"/>
      <c r="K58" s="234"/>
      <c r="L58" s="234"/>
      <c r="M58" s="234"/>
      <c r="N58" s="234"/>
      <c r="P58" s="128"/>
    </row>
    <row r="59" spans="3:16" x14ac:dyDescent="0.35">
      <c r="C59" s="90"/>
      <c r="D59" s="124"/>
      <c r="E59" s="90"/>
      <c r="F59" s="90"/>
      <c r="G59" s="234"/>
      <c r="H59" s="234"/>
      <c r="I59" s="234"/>
      <c r="J59" s="234"/>
      <c r="K59" s="234"/>
      <c r="L59" s="234"/>
      <c r="M59" s="234"/>
      <c r="N59" s="234"/>
      <c r="P59" s="128"/>
    </row>
    <row r="60" spans="3:16" x14ac:dyDescent="0.35">
      <c r="C60" s="90"/>
      <c r="D60" s="124"/>
      <c r="E60" s="90"/>
      <c r="F60" s="90"/>
      <c r="G60" s="234"/>
      <c r="H60" s="234"/>
      <c r="I60" s="234"/>
      <c r="J60" s="234"/>
      <c r="K60" s="234"/>
      <c r="L60" s="234"/>
      <c r="M60" s="234"/>
      <c r="N60" s="234"/>
      <c r="P60" s="128"/>
    </row>
    <row r="61" spans="3:16" x14ac:dyDescent="0.35">
      <c r="C61" s="90"/>
      <c r="D61" s="124"/>
      <c r="E61" s="90"/>
      <c r="F61" s="90"/>
      <c r="G61" s="234"/>
      <c r="H61" s="234"/>
      <c r="I61" s="234"/>
      <c r="J61" s="234"/>
      <c r="K61" s="234"/>
      <c r="L61" s="234"/>
      <c r="M61" s="234"/>
      <c r="N61" s="234"/>
      <c r="P61" s="128"/>
    </row>
    <row r="62" spans="3:16" x14ac:dyDescent="0.35">
      <c r="C62" s="90"/>
      <c r="D62" s="124"/>
      <c r="E62" s="90"/>
      <c r="F62" s="90"/>
      <c r="G62" s="234"/>
      <c r="H62" s="234"/>
      <c r="I62" s="234"/>
      <c r="J62" s="234"/>
      <c r="K62" s="234"/>
      <c r="L62" s="234"/>
      <c r="M62" s="234"/>
      <c r="N62" s="234"/>
      <c r="P62" s="128"/>
    </row>
    <row r="63" spans="3:16" x14ac:dyDescent="0.35">
      <c r="C63" s="90"/>
      <c r="D63" s="124"/>
      <c r="E63" s="90"/>
      <c r="F63" s="90"/>
      <c r="G63" s="234"/>
      <c r="H63" s="234"/>
      <c r="I63" s="234"/>
      <c r="J63" s="234"/>
      <c r="K63" s="234"/>
      <c r="L63" s="234"/>
      <c r="M63" s="234"/>
      <c r="N63" s="234"/>
      <c r="P63" s="128"/>
    </row>
    <row r="64" spans="3:16" x14ac:dyDescent="0.35">
      <c r="C64" s="90"/>
      <c r="D64" s="124"/>
      <c r="E64" s="90"/>
      <c r="F64" s="90"/>
      <c r="G64" s="234"/>
      <c r="H64" s="234"/>
      <c r="I64" s="234"/>
      <c r="J64" s="234"/>
      <c r="K64" s="234"/>
      <c r="L64" s="234"/>
      <c r="M64" s="234"/>
      <c r="N64" s="234"/>
      <c r="P64" s="128"/>
    </row>
    <row r="65" spans="3:16" x14ac:dyDescent="0.35">
      <c r="C65" s="90"/>
      <c r="D65" s="124"/>
      <c r="E65" s="90"/>
      <c r="F65" s="90"/>
      <c r="G65" s="234"/>
      <c r="H65" s="234"/>
      <c r="I65" s="234"/>
      <c r="J65" s="234"/>
      <c r="K65" s="234"/>
      <c r="L65" s="234"/>
      <c r="M65" s="234"/>
      <c r="N65" s="234"/>
      <c r="P65" s="128"/>
    </row>
    <row r="66" spans="3:16" x14ac:dyDescent="0.35">
      <c r="C66" s="90"/>
      <c r="D66" s="124"/>
      <c r="E66" s="90"/>
      <c r="F66" s="90"/>
      <c r="G66" s="234"/>
      <c r="H66" s="234"/>
      <c r="I66" s="234"/>
      <c r="J66" s="234"/>
      <c r="K66" s="234"/>
      <c r="L66" s="234"/>
      <c r="M66" s="234"/>
      <c r="N66" s="234"/>
      <c r="P66" s="128"/>
    </row>
    <row r="67" spans="3:16" x14ac:dyDescent="0.35">
      <c r="C67" s="90"/>
      <c r="D67" s="124"/>
      <c r="E67" s="90"/>
      <c r="F67" s="90"/>
      <c r="G67" s="234"/>
      <c r="H67" s="234"/>
      <c r="I67" s="234"/>
      <c r="J67" s="234"/>
      <c r="K67" s="234"/>
      <c r="L67" s="234"/>
      <c r="M67" s="234"/>
      <c r="N67" s="234"/>
      <c r="P67" s="128"/>
    </row>
    <row r="68" spans="3:16" x14ac:dyDescent="0.35">
      <c r="C68" s="90"/>
      <c r="D68" s="124"/>
      <c r="E68" s="90"/>
      <c r="F68" s="90"/>
      <c r="G68" s="234"/>
      <c r="H68" s="234"/>
      <c r="I68" s="234"/>
      <c r="J68" s="234"/>
      <c r="K68" s="234"/>
      <c r="L68" s="234"/>
      <c r="M68" s="234"/>
      <c r="N68" s="234"/>
      <c r="P68" s="128"/>
    </row>
    <row r="69" spans="3:16" x14ac:dyDescent="0.35">
      <c r="C69" s="90"/>
      <c r="D69" s="124"/>
      <c r="E69" s="90"/>
      <c r="F69" s="90"/>
      <c r="G69" s="234"/>
      <c r="H69" s="234"/>
      <c r="I69" s="234"/>
      <c r="J69" s="234"/>
      <c r="K69" s="234"/>
      <c r="L69" s="234"/>
      <c r="M69" s="234"/>
      <c r="N69" s="234"/>
      <c r="P69" s="128"/>
    </row>
    <row r="70" spans="3:16" x14ac:dyDescent="0.35">
      <c r="C70" s="90"/>
      <c r="D70" s="124"/>
      <c r="E70" s="90"/>
      <c r="F70" s="90"/>
      <c r="G70" s="234"/>
      <c r="H70" s="234"/>
      <c r="I70" s="234"/>
      <c r="J70" s="234"/>
      <c r="K70" s="234"/>
      <c r="L70" s="234"/>
      <c r="M70" s="234"/>
      <c r="N70" s="234"/>
    </row>
    <row r="71" spans="3:16" x14ac:dyDescent="0.35">
      <c r="C71" s="90"/>
      <c r="D71" s="124"/>
      <c r="E71" s="90"/>
      <c r="F71" s="90"/>
      <c r="G71" s="234"/>
      <c r="H71" s="234"/>
      <c r="I71" s="234"/>
      <c r="J71" s="234"/>
      <c r="K71" s="234"/>
      <c r="L71" s="234"/>
      <c r="M71" s="234"/>
      <c r="N71" s="234"/>
    </row>
    <row r="72" spans="3:16" x14ac:dyDescent="0.35">
      <c r="C72" s="90"/>
      <c r="D72" s="124"/>
      <c r="E72" s="90"/>
      <c r="F72" s="90"/>
      <c r="G72" s="234"/>
      <c r="H72" s="234"/>
      <c r="I72" s="234"/>
      <c r="J72" s="234"/>
      <c r="K72" s="234"/>
      <c r="L72" s="234"/>
      <c r="M72" s="234"/>
      <c r="N72" s="234"/>
    </row>
    <row r="73" spans="3:16" x14ac:dyDescent="0.35">
      <c r="C73" s="90"/>
      <c r="D73" s="124"/>
      <c r="E73" s="90"/>
      <c r="F73" s="90"/>
      <c r="G73" s="234"/>
      <c r="H73" s="234"/>
      <c r="I73" s="234"/>
      <c r="J73" s="234"/>
      <c r="K73" s="234"/>
      <c r="L73" s="234"/>
      <c r="M73" s="234"/>
      <c r="N73" s="234"/>
    </row>
    <row r="74" spans="3:16" x14ac:dyDescent="0.35">
      <c r="C74" s="90"/>
      <c r="D74" s="124"/>
      <c r="E74" s="90"/>
      <c r="F74" s="90"/>
      <c r="G74" s="234"/>
      <c r="H74" s="234"/>
      <c r="I74" s="234"/>
      <c r="J74" s="234"/>
      <c r="K74" s="234"/>
      <c r="L74" s="234"/>
      <c r="M74" s="234"/>
      <c r="N74" s="234"/>
    </row>
    <row r="75" spans="3:16" x14ac:dyDescent="0.35">
      <c r="C75" s="90"/>
      <c r="D75" s="124"/>
      <c r="E75" s="90"/>
      <c r="F75" s="90"/>
      <c r="G75" s="234"/>
      <c r="H75" s="234"/>
      <c r="I75" s="234"/>
      <c r="J75" s="234"/>
      <c r="K75" s="234"/>
      <c r="L75" s="234"/>
      <c r="M75" s="234"/>
      <c r="N75" s="234"/>
    </row>
    <row r="76" spans="3:16" x14ac:dyDescent="0.35">
      <c r="C76" s="90"/>
      <c r="D76" s="124"/>
      <c r="E76" s="90"/>
      <c r="F76" s="90"/>
      <c r="G76" s="234"/>
      <c r="H76" s="234"/>
      <c r="I76" s="234"/>
      <c r="J76" s="234"/>
      <c r="K76" s="234"/>
      <c r="L76" s="234"/>
      <c r="M76" s="234"/>
      <c r="N76" s="234"/>
    </row>
    <row r="77" spans="3:16" x14ac:dyDescent="0.35">
      <c r="C77" s="90"/>
      <c r="D77" s="124"/>
      <c r="E77" s="90"/>
      <c r="F77" s="90"/>
      <c r="G77" s="234"/>
      <c r="H77" s="234"/>
      <c r="I77" s="234"/>
      <c r="J77" s="234"/>
      <c r="K77" s="234"/>
      <c r="L77" s="234"/>
      <c r="M77" s="234"/>
      <c r="N77" s="234"/>
    </row>
    <row r="78" spans="3:16" x14ac:dyDescent="0.35">
      <c r="C78" s="90"/>
      <c r="D78" s="124"/>
      <c r="E78" s="90"/>
      <c r="F78" s="90"/>
      <c r="G78" s="234"/>
      <c r="H78" s="234"/>
      <c r="I78" s="234"/>
      <c r="J78" s="234"/>
      <c r="K78" s="234"/>
      <c r="L78" s="234"/>
      <c r="M78" s="234"/>
      <c r="N78" s="234"/>
    </row>
    <row r="79" spans="3:16" x14ac:dyDescent="0.35">
      <c r="C79" s="90"/>
      <c r="D79" s="124"/>
      <c r="E79" s="90"/>
      <c r="F79" s="90"/>
      <c r="G79" s="234"/>
      <c r="H79" s="234"/>
      <c r="I79" s="234"/>
      <c r="J79" s="234"/>
      <c r="K79" s="234"/>
      <c r="L79" s="234"/>
      <c r="M79" s="234"/>
      <c r="N79" s="234"/>
    </row>
    <row r="80" spans="3:16" x14ac:dyDescent="0.35">
      <c r="C80" s="90"/>
      <c r="D80" s="124"/>
      <c r="E80" s="90"/>
      <c r="F80" s="90"/>
      <c r="G80" s="234"/>
      <c r="H80" s="234"/>
      <c r="I80" s="234"/>
      <c r="J80" s="234"/>
      <c r="K80" s="234"/>
      <c r="L80" s="234"/>
      <c r="M80" s="234"/>
      <c r="N80" s="234"/>
    </row>
    <row r="81" spans="1:26" x14ac:dyDescent="0.35">
      <c r="C81" s="90"/>
      <c r="D81" s="124"/>
      <c r="E81" s="90"/>
      <c r="F81" s="90"/>
      <c r="G81" s="234"/>
      <c r="H81" s="234"/>
      <c r="I81" s="234"/>
      <c r="J81" s="234"/>
      <c r="K81" s="234"/>
      <c r="L81" s="234"/>
      <c r="M81" s="234"/>
      <c r="N81" s="234"/>
    </row>
    <row r="82" spans="1:26" x14ac:dyDescent="0.35">
      <c r="C82" s="90"/>
      <c r="D82" s="124"/>
      <c r="E82" s="90"/>
      <c r="F82" s="90"/>
      <c r="G82" s="234"/>
      <c r="H82" s="234"/>
      <c r="I82" s="234"/>
      <c r="J82" s="234"/>
      <c r="K82" s="234"/>
      <c r="L82" s="234"/>
      <c r="M82" s="234"/>
      <c r="N82" s="234"/>
    </row>
    <row r="83" spans="1:26" x14ac:dyDescent="0.35">
      <c r="C83" s="90"/>
      <c r="D83" s="124"/>
      <c r="E83" s="90"/>
      <c r="F83" s="90"/>
      <c r="G83" s="234"/>
      <c r="H83" s="234"/>
      <c r="I83" s="234"/>
      <c r="J83" s="234"/>
      <c r="K83" s="234"/>
      <c r="L83" s="234"/>
      <c r="M83" s="234"/>
      <c r="N83" s="234"/>
    </row>
    <row r="84" spans="1:26" s="105" customFormat="1" x14ac:dyDescent="0.35">
      <c r="A84" s="102"/>
      <c r="B84" s="102"/>
      <c r="C84" s="90"/>
      <c r="D84" s="124"/>
      <c r="E84" s="90"/>
      <c r="F84" s="90"/>
      <c r="G84" s="234"/>
      <c r="H84" s="234"/>
      <c r="I84" s="234"/>
      <c r="J84" s="234"/>
      <c r="K84" s="234"/>
      <c r="L84" s="234"/>
      <c r="M84" s="234"/>
      <c r="N84" s="23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</row>
    <row r="85" spans="1:26" s="105" customFormat="1" x14ac:dyDescent="0.35">
      <c r="A85" s="102"/>
      <c r="B85" s="102"/>
      <c r="C85" s="90"/>
      <c r="D85" s="124"/>
      <c r="E85" s="90"/>
      <c r="F85" s="90"/>
      <c r="G85" s="234"/>
      <c r="H85" s="234"/>
      <c r="I85" s="234"/>
      <c r="J85" s="234"/>
      <c r="K85" s="234"/>
      <c r="L85" s="234"/>
      <c r="M85" s="234"/>
      <c r="N85" s="23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</row>
    <row r="86" spans="1:26" s="105" customFormat="1" x14ac:dyDescent="0.35">
      <c r="A86" s="102"/>
      <c r="B86" s="102"/>
      <c r="C86" s="90"/>
      <c r="D86" s="124"/>
      <c r="E86" s="90"/>
      <c r="F86" s="90"/>
      <c r="G86" s="234"/>
      <c r="H86" s="234"/>
      <c r="I86" s="234"/>
      <c r="J86" s="234"/>
      <c r="K86" s="234"/>
      <c r="L86" s="234"/>
      <c r="M86" s="234"/>
      <c r="N86" s="23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</row>
    <row r="87" spans="1:26" s="105" customFormat="1" x14ac:dyDescent="0.35">
      <c r="A87" s="102"/>
      <c r="B87" s="102"/>
      <c r="C87" s="90"/>
      <c r="D87" s="124"/>
      <c r="E87" s="90"/>
      <c r="F87" s="90"/>
      <c r="G87" s="234"/>
      <c r="H87" s="234"/>
      <c r="I87" s="234"/>
      <c r="J87" s="234"/>
      <c r="K87" s="234"/>
      <c r="L87" s="234"/>
      <c r="M87" s="234"/>
      <c r="N87" s="23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</row>
    <row r="88" spans="1:26" s="105" customFormat="1" x14ac:dyDescent="0.35">
      <c r="A88" s="102"/>
      <c r="B88" s="102"/>
      <c r="C88" s="90"/>
      <c r="D88" s="124"/>
      <c r="E88" s="90"/>
      <c r="F88" s="90"/>
      <c r="G88" s="234"/>
      <c r="H88" s="234"/>
      <c r="I88" s="234"/>
      <c r="J88" s="234"/>
      <c r="K88" s="234"/>
      <c r="L88" s="234"/>
      <c r="M88" s="234"/>
      <c r="N88" s="23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</row>
    <row r="89" spans="1:26" s="105" customFormat="1" x14ac:dyDescent="0.35">
      <c r="A89" s="102"/>
      <c r="B89" s="102"/>
      <c r="C89" s="90"/>
      <c r="D89" s="124"/>
      <c r="E89" s="90"/>
      <c r="F89" s="90"/>
      <c r="G89" s="234"/>
      <c r="H89" s="234"/>
      <c r="I89" s="234"/>
      <c r="J89" s="234"/>
      <c r="K89" s="234"/>
      <c r="L89" s="234"/>
      <c r="M89" s="234"/>
      <c r="N89" s="23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</row>
    <row r="90" spans="1:26" s="105" customFormat="1" x14ac:dyDescent="0.35">
      <c r="A90" s="102"/>
      <c r="B90" s="102"/>
      <c r="C90" s="90"/>
      <c r="D90" s="124"/>
      <c r="E90" s="90"/>
      <c r="F90" s="90"/>
      <c r="G90" s="234"/>
      <c r="H90" s="234"/>
      <c r="I90" s="234"/>
      <c r="J90" s="234"/>
      <c r="K90" s="234"/>
      <c r="L90" s="234"/>
      <c r="M90" s="234"/>
      <c r="N90" s="234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</row>
    <row r="91" spans="1:26" s="105" customFormat="1" x14ac:dyDescent="0.35">
      <c r="A91" s="102"/>
      <c r="B91" s="102"/>
      <c r="C91" s="90"/>
      <c r="D91" s="124"/>
      <c r="E91" s="90"/>
      <c r="F91" s="90"/>
      <c r="G91" s="234"/>
      <c r="H91" s="234"/>
      <c r="I91" s="234"/>
      <c r="J91" s="234"/>
      <c r="K91" s="234"/>
      <c r="L91" s="234"/>
      <c r="M91" s="234"/>
      <c r="N91" s="234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</row>
    <row r="92" spans="1:26" s="105" customFormat="1" x14ac:dyDescent="0.35">
      <c r="A92" s="102"/>
      <c r="B92" s="102"/>
      <c r="C92" s="90"/>
      <c r="D92" s="124"/>
      <c r="E92" s="90"/>
      <c r="F92" s="90"/>
      <c r="G92" s="234"/>
      <c r="H92" s="234"/>
      <c r="I92" s="234"/>
      <c r="J92" s="234"/>
      <c r="K92" s="234"/>
      <c r="L92" s="234"/>
      <c r="M92" s="234"/>
      <c r="N92" s="234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</row>
    <row r="93" spans="1:26" s="105" customFormat="1" x14ac:dyDescent="0.35">
      <c r="A93" s="102"/>
      <c r="B93" s="102"/>
      <c r="C93" s="90"/>
      <c r="D93" s="124"/>
      <c r="E93" s="90"/>
      <c r="F93" s="90"/>
      <c r="G93" s="234"/>
      <c r="H93" s="234"/>
      <c r="I93" s="234"/>
      <c r="J93" s="234"/>
      <c r="K93" s="234"/>
      <c r="L93" s="234"/>
      <c r="M93" s="234"/>
      <c r="N93" s="234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</row>
    <row r="94" spans="1:26" s="105" customFormat="1" x14ac:dyDescent="0.35">
      <c r="A94" s="102"/>
      <c r="B94" s="102"/>
      <c r="C94" s="90"/>
      <c r="D94" s="124"/>
      <c r="E94" s="90"/>
      <c r="F94" s="90"/>
      <c r="G94" s="234"/>
      <c r="H94" s="234"/>
      <c r="I94" s="234"/>
      <c r="J94" s="234"/>
      <c r="K94" s="234"/>
      <c r="L94" s="234"/>
      <c r="M94" s="234"/>
      <c r="N94" s="234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</row>
    <row r="95" spans="1:26" s="105" customFormat="1" x14ac:dyDescent="0.35">
      <c r="A95" s="102"/>
      <c r="B95" s="102"/>
      <c r="C95" s="90"/>
      <c r="D95" s="124"/>
      <c r="E95" s="90"/>
      <c r="F95" s="90"/>
      <c r="G95" s="234"/>
      <c r="H95" s="234"/>
      <c r="I95" s="234"/>
      <c r="J95" s="234"/>
      <c r="K95" s="234"/>
      <c r="L95" s="234"/>
      <c r="M95" s="234"/>
      <c r="N95" s="234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</row>
    <row r="96" spans="1:26" s="105" customFormat="1" x14ac:dyDescent="0.35">
      <c r="A96" s="102"/>
      <c r="B96" s="102"/>
      <c r="C96" s="90"/>
      <c r="D96" s="124"/>
      <c r="E96" s="90"/>
      <c r="F96" s="90"/>
      <c r="G96" s="234"/>
      <c r="H96" s="234"/>
      <c r="I96" s="234"/>
      <c r="J96" s="234"/>
      <c r="K96" s="234"/>
      <c r="L96" s="234"/>
      <c r="M96" s="234"/>
      <c r="N96" s="234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</row>
    <row r="97" spans="1:26" s="105" customFormat="1" x14ac:dyDescent="0.35">
      <c r="A97" s="102"/>
      <c r="B97" s="102"/>
      <c r="C97" s="90"/>
      <c r="D97" s="124"/>
      <c r="E97" s="90"/>
      <c r="F97" s="90"/>
      <c r="G97" s="234"/>
      <c r="H97" s="234"/>
      <c r="I97" s="234"/>
      <c r="J97" s="234"/>
      <c r="K97" s="234"/>
      <c r="L97" s="234"/>
      <c r="M97" s="234"/>
      <c r="N97" s="234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</row>
    <row r="98" spans="1:26" s="105" customFormat="1" x14ac:dyDescent="0.35">
      <c r="A98" s="102"/>
      <c r="B98" s="102"/>
      <c r="C98" s="90"/>
      <c r="D98" s="124"/>
      <c r="E98" s="90"/>
      <c r="F98" s="90"/>
      <c r="G98" s="234"/>
      <c r="H98" s="234"/>
      <c r="I98" s="234"/>
      <c r="J98" s="234"/>
      <c r="K98" s="234"/>
      <c r="L98" s="234"/>
      <c r="M98" s="234"/>
      <c r="N98" s="234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</row>
    <row r="99" spans="1:26" s="105" customFormat="1" x14ac:dyDescent="0.35">
      <c r="A99" s="102"/>
      <c r="B99" s="102"/>
      <c r="C99" s="90"/>
      <c r="D99" s="124"/>
      <c r="E99" s="90"/>
      <c r="F99" s="90"/>
      <c r="G99" s="234"/>
      <c r="H99" s="234"/>
      <c r="I99" s="234"/>
      <c r="J99" s="234"/>
      <c r="K99" s="234"/>
      <c r="L99" s="234"/>
      <c r="M99" s="234"/>
      <c r="N99" s="234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</row>
    <row r="100" spans="1:26" s="105" customFormat="1" x14ac:dyDescent="0.35">
      <c r="A100" s="102"/>
      <c r="B100" s="102"/>
      <c r="C100" s="90"/>
      <c r="D100" s="124"/>
      <c r="E100" s="90"/>
      <c r="F100" s="90"/>
      <c r="G100" s="234"/>
      <c r="H100" s="234"/>
      <c r="I100" s="234"/>
      <c r="J100" s="234"/>
      <c r="K100" s="234"/>
      <c r="L100" s="234"/>
      <c r="M100" s="234"/>
      <c r="N100" s="234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</row>
    <row r="101" spans="1:26" s="105" customFormat="1" x14ac:dyDescent="0.35">
      <c r="A101" s="102"/>
      <c r="B101" s="102"/>
      <c r="C101" s="90"/>
      <c r="D101" s="124"/>
      <c r="E101" s="90"/>
      <c r="F101" s="90"/>
      <c r="G101" s="234"/>
      <c r="H101" s="234"/>
      <c r="I101" s="234"/>
      <c r="J101" s="234"/>
      <c r="K101" s="234"/>
      <c r="L101" s="234"/>
      <c r="M101" s="234"/>
      <c r="N101" s="234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</row>
    <row r="102" spans="1:26" s="105" customFormat="1" x14ac:dyDescent="0.35">
      <c r="A102" s="102"/>
      <c r="B102" s="102"/>
      <c r="C102" s="90"/>
      <c r="D102" s="124"/>
      <c r="E102" s="90"/>
      <c r="F102" s="90"/>
      <c r="G102" s="234"/>
      <c r="H102" s="234"/>
      <c r="I102" s="234"/>
      <c r="J102" s="234"/>
      <c r="K102" s="234"/>
      <c r="L102" s="234"/>
      <c r="M102" s="234"/>
      <c r="N102" s="234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</row>
    <row r="103" spans="1:26" s="105" customFormat="1" x14ac:dyDescent="0.35">
      <c r="A103" s="102"/>
      <c r="B103" s="102"/>
      <c r="C103" s="90"/>
      <c r="D103" s="124"/>
      <c r="E103" s="90"/>
      <c r="F103" s="90"/>
      <c r="G103" s="234"/>
      <c r="H103" s="234"/>
      <c r="I103" s="234"/>
      <c r="J103" s="234"/>
      <c r="K103" s="234"/>
      <c r="L103" s="234"/>
      <c r="M103" s="234"/>
      <c r="N103" s="234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</row>
    <row r="104" spans="1:26" s="105" customFormat="1" x14ac:dyDescent="0.35">
      <c r="A104" s="102"/>
      <c r="B104" s="102"/>
      <c r="C104" s="90"/>
      <c r="D104" s="124"/>
      <c r="E104" s="90"/>
      <c r="F104" s="90"/>
      <c r="G104" s="234"/>
      <c r="H104" s="234"/>
      <c r="I104" s="234"/>
      <c r="J104" s="234"/>
      <c r="K104" s="234"/>
      <c r="L104" s="234"/>
      <c r="M104" s="234"/>
      <c r="N104" s="234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</row>
    <row r="105" spans="1:26" s="105" customFormat="1" x14ac:dyDescent="0.35">
      <c r="A105" s="102"/>
      <c r="B105" s="102"/>
      <c r="C105" s="90"/>
      <c r="D105" s="124"/>
      <c r="E105" s="90"/>
      <c r="F105" s="90"/>
      <c r="G105" s="234"/>
      <c r="H105" s="234"/>
      <c r="I105" s="234"/>
      <c r="J105" s="234"/>
      <c r="K105" s="234"/>
      <c r="L105" s="234"/>
      <c r="M105" s="234"/>
      <c r="N105" s="234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</row>
    <row r="106" spans="1:26" s="105" customFormat="1" x14ac:dyDescent="0.35">
      <c r="A106" s="102"/>
      <c r="B106" s="102"/>
      <c r="C106" s="90"/>
      <c r="D106" s="124"/>
      <c r="E106" s="90"/>
      <c r="F106" s="90"/>
      <c r="G106" s="234"/>
      <c r="H106" s="234"/>
      <c r="I106" s="234"/>
      <c r="J106" s="234"/>
      <c r="K106" s="234"/>
      <c r="L106" s="234"/>
      <c r="M106" s="234"/>
      <c r="N106" s="234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</row>
    <row r="107" spans="1:26" s="105" customFormat="1" x14ac:dyDescent="0.35">
      <c r="A107" s="102"/>
      <c r="B107" s="102"/>
      <c r="C107" s="90"/>
      <c r="D107" s="124"/>
      <c r="E107" s="90"/>
      <c r="F107" s="90"/>
      <c r="G107" s="234"/>
      <c r="H107" s="234"/>
      <c r="I107" s="234"/>
      <c r="J107" s="234"/>
      <c r="K107" s="234"/>
      <c r="L107" s="234"/>
      <c r="M107" s="234"/>
      <c r="N107" s="234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</row>
    <row r="108" spans="1:26" s="105" customFormat="1" x14ac:dyDescent="0.35">
      <c r="A108" s="102"/>
      <c r="B108" s="102"/>
      <c r="C108" s="90"/>
      <c r="D108" s="124"/>
      <c r="E108" s="90"/>
      <c r="F108" s="90"/>
      <c r="G108" s="234"/>
      <c r="H108" s="234"/>
      <c r="I108" s="234"/>
      <c r="J108" s="234"/>
      <c r="K108" s="234"/>
      <c r="L108" s="234"/>
      <c r="M108" s="234"/>
      <c r="N108" s="234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</row>
    <row r="109" spans="1:26" s="105" customFormat="1" x14ac:dyDescent="0.35">
      <c r="A109" s="102"/>
      <c r="B109" s="102"/>
      <c r="C109" s="90"/>
      <c r="D109" s="124"/>
      <c r="E109" s="90"/>
      <c r="F109" s="90"/>
      <c r="G109" s="234"/>
      <c r="H109" s="234"/>
      <c r="I109" s="234"/>
      <c r="J109" s="234"/>
      <c r="K109" s="234"/>
      <c r="L109" s="234"/>
      <c r="M109" s="234"/>
      <c r="N109" s="234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</row>
    <row r="110" spans="1:26" s="105" customFormat="1" x14ac:dyDescent="0.35">
      <c r="A110" s="102"/>
      <c r="B110" s="102"/>
      <c r="C110" s="90"/>
      <c r="D110" s="124"/>
      <c r="E110" s="90"/>
      <c r="F110" s="90"/>
      <c r="G110" s="234"/>
      <c r="H110" s="234"/>
      <c r="I110" s="234"/>
      <c r="J110" s="234"/>
      <c r="K110" s="234"/>
      <c r="L110" s="234"/>
      <c r="M110" s="234"/>
      <c r="N110" s="234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</row>
    <row r="111" spans="1:26" s="105" customFormat="1" x14ac:dyDescent="0.35">
      <c r="A111" s="102"/>
      <c r="B111" s="102"/>
      <c r="C111" s="90"/>
      <c r="D111" s="124"/>
      <c r="E111" s="90"/>
      <c r="F111" s="90"/>
      <c r="G111" s="234"/>
      <c r="H111" s="234"/>
      <c r="I111" s="234"/>
      <c r="J111" s="234"/>
      <c r="K111" s="234"/>
      <c r="L111" s="234"/>
      <c r="M111" s="234"/>
      <c r="N111" s="234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</row>
    <row r="112" spans="1:26" s="105" customFormat="1" x14ac:dyDescent="0.35">
      <c r="A112" s="102"/>
      <c r="B112" s="102"/>
      <c r="C112" s="90"/>
      <c r="D112" s="124"/>
      <c r="E112" s="90"/>
      <c r="F112" s="90"/>
      <c r="G112" s="234"/>
      <c r="H112" s="234"/>
      <c r="I112" s="234"/>
      <c r="J112" s="234"/>
      <c r="K112" s="234"/>
      <c r="L112" s="234"/>
      <c r="M112" s="234"/>
      <c r="N112" s="234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</row>
    <row r="113" spans="1:26" s="105" customFormat="1" x14ac:dyDescent="0.35">
      <c r="A113" s="102"/>
      <c r="B113" s="102"/>
      <c r="C113" s="90"/>
      <c r="D113" s="124"/>
      <c r="E113" s="90"/>
      <c r="F113" s="90"/>
      <c r="G113" s="234"/>
      <c r="H113" s="234"/>
      <c r="I113" s="234"/>
      <c r="J113" s="234"/>
      <c r="K113" s="234"/>
      <c r="L113" s="234"/>
      <c r="M113" s="234"/>
      <c r="N113" s="234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</row>
    <row r="114" spans="1:26" s="105" customFormat="1" x14ac:dyDescent="0.35">
      <c r="A114" s="102"/>
      <c r="B114" s="102"/>
      <c r="C114" s="90"/>
      <c r="D114" s="124"/>
      <c r="E114" s="90"/>
      <c r="F114" s="90"/>
      <c r="G114" s="234"/>
      <c r="H114" s="234"/>
      <c r="I114" s="234"/>
      <c r="J114" s="234"/>
      <c r="K114" s="234"/>
      <c r="L114" s="234"/>
      <c r="M114" s="234"/>
      <c r="N114" s="234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</row>
    <row r="115" spans="1:26" s="105" customFormat="1" x14ac:dyDescent="0.35">
      <c r="A115" s="102"/>
      <c r="B115" s="102"/>
      <c r="C115" s="90"/>
      <c r="D115" s="124"/>
      <c r="E115" s="90"/>
      <c r="F115" s="90"/>
      <c r="G115" s="234"/>
      <c r="H115" s="234"/>
      <c r="I115" s="234"/>
      <c r="J115" s="234"/>
      <c r="K115" s="234"/>
      <c r="L115" s="234"/>
      <c r="M115" s="234"/>
      <c r="N115" s="234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</row>
    <row r="116" spans="1:26" s="105" customFormat="1" x14ac:dyDescent="0.35">
      <c r="A116" s="102"/>
      <c r="B116" s="102"/>
      <c r="C116" s="90"/>
      <c r="D116" s="124"/>
      <c r="E116" s="90"/>
      <c r="F116" s="90"/>
      <c r="G116" s="234"/>
      <c r="H116" s="234"/>
      <c r="I116" s="234"/>
      <c r="J116" s="234"/>
      <c r="K116" s="234"/>
      <c r="L116" s="234"/>
      <c r="M116" s="234"/>
      <c r="N116" s="234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</row>
    <row r="117" spans="1:26" s="105" customFormat="1" x14ac:dyDescent="0.35">
      <c r="A117" s="102"/>
      <c r="B117" s="102"/>
      <c r="C117" s="90"/>
      <c r="D117" s="124"/>
      <c r="E117" s="90"/>
      <c r="F117" s="90"/>
      <c r="G117" s="234"/>
      <c r="H117" s="234"/>
      <c r="I117" s="234"/>
      <c r="J117" s="234"/>
      <c r="K117" s="234"/>
      <c r="L117" s="234"/>
      <c r="M117" s="234"/>
      <c r="N117" s="234"/>
      <c r="P117" s="75"/>
      <c r="Q117" s="75"/>
      <c r="R117" s="75"/>
      <c r="S117" s="75"/>
      <c r="T117" s="75"/>
      <c r="U117" s="75"/>
      <c r="V117" s="75"/>
      <c r="W117" s="75"/>
      <c r="X117" s="75"/>
      <c r="Y117" s="75"/>
      <c r="Z117" s="75"/>
    </row>
    <row r="118" spans="1:26" s="105" customFormat="1" x14ac:dyDescent="0.35">
      <c r="A118" s="102"/>
      <c r="B118" s="102"/>
      <c r="C118" s="90"/>
      <c r="D118" s="124"/>
      <c r="E118" s="90"/>
      <c r="F118" s="90"/>
      <c r="G118" s="234"/>
      <c r="H118" s="234"/>
      <c r="I118" s="234"/>
      <c r="J118" s="234"/>
      <c r="K118" s="234"/>
      <c r="L118" s="234"/>
      <c r="M118" s="234"/>
      <c r="N118" s="234"/>
      <c r="P118" s="75"/>
      <c r="Q118" s="75"/>
      <c r="R118" s="75"/>
      <c r="S118" s="75"/>
      <c r="T118" s="75"/>
      <c r="U118" s="75"/>
      <c r="V118" s="75"/>
      <c r="W118" s="75"/>
      <c r="X118" s="75"/>
      <c r="Y118" s="75"/>
      <c r="Z118" s="75"/>
    </row>
    <row r="119" spans="1:26" s="105" customFormat="1" x14ac:dyDescent="0.35">
      <c r="A119" s="102"/>
      <c r="B119" s="102"/>
      <c r="C119" s="90"/>
      <c r="D119" s="124"/>
      <c r="E119" s="90"/>
      <c r="F119" s="90"/>
      <c r="G119" s="234"/>
      <c r="H119" s="234"/>
      <c r="I119" s="234"/>
      <c r="J119" s="234"/>
      <c r="K119" s="234"/>
      <c r="L119" s="234"/>
      <c r="M119" s="234"/>
      <c r="N119" s="234"/>
      <c r="P119" s="75"/>
      <c r="Q119" s="75"/>
      <c r="R119" s="75"/>
      <c r="S119" s="75"/>
      <c r="T119" s="75"/>
      <c r="U119" s="75"/>
      <c r="V119" s="75"/>
      <c r="W119" s="75"/>
      <c r="X119" s="75"/>
      <c r="Y119" s="75"/>
      <c r="Z119" s="75"/>
    </row>
    <row r="120" spans="1:26" s="105" customFormat="1" x14ac:dyDescent="0.35">
      <c r="A120" s="102"/>
      <c r="B120" s="102"/>
      <c r="C120" s="90"/>
      <c r="D120" s="124"/>
      <c r="E120" s="90"/>
      <c r="F120" s="90"/>
      <c r="G120" s="234"/>
      <c r="H120" s="234"/>
      <c r="I120" s="234"/>
      <c r="J120" s="234"/>
      <c r="K120" s="234"/>
      <c r="L120" s="234"/>
      <c r="M120" s="234"/>
      <c r="N120" s="234"/>
      <c r="P120" s="75"/>
      <c r="Q120" s="75"/>
      <c r="R120" s="75"/>
      <c r="S120" s="75"/>
      <c r="T120" s="75"/>
      <c r="U120" s="75"/>
      <c r="V120" s="75"/>
      <c r="W120" s="75"/>
      <c r="X120" s="75"/>
      <c r="Y120" s="75"/>
      <c r="Z120" s="75"/>
    </row>
    <row r="121" spans="1:26" s="105" customFormat="1" x14ac:dyDescent="0.35">
      <c r="A121" s="102"/>
      <c r="B121" s="102"/>
      <c r="C121" s="90"/>
      <c r="D121" s="124"/>
      <c r="E121" s="90"/>
      <c r="F121" s="90"/>
      <c r="G121" s="234"/>
      <c r="H121" s="234"/>
      <c r="I121" s="234"/>
      <c r="J121" s="234"/>
      <c r="K121" s="234"/>
      <c r="L121" s="234"/>
      <c r="M121" s="234"/>
      <c r="N121" s="234"/>
      <c r="P121" s="75"/>
      <c r="Q121" s="75"/>
      <c r="R121" s="75"/>
      <c r="S121" s="75"/>
      <c r="T121" s="75"/>
      <c r="U121" s="75"/>
      <c r="V121" s="75"/>
      <c r="W121" s="75"/>
      <c r="X121" s="75"/>
      <c r="Y121" s="75"/>
      <c r="Z121" s="75"/>
    </row>
    <row r="122" spans="1:26" s="105" customFormat="1" x14ac:dyDescent="0.35">
      <c r="A122" s="102"/>
      <c r="B122" s="102"/>
      <c r="C122" s="90"/>
      <c r="D122" s="124"/>
      <c r="E122" s="90"/>
      <c r="F122" s="90"/>
      <c r="G122" s="234"/>
      <c r="H122" s="234"/>
      <c r="I122" s="234"/>
      <c r="J122" s="234"/>
      <c r="K122" s="234"/>
      <c r="L122" s="234"/>
      <c r="M122" s="234"/>
      <c r="N122" s="234"/>
      <c r="P122" s="75"/>
      <c r="Q122" s="75"/>
      <c r="R122" s="75"/>
      <c r="S122" s="75"/>
      <c r="T122" s="75"/>
      <c r="U122" s="75"/>
      <c r="V122" s="75"/>
      <c r="W122" s="75"/>
      <c r="X122" s="75"/>
      <c r="Y122" s="75"/>
      <c r="Z122" s="75"/>
    </row>
    <row r="123" spans="1:26" s="105" customFormat="1" x14ac:dyDescent="0.35">
      <c r="A123" s="102"/>
      <c r="B123" s="102"/>
      <c r="C123" s="90"/>
      <c r="D123" s="124"/>
      <c r="E123" s="90"/>
      <c r="F123" s="90"/>
      <c r="G123" s="234"/>
      <c r="H123" s="234"/>
      <c r="I123" s="234"/>
      <c r="J123" s="234"/>
      <c r="K123" s="234"/>
      <c r="L123" s="234"/>
      <c r="M123" s="234"/>
      <c r="N123" s="234"/>
      <c r="P123" s="75"/>
      <c r="Q123" s="75"/>
      <c r="R123" s="75"/>
      <c r="S123" s="75"/>
      <c r="T123" s="75"/>
      <c r="U123" s="75"/>
      <c r="V123" s="75"/>
      <c r="W123" s="75"/>
      <c r="X123" s="75"/>
      <c r="Y123" s="75"/>
      <c r="Z123" s="75"/>
    </row>
    <row r="124" spans="1:26" s="105" customFormat="1" x14ac:dyDescent="0.35">
      <c r="A124" s="102"/>
      <c r="B124" s="102"/>
      <c r="C124" s="90"/>
      <c r="D124" s="124"/>
      <c r="E124" s="90"/>
      <c r="F124" s="90"/>
      <c r="G124" s="234"/>
      <c r="H124" s="234"/>
      <c r="I124" s="234"/>
      <c r="J124" s="234"/>
      <c r="K124" s="234"/>
      <c r="L124" s="234"/>
      <c r="M124" s="234"/>
      <c r="N124" s="234"/>
      <c r="P124" s="75"/>
      <c r="Q124" s="75"/>
      <c r="R124" s="75"/>
      <c r="S124" s="75"/>
      <c r="T124" s="75"/>
      <c r="U124" s="75"/>
      <c r="V124" s="75"/>
      <c r="W124" s="75"/>
      <c r="X124" s="75"/>
      <c r="Y124" s="75"/>
      <c r="Z124" s="75"/>
    </row>
    <row r="125" spans="1:26" s="105" customFormat="1" x14ac:dyDescent="0.35">
      <c r="A125" s="102"/>
      <c r="B125" s="102"/>
      <c r="C125" s="90"/>
      <c r="D125" s="124"/>
      <c r="E125" s="90"/>
      <c r="F125" s="90"/>
      <c r="G125" s="234"/>
      <c r="H125" s="234"/>
      <c r="I125" s="234"/>
      <c r="J125" s="234"/>
      <c r="K125" s="234"/>
      <c r="L125" s="234"/>
      <c r="M125" s="234"/>
      <c r="N125" s="234"/>
      <c r="P125" s="75"/>
      <c r="Q125" s="75"/>
      <c r="R125" s="75"/>
      <c r="S125" s="75"/>
      <c r="T125" s="75"/>
      <c r="U125" s="75"/>
      <c r="V125" s="75"/>
      <c r="W125" s="75"/>
      <c r="X125" s="75"/>
      <c r="Y125" s="75"/>
      <c r="Z125" s="75"/>
    </row>
    <row r="126" spans="1:26" s="105" customFormat="1" x14ac:dyDescent="0.35">
      <c r="A126" s="102"/>
      <c r="B126" s="102"/>
      <c r="C126" s="90"/>
      <c r="D126" s="124"/>
      <c r="E126" s="90"/>
      <c r="F126" s="90"/>
      <c r="G126" s="234"/>
      <c r="H126" s="234"/>
      <c r="I126" s="234"/>
      <c r="J126" s="234"/>
      <c r="K126" s="234"/>
      <c r="L126" s="234"/>
      <c r="M126" s="234"/>
      <c r="N126" s="234"/>
      <c r="P126" s="75"/>
      <c r="Q126" s="75"/>
      <c r="R126" s="75"/>
      <c r="S126" s="75"/>
      <c r="T126" s="75"/>
      <c r="U126" s="75"/>
      <c r="V126" s="75"/>
      <c r="W126" s="75"/>
      <c r="X126" s="75"/>
      <c r="Y126" s="75"/>
      <c r="Z126" s="75"/>
    </row>
    <row r="127" spans="1:26" s="105" customFormat="1" x14ac:dyDescent="0.35">
      <c r="A127" s="102"/>
      <c r="B127" s="102"/>
      <c r="C127" s="90"/>
      <c r="D127" s="124"/>
      <c r="E127" s="90"/>
      <c r="F127" s="90"/>
      <c r="G127" s="234"/>
      <c r="H127" s="234"/>
      <c r="I127" s="234"/>
      <c r="J127" s="234"/>
      <c r="K127" s="234"/>
      <c r="L127" s="234"/>
      <c r="M127" s="234"/>
      <c r="N127" s="234"/>
      <c r="P127" s="75"/>
      <c r="Q127" s="75"/>
      <c r="R127" s="75"/>
      <c r="S127" s="75"/>
      <c r="T127" s="75"/>
      <c r="U127" s="75"/>
      <c r="V127" s="75"/>
      <c r="W127" s="75"/>
      <c r="X127" s="75"/>
      <c r="Y127" s="75"/>
      <c r="Z127" s="75"/>
    </row>
    <row r="128" spans="1:26" s="105" customFormat="1" x14ac:dyDescent="0.35">
      <c r="A128" s="102"/>
      <c r="B128" s="102"/>
      <c r="C128" s="90"/>
      <c r="D128" s="124"/>
      <c r="E128" s="90"/>
      <c r="F128" s="90"/>
      <c r="G128" s="234"/>
      <c r="H128" s="234"/>
      <c r="I128" s="234"/>
      <c r="J128" s="234"/>
      <c r="K128" s="234"/>
      <c r="L128" s="234"/>
      <c r="M128" s="234"/>
      <c r="N128" s="234"/>
      <c r="P128" s="75"/>
      <c r="Q128" s="75"/>
      <c r="R128" s="75"/>
      <c r="S128" s="75"/>
      <c r="T128" s="75"/>
      <c r="U128" s="75"/>
      <c r="V128" s="75"/>
      <c r="W128" s="75"/>
      <c r="X128" s="75"/>
      <c r="Y128" s="75"/>
      <c r="Z128" s="75"/>
    </row>
    <row r="129" spans="1:26" s="105" customFormat="1" x14ac:dyDescent="0.35">
      <c r="A129" s="102"/>
      <c r="B129" s="102"/>
      <c r="C129" s="90"/>
      <c r="D129" s="124"/>
      <c r="E129" s="90"/>
      <c r="F129" s="90"/>
      <c r="G129" s="234"/>
      <c r="H129" s="234"/>
      <c r="I129" s="234"/>
      <c r="J129" s="234"/>
      <c r="K129" s="234"/>
      <c r="L129" s="234"/>
      <c r="M129" s="234"/>
      <c r="N129" s="234"/>
      <c r="P129" s="75"/>
      <c r="Q129" s="75"/>
      <c r="R129" s="75"/>
      <c r="S129" s="75"/>
      <c r="T129" s="75"/>
      <c r="U129" s="75"/>
      <c r="V129" s="75"/>
      <c r="W129" s="75"/>
      <c r="X129" s="75"/>
      <c r="Y129" s="75"/>
      <c r="Z129" s="75"/>
    </row>
    <row r="130" spans="1:26" s="105" customFormat="1" x14ac:dyDescent="0.35">
      <c r="A130" s="102"/>
      <c r="B130" s="102"/>
      <c r="C130" s="90"/>
      <c r="D130" s="124"/>
      <c r="E130" s="90"/>
      <c r="F130" s="90"/>
      <c r="G130" s="234"/>
      <c r="H130" s="234"/>
      <c r="I130" s="234"/>
      <c r="J130" s="234"/>
      <c r="K130" s="234"/>
      <c r="L130" s="234"/>
      <c r="M130" s="234"/>
      <c r="N130" s="234"/>
      <c r="P130" s="75"/>
      <c r="Q130" s="75"/>
      <c r="R130" s="75"/>
      <c r="S130" s="75"/>
      <c r="T130" s="75"/>
      <c r="U130" s="75"/>
      <c r="V130" s="75"/>
      <c r="W130" s="75"/>
      <c r="X130" s="75"/>
      <c r="Y130" s="75"/>
      <c r="Z130" s="75"/>
    </row>
    <row r="131" spans="1:26" s="105" customFormat="1" x14ac:dyDescent="0.35">
      <c r="A131" s="102"/>
      <c r="B131" s="102"/>
      <c r="C131" s="90"/>
      <c r="D131" s="124"/>
      <c r="E131" s="90"/>
      <c r="F131" s="90"/>
      <c r="G131" s="234"/>
      <c r="H131" s="234"/>
      <c r="I131" s="234"/>
      <c r="J131" s="234"/>
      <c r="K131" s="234"/>
      <c r="L131" s="234"/>
      <c r="M131" s="234"/>
      <c r="N131" s="234"/>
      <c r="P131" s="75"/>
      <c r="Q131" s="75"/>
      <c r="R131" s="75"/>
      <c r="S131" s="75"/>
      <c r="T131" s="75"/>
      <c r="U131" s="75"/>
      <c r="V131" s="75"/>
      <c r="W131" s="75"/>
      <c r="X131" s="75"/>
      <c r="Y131" s="75"/>
      <c r="Z131" s="75"/>
    </row>
    <row r="132" spans="1:26" s="105" customFormat="1" x14ac:dyDescent="0.35">
      <c r="A132" s="102"/>
      <c r="B132" s="102"/>
      <c r="C132" s="90"/>
      <c r="D132" s="124"/>
      <c r="E132" s="90"/>
      <c r="F132" s="90"/>
      <c r="G132" s="234"/>
      <c r="H132" s="234"/>
      <c r="I132" s="234"/>
      <c r="J132" s="234"/>
      <c r="K132" s="234"/>
      <c r="L132" s="234"/>
      <c r="M132" s="234"/>
      <c r="N132" s="234"/>
      <c r="P132" s="75"/>
      <c r="Q132" s="75"/>
      <c r="R132" s="75"/>
      <c r="S132" s="75"/>
      <c r="T132" s="75"/>
      <c r="U132" s="75"/>
      <c r="V132" s="75"/>
      <c r="W132" s="75"/>
      <c r="X132" s="75"/>
      <c r="Y132" s="75"/>
      <c r="Z132" s="75"/>
    </row>
    <row r="133" spans="1:26" s="105" customFormat="1" x14ac:dyDescent="0.35">
      <c r="A133" s="102"/>
      <c r="B133" s="102"/>
      <c r="C133" s="90"/>
      <c r="D133" s="124"/>
      <c r="E133" s="90"/>
      <c r="F133" s="90"/>
      <c r="G133" s="234"/>
      <c r="H133" s="234"/>
      <c r="I133" s="234"/>
      <c r="J133" s="234"/>
      <c r="K133" s="234"/>
      <c r="L133" s="234"/>
      <c r="M133" s="234"/>
      <c r="N133" s="234"/>
      <c r="P133" s="75"/>
      <c r="Q133" s="75"/>
      <c r="R133" s="75"/>
      <c r="S133" s="75"/>
      <c r="T133" s="75"/>
      <c r="U133" s="75"/>
      <c r="V133" s="75"/>
      <c r="W133" s="75"/>
      <c r="X133" s="75"/>
      <c r="Y133" s="75"/>
      <c r="Z133" s="75"/>
    </row>
    <row r="134" spans="1:26" s="105" customFormat="1" x14ac:dyDescent="0.35">
      <c r="A134" s="102"/>
      <c r="B134" s="102"/>
      <c r="C134" s="90"/>
      <c r="D134" s="124"/>
      <c r="E134" s="90"/>
      <c r="F134" s="90"/>
      <c r="G134" s="234"/>
      <c r="H134" s="234"/>
      <c r="I134" s="234"/>
      <c r="J134" s="234"/>
      <c r="K134" s="234"/>
      <c r="L134" s="234"/>
      <c r="M134" s="234"/>
      <c r="N134" s="234"/>
      <c r="P134" s="75"/>
      <c r="Q134" s="75"/>
      <c r="R134" s="75"/>
      <c r="S134" s="75"/>
      <c r="T134" s="75"/>
      <c r="U134" s="75"/>
      <c r="V134" s="75"/>
      <c r="W134" s="75"/>
      <c r="X134" s="75"/>
      <c r="Y134" s="75"/>
      <c r="Z134" s="75"/>
    </row>
    <row r="135" spans="1:26" s="105" customFormat="1" x14ac:dyDescent="0.35">
      <c r="A135" s="102"/>
      <c r="B135" s="102"/>
      <c r="C135" s="90"/>
      <c r="D135" s="124"/>
      <c r="E135" s="90"/>
      <c r="F135" s="90"/>
      <c r="G135" s="234"/>
      <c r="H135" s="234"/>
      <c r="I135" s="234"/>
      <c r="J135" s="234"/>
      <c r="K135" s="234"/>
      <c r="L135" s="234"/>
      <c r="M135" s="234"/>
      <c r="N135" s="234"/>
      <c r="P135" s="75"/>
      <c r="Q135" s="75"/>
      <c r="R135" s="75"/>
      <c r="S135" s="75"/>
      <c r="T135" s="75"/>
      <c r="U135" s="75"/>
      <c r="V135" s="75"/>
      <c r="W135" s="75"/>
      <c r="X135" s="75"/>
      <c r="Y135" s="75"/>
      <c r="Z135" s="75"/>
    </row>
    <row r="136" spans="1:26" s="105" customFormat="1" x14ac:dyDescent="0.35">
      <c r="A136" s="102"/>
      <c r="B136" s="102"/>
      <c r="C136" s="90"/>
      <c r="D136" s="124"/>
      <c r="E136" s="90"/>
      <c r="F136" s="90"/>
      <c r="G136" s="234"/>
      <c r="H136" s="234"/>
      <c r="I136" s="234"/>
      <c r="J136" s="234"/>
      <c r="K136" s="234"/>
      <c r="L136" s="234"/>
      <c r="M136" s="234"/>
      <c r="N136" s="234"/>
      <c r="P136" s="75"/>
      <c r="Q136" s="75"/>
      <c r="R136" s="75"/>
      <c r="S136" s="75"/>
      <c r="T136" s="75"/>
      <c r="U136" s="75"/>
      <c r="V136" s="75"/>
      <c r="W136" s="75"/>
      <c r="X136" s="75"/>
      <c r="Y136" s="75"/>
      <c r="Z136" s="75"/>
    </row>
    <row r="137" spans="1:26" s="105" customFormat="1" x14ac:dyDescent="0.35">
      <c r="A137" s="102"/>
      <c r="B137" s="102"/>
      <c r="C137" s="90"/>
      <c r="D137" s="124"/>
      <c r="E137" s="90"/>
      <c r="F137" s="90"/>
      <c r="G137" s="234"/>
      <c r="H137" s="234"/>
      <c r="I137" s="234"/>
      <c r="J137" s="234"/>
      <c r="K137" s="234"/>
      <c r="L137" s="234"/>
      <c r="M137" s="234"/>
      <c r="N137" s="234"/>
      <c r="P137" s="75"/>
      <c r="Q137" s="75"/>
      <c r="R137" s="75"/>
      <c r="S137" s="75"/>
      <c r="T137" s="75"/>
      <c r="U137" s="75"/>
      <c r="V137" s="75"/>
      <c r="W137" s="75"/>
      <c r="X137" s="75"/>
      <c r="Y137" s="75"/>
      <c r="Z137" s="75"/>
    </row>
    <row r="138" spans="1:26" s="105" customFormat="1" x14ac:dyDescent="0.35">
      <c r="A138" s="102"/>
      <c r="B138" s="102"/>
      <c r="C138" s="90"/>
      <c r="D138" s="124"/>
      <c r="E138" s="90"/>
      <c r="F138" s="90"/>
      <c r="G138" s="234"/>
      <c r="H138" s="234"/>
      <c r="I138" s="234"/>
      <c r="J138" s="234"/>
      <c r="K138" s="234"/>
      <c r="L138" s="234"/>
      <c r="M138" s="234"/>
      <c r="N138" s="234"/>
      <c r="P138" s="75"/>
      <c r="Q138" s="75"/>
      <c r="R138" s="75"/>
      <c r="S138" s="75"/>
      <c r="T138" s="75"/>
      <c r="U138" s="75"/>
      <c r="V138" s="75"/>
      <c r="W138" s="75"/>
      <c r="X138" s="75"/>
      <c r="Y138" s="75"/>
      <c r="Z138" s="75"/>
    </row>
    <row r="139" spans="1:26" s="105" customFormat="1" x14ac:dyDescent="0.35">
      <c r="A139" s="102"/>
      <c r="B139" s="102"/>
      <c r="C139" s="90"/>
      <c r="D139" s="124"/>
      <c r="E139" s="90"/>
      <c r="F139" s="90"/>
      <c r="G139" s="234"/>
      <c r="H139" s="234"/>
      <c r="I139" s="234"/>
      <c r="J139" s="234"/>
      <c r="K139" s="234"/>
      <c r="L139" s="234"/>
      <c r="M139" s="234"/>
      <c r="N139" s="234"/>
      <c r="P139" s="75"/>
      <c r="Q139" s="75"/>
      <c r="R139" s="75"/>
      <c r="S139" s="75"/>
      <c r="T139" s="75"/>
      <c r="U139" s="75"/>
      <c r="V139" s="75"/>
      <c r="W139" s="75"/>
      <c r="X139" s="75"/>
      <c r="Y139" s="75"/>
      <c r="Z139" s="75"/>
    </row>
    <row r="140" spans="1:26" s="105" customFormat="1" x14ac:dyDescent="0.35">
      <c r="A140" s="102"/>
      <c r="B140" s="102"/>
      <c r="C140" s="90"/>
      <c r="D140" s="124"/>
      <c r="E140" s="90"/>
      <c r="F140" s="90"/>
      <c r="G140" s="234"/>
      <c r="H140" s="234"/>
      <c r="I140" s="234"/>
      <c r="J140" s="234"/>
      <c r="K140" s="234"/>
      <c r="L140" s="234"/>
      <c r="M140" s="234"/>
      <c r="N140" s="234"/>
      <c r="P140" s="75"/>
      <c r="Q140" s="75"/>
      <c r="R140" s="75"/>
      <c r="S140" s="75"/>
      <c r="T140" s="75"/>
      <c r="U140" s="75"/>
      <c r="V140" s="75"/>
      <c r="W140" s="75"/>
      <c r="X140" s="75"/>
      <c r="Y140" s="75"/>
      <c r="Z140" s="75"/>
    </row>
    <row r="141" spans="1:26" s="105" customFormat="1" x14ac:dyDescent="0.35">
      <c r="A141" s="102"/>
      <c r="B141" s="102"/>
      <c r="C141" s="90"/>
      <c r="D141" s="124"/>
      <c r="E141" s="90"/>
      <c r="F141" s="90"/>
      <c r="G141" s="234"/>
      <c r="H141" s="234"/>
      <c r="I141" s="234"/>
      <c r="J141" s="234"/>
      <c r="K141" s="234"/>
      <c r="L141" s="234"/>
      <c r="M141" s="234"/>
      <c r="N141" s="234"/>
      <c r="P141" s="75"/>
      <c r="Q141" s="75"/>
      <c r="R141" s="75"/>
      <c r="S141" s="75"/>
      <c r="T141" s="75"/>
      <c r="U141" s="75"/>
      <c r="V141" s="75"/>
      <c r="W141" s="75"/>
      <c r="X141" s="75"/>
      <c r="Y141" s="75"/>
      <c r="Z141" s="75"/>
    </row>
    <row r="142" spans="1:26" s="105" customFormat="1" x14ac:dyDescent="0.35">
      <c r="A142" s="102"/>
      <c r="B142" s="102"/>
      <c r="C142" s="90"/>
      <c r="D142" s="124"/>
      <c r="E142" s="90"/>
      <c r="F142" s="90"/>
      <c r="G142" s="234"/>
      <c r="H142" s="234"/>
      <c r="I142" s="234"/>
      <c r="J142" s="234"/>
      <c r="K142" s="234"/>
      <c r="L142" s="234"/>
      <c r="M142" s="234"/>
      <c r="N142" s="234"/>
      <c r="P142" s="75"/>
      <c r="Q142" s="75"/>
      <c r="R142" s="75"/>
      <c r="S142" s="75"/>
      <c r="T142" s="75"/>
      <c r="U142" s="75"/>
      <c r="V142" s="75"/>
      <c r="W142" s="75"/>
      <c r="X142" s="75"/>
      <c r="Y142" s="75"/>
      <c r="Z142" s="75"/>
    </row>
    <row r="143" spans="1:26" s="105" customFormat="1" x14ac:dyDescent="0.35">
      <c r="A143" s="102"/>
      <c r="B143" s="102"/>
      <c r="C143" s="90"/>
      <c r="D143" s="124"/>
      <c r="E143" s="90"/>
      <c r="F143" s="90"/>
      <c r="G143" s="234"/>
      <c r="H143" s="234"/>
      <c r="I143" s="234"/>
      <c r="J143" s="234"/>
      <c r="K143" s="234"/>
      <c r="L143" s="234"/>
      <c r="M143" s="234"/>
      <c r="N143" s="234"/>
      <c r="P143" s="75"/>
      <c r="Q143" s="75"/>
      <c r="R143" s="75"/>
      <c r="S143" s="75"/>
      <c r="T143" s="75"/>
      <c r="U143" s="75"/>
      <c r="V143" s="75"/>
      <c r="W143" s="75"/>
      <c r="X143" s="75"/>
      <c r="Y143" s="75"/>
      <c r="Z143" s="75"/>
    </row>
    <row r="144" spans="1:26" s="105" customFormat="1" x14ac:dyDescent="0.35">
      <c r="A144" s="102"/>
      <c r="B144" s="102"/>
      <c r="C144" s="90"/>
      <c r="D144" s="124"/>
      <c r="E144" s="90"/>
      <c r="F144" s="90"/>
      <c r="G144" s="234"/>
      <c r="H144" s="234"/>
      <c r="I144" s="234"/>
      <c r="J144" s="234"/>
      <c r="K144" s="234"/>
      <c r="L144" s="234"/>
      <c r="M144" s="234"/>
      <c r="N144" s="234"/>
      <c r="P144" s="75"/>
      <c r="Q144" s="75"/>
      <c r="R144" s="75"/>
      <c r="S144" s="75"/>
      <c r="T144" s="75"/>
      <c r="U144" s="75"/>
      <c r="V144" s="75"/>
      <c r="W144" s="75"/>
      <c r="X144" s="75"/>
      <c r="Y144" s="75"/>
      <c r="Z144" s="75"/>
    </row>
    <row r="145" spans="1:26" s="105" customFormat="1" x14ac:dyDescent="0.35">
      <c r="A145" s="102"/>
      <c r="B145" s="102"/>
      <c r="C145" s="90"/>
      <c r="D145" s="124"/>
      <c r="E145" s="90"/>
      <c r="F145" s="90"/>
      <c r="G145" s="234"/>
      <c r="H145" s="234"/>
      <c r="I145" s="234"/>
      <c r="J145" s="234"/>
      <c r="K145" s="234"/>
      <c r="L145" s="234"/>
      <c r="M145" s="234"/>
      <c r="N145" s="234"/>
      <c r="P145" s="75"/>
      <c r="Q145" s="75"/>
      <c r="R145" s="75"/>
      <c r="S145" s="75"/>
      <c r="T145" s="75"/>
      <c r="U145" s="75"/>
      <c r="V145" s="75"/>
      <c r="W145" s="75"/>
      <c r="X145" s="75"/>
      <c r="Y145" s="75"/>
      <c r="Z145" s="75"/>
    </row>
    <row r="146" spans="1:26" s="105" customFormat="1" x14ac:dyDescent="0.35">
      <c r="A146" s="102"/>
      <c r="B146" s="102"/>
      <c r="C146" s="90"/>
      <c r="D146" s="124"/>
      <c r="E146" s="90"/>
      <c r="F146" s="90"/>
      <c r="G146" s="234"/>
      <c r="H146" s="234"/>
      <c r="I146" s="234"/>
      <c r="J146" s="234"/>
      <c r="K146" s="234"/>
      <c r="L146" s="234"/>
      <c r="M146" s="234"/>
      <c r="N146" s="234"/>
      <c r="P146" s="75"/>
      <c r="Q146" s="75"/>
      <c r="R146" s="75"/>
      <c r="S146" s="75"/>
      <c r="T146" s="75"/>
      <c r="U146" s="75"/>
      <c r="V146" s="75"/>
      <c r="W146" s="75"/>
      <c r="X146" s="75"/>
      <c r="Y146" s="75"/>
      <c r="Z146" s="75"/>
    </row>
    <row r="147" spans="1:26" s="105" customFormat="1" x14ac:dyDescent="0.35">
      <c r="A147" s="102"/>
      <c r="B147" s="102"/>
      <c r="C147" s="90"/>
      <c r="D147" s="124"/>
      <c r="E147" s="90"/>
      <c r="F147" s="90"/>
      <c r="G147" s="234"/>
      <c r="H147" s="234"/>
      <c r="I147" s="234"/>
      <c r="J147" s="234"/>
      <c r="K147" s="234"/>
      <c r="L147" s="234"/>
      <c r="M147" s="234"/>
      <c r="N147" s="234"/>
      <c r="P147" s="75"/>
      <c r="Q147" s="75"/>
      <c r="R147" s="75"/>
      <c r="S147" s="75"/>
      <c r="T147" s="75"/>
      <c r="U147" s="75"/>
      <c r="V147" s="75"/>
      <c r="W147" s="75"/>
      <c r="X147" s="75"/>
      <c r="Y147" s="75"/>
      <c r="Z147" s="75"/>
    </row>
    <row r="148" spans="1:26" s="105" customFormat="1" x14ac:dyDescent="0.35">
      <c r="A148" s="102"/>
      <c r="B148" s="102"/>
      <c r="C148" s="90"/>
      <c r="D148" s="124"/>
      <c r="E148" s="90"/>
      <c r="F148" s="90"/>
      <c r="G148" s="234"/>
      <c r="H148" s="234"/>
      <c r="I148" s="234"/>
      <c r="J148" s="234"/>
      <c r="K148" s="234"/>
      <c r="L148" s="234"/>
      <c r="M148" s="234"/>
      <c r="N148" s="234"/>
      <c r="P148" s="75"/>
      <c r="Q148" s="75"/>
      <c r="R148" s="75"/>
      <c r="S148" s="75"/>
      <c r="T148" s="75"/>
      <c r="U148" s="75"/>
      <c r="V148" s="75"/>
      <c r="W148" s="75"/>
      <c r="X148" s="75"/>
      <c r="Y148" s="75"/>
      <c r="Z148" s="75"/>
    </row>
    <row r="149" spans="1:26" s="105" customFormat="1" x14ac:dyDescent="0.35">
      <c r="A149" s="102"/>
      <c r="B149" s="102"/>
      <c r="C149" s="90"/>
      <c r="D149" s="124"/>
      <c r="E149" s="90"/>
      <c r="F149" s="90"/>
      <c r="G149" s="234"/>
      <c r="H149" s="234"/>
      <c r="I149" s="234"/>
      <c r="J149" s="234"/>
      <c r="K149" s="234"/>
      <c r="L149" s="234"/>
      <c r="M149" s="234"/>
      <c r="N149" s="234"/>
      <c r="P149" s="75"/>
      <c r="Q149" s="75"/>
      <c r="R149" s="75"/>
      <c r="S149" s="75"/>
      <c r="T149" s="75"/>
      <c r="U149" s="75"/>
      <c r="V149" s="75"/>
      <c r="W149" s="75"/>
      <c r="X149" s="75"/>
      <c r="Y149" s="75"/>
      <c r="Z149" s="75"/>
    </row>
    <row r="150" spans="1:26" s="105" customFormat="1" x14ac:dyDescent="0.35">
      <c r="A150" s="102"/>
      <c r="B150" s="102"/>
      <c r="C150" s="90"/>
      <c r="D150" s="124"/>
      <c r="E150" s="90"/>
      <c r="F150" s="90"/>
      <c r="G150" s="234"/>
      <c r="H150" s="234"/>
      <c r="I150" s="234"/>
      <c r="J150" s="234"/>
      <c r="K150" s="234"/>
      <c r="L150" s="234"/>
      <c r="M150" s="234"/>
      <c r="N150" s="234"/>
      <c r="P150" s="75"/>
      <c r="Q150" s="75"/>
      <c r="R150" s="75"/>
      <c r="S150" s="75"/>
      <c r="T150" s="75"/>
      <c r="U150" s="75"/>
      <c r="V150" s="75"/>
      <c r="W150" s="75"/>
      <c r="X150" s="75"/>
      <c r="Y150" s="75"/>
      <c r="Z150" s="75"/>
    </row>
    <row r="151" spans="1:26" s="105" customFormat="1" x14ac:dyDescent="0.35">
      <c r="A151" s="102"/>
      <c r="B151" s="102"/>
      <c r="C151" s="90"/>
      <c r="D151" s="124"/>
      <c r="E151" s="90"/>
      <c r="F151" s="90"/>
      <c r="G151" s="234"/>
      <c r="H151" s="234"/>
      <c r="I151" s="234"/>
      <c r="J151" s="234"/>
      <c r="K151" s="234"/>
      <c r="L151" s="234"/>
      <c r="M151" s="234"/>
      <c r="N151" s="234"/>
      <c r="P151" s="75"/>
      <c r="Q151" s="75"/>
      <c r="R151" s="75"/>
      <c r="S151" s="75"/>
      <c r="T151" s="75"/>
      <c r="U151" s="75"/>
      <c r="V151" s="75"/>
      <c r="W151" s="75"/>
      <c r="X151" s="75"/>
      <c r="Y151" s="75"/>
      <c r="Z151" s="75"/>
    </row>
    <row r="152" spans="1:26" s="105" customFormat="1" x14ac:dyDescent="0.35">
      <c r="A152" s="102"/>
      <c r="B152" s="102"/>
      <c r="C152" s="90"/>
      <c r="D152" s="124"/>
      <c r="E152" s="90"/>
      <c r="F152" s="90"/>
      <c r="G152" s="234"/>
      <c r="H152" s="234"/>
      <c r="I152" s="234"/>
      <c r="J152" s="234"/>
      <c r="K152" s="234"/>
      <c r="L152" s="234"/>
      <c r="M152" s="234"/>
      <c r="N152" s="234"/>
      <c r="P152" s="75"/>
      <c r="Q152" s="75"/>
      <c r="R152" s="75"/>
      <c r="S152" s="75"/>
      <c r="T152" s="75"/>
      <c r="U152" s="75"/>
      <c r="V152" s="75"/>
      <c r="W152" s="75"/>
      <c r="X152" s="75"/>
      <c r="Y152" s="75"/>
      <c r="Z152" s="75"/>
    </row>
    <row r="153" spans="1:26" s="105" customFormat="1" x14ac:dyDescent="0.35">
      <c r="A153" s="102"/>
      <c r="B153" s="102"/>
      <c r="C153" s="90"/>
      <c r="D153" s="124"/>
      <c r="E153" s="90"/>
      <c r="F153" s="90"/>
      <c r="G153" s="234"/>
      <c r="H153" s="234"/>
      <c r="I153" s="234"/>
      <c r="J153" s="234"/>
      <c r="K153" s="234"/>
      <c r="L153" s="234"/>
      <c r="M153" s="234"/>
      <c r="N153" s="234"/>
      <c r="P153" s="75"/>
      <c r="Q153" s="75"/>
      <c r="R153" s="75"/>
      <c r="S153" s="75"/>
      <c r="T153" s="75"/>
      <c r="U153" s="75"/>
      <c r="V153" s="75"/>
      <c r="W153" s="75"/>
      <c r="X153" s="75"/>
      <c r="Y153" s="75"/>
      <c r="Z153" s="75"/>
    </row>
    <row r="154" spans="1:26" s="105" customFormat="1" x14ac:dyDescent="0.35">
      <c r="A154" s="102"/>
      <c r="B154" s="102"/>
      <c r="C154" s="90"/>
      <c r="D154" s="124"/>
      <c r="E154" s="90"/>
      <c r="F154" s="90"/>
      <c r="G154" s="234"/>
      <c r="H154" s="234"/>
      <c r="I154" s="234"/>
      <c r="J154" s="234"/>
      <c r="K154" s="234"/>
      <c r="L154" s="234"/>
      <c r="M154" s="234"/>
      <c r="N154" s="234"/>
      <c r="P154" s="75"/>
      <c r="Q154" s="75"/>
      <c r="R154" s="75"/>
      <c r="S154" s="75"/>
      <c r="T154" s="75"/>
      <c r="U154" s="75"/>
      <c r="V154" s="75"/>
      <c r="W154" s="75"/>
      <c r="X154" s="75"/>
      <c r="Y154" s="75"/>
      <c r="Z154" s="75"/>
    </row>
    <row r="155" spans="1:26" s="105" customFormat="1" x14ac:dyDescent="0.35">
      <c r="A155" s="102"/>
      <c r="B155" s="102"/>
      <c r="C155" s="90"/>
      <c r="D155" s="124"/>
      <c r="E155" s="90"/>
      <c r="F155" s="90"/>
      <c r="G155" s="234"/>
      <c r="H155" s="234"/>
      <c r="I155" s="234"/>
      <c r="J155" s="234"/>
      <c r="K155" s="234"/>
      <c r="L155" s="234"/>
      <c r="M155" s="234"/>
      <c r="N155" s="234"/>
      <c r="P155" s="75"/>
      <c r="Q155" s="75"/>
      <c r="R155" s="75"/>
      <c r="S155" s="75"/>
      <c r="T155" s="75"/>
      <c r="U155" s="75"/>
      <c r="V155" s="75"/>
      <c r="W155" s="75"/>
      <c r="X155" s="75"/>
      <c r="Y155" s="75"/>
      <c r="Z155" s="75"/>
    </row>
    <row r="156" spans="1:26" s="105" customFormat="1" x14ac:dyDescent="0.35">
      <c r="A156" s="102"/>
      <c r="B156" s="102"/>
      <c r="C156" s="90"/>
      <c r="D156" s="124"/>
      <c r="E156" s="90"/>
      <c r="F156" s="90"/>
      <c r="G156" s="234"/>
      <c r="H156" s="234"/>
      <c r="I156" s="234"/>
      <c r="J156" s="234"/>
      <c r="K156" s="234"/>
      <c r="L156" s="234"/>
      <c r="M156" s="234"/>
      <c r="N156" s="234"/>
      <c r="P156" s="75"/>
      <c r="Q156" s="75"/>
      <c r="R156" s="75"/>
      <c r="S156" s="75"/>
      <c r="T156" s="75"/>
      <c r="U156" s="75"/>
      <c r="V156" s="75"/>
      <c r="W156" s="75"/>
      <c r="X156" s="75"/>
      <c r="Y156" s="75"/>
      <c r="Z156" s="75"/>
    </row>
    <row r="157" spans="1:26" s="105" customFormat="1" x14ac:dyDescent="0.35">
      <c r="A157" s="102"/>
      <c r="B157" s="102"/>
      <c r="C157" s="90"/>
      <c r="D157" s="124"/>
      <c r="E157" s="90"/>
      <c r="F157" s="90"/>
      <c r="G157" s="234"/>
      <c r="H157" s="234"/>
      <c r="I157" s="234"/>
      <c r="J157" s="234"/>
      <c r="K157" s="234"/>
      <c r="L157" s="234"/>
      <c r="M157" s="234"/>
      <c r="N157" s="234"/>
      <c r="P157" s="75"/>
      <c r="Q157" s="75"/>
      <c r="R157" s="75"/>
      <c r="S157" s="75"/>
      <c r="T157" s="75"/>
      <c r="U157" s="75"/>
      <c r="V157" s="75"/>
      <c r="W157" s="75"/>
      <c r="X157" s="75"/>
      <c r="Y157" s="75"/>
      <c r="Z157" s="75"/>
    </row>
    <row r="158" spans="1:26" s="105" customFormat="1" x14ac:dyDescent="0.35">
      <c r="A158" s="102"/>
      <c r="B158" s="102"/>
      <c r="C158" s="90"/>
      <c r="D158" s="124"/>
      <c r="E158" s="90"/>
      <c r="F158" s="90"/>
      <c r="G158" s="234"/>
      <c r="H158" s="234"/>
      <c r="I158" s="234"/>
      <c r="J158" s="234"/>
      <c r="K158" s="234"/>
      <c r="L158" s="234"/>
      <c r="M158" s="234"/>
      <c r="N158" s="234"/>
      <c r="P158" s="75"/>
      <c r="Q158" s="75"/>
      <c r="R158" s="75"/>
      <c r="S158" s="75"/>
      <c r="T158" s="75"/>
      <c r="U158" s="75"/>
      <c r="V158" s="75"/>
      <c r="W158" s="75"/>
      <c r="X158" s="75"/>
      <c r="Y158" s="75"/>
      <c r="Z158" s="75"/>
    </row>
    <row r="159" spans="1:26" s="105" customFormat="1" x14ac:dyDescent="0.35">
      <c r="A159" s="102"/>
      <c r="B159" s="102"/>
      <c r="C159" s="90"/>
      <c r="D159" s="124"/>
      <c r="E159" s="90"/>
      <c r="F159" s="90"/>
      <c r="G159" s="234"/>
      <c r="H159" s="234"/>
      <c r="I159" s="234"/>
      <c r="J159" s="234"/>
      <c r="K159" s="234"/>
      <c r="L159" s="234"/>
      <c r="M159" s="234"/>
      <c r="N159" s="234"/>
      <c r="P159" s="75"/>
      <c r="Q159" s="75"/>
      <c r="R159" s="75"/>
      <c r="S159" s="75"/>
      <c r="T159" s="75"/>
      <c r="U159" s="75"/>
      <c r="V159" s="75"/>
      <c r="W159" s="75"/>
      <c r="X159" s="75"/>
      <c r="Y159" s="75"/>
      <c r="Z159" s="75"/>
    </row>
    <row r="160" spans="1:26" s="105" customFormat="1" x14ac:dyDescent="0.35">
      <c r="A160" s="102"/>
      <c r="B160" s="102"/>
      <c r="C160" s="90"/>
      <c r="D160" s="124"/>
      <c r="E160" s="90"/>
      <c r="F160" s="90"/>
      <c r="G160" s="234"/>
      <c r="H160" s="234"/>
      <c r="I160" s="234"/>
      <c r="J160" s="234"/>
      <c r="K160" s="234"/>
      <c r="L160" s="234"/>
      <c r="M160" s="234"/>
      <c r="N160" s="234"/>
      <c r="P160" s="75"/>
      <c r="Q160" s="75"/>
      <c r="R160" s="75"/>
      <c r="S160" s="75"/>
      <c r="T160" s="75"/>
      <c r="U160" s="75"/>
      <c r="V160" s="75"/>
      <c r="W160" s="75"/>
      <c r="X160" s="75"/>
      <c r="Y160" s="75"/>
      <c r="Z160" s="75"/>
    </row>
    <row r="161" spans="1:26" s="105" customFormat="1" x14ac:dyDescent="0.35">
      <c r="A161" s="102"/>
      <c r="B161" s="102"/>
      <c r="C161" s="90"/>
      <c r="D161" s="124"/>
      <c r="E161" s="90"/>
      <c r="F161" s="90"/>
      <c r="G161" s="234"/>
      <c r="H161" s="234"/>
      <c r="I161" s="234"/>
      <c r="J161" s="234"/>
      <c r="K161" s="234"/>
      <c r="L161" s="234"/>
      <c r="M161" s="234"/>
      <c r="N161" s="234"/>
      <c r="P161" s="75"/>
      <c r="Q161" s="75"/>
      <c r="R161" s="75"/>
      <c r="S161" s="75"/>
      <c r="T161" s="75"/>
      <c r="U161" s="75"/>
      <c r="V161" s="75"/>
      <c r="W161" s="75"/>
      <c r="X161" s="75"/>
      <c r="Y161" s="75"/>
      <c r="Z161" s="75"/>
    </row>
    <row r="162" spans="1:26" s="105" customFormat="1" x14ac:dyDescent="0.35">
      <c r="A162" s="102"/>
      <c r="B162" s="102"/>
      <c r="C162" s="90"/>
      <c r="D162" s="124"/>
      <c r="E162" s="90"/>
      <c r="F162" s="90"/>
      <c r="G162" s="234"/>
      <c r="H162" s="234"/>
      <c r="I162" s="234"/>
      <c r="J162" s="234"/>
      <c r="K162" s="234"/>
      <c r="L162" s="234"/>
      <c r="M162" s="234"/>
      <c r="N162" s="234"/>
      <c r="P162" s="75"/>
      <c r="Q162" s="75"/>
      <c r="R162" s="75"/>
      <c r="S162" s="75"/>
      <c r="T162" s="75"/>
      <c r="U162" s="75"/>
      <c r="V162" s="75"/>
      <c r="W162" s="75"/>
      <c r="X162" s="75"/>
      <c r="Y162" s="75"/>
      <c r="Z162" s="75"/>
    </row>
    <row r="163" spans="1:26" s="105" customFormat="1" x14ac:dyDescent="0.35">
      <c r="A163" s="102"/>
      <c r="B163" s="102"/>
      <c r="C163" s="90"/>
      <c r="D163" s="124"/>
      <c r="E163" s="90"/>
      <c r="F163" s="90"/>
      <c r="G163" s="234"/>
      <c r="H163" s="234"/>
      <c r="I163" s="234"/>
      <c r="J163" s="234"/>
      <c r="K163" s="234"/>
      <c r="L163" s="234"/>
      <c r="M163" s="234"/>
      <c r="N163" s="234"/>
      <c r="P163" s="75"/>
      <c r="Q163" s="75"/>
      <c r="R163" s="75"/>
      <c r="S163" s="75"/>
      <c r="T163" s="75"/>
      <c r="U163" s="75"/>
      <c r="V163" s="75"/>
      <c r="W163" s="75"/>
      <c r="X163" s="75"/>
      <c r="Y163" s="75"/>
      <c r="Z163" s="75"/>
    </row>
    <row r="164" spans="1:26" s="105" customFormat="1" x14ac:dyDescent="0.35">
      <c r="A164" s="102"/>
      <c r="B164" s="102"/>
      <c r="C164" s="90"/>
      <c r="D164" s="124"/>
      <c r="E164" s="90"/>
      <c r="F164" s="90"/>
      <c r="G164" s="234"/>
      <c r="H164" s="234"/>
      <c r="I164" s="234"/>
      <c r="J164" s="234"/>
      <c r="K164" s="234"/>
      <c r="L164" s="234"/>
      <c r="M164" s="234"/>
      <c r="N164" s="234"/>
      <c r="P164" s="75"/>
      <c r="Q164" s="75"/>
      <c r="R164" s="75"/>
      <c r="S164" s="75"/>
      <c r="T164" s="75"/>
      <c r="U164" s="75"/>
      <c r="V164" s="75"/>
      <c r="W164" s="75"/>
      <c r="X164" s="75"/>
      <c r="Y164" s="75"/>
      <c r="Z164" s="75"/>
    </row>
    <row r="165" spans="1:26" s="105" customFormat="1" x14ac:dyDescent="0.35">
      <c r="A165" s="102"/>
      <c r="B165" s="102"/>
      <c r="C165" s="90"/>
      <c r="D165" s="124"/>
      <c r="E165" s="90"/>
      <c r="F165" s="90"/>
      <c r="G165" s="234"/>
      <c r="H165" s="234"/>
      <c r="I165" s="234"/>
      <c r="J165" s="234"/>
      <c r="K165" s="234"/>
      <c r="L165" s="234"/>
      <c r="M165" s="234"/>
      <c r="N165" s="234"/>
      <c r="P165" s="75"/>
      <c r="Q165" s="75"/>
      <c r="R165" s="75"/>
      <c r="S165" s="75"/>
      <c r="T165" s="75"/>
      <c r="U165" s="75"/>
      <c r="V165" s="75"/>
      <c r="W165" s="75"/>
      <c r="X165" s="75"/>
      <c r="Y165" s="75"/>
      <c r="Z165" s="75"/>
    </row>
    <row r="166" spans="1:26" s="105" customFormat="1" x14ac:dyDescent="0.35">
      <c r="A166" s="102"/>
      <c r="B166" s="102"/>
      <c r="C166" s="90"/>
      <c r="D166" s="124"/>
      <c r="E166" s="90"/>
      <c r="F166" s="90"/>
      <c r="G166" s="234"/>
      <c r="H166" s="234"/>
      <c r="I166" s="234"/>
      <c r="J166" s="234"/>
      <c r="K166" s="234"/>
      <c r="L166" s="234"/>
      <c r="M166" s="234"/>
      <c r="N166" s="234"/>
      <c r="P166" s="75"/>
      <c r="Q166" s="75"/>
      <c r="R166" s="75"/>
      <c r="S166" s="75"/>
      <c r="T166" s="75"/>
      <c r="U166" s="75"/>
      <c r="V166" s="75"/>
      <c r="W166" s="75"/>
      <c r="X166" s="75"/>
      <c r="Y166" s="75"/>
      <c r="Z166" s="75"/>
    </row>
    <row r="167" spans="1:26" s="105" customFormat="1" x14ac:dyDescent="0.35">
      <c r="A167" s="102"/>
      <c r="B167" s="102"/>
      <c r="C167" s="90"/>
      <c r="D167" s="124"/>
      <c r="E167" s="90"/>
      <c r="F167" s="90"/>
      <c r="G167" s="234"/>
      <c r="H167" s="234"/>
      <c r="I167" s="234"/>
      <c r="J167" s="234"/>
      <c r="K167" s="234"/>
      <c r="L167" s="234"/>
      <c r="M167" s="234"/>
      <c r="N167" s="234"/>
      <c r="P167" s="75"/>
      <c r="Q167" s="75"/>
      <c r="R167" s="75"/>
      <c r="S167" s="75"/>
      <c r="T167" s="75"/>
      <c r="U167" s="75"/>
      <c r="V167" s="75"/>
      <c r="W167" s="75"/>
      <c r="X167" s="75"/>
      <c r="Y167" s="75"/>
      <c r="Z167" s="75"/>
    </row>
    <row r="168" spans="1:26" s="105" customFormat="1" x14ac:dyDescent="0.35">
      <c r="A168" s="102"/>
      <c r="B168" s="102"/>
      <c r="C168" s="90"/>
      <c r="D168" s="124"/>
      <c r="E168" s="90"/>
      <c r="F168" s="90"/>
      <c r="G168" s="234"/>
      <c r="H168" s="234"/>
      <c r="I168" s="234"/>
      <c r="J168" s="234"/>
      <c r="K168" s="234"/>
      <c r="L168" s="234"/>
      <c r="M168" s="234"/>
      <c r="N168" s="234"/>
      <c r="P168" s="75"/>
      <c r="Q168" s="75"/>
      <c r="R168" s="75"/>
      <c r="S168" s="75"/>
      <c r="T168" s="75"/>
      <c r="U168" s="75"/>
      <c r="V168" s="75"/>
      <c r="W168" s="75"/>
      <c r="X168" s="75"/>
      <c r="Y168" s="75"/>
      <c r="Z168" s="75"/>
    </row>
    <row r="169" spans="1:26" s="105" customFormat="1" x14ac:dyDescent="0.35">
      <c r="A169" s="102"/>
      <c r="B169" s="102"/>
      <c r="C169" s="90"/>
      <c r="D169" s="124"/>
      <c r="E169" s="90"/>
      <c r="F169" s="90"/>
      <c r="G169" s="234"/>
      <c r="H169" s="234"/>
      <c r="I169" s="234"/>
      <c r="J169" s="234"/>
      <c r="K169" s="234"/>
      <c r="L169" s="234"/>
      <c r="M169" s="234"/>
      <c r="N169" s="234"/>
      <c r="P169" s="75"/>
      <c r="Q169" s="75"/>
      <c r="R169" s="75"/>
      <c r="S169" s="75"/>
      <c r="T169" s="75"/>
      <c r="U169" s="75"/>
      <c r="V169" s="75"/>
      <c r="W169" s="75"/>
      <c r="X169" s="75"/>
      <c r="Y169" s="75"/>
      <c r="Z169" s="75"/>
    </row>
    <row r="170" spans="1:26" s="105" customFormat="1" x14ac:dyDescent="0.35">
      <c r="A170" s="102"/>
      <c r="B170" s="102"/>
      <c r="C170" s="90"/>
      <c r="D170" s="124"/>
      <c r="E170" s="90"/>
      <c r="F170" s="90"/>
      <c r="G170" s="234"/>
      <c r="H170" s="234"/>
      <c r="I170" s="234"/>
      <c r="J170" s="234"/>
      <c r="K170" s="234"/>
      <c r="L170" s="234"/>
      <c r="M170" s="234"/>
      <c r="N170" s="234"/>
      <c r="P170" s="75"/>
      <c r="Q170" s="75"/>
      <c r="R170" s="75"/>
      <c r="S170" s="75"/>
      <c r="T170" s="75"/>
      <c r="U170" s="75"/>
      <c r="V170" s="75"/>
      <c r="W170" s="75"/>
      <c r="X170" s="75"/>
      <c r="Y170" s="75"/>
      <c r="Z170" s="75"/>
    </row>
    <row r="171" spans="1:26" s="105" customFormat="1" x14ac:dyDescent="0.35">
      <c r="A171" s="102"/>
      <c r="B171" s="102"/>
      <c r="C171" s="90"/>
      <c r="D171" s="124"/>
      <c r="E171" s="90"/>
      <c r="F171" s="90"/>
      <c r="G171" s="234"/>
      <c r="H171" s="234"/>
      <c r="I171" s="234"/>
      <c r="J171" s="234"/>
      <c r="K171" s="234"/>
      <c r="L171" s="234"/>
      <c r="M171" s="234"/>
      <c r="N171" s="234"/>
      <c r="P171" s="75"/>
      <c r="Q171" s="75"/>
      <c r="R171" s="75"/>
      <c r="S171" s="75"/>
      <c r="T171" s="75"/>
      <c r="U171" s="75"/>
      <c r="V171" s="75"/>
      <c r="W171" s="75"/>
      <c r="X171" s="75"/>
      <c r="Y171" s="75"/>
      <c r="Z171" s="75"/>
    </row>
    <row r="172" spans="1:26" s="105" customFormat="1" x14ac:dyDescent="0.35">
      <c r="A172" s="102"/>
      <c r="B172" s="102"/>
      <c r="C172" s="90"/>
      <c r="D172" s="124"/>
      <c r="E172" s="90"/>
      <c r="F172" s="90"/>
      <c r="G172" s="234"/>
      <c r="H172" s="234"/>
      <c r="I172" s="234"/>
      <c r="J172" s="234"/>
      <c r="K172" s="234"/>
      <c r="L172" s="234"/>
      <c r="M172" s="234"/>
      <c r="N172" s="234"/>
      <c r="P172" s="75"/>
      <c r="Q172" s="75"/>
      <c r="R172" s="75"/>
      <c r="S172" s="75"/>
      <c r="T172" s="75"/>
      <c r="U172" s="75"/>
      <c r="V172" s="75"/>
      <c r="W172" s="75"/>
      <c r="X172" s="75"/>
      <c r="Y172" s="75"/>
      <c r="Z172" s="75"/>
    </row>
    <row r="173" spans="1:26" s="105" customFormat="1" x14ac:dyDescent="0.35">
      <c r="A173" s="102"/>
      <c r="B173" s="102"/>
      <c r="C173" s="90"/>
      <c r="D173" s="124"/>
      <c r="E173" s="90"/>
      <c r="F173" s="90"/>
      <c r="G173" s="234"/>
      <c r="H173" s="234"/>
      <c r="I173" s="234"/>
      <c r="J173" s="234"/>
      <c r="K173" s="234"/>
      <c r="L173" s="234"/>
      <c r="M173" s="234"/>
      <c r="N173" s="234"/>
      <c r="P173" s="75"/>
      <c r="Q173" s="75"/>
      <c r="R173" s="75"/>
      <c r="S173" s="75"/>
      <c r="T173" s="75"/>
      <c r="U173" s="75"/>
      <c r="V173" s="75"/>
      <c r="W173" s="75"/>
      <c r="X173" s="75"/>
      <c r="Y173" s="75"/>
      <c r="Z173" s="75"/>
    </row>
    <row r="174" spans="1:26" s="105" customFormat="1" x14ac:dyDescent="0.35">
      <c r="A174" s="102"/>
      <c r="B174" s="102"/>
      <c r="C174" s="90"/>
      <c r="D174" s="124"/>
      <c r="E174" s="90"/>
      <c r="F174" s="90"/>
      <c r="G174" s="234"/>
      <c r="H174" s="234"/>
      <c r="I174" s="234"/>
      <c r="J174" s="234"/>
      <c r="K174" s="234"/>
      <c r="L174" s="234"/>
      <c r="M174" s="234"/>
      <c r="N174" s="234"/>
      <c r="P174" s="75"/>
      <c r="Q174" s="75"/>
      <c r="R174" s="75"/>
      <c r="S174" s="75"/>
      <c r="T174" s="75"/>
      <c r="U174" s="75"/>
      <c r="V174" s="75"/>
      <c r="W174" s="75"/>
      <c r="X174" s="75"/>
      <c r="Y174" s="75"/>
      <c r="Z174" s="75"/>
    </row>
    <row r="175" spans="1:26" s="105" customFormat="1" x14ac:dyDescent="0.35">
      <c r="A175" s="102"/>
      <c r="B175" s="102"/>
      <c r="C175" s="90"/>
      <c r="D175" s="124"/>
      <c r="E175" s="90"/>
      <c r="F175" s="90"/>
      <c r="G175" s="234"/>
      <c r="H175" s="234"/>
      <c r="I175" s="234"/>
      <c r="J175" s="234"/>
      <c r="K175" s="234"/>
      <c r="L175" s="234"/>
      <c r="M175" s="234"/>
      <c r="N175" s="234"/>
      <c r="P175" s="75"/>
      <c r="Q175" s="75"/>
      <c r="R175" s="75"/>
      <c r="S175" s="75"/>
      <c r="T175" s="75"/>
      <c r="U175" s="75"/>
      <c r="V175" s="75"/>
      <c r="W175" s="75"/>
      <c r="X175" s="75"/>
      <c r="Y175" s="75"/>
      <c r="Z175" s="75"/>
    </row>
    <row r="176" spans="1:26" s="105" customFormat="1" x14ac:dyDescent="0.35">
      <c r="A176" s="102"/>
      <c r="B176" s="102"/>
      <c r="C176" s="90"/>
      <c r="D176" s="124"/>
      <c r="E176" s="90"/>
      <c r="F176" s="90"/>
      <c r="G176" s="234"/>
      <c r="H176" s="234"/>
      <c r="I176" s="234"/>
      <c r="J176" s="234"/>
      <c r="K176" s="234"/>
      <c r="L176" s="234"/>
      <c r="M176" s="234"/>
      <c r="N176" s="234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</row>
    <row r="177" spans="1:26" s="105" customFormat="1" x14ac:dyDescent="0.35">
      <c r="A177" s="102"/>
      <c r="B177" s="102"/>
      <c r="C177" s="90"/>
      <c r="D177" s="124"/>
      <c r="E177" s="90"/>
      <c r="F177" s="90"/>
      <c r="G177" s="234"/>
      <c r="H177" s="234"/>
      <c r="I177" s="234"/>
      <c r="J177" s="234"/>
      <c r="K177" s="234"/>
      <c r="L177" s="234"/>
      <c r="M177" s="234"/>
      <c r="N177" s="234"/>
      <c r="P177" s="75"/>
      <c r="Q177" s="75"/>
      <c r="R177" s="75"/>
      <c r="S177" s="75"/>
      <c r="T177" s="75"/>
      <c r="U177" s="75"/>
      <c r="V177" s="75"/>
      <c r="W177" s="75"/>
      <c r="X177" s="75"/>
      <c r="Y177" s="75"/>
      <c r="Z177" s="75"/>
    </row>
    <row r="178" spans="1:26" s="105" customFormat="1" x14ac:dyDescent="0.35">
      <c r="A178" s="102"/>
      <c r="B178" s="102"/>
      <c r="C178" s="90"/>
      <c r="D178" s="124"/>
      <c r="E178" s="90"/>
      <c r="F178" s="90"/>
      <c r="G178" s="234"/>
      <c r="H178" s="234"/>
      <c r="I178" s="234"/>
      <c r="J178" s="234"/>
      <c r="K178" s="234"/>
      <c r="L178" s="234"/>
      <c r="M178" s="234"/>
      <c r="N178" s="234"/>
      <c r="P178" s="75"/>
      <c r="Q178" s="75"/>
      <c r="R178" s="75"/>
      <c r="S178" s="75"/>
      <c r="T178" s="75"/>
      <c r="U178" s="75"/>
      <c r="V178" s="75"/>
      <c r="W178" s="75"/>
      <c r="X178" s="75"/>
      <c r="Y178" s="75"/>
      <c r="Z178" s="75"/>
    </row>
    <row r="179" spans="1:26" s="105" customFormat="1" x14ac:dyDescent="0.35">
      <c r="A179" s="102"/>
      <c r="B179" s="102"/>
      <c r="C179" s="90"/>
      <c r="D179" s="124"/>
      <c r="E179" s="90"/>
      <c r="F179" s="90"/>
      <c r="G179" s="234"/>
      <c r="H179" s="234"/>
      <c r="I179" s="234"/>
      <c r="J179" s="234"/>
      <c r="K179" s="234"/>
      <c r="L179" s="234"/>
      <c r="M179" s="234"/>
      <c r="N179" s="234"/>
      <c r="P179" s="75"/>
      <c r="Q179" s="75"/>
      <c r="R179" s="75"/>
      <c r="S179" s="75"/>
      <c r="T179" s="75"/>
      <c r="U179" s="75"/>
      <c r="V179" s="75"/>
      <c r="W179" s="75"/>
      <c r="X179" s="75"/>
      <c r="Y179" s="75"/>
      <c r="Z179" s="75"/>
    </row>
    <row r="180" spans="1:26" s="105" customFormat="1" x14ac:dyDescent="0.35">
      <c r="A180" s="102"/>
      <c r="B180" s="102"/>
      <c r="C180" s="90"/>
      <c r="D180" s="124"/>
      <c r="E180" s="90"/>
      <c r="F180" s="90"/>
      <c r="G180" s="234"/>
      <c r="H180" s="234"/>
      <c r="I180" s="234"/>
      <c r="J180" s="234"/>
      <c r="K180" s="234"/>
      <c r="L180" s="234"/>
      <c r="M180" s="234"/>
      <c r="N180" s="234"/>
      <c r="P180" s="75"/>
      <c r="Q180" s="75"/>
      <c r="R180" s="75"/>
      <c r="S180" s="75"/>
      <c r="T180" s="75"/>
      <c r="U180" s="75"/>
      <c r="V180" s="75"/>
      <c r="W180" s="75"/>
      <c r="X180" s="75"/>
      <c r="Y180" s="75"/>
      <c r="Z180" s="75"/>
    </row>
    <row r="181" spans="1:26" s="105" customFormat="1" x14ac:dyDescent="0.35">
      <c r="A181" s="102"/>
      <c r="B181" s="102"/>
      <c r="C181" s="90"/>
      <c r="D181" s="124"/>
      <c r="E181" s="90"/>
      <c r="F181" s="90"/>
      <c r="G181" s="234"/>
      <c r="H181" s="234"/>
      <c r="I181" s="234"/>
      <c r="J181" s="234"/>
      <c r="K181" s="234"/>
      <c r="L181" s="234"/>
      <c r="M181" s="234"/>
      <c r="N181" s="234"/>
      <c r="P181" s="75"/>
      <c r="Q181" s="75"/>
      <c r="R181" s="75"/>
      <c r="S181" s="75"/>
      <c r="T181" s="75"/>
      <c r="U181" s="75"/>
      <c r="V181" s="75"/>
      <c r="W181" s="75"/>
      <c r="X181" s="75"/>
      <c r="Y181" s="75"/>
      <c r="Z181" s="75"/>
    </row>
    <row r="182" spans="1:26" s="105" customFormat="1" x14ac:dyDescent="0.35">
      <c r="A182" s="102"/>
      <c r="B182" s="102"/>
      <c r="C182" s="90"/>
      <c r="D182" s="124"/>
      <c r="E182" s="90"/>
      <c r="F182" s="90"/>
      <c r="G182" s="234"/>
      <c r="H182" s="234"/>
      <c r="I182" s="234"/>
      <c r="J182" s="234"/>
      <c r="K182" s="234"/>
      <c r="L182" s="234"/>
      <c r="M182" s="234"/>
      <c r="N182" s="234"/>
      <c r="P182" s="75"/>
      <c r="Q182" s="75"/>
      <c r="R182" s="75"/>
      <c r="S182" s="75"/>
      <c r="T182" s="75"/>
      <c r="U182" s="75"/>
      <c r="V182" s="75"/>
      <c r="W182" s="75"/>
      <c r="X182" s="75"/>
      <c r="Y182" s="75"/>
      <c r="Z182" s="75"/>
    </row>
    <row r="183" spans="1:26" s="105" customFormat="1" x14ac:dyDescent="0.35">
      <c r="A183" s="102"/>
      <c r="B183" s="102"/>
      <c r="C183" s="90"/>
      <c r="D183" s="124"/>
      <c r="E183" s="90"/>
      <c r="F183" s="90"/>
      <c r="G183" s="234"/>
      <c r="H183" s="234"/>
      <c r="I183" s="234"/>
      <c r="J183" s="234"/>
      <c r="K183" s="234"/>
      <c r="L183" s="234"/>
      <c r="M183" s="234"/>
      <c r="N183" s="234"/>
      <c r="P183" s="75"/>
      <c r="Q183" s="75"/>
      <c r="R183" s="75"/>
      <c r="S183" s="75"/>
      <c r="T183" s="75"/>
      <c r="U183" s="75"/>
      <c r="V183" s="75"/>
      <c r="W183" s="75"/>
      <c r="X183" s="75"/>
      <c r="Y183" s="75"/>
      <c r="Z183" s="75"/>
    </row>
    <row r="184" spans="1:26" s="105" customFormat="1" x14ac:dyDescent="0.35">
      <c r="A184" s="102"/>
      <c r="B184" s="102"/>
      <c r="C184" s="90"/>
      <c r="D184" s="124"/>
      <c r="E184" s="90"/>
      <c r="F184" s="90"/>
      <c r="G184" s="234"/>
      <c r="H184" s="234"/>
      <c r="I184" s="234"/>
      <c r="J184" s="234"/>
      <c r="K184" s="234"/>
      <c r="L184" s="234"/>
      <c r="M184" s="234"/>
      <c r="N184" s="234"/>
      <c r="P184" s="75"/>
      <c r="Q184" s="75"/>
      <c r="R184" s="75"/>
      <c r="S184" s="75"/>
      <c r="T184" s="75"/>
      <c r="U184" s="75"/>
      <c r="V184" s="75"/>
      <c r="W184" s="75"/>
      <c r="X184" s="75"/>
      <c r="Y184" s="75"/>
      <c r="Z184" s="75"/>
    </row>
    <row r="185" spans="1:26" s="105" customFormat="1" x14ac:dyDescent="0.35">
      <c r="A185" s="102"/>
      <c r="B185" s="102"/>
      <c r="C185" s="90"/>
      <c r="D185" s="124"/>
      <c r="E185" s="90"/>
      <c r="F185" s="90"/>
      <c r="G185" s="234"/>
      <c r="H185" s="234"/>
      <c r="I185" s="234"/>
      <c r="J185" s="234"/>
      <c r="K185" s="234"/>
      <c r="L185" s="234"/>
      <c r="M185" s="234"/>
      <c r="N185" s="234"/>
      <c r="P185" s="75"/>
      <c r="Q185" s="75"/>
      <c r="R185" s="75"/>
      <c r="S185" s="75"/>
      <c r="T185" s="75"/>
      <c r="U185" s="75"/>
      <c r="V185" s="75"/>
      <c r="W185" s="75"/>
      <c r="X185" s="75"/>
      <c r="Y185" s="75"/>
      <c r="Z185" s="75"/>
    </row>
    <row r="186" spans="1:26" s="105" customFormat="1" x14ac:dyDescent="0.35">
      <c r="A186" s="102"/>
      <c r="B186" s="102"/>
      <c r="C186" s="90"/>
      <c r="D186" s="124"/>
      <c r="E186" s="90"/>
      <c r="F186" s="90"/>
      <c r="G186" s="234"/>
      <c r="H186" s="234"/>
      <c r="I186" s="234"/>
      <c r="J186" s="234"/>
      <c r="K186" s="234"/>
      <c r="L186" s="234"/>
      <c r="M186" s="234"/>
      <c r="N186" s="234"/>
      <c r="P186" s="75"/>
      <c r="Q186" s="75"/>
      <c r="R186" s="75"/>
      <c r="S186" s="75"/>
      <c r="T186" s="75"/>
      <c r="U186" s="75"/>
      <c r="V186" s="75"/>
      <c r="W186" s="75"/>
      <c r="X186" s="75"/>
      <c r="Y186" s="75"/>
      <c r="Z186" s="75"/>
    </row>
    <row r="187" spans="1:26" s="105" customFormat="1" x14ac:dyDescent="0.35">
      <c r="A187" s="102"/>
      <c r="B187" s="102"/>
      <c r="C187" s="90"/>
      <c r="D187" s="124"/>
      <c r="E187" s="90"/>
      <c r="F187" s="90"/>
      <c r="G187" s="234"/>
      <c r="H187" s="234"/>
      <c r="I187" s="234"/>
      <c r="J187" s="234"/>
      <c r="K187" s="234"/>
      <c r="L187" s="234"/>
      <c r="M187" s="234"/>
      <c r="N187" s="234"/>
      <c r="P187" s="75"/>
      <c r="Q187" s="75"/>
      <c r="R187" s="75"/>
      <c r="S187" s="75"/>
      <c r="T187" s="75"/>
      <c r="U187" s="75"/>
      <c r="V187" s="75"/>
      <c r="W187" s="75"/>
      <c r="X187" s="75"/>
      <c r="Y187" s="75"/>
      <c r="Z187" s="75"/>
    </row>
    <row r="188" spans="1:26" s="105" customFormat="1" x14ac:dyDescent="0.35">
      <c r="A188" s="102"/>
      <c r="B188" s="102"/>
      <c r="C188" s="90"/>
      <c r="D188" s="124"/>
      <c r="E188" s="90"/>
      <c r="F188" s="90"/>
      <c r="G188" s="234"/>
      <c r="H188" s="234"/>
      <c r="I188" s="234"/>
      <c r="J188" s="234"/>
      <c r="K188" s="234"/>
      <c r="L188" s="234"/>
      <c r="M188" s="234"/>
      <c r="N188" s="234"/>
      <c r="P188" s="75"/>
      <c r="Q188" s="75"/>
      <c r="R188" s="75"/>
      <c r="S188" s="75"/>
      <c r="T188" s="75"/>
      <c r="U188" s="75"/>
      <c r="V188" s="75"/>
      <c r="W188" s="75"/>
      <c r="X188" s="75"/>
      <c r="Y188" s="75"/>
      <c r="Z188" s="75"/>
    </row>
    <row r="189" spans="1:26" s="105" customFormat="1" x14ac:dyDescent="0.35">
      <c r="A189" s="102"/>
      <c r="B189" s="102"/>
      <c r="C189" s="90"/>
      <c r="D189" s="124"/>
      <c r="E189" s="90"/>
      <c r="F189" s="90"/>
      <c r="G189" s="234"/>
      <c r="H189" s="234"/>
      <c r="I189" s="234"/>
      <c r="J189" s="234"/>
      <c r="K189" s="234"/>
      <c r="L189" s="234"/>
      <c r="M189" s="234"/>
      <c r="N189" s="234"/>
      <c r="P189" s="75"/>
      <c r="Q189" s="75"/>
      <c r="R189" s="75"/>
      <c r="S189" s="75"/>
      <c r="T189" s="75"/>
      <c r="U189" s="75"/>
      <c r="V189" s="75"/>
      <c r="W189" s="75"/>
      <c r="X189" s="75"/>
      <c r="Y189" s="75"/>
      <c r="Z189" s="75"/>
    </row>
    <row r="190" spans="1:26" s="105" customFormat="1" x14ac:dyDescent="0.35">
      <c r="A190" s="102"/>
      <c r="B190" s="102"/>
      <c r="C190" s="90"/>
      <c r="D190" s="124"/>
      <c r="E190" s="90"/>
      <c r="F190" s="90"/>
      <c r="G190" s="234"/>
      <c r="H190" s="234"/>
      <c r="I190" s="234"/>
      <c r="J190" s="234"/>
      <c r="K190" s="234"/>
      <c r="L190" s="234"/>
      <c r="M190" s="234"/>
      <c r="N190" s="234"/>
      <c r="P190" s="75"/>
      <c r="Q190" s="75"/>
      <c r="R190" s="75"/>
      <c r="S190" s="75"/>
      <c r="T190" s="75"/>
      <c r="U190" s="75"/>
      <c r="V190" s="75"/>
      <c r="W190" s="75"/>
      <c r="X190" s="75"/>
      <c r="Y190" s="75"/>
      <c r="Z190" s="75"/>
    </row>
    <row r="191" spans="1:26" s="105" customFormat="1" x14ac:dyDescent="0.35">
      <c r="A191" s="102"/>
      <c r="B191" s="102"/>
      <c r="C191" s="90"/>
      <c r="D191" s="124"/>
      <c r="E191" s="90"/>
      <c r="F191" s="90"/>
      <c r="G191" s="234"/>
      <c r="H191" s="234"/>
      <c r="I191" s="234"/>
      <c r="J191" s="234"/>
      <c r="K191" s="234"/>
      <c r="L191" s="234"/>
      <c r="M191" s="234"/>
      <c r="N191" s="234"/>
      <c r="P191" s="75"/>
      <c r="Q191" s="75"/>
      <c r="R191" s="75"/>
      <c r="S191" s="75"/>
      <c r="T191" s="75"/>
      <c r="U191" s="75"/>
      <c r="V191" s="75"/>
      <c r="W191" s="75"/>
      <c r="X191" s="75"/>
      <c r="Y191" s="75"/>
      <c r="Z191" s="75"/>
    </row>
    <row r="192" spans="1:26" s="105" customFormat="1" x14ac:dyDescent="0.35">
      <c r="A192" s="102"/>
      <c r="B192" s="102"/>
      <c r="C192" s="90"/>
      <c r="D192" s="124"/>
      <c r="E192" s="90"/>
      <c r="F192" s="90"/>
      <c r="G192" s="234"/>
      <c r="H192" s="234"/>
      <c r="I192" s="234"/>
      <c r="J192" s="234"/>
      <c r="K192" s="234"/>
      <c r="L192" s="234"/>
      <c r="M192" s="234"/>
      <c r="N192" s="234"/>
      <c r="P192" s="75"/>
      <c r="Q192" s="75"/>
      <c r="R192" s="75"/>
      <c r="S192" s="75"/>
      <c r="T192" s="75"/>
      <c r="U192" s="75"/>
      <c r="V192" s="75"/>
      <c r="W192" s="75"/>
      <c r="X192" s="75"/>
      <c r="Y192" s="75"/>
      <c r="Z192" s="75"/>
    </row>
    <row r="193" spans="1:26" s="105" customFormat="1" x14ac:dyDescent="0.35">
      <c r="A193" s="102"/>
      <c r="B193" s="102"/>
      <c r="C193" s="90"/>
      <c r="D193" s="124"/>
      <c r="E193" s="90"/>
      <c r="F193" s="90"/>
      <c r="G193" s="234"/>
      <c r="H193" s="234"/>
      <c r="I193" s="234"/>
      <c r="J193" s="234"/>
      <c r="K193" s="234"/>
      <c r="L193" s="234"/>
      <c r="M193" s="234"/>
      <c r="N193" s="234"/>
      <c r="P193" s="75"/>
      <c r="Q193" s="75"/>
      <c r="R193" s="75"/>
      <c r="S193" s="75"/>
      <c r="T193" s="75"/>
      <c r="U193" s="75"/>
      <c r="V193" s="75"/>
      <c r="W193" s="75"/>
      <c r="X193" s="75"/>
      <c r="Y193" s="75"/>
      <c r="Z193" s="75"/>
    </row>
    <row r="194" spans="1:26" s="105" customFormat="1" x14ac:dyDescent="0.35">
      <c r="A194" s="102"/>
      <c r="B194" s="102"/>
      <c r="C194" s="90"/>
      <c r="D194" s="124"/>
      <c r="E194" s="90"/>
      <c r="F194" s="90"/>
      <c r="G194" s="234"/>
      <c r="H194" s="234"/>
      <c r="I194" s="234"/>
      <c r="J194" s="234"/>
      <c r="K194" s="234"/>
      <c r="L194" s="234"/>
      <c r="M194" s="234"/>
      <c r="N194" s="234"/>
      <c r="P194" s="75"/>
      <c r="Q194" s="75"/>
      <c r="R194" s="75"/>
      <c r="S194" s="75"/>
      <c r="T194" s="75"/>
      <c r="U194" s="75"/>
      <c r="V194" s="75"/>
      <c r="W194" s="75"/>
      <c r="X194" s="75"/>
      <c r="Y194" s="75"/>
      <c r="Z194" s="75"/>
    </row>
    <row r="195" spans="1:26" s="105" customFormat="1" x14ac:dyDescent="0.35">
      <c r="A195" s="102"/>
      <c r="B195" s="102"/>
      <c r="C195" s="90"/>
      <c r="D195" s="124"/>
      <c r="E195" s="90"/>
      <c r="F195" s="90"/>
      <c r="G195" s="234"/>
      <c r="H195" s="234"/>
      <c r="I195" s="234"/>
      <c r="J195" s="234"/>
      <c r="K195" s="234"/>
      <c r="L195" s="234"/>
      <c r="M195" s="234"/>
      <c r="N195" s="234"/>
      <c r="P195" s="75"/>
      <c r="Q195" s="75"/>
      <c r="R195" s="75"/>
      <c r="S195" s="75"/>
      <c r="T195" s="75"/>
      <c r="U195" s="75"/>
      <c r="V195" s="75"/>
      <c r="W195" s="75"/>
      <c r="X195" s="75"/>
      <c r="Y195" s="75"/>
      <c r="Z195" s="75"/>
    </row>
    <row r="196" spans="1:26" s="105" customFormat="1" x14ac:dyDescent="0.35">
      <c r="A196" s="102"/>
      <c r="B196" s="102"/>
      <c r="C196" s="90"/>
      <c r="D196" s="124"/>
      <c r="E196" s="90"/>
      <c r="F196" s="90"/>
      <c r="G196" s="234"/>
      <c r="H196" s="234"/>
      <c r="I196" s="234"/>
      <c r="J196" s="234"/>
      <c r="K196" s="234"/>
      <c r="L196" s="234"/>
      <c r="M196" s="234"/>
      <c r="N196" s="234"/>
      <c r="P196" s="75"/>
      <c r="Q196" s="75"/>
      <c r="R196" s="75"/>
      <c r="S196" s="75"/>
      <c r="T196" s="75"/>
      <c r="U196" s="75"/>
      <c r="V196" s="75"/>
      <c r="W196" s="75"/>
      <c r="X196" s="75"/>
      <c r="Y196" s="75"/>
      <c r="Z196" s="75"/>
    </row>
    <row r="197" spans="1:26" s="105" customFormat="1" x14ac:dyDescent="0.35">
      <c r="A197" s="102"/>
      <c r="B197" s="102"/>
      <c r="C197" s="90"/>
      <c r="D197" s="124"/>
      <c r="E197" s="90"/>
      <c r="F197" s="90"/>
      <c r="G197" s="234"/>
      <c r="H197" s="234"/>
      <c r="I197" s="234"/>
      <c r="J197" s="234"/>
      <c r="K197" s="234"/>
      <c r="L197" s="234"/>
      <c r="M197" s="234"/>
      <c r="N197" s="234"/>
      <c r="P197" s="75"/>
      <c r="Q197" s="75"/>
      <c r="R197" s="75"/>
      <c r="S197" s="75"/>
      <c r="T197" s="75"/>
      <c r="U197" s="75"/>
      <c r="V197" s="75"/>
      <c r="W197" s="75"/>
      <c r="X197" s="75"/>
      <c r="Y197" s="75"/>
      <c r="Z197" s="75"/>
    </row>
    <row r="198" spans="1:26" s="105" customFormat="1" x14ac:dyDescent="0.35">
      <c r="A198" s="102"/>
      <c r="B198" s="102"/>
      <c r="C198" s="90"/>
      <c r="D198" s="124"/>
      <c r="E198" s="90"/>
      <c r="F198" s="90"/>
      <c r="G198" s="234"/>
      <c r="H198" s="234"/>
      <c r="I198" s="234"/>
      <c r="J198" s="234"/>
      <c r="K198" s="234"/>
      <c r="L198" s="234"/>
      <c r="M198" s="234"/>
      <c r="N198" s="234"/>
      <c r="P198" s="75"/>
      <c r="Q198" s="75"/>
      <c r="R198" s="75"/>
      <c r="S198" s="75"/>
      <c r="T198" s="75"/>
      <c r="U198" s="75"/>
      <c r="V198" s="75"/>
      <c r="W198" s="75"/>
      <c r="X198" s="75"/>
      <c r="Y198" s="75"/>
      <c r="Z198" s="75"/>
    </row>
    <row r="199" spans="1:26" s="105" customFormat="1" x14ac:dyDescent="0.35">
      <c r="A199" s="102"/>
      <c r="B199" s="102"/>
      <c r="C199" s="90"/>
      <c r="D199" s="124"/>
      <c r="E199" s="90"/>
      <c r="F199" s="90"/>
      <c r="G199" s="234"/>
      <c r="H199" s="234"/>
      <c r="I199" s="234"/>
      <c r="J199" s="234"/>
      <c r="K199" s="234"/>
      <c r="L199" s="234"/>
      <c r="M199" s="234"/>
      <c r="N199" s="234"/>
      <c r="P199" s="75"/>
      <c r="Q199" s="75"/>
      <c r="R199" s="75"/>
      <c r="S199" s="75"/>
      <c r="T199" s="75"/>
      <c r="U199" s="75"/>
      <c r="V199" s="75"/>
      <c r="W199" s="75"/>
      <c r="X199" s="75"/>
      <c r="Y199" s="75"/>
      <c r="Z199" s="75"/>
    </row>
    <row r="200" spans="1:26" s="105" customFormat="1" x14ac:dyDescent="0.35">
      <c r="A200" s="102"/>
      <c r="B200" s="102"/>
      <c r="C200" s="90"/>
      <c r="D200" s="124"/>
      <c r="E200" s="90"/>
      <c r="F200" s="90"/>
      <c r="G200" s="234"/>
      <c r="H200" s="234"/>
      <c r="I200" s="234"/>
      <c r="J200" s="234"/>
      <c r="K200" s="234"/>
      <c r="L200" s="234"/>
      <c r="M200" s="234"/>
      <c r="N200" s="234"/>
      <c r="P200" s="75"/>
      <c r="Q200" s="75"/>
      <c r="R200" s="75"/>
      <c r="S200" s="75"/>
      <c r="T200" s="75"/>
      <c r="U200" s="75"/>
      <c r="V200" s="75"/>
      <c r="W200" s="75"/>
      <c r="X200" s="75"/>
      <c r="Y200" s="75"/>
      <c r="Z200" s="75"/>
    </row>
    <row r="201" spans="1:26" s="105" customFormat="1" x14ac:dyDescent="0.35">
      <c r="A201" s="102"/>
      <c r="B201" s="102"/>
      <c r="C201" s="90"/>
      <c r="D201" s="124"/>
      <c r="E201" s="90"/>
      <c r="F201" s="90"/>
      <c r="G201" s="234"/>
      <c r="H201" s="234"/>
      <c r="I201" s="234"/>
      <c r="J201" s="234"/>
      <c r="K201" s="234"/>
      <c r="L201" s="234"/>
      <c r="M201" s="234"/>
      <c r="N201" s="234"/>
      <c r="P201" s="75"/>
      <c r="Q201" s="75"/>
      <c r="R201" s="75"/>
      <c r="S201" s="75"/>
      <c r="T201" s="75"/>
      <c r="U201" s="75"/>
      <c r="V201" s="75"/>
      <c r="W201" s="75"/>
      <c r="X201" s="75"/>
      <c r="Y201" s="75"/>
      <c r="Z201" s="75"/>
    </row>
    <row r="202" spans="1:26" s="105" customFormat="1" x14ac:dyDescent="0.35">
      <c r="A202" s="102"/>
      <c r="B202" s="102"/>
      <c r="C202" s="90"/>
      <c r="D202" s="124"/>
      <c r="E202" s="90"/>
      <c r="F202" s="90"/>
      <c r="G202" s="234"/>
      <c r="H202" s="234"/>
      <c r="I202" s="234"/>
      <c r="J202" s="234"/>
      <c r="K202" s="234"/>
      <c r="L202" s="234"/>
      <c r="M202" s="234"/>
      <c r="N202" s="234"/>
      <c r="P202" s="75"/>
      <c r="Q202" s="75"/>
      <c r="R202" s="75"/>
      <c r="S202" s="75"/>
      <c r="T202" s="75"/>
      <c r="U202" s="75"/>
      <c r="V202" s="75"/>
      <c r="W202" s="75"/>
      <c r="X202" s="75"/>
      <c r="Y202" s="75"/>
      <c r="Z202" s="75"/>
    </row>
    <row r="203" spans="1:26" s="105" customFormat="1" x14ac:dyDescent="0.35">
      <c r="A203" s="102"/>
      <c r="B203" s="102"/>
      <c r="C203" s="90"/>
      <c r="D203" s="124"/>
      <c r="E203" s="90"/>
      <c r="F203" s="90"/>
      <c r="G203" s="234"/>
      <c r="H203" s="234"/>
      <c r="I203" s="234"/>
      <c r="J203" s="234"/>
      <c r="K203" s="234"/>
      <c r="L203" s="234"/>
      <c r="M203" s="234"/>
      <c r="N203" s="234"/>
      <c r="P203" s="75"/>
      <c r="Q203" s="75"/>
      <c r="R203" s="75"/>
      <c r="S203" s="75"/>
      <c r="T203" s="75"/>
      <c r="U203" s="75"/>
      <c r="V203" s="75"/>
      <c r="W203" s="75"/>
      <c r="X203" s="75"/>
      <c r="Y203" s="75"/>
      <c r="Z203" s="75"/>
    </row>
    <row r="204" spans="1:26" s="105" customFormat="1" x14ac:dyDescent="0.35">
      <c r="A204" s="102"/>
      <c r="B204" s="102"/>
      <c r="C204" s="90"/>
      <c r="D204" s="124"/>
      <c r="E204" s="90"/>
      <c r="F204" s="90"/>
      <c r="G204" s="234"/>
      <c r="H204" s="234"/>
      <c r="I204" s="234"/>
      <c r="J204" s="234"/>
      <c r="K204" s="234"/>
      <c r="L204" s="234"/>
      <c r="M204" s="234"/>
      <c r="N204" s="234"/>
      <c r="P204" s="75"/>
      <c r="Q204" s="75"/>
      <c r="R204" s="75"/>
      <c r="S204" s="75"/>
      <c r="T204" s="75"/>
      <c r="U204" s="75"/>
      <c r="V204" s="75"/>
      <c r="W204" s="75"/>
      <c r="X204" s="75"/>
      <c r="Y204" s="75"/>
      <c r="Z204" s="75"/>
    </row>
    <row r="205" spans="1:26" s="105" customFormat="1" x14ac:dyDescent="0.35">
      <c r="A205" s="102"/>
      <c r="B205" s="102"/>
      <c r="C205" s="90"/>
      <c r="D205" s="124"/>
      <c r="E205" s="90"/>
      <c r="F205" s="90"/>
      <c r="G205" s="234"/>
      <c r="H205" s="234"/>
      <c r="I205" s="234"/>
      <c r="J205" s="234"/>
      <c r="K205" s="234"/>
      <c r="L205" s="234"/>
      <c r="M205" s="234"/>
      <c r="N205" s="234"/>
      <c r="P205" s="75"/>
      <c r="Q205" s="75"/>
      <c r="R205" s="75"/>
      <c r="S205" s="75"/>
      <c r="T205" s="75"/>
      <c r="U205" s="75"/>
      <c r="V205" s="75"/>
      <c r="W205" s="75"/>
      <c r="X205" s="75"/>
      <c r="Y205" s="75"/>
      <c r="Z205" s="75"/>
    </row>
    <row r="206" spans="1:26" s="105" customFormat="1" x14ac:dyDescent="0.35">
      <c r="A206" s="102"/>
      <c r="B206" s="102"/>
      <c r="C206" s="90"/>
      <c r="D206" s="124"/>
      <c r="E206" s="90"/>
      <c r="F206" s="90"/>
      <c r="G206" s="234"/>
      <c r="H206" s="234"/>
      <c r="I206" s="234"/>
      <c r="J206" s="234"/>
      <c r="K206" s="234"/>
      <c r="L206" s="234"/>
      <c r="M206" s="234"/>
      <c r="N206" s="234"/>
      <c r="P206" s="75"/>
      <c r="Q206" s="75"/>
      <c r="R206" s="75"/>
      <c r="S206" s="75"/>
      <c r="T206" s="75"/>
      <c r="U206" s="75"/>
      <c r="V206" s="75"/>
      <c r="W206" s="75"/>
      <c r="X206" s="75"/>
      <c r="Y206" s="75"/>
      <c r="Z206" s="75"/>
    </row>
    <row r="207" spans="1:26" s="105" customFormat="1" x14ac:dyDescent="0.35">
      <c r="A207" s="102"/>
      <c r="B207" s="102"/>
      <c r="C207" s="90"/>
      <c r="D207" s="124"/>
      <c r="E207" s="90"/>
      <c r="F207" s="90"/>
      <c r="G207" s="234"/>
      <c r="H207" s="234"/>
      <c r="I207" s="234"/>
      <c r="J207" s="234"/>
      <c r="K207" s="234"/>
      <c r="L207" s="234"/>
      <c r="M207" s="234"/>
      <c r="N207" s="234"/>
      <c r="P207" s="75"/>
      <c r="Q207" s="75"/>
      <c r="R207" s="75"/>
      <c r="S207" s="75"/>
      <c r="T207" s="75"/>
      <c r="U207" s="75"/>
      <c r="V207" s="75"/>
      <c r="W207" s="75"/>
      <c r="X207" s="75"/>
      <c r="Y207" s="75"/>
      <c r="Z207" s="75"/>
    </row>
    <row r="208" spans="1:26" s="105" customFormat="1" x14ac:dyDescent="0.35">
      <c r="A208" s="102"/>
      <c r="B208" s="102"/>
      <c r="C208" s="90"/>
      <c r="D208" s="124"/>
      <c r="E208" s="90"/>
      <c r="F208" s="90"/>
      <c r="G208" s="234"/>
      <c r="H208" s="234"/>
      <c r="I208" s="234"/>
      <c r="J208" s="234"/>
      <c r="K208" s="234"/>
      <c r="L208" s="234"/>
      <c r="M208" s="234"/>
      <c r="N208" s="234"/>
      <c r="P208" s="75"/>
      <c r="Q208" s="75"/>
      <c r="R208" s="75"/>
      <c r="S208" s="75"/>
      <c r="T208" s="75"/>
      <c r="U208" s="75"/>
      <c r="V208" s="75"/>
      <c r="W208" s="75"/>
      <c r="X208" s="75"/>
      <c r="Y208" s="75"/>
      <c r="Z208" s="75"/>
    </row>
    <row r="209" spans="1:26" s="105" customFormat="1" x14ac:dyDescent="0.35">
      <c r="A209" s="102"/>
      <c r="B209" s="102"/>
      <c r="C209" s="90"/>
      <c r="D209" s="124"/>
      <c r="E209" s="90"/>
      <c r="F209" s="90"/>
      <c r="G209" s="234"/>
      <c r="H209" s="234"/>
      <c r="I209" s="234"/>
      <c r="J209" s="234"/>
      <c r="K209" s="234"/>
      <c r="L209" s="234"/>
      <c r="M209" s="234"/>
      <c r="N209" s="234"/>
      <c r="P209" s="75"/>
      <c r="Q209" s="75"/>
      <c r="R209" s="75"/>
      <c r="S209" s="75"/>
      <c r="T209" s="75"/>
      <c r="U209" s="75"/>
      <c r="V209" s="75"/>
      <c r="W209" s="75"/>
      <c r="X209" s="75"/>
      <c r="Y209" s="75"/>
      <c r="Z209" s="75"/>
    </row>
    <row r="210" spans="1:26" s="105" customFormat="1" x14ac:dyDescent="0.35">
      <c r="A210" s="102"/>
      <c r="B210" s="102"/>
      <c r="C210" s="90"/>
      <c r="D210" s="124"/>
      <c r="E210" s="90"/>
      <c r="F210" s="90"/>
      <c r="G210" s="234"/>
      <c r="H210" s="234"/>
      <c r="I210" s="234"/>
      <c r="J210" s="234"/>
      <c r="K210" s="234"/>
      <c r="L210" s="234"/>
      <c r="M210" s="234"/>
      <c r="N210" s="234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</row>
    <row r="211" spans="1:26" s="105" customFormat="1" x14ac:dyDescent="0.35">
      <c r="A211" s="102"/>
      <c r="B211" s="102"/>
      <c r="C211" s="90"/>
      <c r="D211" s="124"/>
      <c r="E211" s="90"/>
      <c r="F211" s="90"/>
      <c r="G211" s="234"/>
      <c r="H211" s="234"/>
      <c r="I211" s="234"/>
      <c r="J211" s="234"/>
      <c r="K211" s="234"/>
      <c r="L211" s="234"/>
      <c r="M211" s="234"/>
      <c r="N211" s="234"/>
      <c r="P211" s="75"/>
      <c r="Q211" s="75"/>
      <c r="R211" s="75"/>
      <c r="S211" s="75"/>
      <c r="T211" s="75"/>
      <c r="U211" s="75"/>
      <c r="V211" s="75"/>
      <c r="W211" s="75"/>
      <c r="X211" s="75"/>
      <c r="Y211" s="75"/>
      <c r="Z211" s="75"/>
    </row>
    <row r="212" spans="1:26" s="105" customFormat="1" x14ac:dyDescent="0.35">
      <c r="A212" s="102"/>
      <c r="B212" s="102"/>
      <c r="C212" s="90"/>
      <c r="D212" s="124"/>
      <c r="E212" s="90"/>
      <c r="F212" s="90"/>
      <c r="G212" s="234"/>
      <c r="H212" s="234"/>
      <c r="I212" s="234"/>
      <c r="J212" s="234"/>
      <c r="K212" s="234"/>
      <c r="L212" s="234"/>
      <c r="M212" s="234"/>
      <c r="N212" s="234"/>
      <c r="P212" s="75"/>
      <c r="Q212" s="75"/>
      <c r="R212" s="75"/>
      <c r="S212" s="75"/>
      <c r="T212" s="75"/>
      <c r="U212" s="75"/>
      <c r="V212" s="75"/>
      <c r="W212" s="75"/>
      <c r="X212" s="75"/>
      <c r="Y212" s="75"/>
      <c r="Z212" s="75"/>
    </row>
    <row r="213" spans="1:26" s="105" customFormat="1" x14ac:dyDescent="0.35">
      <c r="A213" s="102"/>
      <c r="B213" s="102"/>
      <c r="C213" s="90"/>
      <c r="D213" s="124"/>
      <c r="E213" s="90"/>
      <c r="F213" s="90"/>
      <c r="G213" s="234"/>
      <c r="H213" s="234"/>
      <c r="I213" s="234"/>
      <c r="J213" s="234"/>
      <c r="K213" s="234"/>
      <c r="L213" s="234"/>
      <c r="M213" s="234"/>
      <c r="N213" s="234"/>
      <c r="P213" s="75"/>
      <c r="Q213" s="75"/>
      <c r="R213" s="75"/>
      <c r="S213" s="75"/>
      <c r="T213" s="75"/>
      <c r="U213" s="75"/>
      <c r="V213" s="75"/>
      <c r="W213" s="75"/>
      <c r="X213" s="75"/>
      <c r="Y213" s="75"/>
      <c r="Z213" s="75"/>
    </row>
    <row r="214" spans="1:26" s="105" customFormat="1" x14ac:dyDescent="0.35">
      <c r="A214" s="102"/>
      <c r="B214" s="102"/>
      <c r="C214" s="90"/>
      <c r="D214" s="124"/>
      <c r="E214" s="90"/>
      <c r="F214" s="90"/>
      <c r="G214" s="234"/>
      <c r="H214" s="234"/>
      <c r="I214" s="234"/>
      <c r="J214" s="234"/>
      <c r="K214" s="234"/>
      <c r="L214" s="234"/>
      <c r="M214" s="234"/>
      <c r="N214" s="234"/>
      <c r="P214" s="75"/>
      <c r="Q214" s="75"/>
      <c r="R214" s="75"/>
      <c r="S214" s="75"/>
      <c r="T214" s="75"/>
      <c r="U214" s="75"/>
      <c r="V214" s="75"/>
      <c r="W214" s="75"/>
      <c r="X214" s="75"/>
      <c r="Y214" s="75"/>
      <c r="Z214" s="75"/>
    </row>
    <row r="215" spans="1:26" s="105" customFormat="1" x14ac:dyDescent="0.35">
      <c r="A215" s="102"/>
      <c r="B215" s="102"/>
      <c r="C215" s="90"/>
      <c r="D215" s="124"/>
      <c r="E215" s="90"/>
      <c r="F215" s="90"/>
      <c r="G215" s="234"/>
      <c r="H215" s="234"/>
      <c r="I215" s="234"/>
      <c r="J215" s="234"/>
      <c r="K215" s="234"/>
      <c r="L215" s="234"/>
      <c r="M215" s="234"/>
      <c r="N215" s="234"/>
      <c r="P215" s="75"/>
      <c r="Q215" s="75"/>
      <c r="R215" s="75"/>
      <c r="S215" s="75"/>
      <c r="T215" s="75"/>
      <c r="U215" s="75"/>
      <c r="V215" s="75"/>
      <c r="W215" s="75"/>
      <c r="X215" s="75"/>
      <c r="Y215" s="75"/>
      <c r="Z215" s="75"/>
    </row>
    <row r="216" spans="1:26" s="105" customFormat="1" x14ac:dyDescent="0.35">
      <c r="A216" s="102"/>
      <c r="B216" s="102"/>
      <c r="C216" s="90"/>
      <c r="D216" s="124"/>
      <c r="E216" s="90"/>
      <c r="F216" s="90"/>
      <c r="G216" s="234"/>
      <c r="H216" s="234"/>
      <c r="I216" s="234"/>
      <c r="J216" s="234"/>
      <c r="K216" s="234"/>
      <c r="L216" s="234"/>
      <c r="M216" s="234"/>
      <c r="N216" s="234"/>
      <c r="P216" s="75"/>
      <c r="Q216" s="75"/>
      <c r="R216" s="75"/>
      <c r="S216" s="75"/>
      <c r="T216" s="75"/>
      <c r="U216" s="75"/>
      <c r="V216" s="75"/>
      <c r="W216" s="75"/>
      <c r="X216" s="75"/>
      <c r="Y216" s="75"/>
      <c r="Z216" s="75"/>
    </row>
    <row r="217" spans="1:26" s="105" customFormat="1" x14ac:dyDescent="0.35">
      <c r="A217" s="102"/>
      <c r="B217" s="102"/>
      <c r="C217" s="90"/>
      <c r="D217" s="124"/>
      <c r="E217" s="90"/>
      <c r="F217" s="90"/>
      <c r="G217" s="234"/>
      <c r="H217" s="234"/>
      <c r="I217" s="234"/>
      <c r="J217" s="234"/>
      <c r="K217" s="234"/>
      <c r="L217" s="234"/>
      <c r="M217" s="234"/>
      <c r="N217" s="234"/>
      <c r="P217" s="75"/>
      <c r="Q217" s="75"/>
      <c r="R217" s="75"/>
      <c r="S217" s="75"/>
      <c r="T217" s="75"/>
      <c r="U217" s="75"/>
      <c r="V217" s="75"/>
      <c r="W217" s="75"/>
      <c r="X217" s="75"/>
      <c r="Y217" s="75"/>
      <c r="Z217" s="75"/>
    </row>
    <row r="218" spans="1:26" s="105" customFormat="1" x14ac:dyDescent="0.35">
      <c r="A218" s="102"/>
      <c r="B218" s="102"/>
      <c r="C218" s="90"/>
      <c r="D218" s="124"/>
      <c r="E218" s="90"/>
      <c r="F218" s="90"/>
      <c r="G218" s="234"/>
      <c r="H218" s="234"/>
      <c r="I218" s="234"/>
      <c r="J218" s="234"/>
      <c r="K218" s="234"/>
      <c r="L218" s="234"/>
      <c r="M218" s="234"/>
      <c r="N218" s="234"/>
      <c r="P218" s="75"/>
      <c r="Q218" s="75"/>
      <c r="R218" s="75"/>
      <c r="S218" s="75"/>
      <c r="T218" s="75"/>
      <c r="U218" s="75"/>
      <c r="V218" s="75"/>
      <c r="W218" s="75"/>
      <c r="X218" s="75"/>
      <c r="Y218" s="75"/>
      <c r="Z218" s="75"/>
    </row>
    <row r="219" spans="1:26" s="105" customFormat="1" x14ac:dyDescent="0.35">
      <c r="A219" s="102"/>
      <c r="B219" s="102"/>
      <c r="C219" s="90"/>
      <c r="D219" s="124"/>
      <c r="E219" s="90"/>
      <c r="F219" s="90"/>
      <c r="G219" s="234"/>
      <c r="H219" s="234"/>
      <c r="I219" s="234"/>
      <c r="J219" s="234"/>
      <c r="K219" s="234"/>
      <c r="L219" s="234"/>
      <c r="M219" s="234"/>
      <c r="N219" s="234"/>
      <c r="P219" s="75"/>
      <c r="Q219" s="75"/>
      <c r="R219" s="75"/>
      <c r="S219" s="75"/>
      <c r="T219" s="75"/>
      <c r="U219" s="75"/>
      <c r="V219" s="75"/>
      <c r="W219" s="75"/>
      <c r="X219" s="75"/>
      <c r="Y219" s="75"/>
      <c r="Z219" s="75"/>
    </row>
    <row r="220" spans="1:26" s="105" customFormat="1" x14ac:dyDescent="0.35">
      <c r="A220" s="102"/>
      <c r="B220" s="102"/>
      <c r="C220" s="90"/>
      <c r="D220" s="124"/>
      <c r="E220" s="90"/>
      <c r="F220" s="90"/>
      <c r="G220" s="234"/>
      <c r="H220" s="234"/>
      <c r="I220" s="234"/>
      <c r="J220" s="234"/>
      <c r="K220" s="234"/>
      <c r="L220" s="234"/>
      <c r="M220" s="234"/>
      <c r="N220" s="234"/>
      <c r="P220" s="75"/>
      <c r="Q220" s="75"/>
      <c r="R220" s="75"/>
      <c r="S220" s="75"/>
      <c r="T220" s="75"/>
      <c r="U220" s="75"/>
      <c r="V220" s="75"/>
      <c r="W220" s="75"/>
      <c r="X220" s="75"/>
      <c r="Y220" s="75"/>
      <c r="Z220" s="75"/>
    </row>
    <row r="221" spans="1:26" s="105" customFormat="1" x14ac:dyDescent="0.35">
      <c r="A221" s="102"/>
      <c r="B221" s="102"/>
      <c r="C221" s="90"/>
      <c r="D221" s="124"/>
      <c r="E221" s="90"/>
      <c r="F221" s="90"/>
      <c r="G221" s="234"/>
      <c r="H221" s="234"/>
      <c r="I221" s="234"/>
      <c r="J221" s="234"/>
      <c r="K221" s="234"/>
      <c r="L221" s="234"/>
      <c r="M221" s="234"/>
      <c r="N221" s="234"/>
      <c r="P221" s="75"/>
      <c r="Q221" s="75"/>
      <c r="R221" s="75"/>
      <c r="S221" s="75"/>
      <c r="T221" s="75"/>
      <c r="U221" s="75"/>
      <c r="V221" s="75"/>
      <c r="W221" s="75"/>
      <c r="X221" s="75"/>
      <c r="Y221" s="75"/>
      <c r="Z221" s="75"/>
    </row>
    <row r="222" spans="1:26" s="105" customFormat="1" x14ac:dyDescent="0.35">
      <c r="A222" s="102"/>
      <c r="B222" s="102"/>
      <c r="C222" s="90"/>
      <c r="D222" s="124"/>
      <c r="E222" s="90"/>
      <c r="F222" s="90"/>
      <c r="G222" s="234"/>
      <c r="H222" s="234"/>
      <c r="I222" s="234"/>
      <c r="J222" s="234"/>
      <c r="K222" s="234"/>
      <c r="L222" s="234"/>
      <c r="M222" s="234"/>
      <c r="N222" s="234"/>
      <c r="P222" s="75"/>
      <c r="Q222" s="75"/>
      <c r="R222" s="75"/>
      <c r="S222" s="75"/>
      <c r="T222" s="75"/>
      <c r="U222" s="75"/>
      <c r="V222" s="75"/>
      <c r="W222" s="75"/>
      <c r="X222" s="75"/>
      <c r="Y222" s="75"/>
      <c r="Z222" s="75"/>
    </row>
    <row r="223" spans="1:26" s="105" customFormat="1" x14ac:dyDescent="0.35">
      <c r="A223" s="102"/>
      <c r="B223" s="102"/>
      <c r="C223" s="90"/>
      <c r="D223" s="124"/>
      <c r="E223" s="90"/>
      <c r="F223" s="90"/>
      <c r="G223" s="234"/>
      <c r="H223" s="234"/>
      <c r="I223" s="234"/>
      <c r="J223" s="234"/>
      <c r="K223" s="234"/>
      <c r="L223" s="234"/>
      <c r="M223" s="234"/>
      <c r="N223" s="234"/>
      <c r="P223" s="75"/>
      <c r="Q223" s="75"/>
      <c r="R223" s="75"/>
      <c r="S223" s="75"/>
      <c r="T223" s="75"/>
      <c r="U223" s="75"/>
      <c r="V223" s="75"/>
      <c r="W223" s="75"/>
      <c r="X223" s="75"/>
      <c r="Y223" s="75"/>
      <c r="Z223" s="75"/>
    </row>
    <row r="224" spans="1:26" s="105" customFormat="1" x14ac:dyDescent="0.35">
      <c r="A224" s="102"/>
      <c r="B224" s="102"/>
      <c r="C224" s="90"/>
      <c r="D224" s="124"/>
      <c r="E224" s="90"/>
      <c r="F224" s="90"/>
      <c r="G224" s="234"/>
      <c r="H224" s="234"/>
      <c r="I224" s="234"/>
      <c r="J224" s="234"/>
      <c r="K224" s="234"/>
      <c r="L224" s="234"/>
      <c r="M224" s="234"/>
      <c r="N224" s="234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</row>
    <row r="225" spans="1:26" s="105" customFormat="1" x14ac:dyDescent="0.35">
      <c r="A225" s="102"/>
      <c r="B225" s="102"/>
      <c r="C225" s="90"/>
      <c r="D225" s="124"/>
      <c r="E225" s="90"/>
      <c r="F225" s="90"/>
      <c r="G225" s="234"/>
      <c r="H225" s="234"/>
      <c r="I225" s="234"/>
      <c r="J225" s="234"/>
      <c r="K225" s="234"/>
      <c r="L225" s="234"/>
      <c r="M225" s="234"/>
      <c r="N225" s="234"/>
      <c r="P225" s="75"/>
      <c r="Q225" s="75"/>
      <c r="R225" s="75"/>
      <c r="S225" s="75"/>
      <c r="T225" s="75"/>
      <c r="U225" s="75"/>
      <c r="V225" s="75"/>
      <c r="W225" s="75"/>
      <c r="X225" s="75"/>
      <c r="Y225" s="75"/>
      <c r="Z225" s="75"/>
    </row>
    <row r="226" spans="1:26" s="105" customFormat="1" x14ac:dyDescent="0.35">
      <c r="A226" s="102"/>
      <c r="B226" s="102"/>
      <c r="C226" s="90"/>
      <c r="D226" s="124"/>
      <c r="E226" s="90"/>
      <c r="F226" s="90"/>
      <c r="G226" s="234"/>
      <c r="H226" s="234"/>
      <c r="I226" s="234"/>
      <c r="J226" s="234"/>
      <c r="K226" s="234"/>
      <c r="L226" s="234"/>
      <c r="M226" s="234"/>
      <c r="N226" s="234"/>
      <c r="P226" s="75"/>
      <c r="Q226" s="75"/>
      <c r="R226" s="75"/>
      <c r="S226" s="75"/>
      <c r="T226" s="75"/>
      <c r="U226" s="75"/>
      <c r="V226" s="75"/>
      <c r="W226" s="75"/>
      <c r="X226" s="75"/>
      <c r="Y226" s="75"/>
      <c r="Z226" s="75"/>
    </row>
    <row r="227" spans="1:26" s="105" customFormat="1" x14ac:dyDescent="0.35">
      <c r="A227" s="102"/>
      <c r="B227" s="102"/>
      <c r="C227" s="90"/>
      <c r="D227" s="124"/>
      <c r="E227" s="90"/>
      <c r="F227" s="90"/>
      <c r="G227" s="234"/>
      <c r="H227" s="234"/>
      <c r="I227" s="234"/>
      <c r="J227" s="234"/>
      <c r="K227" s="234"/>
      <c r="L227" s="234"/>
      <c r="M227" s="234"/>
      <c r="N227" s="234"/>
      <c r="P227" s="75"/>
      <c r="Q227" s="75"/>
      <c r="R227" s="75"/>
      <c r="S227" s="75"/>
      <c r="T227" s="75"/>
      <c r="U227" s="75"/>
      <c r="V227" s="75"/>
      <c r="W227" s="75"/>
      <c r="X227" s="75"/>
      <c r="Y227" s="75"/>
      <c r="Z227" s="75"/>
    </row>
    <row r="228" spans="1:26" s="105" customFormat="1" x14ac:dyDescent="0.35">
      <c r="A228" s="102"/>
      <c r="B228" s="102"/>
      <c r="C228" s="90"/>
      <c r="D228" s="124"/>
      <c r="E228" s="90"/>
      <c r="F228" s="90"/>
      <c r="G228" s="234"/>
      <c r="H228" s="234"/>
      <c r="I228" s="234"/>
      <c r="J228" s="234"/>
      <c r="K228" s="234"/>
      <c r="L228" s="234"/>
      <c r="M228" s="234"/>
      <c r="N228" s="234"/>
      <c r="P228" s="75"/>
      <c r="Q228" s="75"/>
      <c r="R228" s="75"/>
      <c r="S228" s="75"/>
      <c r="T228" s="75"/>
      <c r="U228" s="75"/>
      <c r="V228" s="75"/>
      <c r="W228" s="75"/>
      <c r="X228" s="75"/>
      <c r="Y228" s="75"/>
      <c r="Z228" s="75"/>
    </row>
    <row r="229" spans="1:26" s="105" customFormat="1" x14ac:dyDescent="0.35">
      <c r="A229" s="102"/>
      <c r="B229" s="102"/>
      <c r="C229" s="90"/>
      <c r="D229" s="124"/>
      <c r="E229" s="90"/>
      <c r="F229" s="90"/>
      <c r="G229" s="234"/>
      <c r="H229" s="234"/>
      <c r="I229" s="234"/>
      <c r="J229" s="234"/>
      <c r="K229" s="234"/>
      <c r="L229" s="234"/>
      <c r="M229" s="234"/>
      <c r="N229" s="234"/>
      <c r="P229" s="75"/>
      <c r="Q229" s="75"/>
      <c r="R229" s="75"/>
      <c r="S229" s="75"/>
      <c r="T229" s="75"/>
      <c r="U229" s="75"/>
      <c r="V229" s="75"/>
      <c r="W229" s="75"/>
      <c r="X229" s="75"/>
      <c r="Y229" s="75"/>
      <c r="Z229" s="75"/>
    </row>
    <row r="230" spans="1:26" s="105" customFormat="1" x14ac:dyDescent="0.35">
      <c r="A230" s="102"/>
      <c r="B230" s="102"/>
      <c r="C230" s="90"/>
      <c r="D230" s="124"/>
      <c r="E230" s="90"/>
      <c r="F230" s="90"/>
      <c r="G230" s="234"/>
      <c r="H230" s="234"/>
      <c r="I230" s="234"/>
      <c r="J230" s="234"/>
      <c r="K230" s="234"/>
      <c r="L230" s="234"/>
      <c r="M230" s="234"/>
      <c r="N230" s="234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</row>
    <row r="231" spans="1:26" s="105" customFormat="1" x14ac:dyDescent="0.35">
      <c r="A231" s="102"/>
      <c r="B231" s="102"/>
      <c r="C231" s="90"/>
      <c r="D231" s="124"/>
      <c r="E231" s="90"/>
      <c r="F231" s="90"/>
      <c r="G231" s="234"/>
      <c r="H231" s="234"/>
      <c r="I231" s="234"/>
      <c r="J231" s="234"/>
      <c r="K231" s="234"/>
      <c r="L231" s="234"/>
      <c r="M231" s="234"/>
      <c r="N231" s="234"/>
      <c r="P231" s="75"/>
      <c r="Q231" s="75"/>
      <c r="R231" s="75"/>
      <c r="S231" s="75"/>
      <c r="T231" s="75"/>
      <c r="U231" s="75"/>
      <c r="V231" s="75"/>
      <c r="W231" s="75"/>
      <c r="X231" s="75"/>
      <c r="Y231" s="75"/>
      <c r="Z231" s="75"/>
    </row>
    <row r="232" spans="1:26" s="105" customFormat="1" x14ac:dyDescent="0.35">
      <c r="A232" s="102"/>
      <c r="B232" s="102"/>
      <c r="C232" s="90"/>
      <c r="D232" s="124"/>
      <c r="E232" s="90"/>
      <c r="F232" s="90"/>
      <c r="G232" s="234"/>
      <c r="H232" s="234"/>
      <c r="I232" s="234"/>
      <c r="J232" s="234"/>
      <c r="K232" s="234"/>
      <c r="L232" s="234"/>
      <c r="M232" s="234"/>
      <c r="N232" s="234"/>
      <c r="P232" s="75"/>
      <c r="Q232" s="75"/>
      <c r="R232" s="75"/>
      <c r="S232" s="75"/>
      <c r="T232" s="75"/>
      <c r="U232" s="75"/>
      <c r="V232" s="75"/>
      <c r="W232" s="75"/>
      <c r="X232" s="75"/>
      <c r="Y232" s="75"/>
      <c r="Z232" s="75"/>
    </row>
    <row r="233" spans="1:26" s="105" customFormat="1" x14ac:dyDescent="0.35">
      <c r="A233" s="102"/>
      <c r="B233" s="102"/>
      <c r="C233" s="90"/>
      <c r="D233" s="124"/>
      <c r="E233" s="90"/>
      <c r="F233" s="90"/>
      <c r="G233" s="234"/>
      <c r="H233" s="234"/>
      <c r="I233" s="234"/>
      <c r="J233" s="234"/>
      <c r="K233" s="234"/>
      <c r="L233" s="234"/>
      <c r="M233" s="234"/>
      <c r="N233" s="234"/>
      <c r="P233" s="75"/>
      <c r="Q233" s="75"/>
      <c r="R233" s="75"/>
      <c r="S233" s="75"/>
      <c r="T233" s="75"/>
      <c r="U233" s="75"/>
      <c r="V233" s="75"/>
      <c r="W233" s="75"/>
      <c r="X233" s="75"/>
      <c r="Y233" s="75"/>
      <c r="Z233" s="75"/>
    </row>
    <row r="234" spans="1:26" s="105" customFormat="1" x14ac:dyDescent="0.35">
      <c r="A234" s="102"/>
      <c r="B234" s="102"/>
      <c r="C234" s="90"/>
      <c r="D234" s="124"/>
      <c r="E234" s="90"/>
      <c r="F234" s="90"/>
      <c r="G234" s="234"/>
      <c r="H234" s="234"/>
      <c r="I234" s="234"/>
      <c r="J234" s="234"/>
      <c r="K234" s="234"/>
      <c r="L234" s="234"/>
      <c r="M234" s="234"/>
      <c r="N234" s="234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</row>
    <row r="235" spans="1:26" s="105" customFormat="1" x14ac:dyDescent="0.35">
      <c r="A235" s="102"/>
      <c r="B235" s="102"/>
      <c r="C235" s="90"/>
      <c r="D235" s="124"/>
      <c r="E235" s="90"/>
      <c r="F235" s="90"/>
      <c r="G235" s="234"/>
      <c r="H235" s="234"/>
      <c r="I235" s="234"/>
      <c r="J235" s="234"/>
      <c r="K235" s="234"/>
      <c r="L235" s="234"/>
      <c r="M235" s="234"/>
      <c r="N235" s="234"/>
      <c r="P235" s="75"/>
      <c r="Q235" s="75"/>
      <c r="R235" s="75"/>
      <c r="S235" s="75"/>
      <c r="T235" s="75"/>
      <c r="U235" s="75"/>
      <c r="V235" s="75"/>
      <c r="W235" s="75"/>
      <c r="X235" s="75"/>
      <c r="Y235" s="75"/>
      <c r="Z235" s="75"/>
    </row>
    <row r="236" spans="1:26" s="105" customFormat="1" x14ac:dyDescent="0.35">
      <c r="A236" s="102"/>
      <c r="B236" s="102"/>
      <c r="C236" s="90"/>
      <c r="D236" s="124"/>
      <c r="E236" s="90"/>
      <c r="F236" s="90"/>
      <c r="G236" s="234"/>
      <c r="H236" s="234"/>
      <c r="I236" s="234"/>
      <c r="J236" s="234"/>
      <c r="K236" s="234"/>
      <c r="L236" s="234"/>
      <c r="M236" s="234"/>
      <c r="N236" s="234"/>
      <c r="P236" s="75"/>
      <c r="Q236" s="75"/>
      <c r="R236" s="75"/>
      <c r="S236" s="75"/>
      <c r="T236" s="75"/>
      <c r="U236" s="75"/>
      <c r="V236" s="75"/>
      <c r="W236" s="75"/>
      <c r="X236" s="75"/>
      <c r="Y236" s="75"/>
      <c r="Z236" s="75"/>
    </row>
    <row r="237" spans="1:26" s="105" customFormat="1" x14ac:dyDescent="0.35">
      <c r="A237" s="102"/>
      <c r="B237" s="102"/>
      <c r="C237" s="90"/>
      <c r="D237" s="124"/>
      <c r="E237" s="90"/>
      <c r="F237" s="90"/>
      <c r="G237" s="234"/>
      <c r="H237" s="234"/>
      <c r="I237" s="234"/>
      <c r="J237" s="234"/>
      <c r="K237" s="234"/>
      <c r="L237" s="234"/>
      <c r="M237" s="234"/>
      <c r="N237" s="234"/>
      <c r="P237" s="75"/>
      <c r="Q237" s="75"/>
      <c r="R237" s="75"/>
      <c r="S237" s="75"/>
      <c r="T237" s="75"/>
      <c r="U237" s="75"/>
      <c r="V237" s="75"/>
      <c r="W237" s="75"/>
      <c r="X237" s="75"/>
      <c r="Y237" s="75"/>
      <c r="Z237" s="75"/>
    </row>
    <row r="238" spans="1:26" s="105" customFormat="1" x14ac:dyDescent="0.35">
      <c r="A238" s="102"/>
      <c r="B238" s="102"/>
      <c r="C238" s="90"/>
      <c r="D238" s="124"/>
      <c r="E238" s="90"/>
      <c r="F238" s="90"/>
      <c r="G238" s="234"/>
      <c r="H238" s="234"/>
      <c r="I238" s="234"/>
      <c r="J238" s="234"/>
      <c r="K238" s="234"/>
      <c r="L238" s="234"/>
      <c r="M238" s="234"/>
      <c r="N238" s="234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</row>
    <row r="239" spans="1:26" s="105" customFormat="1" x14ac:dyDescent="0.35">
      <c r="A239" s="102"/>
      <c r="B239" s="102"/>
      <c r="C239" s="90"/>
      <c r="D239" s="124"/>
      <c r="E239" s="90"/>
      <c r="F239" s="90"/>
      <c r="G239" s="234"/>
      <c r="H239" s="234"/>
      <c r="I239" s="234"/>
      <c r="J239" s="234"/>
      <c r="K239" s="234"/>
      <c r="L239" s="234"/>
      <c r="M239" s="234"/>
      <c r="N239" s="234"/>
      <c r="P239" s="75"/>
      <c r="Q239" s="75"/>
      <c r="R239" s="75"/>
      <c r="S239" s="75"/>
      <c r="T239" s="75"/>
      <c r="U239" s="75"/>
      <c r="V239" s="75"/>
      <c r="W239" s="75"/>
      <c r="X239" s="75"/>
      <c r="Y239" s="75"/>
      <c r="Z239" s="75"/>
    </row>
    <row r="240" spans="1:26" s="105" customFormat="1" x14ac:dyDescent="0.35">
      <c r="A240" s="102"/>
      <c r="B240" s="102"/>
      <c r="C240" s="90"/>
      <c r="D240" s="124"/>
      <c r="E240" s="90"/>
      <c r="F240" s="90"/>
      <c r="G240" s="234"/>
      <c r="H240" s="234"/>
      <c r="I240" s="234"/>
      <c r="J240" s="234"/>
      <c r="K240" s="234"/>
      <c r="L240" s="234"/>
      <c r="M240" s="234"/>
      <c r="N240" s="234"/>
      <c r="P240" s="75"/>
      <c r="Q240" s="75"/>
      <c r="R240" s="75"/>
      <c r="S240" s="75"/>
      <c r="T240" s="75"/>
      <c r="U240" s="75"/>
      <c r="V240" s="75"/>
      <c r="W240" s="75"/>
      <c r="X240" s="75"/>
      <c r="Y240" s="75"/>
      <c r="Z240" s="75"/>
    </row>
    <row r="241" spans="1:26" s="105" customFormat="1" x14ac:dyDescent="0.35">
      <c r="A241" s="102"/>
      <c r="B241" s="102"/>
      <c r="C241" s="90"/>
      <c r="D241" s="124"/>
      <c r="E241" s="90"/>
      <c r="F241" s="90"/>
      <c r="G241" s="234"/>
      <c r="H241" s="234"/>
      <c r="I241" s="234"/>
      <c r="J241" s="234"/>
      <c r="K241" s="234"/>
      <c r="L241" s="234"/>
      <c r="M241" s="234"/>
      <c r="N241" s="234"/>
      <c r="P241" s="75"/>
      <c r="Q241" s="75"/>
      <c r="R241" s="75"/>
      <c r="S241" s="75"/>
      <c r="T241" s="75"/>
      <c r="U241" s="75"/>
      <c r="V241" s="75"/>
      <c r="W241" s="75"/>
      <c r="X241" s="75"/>
      <c r="Y241" s="75"/>
      <c r="Z241" s="75"/>
    </row>
    <row r="242" spans="1:26" s="105" customFormat="1" x14ac:dyDescent="0.35">
      <c r="A242" s="102"/>
      <c r="B242" s="102"/>
      <c r="C242" s="90"/>
      <c r="D242" s="124"/>
      <c r="E242" s="90"/>
      <c r="F242" s="90"/>
      <c r="G242" s="234"/>
      <c r="H242" s="234"/>
      <c r="I242" s="234"/>
      <c r="J242" s="234"/>
      <c r="K242" s="234"/>
      <c r="L242" s="234"/>
      <c r="M242" s="234"/>
      <c r="N242" s="234"/>
      <c r="P242" s="75"/>
      <c r="Q242" s="75"/>
      <c r="R242" s="75"/>
      <c r="S242" s="75"/>
      <c r="T242" s="75"/>
      <c r="U242" s="75"/>
      <c r="V242" s="75"/>
      <c r="W242" s="75"/>
      <c r="X242" s="75"/>
      <c r="Y242" s="75"/>
      <c r="Z242" s="75"/>
    </row>
    <row r="243" spans="1:26" s="105" customFormat="1" x14ac:dyDescent="0.35">
      <c r="A243" s="102"/>
      <c r="B243" s="102"/>
      <c r="C243" s="90"/>
      <c r="D243" s="124"/>
      <c r="E243" s="90"/>
      <c r="F243" s="90"/>
      <c r="G243" s="234"/>
      <c r="H243" s="234"/>
      <c r="I243" s="234"/>
      <c r="J243" s="234"/>
      <c r="K243" s="234"/>
      <c r="L243" s="234"/>
      <c r="M243" s="234"/>
      <c r="N243" s="234"/>
      <c r="P243" s="75"/>
      <c r="Q243" s="75"/>
      <c r="R243" s="75"/>
      <c r="S243" s="75"/>
      <c r="T243" s="75"/>
      <c r="U243" s="75"/>
      <c r="V243" s="75"/>
      <c r="W243" s="75"/>
      <c r="X243" s="75"/>
      <c r="Y243" s="75"/>
      <c r="Z243" s="75"/>
    </row>
    <row r="244" spans="1:26" s="105" customFormat="1" x14ac:dyDescent="0.35">
      <c r="A244" s="102"/>
      <c r="B244" s="102"/>
      <c r="C244" s="90"/>
      <c r="D244" s="124"/>
      <c r="E244" s="90"/>
      <c r="F244" s="90"/>
      <c r="G244" s="234"/>
      <c r="H244" s="234"/>
      <c r="I244" s="234"/>
      <c r="J244" s="234"/>
      <c r="K244" s="234"/>
      <c r="L244" s="234"/>
      <c r="M244" s="234"/>
      <c r="N244" s="234"/>
      <c r="P244" s="75"/>
      <c r="Q244" s="75"/>
      <c r="R244" s="75"/>
      <c r="S244" s="75"/>
      <c r="T244" s="75"/>
      <c r="U244" s="75"/>
      <c r="V244" s="75"/>
      <c r="W244" s="75"/>
      <c r="X244" s="75"/>
      <c r="Y244" s="75"/>
      <c r="Z244" s="75"/>
    </row>
    <row r="245" spans="1:26" s="105" customFormat="1" x14ac:dyDescent="0.35">
      <c r="A245" s="102"/>
      <c r="B245" s="102"/>
      <c r="C245" s="90"/>
      <c r="D245" s="124"/>
      <c r="E245" s="90"/>
      <c r="F245" s="90"/>
      <c r="G245" s="234"/>
      <c r="H245" s="234"/>
      <c r="I245" s="234"/>
      <c r="J245" s="234"/>
      <c r="K245" s="234"/>
      <c r="L245" s="234"/>
      <c r="M245" s="234"/>
      <c r="N245" s="234"/>
      <c r="P245" s="75"/>
      <c r="Q245" s="75"/>
      <c r="R245" s="75"/>
      <c r="S245" s="75"/>
      <c r="T245" s="75"/>
      <c r="U245" s="75"/>
      <c r="V245" s="75"/>
      <c r="W245" s="75"/>
      <c r="X245" s="75"/>
      <c r="Y245" s="75"/>
      <c r="Z245" s="75"/>
    </row>
    <row r="246" spans="1:26" s="105" customFormat="1" x14ac:dyDescent="0.35">
      <c r="A246" s="102"/>
      <c r="B246" s="102"/>
      <c r="C246" s="90"/>
      <c r="D246" s="124"/>
      <c r="E246" s="90"/>
      <c r="F246" s="90"/>
      <c r="G246" s="234"/>
      <c r="H246" s="234"/>
      <c r="I246" s="234"/>
      <c r="J246" s="234"/>
      <c r="K246" s="234"/>
      <c r="L246" s="234"/>
      <c r="M246" s="234"/>
      <c r="N246" s="234"/>
      <c r="P246" s="75"/>
      <c r="Q246" s="75"/>
      <c r="R246" s="75"/>
      <c r="S246" s="75"/>
      <c r="T246" s="75"/>
      <c r="U246" s="75"/>
      <c r="V246" s="75"/>
      <c r="W246" s="75"/>
      <c r="X246" s="75"/>
      <c r="Y246" s="75"/>
      <c r="Z246" s="75"/>
    </row>
  </sheetData>
  <sheetProtection formatCells="0" formatColumns="0" formatRows="0" insertColumns="0" insertRows="0" deleteRows="0" sort="0" autoFilter="0"/>
  <conditionalFormatting sqref="O1:O1048576">
    <cfRule type="cellIs" dxfId="12" priority="3" operator="equal">
      <formula>2</formula>
    </cfRule>
    <cfRule type="cellIs" dxfId="11" priority="4" operator="equal">
      <formula>4</formula>
    </cfRule>
  </conditionalFormatting>
  <conditionalFormatting sqref="O1">
    <cfRule type="cellIs" dxfId="10" priority="2" operator="equal">
      <formula>3</formula>
    </cfRule>
  </conditionalFormatting>
  <conditionalFormatting sqref="O2:O41">
    <cfRule type="cellIs" dxfId="9" priority="5" operator="equal">
      <formula>1</formula>
    </cfRule>
  </conditionalFormatting>
  <conditionalFormatting sqref="P1:P1048576">
    <cfRule type="cellIs" dxfId="8" priority="1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19050</xdr:rowOff>
                  </from>
                  <to>
                    <xdr:col>17</xdr:col>
                    <xdr:colOff>276225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K12" sqref="K12"/>
    </sheetView>
  </sheetViews>
  <sheetFormatPr defaultRowHeight="21" outlineLevelCol="1" x14ac:dyDescent="0.35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 x14ac:dyDescent="0.4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 x14ac:dyDescent="0.35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 x14ac:dyDescent="0.35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 x14ac:dyDescent="0.35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 x14ac:dyDescent="0.4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 x14ac:dyDescent="0.35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 x14ac:dyDescent="0.35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 x14ac:dyDescent="0.4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 x14ac:dyDescent="0.35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 x14ac:dyDescent="0.4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 x14ac:dyDescent="0.35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 x14ac:dyDescent="0.35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 x14ac:dyDescent="0.4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 x14ac:dyDescent="0.35">
      <c r="A14" s="66"/>
    </row>
    <row r="15" spans="1:18" s="75" customFormat="1" x14ac:dyDescent="0.35">
      <c r="A15" s="66"/>
    </row>
    <row r="16" spans="1:18" s="75" customFormat="1" x14ac:dyDescent="0.35">
      <c r="A16" s="66"/>
    </row>
    <row r="17" spans="1:1" s="75" customFormat="1" x14ac:dyDescent="0.35">
      <c r="A17" s="66"/>
    </row>
    <row r="18" spans="1:1" s="75" customFormat="1" x14ac:dyDescent="0.35">
      <c r="A18" s="66"/>
    </row>
    <row r="19" spans="1:1" s="75" customFormat="1" x14ac:dyDescent="0.35">
      <c r="A19" s="66"/>
    </row>
    <row r="20" spans="1:1" s="75" customFormat="1" x14ac:dyDescent="0.35">
      <c r="A20" s="66"/>
    </row>
    <row r="21" spans="1:1" s="75" customFormat="1" x14ac:dyDescent="0.35">
      <c r="A21" s="66"/>
    </row>
    <row r="22" spans="1:1" s="75" customFormat="1" x14ac:dyDescent="0.35">
      <c r="A22" s="66"/>
    </row>
    <row r="23" spans="1:1" s="75" customFormat="1" x14ac:dyDescent="0.35">
      <c r="A23" s="66"/>
    </row>
    <row r="24" spans="1:1" s="75" customFormat="1" x14ac:dyDescent="0.35">
      <c r="A24" s="66"/>
    </row>
    <row r="25" spans="1:1" s="75" customFormat="1" x14ac:dyDescent="0.35">
      <c r="A25" s="66"/>
    </row>
    <row r="26" spans="1:1" s="75" customFormat="1" x14ac:dyDescent="0.35">
      <c r="A26" s="66"/>
    </row>
    <row r="27" spans="1:1" s="75" customFormat="1" x14ac:dyDescent="0.35">
      <c r="A27" s="66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TERRA</vt:lpstr>
      <vt:lpstr>Из Autotech </vt:lpstr>
      <vt:lpstr>MILKE</vt:lpstr>
      <vt:lpstr>CTC</vt:lpstr>
      <vt:lpstr>Банк Других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2021-04-09T12:19:52Z</dcterms:modified>
</cp:coreProperties>
</file>