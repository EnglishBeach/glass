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licers/slicer2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D483392C-DF72-4A38-95B6-4837A92479BD}" xr6:coauthVersionLast="46" xr6:coauthVersionMax="46" xr10:uidLastSave="{00000000-0000-0000-0000-000000000000}"/>
  <bookViews>
    <workbookView xWindow="28680" yWindow="-120" windowWidth="29040" windowHeight="15990" tabRatio="827" activeTab="1" xr2:uid="{00000000-000D-0000-FFFF-FFFF00000000}"/>
  </bookViews>
  <sheets>
    <sheet name="TERRA" sheetId="1" r:id="rId1"/>
    <sheet name="MILKE" sheetId="25" r:id="rId2"/>
    <sheet name="Банк Других" sheetId="4" r:id="rId3"/>
  </sheets>
  <definedNames>
    <definedName name="_xlnm._FilterDatabase" localSheetId="1" hidden="1">MILKE!$A$17:$AD$17</definedName>
    <definedName name="_xlnm._FilterDatabase" localSheetId="0" hidden="1">TERRA!$A$28:$C$28</definedName>
    <definedName name="_xlnm._FilterDatabase" localSheetId="2" hidden="1">'Банк Других'!$A$1:$C$26</definedName>
    <definedName name="Z_5CD7248E_C04A_445B_8512_C9303DEF235B_.wvu.Cols" localSheetId="1" hidden="1">MILKE!$N:$N</definedName>
    <definedName name="Z_5CD7248E_C04A_445B_8512_C9303DEF235B_.wvu.Cols" localSheetId="0" hidden="1">TERRA!$L:$R</definedName>
    <definedName name="Z_5CD7248E_C04A_445B_8512_C9303DEF235B_.wvu.Cols" localSheetId="2" hidden="1">'Банк Других'!$D:$J</definedName>
    <definedName name="Z_5CD7248E_C04A_445B_8512_C9303DEF235B_.wvu.FilterData" localSheetId="2" hidden="1">'Банк Других'!$A$1:$C$23</definedName>
    <definedName name="Z_5CD7248E_C04A_445B_8512_C9303DEF235B_.wvu.Rows" localSheetId="2" hidden="1">'Банк Других'!#REF!</definedName>
    <definedName name="Срез_Вещество">#N/A</definedName>
    <definedName name="Срез_название">#N/A</definedName>
    <definedName name="Срез_Ф_____Фаза">#N/A</definedName>
  </definedNames>
  <calcPr calcId="181029"/>
  <customWorkbookViews>
    <customWorkbookView name="IlIa - Личное представление" guid="{5CD7248E-C04A-445B-8512-C9303DEF235B}" mergeInterval="0" personalView="1" maximized="1" xWindow="-8" yWindow="-8" windowWidth="1936" windowHeight="1066" activeSheetId="3"/>
  </customWorkbookView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6" i="25" l="1"/>
  <c r="AB26" i="25"/>
  <c r="AA26" i="25"/>
  <c r="Y26" i="25"/>
  <c r="X26" i="25"/>
  <c r="V26" i="25"/>
  <c r="V4" i="25"/>
  <c r="W26" i="25" l="1"/>
  <c r="L3" i="25" l="1"/>
  <c r="M3" i="25"/>
  <c r="N3" i="25"/>
  <c r="O3" i="25"/>
  <c r="L4" i="25"/>
  <c r="M4" i="25"/>
  <c r="N4" i="25"/>
  <c r="O4" i="25"/>
  <c r="P3" i="25"/>
  <c r="V3" i="25" s="1"/>
  <c r="S3" i="25"/>
  <c r="X3" i="25"/>
  <c r="Y3" i="25"/>
  <c r="AA3" i="25"/>
  <c r="AB3" i="25"/>
  <c r="AC3" i="25"/>
  <c r="P4" i="25"/>
  <c r="S4" i="25"/>
  <c r="X4" i="25"/>
  <c r="Y4" i="25"/>
  <c r="AA4" i="25"/>
  <c r="AB4" i="25"/>
  <c r="AC4" i="25"/>
  <c r="AC2" i="25"/>
  <c r="AB2" i="25"/>
  <c r="AA2" i="25"/>
  <c r="Y2" i="25"/>
  <c r="X2" i="25"/>
  <c r="S2" i="25"/>
  <c r="P2" i="25"/>
  <c r="O2" i="25"/>
  <c r="N2" i="25"/>
  <c r="V2" i="25" l="1"/>
  <c r="Z26" i="25"/>
  <c r="U4" i="25"/>
  <c r="U3" i="25"/>
  <c r="U2" i="25"/>
  <c r="W3" i="25"/>
  <c r="T3" i="25" s="1"/>
  <c r="Z4" i="25"/>
  <c r="Q4" i="25" s="1"/>
  <c r="R4" i="25" s="1"/>
  <c r="W4" i="25"/>
  <c r="T4" i="25" s="1"/>
  <c r="Z3" i="25"/>
  <c r="Q3" i="25" s="1"/>
  <c r="R3" i="25" s="1"/>
  <c r="Z2" i="25"/>
  <c r="Q2" i="25" s="1"/>
  <c r="R2" i="25" s="1"/>
  <c r="L2" i="25" s="1"/>
  <c r="M2" i="25" s="1"/>
  <c r="W2" i="25"/>
  <c r="T2" i="25" s="1"/>
  <c r="S69" i="1" l="1"/>
  <c r="R69" i="1"/>
  <c r="Q69" i="1"/>
  <c r="P69" i="1"/>
  <c r="O69" i="1"/>
  <c r="N69" i="1"/>
  <c r="M69" i="1"/>
  <c r="S68" i="1"/>
  <c r="R68" i="1"/>
  <c r="Q68" i="1"/>
  <c r="P68" i="1"/>
  <c r="O68" i="1"/>
  <c r="N68" i="1"/>
  <c r="M68" i="1"/>
  <c r="S67" i="1"/>
  <c r="R67" i="1"/>
  <c r="Q67" i="1"/>
  <c r="P67" i="1"/>
  <c r="O67" i="1"/>
  <c r="N67" i="1"/>
  <c r="M67" i="1"/>
  <c r="S66" i="1"/>
  <c r="R66" i="1"/>
  <c r="Q66" i="1"/>
  <c r="P66" i="1"/>
  <c r="O66" i="1"/>
  <c r="N66" i="1"/>
  <c r="M66" i="1"/>
  <c r="S65" i="1"/>
  <c r="R65" i="1"/>
  <c r="Q65" i="1"/>
  <c r="P65" i="1"/>
  <c r="O65" i="1"/>
  <c r="N65" i="1"/>
  <c r="M65" i="1"/>
  <c r="S64" i="1"/>
  <c r="R64" i="1"/>
  <c r="Q64" i="1"/>
  <c r="P64" i="1"/>
  <c r="O64" i="1"/>
  <c r="N64" i="1"/>
  <c r="M64" i="1"/>
  <c r="L64" i="1"/>
  <c r="L2" i="1" l="1"/>
  <c r="S2" i="1" l="1"/>
  <c r="R2" i="1"/>
  <c r="Q2" i="1"/>
  <c r="P2" i="1"/>
  <c r="O2" i="1"/>
  <c r="N2" i="1"/>
  <c r="M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  <author>Home</author>
  </authors>
  <commentList>
    <comment ref="G1" authorId="0" shapeId="0" xr:uid="{216BA17C-B0D3-4745-85AC-726984BECAC0}">
      <text>
        <r>
          <rPr>
            <b/>
            <sz val="12"/>
            <color indexed="81"/>
            <rFont val="Tahoma"/>
            <family val="2"/>
            <charset val="204"/>
          </rPr>
          <t>IlIa:</t>
        </r>
        <r>
          <rPr>
            <sz val="12"/>
            <color indexed="81"/>
            <rFont val="Tahoma"/>
            <family val="2"/>
            <charset val="204"/>
          </rPr>
          <t xml:space="preserve">
^10*0
</t>
        </r>
      </text>
    </comment>
    <comment ref="H1" authorId="1" shapeId="0" xr:uid="{D23E9A09-F0CC-42AE-9A23-E0EBEF239E8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1" authorId="1" shapeId="0" xr:uid="{3EE50CD6-B2AD-4F44-952E-8917C761DF23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1" authorId="1" shapeId="0" xr:uid="{592612FF-4C12-4979-AD15-D4EE9AC9E6E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" authorId="1" shapeId="0" xr:uid="{7FAA9022-C6B2-48E2-B65A-E97AE3E3F437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  <comment ref="J17" authorId="1" shapeId="0" xr:uid="{19BA8D88-E5C9-4709-B9E0-F0DF014BDE5D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7" authorId="1" shapeId="0" xr:uid="{C7CCA4BE-A5CF-4AB9-B1E3-BC114ED7F4B6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</commentList>
</comments>
</file>

<file path=xl/sharedStrings.xml><?xml version="1.0" encoding="utf-8"?>
<sst xmlns="http://schemas.openxmlformats.org/spreadsheetml/2006/main" count="326" uniqueCount="108">
  <si>
    <t>f1</t>
  </si>
  <si>
    <t xml:space="preserve"> +f2 lnx</t>
  </si>
  <si>
    <t xml:space="preserve"> +f3 /x^2</t>
  </si>
  <si>
    <t xml:space="preserve"> +f4 /x</t>
  </si>
  <si>
    <t xml:space="preserve">  +f5 x</t>
  </si>
  <si>
    <t xml:space="preserve"> +f6 x^2</t>
  </si>
  <si>
    <t xml:space="preserve"> +f7 x^3</t>
  </si>
  <si>
    <t>h0</t>
  </si>
  <si>
    <t>φ1</t>
  </si>
  <si>
    <r>
      <t>φ2</t>
    </r>
    <r>
      <rPr>
        <sz val="16"/>
        <color theme="1"/>
        <rFont val="Calibri"/>
        <family val="2"/>
        <charset val="204"/>
        <scheme val="minor"/>
      </rPr>
      <t/>
    </r>
  </si>
  <si>
    <r>
      <t>φ3</t>
    </r>
    <r>
      <rPr>
        <sz val="16"/>
        <color theme="1"/>
        <rFont val="Calibri"/>
        <family val="2"/>
        <charset val="204"/>
        <scheme val="minor"/>
      </rPr>
      <t/>
    </r>
  </si>
  <si>
    <r>
      <t>φ4</t>
    </r>
    <r>
      <rPr>
        <sz val="16"/>
        <color theme="1"/>
        <rFont val="Calibri"/>
        <family val="2"/>
        <charset val="204"/>
        <scheme val="minor"/>
      </rPr>
      <t/>
    </r>
  </si>
  <si>
    <r>
      <t>φ5</t>
    </r>
    <r>
      <rPr>
        <sz val="16"/>
        <color theme="1"/>
        <rFont val="Calibri"/>
        <family val="2"/>
        <charset val="204"/>
        <scheme val="minor"/>
      </rPr>
      <t/>
    </r>
  </si>
  <si>
    <r>
      <t>φ6</t>
    </r>
    <r>
      <rPr>
        <sz val="16"/>
        <color theme="1"/>
        <rFont val="Calibri"/>
        <family val="2"/>
        <charset val="204"/>
        <scheme val="minor"/>
      </rPr>
      <t/>
    </r>
  </si>
  <si>
    <r>
      <t>φ7</t>
    </r>
    <r>
      <rPr>
        <sz val="16"/>
        <color theme="1"/>
        <rFont val="Calibri"/>
        <family val="2"/>
        <charset val="204"/>
        <scheme val="minor"/>
      </rPr>
      <t/>
    </r>
  </si>
  <si>
    <t>*Yb</t>
  </si>
  <si>
    <t>Yb</t>
  </si>
  <si>
    <t>YbO</t>
  </si>
  <si>
    <t>*Yb2O3</t>
  </si>
  <si>
    <t>*Er</t>
  </si>
  <si>
    <t>Er</t>
  </si>
  <si>
    <t>ErO</t>
  </si>
  <si>
    <t>*Er2O3</t>
  </si>
  <si>
    <t>*Tm</t>
  </si>
  <si>
    <t>Tm</t>
  </si>
  <si>
    <t>TmO</t>
  </si>
  <si>
    <t>*Tm2O3</t>
  </si>
  <si>
    <t>SiO2</t>
  </si>
  <si>
    <t xml:space="preserve">Al2O3 </t>
  </si>
  <si>
    <t xml:space="preserve">Al6Si2O13 </t>
  </si>
  <si>
    <t>*Ho</t>
  </si>
  <si>
    <t>Ho</t>
  </si>
  <si>
    <t>HoO</t>
  </si>
  <si>
    <t>*Ho2O3</t>
  </si>
  <si>
    <t>*Nd2O3</t>
  </si>
  <si>
    <t>NdO</t>
  </si>
  <si>
    <t>Nd</t>
  </si>
  <si>
    <t>*Nd</t>
  </si>
  <si>
    <t>Вещество:</t>
  </si>
  <si>
    <t>Название</t>
  </si>
  <si>
    <t xml:space="preserve">а 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</si>
  <si>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</si>
  <si>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</si>
  <si>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</si>
  <si>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</si>
  <si>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</si>
  <si>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</si>
  <si>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</si>
  <si>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</si>
  <si>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H(T) Дж</t>
  </si>
  <si>
    <t>S(T) Дж</t>
  </si>
  <si>
    <t>H(To) Дж</t>
  </si>
  <si>
    <t>S(To) Дж</t>
  </si>
  <si>
    <t>Cp (T) Дж</t>
  </si>
  <si>
    <t>X  К/10000</t>
  </si>
  <si>
    <t>Тo К</t>
  </si>
  <si>
    <t>T K</t>
  </si>
  <si>
    <t>Состояние</t>
  </si>
  <si>
    <t>l</t>
  </si>
  <si>
    <t>end</t>
  </si>
  <si>
    <t>N/D</t>
  </si>
  <si>
    <t>g</t>
  </si>
  <si>
    <t>Ge</t>
  </si>
  <si>
    <t>s</t>
  </si>
  <si>
    <t>Se</t>
  </si>
  <si>
    <t>b*T</t>
  </si>
  <si>
    <t>c *T^(-2)</t>
  </si>
  <si>
    <t>e *T^3</t>
  </si>
  <si>
    <t>d *T^(2)</t>
  </si>
  <si>
    <t>Ga</t>
  </si>
  <si>
    <t>Ga2Se</t>
  </si>
  <si>
    <t>Ga2Se3</t>
  </si>
  <si>
    <t>φ2</t>
  </si>
  <si>
    <t>φ3</t>
  </si>
  <si>
    <t>φ4</t>
  </si>
  <si>
    <t>φ5</t>
  </si>
  <si>
    <t>φ6</t>
  </si>
  <si>
    <t>φ7</t>
  </si>
  <si>
    <t>To</t>
  </si>
  <si>
    <t>ΔfH298 кДж</t>
  </si>
  <si>
    <t>T</t>
  </si>
  <si>
    <t>GeSe</t>
  </si>
  <si>
    <t>GeSe2</t>
  </si>
  <si>
    <t>Se (F. Zheng)</t>
  </si>
  <si>
    <t>GaSe (F. Zheng)</t>
  </si>
  <si>
    <t>*Ga[l] (F. Zheng)</t>
  </si>
  <si>
    <t>*(b)Ga2Se3 (F. Zheng)</t>
  </si>
  <si>
    <t>Тип</t>
  </si>
  <si>
    <t>8,3145</t>
  </si>
  <si>
    <t>S(To) J</t>
  </si>
  <si>
    <t>S(T) J</t>
  </si>
  <si>
    <t>Cp (T) J</t>
  </si>
  <si>
    <t>H(To) J</t>
  </si>
  <si>
    <t>dH(T) J</t>
  </si>
  <si>
    <t>H(T) J</t>
  </si>
  <si>
    <t>Х     К/10000</t>
  </si>
  <si>
    <t>X0     К/10000</t>
  </si>
  <si>
    <t>Ф     Фаза</t>
  </si>
  <si>
    <t>S(To)              Дж</t>
  </si>
  <si>
    <t>ΔfН(To)     кДж</t>
  </si>
  <si>
    <t>Н tr       кДж</t>
  </si>
  <si>
    <t>S tr       Дж</t>
  </si>
  <si>
    <t>название</t>
  </si>
  <si>
    <t>GaSe</t>
  </si>
  <si>
    <t>10000*$A$1*(O2*X2-Y2*2/O2+AA2*O2^2+AB2*2*O2^3+AC2*3*O2^4-Z2)</t>
  </si>
  <si>
    <t>H(T) - H0 J</t>
  </si>
  <si>
    <t>ΔfН(To)     кДж для точки отсчета H0 = H(T0)</t>
  </si>
  <si>
    <t>Ga2Se??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</si>
</sst>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\ _₽_-;\-* #,##0.00\ _₽_-;_-* &quot;-&quot;??\ _₽_-;_-@_-"/>
    <numFmt numFmtId="165" formatCode="0.000"/>
    <numFmt numFmtId="166" formatCode="0.0"/>
    <numFmt numFmtId="167" formatCode="0.0000E+00"/>
    <numFmt numFmtId="168" formatCode="#,##0.0"/>
    <numFmt numFmtId="169" formatCode="#,##0.0_ ;[Red]\-#,##0.0\ "/>
    <numFmt numFmtId="170" formatCode="0E+00"/>
    <numFmt numFmtId="171" formatCode="0.0_ ;[Red]\-0.0\ "/>
    <numFmt numFmtId="172" formatCode="0.00_ ;[Red]\-0.00\ "/>
  </numFmts>
  <fonts count="18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4" tint="-0.249977111117893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9FF78"/>
        <bgColor indexed="64"/>
      </patternFill>
    </fill>
    <fill>
      <patternFill patternType="solid">
        <fgColor theme="2" tint="-0.24997711111789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1" fillId="2" borderId="8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9" fontId="2" fillId="5" borderId="12" applyNumberFormat="0">
      <alignment horizontal="left" vertical="center"/>
    </xf>
    <xf numFmtId="167" fontId="1" fillId="0" borderId="0">
      <alignment vertical="center"/>
    </xf>
    <xf numFmtId="11" fontId="12" fillId="16" borderId="0">
      <alignment vertical="top"/>
    </xf>
  </cellStyleXfs>
  <cellXfs count="19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/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6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6" borderId="19" xfId="0" applyFill="1" applyBorder="1" applyAlignment="1">
      <alignment vertical="center"/>
    </xf>
    <xf numFmtId="165" fontId="0" fillId="6" borderId="20" xfId="0" applyNumberFormat="1" applyFill="1" applyBorder="1" applyAlignment="1">
      <alignment vertical="center"/>
    </xf>
    <xf numFmtId="165" fontId="1" fillId="6" borderId="4" xfId="4" applyNumberFormat="1" applyFill="1" applyBorder="1" applyAlignment="1">
      <alignment horizontal="right" vertical="center"/>
    </xf>
    <xf numFmtId="165" fontId="1" fillId="6" borderId="5" xfId="4" applyNumberFormat="1" applyFill="1" applyBorder="1" applyAlignment="1">
      <alignment horizontal="right" vertical="center"/>
    </xf>
    <xf numFmtId="165" fontId="1" fillId="6" borderId="6" xfId="4" applyNumberFormat="1" applyFill="1" applyBorder="1" applyAlignment="1">
      <alignment horizontal="right" vertical="center"/>
    </xf>
    <xf numFmtId="0" fontId="1" fillId="10" borderId="4" xfId="3" applyFill="1" applyBorder="1" applyAlignment="1">
      <alignment horizontal="right" vertical="center"/>
    </xf>
    <xf numFmtId="2" fontId="1" fillId="10" borderId="5" xfId="1" applyNumberFormat="1" applyFill="1" applyBorder="1" applyAlignment="1">
      <alignment horizontal="right" vertical="center"/>
    </xf>
    <xf numFmtId="2" fontId="1" fillId="10" borderId="6" xfId="1" applyNumberFormat="1" applyFill="1" applyBorder="1" applyAlignment="1">
      <alignment horizontal="right" vertical="center"/>
    </xf>
    <xf numFmtId="0" fontId="0" fillId="0" borderId="24" xfId="2" applyFont="1" applyFill="1" applyBorder="1" applyAlignment="1"/>
    <xf numFmtId="0" fontId="0" fillId="8" borderId="25" xfId="2" applyFont="1" applyFill="1" applyBorder="1" applyAlignment="1"/>
    <xf numFmtId="0" fontId="0" fillId="9" borderId="25" xfId="2" applyFont="1" applyFill="1" applyBorder="1" applyAlignment="1"/>
    <xf numFmtId="0" fontId="6" fillId="5" borderId="12" xfId="0" applyFont="1" applyFill="1" applyBorder="1"/>
    <xf numFmtId="0" fontId="6" fillId="11" borderId="12" xfId="0" applyFont="1" applyFill="1" applyBorder="1" applyAlignment="1">
      <alignment horizontal="right"/>
    </xf>
    <xf numFmtId="0" fontId="6" fillId="11" borderId="12" xfId="0" applyFont="1" applyFill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28" xfId="0" applyBorder="1"/>
    <xf numFmtId="0" fontId="0" fillId="0" borderId="0" xfId="0" applyBorder="1"/>
    <xf numFmtId="165" fontId="0" fillId="0" borderId="0" xfId="0" applyNumberFormat="1" applyBorder="1"/>
    <xf numFmtId="165" fontId="0" fillId="0" borderId="7" xfId="0" applyNumberFormat="1" applyBorder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165" fontId="0" fillId="0" borderId="6" xfId="0" applyNumberFormat="1" applyBorder="1"/>
    <xf numFmtId="0" fontId="7" fillId="5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0" fillId="0" borderId="23" xfId="0" applyBorder="1"/>
    <xf numFmtId="0" fontId="0" fillId="0" borderId="26" xfId="0" applyBorder="1"/>
    <xf numFmtId="165" fontId="0" fillId="0" borderId="26" xfId="0" applyNumberFormat="1" applyBorder="1"/>
    <xf numFmtId="165" fontId="0" fillId="0" borderId="27" xfId="0" applyNumberFormat="1" applyBorder="1"/>
    <xf numFmtId="0" fontId="0" fillId="8" borderId="2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26" xfId="0" applyFill="1" applyBorder="1"/>
    <xf numFmtId="0" fontId="0" fillId="9" borderId="2" xfId="0" applyFill="1" applyBorder="1"/>
    <xf numFmtId="0" fontId="0" fillId="9" borderId="0" xfId="0" applyFill="1" applyBorder="1"/>
    <xf numFmtId="0" fontId="0" fillId="9" borderId="5" xfId="0" applyFill="1" applyBorder="1"/>
    <xf numFmtId="0" fontId="0" fillId="9" borderId="26" xfId="0" applyFill="1" applyBorder="1"/>
    <xf numFmtId="165" fontId="0" fillId="12" borderId="2" xfId="0" applyNumberFormat="1" applyFill="1" applyBorder="1"/>
    <xf numFmtId="165" fontId="0" fillId="12" borderId="0" xfId="0" applyNumberFormat="1" applyFill="1" applyBorder="1"/>
    <xf numFmtId="165" fontId="0" fillId="12" borderId="5" xfId="0" applyNumberFormat="1" applyFill="1" applyBorder="1"/>
    <xf numFmtId="165" fontId="0" fillId="12" borderId="26" xfId="0" applyNumberFormat="1" applyFill="1" applyBorder="1"/>
    <xf numFmtId="0" fontId="0" fillId="13" borderId="2" xfId="0" applyFont="1" applyFill="1" applyBorder="1"/>
    <xf numFmtId="0" fontId="0" fillId="13" borderId="0" xfId="0" applyFont="1" applyFill="1" applyBorder="1"/>
    <xf numFmtId="0" fontId="0" fillId="13" borderId="5" xfId="0" applyFont="1" applyFill="1" applyBorder="1"/>
    <xf numFmtId="0" fontId="0" fillId="13" borderId="26" xfId="0" applyFont="1" applyFill="1" applyBorder="1"/>
    <xf numFmtId="0" fontId="0" fillId="13" borderId="2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26" xfId="0" applyFill="1" applyBorder="1"/>
    <xf numFmtId="0" fontId="8" fillId="0" borderId="18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0" xfId="0" applyFont="1"/>
    <xf numFmtId="0" fontId="0" fillId="0" borderId="0" xfId="0" applyProtection="1">
      <protection locked="0"/>
    </xf>
    <xf numFmtId="167" fontId="2" fillId="5" borderId="9" xfId="0" applyNumberFormat="1" applyFont="1" applyFill="1" applyBorder="1" applyAlignment="1">
      <alignment horizontal="center" vertical="center"/>
    </xf>
    <xf numFmtId="167" fontId="2" fillId="5" borderId="10" xfId="0" applyNumberFormat="1" applyFont="1" applyFill="1" applyBorder="1" applyAlignment="1">
      <alignment horizontal="center" vertical="center"/>
    </xf>
    <xf numFmtId="167" fontId="2" fillId="5" borderId="11" xfId="0" applyNumberFormat="1" applyFont="1" applyFill="1" applyBorder="1" applyAlignment="1">
      <alignment horizontal="center" vertical="center"/>
    </xf>
    <xf numFmtId="167" fontId="0" fillId="0" borderId="20" xfId="0" applyNumberFormat="1" applyBorder="1" applyAlignment="1">
      <alignment vertical="center"/>
    </xf>
    <xf numFmtId="167" fontId="0" fillId="12" borderId="20" xfId="0" applyNumberFormat="1" applyFill="1" applyBorder="1" applyAlignment="1">
      <alignment vertical="center"/>
    </xf>
    <xf numFmtId="167" fontId="0" fillId="0" borderId="22" xfId="0" applyNumberFormat="1" applyBorder="1" applyAlignment="1">
      <alignment vertical="center"/>
    </xf>
    <xf numFmtId="167" fontId="0" fillId="0" borderId="0" xfId="0" applyNumberFormat="1"/>
    <xf numFmtId="0" fontId="0" fillId="0" borderId="0" xfId="0"/>
    <xf numFmtId="0" fontId="8" fillId="0" borderId="30" xfId="0" applyFont="1" applyBorder="1" applyAlignment="1">
      <alignment vertical="center"/>
    </xf>
    <xf numFmtId="0" fontId="0" fillId="0" borderId="30" xfId="0" applyBorder="1" applyAlignment="1">
      <alignment vertical="center"/>
    </xf>
    <xf numFmtId="0" fontId="0" fillId="6" borderId="30" xfId="0" applyFill="1" applyBorder="1" applyAlignment="1">
      <alignment vertical="center"/>
    </xf>
    <xf numFmtId="0" fontId="0" fillId="6" borderId="32" xfId="0" applyFill="1" applyBorder="1" applyAlignment="1">
      <alignment vertical="center"/>
    </xf>
    <xf numFmtId="0" fontId="0" fillId="0" borderId="32" xfId="0" applyFill="1" applyBorder="1" applyAlignment="1">
      <alignment vertical="center"/>
    </xf>
    <xf numFmtId="0" fontId="3" fillId="5" borderId="13" xfId="0" applyFont="1" applyFill="1" applyBorder="1" applyAlignment="1">
      <alignment horizontal="center" vertical="center"/>
    </xf>
    <xf numFmtId="0" fontId="0" fillId="6" borderId="33" xfId="0" applyFill="1" applyBorder="1" applyAlignment="1">
      <alignment vertical="center"/>
    </xf>
    <xf numFmtId="0" fontId="8" fillId="0" borderId="5" xfId="0" applyFont="1" applyBorder="1"/>
    <xf numFmtId="0" fontId="0" fillId="0" borderId="34" xfId="0" applyFill="1" applyBorder="1" applyAlignment="1">
      <alignment vertical="center"/>
    </xf>
    <xf numFmtId="0" fontId="0" fillId="6" borderId="35" xfId="0" applyFill="1" applyBorder="1" applyAlignment="1">
      <alignment vertical="center"/>
    </xf>
    <xf numFmtId="167" fontId="0" fillId="12" borderId="19" xfId="0" applyNumberFormat="1" applyFill="1" applyBorder="1" applyAlignment="1" applyProtection="1">
      <alignment vertical="center"/>
    </xf>
    <xf numFmtId="167" fontId="0" fillId="0" borderId="19" xfId="0" applyNumberFormat="1" applyBorder="1" applyAlignment="1" applyProtection="1">
      <alignment vertical="center"/>
    </xf>
    <xf numFmtId="167" fontId="0" fillId="0" borderId="21" xfId="0" applyNumberFormat="1" applyBorder="1" applyAlignment="1" applyProtection="1">
      <alignment vertical="center"/>
    </xf>
    <xf numFmtId="167" fontId="0" fillId="0" borderId="31" xfId="0" applyNumberFormat="1" applyBorder="1" applyAlignment="1" applyProtection="1">
      <alignment vertical="center"/>
    </xf>
    <xf numFmtId="0" fontId="0" fillId="0" borderId="0" xfId="0" applyBorder="1" applyProtection="1">
      <protection locked="0"/>
    </xf>
    <xf numFmtId="49" fontId="0" fillId="0" borderId="0" xfId="0" applyNumberFormat="1"/>
    <xf numFmtId="49" fontId="0" fillId="0" borderId="0" xfId="0" applyNumberFormat="1" applyProtection="1">
      <protection locked="0"/>
    </xf>
    <xf numFmtId="49" fontId="6" fillId="5" borderId="36" xfId="0" applyNumberFormat="1" applyFont="1" applyFill="1" applyBorder="1"/>
    <xf numFmtId="49" fontId="7" fillId="5" borderId="36" xfId="0" applyNumberFormat="1" applyFont="1" applyFill="1" applyBorder="1" applyAlignment="1">
      <alignment horizontal="center" vertical="center"/>
    </xf>
    <xf numFmtId="0" fontId="10" fillId="5" borderId="3" xfId="0" applyFont="1" applyFill="1" applyBorder="1"/>
    <xf numFmtId="167" fontId="1" fillId="0" borderId="0" xfId="6">
      <alignment vertical="center"/>
    </xf>
    <xf numFmtId="0" fontId="2" fillId="5" borderId="40" xfId="5" applyNumberFormat="1" applyBorder="1">
      <alignment horizontal="left" vertical="center"/>
    </xf>
    <xf numFmtId="49" fontId="2" fillId="5" borderId="40" xfId="5" applyNumberFormat="1" applyBorder="1">
      <alignment horizontal="left" vertical="center"/>
    </xf>
    <xf numFmtId="168" fontId="0" fillId="0" borderId="0" xfId="0" applyNumberFormat="1"/>
    <xf numFmtId="168" fontId="0" fillId="0" borderId="0" xfId="0" applyNumberFormat="1" applyProtection="1">
      <protection locked="0"/>
    </xf>
    <xf numFmtId="169" fontId="2" fillId="5" borderId="12" xfId="5" applyNumberFormat="1">
      <alignment horizontal="left" vertical="center"/>
    </xf>
    <xf numFmtId="169" fontId="0" fillId="0" borderId="0" xfId="0" applyNumberFormat="1"/>
    <xf numFmtId="169" fontId="0" fillId="0" borderId="0" xfId="0" applyNumberFormat="1" applyProtection="1">
      <protection locked="0"/>
    </xf>
    <xf numFmtId="170" fontId="0" fillId="0" borderId="0" xfId="0" applyNumberFormat="1"/>
    <xf numFmtId="170" fontId="0" fillId="0" borderId="0" xfId="0" applyNumberFormat="1" applyProtection="1">
      <protection locked="0"/>
    </xf>
    <xf numFmtId="171" fontId="0" fillId="0" borderId="0" xfId="0" applyNumberFormat="1"/>
    <xf numFmtId="171" fontId="0" fillId="0" borderId="0" xfId="0" applyNumberFormat="1" applyProtection="1">
      <protection locked="0"/>
    </xf>
    <xf numFmtId="0" fontId="0" fillId="0" borderId="38" xfId="0" applyBorder="1"/>
    <xf numFmtId="171" fontId="2" fillId="5" borderId="40" xfId="5" applyNumberFormat="1" applyBorder="1">
      <alignment horizontal="left" vertical="center"/>
    </xf>
    <xf numFmtId="169" fontId="2" fillId="5" borderId="40" xfId="5" applyNumberFormat="1" applyBorder="1">
      <alignment horizontal="left" vertical="center"/>
    </xf>
    <xf numFmtId="168" fontId="2" fillId="5" borderId="40" xfId="5" applyNumberFormat="1" applyBorder="1">
      <alignment horizontal="left" vertical="center"/>
    </xf>
    <xf numFmtId="0" fontId="11" fillId="12" borderId="0" xfId="0" applyFont="1" applyFill="1" applyBorder="1"/>
    <xf numFmtId="166" fontId="11" fillId="12" borderId="0" xfId="0" applyNumberFormat="1" applyFont="1" applyFill="1" applyBorder="1" applyProtection="1">
      <protection locked="0"/>
    </xf>
    <xf numFmtId="171" fontId="11" fillId="14" borderId="0" xfId="0" applyNumberFormat="1" applyFont="1" applyFill="1" applyBorder="1" applyAlignment="1" applyProtection="1">
      <alignment vertical="center"/>
    </xf>
    <xf numFmtId="170" fontId="11" fillId="0" borderId="0" xfId="0" applyNumberFormat="1" applyFont="1" applyBorder="1" applyAlignment="1" applyProtection="1">
      <alignment vertical="center"/>
    </xf>
    <xf numFmtId="169" fontId="11" fillId="17" borderId="0" xfId="0" applyNumberFormat="1" applyFont="1" applyFill="1" applyBorder="1" applyAlignment="1" applyProtection="1">
      <alignment vertical="center"/>
    </xf>
    <xf numFmtId="169" fontId="11" fillId="7" borderId="0" xfId="0" applyNumberFormat="1" applyFont="1" applyFill="1" applyBorder="1" applyAlignment="1" applyProtection="1">
      <alignment vertical="center"/>
    </xf>
    <xf numFmtId="168" fontId="11" fillId="0" borderId="0" xfId="0" applyNumberFormat="1" applyFont="1" applyBorder="1" applyAlignment="1" applyProtection="1">
      <alignment vertical="center"/>
    </xf>
    <xf numFmtId="0" fontId="11" fillId="0" borderId="0" xfId="0" applyFont="1" applyProtection="1">
      <protection locked="0"/>
    </xf>
    <xf numFmtId="170" fontId="2" fillId="5" borderId="40" xfId="5" applyNumberFormat="1" applyBorder="1" applyAlignment="1">
      <alignment vertical="center"/>
    </xf>
    <xf numFmtId="0" fontId="11" fillId="15" borderId="0" xfId="0" applyFont="1" applyFill="1" applyBorder="1"/>
    <xf numFmtId="0" fontId="11" fillId="15" borderId="0" xfId="0" applyFont="1" applyFill="1" applyBorder="1" applyAlignment="1" applyProtection="1">
      <alignment vertical="center"/>
      <protection locked="0"/>
    </xf>
    <xf numFmtId="0" fontId="11" fillId="15" borderId="0" xfId="0" applyFont="1" applyFill="1" applyBorder="1" applyAlignment="1" applyProtection="1">
      <alignment vertical="center"/>
    </xf>
    <xf numFmtId="0" fontId="9" fillId="15" borderId="43" xfId="0" applyFont="1" applyFill="1" applyBorder="1"/>
    <xf numFmtId="0" fontId="11" fillId="15" borderId="42" xfId="0" applyFont="1" applyFill="1" applyBorder="1" applyAlignment="1">
      <alignment vertical="center"/>
    </xf>
    <xf numFmtId="166" fontId="11" fillId="12" borderId="42" xfId="0" applyNumberFormat="1" applyFont="1" applyFill="1" applyBorder="1"/>
    <xf numFmtId="166" fontId="11" fillId="12" borderId="42" xfId="0" applyNumberFormat="1" applyFont="1" applyFill="1" applyBorder="1" applyAlignment="1">
      <alignment vertical="center"/>
    </xf>
    <xf numFmtId="169" fontId="11" fillId="17" borderId="42" xfId="0" applyNumberFormat="1" applyFont="1" applyFill="1" applyBorder="1" applyAlignment="1">
      <alignment vertical="center"/>
    </xf>
    <xf numFmtId="0" fontId="9" fillId="15" borderId="0" xfId="0" applyFont="1" applyFill="1" applyBorder="1"/>
    <xf numFmtId="0" fontId="11" fillId="15" borderId="0" xfId="0" applyFont="1" applyFill="1" applyBorder="1" applyAlignment="1">
      <alignment vertical="center"/>
    </xf>
    <xf numFmtId="166" fontId="11" fillId="12" borderId="0" xfId="0" applyNumberFormat="1" applyFont="1" applyFill="1" applyBorder="1"/>
    <xf numFmtId="166" fontId="11" fillId="12" borderId="0" xfId="0" applyNumberFormat="1" applyFont="1" applyFill="1" applyBorder="1" applyAlignment="1">
      <alignment vertical="center"/>
    </xf>
    <xf numFmtId="171" fontId="11" fillId="14" borderId="0" xfId="0" applyNumberFormat="1" applyFont="1" applyFill="1" applyBorder="1" applyAlignment="1">
      <alignment vertical="center"/>
    </xf>
    <xf numFmtId="170" fontId="11" fillId="0" borderId="0" xfId="0" applyNumberFormat="1" applyFont="1" applyBorder="1" applyAlignment="1">
      <alignment vertical="center"/>
    </xf>
    <xf numFmtId="169" fontId="11" fillId="17" borderId="0" xfId="0" applyNumberFormat="1" applyFont="1" applyFill="1" applyBorder="1" applyAlignment="1">
      <alignment vertical="center"/>
    </xf>
    <xf numFmtId="169" fontId="11" fillId="7" borderId="0" xfId="0" applyNumberFormat="1" applyFont="1" applyFill="1" applyBorder="1" applyAlignment="1">
      <alignment vertical="center"/>
    </xf>
    <xf numFmtId="168" fontId="11" fillId="0" borderId="0" xfId="0" applyNumberFormat="1" applyFont="1" applyBorder="1" applyAlignment="1">
      <alignment vertical="center"/>
    </xf>
    <xf numFmtId="171" fontId="0" fillId="0" borderId="0" xfId="0" applyNumberFormat="1" applyBorder="1"/>
    <xf numFmtId="170" fontId="0" fillId="0" borderId="0" xfId="0" applyNumberFormat="1" applyBorder="1"/>
    <xf numFmtId="169" fontId="0" fillId="0" borderId="0" xfId="0" applyNumberFormat="1" applyBorder="1"/>
    <xf numFmtId="168" fontId="0" fillId="0" borderId="0" xfId="0" applyNumberFormat="1" applyBorder="1"/>
    <xf numFmtId="0" fontId="2" fillId="5" borderId="0" xfId="0" applyNumberFormat="1" applyFont="1" applyFill="1" applyBorder="1" applyAlignment="1" applyProtection="1">
      <alignment horizontal="left" vertical="center"/>
    </xf>
    <xf numFmtId="171" fontId="2" fillId="5" borderId="0" xfId="0" applyNumberFormat="1" applyFont="1" applyFill="1" applyBorder="1" applyAlignment="1" applyProtection="1">
      <alignment horizontal="left" vertical="center"/>
    </xf>
    <xf numFmtId="170" fontId="2" fillId="5" borderId="0" xfId="0" applyNumberFormat="1" applyFont="1" applyFill="1" applyBorder="1" applyAlignment="1" applyProtection="1">
      <alignment vertical="center"/>
    </xf>
    <xf numFmtId="169" fontId="2" fillId="5" borderId="0" xfId="0" applyNumberFormat="1" applyFont="1" applyFill="1" applyBorder="1" applyAlignment="1" applyProtection="1">
      <alignment horizontal="left" vertical="center"/>
    </xf>
    <xf numFmtId="168" fontId="2" fillId="5" borderId="0" xfId="0" applyNumberFormat="1" applyFont="1" applyFill="1" applyBorder="1" applyAlignment="1" applyProtection="1">
      <alignment horizontal="left" vertical="center"/>
    </xf>
    <xf numFmtId="49" fontId="2" fillId="5" borderId="0" xfId="0" applyNumberFormat="1" applyFont="1" applyFill="1" applyBorder="1" applyAlignment="1" applyProtection="1">
      <alignment horizontal="left" vertical="center"/>
    </xf>
    <xf numFmtId="172" fontId="2" fillId="5" borderId="40" xfId="5" applyNumberFormat="1" applyBorder="1">
      <alignment horizontal="left" vertical="center"/>
    </xf>
    <xf numFmtId="172" fontId="2" fillId="5" borderId="12" xfId="5" applyNumberFormat="1">
      <alignment horizontal="left" vertical="center"/>
    </xf>
    <xf numFmtId="172" fontId="11" fillId="12" borderId="42" xfId="0" applyNumberFormat="1" applyFont="1" applyFill="1" applyBorder="1" applyAlignment="1">
      <alignment vertical="center"/>
    </xf>
    <xf numFmtId="172" fontId="11" fillId="12" borderId="42" xfId="0" applyNumberFormat="1" applyFont="1" applyFill="1" applyBorder="1"/>
    <xf numFmtId="172" fontId="11" fillId="12" borderId="0" xfId="0" applyNumberFormat="1" applyFont="1" applyFill="1" applyBorder="1" applyProtection="1">
      <protection locked="0"/>
    </xf>
    <xf numFmtId="172" fontId="11" fillId="12" borderId="0" xfId="0" applyNumberFormat="1" applyFont="1" applyFill="1" applyBorder="1"/>
    <xf numFmtId="172" fontId="0" fillId="0" borderId="0" xfId="0" applyNumberFormat="1"/>
    <xf numFmtId="172" fontId="0" fillId="0" borderId="0" xfId="0" applyNumberFormat="1" applyBorder="1"/>
    <xf numFmtId="172" fontId="2" fillId="5" borderId="0" xfId="0" applyNumberFormat="1" applyFont="1" applyFill="1" applyBorder="1" applyAlignment="1" applyProtection="1">
      <alignment horizontal="left" vertical="center"/>
    </xf>
    <xf numFmtId="172" fontId="11" fillId="12" borderId="0" xfId="0" applyNumberFormat="1" applyFont="1" applyFill="1" applyBorder="1" applyAlignment="1">
      <alignment vertical="center"/>
    </xf>
    <xf numFmtId="172" fontId="0" fillId="0" borderId="0" xfId="0" applyNumberFormat="1" applyProtection="1">
      <protection locked="0"/>
    </xf>
    <xf numFmtId="0" fontId="11" fillId="0" borderId="0" xfId="0" applyNumberFormat="1" applyFont="1" applyBorder="1" applyAlignment="1" applyProtection="1">
      <alignment vertical="center"/>
    </xf>
    <xf numFmtId="0" fontId="2" fillId="5" borderId="37" xfId="5" applyNumberFormat="1" applyBorder="1">
      <alignment horizontal="left" vertical="center"/>
    </xf>
    <xf numFmtId="0" fontId="2" fillId="5" borderId="39" xfId="5" applyNumberFormat="1" applyBorder="1">
      <alignment horizontal="left" vertical="center"/>
    </xf>
    <xf numFmtId="0" fontId="2" fillId="5" borderId="29" xfId="5" applyNumberFormat="1" applyBorder="1">
      <alignment horizontal="left" vertical="center"/>
    </xf>
    <xf numFmtId="0" fontId="11" fillId="15" borderId="38" xfId="0" applyFont="1" applyFill="1" applyBorder="1" applyAlignment="1">
      <alignment vertical="center"/>
    </xf>
    <xf numFmtId="0" fontId="11" fillId="15" borderId="41" xfId="0" applyFont="1" applyFill="1" applyBorder="1" applyAlignment="1">
      <alignment vertical="center"/>
    </xf>
    <xf numFmtId="0" fontId="11" fillId="15" borderId="38" xfId="0" applyFont="1" applyFill="1" applyBorder="1" applyAlignment="1" applyProtection="1">
      <alignment vertical="center"/>
      <protection locked="0"/>
    </xf>
    <xf numFmtId="0" fontId="2" fillId="5" borderId="38" xfId="0" applyNumberFormat="1" applyFont="1" applyFill="1" applyBorder="1" applyAlignment="1" applyProtection="1">
      <alignment horizontal="left" vertical="center"/>
    </xf>
    <xf numFmtId="0" fontId="0" fillId="0" borderId="38" xfId="0" applyBorder="1" applyProtection="1">
      <protection locked="0"/>
    </xf>
    <xf numFmtId="49" fontId="16" fillId="5" borderId="0" xfId="0" applyNumberFormat="1" applyFont="1" applyFill="1" applyBorder="1" applyProtection="1"/>
    <xf numFmtId="49" fontId="17" fillId="5" borderId="0" xfId="0" applyNumberFormat="1" applyFont="1" applyFill="1" applyBorder="1"/>
    <xf numFmtId="49" fontId="17" fillId="5" borderId="0" xfId="0" applyNumberFormat="1" applyFont="1" applyFill="1" applyBorder="1" applyProtection="1"/>
    <xf numFmtId="0" fontId="11" fillId="12" borderId="0" xfId="0" applyNumberFormat="1" applyFont="1" applyFill="1" applyBorder="1" applyAlignment="1" applyProtection="1">
      <alignment vertical="center"/>
    </xf>
    <xf numFmtId="0" fontId="0" fillId="0" borderId="0" xfId="0" applyNumberFormat="1"/>
    <xf numFmtId="0" fontId="0" fillId="0" borderId="0" xfId="0" applyNumberFormat="1" applyBorder="1"/>
    <xf numFmtId="0" fontId="11" fillId="12" borderId="0" xfId="0" applyNumberFormat="1" applyFont="1" applyFill="1" applyBorder="1" applyAlignment="1">
      <alignment vertical="center"/>
    </xf>
    <xf numFmtId="0" fontId="11" fillId="0" borderId="0" xfId="0" applyNumberFormat="1" applyFont="1" applyBorder="1" applyAlignment="1">
      <alignment vertical="center"/>
    </xf>
    <xf numFmtId="0" fontId="0" fillId="0" borderId="0" xfId="0" applyNumberFormat="1" applyProtection="1">
      <protection locked="0"/>
    </xf>
    <xf numFmtId="0" fontId="9" fillId="18" borderId="0" xfId="0" applyFont="1" applyFill="1" applyBorder="1"/>
    <xf numFmtId="0" fontId="11" fillId="18" borderId="38" xfId="0" applyFont="1" applyFill="1" applyBorder="1" applyAlignment="1">
      <alignment vertical="center"/>
    </xf>
    <xf numFmtId="0" fontId="11" fillId="18" borderId="0" xfId="0" applyFont="1" applyFill="1" applyBorder="1" applyAlignment="1">
      <alignment vertical="center"/>
    </xf>
    <xf numFmtId="0" fontId="11" fillId="18" borderId="0" xfId="0" applyNumberFormat="1" applyFont="1" applyFill="1" applyBorder="1" applyAlignment="1" applyProtection="1">
      <alignment vertical="center"/>
    </xf>
    <xf numFmtId="166" fontId="11" fillId="18" borderId="0" xfId="0" applyNumberFormat="1" applyFont="1" applyFill="1" applyBorder="1"/>
    <xf numFmtId="166" fontId="11" fillId="18" borderId="0" xfId="0" applyNumberFormat="1" applyFont="1" applyFill="1" applyBorder="1" applyAlignment="1">
      <alignment vertical="center"/>
    </xf>
    <xf numFmtId="172" fontId="11" fillId="18" borderId="0" xfId="0" applyNumberFormat="1" applyFont="1" applyFill="1" applyBorder="1" applyAlignment="1">
      <alignment vertical="center"/>
    </xf>
    <xf numFmtId="172" fontId="11" fillId="18" borderId="0" xfId="0" applyNumberFormat="1" applyFont="1" applyFill="1" applyBorder="1"/>
    <xf numFmtId="171" fontId="11" fillId="18" borderId="0" xfId="0" applyNumberFormat="1" applyFont="1" applyFill="1" applyBorder="1" applyAlignment="1" applyProtection="1">
      <alignment vertical="center"/>
    </xf>
    <xf numFmtId="170" fontId="11" fillId="18" borderId="0" xfId="0" applyNumberFormat="1" applyFont="1" applyFill="1" applyBorder="1" applyAlignment="1" applyProtection="1">
      <alignment vertical="center"/>
    </xf>
    <xf numFmtId="169" fontId="11" fillId="18" borderId="0" xfId="0" applyNumberFormat="1" applyFont="1" applyFill="1" applyBorder="1" applyAlignment="1" applyProtection="1">
      <alignment vertical="center"/>
    </xf>
    <xf numFmtId="168" fontId="11" fillId="18" borderId="0" xfId="0" applyNumberFormat="1" applyFont="1" applyFill="1" applyBorder="1" applyAlignment="1" applyProtection="1">
      <alignment vertical="center"/>
    </xf>
    <xf numFmtId="0" fontId="9" fillId="18" borderId="43" xfId="0" applyFont="1" applyFill="1" applyBorder="1"/>
    <xf numFmtId="0" fontId="11" fillId="18" borderId="41" xfId="0" applyFont="1" applyFill="1" applyBorder="1" applyAlignment="1">
      <alignment vertical="center"/>
    </xf>
    <xf numFmtId="0" fontId="11" fillId="18" borderId="42" xfId="0" applyFont="1" applyFill="1" applyBorder="1" applyAlignment="1">
      <alignment vertical="center"/>
    </xf>
    <xf numFmtId="0" fontId="11" fillId="18" borderId="0" xfId="0" applyNumberFormat="1" applyFont="1" applyFill="1" applyBorder="1" applyAlignment="1">
      <alignment vertical="center"/>
    </xf>
    <xf numFmtId="49" fontId="17" fillId="18" borderId="0" xfId="0" applyNumberFormat="1" applyFont="1" applyFill="1" applyBorder="1"/>
    <xf numFmtId="49" fontId="16" fillId="18" borderId="0" xfId="0" applyNumberFormat="1" applyFont="1" applyFill="1" applyBorder="1" applyProtection="1"/>
  </cellXfs>
  <cellStyles count="8">
    <cellStyle name="40% — акцент2" xfId="3" builtinId="35"/>
    <cellStyle name="40% — акцент5" xfId="4" builtinId="47"/>
    <cellStyle name="Данные" xfId="6" xr:uid="{00000000-0005-0000-0000-000002000000}"/>
    <cellStyle name="Заголовок" xfId="5" xr:uid="{00000000-0005-0000-0000-000003000000}"/>
    <cellStyle name="Обычный" xfId="0" builtinId="0"/>
    <cellStyle name="Примечание" xfId="2" builtinId="10"/>
    <cellStyle name="Финансовый" xfId="1" builtinId="3"/>
    <cellStyle name="Форм" xfId="7" xr:uid="{C513593A-0608-4709-8881-DD8FFE279C8E}"/>
  </cellStyles>
  <dxfs count="103"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8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border outline="0">
        <top style="thick">
          <color indexed="64"/>
        </top>
        <bottom style="thin">
          <color theme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 tint="-4.9989318521683403E-2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8" formatCode="#,##0.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"/>
      <fill>
        <patternFill patternType="solid">
          <fgColor indexed="64"/>
          <bgColor theme="7" tint="0.79998168889431442"/>
        </patternFill>
      </fill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</dxf>
    <dxf>
      <numFmt numFmtId="0" formatCode="General"/>
    </dxf>
    <dxf>
      <numFmt numFmtId="30" formatCode="@"/>
    </dxf>
    <dxf>
      <numFmt numFmtId="165" formatCode="0.0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numFmt numFmtId="30" formatCode="@"/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09FF78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microsoft.com/office/2006/relationships/vbaProject" Target="vbaProject.bin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15</xdr:row>
      <xdr:rowOff>123825</xdr:rowOff>
    </xdr:from>
    <xdr:to>
      <xdr:col>3</xdr:col>
      <xdr:colOff>1276350</xdr:colOff>
      <xdr:row>26</xdr:row>
      <xdr:rowOff>247650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Вещество: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: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62425"/>
              <a:ext cx="4105275" cy="30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41462</xdr:rowOff>
    </xdr:from>
    <xdr:to>
      <xdr:col>2</xdr:col>
      <xdr:colOff>619125</xdr:colOff>
      <xdr:row>15</xdr:row>
      <xdr:rowOff>98609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5" name="Вещество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17812"/>
              <a:ext cx="1800225" cy="30860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9525</xdr:colOff>
      <xdr:row>4</xdr:row>
      <xdr:rowOff>9525</xdr:rowOff>
    </xdr:from>
    <xdr:to>
      <xdr:col>22</xdr:col>
      <xdr:colOff>66261</xdr:colOff>
      <xdr:row>12</xdr:row>
      <xdr:rowOff>238125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Ф     Фаза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Фаз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7290" y="973231"/>
              <a:ext cx="1872503" cy="24697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е" xr10:uid="{482CABCB-2D9E-4365-A4F4-9950E07A0254}" sourceName="название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ещество" xr10:uid="{4891EE41-D330-4B86-A4EE-73298E4AC426}" sourceName="Вещество:">
  <extLst>
    <x:ext xmlns:x15="http://schemas.microsoft.com/office/spreadsheetml/2010/11/main" uri="{2F2917AC-EB37-4324-AD4E-5DD8C200BD13}">
      <x15:tableSlicerCache tableId="13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Фаза" xr10:uid="{86454E41-97AF-453D-98AD-FBAB8C41BEDA}" sourceName="Ф     Фаза">
  <extLst>
    <x:ext xmlns:x15="http://schemas.microsoft.com/office/spreadsheetml/2010/11/main" uri="{2F2917AC-EB37-4324-AD4E-5DD8C200BD13}">
      <x15:tableSlicerCache tableId="1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:" xr10:uid="{58F713A8-BCEA-41F6-AB9A-BFCEF8749AB9}" cache="Срез_Вещество" caption="Вещество:" columnCount="3" rowHeight="336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" xr10:uid="{5A83FAE1-C4A8-4D7C-863E-712D5E2B8A37}" cache="Срез_название" caption="Вещество" columnCount="2" rowHeight="336550"/>
  <slicer name="Ф     Фаза" xr10:uid="{93E46EF2-E354-4E74-B7FF-B89B53C594C2}" cache="Срез_Ф_____Фаза" caption=" Фаза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E09405-AE14-40D5-B341-50C5324F0DA7}" name="TerraРасчет" displayName="TerraРасчет" ref="A1:T2" totalsRowShown="0" headerRowDxfId="102" dataDxfId="101">
  <autoFilter ref="A1:T2" xr:uid="{F864FCED-5B62-400A-A6F1-416199C86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F6D70477-5653-4862-844E-F4C16F63FEE4}" name="8,3145" dataDxfId="100"/>
    <tableColumn id="2" xr3:uid="{BB40138A-8808-4061-AEDA-CF469EFB4093}" name="To" dataDxfId="99"/>
    <tableColumn id="3" xr3:uid="{43E7B414-AB47-428B-9A0D-DF042EF59F80}" name="T" dataDxfId="98"/>
    <tableColumn id="4" xr3:uid="{962C345B-46D3-4BA8-81F8-8B5DBBA25F4D}" name="ΔfH298 кДж" dataDxfId="97"/>
    <tableColumn id="5" xr3:uid="{09C4003E-90AB-4543-8CB0-65D02D47956A}" name="f1" dataDxfId="96"/>
    <tableColumn id="6" xr3:uid="{887E2589-4390-49B0-9135-C50E7CFD4C9D}" name=" +f2 lnx" dataDxfId="95"/>
    <tableColumn id="7" xr3:uid="{6ABFC53E-E6B7-495E-A610-477F073B9B8B}" name=" +f3 /x^2" dataDxfId="94"/>
    <tableColumn id="8" xr3:uid="{A86EFD9D-1EBD-43B7-A0D0-A329591090EC}" name=" +f4 /x" dataDxfId="93"/>
    <tableColumn id="9" xr3:uid="{88C19ABD-4EC3-4304-85BB-3774D23DEE2F}" name="  +f5 x" dataDxfId="92"/>
    <tableColumn id="10" xr3:uid="{19739978-D976-432F-A7E6-7504DD8D4966}" name=" +f6 x^2" dataDxfId="91"/>
    <tableColumn id="11" xr3:uid="{01A66EF0-D18E-474B-A021-49EF50FD2588}" name=" +f7 x^3" dataDxfId="90"/>
    <tableColumn id="12" xr3:uid="{009EEC10-9A23-43DD-8AD4-D748C6DFC094}" name="h0" dataDxfId="89">
      <calculatedColumnFormula>D2/10/A1</calculatedColumnFormula>
    </tableColumn>
    <tableColumn id="13" xr3:uid="{659548A5-C601-4EF4-8BA3-8293E1075BED}" name="φ1" dataDxfId="88">
      <calculatedColumnFormula>E2/A1</calculatedColumnFormula>
    </tableColumn>
    <tableColumn id="14" xr3:uid="{AAE2C31D-0366-4E59-95C1-C0C0DCC1A361}" name="φ2" dataDxfId="87">
      <calculatedColumnFormula>F2/A1</calculatedColumnFormula>
    </tableColumn>
    <tableColumn id="15" xr3:uid="{A8D9100C-7848-4D41-8082-2ED38BC3B447}" name="φ3" dataDxfId="86">
      <calculatedColumnFormula>G2/A1</calculatedColumnFormula>
    </tableColumn>
    <tableColumn id="16" xr3:uid="{191574BD-2C69-49A1-8B80-387BE1281538}" name="φ4" dataDxfId="85">
      <calculatedColumnFormula>H2/A1</calculatedColumnFormula>
    </tableColumn>
    <tableColumn id="17" xr3:uid="{656F5846-8C99-463F-85D3-1D966920686B}" name="φ5" dataDxfId="84">
      <calculatedColumnFormula>I2/A1</calculatedColumnFormula>
    </tableColumn>
    <tableColumn id="18" xr3:uid="{F3FBB6BC-0ADE-44B4-926C-D51EA6D5CE47}" name="φ6" dataDxfId="83">
      <calculatedColumnFormula>J2/A1</calculatedColumnFormula>
    </tableColumn>
    <tableColumn id="19" xr3:uid="{F3CC7336-84AD-4BF8-A3FB-562250B41B23}" name="φ7" dataDxfId="82">
      <calculatedColumnFormula>K2/A1</calculatedColumnFormula>
    </tableColumn>
    <tableColumn id="20" xr3:uid="{85C266A3-4D2A-4200-90D7-21819B35CDE8}" name="Тип" dataDxfId="8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34A2A63-ABD6-4FAC-B4B9-94FF014C572B}" name="TerraБанк" displayName="TerraБанк" ref="A28:T92" totalsRowShown="0" headerRowDxfId="80">
  <autoFilter ref="A28:T92" xr:uid="{E7C1E993-DC47-4C1B-A2C6-B12A0E48E37E}">
    <filterColumn colId="0" hiddenButton="1">
      <filters>
        <filter val="*Yb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sortState xmlns:xlrd2="http://schemas.microsoft.com/office/spreadsheetml/2017/richdata2" ref="A29:T92">
    <sortCondition ref="A29:A92"/>
    <sortCondition ref="B29:B92"/>
  </sortState>
  <tableColumns count="20">
    <tableColumn id="1" xr3:uid="{A496D1C9-75D5-44EA-B0F5-12B24567AC66}" name="Вещество:" dataDxfId="79"/>
    <tableColumn id="2" xr3:uid="{B27A7AFD-6437-43CB-B205-001947AF22C5}" name="To" dataDxfId="78"/>
    <tableColumn id="3" xr3:uid="{F8B6FE0F-47E0-4F56-8D49-E7F8D9BDE532}" name="T" dataDxfId="77"/>
    <tableColumn id="4" xr3:uid="{AA60D029-D510-409E-B2D8-79341F783BF9}" name="ΔfH298 кДж"/>
    <tableColumn id="5" xr3:uid="{4FDE5A16-7FD7-426A-B019-A32BA6B3BA68}" name="f1" dataDxfId="76"/>
    <tableColumn id="6" xr3:uid="{6C7EB40F-8185-4A32-BB84-D7AE92FB15E9}" name=" +f2 lnx"/>
    <tableColumn id="7" xr3:uid="{F4B00BEF-2CEA-4B03-A1D1-5652EB13D89B}" name=" +f3 /x^2" dataDxfId="75"/>
    <tableColumn id="8" xr3:uid="{CB3505D4-3797-42B2-BB00-30AECA739707}" name=" +f4 /x"/>
    <tableColumn id="9" xr3:uid="{1D68A0CE-67B8-4DC0-8E3F-E3787709577D}" name="  +f5 x" dataDxfId="74"/>
    <tableColumn id="10" xr3:uid="{09DCABF0-143F-4B8D-A0EA-42CD38BE813F}" name=" +f6 x^2"/>
    <tableColumn id="11" xr3:uid="{E62579E3-A9DE-47E1-8924-BB9D66919382}" name=" +f7 x^3" dataDxfId="73"/>
    <tableColumn id="12" xr3:uid="{1100EBF6-5FDF-4E55-AB42-D192C3F5D035}" name="h0" dataDxfId="72"/>
    <tableColumn id="13" xr3:uid="{7472095F-82D1-4F30-BD4F-EF47376FA9C5}" name="φ1" dataDxfId="71"/>
    <tableColumn id="14" xr3:uid="{65423363-3F37-4009-BEA4-D5FAA62E913F}" name="φ2" dataDxfId="70"/>
    <tableColumn id="15" xr3:uid="{D2547A53-4426-41EE-8CF3-B68A8EF8A5BA}" name="φ3" dataDxfId="69"/>
    <tableColumn id="16" xr3:uid="{04B96E84-AFBF-4929-96A4-E1D614078EDA}" name="φ4" dataDxfId="68"/>
    <tableColumn id="17" xr3:uid="{4C1AA269-00ED-4D3E-8200-3A4CE6BD9FAC}" name="φ5" dataDxfId="67"/>
    <tableColumn id="18" xr3:uid="{370E4D8C-FFF5-416C-A881-E1EC896832A8}" name="φ6" dataDxfId="66"/>
    <tableColumn id="19" xr3:uid="{01BCAA21-0789-445E-B9B9-1064903EC4CD}" name="φ7" dataDxfId="65"/>
    <tableColumn id="20" xr3:uid="{4856DF7F-5A02-49C4-8727-B1E70E81A40F}" name="Тип" dataDxfId="6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A0AE93-E72B-4F1E-87D1-400CE7A21804}" name="MilkeРасчет" displayName="MilkeРасчет" ref="A1:AD4" totalsRowShown="0" headerRowDxfId="63" dataDxfId="62">
  <autoFilter ref="A1:AD4" xr:uid="{13BE609B-A647-413F-9844-2457BA0FD3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46875A46-5DC4-426F-A9E8-89D2CA029F79}" name="8,3145" dataDxfId="61"/>
    <tableColumn id="2" xr3:uid="{CA5F83F4-3916-49DD-9C80-1C6BA08C41FD}" name="Ф     Фаза" dataDxfId="60"/>
    <tableColumn id="3" xr3:uid="{E1CF9AB4-D1F1-4707-9F8E-7A1D8EEAD264}" name="Тo К" dataDxfId="59"/>
    <tableColumn id="4" xr3:uid="{BB48AD1F-9346-4482-9C8B-5289F7C64287}" name="T K" dataDxfId="58"/>
    <tableColumn id="5" xr3:uid="{3194BE27-4815-4F90-9C66-DAB42A668AE5}" name="ΔfН(To)     кДж для точки отсчета H0 = H(T0)" dataDxfId="57"/>
    <tableColumn id="6" xr3:uid="{D53ED5D6-546D-4C59-94A9-87AD91A14D97}" name="S(To)              Дж" dataDxfId="56"/>
    <tableColumn id="7" xr3:uid="{B1AB7FBC-61E1-47A8-ACDC-F1492D2C3938}" name="а " dataDxfId="55"/>
    <tableColumn id="8" xr3:uid="{360D6969-2564-4470-A9FE-E6ED68BFE2BE}" name="b*T" dataDxfId="54"/>
    <tableColumn id="9" xr3:uid="{37C5A353-2260-45D5-91E1-75286627F452}" name="c *T^(-2)" dataDxfId="53"/>
    <tableColumn id="10" xr3:uid="{9E61002E-1974-4255-AC5E-18B193537764}" name="d *T^(2)" dataDxfId="52"/>
    <tableColumn id="11" xr3:uid="{1773CF09-ABC5-4EDC-9DEA-3A5B0002E916}" name="e *T^3" dataDxfId="51"/>
    <tableColumn id="12" xr3:uid="{5330F6DE-0C6F-47EF-BDCB-E7A31EEC1D37}" name="Н tr       кДж" dataDxfId="50">
      <calculatedColumnFormula>IF(ISBLANK(B3),"N/D",(P3-R2)/1000)</calculatedColumnFormula>
    </tableColumn>
    <tableColumn id="13" xr3:uid="{557974E4-936C-45C0-8681-867E0B532CF6}" name="S tr       Дж" dataDxfId="49">
      <calculatedColumnFormula>IF(ISBLANK(B3),"N/D",L2*1000/C3)</calculatedColumnFormula>
    </tableColumn>
    <tableColumn id="14" xr3:uid="{9C89DADE-8E33-4ED6-90D7-AC02B43E0511}" name="X0     К/10000" dataDxfId="48">
      <calculatedColumnFormula>C2/10000</calculatedColumnFormula>
    </tableColumn>
    <tableColumn id="15" xr3:uid="{A4EDC85D-50F1-4EAB-9449-CE72612049F8}" name="Х     К/10000" dataDxfId="47">
      <calculatedColumnFormula>D2/10000</calculatedColumnFormula>
    </tableColumn>
    <tableColumn id="16" xr3:uid="{035B77D6-DB28-48D6-BC23-527C9A59E463}" name="H(To) J" dataDxfId="46">
      <calculatedColumnFormula>E2*1000</calculatedColumnFormula>
    </tableColumn>
    <tableColumn id="17" xr3:uid="{0D98C8F1-CEFB-429B-81CA-508080279E92}" name="H(T) - H0 J" dataDxfId="45">
      <calculatedColumnFormula>10000*$A$1*(O2*X2-Y2*2/O2+AA2*O2^2+AB2*2*O2^3+AC2*3*O2^4-Z2)</calculatedColumnFormula>
    </tableColumn>
    <tableColumn id="18" xr3:uid="{DCE4A490-A745-4C35-AA5B-71A53EC07D93}" name="H(T) J" dataDxfId="44">
      <calculatedColumnFormula>$P$2+Q2</calculatedColumnFormula>
    </tableColumn>
    <tableColumn id="19" xr3:uid="{257A9C2D-55C7-4DBB-990E-728FF037648C}" name="S(To) J" dataDxfId="43">
      <calculatedColumnFormula>F2</calculatedColumnFormula>
    </tableColumn>
    <tableColumn id="20" xr3:uid="{C6BECD75-2AC5-4099-9EE7-01C09B69768E}" name="S(T) J" dataDxfId="42">
      <calculatedColumnFormula>$A$1*(W2+X2+X2*LN(O2)-Y2/O2^2+AA2*2*O2+AB2*3*O2^2+AC2*4*O2^3)</calculatedColumnFormula>
    </tableColumn>
    <tableColumn id="21" xr3:uid="{6F7F052E-4066-43EA-90C5-29293DF0E0FA}" name="Cp (T) J" dataDxfId="41">
      <calculatedColumnFormula>$A$1*(X2+Y2*2/(O2^2)+AA2*2*O2+AB2*6+AC2*12*O2^3)</calculatedColumnFormula>
    </tableColumn>
    <tableColumn id="22" xr3:uid="{486C4A7F-B2B9-4D91-9DC9-9B5035E81056}" name="ho" dataDxfId="0">
      <calculatedColumnFormula>P2/$A$1/10000</calculatedColumnFormula>
    </tableColumn>
    <tableColumn id="23" xr3:uid="{33134932-530C-47D7-9138-E4364C515395}" name="ф1" dataDxfId="40">
      <calculatedColumnFormula>S2/$A$1 - X2 - X2*LN(N2) + Y2/(N2^2) - AA2*2*N2 - AB2*3*N2^2 - AC2*4*N2^3</calculatedColumnFormula>
    </tableColumn>
    <tableColumn id="24" xr3:uid="{46594191-BD2F-4F38-88F2-4810BAC7B58F}" name="ф2 *lnX" dataDxfId="39">
      <calculatedColumnFormula>G2/$A$1</calculatedColumnFormula>
    </tableColumn>
    <tableColumn id="25" xr3:uid="{673218A2-5D33-46A8-93B6-761C66681EE0}" name="ф3 *X^(-2)" dataDxfId="38">
      <calculatedColumnFormula>I2/(2*100*$A$1)</calculatedColumnFormula>
    </tableColumn>
    <tableColumn id="26" xr3:uid="{91F53B7A-2ABD-43CD-8626-BD25302C3333}" name="ф4 *X^(-1)" dataDxfId="37">
      <calculatedColumnFormula>X2*N2 - Y2*2/N2 + AA2*N2^2 + AB2*2*N2^3 + AC2*3*N2^4 + ($P$2-P2)/10000/$A$1</calculatedColumnFormula>
    </tableColumn>
    <tableColumn id="27" xr3:uid="{4C825536-B2AD-4B6A-A1F2-5A76D2F2309D}" name="ф5 *X" dataDxfId="36">
      <calculatedColumnFormula>H2*10/2/$A$1</calculatedColumnFormula>
    </tableColumn>
    <tableColumn id="28" xr3:uid="{E29757EF-1186-4BD1-90A9-82CE06AB457E}" name="ф6 *X^2" dataDxfId="35">
      <calculatedColumnFormula>J2*100/6/$A$1</calculatedColumnFormula>
    </tableColumn>
    <tableColumn id="29" xr3:uid="{E1C7E8C3-BD57-4F6D-B6A8-941AD58ADE4A}" name="ф7 *Х^3" dataDxfId="34">
      <calculatedColumnFormula>K2*10^12/12/$A$1</calculatedColumnFormula>
    </tableColumn>
    <tableColumn id="30" xr3:uid="{82CA8E94-5EE5-4984-87D5-A56DDAE6DE31}" name="T" dataDxfId="33"/>
  </tableColumns>
  <tableStyleInfo name="TableStyleLight13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D4F75F-238F-46D9-B740-B8FE63164E25}" name="MilkeБанк" displayName="MilkeБанк" ref="A17:AD33" totalsRowShown="0" headerRowDxfId="32" tableBorderDxfId="31">
  <autoFilter ref="A17:AD33" xr:uid="{55889691-888E-472C-B930-030D336B6197}">
    <filterColumn colId="0">
      <filters>
        <filter val="Se"/>
      </filters>
    </filterColumn>
  </autoFilter>
  <sortState xmlns:xlrd2="http://schemas.microsoft.com/office/spreadsheetml/2017/richdata2" ref="A18:AD33">
    <sortCondition ref="A18:A33"/>
    <sortCondition descending="1" ref="B18:B33"/>
    <sortCondition ref="C18:C33"/>
  </sortState>
  <tableColumns count="30">
    <tableColumn id="1" xr3:uid="{2DF3FE88-75ED-4DE3-9DD1-88CC8A7D7A73}" name="название" dataDxfId="30"/>
    <tableColumn id="2" xr3:uid="{73447398-797A-491E-A035-045CA07049E7}" name="Ф     Фаза" dataDxfId="29"/>
    <tableColumn id="3" xr3:uid="{7B80C032-990D-4586-82F1-490B9D181D5B}" name="Тo К" dataDxfId="28"/>
    <tableColumn id="4" xr3:uid="{0AEC1A94-C423-4B29-AFEF-70243D21D257}" name="T K" dataDxfId="27"/>
    <tableColumn id="5" xr3:uid="{20037553-F368-469A-92E2-14D298B70F35}" name="ΔfН(To)     кДж" dataDxfId="26"/>
    <tableColumn id="6" xr3:uid="{7DD43DA8-ACDF-4DFB-A431-C0D6D88A9335}" name="S(To)              Дж" dataDxfId="25"/>
    <tableColumn id="7" xr3:uid="{797478C0-6E17-4D25-8F5D-B06C5642F4CA}" name="а " dataDxfId="24"/>
    <tableColumn id="8" xr3:uid="{41CEBB69-DEE4-488F-A36F-F229B387300A}" name="b*T" dataDxfId="23"/>
    <tableColumn id="9" xr3:uid="{D63DA749-AB18-4064-AE24-D7D69ECA1FC4}" name="c *T^(-2)" dataDxfId="22"/>
    <tableColumn id="10" xr3:uid="{FA2C4DD9-6B23-4F7E-8D25-67446D6C121C}" name="d *T^(2)" dataDxfId="21"/>
    <tableColumn id="11" xr3:uid="{B2D29193-7A6A-4188-96D0-6E65097930D0}" name="e *T^3" dataDxfId="20"/>
    <tableColumn id="12" xr3:uid="{806D5DD5-2A8F-4D42-B220-490B894AC25D}" name="Н tr       кДж" dataDxfId="19"/>
    <tableColumn id="13" xr3:uid="{5FF9359F-232C-45F8-A0F6-105D55B65299}" name="S tr       Дж" dataDxfId="18"/>
    <tableColumn id="14" xr3:uid="{250601F9-0323-4523-8A25-7D6BD8D34B49}" name="X0     К/10000" dataDxfId="17"/>
    <tableColumn id="15" xr3:uid="{BFAB7FA4-D1AF-40BC-85E9-266BDB76C877}" name="Х     К/10000" dataDxfId="16"/>
    <tableColumn id="16" xr3:uid="{5B18D4D6-94FC-4844-BF0B-03AB2123626B}" name="H(To) J" dataDxfId="15"/>
    <tableColumn id="17" xr3:uid="{E2BEF9F2-F6DA-4E27-A280-A3A612D8A484}" name="dH(T) J" dataDxfId="14"/>
    <tableColumn id="18" xr3:uid="{22EBED41-BDAB-4FCA-978E-BD4CC76FFB20}" name="H(T) J" dataDxfId="13"/>
    <tableColumn id="19" xr3:uid="{9C02638D-E636-4BA0-99F8-5BB693BB0BB7}" name="S(To) J" dataDxfId="12"/>
    <tableColumn id="20" xr3:uid="{C8CA97C8-7FAD-493A-B6C2-7FB392E8547C}" name="S(T) J" dataDxfId="11"/>
    <tableColumn id="21" xr3:uid="{5A960C3B-CCAD-401A-A9BE-262CAA4E443C}" name="Cp (T) J" dataDxfId="10"/>
    <tableColumn id="22" xr3:uid="{BEBEE202-9A5D-4849-A886-D5182AD9D49D}" name="ho" dataDxfId="9"/>
    <tableColumn id="23" xr3:uid="{A85A4FEF-9E3C-43B6-82AE-6C37B9B047D7}" name="ф1" dataDxfId="8"/>
    <tableColumn id="24" xr3:uid="{056B3C91-A59D-4BAE-BEAB-392206B4ACDD}" name="ф2 *lnX" dataDxfId="7"/>
    <tableColumn id="25" xr3:uid="{E03C3A96-7EF7-4B1C-B48B-7D73126A309F}" name="ф3 *X^(-2)" dataDxfId="6"/>
    <tableColumn id="26" xr3:uid="{BFA56CEF-9B57-4466-862A-7D3B59DEDD95}" name="ф4 *X^(-1)" dataDxfId="5"/>
    <tableColumn id="27" xr3:uid="{086A06D6-607C-4233-9DA2-C7E5939EB250}" name="ф5 *X" dataDxfId="4"/>
    <tableColumn id="28" xr3:uid="{BD04E61C-6D7C-40D0-8F51-011E5C6CE7B3}" name="ф6 *X^2" dataDxfId="3"/>
    <tableColumn id="29" xr3:uid="{9309F1CE-6642-4D85-A27A-13677AE1781B}" name="ф7 *Х^3" dataDxfId="2"/>
    <tableColumn id="30" xr3:uid="{A7BC8D50-7351-4F6D-AC32-21F80FD39E70}" name="T" dataDxfId="1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T92"/>
  <sheetViews>
    <sheetView topLeftCell="A16" zoomScaleNormal="100" workbookViewId="0">
      <selection activeCell="H20" sqref="H19:H20"/>
    </sheetView>
  </sheetViews>
  <sheetFormatPr defaultRowHeight="21" outlineLevelCol="1" x14ac:dyDescent="0.35"/>
  <cols>
    <col min="1" max="1" width="11.7265625" customWidth="1"/>
    <col min="2" max="2" width="7.6328125" style="3" customWidth="1"/>
    <col min="3" max="3" width="7.6328125" customWidth="1"/>
    <col min="4" max="4" width="13.26953125" customWidth="1"/>
    <col min="5" max="6" width="8.6328125" customWidth="1"/>
    <col min="7" max="7" width="9.90625" customWidth="1"/>
    <col min="8" max="9" width="8.6328125" customWidth="1"/>
    <col min="10" max="11" width="9" customWidth="1"/>
    <col min="12" max="18" width="8.7265625" customWidth="1" outlineLevel="1"/>
    <col min="20" max="20" width="5.453125" style="91" customWidth="1"/>
  </cols>
  <sheetData>
    <row r="1" spans="1:20" ht="22.5" thickTop="1" thickBot="1" x14ac:dyDescent="0.4">
      <c r="A1" s="95" t="s">
        <v>88</v>
      </c>
      <c r="B1" s="26" t="s">
        <v>78</v>
      </c>
      <c r="C1" s="26" t="s">
        <v>80</v>
      </c>
      <c r="D1" s="27" t="s">
        <v>79</v>
      </c>
      <c r="E1" s="25" t="s">
        <v>0</v>
      </c>
      <c r="F1" s="25" t="s">
        <v>1</v>
      </c>
      <c r="G1" s="25" t="s">
        <v>2</v>
      </c>
      <c r="H1" s="25" t="s">
        <v>3</v>
      </c>
      <c r="I1" s="25" t="s">
        <v>4</v>
      </c>
      <c r="J1" s="25" t="s">
        <v>5</v>
      </c>
      <c r="K1" s="25" t="s">
        <v>6</v>
      </c>
      <c r="L1" s="25" t="s">
        <v>7</v>
      </c>
      <c r="M1" s="25" t="s">
        <v>8</v>
      </c>
      <c r="N1" s="25" t="s">
        <v>9</v>
      </c>
      <c r="O1" s="25" t="s">
        <v>10</v>
      </c>
      <c r="P1" s="25" t="s">
        <v>11</v>
      </c>
      <c r="Q1" s="25" t="s">
        <v>12</v>
      </c>
      <c r="R1" s="25" t="s">
        <v>13</v>
      </c>
      <c r="S1" s="25" t="s">
        <v>14</v>
      </c>
      <c r="T1" s="93" t="s">
        <v>87</v>
      </c>
    </row>
    <row r="2" spans="1:20" ht="22.5" thickTop="1" thickBot="1" x14ac:dyDescent="0.4">
      <c r="A2" s="22" t="s">
        <v>28</v>
      </c>
      <c r="B2" s="23">
        <v>2327</v>
      </c>
      <c r="C2" s="24">
        <v>5400</v>
      </c>
      <c r="D2" s="19">
        <v>-1675.7</v>
      </c>
      <c r="E2" s="20">
        <v>415.72699999999998</v>
      </c>
      <c r="F2" s="20">
        <v>162.9</v>
      </c>
      <c r="G2" s="20">
        <v>0</v>
      </c>
      <c r="H2" s="20">
        <v>2.1899999999999999E-2</v>
      </c>
      <c r="I2" s="20">
        <v>0</v>
      </c>
      <c r="J2" s="20">
        <v>0</v>
      </c>
      <c r="K2" s="21">
        <v>0</v>
      </c>
      <c r="L2" s="16">
        <f>D2/10/A1</f>
        <v>-20.153947922304404</v>
      </c>
      <c r="M2" s="17">
        <f>E2/A1</f>
        <v>50.000240543628593</v>
      </c>
      <c r="N2" s="17">
        <f>F2/A1</f>
        <v>19.592278549521918</v>
      </c>
      <c r="O2" s="17">
        <f>G2/A1</f>
        <v>0</v>
      </c>
      <c r="P2" s="17">
        <f>H2/A1</f>
        <v>2.6339527331769798E-3</v>
      </c>
      <c r="Q2" s="17">
        <f>I2/A1</f>
        <v>0</v>
      </c>
      <c r="R2" s="17">
        <f>J2/A1</f>
        <v>0</v>
      </c>
      <c r="S2" s="18">
        <f>K2/A1</f>
        <v>0</v>
      </c>
      <c r="T2" s="91">
        <v>3</v>
      </c>
    </row>
    <row r="4" spans="1:20" s="75" customFormat="1" x14ac:dyDescent="0.35">
      <c r="T4" s="91"/>
    </row>
    <row r="5" spans="1:20" s="75" customFormat="1" x14ac:dyDescent="0.35">
      <c r="T5" s="91"/>
    </row>
    <row r="6" spans="1:20" s="75" customFormat="1" x14ac:dyDescent="0.35">
      <c r="T6" s="91"/>
    </row>
    <row r="7" spans="1:20" s="75" customFormat="1" x14ac:dyDescent="0.35">
      <c r="T7" s="91"/>
    </row>
    <row r="8" spans="1:20" s="75" customFormat="1" x14ac:dyDescent="0.35">
      <c r="T8" s="91"/>
    </row>
    <row r="9" spans="1:20" s="75" customFormat="1" x14ac:dyDescent="0.35">
      <c r="T9" s="91"/>
    </row>
    <row r="10" spans="1:20" s="75" customFormat="1" x14ac:dyDescent="0.35">
      <c r="T10" s="91"/>
    </row>
    <row r="11" spans="1:20" s="75" customFormat="1" x14ac:dyDescent="0.35">
      <c r="T11" s="91"/>
    </row>
    <row r="12" spans="1:20" s="75" customFormat="1" x14ac:dyDescent="0.35">
      <c r="T12" s="91"/>
    </row>
    <row r="13" spans="1:20" s="75" customFormat="1" x14ac:dyDescent="0.35">
      <c r="T13" s="91"/>
    </row>
    <row r="14" spans="1:20" s="75" customFormat="1" x14ac:dyDescent="0.35">
      <c r="T14" s="91"/>
    </row>
    <row r="15" spans="1:20" s="75" customFormat="1" x14ac:dyDescent="0.35">
      <c r="T15" s="91"/>
    </row>
    <row r="16" spans="1:20" s="75" customFormat="1" x14ac:dyDescent="0.35">
      <c r="T16" s="91"/>
    </row>
    <row r="17" spans="1:20" s="75" customFormat="1" x14ac:dyDescent="0.35">
      <c r="T17" s="91"/>
    </row>
    <row r="18" spans="1:20" s="75" customFormat="1" x14ac:dyDescent="0.35">
      <c r="T18" s="91"/>
    </row>
    <row r="19" spans="1:20" s="75" customFormat="1" x14ac:dyDescent="0.35">
      <c r="T19" s="91"/>
    </row>
    <row r="20" spans="1:20" s="75" customFormat="1" x14ac:dyDescent="0.35">
      <c r="T20" s="91"/>
    </row>
    <row r="21" spans="1:20" s="75" customFormat="1" x14ac:dyDescent="0.35">
      <c r="T21" s="91"/>
    </row>
    <row r="27" spans="1:20" ht="21.75" thickBot="1" x14ac:dyDescent="0.4"/>
    <row r="28" spans="1:20" ht="24.75" thickTop="1" thickBot="1" x14ac:dyDescent="0.4">
      <c r="A28" s="38" t="s">
        <v>38</v>
      </c>
      <c r="B28" s="39" t="s">
        <v>78</v>
      </c>
      <c r="C28" s="39" t="s">
        <v>80</v>
      </c>
      <c r="D28" s="39" t="s">
        <v>79</v>
      </c>
      <c r="E28" s="38" t="s">
        <v>0</v>
      </c>
      <c r="F28" s="38" t="s">
        <v>1</v>
      </c>
      <c r="G28" s="38" t="s">
        <v>2</v>
      </c>
      <c r="H28" s="38" t="s">
        <v>3</v>
      </c>
      <c r="I28" s="38" t="s">
        <v>4</v>
      </c>
      <c r="J28" s="38" t="s">
        <v>5</v>
      </c>
      <c r="K28" s="38" t="s">
        <v>6</v>
      </c>
      <c r="L28" s="38" t="s">
        <v>7</v>
      </c>
      <c r="M28" s="38" t="s">
        <v>8</v>
      </c>
      <c r="N28" s="38" t="s">
        <v>72</v>
      </c>
      <c r="O28" s="38" t="s">
        <v>73</v>
      </c>
      <c r="P28" s="38" t="s">
        <v>74</v>
      </c>
      <c r="Q28" s="38" t="s">
        <v>75</v>
      </c>
      <c r="R28" s="38" t="s">
        <v>76</v>
      </c>
      <c r="S28" s="38" t="s">
        <v>77</v>
      </c>
      <c r="T28" s="94" t="s">
        <v>87</v>
      </c>
    </row>
    <row r="29" spans="1:20" ht="21.75" hidden="1" thickTop="1" x14ac:dyDescent="0.35">
      <c r="A29" s="1" t="s">
        <v>19</v>
      </c>
      <c r="B29" s="44">
        <v>298</v>
      </c>
      <c r="C29" s="48">
        <v>1802</v>
      </c>
      <c r="D29" s="2"/>
      <c r="E29" s="56"/>
      <c r="F29" s="2"/>
      <c r="G29" s="60"/>
      <c r="H29" s="2"/>
      <c r="I29" s="60"/>
      <c r="J29" s="2"/>
      <c r="K29" s="60"/>
      <c r="L29" s="52">
        <v>0</v>
      </c>
      <c r="M29" s="28">
        <v>16.724036322087915</v>
      </c>
      <c r="N29" s="52">
        <v>3.1735041193096394</v>
      </c>
      <c r="O29" s="28">
        <v>-5.5493415118167053E-5</v>
      </c>
      <c r="P29" s="52">
        <v>1.1803475855433279E-2</v>
      </c>
      <c r="Q29" s="28">
        <v>2.0178002285164469</v>
      </c>
      <c r="R29" s="52">
        <v>5.8848998737145948</v>
      </c>
      <c r="S29" s="29">
        <v>0</v>
      </c>
      <c r="T29" s="91">
        <v>3</v>
      </c>
    </row>
    <row r="30" spans="1:20" ht="21.75" hidden="1" thickTop="1" x14ac:dyDescent="0.35">
      <c r="A30" s="30" t="s">
        <v>19</v>
      </c>
      <c r="B30" s="45">
        <v>1802</v>
      </c>
      <c r="C30" s="49">
        <v>5500</v>
      </c>
      <c r="D30" s="31"/>
      <c r="E30" s="57"/>
      <c r="F30" s="31"/>
      <c r="G30" s="61"/>
      <c r="H30" s="31"/>
      <c r="I30" s="61"/>
      <c r="J30" s="31"/>
      <c r="K30" s="61"/>
      <c r="L30" s="53">
        <v>0</v>
      </c>
      <c r="M30" s="32">
        <v>20.417824282879305</v>
      </c>
      <c r="N30" s="53">
        <v>4.6545192134223345</v>
      </c>
      <c r="O30" s="32">
        <v>0</v>
      </c>
      <c r="P30" s="53">
        <v>9.6854892056046665E-2</v>
      </c>
      <c r="Q30" s="32">
        <v>0</v>
      </c>
      <c r="R30" s="53">
        <v>0</v>
      </c>
      <c r="S30" s="33">
        <v>0</v>
      </c>
      <c r="T30" s="91">
        <v>3</v>
      </c>
    </row>
    <row r="31" spans="1:20" ht="21.75" hidden="1" thickTop="1" x14ac:dyDescent="0.35">
      <c r="A31" s="30" t="s">
        <v>22</v>
      </c>
      <c r="B31" s="45">
        <v>298</v>
      </c>
      <c r="C31" s="49">
        <v>2593</v>
      </c>
      <c r="D31" s="31"/>
      <c r="E31" s="57"/>
      <c r="F31" s="31"/>
      <c r="G31" s="61"/>
      <c r="H31" s="31"/>
      <c r="I31" s="61"/>
      <c r="J31" s="31"/>
      <c r="K31" s="61"/>
      <c r="L31" s="53">
        <v>-23.908833964760355</v>
      </c>
      <c r="M31" s="32">
        <v>54.417222923807799</v>
      </c>
      <c r="N31" s="53">
        <v>14.808839978351072</v>
      </c>
      <c r="O31" s="32">
        <v>-9.2181129352336276E-4</v>
      </c>
      <c r="P31" s="53">
        <v>0.26702267123699558</v>
      </c>
      <c r="Q31" s="32">
        <v>5.2746406879547774</v>
      </c>
      <c r="R31" s="53">
        <v>0</v>
      </c>
      <c r="S31" s="33">
        <v>0</v>
      </c>
      <c r="T31" s="91">
        <v>3</v>
      </c>
    </row>
    <row r="32" spans="1:20" ht="22.5" hidden="1" thickTop="1" thickBot="1" x14ac:dyDescent="0.4">
      <c r="A32" s="34" t="s">
        <v>22</v>
      </c>
      <c r="B32" s="46">
        <v>2593</v>
      </c>
      <c r="C32" s="50">
        <v>2691</v>
      </c>
      <c r="D32" s="35"/>
      <c r="E32" s="58"/>
      <c r="F32" s="35"/>
      <c r="G32" s="62"/>
      <c r="H32" s="35"/>
      <c r="I32" s="62"/>
      <c r="J32" s="35"/>
      <c r="K32" s="62"/>
      <c r="L32" s="54">
        <v>-23.908833964760355</v>
      </c>
      <c r="M32" s="36">
        <v>58.717421372301402</v>
      </c>
      <c r="N32" s="54">
        <v>19.243526369595283</v>
      </c>
      <c r="O32" s="36">
        <v>0</v>
      </c>
      <c r="P32" s="54">
        <v>1.0551807084009863</v>
      </c>
      <c r="Q32" s="36">
        <v>0</v>
      </c>
      <c r="R32" s="54">
        <v>0</v>
      </c>
      <c r="S32" s="37">
        <v>0</v>
      </c>
      <c r="T32" s="91">
        <v>3</v>
      </c>
    </row>
    <row r="33" spans="1:20" ht="21.75" hidden="1" thickTop="1" x14ac:dyDescent="0.35">
      <c r="A33" s="1" t="s">
        <v>22</v>
      </c>
      <c r="B33" s="44">
        <v>2691</v>
      </c>
      <c r="C33" s="48">
        <v>6000</v>
      </c>
      <c r="D33" s="2"/>
      <c r="E33" s="56"/>
      <c r="F33" s="2"/>
      <c r="G33" s="60"/>
      <c r="H33" s="2"/>
      <c r="I33" s="60"/>
      <c r="J33" s="2"/>
      <c r="K33" s="60"/>
      <c r="L33" s="52">
        <v>-23.908833964760355</v>
      </c>
      <c r="M33" s="28">
        <v>66.031872030789586</v>
      </c>
      <c r="N33" s="52">
        <v>24.05436286006374</v>
      </c>
      <c r="O33" s="28">
        <v>0</v>
      </c>
      <c r="P33" s="52">
        <v>0.78625293162547349</v>
      </c>
      <c r="Q33" s="28">
        <v>0</v>
      </c>
      <c r="R33" s="52">
        <v>0</v>
      </c>
      <c r="S33" s="29">
        <v>0</v>
      </c>
      <c r="T33" s="91">
        <v>3</v>
      </c>
    </row>
    <row r="34" spans="1:20" ht="22.5" hidden="1" thickTop="1" thickBot="1" x14ac:dyDescent="0.4">
      <c r="A34" s="34" t="s">
        <v>30</v>
      </c>
      <c r="B34" s="46">
        <v>298</v>
      </c>
      <c r="C34" s="50">
        <v>1701</v>
      </c>
      <c r="D34" s="35"/>
      <c r="E34" s="58"/>
      <c r="F34" s="35"/>
      <c r="G34" s="62"/>
      <c r="H34" s="35"/>
      <c r="I34" s="62"/>
      <c r="J34" s="35"/>
      <c r="K34" s="62"/>
      <c r="L34" s="54">
        <v>0</v>
      </c>
      <c r="M34" s="36">
        <v>20.857538035961269</v>
      </c>
      <c r="N34" s="54">
        <v>4.4645017740092605</v>
      </c>
      <c r="O34" s="36">
        <v>-2.2784292501052376E-4</v>
      </c>
      <c r="P34" s="54">
        <v>4.0791388538096093E-2</v>
      </c>
      <c r="Q34" s="36">
        <v>-15.139455168681218</v>
      </c>
      <c r="R34" s="54">
        <v>40.532804137350411</v>
      </c>
      <c r="S34" s="37">
        <v>0</v>
      </c>
      <c r="T34" s="91">
        <v>3</v>
      </c>
    </row>
    <row r="35" spans="1:20" ht="21.75" hidden="1" thickTop="1" x14ac:dyDescent="0.35">
      <c r="A35" s="1" t="s">
        <v>30</v>
      </c>
      <c r="B35" s="44">
        <v>1701</v>
      </c>
      <c r="C35" s="48">
        <v>1747</v>
      </c>
      <c r="D35" s="2"/>
      <c r="E35" s="56"/>
      <c r="F35" s="2"/>
      <c r="G35" s="60"/>
      <c r="H35" s="2"/>
      <c r="I35" s="60"/>
      <c r="J35" s="2"/>
      <c r="K35" s="60"/>
      <c r="L35" s="52">
        <v>0</v>
      </c>
      <c r="M35" s="28">
        <v>20.296590294064583</v>
      </c>
      <c r="N35" s="52">
        <v>5.4122556978772023</v>
      </c>
      <c r="O35" s="28">
        <v>0</v>
      </c>
      <c r="P35" s="52">
        <v>0.18186301040351191</v>
      </c>
      <c r="Q35" s="28">
        <v>0</v>
      </c>
      <c r="R35" s="52">
        <v>0</v>
      </c>
      <c r="S35" s="29">
        <v>0</v>
      </c>
      <c r="T35" s="91">
        <v>3</v>
      </c>
    </row>
    <row r="36" spans="1:20" ht="22.5" hidden="1" thickTop="1" thickBot="1" x14ac:dyDescent="0.4">
      <c r="A36" s="34" t="s">
        <v>30</v>
      </c>
      <c r="B36" s="46">
        <v>1747</v>
      </c>
      <c r="C36" s="50">
        <v>5500</v>
      </c>
      <c r="D36" s="35"/>
      <c r="E36" s="58"/>
      <c r="F36" s="35"/>
      <c r="G36" s="62"/>
      <c r="H36" s="35"/>
      <c r="I36" s="62"/>
      <c r="J36" s="35"/>
      <c r="K36" s="62"/>
      <c r="L36" s="54">
        <v>0</v>
      </c>
      <c r="M36" s="36">
        <v>20.998737145949843</v>
      </c>
      <c r="N36" s="54">
        <v>5.2919838835768829</v>
      </c>
      <c r="O36" s="36">
        <v>0</v>
      </c>
      <c r="P36" s="54">
        <v>2.2538937999879726E-2</v>
      </c>
      <c r="Q36" s="36">
        <v>0</v>
      </c>
      <c r="R36" s="54">
        <v>0</v>
      </c>
      <c r="S36" s="37">
        <v>0</v>
      </c>
      <c r="T36" s="91">
        <v>3</v>
      </c>
    </row>
    <row r="37" spans="1:20" ht="21.75" hidden="1" thickTop="1" x14ac:dyDescent="0.35">
      <c r="A37" s="1" t="s">
        <v>33</v>
      </c>
      <c r="B37" s="44">
        <v>298</v>
      </c>
      <c r="C37" s="48">
        <v>2473</v>
      </c>
      <c r="D37" s="2"/>
      <c r="E37" s="56"/>
      <c r="F37" s="2"/>
      <c r="G37" s="60"/>
      <c r="H37" s="2"/>
      <c r="I37" s="60"/>
      <c r="J37" s="2"/>
      <c r="K37" s="60"/>
      <c r="L37" s="52">
        <v>-22.624330988032956</v>
      </c>
      <c r="M37" s="28">
        <v>55.374105478381139</v>
      </c>
      <c r="N37" s="52">
        <v>14.838547116483252</v>
      </c>
      <c r="O37" s="28">
        <v>-5.9328883276204213E-4</v>
      </c>
      <c r="P37" s="52">
        <v>0.23451801070419145</v>
      </c>
      <c r="Q37" s="28">
        <v>5.4918515845811529</v>
      </c>
      <c r="R37" s="52">
        <v>0</v>
      </c>
      <c r="S37" s="29">
        <v>0</v>
      </c>
      <c r="T37" s="91">
        <v>3</v>
      </c>
    </row>
    <row r="38" spans="1:20" ht="21.75" hidden="1" thickTop="1" x14ac:dyDescent="0.35">
      <c r="A38" s="30" t="s">
        <v>33</v>
      </c>
      <c r="B38" s="45">
        <v>2473</v>
      </c>
      <c r="C38" s="49">
        <v>2688</v>
      </c>
      <c r="D38" s="31"/>
      <c r="E38" s="57"/>
      <c r="F38" s="31"/>
      <c r="G38" s="61"/>
      <c r="H38" s="31"/>
      <c r="I38" s="61"/>
      <c r="J38" s="31"/>
      <c r="K38" s="61"/>
      <c r="L38" s="53">
        <v>-22.624330988032956</v>
      </c>
      <c r="M38" s="32">
        <v>59.849419688495999</v>
      </c>
      <c r="N38" s="53">
        <v>19.243490288050992</v>
      </c>
      <c r="O38" s="32">
        <v>0</v>
      </c>
      <c r="P38" s="53">
        <v>0.98322208190510552</v>
      </c>
      <c r="Q38" s="32">
        <v>0</v>
      </c>
      <c r="R38" s="53">
        <v>0</v>
      </c>
      <c r="S38" s="33">
        <v>0</v>
      </c>
      <c r="T38" s="91">
        <v>3</v>
      </c>
    </row>
    <row r="39" spans="1:20" ht="22.5" hidden="1" thickTop="1" thickBot="1" x14ac:dyDescent="0.4">
      <c r="A39" s="34" t="s">
        <v>33</v>
      </c>
      <c r="B39" s="46">
        <v>2688</v>
      </c>
      <c r="C39" s="50">
        <v>6000</v>
      </c>
      <c r="D39" s="35"/>
      <c r="E39" s="58"/>
      <c r="F39" s="35"/>
      <c r="G39" s="62"/>
      <c r="H39" s="35"/>
      <c r="I39" s="62"/>
      <c r="J39" s="35"/>
      <c r="K39" s="62"/>
      <c r="L39" s="54">
        <v>-22.624330988032956</v>
      </c>
      <c r="M39" s="36">
        <v>67.178182692885912</v>
      </c>
      <c r="N39" s="54">
        <v>24.054398941608035</v>
      </c>
      <c r="O39" s="36">
        <v>0</v>
      </c>
      <c r="P39" s="54">
        <v>0.71285104335798899</v>
      </c>
      <c r="Q39" s="36">
        <v>0</v>
      </c>
      <c r="R39" s="54">
        <v>0</v>
      </c>
      <c r="S39" s="37">
        <v>0</v>
      </c>
      <c r="T39" s="91">
        <v>3</v>
      </c>
    </row>
    <row r="40" spans="1:20" ht="21.75" hidden="1" thickTop="1" x14ac:dyDescent="0.35">
      <c r="A40" s="1" t="s">
        <v>37</v>
      </c>
      <c r="B40" s="44">
        <v>298</v>
      </c>
      <c r="C40" s="48">
        <v>1128</v>
      </c>
      <c r="D40" s="2"/>
      <c r="E40" s="56"/>
      <c r="F40" s="2"/>
      <c r="G40" s="60"/>
      <c r="H40" s="2"/>
      <c r="I40" s="60"/>
      <c r="J40" s="2"/>
      <c r="K40" s="60"/>
      <c r="L40" s="52">
        <v>0</v>
      </c>
      <c r="M40" s="28">
        <v>13.497143544410365</v>
      </c>
      <c r="N40" s="52">
        <v>2.1994106681099281</v>
      </c>
      <c r="O40" s="28">
        <v>1.2783691141980878E-4</v>
      </c>
      <c r="P40" s="52">
        <v>-1.6816405075470563E-2</v>
      </c>
      <c r="Q40" s="28">
        <v>13.561729508689638</v>
      </c>
      <c r="R40" s="52">
        <v>0</v>
      </c>
      <c r="S40" s="29">
        <v>0</v>
      </c>
      <c r="T40" s="91">
        <v>3</v>
      </c>
    </row>
    <row r="41" spans="1:20" ht="22.5" hidden="1" thickTop="1" thickBot="1" x14ac:dyDescent="0.4">
      <c r="A41" s="34" t="s">
        <v>37</v>
      </c>
      <c r="B41" s="46">
        <v>1128</v>
      </c>
      <c r="C41" s="50">
        <v>1289</v>
      </c>
      <c r="D41" s="35"/>
      <c r="E41" s="58"/>
      <c r="F41" s="35"/>
      <c r="G41" s="62"/>
      <c r="H41" s="35"/>
      <c r="I41" s="62"/>
      <c r="J41" s="35"/>
      <c r="K41" s="62"/>
      <c r="L41" s="54">
        <v>0</v>
      </c>
      <c r="M41" s="36">
        <v>20.685789885140416</v>
      </c>
      <c r="N41" s="54">
        <v>5.4122316435143416</v>
      </c>
      <c r="O41" s="36">
        <v>0</v>
      </c>
      <c r="P41" s="54">
        <v>0.13680918876661252</v>
      </c>
      <c r="Q41" s="36">
        <v>0</v>
      </c>
      <c r="R41" s="54">
        <v>0</v>
      </c>
      <c r="S41" s="37">
        <v>0</v>
      </c>
      <c r="T41" s="91">
        <v>3</v>
      </c>
    </row>
    <row r="42" spans="1:20" ht="21.75" hidden="1" thickTop="1" x14ac:dyDescent="0.35">
      <c r="A42" s="1" t="s">
        <v>37</v>
      </c>
      <c r="B42" s="44">
        <v>1289</v>
      </c>
      <c r="C42" s="48">
        <v>1500</v>
      </c>
      <c r="D42" s="2"/>
      <c r="E42" s="56"/>
      <c r="F42" s="2"/>
      <c r="G42" s="60"/>
      <c r="H42" s="2"/>
      <c r="I42" s="60"/>
      <c r="J42" s="2"/>
      <c r="K42" s="60"/>
      <c r="L42" s="52">
        <v>0</v>
      </c>
      <c r="M42" s="28">
        <v>16.206987792410846</v>
      </c>
      <c r="N42" s="52">
        <v>1.3868783450598352</v>
      </c>
      <c r="O42" s="28">
        <v>1.7507968007697397E-2</v>
      </c>
      <c r="P42" s="52">
        <v>-0.61282097540441394</v>
      </c>
      <c r="Q42" s="28">
        <v>7.7097841120933293</v>
      </c>
      <c r="R42" s="52">
        <v>0</v>
      </c>
      <c r="S42" s="29">
        <v>0</v>
      </c>
      <c r="T42" s="91">
        <v>3</v>
      </c>
    </row>
    <row r="43" spans="1:20" ht="22.5" hidden="1" thickTop="1" thickBot="1" x14ac:dyDescent="0.4">
      <c r="A43" s="34" t="s">
        <v>37</v>
      </c>
      <c r="B43" s="46">
        <v>1500</v>
      </c>
      <c r="C43" s="50">
        <v>5500</v>
      </c>
      <c r="D43" s="35"/>
      <c r="E43" s="58"/>
      <c r="F43" s="35"/>
      <c r="G43" s="62"/>
      <c r="H43" s="35"/>
      <c r="I43" s="62"/>
      <c r="J43" s="35"/>
      <c r="K43" s="62"/>
      <c r="L43" s="54">
        <v>0</v>
      </c>
      <c r="M43" s="36">
        <v>21.212580431775812</v>
      </c>
      <c r="N43" s="54">
        <v>5.2558782849239281</v>
      </c>
      <c r="O43" s="36">
        <v>0</v>
      </c>
      <c r="P43" s="54">
        <v>2.7506163930482889E-2</v>
      </c>
      <c r="Q43" s="36">
        <v>0</v>
      </c>
      <c r="R43" s="54">
        <v>0</v>
      </c>
      <c r="S43" s="37">
        <v>0</v>
      </c>
      <c r="T43" s="91">
        <v>3</v>
      </c>
    </row>
    <row r="44" spans="1:20" ht="22.5" hidden="1" thickTop="1" thickBot="1" x14ac:dyDescent="0.4">
      <c r="A44" s="40" t="s">
        <v>34</v>
      </c>
      <c r="B44" s="47">
        <v>298</v>
      </c>
      <c r="C44" s="51">
        <v>2333</v>
      </c>
      <c r="D44" s="41"/>
      <c r="E44" s="59"/>
      <c r="F44" s="41"/>
      <c r="G44" s="63"/>
      <c r="H44" s="41"/>
      <c r="I44" s="63"/>
      <c r="J44" s="41"/>
      <c r="K44" s="63"/>
      <c r="L44" s="55">
        <v>-21.748752179926633</v>
      </c>
      <c r="M44" s="42">
        <v>50.140477479102763</v>
      </c>
      <c r="N44" s="55">
        <v>13.202850441998915</v>
      </c>
      <c r="O44" s="42">
        <v>-5.5973299657225328E-4</v>
      </c>
      <c r="P44" s="55">
        <v>0.2014781405977509</v>
      </c>
      <c r="Q44" s="42">
        <v>25.3974382103554</v>
      </c>
      <c r="R44" s="55">
        <v>-12.783691141980876</v>
      </c>
      <c r="S44" s="43">
        <v>0</v>
      </c>
      <c r="T44" s="91">
        <v>3</v>
      </c>
    </row>
    <row r="45" spans="1:20" ht="21.75" hidden="1" thickTop="1" x14ac:dyDescent="0.35">
      <c r="A45" s="1" t="s">
        <v>34</v>
      </c>
      <c r="B45" s="44">
        <v>2333</v>
      </c>
      <c r="C45" s="48">
        <v>2593</v>
      </c>
      <c r="D45" s="2"/>
      <c r="E45" s="56"/>
      <c r="F45" s="2"/>
      <c r="G45" s="60"/>
      <c r="H45" s="2"/>
      <c r="I45" s="60"/>
      <c r="J45" s="2"/>
      <c r="K45" s="60"/>
      <c r="L45" s="52">
        <v>-21.748752179926633</v>
      </c>
      <c r="M45" s="28">
        <v>62.664922725359311</v>
      </c>
      <c r="N45" s="52">
        <v>19.243490288050992</v>
      </c>
      <c r="O45" s="28">
        <v>0</v>
      </c>
      <c r="P45" s="52">
        <v>0.54827109266943286</v>
      </c>
      <c r="Q45" s="28">
        <v>0</v>
      </c>
      <c r="R45" s="52">
        <v>0</v>
      </c>
      <c r="S45" s="29">
        <v>0</v>
      </c>
      <c r="T45" s="91">
        <v>3</v>
      </c>
    </row>
    <row r="46" spans="1:20" ht="21.75" hidden="1" thickTop="1" x14ac:dyDescent="0.35">
      <c r="A46" s="30" t="s">
        <v>34</v>
      </c>
      <c r="B46" s="45">
        <v>2593</v>
      </c>
      <c r="C46" s="49">
        <v>6000</v>
      </c>
      <c r="D46" s="31"/>
      <c r="E46" s="57"/>
      <c r="F46" s="31"/>
      <c r="G46" s="61"/>
      <c r="H46" s="31"/>
      <c r="I46" s="61"/>
      <c r="J46" s="31"/>
      <c r="K46" s="61"/>
      <c r="L46" s="53">
        <v>-21.748752179926633</v>
      </c>
      <c r="M46" s="32">
        <v>70.145528895303386</v>
      </c>
      <c r="N46" s="53">
        <v>24.05436286006374</v>
      </c>
      <c r="O46" s="32">
        <v>0</v>
      </c>
      <c r="P46" s="53">
        <v>0.29233267183835465</v>
      </c>
      <c r="Q46" s="32">
        <v>0</v>
      </c>
      <c r="R46" s="53">
        <v>0</v>
      </c>
      <c r="S46" s="33">
        <v>0</v>
      </c>
      <c r="T46" s="91">
        <v>3</v>
      </c>
    </row>
    <row r="47" spans="1:20" ht="22.5" hidden="1" thickTop="1" thickBot="1" x14ac:dyDescent="0.4">
      <c r="A47" s="34" t="s">
        <v>23</v>
      </c>
      <c r="B47" s="46">
        <v>298</v>
      </c>
      <c r="C47" s="50">
        <v>900</v>
      </c>
      <c r="D47" s="35"/>
      <c r="E47" s="58"/>
      <c r="F47" s="35"/>
      <c r="G47" s="62"/>
      <c r="H47" s="35"/>
      <c r="I47" s="62"/>
      <c r="J47" s="35"/>
      <c r="K47" s="62"/>
      <c r="L47" s="54">
        <v>0</v>
      </c>
      <c r="M47" s="36">
        <v>17.588069036021405</v>
      </c>
      <c r="N47" s="54">
        <v>3.4284803656263154</v>
      </c>
      <c r="O47" s="36">
        <v>0</v>
      </c>
      <c r="P47" s="54">
        <v>1.0173792771663959E-2</v>
      </c>
      <c r="Q47" s="36">
        <v>4.1529857477900052</v>
      </c>
      <c r="R47" s="54">
        <v>20.807023873955139</v>
      </c>
      <c r="S47" s="37">
        <v>0</v>
      </c>
      <c r="T47" s="91">
        <v>3</v>
      </c>
    </row>
    <row r="48" spans="1:20" ht="21.75" hidden="1" thickTop="1" x14ac:dyDescent="0.35">
      <c r="A48" s="1" t="s">
        <v>23</v>
      </c>
      <c r="B48" s="44">
        <v>900</v>
      </c>
      <c r="C48" s="48">
        <v>1818</v>
      </c>
      <c r="D48" s="2"/>
      <c r="E48" s="56"/>
      <c r="F48" s="2"/>
      <c r="G48" s="60"/>
      <c r="H48" s="2"/>
      <c r="I48" s="60"/>
      <c r="J48" s="2"/>
      <c r="K48" s="60"/>
      <c r="L48" s="52">
        <v>0</v>
      </c>
      <c r="M48" s="28">
        <v>15.787239160502736</v>
      </c>
      <c r="N48" s="52">
        <v>2.8906380419748632</v>
      </c>
      <c r="O48" s="28">
        <v>0</v>
      </c>
      <c r="P48" s="52">
        <v>1.1401767995670214E-3</v>
      </c>
      <c r="Q48" s="28">
        <v>4.454507186240904</v>
      </c>
      <c r="R48" s="52">
        <v>0</v>
      </c>
      <c r="S48" s="29">
        <v>0</v>
      </c>
      <c r="T48" s="91">
        <v>3</v>
      </c>
    </row>
    <row r="49" spans="1:20" ht="21.75" hidden="1" thickTop="1" x14ac:dyDescent="0.35">
      <c r="A49" s="30" t="s">
        <v>23</v>
      </c>
      <c r="B49" s="45">
        <v>1818</v>
      </c>
      <c r="C49" s="49">
        <v>4500</v>
      </c>
      <c r="D49" s="31"/>
      <c r="E49" s="57"/>
      <c r="F49" s="31"/>
      <c r="G49" s="61"/>
      <c r="H49" s="31"/>
      <c r="I49" s="61"/>
      <c r="J49" s="31"/>
      <c r="K49" s="61"/>
      <c r="L49" s="53">
        <v>0</v>
      </c>
      <c r="M49" s="32">
        <v>19.991701244813278</v>
      </c>
      <c r="N49" s="53">
        <v>4.9792531120331942</v>
      </c>
      <c r="O49" s="32">
        <v>0</v>
      </c>
      <c r="P49" s="53">
        <v>3.1342834806663056E-2</v>
      </c>
      <c r="Q49" s="32">
        <v>0</v>
      </c>
      <c r="R49" s="53">
        <v>0</v>
      </c>
      <c r="S49" s="33">
        <v>0</v>
      </c>
      <c r="T49" s="91">
        <v>3</v>
      </c>
    </row>
    <row r="50" spans="1:20" ht="22.5" hidden="1" thickTop="1" thickBot="1" x14ac:dyDescent="0.4">
      <c r="A50" s="34" t="s">
        <v>26</v>
      </c>
      <c r="B50" s="46">
        <v>298</v>
      </c>
      <c r="C50" s="50">
        <v>2623</v>
      </c>
      <c r="D50" s="35"/>
      <c r="E50" s="58"/>
      <c r="F50" s="35"/>
      <c r="G50" s="62"/>
      <c r="H50" s="35"/>
      <c r="I50" s="62"/>
      <c r="J50" s="35"/>
      <c r="K50" s="62"/>
      <c r="L50" s="54">
        <v>-22.715737566901197</v>
      </c>
      <c r="M50" s="36">
        <v>53.674905285946231</v>
      </c>
      <c r="N50" s="54">
        <v>15.056227073185399</v>
      </c>
      <c r="O50" s="36">
        <v>-5.8673401888267472E-4</v>
      </c>
      <c r="P50" s="54">
        <v>0.2414745324433219</v>
      </c>
      <c r="Q50" s="36">
        <v>5.0220698779241078</v>
      </c>
      <c r="R50" s="54">
        <v>0</v>
      </c>
      <c r="S50" s="37">
        <v>0</v>
      </c>
      <c r="T50" s="91">
        <v>3</v>
      </c>
    </row>
    <row r="51" spans="1:20" ht="21.75" hidden="1" thickTop="1" x14ac:dyDescent="0.35">
      <c r="A51" s="1" t="s">
        <v>26</v>
      </c>
      <c r="B51" s="44">
        <v>2623</v>
      </c>
      <c r="C51" s="48">
        <v>2683</v>
      </c>
      <c r="D51" s="2"/>
      <c r="E51" s="56"/>
      <c r="F51" s="2"/>
      <c r="G51" s="60"/>
      <c r="H51" s="2"/>
      <c r="I51" s="60"/>
      <c r="J51" s="2"/>
      <c r="K51" s="60"/>
      <c r="L51" s="52">
        <v>-22.715737566901197</v>
      </c>
      <c r="M51" s="28">
        <v>57.73443983402489</v>
      </c>
      <c r="N51" s="52">
        <v>19.243526369595283</v>
      </c>
      <c r="O51" s="28">
        <v>0</v>
      </c>
      <c r="P51" s="52">
        <v>0.98981297732876283</v>
      </c>
      <c r="Q51" s="28">
        <v>0</v>
      </c>
      <c r="R51" s="52">
        <v>0</v>
      </c>
      <c r="S51" s="29">
        <v>0</v>
      </c>
      <c r="T51" s="91">
        <v>3</v>
      </c>
    </row>
    <row r="52" spans="1:20" ht="21.75" hidden="1" thickTop="1" x14ac:dyDescent="0.35">
      <c r="A52" s="30" t="s">
        <v>26</v>
      </c>
      <c r="B52" s="45">
        <v>2683</v>
      </c>
      <c r="C52" s="49">
        <v>6000</v>
      </c>
      <c r="D52" s="31"/>
      <c r="E52" s="57"/>
      <c r="F52" s="31"/>
      <c r="G52" s="61"/>
      <c r="H52" s="31"/>
      <c r="I52" s="61"/>
      <c r="J52" s="31"/>
      <c r="K52" s="61"/>
      <c r="L52" s="53">
        <v>-22.715737566901197</v>
      </c>
      <c r="M52" s="32">
        <v>65.08052197967406</v>
      </c>
      <c r="N52" s="53">
        <v>24.054398941608035</v>
      </c>
      <c r="O52" s="32">
        <v>0</v>
      </c>
      <c r="P52" s="53">
        <v>0.7170365024956401</v>
      </c>
      <c r="Q52" s="32">
        <v>0</v>
      </c>
      <c r="R52" s="53">
        <v>0</v>
      </c>
      <c r="S52" s="33">
        <v>0</v>
      </c>
      <c r="T52" s="91">
        <v>3</v>
      </c>
    </row>
    <row r="53" spans="1:20" ht="22.5" thickTop="1" thickBot="1" x14ac:dyDescent="0.4">
      <c r="A53" s="34" t="s">
        <v>15</v>
      </c>
      <c r="B53" s="46">
        <v>298</v>
      </c>
      <c r="C53" s="50">
        <v>553</v>
      </c>
      <c r="D53" s="35"/>
      <c r="E53" s="58"/>
      <c r="F53" s="35"/>
      <c r="G53" s="62"/>
      <c r="H53" s="35"/>
      <c r="I53" s="62"/>
      <c r="J53" s="35"/>
      <c r="K53" s="62"/>
      <c r="L53" s="54">
        <v>0</v>
      </c>
      <c r="M53" s="36">
        <v>15.302904564315352</v>
      </c>
      <c r="N53" s="54">
        <v>3.1309278970473269</v>
      </c>
      <c r="O53" s="36">
        <v>3.1078236815202352E-5</v>
      </c>
      <c r="P53" s="54">
        <v>8.5813939503277398E-3</v>
      </c>
      <c r="Q53" s="36">
        <v>-7.0912261711467917</v>
      </c>
      <c r="R53" s="54">
        <v>81.712670635636528</v>
      </c>
      <c r="S53" s="37">
        <v>0</v>
      </c>
      <c r="T53" s="91">
        <v>3</v>
      </c>
    </row>
    <row r="54" spans="1:20" x14ac:dyDescent="0.35">
      <c r="A54" s="1" t="s">
        <v>15</v>
      </c>
      <c r="B54" s="44">
        <v>553</v>
      </c>
      <c r="C54" s="48">
        <v>1033</v>
      </c>
      <c r="D54" s="2"/>
      <c r="E54" s="56"/>
      <c r="F54" s="2"/>
      <c r="G54" s="60"/>
      <c r="H54" s="2"/>
      <c r="I54" s="60"/>
      <c r="J54" s="2"/>
      <c r="K54" s="60"/>
      <c r="L54" s="52">
        <v>0</v>
      </c>
      <c r="M54" s="28">
        <v>28.54410968789464</v>
      </c>
      <c r="N54" s="52">
        <v>8.6997414155992541</v>
      </c>
      <c r="O54" s="28">
        <v>-3.2629743219676466E-3</v>
      </c>
      <c r="P54" s="52">
        <v>0.3292224427205484</v>
      </c>
      <c r="Q54" s="28">
        <v>-39.133321306151906</v>
      </c>
      <c r="R54" s="52">
        <v>60.271814300318717</v>
      </c>
      <c r="S54" s="29">
        <v>0</v>
      </c>
      <c r="T54" s="91">
        <v>3</v>
      </c>
    </row>
    <row r="55" spans="1:20" x14ac:dyDescent="0.35">
      <c r="A55" s="30" t="s">
        <v>15</v>
      </c>
      <c r="B55" s="45">
        <v>1033</v>
      </c>
      <c r="C55" s="49">
        <v>1097</v>
      </c>
      <c r="D55" s="31"/>
      <c r="E55" s="57"/>
      <c r="F55" s="31"/>
      <c r="G55" s="61"/>
      <c r="H55" s="31"/>
      <c r="I55" s="61"/>
      <c r="J55" s="31"/>
      <c r="K55" s="61"/>
      <c r="L55" s="53">
        <v>0</v>
      </c>
      <c r="M55" s="32">
        <v>17.357387696193395</v>
      </c>
      <c r="N55" s="53">
        <v>4.3418365506043655</v>
      </c>
      <c r="O55" s="32">
        <v>0</v>
      </c>
      <c r="P55" s="53">
        <v>7.9776294425401406E-2</v>
      </c>
      <c r="Q55" s="32">
        <v>0</v>
      </c>
      <c r="R55" s="53">
        <v>0</v>
      </c>
      <c r="S55" s="33">
        <v>0</v>
      </c>
      <c r="T55" s="91">
        <v>3</v>
      </c>
    </row>
    <row r="56" spans="1:20" ht="21.75" thickBot="1" x14ac:dyDescent="0.4">
      <c r="A56" s="34" t="s">
        <v>15</v>
      </c>
      <c r="B56" s="46">
        <v>1097</v>
      </c>
      <c r="C56" s="50">
        <v>4000</v>
      </c>
      <c r="D56" s="35"/>
      <c r="E56" s="58"/>
      <c r="F56" s="35"/>
      <c r="G56" s="62"/>
      <c r="H56" s="35"/>
      <c r="I56" s="62"/>
      <c r="J56" s="35"/>
      <c r="K56" s="62"/>
      <c r="L56" s="54">
        <v>0</v>
      </c>
      <c r="M56" s="36">
        <v>18.29911600216489</v>
      </c>
      <c r="N56" s="54">
        <v>4.4260268206145881</v>
      </c>
      <c r="O56" s="36">
        <v>0</v>
      </c>
      <c r="P56" s="54">
        <v>3.1150399903782547E-3</v>
      </c>
      <c r="Q56" s="36">
        <v>0</v>
      </c>
      <c r="R56" s="54">
        <v>0</v>
      </c>
      <c r="S56" s="37">
        <v>0</v>
      </c>
      <c r="T56" s="91">
        <v>3</v>
      </c>
    </row>
    <row r="57" spans="1:20" hidden="1" x14ac:dyDescent="0.35">
      <c r="A57" s="1" t="s">
        <v>18</v>
      </c>
      <c r="B57" s="44">
        <v>298</v>
      </c>
      <c r="C57" s="48">
        <v>2663</v>
      </c>
      <c r="D57" s="2"/>
      <c r="E57" s="56"/>
      <c r="F57" s="2"/>
      <c r="G57" s="60"/>
      <c r="H57" s="2"/>
      <c r="I57" s="60"/>
      <c r="J57" s="2"/>
      <c r="K57" s="60"/>
      <c r="L57" s="52">
        <v>-21.824523422935833</v>
      </c>
      <c r="M57" s="28">
        <v>54.255457333573879</v>
      </c>
      <c r="N57" s="52">
        <v>15.657598171868422</v>
      </c>
      <c r="O57" s="28">
        <v>-8.5355703890793179E-4</v>
      </c>
      <c r="P57" s="52">
        <v>0.2900198448493595</v>
      </c>
      <c r="Q57" s="28">
        <v>2.2816765890913464</v>
      </c>
      <c r="R57" s="52">
        <v>0</v>
      </c>
      <c r="S57" s="29">
        <v>0</v>
      </c>
      <c r="T57" s="91">
        <v>3</v>
      </c>
    </row>
    <row r="58" spans="1:20" hidden="1" x14ac:dyDescent="0.35">
      <c r="A58" s="30" t="s">
        <v>18</v>
      </c>
      <c r="B58" s="45">
        <v>2663</v>
      </c>
      <c r="C58" s="49">
        <v>2708</v>
      </c>
      <c r="D58" s="31"/>
      <c r="E58" s="57"/>
      <c r="F58" s="31"/>
      <c r="G58" s="61"/>
      <c r="H58" s="31"/>
      <c r="I58" s="61"/>
      <c r="J58" s="31"/>
      <c r="K58" s="61"/>
      <c r="L58" s="53">
        <v>-21.824523422935833</v>
      </c>
      <c r="M58" s="32">
        <v>56.641409585663595</v>
      </c>
      <c r="N58" s="53">
        <v>19.243526369595283</v>
      </c>
      <c r="O58" s="32">
        <v>0</v>
      </c>
      <c r="P58" s="53">
        <v>1.0767454447050333</v>
      </c>
      <c r="Q58" s="32">
        <v>0</v>
      </c>
      <c r="R58" s="53">
        <v>0</v>
      </c>
      <c r="S58" s="33">
        <v>0</v>
      </c>
      <c r="T58" s="91">
        <v>3</v>
      </c>
    </row>
    <row r="59" spans="1:20" ht="21.75" hidden="1" thickBot="1" x14ac:dyDescent="0.4">
      <c r="A59" s="34" t="s">
        <v>18</v>
      </c>
      <c r="B59" s="46">
        <v>2708</v>
      </c>
      <c r="C59" s="50">
        <v>6000</v>
      </c>
      <c r="D59" s="35"/>
      <c r="E59" s="58"/>
      <c r="F59" s="35"/>
      <c r="G59" s="62"/>
      <c r="H59" s="35"/>
      <c r="I59" s="62"/>
      <c r="J59" s="35"/>
      <c r="K59" s="62"/>
      <c r="L59" s="54">
        <v>-21.824523422935833</v>
      </c>
      <c r="M59" s="36">
        <v>63.8891093872151</v>
      </c>
      <c r="N59" s="54">
        <v>24.054398941608035</v>
      </c>
      <c r="O59" s="36">
        <v>0</v>
      </c>
      <c r="P59" s="54">
        <v>0.81599615130194236</v>
      </c>
      <c r="Q59" s="36">
        <v>0</v>
      </c>
      <c r="R59" s="54">
        <v>0</v>
      </c>
      <c r="S59" s="37">
        <v>0</v>
      </c>
      <c r="T59" s="91">
        <v>3</v>
      </c>
    </row>
    <row r="60" spans="1:20" hidden="1" x14ac:dyDescent="0.35">
      <c r="A60" s="1" t="s">
        <v>28</v>
      </c>
      <c r="B60" s="44">
        <v>298</v>
      </c>
      <c r="C60" s="48">
        <v>500</v>
      </c>
      <c r="D60" s="2"/>
      <c r="E60" s="56"/>
      <c r="F60" s="2"/>
      <c r="G60" s="60"/>
      <c r="H60" s="2"/>
      <c r="I60" s="60"/>
      <c r="J60" s="2"/>
      <c r="K60" s="60"/>
      <c r="L60" s="52">
        <v>-20.153947922304404</v>
      </c>
      <c r="M60" s="28">
        <v>32.273137290276019</v>
      </c>
      <c r="N60" s="52">
        <v>11.673113235913164</v>
      </c>
      <c r="O60" s="28">
        <v>-1.5854110289253711E-3</v>
      </c>
      <c r="P60" s="52">
        <v>0.35477659510493714</v>
      </c>
      <c r="Q60" s="28">
        <v>23.465030969992181</v>
      </c>
      <c r="R60" s="52">
        <v>0</v>
      </c>
      <c r="S60" s="29">
        <v>0</v>
      </c>
      <c r="T60" s="91">
        <v>3</v>
      </c>
    </row>
    <row r="61" spans="1:20" hidden="1" x14ac:dyDescent="0.35">
      <c r="A61" s="30" t="s">
        <v>28</v>
      </c>
      <c r="B61" s="45">
        <v>500</v>
      </c>
      <c r="C61" s="49">
        <v>1200</v>
      </c>
      <c r="D61" s="31"/>
      <c r="E61" s="57"/>
      <c r="F61" s="31"/>
      <c r="G61" s="61"/>
      <c r="H61" s="31"/>
      <c r="I61" s="61"/>
      <c r="J61" s="31"/>
      <c r="K61" s="61"/>
      <c r="L61" s="53">
        <v>-20.153947922304404</v>
      </c>
      <c r="M61" s="32">
        <v>39.781947200673521</v>
      </c>
      <c r="N61" s="53">
        <v>14.754837933730229</v>
      </c>
      <c r="O61" s="32">
        <v>-3.0211077034097054E-3</v>
      </c>
      <c r="P61" s="53">
        <v>0.51796860905646758</v>
      </c>
      <c r="Q61" s="32">
        <v>4.1366287810451619</v>
      </c>
      <c r="R61" s="53">
        <v>0</v>
      </c>
      <c r="S61" s="33">
        <v>0</v>
      </c>
      <c r="T61" s="91">
        <v>3</v>
      </c>
    </row>
    <row r="62" spans="1:20" ht="21.75" hidden="1" thickBot="1" x14ac:dyDescent="0.4">
      <c r="A62" s="34" t="s">
        <v>28</v>
      </c>
      <c r="B62" s="46">
        <v>1200</v>
      </c>
      <c r="C62" s="50">
        <v>2327</v>
      </c>
      <c r="D62" s="35"/>
      <c r="E62" s="58"/>
      <c r="F62" s="35"/>
      <c r="G62" s="62"/>
      <c r="H62" s="35"/>
      <c r="I62" s="62"/>
      <c r="J62" s="35"/>
      <c r="K62" s="62"/>
      <c r="L62" s="54">
        <v>-20.153947922304404</v>
      </c>
      <c r="M62" s="36">
        <v>36.55758013109628</v>
      </c>
      <c r="N62" s="54">
        <v>12.937784593180586</v>
      </c>
      <c r="O62" s="36">
        <v>0</v>
      </c>
      <c r="P62" s="54">
        <v>0.33348968669192375</v>
      </c>
      <c r="Q62" s="36">
        <v>9.9641589993385029</v>
      </c>
      <c r="R62" s="54">
        <v>0</v>
      </c>
      <c r="S62" s="37">
        <v>0</v>
      </c>
      <c r="T62" s="91">
        <v>3</v>
      </c>
    </row>
    <row r="63" spans="1:20" hidden="1" x14ac:dyDescent="0.35">
      <c r="A63" s="1" t="s">
        <v>28</v>
      </c>
      <c r="B63" s="44">
        <v>2327</v>
      </c>
      <c r="C63" s="48">
        <v>5400</v>
      </c>
      <c r="D63" s="2"/>
      <c r="E63" s="56"/>
      <c r="F63" s="2"/>
      <c r="G63" s="60"/>
      <c r="H63" s="2"/>
      <c r="I63" s="60"/>
      <c r="J63" s="2"/>
      <c r="K63" s="60"/>
      <c r="L63" s="52">
        <v>-20.153947922304404</v>
      </c>
      <c r="M63" s="28">
        <v>50.000240543628593</v>
      </c>
      <c r="N63" s="52">
        <v>19.592278549521918</v>
      </c>
      <c r="O63" s="28">
        <v>0</v>
      </c>
      <c r="P63" s="52">
        <v>2.6339527331769798E-3</v>
      </c>
      <c r="Q63" s="28">
        <v>0</v>
      </c>
      <c r="R63" s="52">
        <v>0</v>
      </c>
      <c r="S63" s="29">
        <v>0</v>
      </c>
      <c r="T63" s="91">
        <v>3</v>
      </c>
    </row>
    <row r="64" spans="1:20" ht="21.75" hidden="1" thickBot="1" x14ac:dyDescent="0.4">
      <c r="A64" s="34" t="s">
        <v>29</v>
      </c>
      <c r="B64" s="46">
        <v>298</v>
      </c>
      <c r="C64" s="50">
        <v>500</v>
      </c>
      <c r="D64" s="35"/>
      <c r="E64" s="58"/>
      <c r="F64" s="35"/>
      <c r="G64" s="62"/>
      <c r="H64" s="35"/>
      <c r="I64" s="62"/>
      <c r="J64" s="35"/>
      <c r="K64" s="62"/>
      <c r="L64" s="54">
        <f>L56*2+3*L60</f>
        <v>-60.461843766913212</v>
      </c>
      <c r="M64" s="36">
        <f t="shared" ref="M64:S64" si="0">M56*0.4+0.6*M60</f>
        <v>26.683528775031565</v>
      </c>
      <c r="N64" s="54">
        <f t="shared" si="0"/>
        <v>8.7742786697937341</v>
      </c>
      <c r="O64" s="36">
        <f t="shared" si="0"/>
        <v>-9.512466173552226E-4</v>
      </c>
      <c r="P64" s="54">
        <f t="shared" si="0"/>
        <v>0.21411197305911356</v>
      </c>
      <c r="Q64" s="36">
        <f t="shared" si="0"/>
        <v>14.079018581995308</v>
      </c>
      <c r="R64" s="54">
        <f t="shared" si="0"/>
        <v>0</v>
      </c>
      <c r="S64" s="37">
        <f t="shared" si="0"/>
        <v>0</v>
      </c>
      <c r="T64" s="91">
        <v>3</v>
      </c>
    </row>
    <row r="65" spans="1:20" hidden="1" x14ac:dyDescent="0.35">
      <c r="A65" s="1" t="s">
        <v>29</v>
      </c>
      <c r="B65" s="44">
        <v>500</v>
      </c>
      <c r="C65" s="48">
        <v>848</v>
      </c>
      <c r="D65" s="2"/>
      <c r="E65" s="56"/>
      <c r="F65" s="2"/>
      <c r="G65" s="60"/>
      <c r="H65" s="2"/>
      <c r="I65" s="60"/>
      <c r="J65" s="2"/>
      <c r="K65" s="60"/>
      <c r="L65" s="52">
        <v>-82.368152023573259</v>
      </c>
      <c r="M65" s="28">
        <f t="shared" ref="M65:S65" si="1">M56*0.4+0.6*M61</f>
        <v>31.188814721270067</v>
      </c>
      <c r="N65" s="52">
        <f t="shared" si="1"/>
        <v>10.623313488483973</v>
      </c>
      <c r="O65" s="28">
        <f t="shared" si="1"/>
        <v>-1.8126646220458231E-3</v>
      </c>
      <c r="P65" s="52">
        <f t="shared" si="1"/>
        <v>0.31202718143003183</v>
      </c>
      <c r="Q65" s="28">
        <f t="shared" si="1"/>
        <v>2.4819772686270971</v>
      </c>
      <c r="R65" s="52">
        <f t="shared" si="1"/>
        <v>0</v>
      </c>
      <c r="S65" s="29">
        <f t="shared" si="1"/>
        <v>0</v>
      </c>
      <c r="T65" s="91">
        <v>3</v>
      </c>
    </row>
    <row r="66" spans="1:20" hidden="1" x14ac:dyDescent="0.35">
      <c r="A66" s="30" t="s">
        <v>29</v>
      </c>
      <c r="B66" s="45">
        <v>848</v>
      </c>
      <c r="C66" s="49">
        <v>1200</v>
      </c>
      <c r="D66" s="31"/>
      <c r="E66" s="57"/>
      <c r="F66" s="31"/>
      <c r="G66" s="61"/>
      <c r="H66" s="31"/>
      <c r="I66" s="61"/>
      <c r="J66" s="31"/>
      <c r="K66" s="61"/>
      <c r="L66" s="53">
        <v>-82.368152023573259</v>
      </c>
      <c r="M66" s="32">
        <f t="shared" ref="M66:S67" si="2">M57*0.4+0.6*M61</f>
        <v>45.571351253833669</v>
      </c>
      <c r="N66" s="53">
        <f t="shared" si="2"/>
        <v>15.115942028985508</v>
      </c>
      <c r="O66" s="32">
        <f t="shared" si="2"/>
        <v>-2.1540874376089958E-3</v>
      </c>
      <c r="P66" s="53">
        <f t="shared" si="2"/>
        <v>0.4267891033736243</v>
      </c>
      <c r="Q66" s="32">
        <f t="shared" si="2"/>
        <v>3.3946479042636355</v>
      </c>
      <c r="R66" s="53">
        <f t="shared" si="2"/>
        <v>0</v>
      </c>
      <c r="S66" s="33">
        <f t="shared" si="2"/>
        <v>0</v>
      </c>
      <c r="T66" s="91">
        <v>3</v>
      </c>
    </row>
    <row r="67" spans="1:20" ht="21.75" hidden="1" thickBot="1" x14ac:dyDescent="0.4">
      <c r="A67" s="34" t="s">
        <v>29</v>
      </c>
      <c r="B67" s="46">
        <v>1200</v>
      </c>
      <c r="C67" s="50">
        <v>1996</v>
      </c>
      <c r="D67" s="35"/>
      <c r="E67" s="58"/>
      <c r="F67" s="35"/>
      <c r="G67" s="62"/>
      <c r="H67" s="35"/>
      <c r="I67" s="62"/>
      <c r="J67" s="35"/>
      <c r="K67" s="62"/>
      <c r="L67" s="54">
        <v>-82.368152023573259</v>
      </c>
      <c r="M67" s="36">
        <f t="shared" si="2"/>
        <v>44.591111912923211</v>
      </c>
      <c r="N67" s="54">
        <f t="shared" si="2"/>
        <v>15.460081303746465</v>
      </c>
      <c r="O67" s="36">
        <f t="shared" si="2"/>
        <v>0</v>
      </c>
      <c r="P67" s="54">
        <f t="shared" si="2"/>
        <v>0.63079198989716767</v>
      </c>
      <c r="Q67" s="36">
        <f t="shared" si="2"/>
        <v>5.9784953996031014</v>
      </c>
      <c r="R67" s="54">
        <f t="shared" si="2"/>
        <v>0</v>
      </c>
      <c r="S67" s="37">
        <f t="shared" si="2"/>
        <v>0</v>
      </c>
      <c r="T67" s="91">
        <v>3</v>
      </c>
    </row>
    <row r="68" spans="1:20" hidden="1" x14ac:dyDescent="0.35">
      <c r="A68" s="1" t="s">
        <v>29</v>
      </c>
      <c r="B68" s="44">
        <v>1996</v>
      </c>
      <c r="C68" s="48">
        <v>2327</v>
      </c>
      <c r="D68" s="2"/>
      <c r="E68" s="56"/>
      <c r="F68" s="2"/>
      <c r="G68" s="60"/>
      <c r="H68" s="2"/>
      <c r="I68" s="60"/>
      <c r="J68" s="2"/>
      <c r="K68" s="60"/>
      <c r="L68" s="52">
        <v>-82.368152023573259</v>
      </c>
      <c r="M68" s="28">
        <f t="shared" ref="M68:S68" si="3">M59*0.4+0.6*M62</f>
        <v>47.490191833543804</v>
      </c>
      <c r="N68" s="52">
        <f t="shared" si="3"/>
        <v>17.384430332551567</v>
      </c>
      <c r="O68" s="28">
        <f t="shared" si="3"/>
        <v>0</v>
      </c>
      <c r="P68" s="52">
        <f t="shared" si="3"/>
        <v>0.52649227253593123</v>
      </c>
      <c r="Q68" s="28">
        <f t="shared" si="3"/>
        <v>5.9784953996031014</v>
      </c>
      <c r="R68" s="52">
        <f t="shared" si="3"/>
        <v>0</v>
      </c>
      <c r="S68" s="29">
        <f t="shared" si="3"/>
        <v>0</v>
      </c>
      <c r="T68" s="91">
        <v>3</v>
      </c>
    </row>
    <row r="69" spans="1:20" hidden="1" x14ac:dyDescent="0.35">
      <c r="A69" s="30" t="s">
        <v>29</v>
      </c>
      <c r="B69" s="45">
        <v>2327</v>
      </c>
      <c r="C69" s="49">
        <v>4700</v>
      </c>
      <c r="D69" s="31"/>
      <c r="E69" s="57"/>
      <c r="F69" s="31"/>
      <c r="G69" s="61"/>
      <c r="H69" s="31"/>
      <c r="I69" s="61"/>
      <c r="J69" s="31"/>
      <c r="K69" s="61"/>
      <c r="L69" s="53">
        <v>-82.368152023573259</v>
      </c>
      <c r="M69" s="32">
        <f t="shared" ref="M69:S69" si="4">M59*0.4+0.6*M63</f>
        <v>55.555788081063199</v>
      </c>
      <c r="N69" s="53">
        <f t="shared" si="4"/>
        <v>21.377126706356364</v>
      </c>
      <c r="O69" s="32">
        <f t="shared" si="4"/>
        <v>0</v>
      </c>
      <c r="P69" s="53">
        <f t="shared" si="4"/>
        <v>0.32797883216068319</v>
      </c>
      <c r="Q69" s="32">
        <f t="shared" si="4"/>
        <v>0</v>
      </c>
      <c r="R69" s="53">
        <f t="shared" si="4"/>
        <v>0</v>
      </c>
      <c r="S69" s="33">
        <f t="shared" si="4"/>
        <v>0</v>
      </c>
      <c r="T69" s="91">
        <v>3</v>
      </c>
    </row>
    <row r="70" spans="1:20" ht="21.75" hidden="1" thickBot="1" x14ac:dyDescent="0.4">
      <c r="A70" s="34" t="s">
        <v>20</v>
      </c>
      <c r="B70" s="46">
        <v>298</v>
      </c>
      <c r="C70" s="50">
        <v>2200</v>
      </c>
      <c r="D70" s="35"/>
      <c r="E70" s="58"/>
      <c r="F70" s="35"/>
      <c r="G70" s="62"/>
      <c r="H70" s="35"/>
      <c r="I70" s="62"/>
      <c r="J70" s="35"/>
      <c r="K70" s="62"/>
      <c r="L70" s="54">
        <v>0</v>
      </c>
      <c r="M70" s="36">
        <v>30.448012508268686</v>
      </c>
      <c r="N70" s="54">
        <v>2.7896085152444519</v>
      </c>
      <c r="O70" s="36">
        <v>-5.8295748391364481E-5</v>
      </c>
      <c r="P70" s="54">
        <v>9.9320464249203193E-3</v>
      </c>
      <c r="Q70" s="36">
        <v>-3.3121654940164773</v>
      </c>
      <c r="R70" s="54">
        <v>5.5216789945276314</v>
      </c>
      <c r="S70" s="37">
        <v>7.2992964098863427</v>
      </c>
      <c r="T70" s="91">
        <v>3</v>
      </c>
    </row>
    <row r="71" spans="1:20" hidden="1" x14ac:dyDescent="0.35">
      <c r="A71" s="1" t="s">
        <v>20</v>
      </c>
      <c r="B71" s="44">
        <v>2200</v>
      </c>
      <c r="C71" s="48">
        <v>6000</v>
      </c>
      <c r="D71" s="2"/>
      <c r="E71" s="56"/>
      <c r="F71" s="2"/>
      <c r="G71" s="60"/>
      <c r="H71" s="2"/>
      <c r="I71" s="60"/>
      <c r="J71" s="2"/>
      <c r="K71" s="60"/>
      <c r="L71" s="52">
        <v>0</v>
      </c>
      <c r="M71" s="28">
        <v>14.18197125503638</v>
      </c>
      <c r="N71" s="52">
        <v>-7.0026219255517468</v>
      </c>
      <c r="O71" s="28">
        <v>2.8337242167298094E-2</v>
      </c>
      <c r="P71" s="52">
        <v>-1.2169944073606349</v>
      </c>
      <c r="Q71" s="28">
        <v>30.431655541523842</v>
      </c>
      <c r="R71" s="52">
        <v>-14.038486980576101</v>
      </c>
      <c r="S71" s="29">
        <v>2.9223645438691439</v>
      </c>
      <c r="T71" s="91">
        <v>3</v>
      </c>
    </row>
    <row r="72" spans="1:20" ht="21.75" hidden="1" thickBot="1" x14ac:dyDescent="0.4">
      <c r="A72" s="34" t="s">
        <v>21</v>
      </c>
      <c r="B72" s="46">
        <v>298</v>
      </c>
      <c r="C72" s="50">
        <v>6000</v>
      </c>
      <c r="D72" s="35"/>
      <c r="E72" s="58"/>
      <c r="F72" s="35"/>
      <c r="G72" s="62"/>
      <c r="H72" s="35"/>
      <c r="I72" s="62"/>
      <c r="J72" s="35"/>
      <c r="K72" s="62"/>
      <c r="L72" s="54">
        <v>-0.58027542245474772</v>
      </c>
      <c r="M72" s="36">
        <v>39.415478982500453</v>
      </c>
      <c r="N72" s="54">
        <v>5.6957243370016233</v>
      </c>
      <c r="O72" s="36">
        <v>-2.326898791268266E-4</v>
      </c>
      <c r="P72" s="54">
        <v>5.2431294726080935E-2</v>
      </c>
      <c r="Q72" s="36">
        <v>-5.7095435684647295</v>
      </c>
      <c r="R72" s="54">
        <v>7.3897408142401826</v>
      </c>
      <c r="S72" s="37">
        <v>-2.7057550063142699</v>
      </c>
      <c r="T72" s="91">
        <v>3</v>
      </c>
    </row>
    <row r="73" spans="1:20" hidden="1" x14ac:dyDescent="0.35">
      <c r="A73" s="1" t="s">
        <v>31</v>
      </c>
      <c r="B73" s="44">
        <v>298</v>
      </c>
      <c r="C73" s="48">
        <v>1400</v>
      </c>
      <c r="D73" s="2"/>
      <c r="E73" s="56"/>
      <c r="F73" s="2"/>
      <c r="G73" s="60"/>
      <c r="H73" s="2"/>
      <c r="I73" s="60"/>
      <c r="J73" s="2"/>
      <c r="K73" s="60"/>
      <c r="L73" s="52">
        <v>3.6104395934812672</v>
      </c>
      <c r="M73" s="28">
        <v>30.372722352516686</v>
      </c>
      <c r="N73" s="52">
        <v>2.6945817547657702</v>
      </c>
      <c r="O73" s="28">
        <v>-3.5672620121474529E-5</v>
      </c>
      <c r="P73" s="52">
        <v>6.3046485056227073E-3</v>
      </c>
      <c r="Q73" s="28">
        <v>-2.4813278008298751</v>
      </c>
      <c r="R73" s="52">
        <v>5.5854230561068006</v>
      </c>
      <c r="S73" s="29">
        <v>0</v>
      </c>
      <c r="T73" s="91">
        <v>3</v>
      </c>
    </row>
    <row r="74" spans="1:20" ht="21.75" hidden="1" thickBot="1" x14ac:dyDescent="0.4">
      <c r="A74" s="34" t="s">
        <v>31</v>
      </c>
      <c r="B74" s="46">
        <v>1400</v>
      </c>
      <c r="C74" s="50">
        <v>2400</v>
      </c>
      <c r="D74" s="35"/>
      <c r="E74" s="58"/>
      <c r="F74" s="35"/>
      <c r="G74" s="62"/>
      <c r="H74" s="35"/>
      <c r="I74" s="62"/>
      <c r="J74" s="35"/>
      <c r="K74" s="62"/>
      <c r="L74" s="54">
        <v>3.6104395934812672</v>
      </c>
      <c r="M74" s="36">
        <v>292.06073726622162</v>
      </c>
      <c r="N74" s="54">
        <v>132.31655541523841</v>
      </c>
      <c r="O74" s="36">
        <v>-0.21490167779180946</v>
      </c>
      <c r="P74" s="54">
        <v>11.909074508388958</v>
      </c>
      <c r="Q74" s="36">
        <v>-695.09290997654693</v>
      </c>
      <c r="R74" s="54">
        <v>912.20157556076731</v>
      </c>
      <c r="S74" s="37">
        <v>-618.67821276083941</v>
      </c>
      <c r="T74" s="91">
        <v>3</v>
      </c>
    </row>
    <row r="75" spans="1:20" hidden="1" x14ac:dyDescent="0.35">
      <c r="A75" s="1" t="s">
        <v>31</v>
      </c>
      <c r="B75" s="44">
        <v>2400</v>
      </c>
      <c r="C75" s="48">
        <v>6000</v>
      </c>
      <c r="D75" s="2"/>
      <c r="E75" s="56"/>
      <c r="F75" s="2"/>
      <c r="G75" s="60"/>
      <c r="H75" s="2"/>
      <c r="I75" s="60"/>
      <c r="J75" s="2"/>
      <c r="K75" s="60"/>
      <c r="L75" s="52">
        <v>3.6104395934812672</v>
      </c>
      <c r="M75" s="28">
        <v>4.5217391304347823</v>
      </c>
      <c r="N75" s="52">
        <v>-14.394214925732154</v>
      </c>
      <c r="O75" s="28">
        <v>6.4713452402429483E-2</v>
      </c>
      <c r="P75" s="52">
        <v>-2.4627458055204761</v>
      </c>
      <c r="Q75" s="28">
        <v>48.558422033796376</v>
      </c>
      <c r="R75" s="52">
        <v>-23.704973239521316</v>
      </c>
      <c r="S75" s="29">
        <v>5.3043478260869561</v>
      </c>
      <c r="T75" s="91">
        <v>3</v>
      </c>
    </row>
    <row r="76" spans="1:20" hidden="1" x14ac:dyDescent="0.35">
      <c r="A76" s="30" t="s">
        <v>32</v>
      </c>
      <c r="B76" s="45">
        <v>298</v>
      </c>
      <c r="C76" s="49">
        <v>1400</v>
      </c>
      <c r="D76" s="31"/>
      <c r="E76" s="57"/>
      <c r="F76" s="31"/>
      <c r="G76" s="61"/>
      <c r="H76" s="31"/>
      <c r="I76" s="61"/>
      <c r="J76" s="31"/>
      <c r="K76" s="61"/>
      <c r="L76" s="53">
        <v>-0.72997774971435436</v>
      </c>
      <c r="M76" s="32">
        <v>62.972397618618068</v>
      </c>
      <c r="N76" s="53">
        <v>12.395646160322327</v>
      </c>
      <c r="O76" s="32">
        <v>-1.5346924048349267E-3</v>
      </c>
      <c r="P76" s="53">
        <v>0.29626676288411807</v>
      </c>
      <c r="Q76" s="32">
        <v>-74.957002826387637</v>
      </c>
      <c r="R76" s="53">
        <v>178.16946298634915</v>
      </c>
      <c r="S76" s="33">
        <v>-216.85008118347463</v>
      </c>
      <c r="T76" s="91">
        <v>3</v>
      </c>
    </row>
    <row r="77" spans="1:20" hidden="1" x14ac:dyDescent="0.35">
      <c r="A77" s="30" t="s">
        <v>32</v>
      </c>
      <c r="B77" s="45">
        <v>1400</v>
      </c>
      <c r="C77" s="49">
        <v>6000</v>
      </c>
      <c r="D77" s="31"/>
      <c r="E77" s="57"/>
      <c r="F77" s="31"/>
      <c r="G77" s="61"/>
      <c r="H77" s="31"/>
      <c r="I77" s="61"/>
      <c r="J77" s="31"/>
      <c r="K77" s="61"/>
      <c r="L77" s="53">
        <v>-0.72997774971435436</v>
      </c>
      <c r="M77" s="32">
        <v>43.969932046424923</v>
      </c>
      <c r="N77" s="53">
        <v>5.4448253051897284</v>
      </c>
      <c r="O77" s="32">
        <v>-5.5204762763846297E-4</v>
      </c>
      <c r="P77" s="53">
        <v>1.6994407360635035E-2</v>
      </c>
      <c r="Q77" s="32">
        <v>-2.824463287028685</v>
      </c>
      <c r="R77" s="53">
        <v>4.248842383787359</v>
      </c>
      <c r="S77" s="33">
        <v>-1.4042937037705212</v>
      </c>
      <c r="T77" s="91">
        <v>3</v>
      </c>
    </row>
    <row r="78" spans="1:20" ht="21.75" hidden="1" thickBot="1" x14ac:dyDescent="0.4">
      <c r="A78" s="34" t="s">
        <v>36</v>
      </c>
      <c r="B78" s="46">
        <v>298</v>
      </c>
      <c r="C78" s="50">
        <v>1800</v>
      </c>
      <c r="D78" s="35"/>
      <c r="E78" s="58"/>
      <c r="F78" s="35"/>
      <c r="G78" s="62"/>
      <c r="H78" s="35"/>
      <c r="I78" s="62"/>
      <c r="J78" s="35"/>
      <c r="K78" s="62"/>
      <c r="L78" s="54">
        <v>3.9344398340248956</v>
      </c>
      <c r="M78" s="36">
        <v>26.555896325696072</v>
      </c>
      <c r="N78" s="54">
        <v>1.8786697937338384</v>
      </c>
      <c r="O78" s="36">
        <v>-1.6272776474833123E-5</v>
      </c>
      <c r="P78" s="54">
        <v>-5.2029586866317876E-3</v>
      </c>
      <c r="Q78" s="36">
        <v>17.1322388598232</v>
      </c>
      <c r="R78" s="54">
        <v>-43.040471465512056</v>
      </c>
      <c r="S78" s="37">
        <v>61.182271934572128</v>
      </c>
      <c r="T78" s="91">
        <v>3</v>
      </c>
    </row>
    <row r="79" spans="1:20" hidden="1" x14ac:dyDescent="0.35">
      <c r="A79" s="1" t="s">
        <v>36</v>
      </c>
      <c r="B79" s="44">
        <v>1800</v>
      </c>
      <c r="C79" s="48">
        <v>6000</v>
      </c>
      <c r="D79" s="2"/>
      <c r="E79" s="56"/>
      <c r="F79" s="2"/>
      <c r="G79" s="60"/>
      <c r="H79" s="2"/>
      <c r="I79" s="60"/>
      <c r="J79" s="2"/>
      <c r="K79" s="60"/>
      <c r="L79" s="52">
        <v>3.9344398340248956</v>
      </c>
      <c r="M79" s="28">
        <v>-20.093090384268443</v>
      </c>
      <c r="N79" s="52">
        <v>-27.793974382103549</v>
      </c>
      <c r="O79" s="28">
        <v>9.6123639425100729E-2</v>
      </c>
      <c r="P79" s="52">
        <v>-3.9854952191953812</v>
      </c>
      <c r="Q79" s="28">
        <v>106.62685669613325</v>
      </c>
      <c r="R79" s="52">
        <v>-73.313488483973785</v>
      </c>
      <c r="S79" s="29">
        <v>24.277467075590831</v>
      </c>
      <c r="T79" s="91">
        <v>3</v>
      </c>
    </row>
    <row r="80" spans="1:20" hidden="1" x14ac:dyDescent="0.35">
      <c r="A80" s="30" t="s">
        <v>35</v>
      </c>
      <c r="B80" s="45">
        <v>298</v>
      </c>
      <c r="C80" s="49">
        <v>1400</v>
      </c>
      <c r="D80" s="31"/>
      <c r="E80" s="57"/>
      <c r="F80" s="31"/>
      <c r="G80" s="61"/>
      <c r="H80" s="31"/>
      <c r="I80" s="61"/>
      <c r="J80" s="31"/>
      <c r="K80" s="61"/>
      <c r="L80" s="53">
        <v>-1.4942209393228696</v>
      </c>
      <c r="M80" s="32">
        <v>29.009561609236872</v>
      </c>
      <c r="N80" s="53">
        <v>1.4303926874736905</v>
      </c>
      <c r="O80" s="32">
        <v>-4.4945577004029101E-5</v>
      </c>
      <c r="P80" s="53">
        <v>-1.555475374346022E-2</v>
      </c>
      <c r="Q80" s="32">
        <v>71.353899813578693</v>
      </c>
      <c r="R80" s="53">
        <v>-222.14324373083167</v>
      </c>
      <c r="S80" s="33">
        <v>322.66522340489507</v>
      </c>
      <c r="T80" s="91">
        <v>3</v>
      </c>
    </row>
    <row r="81" spans="1:20" hidden="1" x14ac:dyDescent="0.35">
      <c r="A81" s="30" t="s">
        <v>35</v>
      </c>
      <c r="B81" s="45">
        <v>1400</v>
      </c>
      <c r="C81" s="49">
        <v>6000</v>
      </c>
      <c r="D81" s="31"/>
      <c r="E81" s="57"/>
      <c r="F81" s="31"/>
      <c r="G81" s="61"/>
      <c r="H81" s="31"/>
      <c r="I81" s="61"/>
      <c r="J81" s="31"/>
      <c r="K81" s="61"/>
      <c r="L81" s="53">
        <v>-1.4942209393228696</v>
      </c>
      <c r="M81" s="32">
        <v>47.034457874797035</v>
      </c>
      <c r="N81" s="53">
        <v>7.2667268025738156</v>
      </c>
      <c r="O81" s="32">
        <v>6.8554934151181669E-4</v>
      </c>
      <c r="P81" s="53">
        <v>0.11850381863010402</v>
      </c>
      <c r="Q81" s="32">
        <v>-8.5365325635937221</v>
      </c>
      <c r="R81" s="53">
        <v>9.2136628781045147</v>
      </c>
      <c r="S81" s="33">
        <v>-3.5703890793192614</v>
      </c>
      <c r="T81" s="91">
        <v>3</v>
      </c>
    </row>
    <row r="82" spans="1:20" ht="21.75" hidden="1" thickBot="1" x14ac:dyDescent="0.4">
      <c r="A82" s="34" t="s">
        <v>27</v>
      </c>
      <c r="B82" s="46">
        <v>298</v>
      </c>
      <c r="C82" s="50">
        <v>848</v>
      </c>
      <c r="D82" s="35"/>
      <c r="E82" s="58"/>
      <c r="F82" s="35"/>
      <c r="G82" s="62"/>
      <c r="H82" s="35"/>
      <c r="I82" s="62"/>
      <c r="J82" s="35"/>
      <c r="K82" s="62"/>
      <c r="L82" s="54">
        <v>-10.953154128330024</v>
      </c>
      <c r="M82" s="36">
        <v>-92.287930723434954</v>
      </c>
      <c r="N82" s="54">
        <v>-26.567213903421731</v>
      </c>
      <c r="O82" s="36">
        <v>2.5586505502435499E-3</v>
      </c>
      <c r="P82" s="54">
        <v>-0.58728005291959817</v>
      </c>
      <c r="Q82" s="36">
        <v>696.92104155391178</v>
      </c>
      <c r="R82" s="54">
        <v>3412.7969210415536</v>
      </c>
      <c r="S82" s="37">
        <v>8867.159781105298</v>
      </c>
      <c r="T82" s="91">
        <v>3</v>
      </c>
    </row>
    <row r="83" spans="1:20" hidden="1" x14ac:dyDescent="0.35">
      <c r="A83" s="1" t="s">
        <v>27</v>
      </c>
      <c r="B83" s="44">
        <v>848</v>
      </c>
      <c r="C83" s="48">
        <v>1200</v>
      </c>
      <c r="D83" s="2"/>
      <c r="E83" s="56"/>
      <c r="F83" s="2"/>
      <c r="G83" s="60"/>
      <c r="H83" s="2"/>
      <c r="I83" s="60"/>
      <c r="J83" s="2"/>
      <c r="K83" s="60"/>
      <c r="L83" s="52">
        <v>-10.953154128330024</v>
      </c>
      <c r="M83" s="28">
        <v>21.87636057489927</v>
      </c>
      <c r="N83" s="52">
        <v>7.0265439894160791</v>
      </c>
      <c r="O83" s="28">
        <v>1.1630284442840819E-4</v>
      </c>
      <c r="P83" s="52">
        <v>0.13388297552468578</v>
      </c>
      <c r="Q83" s="28">
        <v>6.2101148595826565</v>
      </c>
      <c r="R83" s="52">
        <v>0</v>
      </c>
      <c r="S83" s="29">
        <v>0</v>
      </c>
      <c r="T83" s="91">
        <v>3</v>
      </c>
    </row>
    <row r="84" spans="1:20" hidden="1" x14ac:dyDescent="0.35">
      <c r="A84" s="30" t="s">
        <v>27</v>
      </c>
      <c r="B84" s="45">
        <v>1200</v>
      </c>
      <c r="C84" s="49">
        <v>1996</v>
      </c>
      <c r="D84" s="31"/>
      <c r="E84" s="57"/>
      <c r="F84" s="31"/>
      <c r="G84" s="61"/>
      <c r="H84" s="31"/>
      <c r="I84" s="61"/>
      <c r="J84" s="31"/>
      <c r="K84" s="61"/>
      <c r="L84" s="53">
        <v>-10.953154128330024</v>
      </c>
      <c r="M84" s="32">
        <v>26.617234950989232</v>
      </c>
      <c r="N84" s="53">
        <v>9.3310722232244867</v>
      </c>
      <c r="O84" s="32">
        <v>-2.6784533044680978E-3</v>
      </c>
      <c r="P84" s="53">
        <v>0.30701786036442358</v>
      </c>
      <c r="Q84" s="32">
        <v>-3.6534969030007813</v>
      </c>
      <c r="R84" s="53">
        <v>5.5673822839617531</v>
      </c>
      <c r="S84" s="33">
        <v>0</v>
      </c>
      <c r="T84" s="91">
        <v>3</v>
      </c>
    </row>
    <row r="85" spans="1:20" hidden="1" x14ac:dyDescent="0.35">
      <c r="A85" s="30" t="s">
        <v>27</v>
      </c>
      <c r="B85" s="45">
        <v>1996</v>
      </c>
      <c r="C85" s="49">
        <v>4700</v>
      </c>
      <c r="D85" s="31"/>
      <c r="E85" s="57"/>
      <c r="F85" s="31"/>
      <c r="G85" s="61"/>
      <c r="H85" s="31"/>
      <c r="I85" s="61"/>
      <c r="J85" s="31"/>
      <c r="K85" s="61"/>
      <c r="L85" s="53">
        <v>-10.953154128330024</v>
      </c>
      <c r="M85" s="32">
        <v>26.904925130795593</v>
      </c>
      <c r="N85" s="53">
        <v>10.042732575620901</v>
      </c>
      <c r="O85" s="32">
        <v>0</v>
      </c>
      <c r="P85" s="53">
        <v>0.36377412953274396</v>
      </c>
      <c r="Q85" s="32">
        <v>0</v>
      </c>
      <c r="R85" s="53">
        <v>0</v>
      </c>
      <c r="S85" s="33">
        <v>0</v>
      </c>
      <c r="T85" s="91">
        <v>3</v>
      </c>
    </row>
    <row r="86" spans="1:20" ht="21.75" hidden="1" thickBot="1" x14ac:dyDescent="0.4">
      <c r="A86" s="34" t="s">
        <v>24</v>
      </c>
      <c r="B86" s="46">
        <v>298</v>
      </c>
      <c r="C86" s="50">
        <v>1800</v>
      </c>
      <c r="D86" s="35"/>
      <c r="E86" s="58"/>
      <c r="F86" s="35"/>
      <c r="G86" s="62"/>
      <c r="H86" s="35"/>
      <c r="I86" s="62"/>
      <c r="J86" s="35"/>
      <c r="K86" s="62"/>
      <c r="L86" s="54">
        <v>2.7994467496542184</v>
      </c>
      <c r="M86" s="36">
        <v>28.226471826327497</v>
      </c>
      <c r="N86" s="54">
        <v>2.2055084490949546</v>
      </c>
      <c r="O86" s="36">
        <v>4.8782247880209267E-5</v>
      </c>
      <c r="P86" s="54">
        <v>-8.9013169763665894E-3</v>
      </c>
      <c r="Q86" s="36">
        <v>4.3480666305851221</v>
      </c>
      <c r="R86" s="54">
        <v>-14.473510132900355</v>
      </c>
      <c r="S86" s="37">
        <v>23.645438691442656</v>
      </c>
      <c r="T86" s="91">
        <v>3</v>
      </c>
    </row>
    <row r="87" spans="1:20" hidden="1" x14ac:dyDescent="0.35">
      <c r="A87" s="1" t="s">
        <v>24</v>
      </c>
      <c r="B87" s="44">
        <v>1800</v>
      </c>
      <c r="C87" s="48">
        <v>6000</v>
      </c>
      <c r="D87" s="2"/>
      <c r="E87" s="56"/>
      <c r="F87" s="2"/>
      <c r="G87" s="60"/>
      <c r="H87" s="2"/>
      <c r="I87" s="60"/>
      <c r="J87" s="2"/>
      <c r="K87" s="60"/>
      <c r="L87" s="52">
        <v>2.7994467496542184</v>
      </c>
      <c r="M87" s="28">
        <v>61.297492332671837</v>
      </c>
      <c r="N87" s="52">
        <v>21.280475073666484</v>
      </c>
      <c r="O87" s="28">
        <v>-5.3868542906969748E-2</v>
      </c>
      <c r="P87" s="52">
        <v>2.3023633411510009</v>
      </c>
      <c r="Q87" s="28">
        <v>-72.255697877202465</v>
      </c>
      <c r="R87" s="52">
        <v>63.604666546394846</v>
      </c>
      <c r="S87" s="29">
        <v>-24.271814300318717</v>
      </c>
      <c r="T87" s="91">
        <v>3</v>
      </c>
    </row>
    <row r="88" spans="1:20" hidden="1" x14ac:dyDescent="0.35">
      <c r="A88" s="30" t="s">
        <v>25</v>
      </c>
      <c r="B88" s="45">
        <v>298</v>
      </c>
      <c r="C88" s="49">
        <v>6000</v>
      </c>
      <c r="D88" s="31"/>
      <c r="E88" s="57"/>
      <c r="F88" s="31"/>
      <c r="G88" s="61"/>
      <c r="H88" s="31"/>
      <c r="I88" s="61"/>
      <c r="J88" s="31"/>
      <c r="K88" s="61"/>
      <c r="L88" s="53">
        <v>-0.2270611582175717</v>
      </c>
      <c r="M88" s="32">
        <v>43.095916771904506</v>
      </c>
      <c r="N88" s="53">
        <v>5.1975236033435559</v>
      </c>
      <c r="O88" s="32">
        <v>-2.4428408202537737E-4</v>
      </c>
      <c r="P88" s="53">
        <v>4.8647543448192915E-2</v>
      </c>
      <c r="Q88" s="32">
        <v>-1.5002706115821756</v>
      </c>
      <c r="R88" s="53">
        <v>3.088099103974983</v>
      </c>
      <c r="S88" s="33">
        <v>1.0935113356184978</v>
      </c>
      <c r="T88" s="91">
        <v>3</v>
      </c>
    </row>
    <row r="89" spans="1:20" hidden="1" x14ac:dyDescent="0.35">
      <c r="A89" s="30" t="s">
        <v>16</v>
      </c>
      <c r="B89" s="45">
        <v>298</v>
      </c>
      <c r="C89" s="49">
        <v>3200</v>
      </c>
      <c r="D89" s="31"/>
      <c r="E89" s="57"/>
      <c r="F89" s="31"/>
      <c r="G89" s="61"/>
      <c r="H89" s="31"/>
      <c r="I89" s="61"/>
      <c r="J89" s="31"/>
      <c r="K89" s="61"/>
      <c r="L89" s="53">
        <v>1.83406097780985</v>
      </c>
      <c r="M89" s="32">
        <v>26.523904023092186</v>
      </c>
      <c r="N89" s="53">
        <v>2.2994046545192135</v>
      </c>
      <c r="O89" s="32">
        <v>4.6220458235612481E-5</v>
      </c>
      <c r="P89" s="53">
        <v>-7.462866077334776E-3</v>
      </c>
      <c r="Q89" s="32">
        <v>2.1927957183234108</v>
      </c>
      <c r="R89" s="53">
        <v>-5.0294064585964273</v>
      </c>
      <c r="S89" s="33">
        <v>5.4218533886583673</v>
      </c>
      <c r="T89" s="91">
        <v>3</v>
      </c>
    </row>
    <row r="90" spans="1:20" hidden="1" x14ac:dyDescent="0.35">
      <c r="A90" s="30" t="s">
        <v>16</v>
      </c>
      <c r="B90" s="45">
        <v>3200</v>
      </c>
      <c r="C90" s="49">
        <v>6000</v>
      </c>
      <c r="D90" s="31"/>
      <c r="E90" s="57"/>
      <c r="F90" s="31"/>
      <c r="G90" s="61"/>
      <c r="H90" s="31"/>
      <c r="I90" s="61"/>
      <c r="J90" s="31"/>
      <c r="K90" s="61"/>
      <c r="L90" s="53">
        <v>1.83406097780985</v>
      </c>
      <c r="M90" s="32">
        <v>164.39437127909073</v>
      </c>
      <c r="N90" s="53">
        <v>109.73023032052437</v>
      </c>
      <c r="O90" s="32">
        <v>-0.77731673582295979</v>
      </c>
      <c r="P90" s="53">
        <v>20.580912863070537</v>
      </c>
      <c r="Q90" s="32">
        <v>-272.5332852246076</v>
      </c>
      <c r="R90" s="53">
        <v>165.65036983582897</v>
      </c>
      <c r="S90" s="33">
        <v>-48.68843586505502</v>
      </c>
      <c r="T90" s="91">
        <v>3</v>
      </c>
    </row>
    <row r="91" spans="1:20" hidden="1" x14ac:dyDescent="0.35">
      <c r="A91" s="30" t="s">
        <v>17</v>
      </c>
      <c r="B91" s="45">
        <v>298</v>
      </c>
      <c r="C91" s="49">
        <v>3200</v>
      </c>
      <c r="D91" s="31"/>
      <c r="E91" s="57"/>
      <c r="F91" s="31"/>
      <c r="G91" s="61"/>
      <c r="H91" s="31"/>
      <c r="I91" s="61"/>
      <c r="J91" s="31"/>
      <c r="K91" s="61"/>
      <c r="L91" s="53">
        <v>6.0592940044500568E-2</v>
      </c>
      <c r="M91" s="32">
        <v>43.298815322629139</v>
      </c>
      <c r="N91" s="53">
        <v>6.0656323290636829</v>
      </c>
      <c r="O91" s="32">
        <v>6.3596127247579528E-4</v>
      </c>
      <c r="P91" s="53">
        <v>0.10973480064946779</v>
      </c>
      <c r="Q91" s="32">
        <v>-2.358169462986349</v>
      </c>
      <c r="R91" s="53">
        <v>1.9832822178122553</v>
      </c>
      <c r="S91" s="33">
        <v>-0.19002946659450357</v>
      </c>
      <c r="T91" s="91">
        <v>3</v>
      </c>
    </row>
    <row r="92" spans="1:20" ht="21.75" hidden="1" thickBot="1" x14ac:dyDescent="0.4">
      <c r="A92" s="34" t="s">
        <v>17</v>
      </c>
      <c r="B92" s="46">
        <v>3200</v>
      </c>
      <c r="C92" s="50">
        <v>6000</v>
      </c>
      <c r="D92" s="35"/>
      <c r="E92" s="58"/>
      <c r="F92" s="35"/>
      <c r="G92" s="62"/>
      <c r="H92" s="35"/>
      <c r="I92" s="62"/>
      <c r="J92" s="35"/>
      <c r="K92" s="62"/>
      <c r="L92" s="54">
        <v>6.0592940044500568E-2</v>
      </c>
      <c r="M92" s="36">
        <v>36.806783330326532</v>
      </c>
      <c r="N92" s="54">
        <v>-0.56067111672379566</v>
      </c>
      <c r="O92" s="36">
        <v>7.5037584941968841E-2</v>
      </c>
      <c r="P92" s="54">
        <v>-1.5360153947922304</v>
      </c>
      <c r="Q92" s="36">
        <v>9.3189007156172945</v>
      </c>
      <c r="R92" s="54">
        <v>-1.8953635215587226</v>
      </c>
      <c r="S92" s="37">
        <v>0</v>
      </c>
      <c r="T92" s="91">
        <v>3</v>
      </c>
    </row>
  </sheetData>
  <dataConsolidate link="1">
    <dataRefs count="2">
      <dataRef ref="B8:B97" sheet="TERRA"/>
      <dataRef ref="C8:C97" sheet="TERRA"/>
    </dataRefs>
  </dataConsolidate>
  <customSheetViews>
    <customSheetView guid="{5CD7248E-C04A-445B-8512-C9303DEF235B}" scale="115" hiddenColumns="1">
      <selection activeCell="A2" sqref="A2:S2"/>
      <pageMargins left="0.7" right="0.7" top="0.75" bottom="0.75" header="0.3" footer="0.3"/>
    </customSheetView>
  </customSheetViews>
  <pageMargins left="0.7" right="0.7" top="0.75" bottom="0.75" header="0.3" footer="0.3"/>
  <drawing r:id="rId1"/>
  <tableParts count="2">
    <tablePart r:id="rId2"/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10C8-0343-49A7-BE1C-064BAE70105F}">
  <sheetPr codeName="Лист5">
    <tabColor rgb="FF0070C0"/>
  </sheetPr>
  <dimension ref="A1:AD33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G5" sqref="AG5"/>
    </sheetView>
  </sheetViews>
  <sheetFormatPr defaultRowHeight="21" outlineLevelCol="1" x14ac:dyDescent="0.35"/>
  <cols>
    <col min="1" max="1" width="8.6328125" style="75" bestFit="1" customWidth="1"/>
    <col min="2" max="2" width="2.6328125" style="167" customWidth="1"/>
    <col min="3" max="4" width="6.1796875" style="67" customWidth="1"/>
    <col min="5" max="6" width="8.6328125" style="67" hidden="1" customWidth="1" outlineLevel="1"/>
    <col min="7" max="8" width="7.6328125" style="158" hidden="1" customWidth="1" outlineLevel="1"/>
    <col min="9" max="9" width="8.81640625" style="158" hidden="1" customWidth="1" outlineLevel="1"/>
    <col min="10" max="10" width="8.453125" style="158" hidden="1" customWidth="1" outlineLevel="1"/>
    <col min="11" max="11" width="7.6328125" style="154" hidden="1" customWidth="1" outlineLevel="1"/>
    <col min="12" max="13" width="5.6328125" style="107" hidden="1" customWidth="1" outlineLevel="1"/>
    <col min="14" max="15" width="2.6328125" style="105" hidden="1" customWidth="1" outlineLevel="1"/>
    <col min="16" max="18" width="11.6328125" style="103" hidden="1" customWidth="1" outlineLevel="1"/>
    <col min="19" max="20" width="7.6328125" style="103" hidden="1" customWidth="1" outlineLevel="1"/>
    <col min="21" max="21" width="7.6328125" style="100" hidden="1" customWidth="1" outlineLevel="1"/>
    <col min="22" max="22" width="11.08984375" style="176" bestFit="1" customWidth="1" collapsed="1"/>
    <col min="23" max="24" width="9.90625" style="176" customWidth="1"/>
    <col min="25" max="25" width="12.1796875" style="176" bestFit="1" customWidth="1"/>
    <col min="26" max="26" width="10.453125" style="176" customWidth="1"/>
    <col min="27" max="27" width="10.6328125" style="176" bestFit="1" customWidth="1"/>
    <col min="28" max="29" width="9.90625" style="176" customWidth="1"/>
    <col min="30" max="30" width="2.90625" style="92" customWidth="1"/>
    <col min="31" max="16384" width="8.7265625" style="67"/>
  </cols>
  <sheetData>
    <row r="1" spans="1:30" ht="28.5" customHeight="1" thickTop="1" thickBot="1" x14ac:dyDescent="0.4">
      <c r="A1" s="160" t="s">
        <v>88</v>
      </c>
      <c r="B1" s="162" t="s">
        <v>97</v>
      </c>
      <c r="C1" s="161" t="s">
        <v>55</v>
      </c>
      <c r="D1" s="97" t="s">
        <v>56</v>
      </c>
      <c r="E1" s="97" t="s">
        <v>106</v>
      </c>
      <c r="F1" s="97" t="s">
        <v>98</v>
      </c>
      <c r="G1" s="148" t="s">
        <v>40</v>
      </c>
      <c r="H1" s="148" t="s">
        <v>65</v>
      </c>
      <c r="I1" s="148" t="s">
        <v>66</v>
      </c>
      <c r="J1" s="148" t="s">
        <v>68</v>
      </c>
      <c r="K1" s="149" t="s">
        <v>67</v>
      </c>
      <c r="L1" s="109" t="s">
        <v>100</v>
      </c>
      <c r="M1" s="109" t="s">
        <v>101</v>
      </c>
      <c r="N1" s="120" t="s">
        <v>96</v>
      </c>
      <c r="O1" s="120" t="s">
        <v>95</v>
      </c>
      <c r="P1" s="101" t="s">
        <v>92</v>
      </c>
      <c r="Q1" s="101" t="s">
        <v>105</v>
      </c>
      <c r="R1" s="101" t="s">
        <v>94</v>
      </c>
      <c r="S1" s="110" t="s">
        <v>89</v>
      </c>
      <c r="T1" s="110" t="s">
        <v>90</v>
      </c>
      <c r="U1" s="111" t="s">
        <v>91</v>
      </c>
      <c r="V1" s="97" t="s">
        <v>41</v>
      </c>
      <c r="W1" s="97" t="s">
        <v>42</v>
      </c>
      <c r="X1" s="97" t="s">
        <v>43</v>
      </c>
      <c r="Y1" s="97" t="s">
        <v>44</v>
      </c>
      <c r="Z1" s="97" t="s">
        <v>45</v>
      </c>
      <c r="AA1" s="97" t="s">
        <v>46</v>
      </c>
      <c r="AB1" s="97" t="s">
        <v>47</v>
      </c>
      <c r="AC1" s="97" t="s">
        <v>48</v>
      </c>
      <c r="AD1" s="98" t="s">
        <v>80</v>
      </c>
    </row>
    <row r="2" spans="1:30" s="119" customFormat="1" ht="24" customHeight="1" thickTop="1" x14ac:dyDescent="0.35">
      <c r="A2" s="124" t="s">
        <v>64</v>
      </c>
      <c r="B2" s="164" t="s">
        <v>58</v>
      </c>
      <c r="C2" s="125">
        <v>493</v>
      </c>
      <c r="D2" s="125">
        <v>957</v>
      </c>
      <c r="E2" s="126">
        <v>11.3</v>
      </c>
      <c r="F2" s="127">
        <v>68.113763836199666</v>
      </c>
      <c r="G2" s="150">
        <v>35.15</v>
      </c>
      <c r="H2" s="150"/>
      <c r="I2" s="150"/>
      <c r="J2" s="150"/>
      <c r="K2" s="151"/>
      <c r="L2" s="114" t="str">
        <f t="shared" ref="L2:L4" si="0">IF(ISBLANK(B3),"N/D",(P3-R2)/1000)</f>
        <v>N/D</v>
      </c>
      <c r="M2" s="114" t="str">
        <f t="shared" ref="M2:M4" si="1">IF(ISBLANK(B3),"N/D",L2*1000/C3)</f>
        <v>N/D</v>
      </c>
      <c r="N2" s="115">
        <f>C2/10000</f>
        <v>4.9299999999999997E-2</v>
      </c>
      <c r="O2" s="115">
        <f>D2/10000</f>
        <v>9.5699999999999993E-2</v>
      </c>
      <c r="P2" s="116">
        <f>E2*1000</f>
        <v>11300</v>
      </c>
      <c r="Q2" s="128">
        <f>10000*$A$1*(O2*X2-Y2*2/O2+AA2*O2^2+AB2*2*O2^3+AC2*3*O2^4-Z2)</f>
        <v>16309.599999999997</v>
      </c>
      <c r="R2" s="116">
        <f>$P$2+Q2</f>
        <v>27609.599999999999</v>
      </c>
      <c r="S2" s="117">
        <f>F2</f>
        <v>68.113763836199666</v>
      </c>
      <c r="T2" s="117">
        <f t="shared" ref="T2:T4" si="2">$A$1*(W2+X2+X2*LN(O2)-Y2/O2^2+AA2*2*O2+AB2*3*O2^2+AC2*4*O2^3)</f>
        <v>91.428555578170489</v>
      </c>
      <c r="U2" s="159">
        <f t="shared" ref="U2:U4" si="3">$A$1*(X2+Y2*2/(O2^2)+AA2*2*O2+AB2*6+AC2*12*O2^3)</f>
        <v>35.15</v>
      </c>
      <c r="V2" s="171">
        <f t="shared" ref="V2:V4" si="4">P2/$A$1/10000</f>
        <v>0.13590715015936014</v>
      </c>
      <c r="W2" s="159">
        <f>S2/$A$1 - X2 - X2*LN(N2) + Y2/(N2^2) - AA2*2*N2 - AB2*3*N2^2 - AC2*4*N2^3</f>
        <v>16.688836423544643</v>
      </c>
      <c r="X2" s="171">
        <f>G2/$A$1</f>
        <v>4.2275542726562021</v>
      </c>
      <c r="Y2" s="159">
        <f>I2/(2*100*$A$1)</f>
        <v>0</v>
      </c>
      <c r="Z2" s="171">
        <f>X2*N2 - Y2*2/N2 + AA2*N2^2 + AB2*2*N2^3 + AC2*3*N2^4 + ($P$2-P2)/10000/$A$1</f>
        <v>0.20841842564195076</v>
      </c>
      <c r="AA2" s="159">
        <f>H2*10/2/$A$1</f>
        <v>0</v>
      </c>
      <c r="AB2" s="171">
        <f>J2*100/6/$A$1</f>
        <v>0</v>
      </c>
      <c r="AC2" s="159">
        <f>K2*10^12/12/$A$1</f>
        <v>0</v>
      </c>
      <c r="AD2" s="168">
        <v>2</v>
      </c>
    </row>
    <row r="3" spans="1:30" s="119" customFormat="1" ht="24" customHeight="1" x14ac:dyDescent="0.35">
      <c r="A3" s="129"/>
      <c r="B3" s="163"/>
      <c r="C3" s="130"/>
      <c r="D3" s="130"/>
      <c r="E3" s="131"/>
      <c r="F3" s="132"/>
      <c r="G3" s="157"/>
      <c r="H3" s="157"/>
      <c r="I3" s="157"/>
      <c r="J3" s="157"/>
      <c r="K3" s="153"/>
      <c r="L3" s="114" t="str">
        <f t="shared" si="0"/>
        <v>N/D</v>
      </c>
      <c r="M3" s="114" t="str">
        <f t="shared" si="1"/>
        <v>N/D</v>
      </c>
      <c r="N3" s="115">
        <f t="shared" ref="N3:N4" si="5">C3/10000</f>
        <v>0</v>
      </c>
      <c r="O3" s="115">
        <f t="shared" ref="O3:O4" si="6">D3/10000</f>
        <v>0</v>
      </c>
      <c r="P3" s="116">
        <f t="shared" ref="P3:P4" si="7">E3*1000</f>
        <v>0</v>
      </c>
      <c r="Q3" s="116" t="e">
        <f t="shared" ref="Q3:Q4" si="8">10000*$A$1*(O3*X3-Y3*2/O3+AA3*O3^2+AB3*2*O3^3+AC3*3*O3^4-Z3)</f>
        <v>#DIV/0!</v>
      </c>
      <c r="R3" s="116" t="e">
        <f t="shared" ref="R3:R4" si="9">$P$2+Q3</f>
        <v>#DIV/0!</v>
      </c>
      <c r="S3" s="117">
        <f t="shared" ref="S3:S4" si="10">F3</f>
        <v>0</v>
      </c>
      <c r="T3" s="117" t="e">
        <f t="shared" si="2"/>
        <v>#NUM!</v>
      </c>
      <c r="U3" s="159" t="e">
        <f t="shared" si="3"/>
        <v>#DIV/0!</v>
      </c>
      <c r="V3" s="171">
        <f t="shared" si="4"/>
        <v>0</v>
      </c>
      <c r="W3" s="159" t="e">
        <f t="shared" ref="W3:W4" si="11">S3/$A$1 - X3 - X3*LN(N3) + Y3/(N3^2) - AA3*2*N3 - AB3*3*N3^2 - AC3*4*N3^3</f>
        <v>#NUM!</v>
      </c>
      <c r="X3" s="171">
        <f t="shared" ref="X3:X4" si="12">G3/$A$1</f>
        <v>0</v>
      </c>
      <c r="Y3" s="159">
        <f t="shared" ref="Y3:Y4" si="13">I3/(2*100*$A$1)</f>
        <v>0</v>
      </c>
      <c r="Z3" s="171" t="e">
        <f t="shared" ref="Z3:Z4" si="14">X3*N3 - Y3*2/N3 + AA3*N3^2 + AB3*2*N3^3 + AC3*3*N3^4 + ($P$2-P3)/10000/$A$1</f>
        <v>#DIV/0!</v>
      </c>
      <c r="AA3" s="159">
        <f t="shared" ref="AA3:AA4" si="15">H3*10/2/$A$1</f>
        <v>0</v>
      </c>
      <c r="AB3" s="171">
        <f t="shared" ref="AB3:AB4" si="16">J3*100/6/$A$1</f>
        <v>0</v>
      </c>
      <c r="AC3" s="159">
        <f t="shared" ref="AC3:AC4" si="17">K3*10^12/12/$A$1</f>
        <v>0</v>
      </c>
      <c r="AD3" s="168">
        <v>2</v>
      </c>
    </row>
    <row r="4" spans="1:30" s="119" customFormat="1" ht="24" customHeight="1" x14ac:dyDescent="0.35">
      <c r="A4" s="121"/>
      <c r="B4" s="165"/>
      <c r="C4" s="122"/>
      <c r="D4" s="123"/>
      <c r="E4" s="113"/>
      <c r="F4" s="112"/>
      <c r="G4" s="152"/>
      <c r="H4" s="152"/>
      <c r="I4" s="152"/>
      <c r="J4" s="152"/>
      <c r="K4" s="153"/>
      <c r="L4" s="114" t="str">
        <f t="shared" si="0"/>
        <v>N/D</v>
      </c>
      <c r="M4" s="114" t="str">
        <f t="shared" si="1"/>
        <v>N/D</v>
      </c>
      <c r="N4" s="115">
        <f t="shared" si="5"/>
        <v>0</v>
      </c>
      <c r="O4" s="115">
        <f t="shared" si="6"/>
        <v>0</v>
      </c>
      <c r="P4" s="116">
        <f t="shared" si="7"/>
        <v>0</v>
      </c>
      <c r="Q4" s="116" t="e">
        <f t="shared" si="8"/>
        <v>#DIV/0!</v>
      </c>
      <c r="R4" s="116" t="e">
        <f t="shared" si="9"/>
        <v>#DIV/0!</v>
      </c>
      <c r="S4" s="117">
        <f t="shared" si="10"/>
        <v>0</v>
      </c>
      <c r="T4" s="117" t="e">
        <f t="shared" si="2"/>
        <v>#NUM!</v>
      </c>
      <c r="U4" s="159" t="e">
        <f t="shared" si="3"/>
        <v>#DIV/0!</v>
      </c>
      <c r="V4" s="171">
        <f t="shared" si="4"/>
        <v>0</v>
      </c>
      <c r="W4" s="159" t="e">
        <f t="shared" si="11"/>
        <v>#NUM!</v>
      </c>
      <c r="X4" s="171">
        <f t="shared" si="12"/>
        <v>0</v>
      </c>
      <c r="Y4" s="159">
        <f t="shared" si="13"/>
        <v>0</v>
      </c>
      <c r="Z4" s="171" t="e">
        <f t="shared" si="14"/>
        <v>#DIV/0!</v>
      </c>
      <c r="AA4" s="159">
        <f t="shared" si="15"/>
        <v>0</v>
      </c>
      <c r="AB4" s="171">
        <f t="shared" si="16"/>
        <v>0</v>
      </c>
      <c r="AC4" s="159">
        <f t="shared" si="17"/>
        <v>0</v>
      </c>
      <c r="AD4" s="168">
        <v>2</v>
      </c>
    </row>
    <row r="5" spans="1:30" s="75" customFormat="1" ht="21.75" customHeight="1" x14ac:dyDescent="0.35">
      <c r="B5" s="108"/>
      <c r="G5" s="154"/>
      <c r="H5" s="154"/>
      <c r="I5" s="154"/>
      <c r="J5" s="154"/>
      <c r="K5" s="154"/>
      <c r="L5" s="106"/>
      <c r="M5" s="106"/>
      <c r="N5" s="104"/>
      <c r="O5" s="104"/>
      <c r="P5" s="102"/>
      <c r="Q5" s="102"/>
      <c r="R5" s="102"/>
      <c r="S5" s="102"/>
      <c r="T5" s="102"/>
      <c r="U5" s="99"/>
      <c r="V5" s="172"/>
      <c r="W5" s="172"/>
      <c r="X5" s="172"/>
      <c r="Y5" s="172"/>
      <c r="Z5" s="172"/>
      <c r="AA5" s="172"/>
      <c r="AB5" s="172"/>
      <c r="AC5" s="172"/>
    </row>
    <row r="6" spans="1:30" s="75" customFormat="1" ht="21.75" customHeight="1" x14ac:dyDescent="0.35">
      <c r="B6" s="108"/>
      <c r="G6" s="154"/>
      <c r="H6" s="154"/>
      <c r="I6" s="154"/>
      <c r="J6" s="154"/>
      <c r="K6" s="154"/>
      <c r="L6" s="106"/>
      <c r="M6" s="106"/>
      <c r="N6" s="104"/>
      <c r="O6" s="104"/>
      <c r="P6" s="102"/>
      <c r="Q6" s="102"/>
      <c r="R6" s="102"/>
      <c r="S6" s="102"/>
      <c r="T6" s="102"/>
      <c r="U6" s="99"/>
      <c r="V6" s="172"/>
      <c r="W6" s="172"/>
      <c r="X6" s="172"/>
      <c r="Y6" s="172"/>
      <c r="Z6" s="172"/>
      <c r="AA6" s="172"/>
      <c r="AB6" s="172"/>
      <c r="AC6" s="172"/>
    </row>
    <row r="7" spans="1:30" s="75" customFormat="1" ht="21.75" customHeight="1" x14ac:dyDescent="0.35">
      <c r="B7" s="108"/>
      <c r="G7" s="154"/>
      <c r="H7" s="154"/>
      <c r="I7" s="154"/>
      <c r="J7" s="154"/>
      <c r="K7" s="154"/>
      <c r="L7" s="106"/>
      <c r="M7" s="106"/>
      <c r="N7" s="104"/>
      <c r="O7" s="104"/>
      <c r="P7" s="102"/>
      <c r="Q7" s="102"/>
      <c r="R7" s="102"/>
      <c r="S7" s="102"/>
      <c r="T7" s="102"/>
      <c r="U7" s="99"/>
      <c r="V7" s="172"/>
      <c r="W7" s="172"/>
      <c r="X7" s="172"/>
      <c r="Y7" s="172"/>
      <c r="Z7" s="172"/>
      <c r="AA7" s="172"/>
      <c r="AB7" s="172"/>
      <c r="AC7" s="172"/>
    </row>
    <row r="8" spans="1:30" s="75" customFormat="1" ht="21.75" customHeight="1" x14ac:dyDescent="0.35">
      <c r="B8" s="108"/>
      <c r="G8" s="154"/>
      <c r="H8" s="154"/>
      <c r="I8" s="154"/>
      <c r="J8" s="154"/>
      <c r="K8" s="154"/>
      <c r="L8" s="106"/>
      <c r="M8" s="106"/>
      <c r="N8" s="104"/>
      <c r="O8" s="104"/>
      <c r="P8" s="102"/>
      <c r="R8" s="102"/>
      <c r="S8" s="102"/>
      <c r="T8" s="102"/>
      <c r="U8" s="99"/>
      <c r="V8" s="172"/>
      <c r="W8" s="172"/>
      <c r="X8" s="172"/>
      <c r="Y8" s="172"/>
      <c r="Z8" s="172"/>
      <c r="AA8" s="172"/>
      <c r="AB8" s="172"/>
      <c r="AC8" s="172"/>
    </row>
    <row r="9" spans="1:30" s="75" customFormat="1" ht="21.75" customHeight="1" x14ac:dyDescent="0.35">
      <c r="B9" s="108"/>
      <c r="G9" s="154"/>
      <c r="H9" s="154"/>
      <c r="I9" s="154"/>
      <c r="J9" s="154"/>
      <c r="K9" s="154"/>
      <c r="L9" s="106"/>
      <c r="M9" s="106"/>
      <c r="N9" s="104"/>
      <c r="O9" s="104"/>
      <c r="P9" s="102"/>
      <c r="Q9" s="102"/>
      <c r="R9" s="102"/>
      <c r="S9" s="102"/>
      <c r="T9" s="102"/>
      <c r="U9" s="99"/>
      <c r="V9" s="172"/>
      <c r="W9" s="172"/>
      <c r="X9" s="172"/>
      <c r="Y9" s="172"/>
      <c r="Z9" s="172"/>
      <c r="AA9" s="172"/>
      <c r="AB9" s="172"/>
      <c r="AC9" s="172"/>
    </row>
    <row r="10" spans="1:30" s="75" customFormat="1" ht="21.75" customHeight="1" x14ac:dyDescent="0.35">
      <c r="B10" s="108"/>
      <c r="G10" s="154"/>
      <c r="H10" s="154"/>
      <c r="I10" s="154"/>
      <c r="J10" s="154"/>
      <c r="K10" s="154"/>
      <c r="L10" s="106"/>
      <c r="M10" s="106"/>
      <c r="N10" s="104"/>
      <c r="O10" s="104"/>
      <c r="P10" s="102"/>
      <c r="Q10" s="102"/>
      <c r="R10" s="102"/>
      <c r="S10" s="102"/>
      <c r="T10" s="102"/>
      <c r="U10" s="99"/>
      <c r="V10" s="172"/>
      <c r="W10" s="172"/>
      <c r="X10" s="172"/>
      <c r="Y10" s="172"/>
      <c r="Z10" s="172"/>
      <c r="AA10" s="172"/>
      <c r="AB10" s="172"/>
      <c r="AC10" s="172"/>
    </row>
    <row r="11" spans="1:30" s="75" customFormat="1" ht="21.75" customHeight="1" x14ac:dyDescent="0.35">
      <c r="B11" s="108"/>
      <c r="G11" s="154"/>
      <c r="H11" s="154"/>
      <c r="I11" s="154"/>
      <c r="J11" s="154"/>
      <c r="K11" s="154"/>
      <c r="L11" s="106"/>
      <c r="M11" s="106"/>
      <c r="N11" s="104"/>
      <c r="O11" s="104"/>
      <c r="P11" s="102"/>
      <c r="Q11" s="102" t="s">
        <v>104</v>
      </c>
      <c r="R11" s="102"/>
      <c r="S11" s="102"/>
      <c r="T11" s="102"/>
      <c r="U11" s="99"/>
      <c r="V11" s="172"/>
      <c r="W11" s="172"/>
      <c r="X11" s="172"/>
      <c r="Y11" s="172"/>
      <c r="Z11" s="172"/>
      <c r="AA11" s="172"/>
      <c r="AB11" s="172"/>
      <c r="AC11" s="172"/>
    </row>
    <row r="12" spans="1:30" s="75" customFormat="1" ht="21.75" customHeight="1" x14ac:dyDescent="0.35">
      <c r="B12" s="108"/>
      <c r="G12" s="154"/>
      <c r="H12" s="154"/>
      <c r="I12" s="154"/>
      <c r="J12" s="154"/>
      <c r="K12" s="154"/>
      <c r="L12" s="106"/>
      <c r="M12" s="106"/>
      <c r="N12" s="104"/>
      <c r="O12" s="104"/>
      <c r="P12" s="102"/>
      <c r="Q12" s="102"/>
      <c r="R12" s="102"/>
      <c r="S12" s="102"/>
      <c r="T12" s="102"/>
      <c r="U12" s="99"/>
      <c r="V12" s="172"/>
      <c r="W12" s="172"/>
      <c r="X12" s="172"/>
      <c r="Y12" s="172"/>
      <c r="Z12" s="172"/>
      <c r="AA12" s="172"/>
      <c r="AB12" s="172"/>
      <c r="AC12" s="172"/>
    </row>
    <row r="13" spans="1:30" s="75" customFormat="1" ht="21.75" customHeight="1" x14ac:dyDescent="0.35">
      <c r="B13" s="108"/>
      <c r="G13" s="154"/>
      <c r="H13" s="154"/>
      <c r="I13" s="154"/>
      <c r="J13" s="154"/>
      <c r="K13" s="154"/>
      <c r="L13" s="106"/>
      <c r="M13" s="106"/>
      <c r="N13" s="104"/>
      <c r="O13" s="104"/>
      <c r="P13" s="102"/>
      <c r="Q13" s="102"/>
      <c r="R13" s="102"/>
      <c r="S13" s="102"/>
      <c r="T13" s="102"/>
      <c r="U13" s="99"/>
      <c r="V13" s="172"/>
      <c r="W13" s="172"/>
      <c r="X13" s="172"/>
      <c r="Y13" s="172"/>
      <c r="Z13" s="172"/>
      <c r="AA13" s="172"/>
      <c r="AB13" s="172"/>
      <c r="AC13" s="172"/>
    </row>
    <row r="14" spans="1:30" s="75" customFormat="1" ht="21.75" customHeight="1" x14ac:dyDescent="0.35">
      <c r="B14" s="108"/>
      <c r="G14" s="154"/>
      <c r="H14" s="154"/>
      <c r="I14" s="154"/>
      <c r="J14" s="154"/>
      <c r="K14" s="154"/>
      <c r="L14" s="106"/>
      <c r="M14" s="106"/>
      <c r="N14" s="104"/>
      <c r="O14" s="104"/>
      <c r="P14" s="102"/>
      <c r="Q14" s="102"/>
      <c r="R14" s="102"/>
      <c r="S14" s="102"/>
      <c r="T14" s="102"/>
      <c r="U14" s="99"/>
      <c r="V14" s="172"/>
      <c r="W14" s="172"/>
      <c r="X14" s="172"/>
      <c r="Y14" s="172"/>
      <c r="Z14" s="172"/>
      <c r="AA14" s="172"/>
      <c r="AB14" s="172"/>
      <c r="AC14" s="172"/>
    </row>
    <row r="15" spans="1:30" s="75" customFormat="1" x14ac:dyDescent="0.35">
      <c r="B15" s="108"/>
      <c r="G15" s="154"/>
      <c r="H15" s="154"/>
      <c r="I15" s="154"/>
      <c r="J15" s="154"/>
      <c r="K15" s="154"/>
      <c r="L15" s="106"/>
      <c r="M15" s="106"/>
      <c r="N15" s="104"/>
      <c r="O15" s="104"/>
      <c r="P15" s="102"/>
      <c r="Q15" s="102"/>
      <c r="R15" s="102"/>
      <c r="S15" s="102"/>
      <c r="T15" s="102"/>
      <c r="U15" s="99"/>
      <c r="V15" s="172"/>
      <c r="W15" s="172"/>
      <c r="X15" s="172"/>
      <c r="Y15" s="172"/>
      <c r="Z15" s="172"/>
      <c r="AA15" s="172"/>
      <c r="AB15" s="172"/>
      <c r="AC15" s="172"/>
    </row>
    <row r="16" spans="1:30" s="75" customFormat="1" x14ac:dyDescent="0.35">
      <c r="A16" s="31"/>
      <c r="B16" s="108"/>
      <c r="C16" s="31"/>
      <c r="D16" s="31"/>
      <c r="E16" s="31"/>
      <c r="F16" s="31"/>
      <c r="G16" s="155"/>
      <c r="H16" s="155"/>
      <c r="I16" s="155"/>
      <c r="J16" s="155"/>
      <c r="K16" s="155"/>
      <c r="L16" s="138"/>
      <c r="M16" s="138"/>
      <c r="N16" s="139"/>
      <c r="O16" s="139"/>
      <c r="P16" s="140"/>
      <c r="Q16" s="140"/>
      <c r="R16" s="140"/>
      <c r="S16" s="140"/>
      <c r="T16" s="140"/>
      <c r="U16" s="141"/>
      <c r="V16" s="173"/>
      <c r="W16" s="173"/>
      <c r="X16" s="173"/>
      <c r="Y16" s="173"/>
      <c r="Z16" s="173"/>
      <c r="AA16" s="173"/>
      <c r="AB16" s="173"/>
      <c r="AC16" s="173"/>
      <c r="AD16" s="31"/>
    </row>
    <row r="17" spans="1:30" ht="27" hidden="1" customHeight="1" thickBot="1" x14ac:dyDescent="0.35">
      <c r="A17" s="142" t="s">
        <v>102</v>
      </c>
      <c r="B17" s="166" t="s">
        <v>97</v>
      </c>
      <c r="C17" s="142" t="s">
        <v>55</v>
      </c>
      <c r="D17" s="142" t="s">
        <v>56</v>
      </c>
      <c r="E17" s="142" t="s">
        <v>99</v>
      </c>
      <c r="F17" s="142" t="s">
        <v>98</v>
      </c>
      <c r="G17" s="156" t="s">
        <v>40</v>
      </c>
      <c r="H17" s="156" t="s">
        <v>65</v>
      </c>
      <c r="I17" s="156" t="s">
        <v>66</v>
      </c>
      <c r="J17" s="156" t="s">
        <v>68</v>
      </c>
      <c r="K17" s="156" t="s">
        <v>67</v>
      </c>
      <c r="L17" s="143" t="s">
        <v>100</v>
      </c>
      <c r="M17" s="143" t="s">
        <v>101</v>
      </c>
      <c r="N17" s="144" t="s">
        <v>96</v>
      </c>
      <c r="O17" s="144" t="s">
        <v>95</v>
      </c>
      <c r="P17" s="145" t="s">
        <v>92</v>
      </c>
      <c r="Q17" s="145" t="s">
        <v>93</v>
      </c>
      <c r="R17" s="145" t="s">
        <v>94</v>
      </c>
      <c r="S17" s="145" t="s">
        <v>89</v>
      </c>
      <c r="T17" s="145" t="s">
        <v>90</v>
      </c>
      <c r="U17" s="146" t="s">
        <v>91</v>
      </c>
      <c r="V17" s="142" t="s">
        <v>41</v>
      </c>
      <c r="W17" s="142" t="s">
        <v>42</v>
      </c>
      <c r="X17" s="142" t="s">
        <v>43</v>
      </c>
      <c r="Y17" s="142" t="s">
        <v>44</v>
      </c>
      <c r="Z17" s="142" t="s">
        <v>45</v>
      </c>
      <c r="AA17" s="142" t="s">
        <v>46</v>
      </c>
      <c r="AB17" s="142" t="s">
        <v>47</v>
      </c>
      <c r="AC17" s="142" t="s">
        <v>48</v>
      </c>
      <c r="AD17" s="147" t="s">
        <v>80</v>
      </c>
    </row>
    <row r="18" spans="1:30" s="90" customFormat="1" ht="23.25" hidden="1" x14ac:dyDescent="0.35">
      <c r="A18" s="129" t="s">
        <v>69</v>
      </c>
      <c r="B18" s="163" t="s">
        <v>63</v>
      </c>
      <c r="C18" s="130">
        <v>298.14999999999998</v>
      </c>
      <c r="D18" s="130">
        <v>303</v>
      </c>
      <c r="E18" s="131">
        <v>0</v>
      </c>
      <c r="F18" s="132">
        <v>40.799999999999997</v>
      </c>
      <c r="G18" s="157">
        <v>26.2</v>
      </c>
      <c r="H18" s="157"/>
      <c r="I18" s="157"/>
      <c r="J18" s="157"/>
      <c r="K18" s="153"/>
      <c r="L18" s="133">
        <v>5.5729299999999995</v>
      </c>
      <c r="M18" s="133">
        <v>18.392508250825081</v>
      </c>
      <c r="N18" s="134">
        <v>2.9814999999999998E-2</v>
      </c>
      <c r="O18" s="134">
        <v>3.0300000000000001E-2</v>
      </c>
      <c r="P18" s="135">
        <v>0</v>
      </c>
      <c r="Q18" s="135">
        <v>127.07000000000039</v>
      </c>
      <c r="R18" s="135">
        <v>127.07000000000039</v>
      </c>
      <c r="S18" s="136">
        <v>40.799999999999997</v>
      </c>
      <c r="T18" s="136">
        <v>41.222765556434673</v>
      </c>
      <c r="U18" s="137">
        <v>26.2</v>
      </c>
      <c r="V18" s="174">
        <v>0</v>
      </c>
      <c r="W18" s="175">
        <v>12.825050670258605</v>
      </c>
      <c r="X18" s="174">
        <v>3.1511215346683503</v>
      </c>
      <c r="Y18" s="175">
        <v>0</v>
      </c>
      <c r="Z18" s="174">
        <v>9.3950688556136863E-2</v>
      </c>
      <c r="AA18" s="175">
        <v>0</v>
      </c>
      <c r="AB18" s="174">
        <v>0</v>
      </c>
      <c r="AC18" s="175">
        <v>0</v>
      </c>
      <c r="AD18" s="169">
        <v>2</v>
      </c>
    </row>
    <row r="19" spans="1:30" s="90" customFormat="1" ht="23.25" hidden="1" x14ac:dyDescent="0.35">
      <c r="A19" s="129" t="s">
        <v>69</v>
      </c>
      <c r="B19" s="163" t="s">
        <v>58</v>
      </c>
      <c r="C19" s="130">
        <v>303</v>
      </c>
      <c r="D19" s="130">
        <v>700</v>
      </c>
      <c r="E19" s="131">
        <v>5.7</v>
      </c>
      <c r="F19" s="132">
        <v>59.7</v>
      </c>
      <c r="G19" s="157">
        <v>24.38</v>
      </c>
      <c r="H19" s="157">
        <v>2.29</v>
      </c>
      <c r="I19" s="157">
        <v>0.31</v>
      </c>
      <c r="J19" s="157"/>
      <c r="K19" s="153"/>
      <c r="L19" s="133" t="s">
        <v>60</v>
      </c>
      <c r="M19" s="133" t="s">
        <v>60</v>
      </c>
      <c r="N19" s="134">
        <v>3.0300000000000001E-2</v>
      </c>
      <c r="O19" s="134">
        <v>7.0000000000000007E-2</v>
      </c>
      <c r="P19" s="135">
        <v>5700</v>
      </c>
      <c r="Q19" s="135">
        <v>16415.033862373879</v>
      </c>
      <c r="R19" s="135">
        <v>16415.033862373879</v>
      </c>
      <c r="S19" s="136">
        <v>59.7</v>
      </c>
      <c r="T19" s="136">
        <v>82.395623880072804</v>
      </c>
      <c r="U19" s="137">
        <v>26.615653061224489</v>
      </c>
      <c r="V19" s="174">
        <v>6.8554934151181662E-2</v>
      </c>
      <c r="W19" s="175">
        <v>14.620447424512136</v>
      </c>
      <c r="X19" s="174">
        <v>2.9322268326417702</v>
      </c>
      <c r="Y19" s="175">
        <v>1.8642131216549401E-4</v>
      </c>
      <c r="Z19" s="174">
        <v>9.2508147786274225E-3</v>
      </c>
      <c r="AA19" s="175">
        <v>1.3771122737386492</v>
      </c>
      <c r="AB19" s="174">
        <v>0</v>
      </c>
      <c r="AC19" s="175">
        <v>0</v>
      </c>
      <c r="AD19" s="169">
        <v>2</v>
      </c>
    </row>
    <row r="20" spans="1:30" s="90" customFormat="1" ht="23.25" hidden="1" x14ac:dyDescent="0.35">
      <c r="A20" s="129" t="s">
        <v>69</v>
      </c>
      <c r="B20" s="163" t="s">
        <v>61</v>
      </c>
      <c r="C20" s="130">
        <v>298.14999999999998</v>
      </c>
      <c r="D20" s="130">
        <v>3000</v>
      </c>
      <c r="E20" s="131">
        <v>272</v>
      </c>
      <c r="F20" s="132">
        <v>169</v>
      </c>
      <c r="G20" s="157">
        <v>24.87</v>
      </c>
      <c r="H20" s="157">
        <v>-1.38</v>
      </c>
      <c r="I20" s="157">
        <v>0.25</v>
      </c>
      <c r="J20" s="157"/>
      <c r="K20" s="153"/>
      <c r="L20" s="133" t="s">
        <v>60</v>
      </c>
      <c r="M20" s="133" t="s">
        <v>60</v>
      </c>
      <c r="N20" s="134">
        <v>2.9814999999999998E-2</v>
      </c>
      <c r="O20" s="134">
        <v>0.3</v>
      </c>
      <c r="P20" s="135">
        <v>272000</v>
      </c>
      <c r="Q20" s="135">
        <v>61801.516736861806</v>
      </c>
      <c r="R20" s="135">
        <v>333801.51673686178</v>
      </c>
      <c r="S20" s="136">
        <v>169</v>
      </c>
      <c r="T20" s="136">
        <v>224.08286748288222</v>
      </c>
      <c r="U20" s="137">
        <v>20.757777777777779</v>
      </c>
      <c r="V20" s="174">
        <v>3.2713933489686688</v>
      </c>
      <c r="W20" s="175">
        <v>28.060564076656096</v>
      </c>
      <c r="X20" s="174">
        <v>2.9911600216489265</v>
      </c>
      <c r="Y20" s="175">
        <v>1.503397678753984E-4</v>
      </c>
      <c r="Z20" s="174">
        <v>7.8358890249622545E-2</v>
      </c>
      <c r="AA20" s="175">
        <v>-0.829875518672199</v>
      </c>
      <c r="AB20" s="174">
        <v>0</v>
      </c>
      <c r="AC20" s="175">
        <v>0</v>
      </c>
      <c r="AD20" s="169">
        <v>2</v>
      </c>
    </row>
    <row r="21" spans="1:30" s="90" customFormat="1" ht="23.25" hidden="1" x14ac:dyDescent="0.35">
      <c r="A21" s="177" t="s">
        <v>107</v>
      </c>
      <c r="B21" s="178" t="s">
        <v>63</v>
      </c>
      <c r="C21" s="179">
        <v>298</v>
      </c>
      <c r="D21" s="179">
        <v>2000</v>
      </c>
      <c r="E21" s="181">
        <v>-183</v>
      </c>
      <c r="F21" s="182">
        <v>113</v>
      </c>
      <c r="G21" s="183"/>
      <c r="H21" s="183"/>
      <c r="I21" s="183"/>
      <c r="J21" s="183"/>
      <c r="K21" s="184"/>
      <c r="L21" s="185" t="s">
        <v>60</v>
      </c>
      <c r="M21" s="185" t="s">
        <v>60</v>
      </c>
      <c r="N21" s="186">
        <v>2.98E-2</v>
      </c>
      <c r="O21" s="186">
        <v>0.2</v>
      </c>
      <c r="P21" s="187">
        <v>-183000</v>
      </c>
      <c r="Q21" s="187">
        <v>0</v>
      </c>
      <c r="R21" s="187">
        <v>-183000</v>
      </c>
      <c r="S21" s="187">
        <v>113</v>
      </c>
      <c r="T21" s="187">
        <v>113</v>
      </c>
      <c r="U21" s="188">
        <v>0</v>
      </c>
      <c r="V21" s="180">
        <v>-2.2009742016958325</v>
      </c>
      <c r="W21" s="180">
        <v>13.590715015936015</v>
      </c>
      <c r="X21" s="180">
        <v>0</v>
      </c>
      <c r="Y21" s="180">
        <v>0</v>
      </c>
      <c r="Z21" s="180">
        <v>0</v>
      </c>
      <c r="AA21" s="180">
        <v>0</v>
      </c>
      <c r="AB21" s="180">
        <v>0</v>
      </c>
      <c r="AC21" s="180">
        <v>0</v>
      </c>
      <c r="AD21" s="168">
        <v>2</v>
      </c>
    </row>
    <row r="22" spans="1:30" s="90" customFormat="1" ht="23.25" hidden="1" x14ac:dyDescent="0.35">
      <c r="A22" s="129" t="s">
        <v>70</v>
      </c>
      <c r="B22" s="163" t="s">
        <v>61</v>
      </c>
      <c r="C22" s="130">
        <v>298</v>
      </c>
      <c r="D22" s="130">
        <v>2000</v>
      </c>
      <c r="E22" s="131">
        <v>96.2</v>
      </c>
      <c r="F22" s="132">
        <v>315.5</v>
      </c>
      <c r="G22" s="157">
        <v>58.09</v>
      </c>
      <c r="H22" s="157">
        <v>0.05</v>
      </c>
      <c r="I22" s="157">
        <v>-0.28999999999999998</v>
      </c>
      <c r="J22" s="157"/>
      <c r="K22" s="153"/>
      <c r="L22" s="114" t="s">
        <v>60</v>
      </c>
      <c r="M22" s="114" t="s">
        <v>60</v>
      </c>
      <c r="N22" s="115">
        <v>2.98E-2</v>
      </c>
      <c r="O22" s="115">
        <v>0.2</v>
      </c>
      <c r="P22" s="116">
        <v>96200</v>
      </c>
      <c r="Q22" s="116">
        <v>98138.805537583903</v>
      </c>
      <c r="R22" s="116">
        <v>194338.80553758389</v>
      </c>
      <c r="S22" s="117">
        <v>315.5</v>
      </c>
      <c r="T22" s="117">
        <v>424.58080391078767</v>
      </c>
      <c r="U22" s="118">
        <v>58.117500000000007</v>
      </c>
      <c r="V22" s="171">
        <v>1.1570148535690659</v>
      </c>
      <c r="W22" s="159">
        <v>55.306609206095921</v>
      </c>
      <c r="X22" s="171">
        <v>6.9865896927055147</v>
      </c>
      <c r="Y22" s="159">
        <v>-1.7439413073546211E-4</v>
      </c>
      <c r="Z22" s="171">
        <v>0.21993137846432265</v>
      </c>
      <c r="AA22" s="159">
        <v>3.0067953575079676E-2</v>
      </c>
      <c r="AB22" s="171">
        <v>0</v>
      </c>
      <c r="AC22" s="159">
        <v>0</v>
      </c>
      <c r="AD22" s="170">
        <v>2</v>
      </c>
    </row>
    <row r="23" spans="1:30" s="90" customFormat="1" ht="23.25" hidden="1" x14ac:dyDescent="0.35">
      <c r="A23" s="129" t="s">
        <v>71</v>
      </c>
      <c r="B23" s="163" t="s">
        <v>63</v>
      </c>
      <c r="C23" s="130">
        <v>298</v>
      </c>
      <c r="D23" s="130">
        <v>1278</v>
      </c>
      <c r="E23" s="131">
        <v>-408.8</v>
      </c>
      <c r="F23" s="132">
        <v>179.9</v>
      </c>
      <c r="G23" s="157">
        <v>105.73</v>
      </c>
      <c r="H23" s="157">
        <v>35.31</v>
      </c>
      <c r="I23" s="157"/>
      <c r="J23" s="157"/>
      <c r="K23" s="153"/>
      <c r="L23" s="114" t="s">
        <v>60</v>
      </c>
      <c r="M23" s="114" t="s">
        <v>60</v>
      </c>
      <c r="N23" s="115">
        <v>2.98E-2</v>
      </c>
      <c r="O23" s="115">
        <v>0.1278</v>
      </c>
      <c r="P23" s="116">
        <v>-408800</v>
      </c>
      <c r="Q23" s="116">
        <v>130883.19439999999</v>
      </c>
      <c r="R23" s="116">
        <v>-277916.80560000002</v>
      </c>
      <c r="S23" s="117">
        <v>179.9</v>
      </c>
      <c r="T23" s="117">
        <v>368.44225503372337</v>
      </c>
      <c r="U23" s="118">
        <v>150.85617999999999</v>
      </c>
      <c r="V23" s="171">
        <v>-4.916711768597029</v>
      </c>
      <c r="W23" s="159">
        <v>52.33065285956166</v>
      </c>
      <c r="X23" s="171">
        <v>12.716338925972698</v>
      </c>
      <c r="Y23" s="159">
        <v>0</v>
      </c>
      <c r="Z23" s="171">
        <v>0.39780353142101149</v>
      </c>
      <c r="AA23" s="159">
        <v>21.233988814721268</v>
      </c>
      <c r="AB23" s="171">
        <v>0</v>
      </c>
      <c r="AC23" s="159">
        <v>0</v>
      </c>
      <c r="AD23" s="170">
        <v>2</v>
      </c>
    </row>
    <row r="24" spans="1:30" s="96" customFormat="1" ht="23.25" hidden="1" x14ac:dyDescent="0.35">
      <c r="A24" s="129" t="s">
        <v>103</v>
      </c>
      <c r="B24" s="163" t="s">
        <v>63</v>
      </c>
      <c r="C24" s="130">
        <v>298</v>
      </c>
      <c r="D24" s="130">
        <v>1211</v>
      </c>
      <c r="E24" s="131">
        <v>-159</v>
      </c>
      <c r="F24" s="132">
        <v>70.3</v>
      </c>
      <c r="G24" s="157">
        <v>44.64</v>
      </c>
      <c r="H24" s="157">
        <v>12.97</v>
      </c>
      <c r="I24" s="157"/>
      <c r="J24" s="157"/>
      <c r="K24" s="153"/>
      <c r="L24" s="114" t="s">
        <v>60</v>
      </c>
      <c r="M24" s="114" t="s">
        <v>60</v>
      </c>
      <c r="N24" s="115">
        <v>2.98E-2</v>
      </c>
      <c r="O24" s="115">
        <v>0.1211</v>
      </c>
      <c r="P24" s="116">
        <v>-159000</v>
      </c>
      <c r="Q24" s="116">
        <v>49690.814744999989</v>
      </c>
      <c r="R24" s="116">
        <v>-109309.18525500002</v>
      </c>
      <c r="S24" s="117">
        <v>70.3</v>
      </c>
      <c r="T24" s="117">
        <v>144.73172259460881</v>
      </c>
      <c r="U24" s="118">
        <v>60.346670000000003</v>
      </c>
      <c r="V24" s="171">
        <v>-1.9123218473750676</v>
      </c>
      <c r="W24" s="159">
        <v>21.483706893669559</v>
      </c>
      <c r="X24" s="171">
        <v>5.3689337903662278</v>
      </c>
      <c r="Y24" s="159">
        <v>0</v>
      </c>
      <c r="Z24" s="171">
        <v>0.16692060785374949</v>
      </c>
      <c r="AA24" s="159">
        <v>7.799627157375669</v>
      </c>
      <c r="AB24" s="171">
        <v>0</v>
      </c>
      <c r="AC24" s="159">
        <v>0</v>
      </c>
      <c r="AD24" s="170">
        <v>2</v>
      </c>
    </row>
    <row r="25" spans="1:30" ht="23.25" hidden="1" x14ac:dyDescent="0.35">
      <c r="A25" s="129" t="s">
        <v>62</v>
      </c>
      <c r="B25" s="163" t="s">
        <v>63</v>
      </c>
      <c r="C25" s="130">
        <v>298.14999999999998</v>
      </c>
      <c r="D25" s="130">
        <v>1210</v>
      </c>
      <c r="E25" s="131">
        <v>0</v>
      </c>
      <c r="F25" s="132">
        <v>31.1</v>
      </c>
      <c r="G25" s="157">
        <v>23.35</v>
      </c>
      <c r="H25" s="157">
        <v>3.9</v>
      </c>
      <c r="I25" s="157">
        <v>-0.11</v>
      </c>
      <c r="J25" s="157"/>
      <c r="K25" s="153"/>
      <c r="L25" s="133">
        <v>35.18098239078077</v>
      </c>
      <c r="M25" s="133">
        <v>29.075192058496508</v>
      </c>
      <c r="N25" s="134">
        <v>2.9814999999999998E-2</v>
      </c>
      <c r="O25" s="134">
        <v>0.121</v>
      </c>
      <c r="P25" s="135">
        <v>0</v>
      </c>
      <c r="Q25" s="135">
        <v>23695.317609219233</v>
      </c>
      <c r="R25" s="135">
        <v>23695.317609219233</v>
      </c>
      <c r="S25" s="136">
        <v>31.1</v>
      </c>
      <c r="T25" s="136">
        <v>66.783250149175245</v>
      </c>
      <c r="U25" s="137">
        <v>27.993868519909846</v>
      </c>
      <c r="V25" s="174">
        <v>0</v>
      </c>
      <c r="W25" s="175">
        <v>10.582844540703489</v>
      </c>
      <c r="X25" s="174">
        <v>2.8083468639124423</v>
      </c>
      <c r="Y25" s="175">
        <v>-6.6149497865175294E-5</v>
      </c>
      <c r="Z25" s="174">
        <v>9.0253009581933469E-2</v>
      </c>
      <c r="AA25" s="175">
        <v>2.3453003788562148</v>
      </c>
      <c r="AB25" s="174">
        <v>0</v>
      </c>
      <c r="AC25" s="175">
        <v>0</v>
      </c>
      <c r="AD25" s="169">
        <v>2</v>
      </c>
    </row>
    <row r="26" spans="1:30" ht="23.25" hidden="1" x14ac:dyDescent="0.35">
      <c r="A26" s="129" t="s">
        <v>62</v>
      </c>
      <c r="B26" s="163" t="s">
        <v>58</v>
      </c>
      <c r="C26" s="130">
        <v>1210</v>
      </c>
      <c r="D26" s="130">
        <v>2000</v>
      </c>
      <c r="E26" s="131">
        <v>60.7</v>
      </c>
      <c r="F26" s="132">
        <v>97.3</v>
      </c>
      <c r="G26" s="157">
        <v>24.61</v>
      </c>
      <c r="H26" s="157"/>
      <c r="I26" s="157"/>
      <c r="J26" s="157"/>
      <c r="K26" s="153"/>
      <c r="L26" s="133" t="s">
        <v>60</v>
      </c>
      <c r="M26" s="133" t="s">
        <v>60</v>
      </c>
      <c r="N26" s="134">
        <v>0.121</v>
      </c>
      <c r="O26" s="134">
        <v>0.2</v>
      </c>
      <c r="P26" s="135">
        <v>60700</v>
      </c>
      <c r="Q26" s="135">
        <v>80141.900000000009</v>
      </c>
      <c r="R26" s="135">
        <v>80141.900000000009</v>
      </c>
      <c r="S26" s="136">
        <v>97.3</v>
      </c>
      <c r="T26" s="136">
        <v>109.66718506361138</v>
      </c>
      <c r="U26" s="137">
        <v>24.61</v>
      </c>
      <c r="V26" s="171">
        <f t="shared" ref="V26" si="18">P26/$A$1/10000</f>
        <v>0.73004991280293463</v>
      </c>
      <c r="W26" s="159">
        <f>S26/$A$1 - X26 - X26*LN(N26) + Y26/(N26^2) - AA26*2*N26 - AB26*3*N26^2 - AC26*4*N26^3</f>
        <v>14.993740103267132</v>
      </c>
      <c r="X26" s="171">
        <f>G26/$A$1</f>
        <v>2.9598893499308434</v>
      </c>
      <c r="Y26" s="159">
        <f>I26/(2*100*$A$1)</f>
        <v>0</v>
      </c>
      <c r="Z26" s="171">
        <f>X26*N26 - Y26*2/N26 + AA26*N26^2 + AB26*2*N26^3 + AC26*3*N26^4 + ($P$2-P26)/10000/$A$1</f>
        <v>-0.2359961513019424</v>
      </c>
      <c r="AA26" s="159">
        <f>H26*10/2/$A$1</f>
        <v>0</v>
      </c>
      <c r="AB26" s="171">
        <f>J26*100/6/$A$1</f>
        <v>0</v>
      </c>
      <c r="AC26" s="159">
        <f>K26*10^12/12/$A$1</f>
        <v>0</v>
      </c>
      <c r="AD26" s="169">
        <v>2</v>
      </c>
    </row>
    <row r="27" spans="1:30" ht="23.25" hidden="1" x14ac:dyDescent="0.35">
      <c r="A27" s="129" t="s">
        <v>62</v>
      </c>
      <c r="B27" s="163" t="s">
        <v>61</v>
      </c>
      <c r="C27" s="130">
        <v>298.14999999999998</v>
      </c>
      <c r="D27" s="130">
        <v>2000</v>
      </c>
      <c r="E27" s="131">
        <v>374.5</v>
      </c>
      <c r="F27" s="132">
        <v>167.9</v>
      </c>
      <c r="G27" s="157">
        <v>29.47</v>
      </c>
      <c r="H27" s="157">
        <v>-3.66</v>
      </c>
      <c r="I27" s="157">
        <v>0.32</v>
      </c>
      <c r="J27" s="157"/>
      <c r="K27" s="153"/>
      <c r="L27" s="133" t="s">
        <v>60</v>
      </c>
      <c r="M27" s="133" t="s">
        <v>60</v>
      </c>
      <c r="N27" s="134">
        <v>2.9814999999999998E-2</v>
      </c>
      <c r="O27" s="134">
        <v>0.2</v>
      </c>
      <c r="P27" s="135">
        <v>374500</v>
      </c>
      <c r="Q27" s="135">
        <v>43909.479722272772</v>
      </c>
      <c r="R27" s="135">
        <v>418409.47972227278</v>
      </c>
      <c r="S27" s="136">
        <v>167.9</v>
      </c>
      <c r="T27" s="136">
        <v>219.52155747394053</v>
      </c>
      <c r="U27" s="137">
        <v>22.23</v>
      </c>
      <c r="V27" s="174">
        <v>4.5041794455469359</v>
      </c>
      <c r="W27" s="175">
        <v>29.447554603809422</v>
      </c>
      <c r="X27" s="174">
        <v>3.5444103674303924</v>
      </c>
      <c r="Y27" s="175">
        <v>1.9243490288050995E-4</v>
      </c>
      <c r="Z27" s="174">
        <v>9.0811477271360019E-2</v>
      </c>
      <c r="AA27" s="175">
        <v>-2.2009742016958325</v>
      </c>
      <c r="AB27" s="174">
        <v>0</v>
      </c>
      <c r="AC27" s="175">
        <v>0</v>
      </c>
      <c r="AD27" s="169">
        <v>2</v>
      </c>
    </row>
    <row r="28" spans="1:30" ht="23.25" hidden="1" x14ac:dyDescent="0.35">
      <c r="A28" s="129" t="s">
        <v>81</v>
      </c>
      <c r="B28" s="163" t="s">
        <v>63</v>
      </c>
      <c r="C28" s="130">
        <v>298</v>
      </c>
      <c r="D28" s="130">
        <v>948</v>
      </c>
      <c r="E28" s="131">
        <v>-69</v>
      </c>
      <c r="F28" s="132">
        <v>78.2</v>
      </c>
      <c r="G28" s="157">
        <v>45.1</v>
      </c>
      <c r="H28" s="157">
        <v>16.399999999999999</v>
      </c>
      <c r="I28" s="157"/>
      <c r="J28" s="157"/>
      <c r="K28" s="153"/>
      <c r="L28" s="114">
        <v>24.643819999999998</v>
      </c>
      <c r="M28" s="114">
        <v>25.995590717299578</v>
      </c>
      <c r="N28" s="115">
        <v>2.98E-2</v>
      </c>
      <c r="O28" s="115">
        <v>9.4799999999999995E-2</v>
      </c>
      <c r="P28" s="116">
        <v>-69000</v>
      </c>
      <c r="Q28" s="116">
        <v>35956.18</v>
      </c>
      <c r="R28" s="116">
        <v>-33043.82</v>
      </c>
      <c r="S28" s="117">
        <v>78.2</v>
      </c>
      <c r="T28" s="117">
        <v>141.05247181030774</v>
      </c>
      <c r="U28" s="118">
        <v>60.647200000000005</v>
      </c>
      <c r="V28" s="171">
        <v>-0.82987551867219922</v>
      </c>
      <c r="W28" s="159">
        <v>22.449965065215235</v>
      </c>
      <c r="X28" s="171">
        <v>5.4242588249443742</v>
      </c>
      <c r="Y28" s="159">
        <v>0</v>
      </c>
      <c r="Z28" s="171">
        <v>0.17040101990498527</v>
      </c>
      <c r="AA28" s="159">
        <v>9.862288772626135</v>
      </c>
      <c r="AB28" s="171">
        <v>0</v>
      </c>
      <c r="AC28" s="159">
        <v>0</v>
      </c>
      <c r="AD28" s="170">
        <v>2</v>
      </c>
    </row>
    <row r="29" spans="1:30" ht="23.25" hidden="1" x14ac:dyDescent="0.35">
      <c r="A29" s="129" t="s">
        <v>81</v>
      </c>
      <c r="B29" s="163" t="s">
        <v>58</v>
      </c>
      <c r="C29" s="130">
        <v>948</v>
      </c>
      <c r="D29" s="130">
        <v>2000</v>
      </c>
      <c r="E29" s="131">
        <v>-8.4</v>
      </c>
      <c r="F29" s="132">
        <v>167.1</v>
      </c>
      <c r="G29" s="157">
        <v>63.6</v>
      </c>
      <c r="H29" s="157"/>
      <c r="I29" s="157"/>
      <c r="J29" s="157"/>
      <c r="K29" s="153"/>
      <c r="L29" s="114" t="s">
        <v>60</v>
      </c>
      <c r="M29" s="114" t="s">
        <v>60</v>
      </c>
      <c r="N29" s="115">
        <v>9.4799999999999995E-2</v>
      </c>
      <c r="O29" s="115">
        <v>0.2</v>
      </c>
      <c r="P29" s="116">
        <v>-8400</v>
      </c>
      <c r="Q29" s="116">
        <v>127507.2</v>
      </c>
      <c r="R29" s="116">
        <v>58507.199999999997</v>
      </c>
      <c r="S29" s="117">
        <v>167.1</v>
      </c>
      <c r="T29" s="117">
        <v>214.58045008345707</v>
      </c>
      <c r="U29" s="118">
        <v>63.6</v>
      </c>
      <c r="V29" s="171">
        <v>-0.82987551867219922</v>
      </c>
      <c r="W29" s="159">
        <v>30.469745783181889</v>
      </c>
      <c r="X29" s="171">
        <v>7.6492873895002704</v>
      </c>
      <c r="Y29" s="159">
        <v>0</v>
      </c>
      <c r="Z29" s="171">
        <v>-3.6947501353057355E-3</v>
      </c>
      <c r="AA29" s="159">
        <v>0</v>
      </c>
      <c r="AB29" s="171">
        <v>0</v>
      </c>
      <c r="AC29" s="159">
        <v>0</v>
      </c>
      <c r="AD29" s="170">
        <v>2</v>
      </c>
    </row>
    <row r="30" spans="1:30" ht="23.25" hidden="1" x14ac:dyDescent="0.35">
      <c r="A30" s="129" t="s">
        <v>82</v>
      </c>
      <c r="B30" s="163" t="s">
        <v>63</v>
      </c>
      <c r="C30" s="130">
        <v>298</v>
      </c>
      <c r="D30" s="130">
        <v>1013</v>
      </c>
      <c r="E30" s="131">
        <v>-113</v>
      </c>
      <c r="F30" s="132">
        <v>112.6</v>
      </c>
      <c r="G30" s="157">
        <v>62.89</v>
      </c>
      <c r="H30" s="157">
        <v>27.74</v>
      </c>
      <c r="I30" s="157"/>
      <c r="J30" s="157"/>
      <c r="K30" s="153"/>
      <c r="L30" s="114" t="s">
        <v>60</v>
      </c>
      <c r="M30" s="114" t="s">
        <v>60</v>
      </c>
      <c r="N30" s="115">
        <v>2.98E-2</v>
      </c>
      <c r="O30" s="115">
        <v>0.1013</v>
      </c>
      <c r="P30" s="116">
        <v>-113000</v>
      </c>
      <c r="Q30" s="128">
        <v>57967.602549999996</v>
      </c>
      <c r="R30" s="116">
        <v>-55032.397450000004</v>
      </c>
      <c r="S30" s="117">
        <v>112.6</v>
      </c>
      <c r="T30" s="117">
        <v>209.38492153587475</v>
      </c>
      <c r="U30" s="159">
        <v>90.990619999999993</v>
      </c>
      <c r="V30" s="171">
        <v>-1.3590715015936015</v>
      </c>
      <c r="W30" s="159">
        <v>31.55831097808133</v>
      </c>
      <c r="X30" s="171">
        <v>7.5638944013470439</v>
      </c>
      <c r="Y30" s="159">
        <v>0</v>
      </c>
      <c r="Z30" s="171">
        <v>0.24021807059955499</v>
      </c>
      <c r="AA30" s="159">
        <v>16.681700643454203</v>
      </c>
      <c r="AB30" s="171">
        <v>0</v>
      </c>
      <c r="AC30" s="159">
        <v>0</v>
      </c>
      <c r="AD30" s="168">
        <v>2</v>
      </c>
    </row>
    <row r="31" spans="1:30" ht="23.25" x14ac:dyDescent="0.35">
      <c r="A31" s="189" t="s">
        <v>64</v>
      </c>
      <c r="B31" s="190" t="s">
        <v>63</v>
      </c>
      <c r="C31" s="191">
        <v>298.14999999999998</v>
      </c>
      <c r="D31" s="191">
        <v>493</v>
      </c>
      <c r="E31" s="126">
        <v>0</v>
      </c>
      <c r="F31" s="127">
        <v>42.3</v>
      </c>
      <c r="G31" s="150">
        <v>17.89</v>
      </c>
      <c r="H31" s="150">
        <v>25.1</v>
      </c>
      <c r="I31" s="150"/>
      <c r="J31" s="150"/>
      <c r="K31" s="151"/>
      <c r="L31" s="114">
        <v>5.8794810023750008</v>
      </c>
      <c r="M31" s="114">
        <v>11.925924954107506</v>
      </c>
      <c r="N31" s="115">
        <v>2.9814999999999998E-2</v>
      </c>
      <c r="O31" s="115">
        <v>4.9299999999999997E-2</v>
      </c>
      <c r="P31" s="116">
        <v>0</v>
      </c>
      <c r="Q31" s="128">
        <v>5420.5189976249994</v>
      </c>
      <c r="R31" s="116">
        <v>5420.5189976249994</v>
      </c>
      <c r="S31" s="117">
        <v>42.3</v>
      </c>
      <c r="T31" s="117">
        <v>56.187838882092244</v>
      </c>
      <c r="U31" s="159">
        <v>30.264299999999999</v>
      </c>
      <c r="V31" s="180">
        <v>0</v>
      </c>
      <c r="W31" s="180">
        <v>9.5940127503905739</v>
      </c>
      <c r="X31" s="180">
        <v>2.1516627578327019</v>
      </c>
      <c r="Y31" s="180">
        <v>0</v>
      </c>
      <c r="Z31" s="180">
        <v>7.7569498495098907E-2</v>
      </c>
      <c r="AA31" s="180">
        <v>15.094112694689999</v>
      </c>
      <c r="AB31" s="180">
        <v>0</v>
      </c>
      <c r="AC31" s="180">
        <v>0</v>
      </c>
      <c r="AD31" s="194">
        <v>2</v>
      </c>
    </row>
    <row r="32" spans="1:30" ht="23.25" x14ac:dyDescent="0.35">
      <c r="A32" s="124" t="s">
        <v>64</v>
      </c>
      <c r="B32" s="164" t="s">
        <v>58</v>
      </c>
      <c r="C32" s="125">
        <v>493</v>
      </c>
      <c r="D32" s="125">
        <v>957</v>
      </c>
      <c r="E32" s="126">
        <v>11.3</v>
      </c>
      <c r="F32" s="127">
        <v>68.113763836199666</v>
      </c>
      <c r="G32" s="150">
        <v>35.15</v>
      </c>
      <c r="H32" s="150"/>
      <c r="I32" s="150"/>
      <c r="J32" s="150"/>
      <c r="K32" s="151"/>
      <c r="L32" s="114" t="s">
        <v>60</v>
      </c>
      <c r="M32" s="114" t="s">
        <v>60</v>
      </c>
      <c r="N32" s="115">
        <v>4.9299999999999997E-2</v>
      </c>
      <c r="O32" s="115">
        <v>9.5699999999999993E-2</v>
      </c>
      <c r="P32" s="116">
        <v>11300</v>
      </c>
      <c r="Q32" s="116">
        <v>27609.599999999995</v>
      </c>
      <c r="R32" s="116">
        <v>27609.599999999995</v>
      </c>
      <c r="S32" s="117">
        <v>68.113763836199666</v>
      </c>
      <c r="T32" s="117">
        <v>91.428555578170489</v>
      </c>
      <c r="U32" s="159">
        <v>35.15</v>
      </c>
      <c r="V32" s="171">
        <v>0.13590715015936014</v>
      </c>
      <c r="W32" s="159">
        <v>16.688836423544643</v>
      </c>
      <c r="X32" s="171">
        <v>4.2275542726562021</v>
      </c>
      <c r="Y32" s="159">
        <v>0</v>
      </c>
      <c r="Z32" s="171">
        <v>0.20841842564195076</v>
      </c>
      <c r="AA32" s="159">
        <v>0</v>
      </c>
      <c r="AB32" s="171">
        <v>0</v>
      </c>
      <c r="AC32" s="159">
        <v>0</v>
      </c>
      <c r="AD32" s="168">
        <v>2</v>
      </c>
    </row>
    <row r="33" spans="1:30" ht="23.25" x14ac:dyDescent="0.35">
      <c r="A33" s="189" t="s">
        <v>64</v>
      </c>
      <c r="B33" s="190" t="s">
        <v>61</v>
      </c>
      <c r="C33" s="191">
        <v>298.14999999999998</v>
      </c>
      <c r="D33" s="191">
        <v>2000</v>
      </c>
      <c r="E33" s="126">
        <v>235.4</v>
      </c>
      <c r="F33" s="127">
        <v>176.7</v>
      </c>
      <c r="G33" s="150">
        <v>21.46</v>
      </c>
      <c r="H33" s="150">
        <v>1.51</v>
      </c>
      <c r="I33" s="150">
        <v>0.09</v>
      </c>
      <c r="J33" s="150"/>
      <c r="K33" s="151"/>
      <c r="L33" s="133" t="s">
        <v>60</v>
      </c>
      <c r="M33" s="133" t="s">
        <v>60</v>
      </c>
      <c r="N33" s="134">
        <v>2.9814999999999998E-2</v>
      </c>
      <c r="O33" s="134">
        <v>0.2</v>
      </c>
      <c r="P33" s="135">
        <v>235400</v>
      </c>
      <c r="Q33" s="135">
        <v>39731.447945133754</v>
      </c>
      <c r="R33" s="135">
        <v>275131.44794513378</v>
      </c>
      <c r="S33" s="136">
        <v>176.7</v>
      </c>
      <c r="T33" s="136">
        <v>220.60970894664467</v>
      </c>
      <c r="U33" s="137">
        <v>24.502499999999998</v>
      </c>
      <c r="V33" s="192">
        <v>2.8311985086295026</v>
      </c>
      <c r="W33" s="192">
        <v>27.744241571649582</v>
      </c>
      <c r="X33" s="192">
        <v>2.5810331348848394</v>
      </c>
      <c r="Y33" s="192">
        <v>5.4122316435143416E-5</v>
      </c>
      <c r="Z33" s="192">
        <v>7.4130158817322156E-2</v>
      </c>
      <c r="AA33" s="192">
        <v>0.90805219796740622</v>
      </c>
      <c r="AB33" s="192">
        <v>0</v>
      </c>
      <c r="AC33" s="192">
        <v>0</v>
      </c>
      <c r="AD33" s="193">
        <v>2</v>
      </c>
    </row>
  </sheetData>
  <sheetProtection formatCells="0" formatColumns="0" formatRows="0" insertColumns="0" insertRows="0" deleteRows="0" sort="0" autoFilter="0" pivotTables="0"/>
  <phoneticPr fontId="13" type="noConversion"/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tabColor rgb="FF7030A0"/>
  </sheetPr>
  <dimension ref="A1:R27"/>
  <sheetViews>
    <sheetView zoomScale="130" zoomScaleNormal="130" workbookViewId="0">
      <pane ySplit="1" topLeftCell="A2" activePane="bottomLeft" state="frozen"/>
      <selection pane="bottomLeft" activeCell="S4" sqref="S4"/>
    </sheetView>
  </sheetViews>
  <sheetFormatPr defaultRowHeight="21" outlineLevelCol="1" x14ac:dyDescent="0.35"/>
  <cols>
    <col min="1" max="1" width="11.7265625" style="66" bestFit="1" customWidth="1"/>
    <col min="2" max="2" width="3.7265625" style="3" customWidth="1"/>
    <col min="3" max="3" width="6.90625" customWidth="1"/>
    <col min="4" max="4" width="9.6328125" hidden="1" customWidth="1"/>
    <col min="5" max="6" width="9.6328125" hidden="1" customWidth="1" outlineLevel="1"/>
    <col min="7" max="7" width="9.6328125" style="3" hidden="1" customWidth="1" outlineLevel="1"/>
    <col min="8" max="10" width="9.6328125" hidden="1" customWidth="1" outlineLevel="1"/>
    <col min="11" max="11" width="10.6328125" style="74" customWidth="1" collapsed="1"/>
    <col min="12" max="18" width="10.6328125" style="74" customWidth="1"/>
  </cols>
  <sheetData>
    <row r="1" spans="1:18" ht="22.5" thickTop="1" thickBot="1" x14ac:dyDescent="0.4">
      <c r="A1" s="81" t="s">
        <v>39</v>
      </c>
      <c r="B1" s="7" t="s">
        <v>57</v>
      </c>
      <c r="C1" s="4" t="s">
        <v>55</v>
      </c>
      <c r="D1" s="8" t="s">
        <v>54</v>
      </c>
      <c r="E1" s="6" t="s">
        <v>51</v>
      </c>
      <c r="F1" s="6" t="s">
        <v>49</v>
      </c>
      <c r="G1" s="5" t="s">
        <v>49</v>
      </c>
      <c r="H1" s="9" t="s">
        <v>52</v>
      </c>
      <c r="I1" s="4" t="s">
        <v>50</v>
      </c>
      <c r="J1" s="10" t="s">
        <v>53</v>
      </c>
      <c r="K1" s="68" t="s">
        <v>41</v>
      </c>
      <c r="L1" s="69" t="s">
        <v>42</v>
      </c>
      <c r="M1" s="69" t="s">
        <v>43</v>
      </c>
      <c r="N1" s="69" t="s">
        <v>44</v>
      </c>
      <c r="O1" s="69" t="s">
        <v>45</v>
      </c>
      <c r="P1" s="69" t="s">
        <v>46</v>
      </c>
      <c r="Q1" s="69" t="s">
        <v>47</v>
      </c>
      <c r="R1" s="70" t="s">
        <v>48</v>
      </c>
    </row>
    <row r="2" spans="1:18" ht="21.75" thickTop="1" x14ac:dyDescent="0.35">
      <c r="A2" s="64" t="s">
        <v>83</v>
      </c>
      <c r="B2" s="11" t="s">
        <v>58</v>
      </c>
      <c r="C2" s="12">
        <v>298</v>
      </c>
      <c r="D2" s="75"/>
      <c r="E2" s="75"/>
      <c r="F2" s="75"/>
      <c r="G2" s="75"/>
      <c r="H2" s="75"/>
      <c r="I2" s="75"/>
      <c r="J2" s="75"/>
      <c r="K2" s="86">
        <v>0</v>
      </c>
      <c r="L2" s="87">
        <v>16.688339185211987</v>
      </c>
      <c r="M2" s="86">
        <v>4.0663634694008044</v>
      </c>
      <c r="N2" s="87">
        <v>4.642498306573977E-4</v>
      </c>
      <c r="O2" s="86">
        <v>4.2232998956463159E-2</v>
      </c>
      <c r="P2" s="87">
        <v>-1.6915439636555956</v>
      </c>
      <c r="Q2" s="86">
        <v>0.85639996181066103</v>
      </c>
      <c r="R2" s="88">
        <v>0.24006447835859676</v>
      </c>
    </row>
    <row r="3" spans="1:18" x14ac:dyDescent="0.35">
      <c r="A3" s="65" t="s">
        <v>83</v>
      </c>
      <c r="B3" s="13" t="s">
        <v>58</v>
      </c>
      <c r="C3" s="14">
        <v>918</v>
      </c>
      <c r="D3" s="75"/>
      <c r="E3" s="75"/>
      <c r="F3" s="75"/>
      <c r="G3" s="75"/>
      <c r="H3" s="75"/>
      <c r="I3" s="75"/>
      <c r="J3" s="75"/>
      <c r="K3" s="86">
        <v>0</v>
      </c>
      <c r="L3" s="87">
        <v>9.9938218886512296</v>
      </c>
      <c r="M3" s="86">
        <v>0.74501916153508874</v>
      </c>
      <c r="N3" s="87">
        <v>4.668042074609329E-3</v>
      </c>
      <c r="O3" s="86">
        <v>-0.23606481387265052</v>
      </c>
      <c r="P3" s="87">
        <v>12.387179989402989</v>
      </c>
      <c r="Q3" s="86">
        <v>1.2813942865428745</v>
      </c>
      <c r="R3" s="88">
        <v>0.24421805054616613</v>
      </c>
    </row>
    <row r="4" spans="1:18" x14ac:dyDescent="0.35">
      <c r="A4" s="65" t="s">
        <v>83</v>
      </c>
      <c r="B4" s="13" t="s">
        <v>58</v>
      </c>
      <c r="C4" s="14">
        <v>1150</v>
      </c>
      <c r="D4" s="75"/>
      <c r="E4" s="75"/>
      <c r="F4" s="75"/>
      <c r="G4" s="75"/>
      <c r="H4" s="75"/>
      <c r="I4" s="75"/>
      <c r="J4" s="75"/>
      <c r="K4" s="86">
        <v>0</v>
      </c>
      <c r="L4" s="87">
        <v>10.122681102948389</v>
      </c>
      <c r="M4" s="86">
        <v>-4.8178888409121274</v>
      </c>
      <c r="N4" s="87">
        <v>6.8059950240120043E-2</v>
      </c>
      <c r="O4" s="86">
        <v>-2.0756430304980711</v>
      </c>
      <c r="P4" s="87">
        <v>4.1019530036291609</v>
      </c>
      <c r="Q4" s="86">
        <v>1.091340211889114</v>
      </c>
      <c r="R4" s="89">
        <v>0.24152838776726546</v>
      </c>
    </row>
    <row r="5" spans="1:18" s="75" customFormat="1" ht="21.75" thickBot="1" x14ac:dyDescent="0.4">
      <c r="A5" s="76" t="s">
        <v>83</v>
      </c>
      <c r="B5" s="77" t="s">
        <v>59</v>
      </c>
      <c r="C5" s="78">
        <v>1500</v>
      </c>
      <c r="D5" s="15" t="s">
        <v>60</v>
      </c>
      <c r="E5" s="15" t="s">
        <v>60</v>
      </c>
      <c r="F5" s="15" t="s">
        <v>60</v>
      </c>
      <c r="G5" s="15" t="s">
        <v>60</v>
      </c>
      <c r="H5" s="15" t="s">
        <v>60</v>
      </c>
      <c r="I5" s="15" t="s">
        <v>60</v>
      </c>
      <c r="J5" s="15" t="s">
        <v>60</v>
      </c>
      <c r="K5" s="72" t="s">
        <v>60</v>
      </c>
      <c r="L5" s="71" t="s">
        <v>60</v>
      </c>
      <c r="M5" s="72" t="s">
        <v>60</v>
      </c>
      <c r="N5" s="71" t="s">
        <v>60</v>
      </c>
      <c r="O5" s="72" t="s">
        <v>60</v>
      </c>
      <c r="P5" s="71" t="s">
        <v>60</v>
      </c>
      <c r="Q5" s="72" t="s">
        <v>60</v>
      </c>
      <c r="R5" s="73" t="s">
        <v>60</v>
      </c>
    </row>
    <row r="6" spans="1:18" s="75" customFormat="1" ht="21.75" thickTop="1" x14ac:dyDescent="0.35">
      <c r="A6" s="64" t="s">
        <v>84</v>
      </c>
      <c r="B6" s="11" t="s">
        <v>58</v>
      </c>
      <c r="C6" s="12">
        <v>10</v>
      </c>
      <c r="K6" s="86">
        <v>-1.8995850622406638</v>
      </c>
      <c r="L6" s="87">
        <v>15.107005749341235</v>
      </c>
      <c r="M6" s="86">
        <v>3.3622423438912659</v>
      </c>
      <c r="N6" s="87">
        <v>-9.3563022346504094E-6</v>
      </c>
      <c r="O6" s="86">
        <v>0.13727423007721665</v>
      </c>
      <c r="P6" s="87">
        <v>-1.681873653426641</v>
      </c>
      <c r="Q6" s="86">
        <v>0.85649906668444342</v>
      </c>
      <c r="R6" s="88">
        <v>0.24006464929484223</v>
      </c>
    </row>
    <row r="7" spans="1:18" s="75" customFormat="1" x14ac:dyDescent="0.35">
      <c r="A7" s="65" t="s">
        <v>84</v>
      </c>
      <c r="B7" s="13" t="s">
        <v>58</v>
      </c>
      <c r="C7" s="14">
        <v>150</v>
      </c>
      <c r="K7" s="86">
        <v>-1.8995850622406638</v>
      </c>
      <c r="L7" s="87">
        <v>22.242322509853619</v>
      </c>
      <c r="M7" s="86">
        <v>5.6787057694693681</v>
      </c>
      <c r="N7" s="87">
        <v>-1.1458432876224959E-4</v>
      </c>
      <c r="O7" s="86">
        <v>0.1820527344978235</v>
      </c>
      <c r="P7" s="87">
        <v>5.5729206655170804</v>
      </c>
      <c r="Q7" s="86">
        <v>1.6897883404301262</v>
      </c>
      <c r="R7" s="88">
        <v>0.25488896669120797</v>
      </c>
    </row>
    <row r="8" spans="1:18" s="75" customFormat="1" ht="21.75" thickBot="1" x14ac:dyDescent="0.4">
      <c r="A8" s="76" t="s">
        <v>84</v>
      </c>
      <c r="B8" s="77" t="s">
        <v>59</v>
      </c>
      <c r="C8" s="78">
        <v>1210</v>
      </c>
      <c r="D8" s="15" t="s">
        <v>60</v>
      </c>
      <c r="E8" s="15" t="s">
        <v>60</v>
      </c>
      <c r="F8" s="15" t="s">
        <v>60</v>
      </c>
      <c r="G8" s="15" t="s">
        <v>60</v>
      </c>
      <c r="H8" s="15" t="s">
        <v>60</v>
      </c>
      <c r="I8" s="15" t="s">
        <v>60</v>
      </c>
      <c r="J8" s="15" t="s">
        <v>60</v>
      </c>
      <c r="K8" s="72" t="s">
        <v>60</v>
      </c>
      <c r="L8" s="71" t="s">
        <v>60</v>
      </c>
      <c r="M8" s="72" t="s">
        <v>60</v>
      </c>
      <c r="N8" s="71" t="s">
        <v>60</v>
      </c>
      <c r="O8" s="72" t="s">
        <v>60</v>
      </c>
      <c r="P8" s="71" t="s">
        <v>60</v>
      </c>
      <c r="Q8" s="72" t="s">
        <v>60</v>
      </c>
      <c r="R8" s="73" t="s">
        <v>60</v>
      </c>
    </row>
    <row r="9" spans="1:18" s="75" customFormat="1" x14ac:dyDescent="0.35">
      <c r="A9" s="66" t="s">
        <v>85</v>
      </c>
      <c r="B9" s="80" t="s">
        <v>58</v>
      </c>
      <c r="C9" s="79">
        <v>200</v>
      </c>
      <c r="K9" s="86">
        <v>0</v>
      </c>
      <c r="L9" s="87">
        <v>14.827333362245735</v>
      </c>
      <c r="M9" s="86">
        <v>3.2556671517090314</v>
      </c>
      <c r="N9" s="87">
        <v>-1.283549158027796E-4</v>
      </c>
      <c r="O9" s="86">
        <v>4.3437413921368906E-2</v>
      </c>
      <c r="P9" s="87">
        <v>5.294052820655879</v>
      </c>
      <c r="Q9" s="86">
        <v>1.6877776091157222</v>
      </c>
      <c r="R9" s="88">
        <v>0.25488660825082821</v>
      </c>
    </row>
    <row r="10" spans="1:18" s="75" customFormat="1" ht="21.75" thickBot="1" x14ac:dyDescent="0.4">
      <c r="A10" s="76" t="s">
        <v>85</v>
      </c>
      <c r="B10" s="77" t="s">
        <v>59</v>
      </c>
      <c r="C10" s="82">
        <v>303</v>
      </c>
      <c r="D10" s="15" t="s">
        <v>60</v>
      </c>
      <c r="E10" s="15" t="s">
        <v>60</v>
      </c>
      <c r="F10" s="15" t="s">
        <v>60</v>
      </c>
      <c r="G10" s="15" t="s">
        <v>60</v>
      </c>
      <c r="H10" s="15" t="s">
        <v>60</v>
      </c>
      <c r="I10" s="15" t="s">
        <v>60</v>
      </c>
      <c r="J10" s="15" t="s">
        <v>60</v>
      </c>
      <c r="K10" s="72" t="s">
        <v>60</v>
      </c>
      <c r="L10" s="71" t="s">
        <v>60</v>
      </c>
      <c r="M10" s="72" t="s">
        <v>60</v>
      </c>
      <c r="N10" s="71" t="s">
        <v>60</v>
      </c>
      <c r="O10" s="72" t="s">
        <v>60</v>
      </c>
      <c r="P10" s="71" t="s">
        <v>60</v>
      </c>
      <c r="Q10" s="72" t="s">
        <v>60</v>
      </c>
      <c r="R10" s="73" t="s">
        <v>60</v>
      </c>
    </row>
    <row r="11" spans="1:18" s="75" customFormat="1" x14ac:dyDescent="0.35">
      <c r="A11" s="66" t="s">
        <v>86</v>
      </c>
      <c r="B11" s="80" t="s">
        <v>63</v>
      </c>
      <c r="C11" s="79">
        <v>10</v>
      </c>
      <c r="K11" s="86">
        <v>-4.7952131817908468</v>
      </c>
      <c r="L11" s="87">
        <v>-85.928718576888272</v>
      </c>
      <c r="M11" s="86">
        <v>-17.748061244149952</v>
      </c>
      <c r="N11" s="87">
        <v>4.5887255627349451E-5</v>
      </c>
      <c r="O11" s="86">
        <v>0.22005289809440109</v>
      </c>
      <c r="P11" s="87">
        <v>14.92500749614886</v>
      </c>
      <c r="Q11" s="86">
        <v>1.7247006916965459</v>
      </c>
      <c r="R11" s="88">
        <v>0.25490480922524045</v>
      </c>
    </row>
    <row r="12" spans="1:18" s="75" customFormat="1" x14ac:dyDescent="0.35">
      <c r="A12" s="66" t="s">
        <v>86</v>
      </c>
      <c r="B12" s="80" t="s">
        <v>63</v>
      </c>
      <c r="C12" s="79">
        <v>150</v>
      </c>
      <c r="K12" s="86">
        <v>-4.7952131817908468</v>
      </c>
      <c r="L12" s="87">
        <v>52.324146168069298</v>
      </c>
      <c r="M12" s="86">
        <v>12.650756190383355</v>
      </c>
      <c r="N12" s="87">
        <v>4.6824320928384207E-5</v>
      </c>
      <c r="O12" s="86">
        <v>0.39195953082034007</v>
      </c>
      <c r="P12" s="87">
        <v>21.270645885092854</v>
      </c>
      <c r="Q12" s="86">
        <v>1.743241008305551</v>
      </c>
      <c r="R12" s="88">
        <v>0.25496773287686142</v>
      </c>
    </row>
    <row r="13" spans="1:18" s="75" customFormat="1" ht="21.75" thickBot="1" x14ac:dyDescent="0.4">
      <c r="A13" s="83" t="s">
        <v>86</v>
      </c>
      <c r="B13" s="84" t="s">
        <v>59</v>
      </c>
      <c r="C13" s="85">
        <v>1283</v>
      </c>
      <c r="D13" s="15" t="s">
        <v>60</v>
      </c>
      <c r="E13" s="15" t="s">
        <v>60</v>
      </c>
      <c r="F13" s="15" t="s">
        <v>60</v>
      </c>
      <c r="G13" s="15" t="s">
        <v>60</v>
      </c>
      <c r="H13" s="15" t="s">
        <v>60</v>
      </c>
      <c r="I13" s="15" t="s">
        <v>60</v>
      </c>
      <c r="J13" s="15" t="s">
        <v>60</v>
      </c>
      <c r="K13" s="72" t="s">
        <v>60</v>
      </c>
      <c r="L13" s="71" t="s">
        <v>60</v>
      </c>
      <c r="M13" s="72" t="s">
        <v>60</v>
      </c>
      <c r="N13" s="71" t="s">
        <v>60</v>
      </c>
      <c r="O13" s="72" t="s">
        <v>60</v>
      </c>
      <c r="P13" s="71" t="s">
        <v>60</v>
      </c>
      <c r="Q13" s="72" t="s">
        <v>60</v>
      </c>
      <c r="R13" s="73" t="s">
        <v>60</v>
      </c>
    </row>
    <row r="14" spans="1:18" s="75" customFormat="1" x14ac:dyDescent="0.35">
      <c r="A14" s="66"/>
    </row>
    <row r="15" spans="1:18" s="75" customFormat="1" x14ac:dyDescent="0.35">
      <c r="A15" s="66"/>
    </row>
    <row r="16" spans="1:18" s="75" customFormat="1" x14ac:dyDescent="0.35">
      <c r="A16" s="66"/>
    </row>
    <row r="17" spans="1:1" s="75" customFormat="1" x14ac:dyDescent="0.35">
      <c r="A17" s="66"/>
    </row>
    <row r="18" spans="1:1" s="75" customFormat="1" x14ac:dyDescent="0.35">
      <c r="A18" s="66"/>
    </row>
    <row r="19" spans="1:1" s="75" customFormat="1" x14ac:dyDescent="0.35">
      <c r="A19" s="66"/>
    </row>
    <row r="20" spans="1:1" s="75" customFormat="1" x14ac:dyDescent="0.35">
      <c r="A20" s="66"/>
    </row>
    <row r="21" spans="1:1" s="75" customFormat="1" x14ac:dyDescent="0.35">
      <c r="A21" s="66"/>
    </row>
    <row r="22" spans="1:1" s="75" customFormat="1" x14ac:dyDescent="0.35">
      <c r="A22" s="66"/>
    </row>
    <row r="23" spans="1:1" s="75" customFormat="1" x14ac:dyDescent="0.35">
      <c r="A23" s="66"/>
    </row>
    <row r="24" spans="1:1" s="75" customFormat="1" x14ac:dyDescent="0.35">
      <c r="A24" s="66"/>
    </row>
    <row r="25" spans="1:1" s="75" customFormat="1" x14ac:dyDescent="0.35">
      <c r="A25" s="66"/>
    </row>
    <row r="26" spans="1:1" s="75" customFormat="1" x14ac:dyDescent="0.35">
      <c r="A26" s="66"/>
    </row>
    <row r="27" spans="1:1" s="75" customFormat="1" x14ac:dyDescent="0.35">
      <c r="A27" s="66"/>
    </row>
  </sheetData>
  <autoFilter ref="A1:C26" xr:uid="{00000000-0009-0000-0000-000005000000}"/>
  <customSheetViews>
    <customSheetView guid="{5CD7248E-C04A-445B-8512-C9303DEF235B}" showAutoFilter="1" hiddenRows="1" hiddenColumns="1" topLeftCell="A2">
      <pane ySplit="1" topLeftCell="A12" activePane="bottomLeft" state="frozen"/>
      <selection pane="bottomLeft" activeCell="D24" sqref="D24"/>
      <pageMargins left="0.7" right="0.7" top="0.75" bottom="0.75" header="0.3" footer="0.3"/>
      <autoFilter ref="A2:D28" xr:uid="{00000000-0000-0000-0000-000000000000}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TERRA</vt:lpstr>
      <vt:lpstr>MILKE</vt:lpstr>
      <vt:lpstr>Банк Других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dcterms:created xsi:type="dcterms:W3CDTF">2020-09-24T08:00:28Z</dcterms:created>
  <dcterms:modified xsi:type="dcterms:W3CDTF">2021-04-17T21:20:53Z</dcterms:modified>
</cp:coreProperties>
</file>