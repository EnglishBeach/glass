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"/>
    </mc:Choice>
  </mc:AlternateContent>
  <xr:revisionPtr revIDLastSave="0" documentId="13_ncr:1_{3E513D72-8243-4ABF-A374-B132E43E4191}" xr6:coauthVersionLast="46" xr6:coauthVersionMax="46" xr10:uidLastSave="{00000000-0000-0000-0000-000000000000}"/>
  <bookViews>
    <workbookView xWindow="-120" yWindow="-120" windowWidth="29040" windowHeight="15990" xr2:uid="{A24CA52B-AEBC-4829-B9AE-7CEF1CD74983}"/>
  </bookViews>
  <sheets>
    <sheet name="Associate" sheetId="1" r:id="rId1"/>
  </sheets>
  <functionGroups builtInGroupCount="19"/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  <c r="U13" i="1"/>
  <c r="T13" i="1"/>
  <c r="S13" i="1"/>
  <c r="R13" i="1"/>
  <c r="Q13" i="1"/>
  <c r="P13" i="1"/>
  <c r="O13" i="1"/>
  <c r="N13" i="1"/>
  <c r="U12" i="1"/>
  <c r="T12" i="1"/>
  <c r="S12" i="1"/>
  <c r="R12" i="1"/>
  <c r="Q12" i="1"/>
  <c r="P12" i="1"/>
  <c r="O12" i="1"/>
  <c r="N12" i="1"/>
  <c r="U11" i="1"/>
  <c r="T11" i="1"/>
  <c r="S11" i="1"/>
  <c r="R11" i="1"/>
  <c r="Q11" i="1"/>
  <c r="P11" i="1"/>
  <c r="O11" i="1"/>
  <c r="N11" i="1"/>
  <c r="U10" i="1"/>
  <c r="T10" i="1"/>
  <c r="S10" i="1"/>
  <c r="R10" i="1"/>
  <c r="Q10" i="1"/>
  <c r="P10" i="1"/>
  <c r="O10" i="1"/>
  <c r="N10" i="1"/>
  <c r="U9" i="1"/>
  <c r="T9" i="1"/>
  <c r="S9" i="1"/>
  <c r="R9" i="1"/>
  <c r="Q9" i="1"/>
  <c r="P9" i="1"/>
  <c r="O9" i="1"/>
  <c r="N9" i="1"/>
  <c r="U8" i="1"/>
  <c r="T8" i="1"/>
  <c r="S8" i="1"/>
  <c r="R8" i="1"/>
  <c r="Q8" i="1"/>
  <c r="P8" i="1"/>
  <c r="O8" i="1"/>
  <c r="N8" i="1"/>
  <c r="U7" i="1"/>
  <c r="T7" i="1"/>
  <c r="S7" i="1"/>
  <c r="R7" i="1"/>
  <c r="Q7" i="1"/>
  <c r="P7" i="1"/>
  <c r="O7" i="1"/>
  <c r="N7" i="1"/>
  <c r="U6" i="1"/>
  <c r="T6" i="1"/>
  <c r="S6" i="1"/>
  <c r="R6" i="1"/>
  <c r="Q6" i="1"/>
  <c r="P6" i="1"/>
  <c r="O6" i="1"/>
  <c r="N6" i="1"/>
  <c r="U5" i="1"/>
  <c r="T5" i="1"/>
  <c r="S5" i="1"/>
  <c r="R5" i="1"/>
  <c r="Q5" i="1"/>
  <c r="P5" i="1"/>
  <c r="O5" i="1"/>
  <c r="N5" i="1"/>
  <c r="U4" i="1"/>
  <c r="T4" i="1"/>
  <c r="S4" i="1"/>
  <c r="R4" i="1"/>
  <c r="Q4" i="1"/>
  <c r="P4" i="1"/>
  <c r="O4" i="1"/>
  <c r="N4" i="1"/>
  <c r="U3" i="1"/>
  <c r="T3" i="1"/>
  <c r="S3" i="1"/>
  <c r="R3" i="1"/>
  <c r="Q3" i="1"/>
  <c r="P3" i="1"/>
  <c r="O3" i="1"/>
  <c r="N3" i="1"/>
  <c r="U2" i="1"/>
  <c r="T2" i="1"/>
  <c r="S2" i="1"/>
  <c r="R2" i="1"/>
  <c r="Q2" i="1"/>
  <c r="P2" i="1"/>
  <c r="O2" i="1"/>
  <c r="N2" i="1"/>
  <c r="I1" i="1"/>
</calcChain>
</file>

<file path=xl/sharedStrings.xml><?xml version="1.0" encoding="utf-8"?>
<sst xmlns="http://schemas.openxmlformats.org/spreadsheetml/2006/main" count="65" uniqueCount="35">
  <si>
    <t>H KJ</t>
  </si>
  <si>
    <t>GeSe2</t>
  </si>
  <si>
    <t>GeSe</t>
  </si>
  <si>
    <t>Ga2Se3</t>
  </si>
  <si>
    <t>Ga</t>
  </si>
  <si>
    <t>Ge</t>
  </si>
  <si>
    <t>Se</t>
  </si>
  <si>
    <t>Фаза             if "?" =&gt; not "g"</t>
  </si>
  <si>
    <t>To</t>
  </si>
  <si>
    <t>T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</si>
  <si>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</si>
  <si>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</si>
  <si>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</si>
  <si>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</si>
  <si>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</si>
  <si>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</si>
  <si>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</si>
  <si>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</si>
  <si>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Тип сорт/\ 0E- выбранный столбец, 1 по всей таблице</t>
  </si>
  <si>
    <t>Ga2Ge1Se4</t>
  </si>
  <si>
    <t>s</t>
  </si>
  <si>
    <t>Ga4Ge1Se8</t>
  </si>
  <si>
    <t>Ga1Ge1Se3</t>
  </si>
  <si>
    <t>Ga10Ge30Se60</t>
  </si>
  <si>
    <t>Ga4Ge2Se8</t>
  </si>
  <si>
    <t>Ga2Ge4Se8</t>
  </si>
  <si>
    <t>Ga2Ge3Se8</t>
  </si>
  <si>
    <t>?</t>
  </si>
  <si>
    <t>Ge10Se1</t>
  </si>
  <si>
    <t>Ge3Se2</t>
  </si>
  <si>
    <t>Ge4Se5</t>
  </si>
  <si>
    <t>Ge1Se20</t>
  </si>
  <si>
    <t>Ge3Se4</t>
  </si>
  <si>
    <t>Названиe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</si>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</sst>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E+00"/>
    <numFmt numFmtId="165" formatCode="0.000E+00"/>
    <numFmt numFmtId="166" formatCode="0.0000"/>
    <numFmt numFmtId="167" formatCode="0.0E+00"/>
  </numFmts>
  <fonts count="10" x14ac:knownFonts="1">
    <font>
      <sz val="16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sz val="15"/>
      <name val="Cambria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5">
    <xf numFmtId="0" fontId="0" fillId="0" borderId="0"/>
    <xf numFmtId="49" fontId="4" fillId="2" borderId="5" applyNumberFormat="0">
      <alignment horizontal="left" vertical="center"/>
    </xf>
    <xf numFmtId="11" fontId="3" fillId="0" borderId="0"/>
    <xf numFmtId="11" fontId="5" fillId="3" borderId="0">
      <alignment vertical="top"/>
    </xf>
    <xf numFmtId="0" fontId="6" fillId="0" borderId="0" applyNumberFormat="0" applyFont="0" applyFill="0" applyBorder="0" applyAlignment="0" applyProtection="0">
      <alignment vertical="top"/>
    </xf>
  </cellStyleXfs>
  <cellXfs count="48">
    <xf numFmtId="0" fontId="0" fillId="0" borderId="0" xfId="0"/>
    <xf numFmtId="0" fontId="0" fillId="0" borderId="0" xfId="0" applyAlignment="1">
      <alignment horizontal="center"/>
    </xf>
    <xf numFmtId="0" fontId="4" fillId="2" borderId="6" xfId="1" applyNumberFormat="1" applyBorder="1">
      <alignment horizontal="left" vertical="center"/>
    </xf>
    <xf numFmtId="164" fontId="4" fillId="2" borderId="6" xfId="1" applyNumberFormat="1" applyBorder="1">
      <alignment horizontal="left" vertical="center"/>
    </xf>
    <xf numFmtId="11" fontId="0" fillId="0" borderId="0" xfId="0" applyNumberFormat="1"/>
    <xf numFmtId="11" fontId="3" fillId="0" borderId="7" xfId="2" applyBorder="1"/>
    <xf numFmtId="0" fontId="3" fillId="0" borderId="8" xfId="2" applyNumberFormat="1" applyBorder="1" applyAlignment="1">
      <alignment horizontal="center"/>
    </xf>
    <xf numFmtId="0" fontId="3" fillId="0" borderId="0" xfId="2" applyNumberFormat="1" applyAlignment="1">
      <alignment horizontal="center"/>
    </xf>
    <xf numFmtId="0" fontId="3" fillId="0" borderId="9" xfId="2" applyNumberFormat="1" applyBorder="1" applyAlignment="1">
      <alignment horizontal="center"/>
    </xf>
    <xf numFmtId="0" fontId="2" fillId="0" borderId="0" xfId="2" applyNumberFormat="1" applyFont="1" applyAlignment="1">
      <alignment horizontal="left"/>
    </xf>
    <xf numFmtId="11" fontId="5" fillId="3" borderId="0" xfId="3">
      <alignment vertical="top"/>
    </xf>
    <xf numFmtId="165" fontId="0" fillId="0" borderId="0" xfId="0" applyNumberFormat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1" fontId="3" fillId="0" borderId="10" xfId="2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1" xfId="2" applyNumberFormat="1" applyBorder="1" applyAlignment="1">
      <alignment horizontal="center"/>
    </xf>
    <xf numFmtId="0" fontId="3" fillId="0" borderId="12" xfId="2" applyNumberFormat="1" applyBorder="1" applyAlignment="1">
      <alignment horizontal="center"/>
    </xf>
    <xf numFmtId="0" fontId="3" fillId="0" borderId="13" xfId="2" applyNumberFormat="1" applyBorder="1" applyAlignment="1">
      <alignment horizontal="center"/>
    </xf>
    <xf numFmtId="0" fontId="6" fillId="0" borderId="0" xfId="4" applyNumberFormat="1" applyFont="1" applyFill="1" applyBorder="1" applyAlignment="1" applyProtection="1">
      <alignment vertical="top"/>
    </xf>
    <xf numFmtId="166" fontId="4" fillId="2" borderId="5" xfId="1" applyNumberFormat="1">
      <alignment horizontal="left" vertical="center"/>
    </xf>
    <xf numFmtId="49" fontId="7" fillId="0" borderId="14" xfId="0" applyNumberFormat="1" applyFont="1" applyBorder="1" applyAlignment="1" applyProtection="1">
      <alignment vertical="center"/>
      <protection locked="0"/>
    </xf>
    <xf numFmtId="0" fontId="7" fillId="0" borderId="1" xfId="0" applyFont="1" applyBorder="1" applyProtection="1">
      <protection locked="0"/>
    </xf>
    <xf numFmtId="0" fontId="7" fillId="0" borderId="14" xfId="0" applyFont="1" applyBorder="1" applyProtection="1">
      <protection locked="0"/>
    </xf>
    <xf numFmtId="0" fontId="7" fillId="0" borderId="15" xfId="0" applyFont="1" applyBorder="1" applyProtection="1">
      <protection locked="0"/>
    </xf>
    <xf numFmtId="167" fontId="3" fillId="0" borderId="16" xfId="0" applyNumberFormat="1" applyFont="1" applyBorder="1" applyAlignment="1">
      <alignment vertical="center"/>
    </xf>
    <xf numFmtId="49" fontId="7" fillId="4" borderId="15" xfId="0" applyNumberFormat="1" applyFont="1" applyFill="1" applyBorder="1" applyAlignment="1" applyProtection="1">
      <alignment horizontal="left"/>
      <protection locked="0"/>
    </xf>
    <xf numFmtId="0" fontId="7" fillId="0" borderId="10" xfId="0" applyFont="1" applyBorder="1"/>
    <xf numFmtId="0" fontId="7" fillId="0" borderId="12" xfId="0" applyFont="1" applyBorder="1"/>
    <xf numFmtId="0" fontId="7" fillId="0" borderId="11" xfId="0" applyFont="1" applyBorder="1"/>
    <xf numFmtId="0" fontId="7" fillId="0" borderId="13" xfId="0" applyFont="1" applyBorder="1"/>
    <xf numFmtId="167" fontId="3" fillId="0" borderId="12" xfId="0" applyNumberFormat="1" applyFont="1" applyBorder="1"/>
    <xf numFmtId="49" fontId="7" fillId="5" borderId="13" xfId="0" applyNumberFormat="1" applyFont="1" applyFill="1" applyBorder="1" applyAlignment="1">
      <alignment horizontal="left"/>
    </xf>
    <xf numFmtId="0" fontId="8" fillId="0" borderId="17" xfId="0" applyFont="1" applyBorder="1"/>
    <xf numFmtId="0" fontId="7" fillId="0" borderId="3" xfId="0" applyFont="1" applyBorder="1"/>
    <xf numFmtId="0" fontId="7" fillId="0" borderId="2" xfId="0" applyFont="1" applyBorder="1"/>
    <xf numFmtId="0" fontId="7" fillId="0" borderId="4" xfId="0" applyFont="1" applyBorder="1"/>
    <xf numFmtId="167" fontId="3" fillId="0" borderId="3" xfId="0" applyNumberFormat="1" applyFont="1" applyBorder="1"/>
    <xf numFmtId="49" fontId="7" fillId="6" borderId="4" xfId="0" applyNumberFormat="1" applyFont="1" applyFill="1" applyBorder="1" applyAlignment="1">
      <alignment horizontal="left"/>
    </xf>
    <xf numFmtId="0" fontId="9" fillId="0" borderId="0" xfId="4" applyNumberFormat="1" applyFont="1" applyFill="1" applyBorder="1" applyAlignment="1" applyProtection="1">
      <alignment vertical="top"/>
    </xf>
    <xf numFmtId="0" fontId="4" fillId="2" borderId="18" xfId="1" applyNumberFormat="1" applyBorder="1">
      <alignment horizontal="left" vertical="center"/>
    </xf>
    <xf numFmtId="0" fontId="0" fillId="0" borderId="7" xfId="0" applyBorder="1"/>
    <xf numFmtId="0" fontId="0" fillId="0" borderId="10" xfId="0" applyBorder="1"/>
    <xf numFmtId="0" fontId="4" fillId="2" borderId="5" xfId="1" applyNumberFormat="1">
      <alignment horizontal="left" vertical="center"/>
    </xf>
  </cellXfs>
  <cellStyles count="5">
    <cellStyle name="Данные" xfId="2" xr:uid="{268B6B3B-1A47-4FD2-98D2-AD96F95CC380}"/>
    <cellStyle name="Заголовок" xfId="1" xr:uid="{174FBF67-B510-4070-ABA7-FBABEB5AE694}"/>
    <cellStyle name="Обычный" xfId="0" builtinId="0"/>
    <cellStyle name="Обычный_Лист1" xfId="4" xr:uid="{7D5341E6-62D0-44EA-A541-E83F6F64FCBB}"/>
    <cellStyle name="Форм" xfId="3" xr:uid="{6FBE12E4-88B7-400F-AB08-3811A31BE50F}"/>
  </cellStyles>
  <dxfs count="14">
    <dxf>
      <font>
        <color auto="1"/>
      </font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142875</xdr:rowOff>
        </xdr:from>
        <xdr:to>
          <xdr:col>0</xdr:col>
          <xdr:colOff>742950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rting%20of%20end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"/>
      <sheetName val="FLUID"/>
      <sheetName val="SOLIDDIFER"/>
      <sheetName val="EVALUATION"/>
      <sheetName val="Answ"/>
      <sheetName val="data"/>
      <sheetName val="Starting of ending"/>
    </sheetNames>
    <definedNames>
      <definedName name="Лист7.Sorting_Asso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AFA6-D462-4897-BB45-B88C5AA8B2F5}">
  <sheetPr codeName="Лист7">
    <tabColor rgb="FF7030A0"/>
  </sheetPr>
  <dimension ref="A1:V23"/>
  <sheetViews>
    <sheetView tabSelected="1" zoomScaleNormal="100" workbookViewId="0">
      <selection activeCell="B1" sqref="B1:J13"/>
    </sheetView>
  </sheetViews>
  <sheetFormatPr defaultRowHeight="21" x14ac:dyDescent="0.35"/>
  <cols>
    <col min="5" max="5" width="9.6328125" bestFit="1" customWidth="1"/>
    <col min="6" max="7" width="9.08984375" hidden="1" customWidth="1"/>
    <col min="8" max="8" width="10" hidden="1" customWidth="1"/>
    <col min="9" max="9" width="4" hidden="1" customWidth="1"/>
    <col min="10" max="10" width="12.90625" bestFit="1" customWidth="1"/>
    <col min="11" max="11" width="4.1796875" customWidth="1"/>
    <col min="12" max="12" width="7.7265625" customWidth="1"/>
    <col min="13" max="13" width="8.36328125" customWidth="1"/>
    <col min="14" max="14" width="8.81640625" bestFit="1" customWidth="1"/>
    <col min="15" max="15" width="9.7265625" bestFit="1" customWidth="1"/>
    <col min="16" max="16" width="9.1796875" bestFit="1" customWidth="1"/>
    <col min="17" max="17" width="9.26953125" bestFit="1" customWidth="1"/>
    <col min="18" max="18" width="9.08984375" bestFit="1" customWidth="1"/>
    <col min="19" max="19" width="9.6328125" bestFit="1" customWidth="1"/>
    <col min="20" max="21" width="9.08984375" bestFit="1" customWidth="1"/>
    <col min="22" max="22" width="6.08984375" customWidth="1"/>
  </cols>
  <sheetData>
    <row r="1" spans="1:22" ht="22.5" thickTop="1" thickBot="1" x14ac:dyDescent="0.4">
      <c r="A1">
        <v>0</v>
      </c>
      <c r="B1" s="47" t="s">
        <v>0</v>
      </c>
      <c r="C1" s="47" t="s">
        <v>1</v>
      </c>
      <c r="D1" s="47" t="s">
        <v>2</v>
      </c>
      <c r="E1" s="47" t="s">
        <v>3</v>
      </c>
      <c r="F1" s="47" t="s">
        <v>4</v>
      </c>
      <c r="G1" s="47" t="s">
        <v>5</v>
      </c>
      <c r="H1" s="47" t="s">
        <v>6</v>
      </c>
      <c r="I1" s="47">
        <f>COUNTA(I2:I13)</f>
        <v>0</v>
      </c>
      <c r="J1" s="47" t="str">
        <f>F1&amp;G1&amp;H1</f>
        <v>GaGeSe</v>
      </c>
      <c r="K1" s="44" t="s">
        <v>7</v>
      </c>
      <c r="L1" s="2" t="s">
        <v>8</v>
      </c>
      <c r="M1" s="2" t="s">
        <v>9</v>
      </c>
      <c r="N1" s="3" t="s">
        <v>10</v>
      </c>
      <c r="O1" s="3" t="s">
        <v>11</v>
      </c>
      <c r="P1" s="3" t="s">
        <v>12</v>
      </c>
      <c r="Q1" s="3" t="s">
        <v>13</v>
      </c>
      <c r="R1" s="3" t="s">
        <v>14</v>
      </c>
      <c r="S1" s="3" t="s">
        <v>15</v>
      </c>
      <c r="T1" s="3" t="s">
        <v>16</v>
      </c>
      <c r="U1" s="3" t="s">
        <v>17</v>
      </c>
    </row>
    <row r="2" spans="1:22" ht="21.75" thickTop="1" x14ac:dyDescent="0.35">
      <c r="A2" s="4" t="s">
        <v>18</v>
      </c>
      <c r="B2" s="5">
        <v>-198.83127899999999</v>
      </c>
      <c r="C2" s="6">
        <v>0</v>
      </c>
      <c r="D2" s="7">
        <v>1</v>
      </c>
      <c r="E2" s="8">
        <v>1</v>
      </c>
      <c r="F2" s="6">
        <v>2</v>
      </c>
      <c r="G2" s="7">
        <v>1</v>
      </c>
      <c r="H2" s="8">
        <v>4</v>
      </c>
      <c r="I2" s="7"/>
      <c r="J2" s="45" t="s">
        <v>19</v>
      </c>
      <c r="K2" t="s">
        <v>20</v>
      </c>
      <c r="L2" s="9">
        <v>298.14999999999998</v>
      </c>
      <c r="M2">
        <v>500</v>
      </c>
      <c r="N2" s="10">
        <f t="shared" ref="N2:N13" si="0">B2/$V$15/10</f>
        <v>-2.3913798664982862</v>
      </c>
      <c r="O2" s="11">
        <f t="shared" ref="O2:U13" si="1">O$16*$C2+O$17*$D2+O$18*$E2</f>
        <v>74.770930000000007</v>
      </c>
      <c r="P2" s="11">
        <f t="shared" si="1"/>
        <v>18.140259</v>
      </c>
      <c r="Q2" s="11">
        <f t="shared" si="1"/>
        <v>0</v>
      </c>
      <c r="R2" s="11">
        <f t="shared" si="1"/>
        <v>0.56850120000000004</v>
      </c>
      <c r="S2" s="11">
        <f t="shared" si="1"/>
        <v>31.096289000000002</v>
      </c>
      <c r="T2" s="11">
        <f t="shared" si="1"/>
        <v>0</v>
      </c>
      <c r="U2" s="11">
        <f t="shared" si="1"/>
        <v>0</v>
      </c>
    </row>
    <row r="3" spans="1:22" x14ac:dyDescent="0.35">
      <c r="B3" s="5">
        <v>-350.62057399999998</v>
      </c>
      <c r="C3" s="12">
        <v>1</v>
      </c>
      <c r="D3" s="1">
        <v>0</v>
      </c>
      <c r="E3" s="13">
        <v>2</v>
      </c>
      <c r="F3" s="6">
        <v>4</v>
      </c>
      <c r="G3" s="7">
        <v>1</v>
      </c>
      <c r="H3" s="8">
        <v>8</v>
      </c>
      <c r="I3" s="7"/>
      <c r="J3" s="45" t="s">
        <v>21</v>
      </c>
      <c r="K3" t="s">
        <v>20</v>
      </c>
      <c r="L3" s="9">
        <v>298.14999999999998</v>
      </c>
      <c r="M3">
        <v>500</v>
      </c>
      <c r="N3" s="10">
        <f t="shared" si="0"/>
        <v>-4.2169772565999155</v>
      </c>
      <c r="O3" s="11">
        <f t="shared" si="1"/>
        <v>173.46465690608315</v>
      </c>
      <c r="P3" s="11">
        <f t="shared" si="1"/>
        <v>43.040515244452465</v>
      </c>
      <c r="Q3" s="11">
        <f t="shared" si="1"/>
        <v>-5.8145408623489088E-4</v>
      </c>
      <c r="R3" s="11">
        <f t="shared" si="1"/>
        <v>1.2092059634692278</v>
      </c>
      <c r="S3" s="11">
        <f t="shared" si="1"/>
        <v>-209.66923014011661</v>
      </c>
      <c r="T3" s="11">
        <f t="shared" si="1"/>
        <v>1383.1599414677171</v>
      </c>
      <c r="U3" s="11">
        <f t="shared" si="1"/>
        <v>0</v>
      </c>
    </row>
    <row r="4" spans="1:22" x14ac:dyDescent="0.35">
      <c r="B4" s="5">
        <v>-150.56221400000001</v>
      </c>
      <c r="C4" s="12">
        <v>0.5</v>
      </c>
      <c r="D4" s="1">
        <v>0.5</v>
      </c>
      <c r="E4" s="13">
        <v>0.5</v>
      </c>
      <c r="F4" s="6">
        <v>1</v>
      </c>
      <c r="G4" s="7">
        <v>1</v>
      </c>
      <c r="H4" s="8">
        <v>3</v>
      </c>
      <c r="I4" s="7"/>
      <c r="J4" s="45" t="s">
        <v>22</v>
      </c>
      <c r="K4" t="s">
        <v>20</v>
      </c>
      <c r="L4" s="9">
        <v>298.14999999999998</v>
      </c>
      <c r="M4">
        <v>500</v>
      </c>
      <c r="N4" s="10">
        <f t="shared" si="0"/>
        <v>-1.8108390642852847</v>
      </c>
      <c r="O4" s="11">
        <f t="shared" si="1"/>
        <v>71.793803453041576</v>
      </c>
      <c r="P4" s="11">
        <f t="shared" si="1"/>
        <v>17.874387122226231</v>
      </c>
      <c r="Q4" s="11">
        <f t="shared" si="1"/>
        <v>-2.9072704311744544E-4</v>
      </c>
      <c r="R4" s="11">
        <f t="shared" si="1"/>
        <v>0.49084358173461395</v>
      </c>
      <c r="S4" s="11">
        <f t="shared" si="1"/>
        <v>-110.52047057005831</v>
      </c>
      <c r="T4" s="11">
        <f t="shared" si="1"/>
        <v>691.57997073385854</v>
      </c>
      <c r="U4" s="11">
        <f t="shared" si="1"/>
        <v>0</v>
      </c>
    </row>
    <row r="5" spans="1:22" x14ac:dyDescent="0.35">
      <c r="B5" s="5">
        <v>-3265.2334099999998</v>
      </c>
      <c r="C5" s="12">
        <v>15</v>
      </c>
      <c r="D5" s="1">
        <v>15</v>
      </c>
      <c r="E5" s="13">
        <v>5</v>
      </c>
      <c r="F5" s="6">
        <v>10</v>
      </c>
      <c r="G5" s="7">
        <v>30</v>
      </c>
      <c r="H5" s="8">
        <v>60</v>
      </c>
      <c r="I5" s="7"/>
      <c r="J5" s="45" t="s">
        <v>23</v>
      </c>
      <c r="K5" t="s">
        <v>20</v>
      </c>
      <c r="L5" s="9">
        <v>298.14999999999998</v>
      </c>
      <c r="M5">
        <v>500</v>
      </c>
      <c r="N5" s="10">
        <f t="shared" si="0"/>
        <v>-39.271554633471638</v>
      </c>
      <c r="O5" s="11">
        <f t="shared" si="1"/>
        <v>1630.5742035912474</v>
      </c>
      <c r="P5" s="11">
        <f t="shared" si="1"/>
        <v>409.0716136667869</v>
      </c>
      <c r="Q5" s="11">
        <f t="shared" si="1"/>
        <v>-8.7218112935233631E-3</v>
      </c>
      <c r="R5" s="11">
        <f t="shared" si="1"/>
        <v>10.745207452038418</v>
      </c>
      <c r="S5" s="11">
        <f t="shared" si="1"/>
        <v>-3527.9541171017495</v>
      </c>
      <c r="T5" s="11">
        <f t="shared" si="1"/>
        <v>20747.399122015755</v>
      </c>
      <c r="U5" s="11">
        <f t="shared" si="1"/>
        <v>0</v>
      </c>
    </row>
    <row r="6" spans="1:22" x14ac:dyDescent="0.35">
      <c r="B6" s="5">
        <v>-397.66255799999999</v>
      </c>
      <c r="C6" s="12">
        <v>0</v>
      </c>
      <c r="D6" s="1">
        <v>2</v>
      </c>
      <c r="E6" s="13">
        <v>2</v>
      </c>
      <c r="F6" s="6">
        <v>4</v>
      </c>
      <c r="G6" s="7">
        <v>2</v>
      </c>
      <c r="H6" s="8">
        <v>8</v>
      </c>
      <c r="I6" s="7"/>
      <c r="J6" s="45" t="s">
        <v>24</v>
      </c>
      <c r="K6" t="s">
        <v>20</v>
      </c>
      <c r="L6" s="9">
        <v>298.14999999999998</v>
      </c>
      <c r="M6">
        <v>500</v>
      </c>
      <c r="N6" s="10">
        <f t="shared" si="0"/>
        <v>-4.7827597329965723</v>
      </c>
      <c r="O6" s="11">
        <f t="shared" si="1"/>
        <v>149.54186000000001</v>
      </c>
      <c r="P6" s="11">
        <f t="shared" si="1"/>
        <v>36.280518000000001</v>
      </c>
      <c r="Q6" s="11">
        <f t="shared" si="1"/>
        <v>0</v>
      </c>
      <c r="R6" s="11">
        <f t="shared" si="1"/>
        <v>1.1370024000000001</v>
      </c>
      <c r="S6" s="11">
        <f t="shared" si="1"/>
        <v>62.192578000000005</v>
      </c>
      <c r="T6" s="11">
        <f t="shared" si="1"/>
        <v>0</v>
      </c>
      <c r="U6" s="11">
        <f t="shared" si="1"/>
        <v>0</v>
      </c>
    </row>
    <row r="7" spans="1:22" x14ac:dyDescent="0.35">
      <c r="B7" s="5">
        <v>-444.33683400000001</v>
      </c>
      <c r="C7" s="12">
        <v>1</v>
      </c>
      <c r="D7" s="1">
        <v>3</v>
      </c>
      <c r="E7" s="13">
        <v>1</v>
      </c>
      <c r="F7" s="6">
        <v>2</v>
      </c>
      <c r="G7" s="7">
        <v>4</v>
      </c>
      <c r="H7" s="8">
        <v>8</v>
      </c>
      <c r="I7" s="7"/>
      <c r="J7" s="45" t="s">
        <v>25</v>
      </c>
      <c r="K7" t="s">
        <v>20</v>
      </c>
      <c r="L7" s="9">
        <v>298.14999999999998</v>
      </c>
      <c r="M7">
        <v>500</v>
      </c>
      <c r="N7" s="10">
        <f t="shared" si="0"/>
        <v>-5.3441197185639542</v>
      </c>
      <c r="O7" s="11">
        <f t="shared" si="1"/>
        <v>188.48148690608318</v>
      </c>
      <c r="P7" s="11">
        <f t="shared" si="1"/>
        <v>46.597292244452468</v>
      </c>
      <c r="Q7" s="11">
        <f t="shared" si="1"/>
        <v>-5.8145408623489088E-4</v>
      </c>
      <c r="R7" s="11">
        <f t="shared" si="1"/>
        <v>1.3226695634692278</v>
      </c>
      <c r="S7" s="11">
        <f t="shared" si="1"/>
        <v>-201.31636314011661</v>
      </c>
      <c r="T7" s="11">
        <f t="shared" si="1"/>
        <v>1383.1599414677171</v>
      </c>
      <c r="U7" s="11">
        <f t="shared" si="1"/>
        <v>0</v>
      </c>
    </row>
    <row r="8" spans="1:22" x14ac:dyDescent="0.35">
      <c r="B8" s="5">
        <v>-403.92136499999998</v>
      </c>
      <c r="C8" s="12">
        <v>2</v>
      </c>
      <c r="D8" s="1">
        <v>1</v>
      </c>
      <c r="E8" s="13">
        <v>1</v>
      </c>
      <c r="F8" s="6">
        <v>2</v>
      </c>
      <c r="G8" s="7">
        <v>3</v>
      </c>
      <c r="H8" s="8">
        <v>8</v>
      </c>
      <c r="I8" s="7"/>
      <c r="J8" s="45" t="s">
        <v>26</v>
      </c>
      <c r="K8" t="s">
        <v>20</v>
      </c>
      <c r="L8" s="9">
        <v>298.14999999999998</v>
      </c>
      <c r="M8">
        <v>500</v>
      </c>
      <c r="N8" s="10">
        <f t="shared" si="0"/>
        <v>-4.8580355403211248</v>
      </c>
      <c r="O8" s="11">
        <f t="shared" si="1"/>
        <v>212.40428381216631</v>
      </c>
      <c r="P8" s="11">
        <f t="shared" si="1"/>
        <v>53.357289488904925</v>
      </c>
      <c r="Q8" s="11">
        <f t="shared" si="1"/>
        <v>-1.1629081724697818E-3</v>
      </c>
      <c r="R8" s="11">
        <f t="shared" si="1"/>
        <v>1.3948731269384558</v>
      </c>
      <c r="S8" s="11">
        <f t="shared" si="1"/>
        <v>-473.1781712802333</v>
      </c>
      <c r="T8" s="11">
        <f t="shared" si="1"/>
        <v>2766.3198829354342</v>
      </c>
      <c r="U8" s="11">
        <f t="shared" si="1"/>
        <v>0</v>
      </c>
    </row>
    <row r="9" spans="1:22" hidden="1" x14ac:dyDescent="0.35">
      <c r="B9" s="5">
        <v>-94.082378300000002</v>
      </c>
      <c r="C9" s="14" t="s">
        <v>27</v>
      </c>
      <c r="E9" s="15"/>
      <c r="F9" s="6"/>
      <c r="G9" s="7">
        <v>10</v>
      </c>
      <c r="H9" s="8">
        <v>1</v>
      </c>
      <c r="I9" s="7"/>
      <c r="J9" s="45" t="s">
        <v>28</v>
      </c>
      <c r="K9" t="s">
        <v>20</v>
      </c>
      <c r="L9" s="9">
        <v>298.14999999999998</v>
      </c>
      <c r="M9">
        <v>500</v>
      </c>
      <c r="N9" s="10">
        <f t="shared" si="0"/>
        <v>-1.1315458331829935</v>
      </c>
      <c r="O9" s="11" t="e">
        <f t="shared" si="1"/>
        <v>#VALUE!</v>
      </c>
      <c r="P9" s="11" t="e">
        <f t="shared" si="1"/>
        <v>#VALUE!</v>
      </c>
      <c r="Q9" s="11" t="e">
        <f t="shared" si="1"/>
        <v>#VALUE!</v>
      </c>
      <c r="R9" s="11" t="e">
        <f t="shared" si="1"/>
        <v>#VALUE!</v>
      </c>
      <c r="S9" s="11" t="e">
        <f t="shared" si="1"/>
        <v>#VALUE!</v>
      </c>
      <c r="T9" s="11" t="e">
        <f t="shared" si="1"/>
        <v>#VALUE!</v>
      </c>
      <c r="U9" s="11" t="e">
        <f t="shared" si="1"/>
        <v>#VALUE!</v>
      </c>
    </row>
    <row r="10" spans="1:22" hidden="1" x14ac:dyDescent="0.35">
      <c r="B10" s="5">
        <v>-151.188784</v>
      </c>
      <c r="C10" s="14" t="s">
        <v>27</v>
      </c>
      <c r="E10" s="15"/>
      <c r="F10" s="6"/>
      <c r="G10" s="7">
        <v>3</v>
      </c>
      <c r="H10" s="8">
        <v>2</v>
      </c>
      <c r="I10" s="7"/>
      <c r="J10" s="45" t="s">
        <v>29</v>
      </c>
      <c r="K10" t="s">
        <v>20</v>
      </c>
      <c r="L10" s="9">
        <v>298.14999999999998</v>
      </c>
      <c r="M10">
        <v>500</v>
      </c>
      <c r="N10" s="10">
        <f t="shared" si="0"/>
        <v>-1.8183749353538996</v>
      </c>
      <c r="O10" s="11" t="e">
        <f t="shared" si="1"/>
        <v>#VALUE!</v>
      </c>
      <c r="P10" s="11" t="e">
        <f t="shared" si="1"/>
        <v>#VALUE!</v>
      </c>
      <c r="Q10" s="11" t="e">
        <f t="shared" si="1"/>
        <v>#VALUE!</v>
      </c>
      <c r="R10" s="11" t="e">
        <f t="shared" si="1"/>
        <v>#VALUE!</v>
      </c>
      <c r="S10" s="11" t="e">
        <f t="shared" si="1"/>
        <v>#VALUE!</v>
      </c>
      <c r="T10" s="11" t="e">
        <f t="shared" si="1"/>
        <v>#VALUE!</v>
      </c>
      <c r="U10" s="11" t="e">
        <f t="shared" si="1"/>
        <v>#VALUE!</v>
      </c>
    </row>
    <row r="11" spans="1:22" x14ac:dyDescent="0.35">
      <c r="B11" s="5">
        <v>-314.37718100000001</v>
      </c>
      <c r="C11" s="12">
        <v>1</v>
      </c>
      <c r="D11" s="1">
        <v>3</v>
      </c>
      <c r="E11" s="13">
        <v>0</v>
      </c>
      <c r="F11" s="6"/>
      <c r="G11" s="7">
        <v>4</v>
      </c>
      <c r="H11" s="8">
        <v>5</v>
      </c>
      <c r="I11" s="7"/>
      <c r="J11" s="45" t="s">
        <v>30</v>
      </c>
      <c r="K11" t="s">
        <v>20</v>
      </c>
      <c r="L11" s="9">
        <v>298.14999999999998</v>
      </c>
      <c r="M11">
        <v>500</v>
      </c>
      <c r="N11" s="10">
        <f t="shared" si="0"/>
        <v>-3.7810713933489688</v>
      </c>
      <c r="O11" s="11">
        <f t="shared" si="1"/>
        <v>136.15749690608317</v>
      </c>
      <c r="P11" s="11">
        <f t="shared" si="1"/>
        <v>33.881292244452467</v>
      </c>
      <c r="Q11" s="11">
        <f t="shared" si="1"/>
        <v>-5.8145408623489088E-4</v>
      </c>
      <c r="R11" s="11">
        <f t="shared" si="1"/>
        <v>0.92465956346922784</v>
      </c>
      <c r="S11" s="11">
        <f t="shared" si="1"/>
        <v>-222.55036314011662</v>
      </c>
      <c r="T11" s="11">
        <f t="shared" si="1"/>
        <v>1383.1599414677171</v>
      </c>
      <c r="U11" s="11">
        <f t="shared" si="1"/>
        <v>0</v>
      </c>
    </row>
    <row r="12" spans="1:22" hidden="1" x14ac:dyDescent="0.35">
      <c r="B12" s="5">
        <v>-196.23674800000001</v>
      </c>
      <c r="C12" s="14" t="s">
        <v>27</v>
      </c>
      <c r="E12" s="15"/>
      <c r="F12" s="6"/>
      <c r="G12" s="7">
        <v>1</v>
      </c>
      <c r="H12" s="8">
        <v>20</v>
      </c>
      <c r="I12" s="7"/>
      <c r="J12" s="45" t="s">
        <v>31</v>
      </c>
      <c r="K12" t="s">
        <v>20</v>
      </c>
      <c r="L12" s="9">
        <v>298.14999999999998</v>
      </c>
      <c r="M12">
        <v>500</v>
      </c>
      <c r="N12" s="10">
        <f t="shared" si="0"/>
        <v>-2.3601749714354439</v>
      </c>
      <c r="O12" s="11" t="e">
        <f t="shared" si="1"/>
        <v>#VALUE!</v>
      </c>
      <c r="P12" s="11" t="e">
        <f t="shared" si="1"/>
        <v>#VALUE!</v>
      </c>
      <c r="Q12" s="11" t="e">
        <f t="shared" si="1"/>
        <v>#VALUE!</v>
      </c>
      <c r="R12" s="11" t="e">
        <f t="shared" si="1"/>
        <v>#VALUE!</v>
      </c>
      <c r="S12" s="11" t="e">
        <f t="shared" si="1"/>
        <v>#VALUE!</v>
      </c>
      <c r="T12" s="11" t="e">
        <f t="shared" si="1"/>
        <v>#VALUE!</v>
      </c>
      <c r="U12" s="11" t="e">
        <f t="shared" si="1"/>
        <v>#VALUE!</v>
      </c>
    </row>
    <row r="13" spans="1:22" ht="21.75" thickBot="1" x14ac:dyDescent="0.4">
      <c r="B13" s="16">
        <v>-245.59851699999999</v>
      </c>
      <c r="C13" s="17">
        <v>1</v>
      </c>
      <c r="D13" s="18">
        <v>2</v>
      </c>
      <c r="E13" s="19">
        <v>0</v>
      </c>
      <c r="F13" s="20"/>
      <c r="G13" s="21">
        <v>3</v>
      </c>
      <c r="H13" s="22">
        <v>4</v>
      </c>
      <c r="I13" s="7"/>
      <c r="J13" s="46" t="s">
        <v>32</v>
      </c>
      <c r="K13" t="s">
        <v>20</v>
      </c>
      <c r="L13" s="9">
        <v>298.14999999999998</v>
      </c>
      <c r="M13">
        <v>500</v>
      </c>
      <c r="N13" s="10">
        <f t="shared" si="0"/>
        <v>-2.9538579229057667</v>
      </c>
      <c r="O13" s="11">
        <f t="shared" si="1"/>
        <v>113.71055690608316</v>
      </c>
      <c r="P13" s="11">
        <f t="shared" si="1"/>
        <v>28.457033244452461</v>
      </c>
      <c r="Q13" s="11">
        <f t="shared" si="1"/>
        <v>-5.8145408623489088E-4</v>
      </c>
      <c r="R13" s="11">
        <f t="shared" si="1"/>
        <v>0.75416836346922789</v>
      </c>
      <c r="S13" s="11">
        <f t="shared" si="1"/>
        <v>-232.41265214011662</v>
      </c>
      <c r="T13" s="11">
        <f t="shared" si="1"/>
        <v>1383.1599414677171</v>
      </c>
      <c r="U13" s="11">
        <f t="shared" si="1"/>
        <v>0</v>
      </c>
    </row>
    <row r="14" spans="1:22" ht="21.75" thickBot="1" x14ac:dyDescent="0.4">
      <c r="A14" s="23"/>
    </row>
    <row r="15" spans="1:22" ht="22.5" thickTop="1" thickBot="1" x14ac:dyDescent="0.4">
      <c r="J15" s="2" t="s">
        <v>33</v>
      </c>
      <c r="K15" s="2" t="s">
        <v>7</v>
      </c>
      <c r="L15" s="2" t="s">
        <v>8</v>
      </c>
      <c r="M15" s="2" t="s">
        <v>9</v>
      </c>
      <c r="N15" s="3" t="s">
        <v>10</v>
      </c>
      <c r="O15" s="3" t="s">
        <v>11</v>
      </c>
      <c r="P15" s="3" t="s">
        <v>12</v>
      </c>
      <c r="Q15" s="3" t="s">
        <v>13</v>
      </c>
      <c r="R15" s="3" t="s">
        <v>14</v>
      </c>
      <c r="S15" s="3" t="s">
        <v>15</v>
      </c>
      <c r="T15" s="3" t="s">
        <v>16</v>
      </c>
      <c r="U15" s="3" t="s">
        <v>17</v>
      </c>
      <c r="V15" s="24">
        <v>8.3145000000000007</v>
      </c>
    </row>
    <row r="16" spans="1:22" ht="24" thickTop="1" x14ac:dyDescent="0.35">
      <c r="J16" s="25" t="s">
        <v>1</v>
      </c>
      <c r="K16" s="26" t="s">
        <v>20</v>
      </c>
      <c r="L16" s="27">
        <v>298.14999999999998</v>
      </c>
      <c r="M16" s="28">
        <v>350</v>
      </c>
      <c r="N16" s="29">
        <v>-1.3586866317878405</v>
      </c>
      <c r="O16" s="29">
        <v>68.816676906083146</v>
      </c>
      <c r="P16" s="29">
        <v>17.608515244452462</v>
      </c>
      <c r="Q16" s="29">
        <v>-5.8145408623489088E-4</v>
      </c>
      <c r="R16" s="29">
        <v>0.41318596346922787</v>
      </c>
      <c r="S16" s="29">
        <v>-252.13723014011663</v>
      </c>
      <c r="T16" s="29">
        <v>1383.1599414677171</v>
      </c>
      <c r="U16" s="29">
        <v>0</v>
      </c>
      <c r="V16" s="30" t="s">
        <v>34</v>
      </c>
    </row>
    <row r="17" spans="1:22" ht="24" thickBot="1" x14ac:dyDescent="0.4">
      <c r="J17" s="31" t="s">
        <v>2</v>
      </c>
      <c r="K17" s="32" t="s">
        <v>20</v>
      </c>
      <c r="L17" s="33">
        <v>298.14999999999998</v>
      </c>
      <c r="M17" s="34">
        <v>947.99990000000003</v>
      </c>
      <c r="N17" s="35">
        <v>-0.82987549999999999</v>
      </c>
      <c r="O17" s="35">
        <v>22.446940000000001</v>
      </c>
      <c r="P17" s="35">
        <v>5.4242590000000002</v>
      </c>
      <c r="Q17" s="35">
        <v>0</v>
      </c>
      <c r="R17" s="35">
        <v>0.17049120000000001</v>
      </c>
      <c r="S17" s="35">
        <v>9.8622890000000005</v>
      </c>
      <c r="T17" s="35">
        <v>0</v>
      </c>
      <c r="U17" s="35">
        <v>0</v>
      </c>
      <c r="V17" s="36">
        <v>1</v>
      </c>
    </row>
    <row r="18" spans="1:22" ht="24" thickBot="1" x14ac:dyDescent="0.4">
      <c r="J18" s="37" t="s">
        <v>3</v>
      </c>
      <c r="K18" s="38" t="s">
        <v>20</v>
      </c>
      <c r="L18" s="39">
        <v>150</v>
      </c>
      <c r="M18" s="40">
        <v>1278</v>
      </c>
      <c r="N18" s="41">
        <v>-4.9166999999999996</v>
      </c>
      <c r="O18" s="41">
        <v>52.323990000000002</v>
      </c>
      <c r="P18" s="41">
        <v>12.715999999999999</v>
      </c>
      <c r="Q18" s="41">
        <v>0</v>
      </c>
      <c r="R18" s="41">
        <v>0.39800999999999997</v>
      </c>
      <c r="S18" s="41">
        <v>21.234000000000002</v>
      </c>
      <c r="T18" s="41">
        <v>0</v>
      </c>
      <c r="U18" s="41">
        <v>0</v>
      </c>
      <c r="V18" s="42">
        <v>2</v>
      </c>
    </row>
    <row r="20" spans="1:22" x14ac:dyDescent="0.35">
      <c r="A20" s="23"/>
    </row>
    <row r="21" spans="1:22" x14ac:dyDescent="0.35">
      <c r="A21" s="43"/>
    </row>
    <row r="22" spans="1:22" x14ac:dyDescent="0.35">
      <c r="A22" s="23"/>
    </row>
    <row r="23" spans="1:22" x14ac:dyDescent="0.35">
      <c r="A23" s="43"/>
    </row>
  </sheetData>
  <conditionalFormatting sqref="C2:E2">
    <cfRule type="expression" dxfId="13" priority="14">
      <formula>NOT(ISNUMBER(C2))</formula>
    </cfRule>
  </conditionalFormatting>
  <conditionalFormatting sqref="V16">
    <cfRule type="cellIs" dxfId="12" priority="11" operator="equal">
      <formula>2</formula>
    </cfRule>
    <cfRule type="cellIs" dxfId="11" priority="12" operator="equal">
      <formula>4</formula>
    </cfRule>
    <cfRule type="cellIs" dxfId="10" priority="13" operator="equal">
      <formula>1</formula>
    </cfRule>
  </conditionalFormatting>
  <conditionalFormatting sqref="V15">
    <cfRule type="cellIs" dxfId="9" priority="8" operator="equal">
      <formula>2</formula>
    </cfRule>
    <cfRule type="cellIs" dxfId="8" priority="9" operator="equal">
      <formula>4</formula>
    </cfRule>
    <cfRule type="cellIs" dxfId="7" priority="10" operator="equal">
      <formula>1</formula>
    </cfRule>
  </conditionalFormatting>
  <conditionalFormatting sqref="V18">
    <cfRule type="cellIs" dxfId="6" priority="5" operator="equal">
      <formula>2</formula>
    </cfRule>
    <cfRule type="cellIs" dxfId="5" priority="6" operator="equal">
      <formula>4</formula>
    </cfRule>
    <cfRule type="cellIs" dxfId="4" priority="7" operator="equal">
      <formula>1</formula>
    </cfRule>
  </conditionalFormatting>
  <conditionalFormatting sqref="V17">
    <cfRule type="cellIs" dxfId="3" priority="2" operator="equal">
      <formula>2</formula>
    </cfRule>
    <cfRule type="cellIs" dxfId="2" priority="3" operator="equal">
      <formula>4</formula>
    </cfRule>
    <cfRule type="cellIs" dxfId="1" priority="4" operator="equal">
      <formula>1</formula>
    </cfRule>
  </conditionalFormatting>
  <conditionalFormatting sqref="I2:U13">
    <cfRule type="expression" dxfId="0" priority="1">
      <formula>ROW(I1)=$I$1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Лист7.Sorting_Assoc">
                <anchor moveWithCells="1" sizeWithCells="1">
                  <from>
                    <xdr:col>0</xdr:col>
                    <xdr:colOff>152400</xdr:colOff>
                    <xdr:row>2</xdr:row>
                    <xdr:rowOff>142875</xdr:rowOff>
                  </from>
                  <to>
                    <xdr:col>0</xdr:col>
                    <xdr:colOff>742950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Associate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2021-01-04T09:53:20Z</dcterms:created>
  <dcterms:modified xsi:type="dcterms:W3CDTF">2021-02-13T14:25:21Z</dcterms:modified>
</cp:coreProperties>
</file>