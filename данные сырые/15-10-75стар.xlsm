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Ge15Ga10Se75=B\"/>
    </mc:Choice>
  </mc:AlternateContent>
  <xr:revisionPtr revIDLastSave="0" documentId="13_ncr:1_{D33870E7-661B-4719-A2AF-4DB89103D015}" xr6:coauthVersionLast="46" xr6:coauthVersionMax="46" xr10:uidLastSave="{00000000-0000-0000-0000-000000000000}"/>
  <bookViews>
    <workbookView xWindow="-120" yWindow="-120" windowWidth="29040" windowHeight="15990" activeTab="4" xr2:uid="{00000000-000D-0000-FFFF-FFFF00000000}"/>
  </bookViews>
  <sheets>
    <sheet name="ALL" sheetId="1" r:id="rId1"/>
    <sheet name="FLUID" sheetId="2" r:id="rId2"/>
    <sheet name="SOLIDDIFER" sheetId="5" r:id="rId3"/>
    <sheet name="EVALUATION" sheetId="6" r:id="rId4"/>
    <sheet name="Answ" sheetId="10" r:id="rId5"/>
    <sheet name="data" sheetId="4" r:id="rId6"/>
  </sheets>
  <functionGroups builtInGroupCount="19"/>
  <definedNames>
    <definedName name="H.Ar" localSheetId="0">ALL!$F$18:$X$18</definedName>
    <definedName name="H.Ar" localSheetId="1">FLUID!$F$18:$R$18</definedName>
    <definedName name="H.Ar" localSheetId="2">SOLIDDIFER!$F$17:$AA$17</definedName>
    <definedName name="H.Ga" localSheetId="0">ALL!$F$19:$X$19</definedName>
    <definedName name="H.Ga" localSheetId="1">FLUID!$F$19:$R$19</definedName>
    <definedName name="H.Ga" localSheetId="2">SOLIDDIFER!$F$18:$AA$18</definedName>
    <definedName name="H.Ge" localSheetId="0">ALL!$F$20:$X$20</definedName>
    <definedName name="H.Ge" localSheetId="1">FLUID!$F$20:$R$20</definedName>
    <definedName name="H.Ge" localSheetId="2">SOLIDDIFER!$F$19:$AA$19</definedName>
    <definedName name="H.Se" localSheetId="0">ALL!$F$21:$X$21</definedName>
    <definedName name="H.Se" localSheetId="1">FLUID!$F$21:$R$21</definedName>
    <definedName name="H.Se" localSheetId="2">SOLIDDIFER!$F$20:$AA$20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0" l="1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S96" i="6"/>
  <c r="T96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A23" i="1" l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B22" i="1"/>
  <c r="C22" i="1"/>
  <c r="D22" i="1"/>
  <c r="A38" i="2"/>
  <c r="B38" i="2"/>
  <c r="C38" i="2"/>
  <c r="D38" i="2"/>
  <c r="A38" i="5"/>
  <c r="A38" i="1"/>
  <c r="E36" i="2"/>
  <c r="E114" i="5"/>
  <c r="E80" i="5"/>
  <c r="E46" i="5"/>
  <c r="E36" i="5"/>
  <c r="F2" i="5"/>
  <c r="E113" i="2"/>
  <c r="E79" i="2"/>
  <c r="E45" i="2"/>
  <c r="E2" i="2"/>
  <c r="E38" i="2" l="1"/>
  <c r="F35" i="2"/>
  <c r="F35" i="5" l="1"/>
  <c r="F34" i="5"/>
  <c r="E35" i="5"/>
  <c r="E34" i="5"/>
  <c r="F35" i="1"/>
  <c r="F34" i="1"/>
  <c r="F34" i="2"/>
  <c r="F120" i="2"/>
  <c r="F121" i="2" s="1"/>
  <c r="E35" i="2"/>
  <c r="E34" i="2"/>
  <c r="F123" i="1"/>
  <c r="F122" i="1"/>
  <c r="E35" i="1"/>
  <c r="E34" i="1"/>
  <c r="A22" i="1" l="1"/>
  <c r="A66" i="1" s="1"/>
  <c r="B66" i="1"/>
  <c r="C66" i="1"/>
  <c r="D66" i="1"/>
  <c r="A67" i="1"/>
  <c r="B67" i="1"/>
  <c r="C67" i="1"/>
  <c r="D67" i="1"/>
  <c r="A68" i="1"/>
  <c r="B68" i="1"/>
  <c r="C68" i="1"/>
  <c r="D68" i="1"/>
  <c r="B21" i="1"/>
  <c r="B65" i="1" s="1"/>
  <c r="C21" i="1"/>
  <c r="C65" i="1" s="1"/>
  <c r="D21" i="1"/>
  <c r="D65" i="1" s="1"/>
  <c r="L67" i="1" l="1"/>
  <c r="H86" i="6" s="1"/>
  <c r="T67" i="1"/>
  <c r="P86" i="6" s="1"/>
  <c r="R67" i="1"/>
  <c r="N86" i="6" s="1"/>
  <c r="M67" i="1"/>
  <c r="I86" i="6" s="1"/>
  <c r="U67" i="1"/>
  <c r="Q86" i="6" s="1"/>
  <c r="J67" i="1"/>
  <c r="F86" i="6" s="1"/>
  <c r="F67" i="1"/>
  <c r="B86" i="6" s="1"/>
  <c r="N67" i="1"/>
  <c r="J86" i="6" s="1"/>
  <c r="V67" i="1"/>
  <c r="R86" i="6" s="1"/>
  <c r="G67" i="1"/>
  <c r="C86" i="6" s="1"/>
  <c r="O67" i="1"/>
  <c r="K86" i="6" s="1"/>
  <c r="W67" i="1"/>
  <c r="S86" i="6" s="1"/>
  <c r="H67" i="1"/>
  <c r="D86" i="6" s="1"/>
  <c r="P67" i="1"/>
  <c r="L86" i="6" s="1"/>
  <c r="X67" i="1"/>
  <c r="T86" i="6" s="1"/>
  <c r="I67" i="1"/>
  <c r="E86" i="6" s="1"/>
  <c r="Q67" i="1"/>
  <c r="M86" i="6" s="1"/>
  <c r="K67" i="1"/>
  <c r="G86" i="6" s="1"/>
  <c r="S67" i="1"/>
  <c r="O86" i="6" s="1"/>
  <c r="F68" i="1"/>
  <c r="B87" i="6" s="1"/>
  <c r="N68" i="1"/>
  <c r="J87" i="6" s="1"/>
  <c r="V68" i="1"/>
  <c r="R87" i="6" s="1"/>
  <c r="T68" i="1"/>
  <c r="P87" i="6" s="1"/>
  <c r="G68" i="1"/>
  <c r="C87" i="6" s="1"/>
  <c r="O68" i="1"/>
  <c r="K87" i="6" s="1"/>
  <c r="W68" i="1"/>
  <c r="S87" i="6" s="1"/>
  <c r="H68" i="1"/>
  <c r="D87" i="6" s="1"/>
  <c r="P68" i="1"/>
  <c r="L87" i="6" s="1"/>
  <c r="X68" i="1"/>
  <c r="T87" i="6" s="1"/>
  <c r="I68" i="1"/>
  <c r="E87" i="6" s="1"/>
  <c r="Q68" i="1"/>
  <c r="M87" i="6" s="1"/>
  <c r="J68" i="1"/>
  <c r="F87" i="6" s="1"/>
  <c r="R68" i="1"/>
  <c r="N87" i="6" s="1"/>
  <c r="K68" i="1"/>
  <c r="G87" i="6" s="1"/>
  <c r="S68" i="1"/>
  <c r="O87" i="6" s="1"/>
  <c r="L68" i="1"/>
  <c r="H87" i="6" s="1"/>
  <c r="M68" i="1"/>
  <c r="I87" i="6" s="1"/>
  <c r="U68" i="1"/>
  <c r="Q87" i="6" s="1"/>
  <c r="L66" i="1"/>
  <c r="H85" i="6" s="1"/>
  <c r="T66" i="1"/>
  <c r="P85" i="6" s="1"/>
  <c r="M66" i="1"/>
  <c r="I85" i="6" s="1"/>
  <c r="U66" i="1"/>
  <c r="Q85" i="6" s="1"/>
  <c r="F66" i="1"/>
  <c r="B85" i="6" s="1"/>
  <c r="N66" i="1"/>
  <c r="J85" i="6" s="1"/>
  <c r="V66" i="1"/>
  <c r="R85" i="6" s="1"/>
  <c r="K66" i="1"/>
  <c r="G85" i="6" s="1"/>
  <c r="G66" i="1"/>
  <c r="C85" i="6" s="1"/>
  <c r="O66" i="1"/>
  <c r="K85" i="6" s="1"/>
  <c r="W66" i="1"/>
  <c r="S85" i="6" s="1"/>
  <c r="H66" i="1"/>
  <c r="D85" i="6" s="1"/>
  <c r="P66" i="1"/>
  <c r="L85" i="6" s="1"/>
  <c r="X66" i="1"/>
  <c r="T85" i="6" s="1"/>
  <c r="S66" i="1"/>
  <c r="O85" i="6" s="1"/>
  <c r="I66" i="1"/>
  <c r="E85" i="6" s="1"/>
  <c r="Q66" i="1"/>
  <c r="M85" i="6" s="1"/>
  <c r="J66" i="1"/>
  <c r="F85" i="6" s="1"/>
  <c r="R66" i="1"/>
  <c r="N85" i="6" s="1"/>
  <c r="I1" i="5"/>
  <c r="I1" i="2"/>
  <c r="F128" i="5" l="1"/>
  <c r="F129" i="5" s="1"/>
  <c r="E128" i="5"/>
  <c r="E129" i="5" s="1"/>
  <c r="D128" i="5"/>
  <c r="D129" i="5" s="1"/>
  <c r="C128" i="5"/>
  <c r="C129" i="5" s="1"/>
  <c r="AA115" i="5"/>
  <c r="Z115" i="5"/>
  <c r="Y115" i="5"/>
  <c r="X115" i="5"/>
  <c r="W115" i="5"/>
  <c r="V115" i="5"/>
  <c r="U115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H115" i="5"/>
  <c r="G115" i="5"/>
  <c r="F115" i="5"/>
  <c r="AA81" i="5"/>
  <c r="Z81" i="5"/>
  <c r="Y81" i="5"/>
  <c r="X81" i="5"/>
  <c r="W81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AA47" i="5"/>
  <c r="W34" i="6" s="1"/>
  <c r="Z47" i="5"/>
  <c r="V34" i="6" s="1"/>
  <c r="Y47" i="5"/>
  <c r="U34" i="6" s="1"/>
  <c r="X47" i="5"/>
  <c r="T34" i="6" s="1"/>
  <c r="W47" i="5"/>
  <c r="S34" i="6" s="1"/>
  <c r="V47" i="5"/>
  <c r="R34" i="6" s="1"/>
  <c r="U47" i="5"/>
  <c r="Q34" i="6" s="1"/>
  <c r="T47" i="5"/>
  <c r="P34" i="6" s="1"/>
  <c r="S47" i="5"/>
  <c r="O34" i="6" s="1"/>
  <c r="R47" i="5"/>
  <c r="N34" i="6" s="1"/>
  <c r="Q47" i="5"/>
  <c r="M34" i="6" s="1"/>
  <c r="P47" i="5"/>
  <c r="L34" i="6" s="1"/>
  <c r="O47" i="5"/>
  <c r="K34" i="6" s="1"/>
  <c r="N47" i="5"/>
  <c r="J34" i="6" s="1"/>
  <c r="M47" i="5"/>
  <c r="I34" i="6" s="1"/>
  <c r="L47" i="5"/>
  <c r="H34" i="6" s="1"/>
  <c r="K47" i="5"/>
  <c r="G34" i="6" s="1"/>
  <c r="J47" i="5"/>
  <c r="F34" i="6" s="1"/>
  <c r="I47" i="5"/>
  <c r="E34" i="6" s="1"/>
  <c r="H47" i="5"/>
  <c r="D34" i="6" s="1"/>
  <c r="G47" i="5"/>
  <c r="C34" i="6" s="1"/>
  <c r="F47" i="5"/>
  <c r="B34" i="6" s="1"/>
  <c r="E47" i="5"/>
  <c r="E81" i="5" s="1"/>
  <c r="D38" i="5"/>
  <c r="C38" i="5"/>
  <c r="B38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D33" i="5"/>
  <c r="D77" i="5" s="1"/>
  <c r="D111" i="5" s="1"/>
  <c r="C33" i="5"/>
  <c r="C77" i="5" s="1"/>
  <c r="C111" i="5" s="1"/>
  <c r="B33" i="5"/>
  <c r="B77" i="5" s="1"/>
  <c r="B111" i="5" s="1"/>
  <c r="A33" i="5"/>
  <c r="A77" i="5" s="1"/>
  <c r="A111" i="5" s="1"/>
  <c r="D32" i="5"/>
  <c r="D76" i="5" s="1"/>
  <c r="D110" i="5" s="1"/>
  <c r="C32" i="5"/>
  <c r="C76" i="5" s="1"/>
  <c r="C110" i="5" s="1"/>
  <c r="B32" i="5"/>
  <c r="B76" i="5" s="1"/>
  <c r="B110" i="5" s="1"/>
  <c r="A32" i="5"/>
  <c r="A76" i="5" s="1"/>
  <c r="D31" i="5"/>
  <c r="D75" i="5" s="1"/>
  <c r="D109" i="5" s="1"/>
  <c r="C31" i="5"/>
  <c r="C75" i="5" s="1"/>
  <c r="C109" i="5" s="1"/>
  <c r="B31" i="5"/>
  <c r="B75" i="5" s="1"/>
  <c r="B109" i="5" s="1"/>
  <c r="A31" i="5"/>
  <c r="A75" i="5" s="1"/>
  <c r="D30" i="5"/>
  <c r="D74" i="5" s="1"/>
  <c r="D108" i="5" s="1"/>
  <c r="C30" i="5"/>
  <c r="C74" i="5" s="1"/>
  <c r="C108" i="5" s="1"/>
  <c r="B30" i="5"/>
  <c r="B74" i="5" s="1"/>
  <c r="B108" i="5" s="1"/>
  <c r="A30" i="5"/>
  <c r="A74" i="5" s="1"/>
  <c r="D29" i="5"/>
  <c r="D73" i="5" s="1"/>
  <c r="D107" i="5" s="1"/>
  <c r="C29" i="5"/>
  <c r="C73" i="5" s="1"/>
  <c r="C107" i="5" s="1"/>
  <c r="B29" i="5"/>
  <c r="B73" i="5" s="1"/>
  <c r="B107" i="5" s="1"/>
  <c r="A29" i="5"/>
  <c r="A73" i="5" s="1"/>
  <c r="D28" i="5"/>
  <c r="D72" i="5" s="1"/>
  <c r="C28" i="5"/>
  <c r="C72" i="5" s="1"/>
  <c r="C106" i="5" s="1"/>
  <c r="B28" i="5"/>
  <c r="B72" i="5" s="1"/>
  <c r="B106" i="5" s="1"/>
  <c r="A28" i="5"/>
  <c r="A72" i="5" s="1"/>
  <c r="D27" i="5"/>
  <c r="D71" i="5" s="1"/>
  <c r="D105" i="5" s="1"/>
  <c r="C27" i="5"/>
  <c r="C71" i="5" s="1"/>
  <c r="C105" i="5" s="1"/>
  <c r="B27" i="5"/>
  <c r="B71" i="5" s="1"/>
  <c r="A27" i="5"/>
  <c r="A71" i="5" s="1"/>
  <c r="D26" i="5"/>
  <c r="D70" i="5" s="1"/>
  <c r="D104" i="5" s="1"/>
  <c r="C26" i="5"/>
  <c r="C70" i="5" s="1"/>
  <c r="C104" i="5" s="1"/>
  <c r="B26" i="5"/>
  <c r="B70" i="5" s="1"/>
  <c r="B104" i="5" s="1"/>
  <c r="A26" i="5"/>
  <c r="A70" i="5" s="1"/>
  <c r="D25" i="5"/>
  <c r="D69" i="5" s="1"/>
  <c r="D103" i="5" s="1"/>
  <c r="C25" i="5"/>
  <c r="C69" i="5" s="1"/>
  <c r="C103" i="5" s="1"/>
  <c r="B25" i="5"/>
  <c r="B69" i="5" s="1"/>
  <c r="A25" i="5"/>
  <c r="A69" i="5" s="1"/>
  <c r="D24" i="5"/>
  <c r="D68" i="5" s="1"/>
  <c r="D102" i="5" s="1"/>
  <c r="C24" i="5"/>
  <c r="C68" i="5" s="1"/>
  <c r="C102" i="5" s="1"/>
  <c r="B24" i="5"/>
  <c r="B68" i="5" s="1"/>
  <c r="A24" i="5"/>
  <c r="A68" i="5" s="1"/>
  <c r="D23" i="5"/>
  <c r="D67" i="5" s="1"/>
  <c r="D101" i="5" s="1"/>
  <c r="C23" i="5"/>
  <c r="C67" i="5" s="1"/>
  <c r="C101" i="5" s="1"/>
  <c r="B23" i="5"/>
  <c r="B67" i="5" s="1"/>
  <c r="A23" i="5"/>
  <c r="A67" i="5" s="1"/>
  <c r="D22" i="5"/>
  <c r="D66" i="5" s="1"/>
  <c r="C22" i="5"/>
  <c r="C66" i="5" s="1"/>
  <c r="C100" i="5" s="1"/>
  <c r="B22" i="5"/>
  <c r="B66" i="5" s="1"/>
  <c r="B100" i="5" s="1"/>
  <c r="A22" i="5"/>
  <c r="A66" i="5" s="1"/>
  <c r="D21" i="5"/>
  <c r="D65" i="5" s="1"/>
  <c r="D99" i="5" s="1"/>
  <c r="C21" i="5"/>
  <c r="C65" i="5" s="1"/>
  <c r="C99" i="5" s="1"/>
  <c r="B21" i="5"/>
  <c r="B65" i="5" s="1"/>
  <c r="B99" i="5" s="1"/>
  <c r="A21" i="5"/>
  <c r="A65" i="5" s="1"/>
  <c r="D20" i="5"/>
  <c r="D64" i="5" s="1"/>
  <c r="C20" i="5"/>
  <c r="C64" i="5" s="1"/>
  <c r="C98" i="5" s="1"/>
  <c r="B20" i="5"/>
  <c r="B64" i="5" s="1"/>
  <c r="B98" i="5" s="1"/>
  <c r="A20" i="5"/>
  <c r="A64" i="5" s="1"/>
  <c r="D19" i="5"/>
  <c r="D63" i="5" s="1"/>
  <c r="D97" i="5" s="1"/>
  <c r="C19" i="5"/>
  <c r="C63" i="5" s="1"/>
  <c r="C97" i="5" s="1"/>
  <c r="B19" i="5"/>
  <c r="B63" i="5" s="1"/>
  <c r="B97" i="5" s="1"/>
  <c r="A19" i="5"/>
  <c r="A63" i="5" s="1"/>
  <c r="D18" i="5"/>
  <c r="D62" i="5" s="1"/>
  <c r="D96" i="5" s="1"/>
  <c r="C18" i="5"/>
  <c r="C62" i="5" s="1"/>
  <c r="C96" i="5" s="1"/>
  <c r="B18" i="5"/>
  <c r="B62" i="5" s="1"/>
  <c r="B96" i="5" s="1"/>
  <c r="A18" i="5"/>
  <c r="A62" i="5" s="1"/>
  <c r="D17" i="5"/>
  <c r="D61" i="5" s="1"/>
  <c r="D95" i="5" s="1"/>
  <c r="C17" i="5"/>
  <c r="C61" i="5" s="1"/>
  <c r="C95" i="5" s="1"/>
  <c r="B17" i="5"/>
  <c r="B61" i="5" s="1"/>
  <c r="B95" i="5" s="1"/>
  <c r="A17" i="5"/>
  <c r="A61" i="5" s="1"/>
  <c r="D16" i="5"/>
  <c r="D60" i="5" s="1"/>
  <c r="D94" i="5" s="1"/>
  <c r="C16" i="5"/>
  <c r="C60" i="5" s="1"/>
  <c r="C94" i="5" s="1"/>
  <c r="B16" i="5"/>
  <c r="B60" i="5" s="1"/>
  <c r="A16" i="5"/>
  <c r="A60" i="5" s="1"/>
  <c r="D15" i="5"/>
  <c r="D59" i="5" s="1"/>
  <c r="D93" i="5" s="1"/>
  <c r="C15" i="5"/>
  <c r="C59" i="5" s="1"/>
  <c r="C93" i="5" s="1"/>
  <c r="B15" i="5"/>
  <c r="B59" i="5" s="1"/>
  <c r="B93" i="5" s="1"/>
  <c r="A15" i="5"/>
  <c r="A59" i="5" s="1"/>
  <c r="D14" i="5"/>
  <c r="D58" i="5" s="1"/>
  <c r="D92" i="5" s="1"/>
  <c r="C14" i="5"/>
  <c r="C58" i="5" s="1"/>
  <c r="C92" i="5" s="1"/>
  <c r="B14" i="5"/>
  <c r="B58" i="5" s="1"/>
  <c r="B92" i="5" s="1"/>
  <c r="A14" i="5"/>
  <c r="A58" i="5" s="1"/>
  <c r="D13" i="5"/>
  <c r="D57" i="5" s="1"/>
  <c r="D91" i="5" s="1"/>
  <c r="C13" i="5"/>
  <c r="C57" i="5" s="1"/>
  <c r="C91" i="5" s="1"/>
  <c r="B13" i="5"/>
  <c r="B57" i="5" s="1"/>
  <c r="B91" i="5" s="1"/>
  <c r="A13" i="5"/>
  <c r="A57" i="5" s="1"/>
  <c r="D12" i="5"/>
  <c r="D56" i="5" s="1"/>
  <c r="D90" i="5" s="1"/>
  <c r="C12" i="5"/>
  <c r="C56" i="5" s="1"/>
  <c r="C90" i="5" s="1"/>
  <c r="B12" i="5"/>
  <c r="B56" i="5" s="1"/>
  <c r="B90" i="5" s="1"/>
  <c r="A12" i="5"/>
  <c r="A56" i="5" s="1"/>
  <c r="D11" i="5"/>
  <c r="D55" i="5" s="1"/>
  <c r="D89" i="5" s="1"/>
  <c r="C11" i="5"/>
  <c r="C55" i="5" s="1"/>
  <c r="C89" i="5" s="1"/>
  <c r="B11" i="5"/>
  <c r="B55" i="5" s="1"/>
  <c r="B89" i="5" s="1"/>
  <c r="A11" i="5"/>
  <c r="A55" i="5" s="1"/>
  <c r="D10" i="5"/>
  <c r="D54" i="5" s="1"/>
  <c r="D88" i="5" s="1"/>
  <c r="C10" i="5"/>
  <c r="C54" i="5" s="1"/>
  <c r="C88" i="5" s="1"/>
  <c r="B10" i="5"/>
  <c r="B54" i="5" s="1"/>
  <c r="B88" i="5" s="1"/>
  <c r="A10" i="5"/>
  <c r="A54" i="5" s="1"/>
  <c r="D9" i="5"/>
  <c r="D53" i="5" s="1"/>
  <c r="D87" i="5" s="1"/>
  <c r="C9" i="5"/>
  <c r="C53" i="5" s="1"/>
  <c r="C87" i="5" s="1"/>
  <c r="B9" i="5"/>
  <c r="B53" i="5" s="1"/>
  <c r="B87" i="5" s="1"/>
  <c r="A9" i="5"/>
  <c r="A53" i="5" s="1"/>
  <c r="D8" i="5"/>
  <c r="D52" i="5" s="1"/>
  <c r="D86" i="5" s="1"/>
  <c r="C8" i="5"/>
  <c r="C52" i="5" s="1"/>
  <c r="C86" i="5" s="1"/>
  <c r="B8" i="5"/>
  <c r="B52" i="5" s="1"/>
  <c r="B86" i="5" s="1"/>
  <c r="A8" i="5"/>
  <c r="A52" i="5" s="1"/>
  <c r="D7" i="5"/>
  <c r="D51" i="5" s="1"/>
  <c r="D85" i="5" s="1"/>
  <c r="C7" i="5"/>
  <c r="C51" i="5" s="1"/>
  <c r="C85" i="5" s="1"/>
  <c r="B7" i="5"/>
  <c r="B51" i="5" s="1"/>
  <c r="B85" i="5" s="1"/>
  <c r="A7" i="5"/>
  <c r="A51" i="5" s="1"/>
  <c r="D6" i="5"/>
  <c r="D50" i="5" s="1"/>
  <c r="D84" i="5" s="1"/>
  <c r="C6" i="5"/>
  <c r="C50" i="5" s="1"/>
  <c r="C84" i="5" s="1"/>
  <c r="B6" i="5"/>
  <c r="B50" i="5" s="1"/>
  <c r="B84" i="5" s="1"/>
  <c r="A6" i="5"/>
  <c r="A50" i="5" s="1"/>
  <c r="D5" i="5"/>
  <c r="D49" i="5" s="1"/>
  <c r="D83" i="5" s="1"/>
  <c r="C5" i="5"/>
  <c r="C49" i="5" s="1"/>
  <c r="C83" i="5" s="1"/>
  <c r="B5" i="5"/>
  <c r="B49" i="5" s="1"/>
  <c r="B83" i="5" s="1"/>
  <c r="A5" i="5"/>
  <c r="A49" i="5" s="1"/>
  <c r="D4" i="5"/>
  <c r="D48" i="5" s="1"/>
  <c r="D82" i="5" s="1"/>
  <c r="C4" i="5"/>
  <c r="C48" i="5" s="1"/>
  <c r="C82" i="5" s="1"/>
  <c r="B4" i="5"/>
  <c r="B48" i="5" s="1"/>
  <c r="B82" i="5" s="1"/>
  <c r="A4" i="5"/>
  <c r="A48" i="5" s="1"/>
  <c r="E47" i="1"/>
  <c r="G114" i="2"/>
  <c r="H114" i="2"/>
  <c r="I114" i="2"/>
  <c r="J114" i="2"/>
  <c r="K114" i="2"/>
  <c r="L114" i="2"/>
  <c r="M114" i="2"/>
  <c r="N114" i="2"/>
  <c r="O114" i="2"/>
  <c r="P114" i="2"/>
  <c r="Q114" i="2"/>
  <c r="R114" i="2"/>
  <c r="F114" i="2"/>
  <c r="G80" i="2"/>
  <c r="H80" i="2"/>
  <c r="I80" i="2"/>
  <c r="J80" i="2"/>
  <c r="K80" i="2"/>
  <c r="L80" i="2"/>
  <c r="M80" i="2"/>
  <c r="N80" i="2"/>
  <c r="O80" i="2"/>
  <c r="P80" i="2"/>
  <c r="Q80" i="2"/>
  <c r="R80" i="2"/>
  <c r="F80" i="2"/>
  <c r="G46" i="2"/>
  <c r="C2" i="6" s="1"/>
  <c r="H46" i="2"/>
  <c r="D2" i="6" s="1"/>
  <c r="I46" i="2"/>
  <c r="E2" i="6" s="1"/>
  <c r="J46" i="2"/>
  <c r="F2" i="6" s="1"/>
  <c r="K46" i="2"/>
  <c r="G2" i="6" s="1"/>
  <c r="L46" i="2"/>
  <c r="H2" i="6" s="1"/>
  <c r="M46" i="2"/>
  <c r="I2" i="6" s="1"/>
  <c r="N46" i="2"/>
  <c r="J2" i="6" s="1"/>
  <c r="O46" i="2"/>
  <c r="K2" i="6" s="1"/>
  <c r="P46" i="2"/>
  <c r="L2" i="6" s="1"/>
  <c r="Q46" i="2"/>
  <c r="M2" i="6" s="1"/>
  <c r="R46" i="2"/>
  <c r="N2" i="6" s="1"/>
  <c r="O2" i="6"/>
  <c r="P2" i="6"/>
  <c r="Q2" i="6"/>
  <c r="R2" i="6"/>
  <c r="S2" i="6"/>
  <c r="T2" i="6"/>
  <c r="F46" i="2"/>
  <c r="B2" i="6" s="1"/>
  <c r="E73" i="2"/>
  <c r="E74" i="2"/>
  <c r="E75" i="2"/>
  <c r="E76" i="2"/>
  <c r="A27" i="2"/>
  <c r="B27" i="2"/>
  <c r="C27" i="2"/>
  <c r="D27" i="2"/>
  <c r="A28" i="2"/>
  <c r="B28" i="2"/>
  <c r="C28" i="2"/>
  <c r="D28" i="2"/>
  <c r="A29" i="2"/>
  <c r="B29" i="2"/>
  <c r="B72" i="2" s="1"/>
  <c r="B106" i="2" s="1"/>
  <c r="C29" i="2"/>
  <c r="C72" i="2" s="1"/>
  <c r="C106" i="2" s="1"/>
  <c r="D29" i="2"/>
  <c r="D72" i="2" s="1"/>
  <c r="D106" i="2" s="1"/>
  <c r="A30" i="2"/>
  <c r="A73" i="2" s="1"/>
  <c r="B30" i="2"/>
  <c r="B73" i="2" s="1"/>
  <c r="B107" i="2" s="1"/>
  <c r="C30" i="2"/>
  <c r="C73" i="2" s="1"/>
  <c r="C107" i="2" s="1"/>
  <c r="D30" i="2"/>
  <c r="D73" i="2" s="1"/>
  <c r="D107" i="2" s="1"/>
  <c r="A31" i="2"/>
  <c r="A74" i="2" s="1"/>
  <c r="B31" i="2"/>
  <c r="B74" i="2" s="1"/>
  <c r="B108" i="2" s="1"/>
  <c r="C31" i="2"/>
  <c r="C74" i="2" s="1"/>
  <c r="C108" i="2" s="1"/>
  <c r="D31" i="2"/>
  <c r="D74" i="2" s="1"/>
  <c r="D108" i="2" s="1"/>
  <c r="A32" i="2"/>
  <c r="A75" i="2" s="1"/>
  <c r="B32" i="2"/>
  <c r="B75" i="2" s="1"/>
  <c r="B109" i="2" s="1"/>
  <c r="C32" i="2"/>
  <c r="C75" i="2" s="1"/>
  <c r="C109" i="2" s="1"/>
  <c r="D32" i="2"/>
  <c r="D75" i="2" s="1"/>
  <c r="D109" i="2" s="1"/>
  <c r="A33" i="2"/>
  <c r="A76" i="2" s="1"/>
  <c r="A110" i="2" s="1"/>
  <c r="B33" i="2"/>
  <c r="B76" i="2" s="1"/>
  <c r="B110" i="2" s="1"/>
  <c r="C33" i="2"/>
  <c r="C76" i="2" s="1"/>
  <c r="C110" i="2" s="1"/>
  <c r="D33" i="2"/>
  <c r="D76" i="2" s="1"/>
  <c r="D110" i="2" s="1"/>
  <c r="B26" i="2"/>
  <c r="C26" i="2"/>
  <c r="D26" i="2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F115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F81" i="1"/>
  <c r="B81" i="1"/>
  <c r="C81" i="1"/>
  <c r="D81" i="1"/>
  <c r="A81" i="1"/>
  <c r="A100" i="1"/>
  <c r="B100" i="1"/>
  <c r="C100" i="1"/>
  <c r="D100" i="1"/>
  <c r="A101" i="1"/>
  <c r="B101" i="1"/>
  <c r="C101" i="1"/>
  <c r="D101" i="1"/>
  <c r="A102" i="1"/>
  <c r="B102" i="1"/>
  <c r="C102" i="1"/>
  <c r="D102" i="1"/>
  <c r="A103" i="1"/>
  <c r="B103" i="1"/>
  <c r="C103" i="1"/>
  <c r="D103" i="1"/>
  <c r="A104" i="1"/>
  <c r="B104" i="1"/>
  <c r="C104" i="1"/>
  <c r="D104" i="1"/>
  <c r="A105" i="1"/>
  <c r="B105" i="1"/>
  <c r="C105" i="1"/>
  <c r="D105" i="1"/>
  <c r="A106" i="1"/>
  <c r="B106" i="1"/>
  <c r="C106" i="1"/>
  <c r="D106" i="1"/>
  <c r="A107" i="1"/>
  <c r="B107" i="1"/>
  <c r="C107" i="1"/>
  <c r="D107" i="1"/>
  <c r="A108" i="1"/>
  <c r="B108" i="1"/>
  <c r="C108" i="1"/>
  <c r="D108" i="1"/>
  <c r="A109" i="1"/>
  <c r="B109" i="1"/>
  <c r="C109" i="1"/>
  <c r="D109" i="1"/>
  <c r="A110" i="1"/>
  <c r="B110" i="1"/>
  <c r="C110" i="1"/>
  <c r="D110" i="1"/>
  <c r="A111" i="1"/>
  <c r="B111" i="1"/>
  <c r="C111" i="1"/>
  <c r="D11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81" i="1"/>
  <c r="B47" i="1"/>
  <c r="C47" i="1"/>
  <c r="D47" i="1"/>
  <c r="A47" i="1"/>
  <c r="A69" i="1"/>
  <c r="B69" i="1"/>
  <c r="C69" i="1"/>
  <c r="D69" i="1"/>
  <c r="A70" i="1"/>
  <c r="B70" i="1"/>
  <c r="C70" i="1"/>
  <c r="D70" i="1"/>
  <c r="A71" i="1"/>
  <c r="B71" i="1"/>
  <c r="C71" i="1"/>
  <c r="D71" i="1"/>
  <c r="A72" i="1"/>
  <c r="B72" i="1"/>
  <c r="C72" i="1"/>
  <c r="D72" i="1"/>
  <c r="A73" i="1"/>
  <c r="B73" i="1"/>
  <c r="C73" i="1"/>
  <c r="D73" i="1"/>
  <c r="A74" i="1"/>
  <c r="B74" i="1"/>
  <c r="C74" i="1"/>
  <c r="D74" i="1"/>
  <c r="A75" i="1"/>
  <c r="B75" i="1"/>
  <c r="C75" i="1"/>
  <c r="D75" i="1"/>
  <c r="A76" i="1"/>
  <c r="B76" i="1"/>
  <c r="C76" i="1"/>
  <c r="D76" i="1"/>
  <c r="A77" i="1"/>
  <c r="B77" i="1"/>
  <c r="C77" i="1"/>
  <c r="D77" i="1"/>
  <c r="E49" i="1"/>
  <c r="A68" i="6" s="1"/>
  <c r="E50" i="1"/>
  <c r="A69" i="6" s="1"/>
  <c r="E51" i="1"/>
  <c r="A70" i="6" s="1"/>
  <c r="E52" i="1"/>
  <c r="A71" i="6" s="1"/>
  <c r="E53" i="1"/>
  <c r="A72" i="6" s="1"/>
  <c r="E54" i="1"/>
  <c r="A73" i="6" s="1"/>
  <c r="E55" i="1"/>
  <c r="A74" i="6" s="1"/>
  <c r="E56" i="1"/>
  <c r="A75" i="6" s="1"/>
  <c r="E57" i="1"/>
  <c r="A76" i="6" s="1"/>
  <c r="E58" i="1"/>
  <c r="A77" i="6" s="1"/>
  <c r="E59" i="1"/>
  <c r="A78" i="6" s="1"/>
  <c r="E60" i="1"/>
  <c r="A79" i="6" s="1"/>
  <c r="E61" i="1"/>
  <c r="A80" i="6" s="1"/>
  <c r="E62" i="1"/>
  <c r="A81" i="6" s="1"/>
  <c r="E63" i="1"/>
  <c r="A82" i="6" s="1"/>
  <c r="E64" i="1"/>
  <c r="A83" i="6" s="1"/>
  <c r="E65" i="1"/>
  <c r="A84" i="6" s="1"/>
  <c r="E66" i="1"/>
  <c r="A85" i="6" s="1"/>
  <c r="E67" i="1"/>
  <c r="A86" i="6" s="1"/>
  <c r="E68" i="1"/>
  <c r="A87" i="6" s="1"/>
  <c r="E69" i="1"/>
  <c r="A88" i="6" s="1"/>
  <c r="E70" i="1"/>
  <c r="A89" i="6" s="1"/>
  <c r="E71" i="1"/>
  <c r="A90" i="6" s="1"/>
  <c r="E72" i="1"/>
  <c r="A91" i="6" s="1"/>
  <c r="E73" i="1"/>
  <c r="A92" i="6" s="1"/>
  <c r="E74" i="1"/>
  <c r="A93" i="6" s="1"/>
  <c r="E75" i="1"/>
  <c r="A94" i="6" s="1"/>
  <c r="E76" i="1"/>
  <c r="A95" i="6" s="1"/>
  <c r="E77" i="1"/>
  <c r="A96" i="6" s="1"/>
  <c r="E48" i="1"/>
  <c r="A67" i="6" s="1"/>
  <c r="G47" i="1"/>
  <c r="C66" i="6" s="1"/>
  <c r="H47" i="1"/>
  <c r="D66" i="6" s="1"/>
  <c r="I47" i="1"/>
  <c r="E66" i="6" s="1"/>
  <c r="J47" i="1"/>
  <c r="F66" i="6" s="1"/>
  <c r="K47" i="1"/>
  <c r="G66" i="6" s="1"/>
  <c r="L47" i="1"/>
  <c r="H66" i="6" s="1"/>
  <c r="M47" i="1"/>
  <c r="I66" i="6" s="1"/>
  <c r="N47" i="1"/>
  <c r="J66" i="6" s="1"/>
  <c r="O47" i="1"/>
  <c r="K66" i="6" s="1"/>
  <c r="P47" i="1"/>
  <c r="L66" i="6" s="1"/>
  <c r="Q47" i="1"/>
  <c r="M66" i="6" s="1"/>
  <c r="R47" i="1"/>
  <c r="N66" i="6" s="1"/>
  <c r="S47" i="1"/>
  <c r="O66" i="6" s="1"/>
  <c r="T47" i="1"/>
  <c r="P66" i="6" s="1"/>
  <c r="U47" i="1"/>
  <c r="Q66" i="6" s="1"/>
  <c r="V47" i="1"/>
  <c r="R66" i="6" s="1"/>
  <c r="W47" i="1"/>
  <c r="S66" i="6" s="1"/>
  <c r="X47" i="1"/>
  <c r="T66" i="6" s="1"/>
  <c r="F47" i="1"/>
  <c r="B66" i="6" s="1"/>
  <c r="E96" i="5" l="1"/>
  <c r="A49" i="6"/>
  <c r="E89" i="5"/>
  <c r="A42" i="6"/>
  <c r="E97" i="5"/>
  <c r="A50" i="6"/>
  <c r="E105" i="5"/>
  <c r="A58" i="6"/>
  <c r="E104" i="5"/>
  <c r="A57" i="6"/>
  <c r="E82" i="5"/>
  <c r="A35" i="6"/>
  <c r="E90" i="5"/>
  <c r="A43" i="6"/>
  <c r="E98" i="5"/>
  <c r="A51" i="6"/>
  <c r="E106" i="5"/>
  <c r="A59" i="6"/>
  <c r="E83" i="5"/>
  <c r="A36" i="6"/>
  <c r="E91" i="5"/>
  <c r="A44" i="6"/>
  <c r="E99" i="5"/>
  <c r="A52" i="6"/>
  <c r="E107" i="5"/>
  <c r="A60" i="6"/>
  <c r="E84" i="5"/>
  <c r="A37" i="6"/>
  <c r="E92" i="5"/>
  <c r="A45" i="6"/>
  <c r="E100" i="5"/>
  <c r="A53" i="6"/>
  <c r="E108" i="5"/>
  <c r="A61" i="6"/>
  <c r="E85" i="5"/>
  <c r="A38" i="6"/>
  <c r="E93" i="5"/>
  <c r="A46" i="6"/>
  <c r="E101" i="5"/>
  <c r="A54" i="6"/>
  <c r="E109" i="5"/>
  <c r="A62" i="6"/>
  <c r="E88" i="5"/>
  <c r="A41" i="6"/>
  <c r="E86" i="5"/>
  <c r="A39" i="6"/>
  <c r="E94" i="5"/>
  <c r="A47" i="6"/>
  <c r="E102" i="5"/>
  <c r="A55" i="6"/>
  <c r="E110" i="5"/>
  <c r="A63" i="6"/>
  <c r="E87" i="5"/>
  <c r="A40" i="6"/>
  <c r="E95" i="5"/>
  <c r="A48" i="6"/>
  <c r="E103" i="5"/>
  <c r="A56" i="6"/>
  <c r="E111" i="5"/>
  <c r="A64" i="6"/>
  <c r="E110" i="2"/>
  <c r="A32" i="6"/>
  <c r="E109" i="2"/>
  <c r="A31" i="6"/>
  <c r="E108" i="2"/>
  <c r="A30" i="6"/>
  <c r="E107" i="2"/>
  <c r="A29" i="6"/>
  <c r="J38" i="5"/>
  <c r="R38" i="5"/>
  <c r="Z38" i="5"/>
  <c r="K38" i="5"/>
  <c r="S38" i="5"/>
  <c r="AA38" i="5"/>
  <c r="X38" i="5"/>
  <c r="L38" i="5"/>
  <c r="T38" i="5"/>
  <c r="F38" i="5"/>
  <c r="H38" i="5"/>
  <c r="M38" i="5"/>
  <c r="U38" i="5"/>
  <c r="N38" i="5"/>
  <c r="V38" i="5"/>
  <c r="G38" i="5"/>
  <c r="O38" i="5"/>
  <c r="W38" i="5"/>
  <c r="P38" i="5"/>
  <c r="I38" i="5"/>
  <c r="Q38" i="5"/>
  <c r="Y38" i="5"/>
  <c r="H48" i="5"/>
  <c r="D35" i="6" s="1"/>
  <c r="P48" i="5"/>
  <c r="L35" i="6" s="1"/>
  <c r="X48" i="5"/>
  <c r="T35" i="6" s="1"/>
  <c r="N48" i="5"/>
  <c r="J35" i="6" s="1"/>
  <c r="I48" i="5"/>
  <c r="E35" i="6" s="1"/>
  <c r="Q48" i="5"/>
  <c r="M35" i="6" s="1"/>
  <c r="Y48" i="5"/>
  <c r="U35" i="6" s="1"/>
  <c r="J48" i="5"/>
  <c r="F35" i="6" s="1"/>
  <c r="R48" i="5"/>
  <c r="N35" i="6" s="1"/>
  <c r="Z48" i="5"/>
  <c r="V35" i="6" s="1"/>
  <c r="K48" i="5"/>
  <c r="G35" i="6" s="1"/>
  <c r="S48" i="5"/>
  <c r="O35" i="6" s="1"/>
  <c r="AA48" i="5"/>
  <c r="W35" i="6" s="1"/>
  <c r="L48" i="5"/>
  <c r="H35" i="6" s="1"/>
  <c r="T48" i="5"/>
  <c r="P35" i="6" s="1"/>
  <c r="F48" i="5"/>
  <c r="B35" i="6" s="1"/>
  <c r="V48" i="5"/>
  <c r="R35" i="6" s="1"/>
  <c r="M48" i="5"/>
  <c r="I35" i="6" s="1"/>
  <c r="U48" i="5"/>
  <c r="Q35" i="6" s="1"/>
  <c r="G48" i="5"/>
  <c r="C35" i="6" s="1"/>
  <c r="O48" i="5"/>
  <c r="K35" i="6" s="1"/>
  <c r="W48" i="5"/>
  <c r="S35" i="6" s="1"/>
  <c r="M50" i="5"/>
  <c r="I37" i="6" s="1"/>
  <c r="U50" i="5"/>
  <c r="Q37" i="6" s="1"/>
  <c r="F50" i="5"/>
  <c r="B37" i="6" s="1"/>
  <c r="N50" i="5"/>
  <c r="J37" i="6" s="1"/>
  <c r="V50" i="5"/>
  <c r="R37" i="6" s="1"/>
  <c r="J50" i="5"/>
  <c r="F37" i="6" s="1"/>
  <c r="R50" i="5"/>
  <c r="N37" i="6" s="1"/>
  <c r="P50" i="5"/>
  <c r="L37" i="6" s="1"/>
  <c r="AA50" i="5"/>
  <c r="W37" i="6" s="1"/>
  <c r="Q50" i="5"/>
  <c r="M37" i="6" s="1"/>
  <c r="G50" i="5"/>
  <c r="C37" i="6" s="1"/>
  <c r="S50" i="5"/>
  <c r="O37" i="6" s="1"/>
  <c r="H50" i="5"/>
  <c r="D37" i="6" s="1"/>
  <c r="T50" i="5"/>
  <c r="P37" i="6" s="1"/>
  <c r="I50" i="5"/>
  <c r="E37" i="6" s="1"/>
  <c r="W50" i="5"/>
  <c r="S37" i="6" s="1"/>
  <c r="K50" i="5"/>
  <c r="G37" i="6" s="1"/>
  <c r="X50" i="5"/>
  <c r="T37" i="6" s="1"/>
  <c r="L50" i="5"/>
  <c r="H37" i="6" s="1"/>
  <c r="Y50" i="5"/>
  <c r="U37" i="6" s="1"/>
  <c r="O50" i="5"/>
  <c r="K37" i="6" s="1"/>
  <c r="Z50" i="5"/>
  <c r="V37" i="6" s="1"/>
  <c r="G52" i="5"/>
  <c r="C39" i="6" s="1"/>
  <c r="O52" i="5"/>
  <c r="K39" i="6" s="1"/>
  <c r="W52" i="5"/>
  <c r="S39" i="6" s="1"/>
  <c r="H52" i="5"/>
  <c r="D39" i="6" s="1"/>
  <c r="P52" i="5"/>
  <c r="L39" i="6" s="1"/>
  <c r="X52" i="5"/>
  <c r="T39" i="6" s="1"/>
  <c r="I52" i="5"/>
  <c r="E39" i="6" s="1"/>
  <c r="Q52" i="5"/>
  <c r="M39" i="6" s="1"/>
  <c r="Y52" i="5"/>
  <c r="U39" i="6" s="1"/>
  <c r="J52" i="5"/>
  <c r="F39" i="6" s="1"/>
  <c r="R52" i="5"/>
  <c r="N39" i="6" s="1"/>
  <c r="Z52" i="5"/>
  <c r="V39" i="6" s="1"/>
  <c r="K52" i="5"/>
  <c r="G39" i="6" s="1"/>
  <c r="S52" i="5"/>
  <c r="O39" i="6" s="1"/>
  <c r="AA52" i="5"/>
  <c r="W39" i="6" s="1"/>
  <c r="L52" i="5"/>
  <c r="H39" i="6" s="1"/>
  <c r="T52" i="5"/>
  <c r="P39" i="6" s="1"/>
  <c r="M52" i="5"/>
  <c r="I39" i="6" s="1"/>
  <c r="U52" i="5"/>
  <c r="Q39" i="6" s="1"/>
  <c r="N52" i="5"/>
  <c r="J39" i="6" s="1"/>
  <c r="F52" i="5"/>
  <c r="B39" i="6" s="1"/>
  <c r="V52" i="5"/>
  <c r="R39" i="6" s="1"/>
  <c r="K54" i="5"/>
  <c r="G41" i="6" s="1"/>
  <c r="S54" i="5"/>
  <c r="O41" i="6" s="1"/>
  <c r="AA54" i="5"/>
  <c r="W41" i="6" s="1"/>
  <c r="L54" i="5"/>
  <c r="H41" i="6" s="1"/>
  <c r="T54" i="5"/>
  <c r="P41" i="6" s="1"/>
  <c r="M54" i="5"/>
  <c r="I41" i="6" s="1"/>
  <c r="U54" i="5"/>
  <c r="Q41" i="6" s="1"/>
  <c r="F54" i="5"/>
  <c r="B41" i="6" s="1"/>
  <c r="N54" i="5"/>
  <c r="J41" i="6" s="1"/>
  <c r="V54" i="5"/>
  <c r="R41" i="6" s="1"/>
  <c r="G54" i="5"/>
  <c r="C41" i="6" s="1"/>
  <c r="O54" i="5"/>
  <c r="K41" i="6" s="1"/>
  <c r="W54" i="5"/>
  <c r="S41" i="6" s="1"/>
  <c r="H54" i="5"/>
  <c r="D41" i="6" s="1"/>
  <c r="P54" i="5"/>
  <c r="L41" i="6" s="1"/>
  <c r="X54" i="5"/>
  <c r="T41" i="6" s="1"/>
  <c r="I54" i="5"/>
  <c r="E41" i="6" s="1"/>
  <c r="Q54" i="5"/>
  <c r="M41" i="6" s="1"/>
  <c r="Y54" i="5"/>
  <c r="U41" i="6" s="1"/>
  <c r="J54" i="5"/>
  <c r="F41" i="6" s="1"/>
  <c r="R54" i="5"/>
  <c r="N41" i="6" s="1"/>
  <c r="Z54" i="5"/>
  <c r="V41" i="6" s="1"/>
  <c r="G56" i="5"/>
  <c r="C43" i="6" s="1"/>
  <c r="O56" i="5"/>
  <c r="K43" i="6" s="1"/>
  <c r="W56" i="5"/>
  <c r="S43" i="6" s="1"/>
  <c r="I56" i="5"/>
  <c r="E43" i="6" s="1"/>
  <c r="Q56" i="5"/>
  <c r="M43" i="6" s="1"/>
  <c r="Y56" i="5"/>
  <c r="U43" i="6" s="1"/>
  <c r="K56" i="5"/>
  <c r="G43" i="6" s="1"/>
  <c r="S56" i="5"/>
  <c r="O43" i="6" s="1"/>
  <c r="AA56" i="5"/>
  <c r="W43" i="6" s="1"/>
  <c r="L56" i="5"/>
  <c r="H43" i="6" s="1"/>
  <c r="T56" i="5"/>
  <c r="P43" i="6" s="1"/>
  <c r="M56" i="5"/>
  <c r="I43" i="6" s="1"/>
  <c r="U56" i="5"/>
  <c r="Q43" i="6" s="1"/>
  <c r="N56" i="5"/>
  <c r="J43" i="6" s="1"/>
  <c r="H56" i="5"/>
  <c r="D43" i="6" s="1"/>
  <c r="P56" i="5"/>
  <c r="L43" i="6" s="1"/>
  <c r="R56" i="5"/>
  <c r="N43" i="6" s="1"/>
  <c r="V56" i="5"/>
  <c r="R43" i="6" s="1"/>
  <c r="X56" i="5"/>
  <c r="T43" i="6" s="1"/>
  <c r="F56" i="5"/>
  <c r="B43" i="6" s="1"/>
  <c r="Z56" i="5"/>
  <c r="V43" i="6" s="1"/>
  <c r="J56" i="5"/>
  <c r="F43" i="6" s="1"/>
  <c r="K58" i="5"/>
  <c r="G45" i="6" s="1"/>
  <c r="S58" i="5"/>
  <c r="O45" i="6" s="1"/>
  <c r="AA58" i="5"/>
  <c r="W45" i="6" s="1"/>
  <c r="M58" i="5"/>
  <c r="I45" i="6" s="1"/>
  <c r="U58" i="5"/>
  <c r="Q45" i="6" s="1"/>
  <c r="G58" i="5"/>
  <c r="C45" i="6" s="1"/>
  <c r="O58" i="5"/>
  <c r="K45" i="6" s="1"/>
  <c r="W58" i="5"/>
  <c r="S45" i="6" s="1"/>
  <c r="H58" i="5"/>
  <c r="D45" i="6" s="1"/>
  <c r="P58" i="5"/>
  <c r="L45" i="6" s="1"/>
  <c r="X58" i="5"/>
  <c r="T45" i="6" s="1"/>
  <c r="I58" i="5"/>
  <c r="E45" i="6" s="1"/>
  <c r="Q58" i="5"/>
  <c r="M45" i="6" s="1"/>
  <c r="Y58" i="5"/>
  <c r="U45" i="6" s="1"/>
  <c r="L58" i="5"/>
  <c r="H45" i="6" s="1"/>
  <c r="N58" i="5"/>
  <c r="J45" i="6" s="1"/>
  <c r="F58" i="5"/>
  <c r="B45" i="6" s="1"/>
  <c r="R58" i="5"/>
  <c r="N45" i="6" s="1"/>
  <c r="T58" i="5"/>
  <c r="P45" i="6" s="1"/>
  <c r="V58" i="5"/>
  <c r="R45" i="6" s="1"/>
  <c r="Z58" i="5"/>
  <c r="V45" i="6" s="1"/>
  <c r="J58" i="5"/>
  <c r="F45" i="6" s="1"/>
  <c r="G60" i="5"/>
  <c r="C47" i="6" s="1"/>
  <c r="O60" i="5"/>
  <c r="K47" i="6" s="1"/>
  <c r="W60" i="5"/>
  <c r="S47" i="6" s="1"/>
  <c r="I60" i="5"/>
  <c r="E47" i="6" s="1"/>
  <c r="Q60" i="5"/>
  <c r="M47" i="6" s="1"/>
  <c r="Y60" i="5"/>
  <c r="U47" i="6" s="1"/>
  <c r="K60" i="5"/>
  <c r="G47" i="6" s="1"/>
  <c r="S60" i="5"/>
  <c r="O47" i="6" s="1"/>
  <c r="AA60" i="5"/>
  <c r="W47" i="6" s="1"/>
  <c r="L60" i="5"/>
  <c r="H47" i="6" s="1"/>
  <c r="T60" i="5"/>
  <c r="P47" i="6" s="1"/>
  <c r="M60" i="5"/>
  <c r="I47" i="6" s="1"/>
  <c r="U60" i="5"/>
  <c r="Q47" i="6" s="1"/>
  <c r="J60" i="5"/>
  <c r="F47" i="6" s="1"/>
  <c r="N60" i="5"/>
  <c r="J47" i="6" s="1"/>
  <c r="F60" i="5"/>
  <c r="B47" i="6" s="1"/>
  <c r="P60" i="5"/>
  <c r="L47" i="6" s="1"/>
  <c r="R60" i="5"/>
  <c r="N47" i="6" s="1"/>
  <c r="V60" i="5"/>
  <c r="R47" i="6" s="1"/>
  <c r="X60" i="5"/>
  <c r="T47" i="6" s="1"/>
  <c r="Z60" i="5"/>
  <c r="V47" i="6" s="1"/>
  <c r="H60" i="5"/>
  <c r="D47" i="6" s="1"/>
  <c r="K62" i="5"/>
  <c r="G49" i="6" s="1"/>
  <c r="S62" i="5"/>
  <c r="O49" i="6" s="1"/>
  <c r="AA62" i="5"/>
  <c r="W49" i="6" s="1"/>
  <c r="M62" i="5"/>
  <c r="I49" i="6" s="1"/>
  <c r="U62" i="5"/>
  <c r="Q49" i="6" s="1"/>
  <c r="G62" i="5"/>
  <c r="C49" i="6" s="1"/>
  <c r="O62" i="5"/>
  <c r="K49" i="6" s="1"/>
  <c r="W62" i="5"/>
  <c r="S49" i="6" s="1"/>
  <c r="H62" i="5"/>
  <c r="D49" i="6" s="1"/>
  <c r="P62" i="5"/>
  <c r="L49" i="6" s="1"/>
  <c r="X62" i="5"/>
  <c r="T49" i="6" s="1"/>
  <c r="I62" i="5"/>
  <c r="E49" i="6" s="1"/>
  <c r="Q62" i="5"/>
  <c r="M49" i="6" s="1"/>
  <c r="Y62" i="5"/>
  <c r="U49" i="6" s="1"/>
  <c r="J62" i="5"/>
  <c r="F49" i="6" s="1"/>
  <c r="L62" i="5"/>
  <c r="H49" i="6" s="1"/>
  <c r="N62" i="5"/>
  <c r="J49" i="6" s="1"/>
  <c r="R62" i="5"/>
  <c r="N49" i="6" s="1"/>
  <c r="T62" i="5"/>
  <c r="P49" i="6" s="1"/>
  <c r="V62" i="5"/>
  <c r="R49" i="6" s="1"/>
  <c r="Z62" i="5"/>
  <c r="V49" i="6" s="1"/>
  <c r="F62" i="5"/>
  <c r="B49" i="6" s="1"/>
  <c r="G64" i="5"/>
  <c r="C51" i="6" s="1"/>
  <c r="O64" i="5"/>
  <c r="K51" i="6" s="1"/>
  <c r="W64" i="5"/>
  <c r="S51" i="6" s="1"/>
  <c r="I64" i="5"/>
  <c r="E51" i="6" s="1"/>
  <c r="Q64" i="5"/>
  <c r="M51" i="6" s="1"/>
  <c r="Y64" i="5"/>
  <c r="U51" i="6" s="1"/>
  <c r="K64" i="5"/>
  <c r="G51" i="6" s="1"/>
  <c r="S64" i="5"/>
  <c r="O51" i="6" s="1"/>
  <c r="L64" i="5"/>
  <c r="H51" i="6" s="1"/>
  <c r="T64" i="5"/>
  <c r="P51" i="6" s="1"/>
  <c r="M64" i="5"/>
  <c r="I51" i="6" s="1"/>
  <c r="U64" i="5"/>
  <c r="Q51" i="6" s="1"/>
  <c r="H64" i="5"/>
  <c r="D51" i="6" s="1"/>
  <c r="AA64" i="5"/>
  <c r="W51" i="6" s="1"/>
  <c r="J64" i="5"/>
  <c r="F51" i="6" s="1"/>
  <c r="X64" i="5"/>
  <c r="T51" i="6" s="1"/>
  <c r="N64" i="5"/>
  <c r="J51" i="6" s="1"/>
  <c r="P64" i="5"/>
  <c r="L51" i="6" s="1"/>
  <c r="R64" i="5"/>
  <c r="N51" i="6" s="1"/>
  <c r="V64" i="5"/>
  <c r="R51" i="6" s="1"/>
  <c r="F64" i="5"/>
  <c r="B51" i="6" s="1"/>
  <c r="Z64" i="5"/>
  <c r="V51" i="6" s="1"/>
  <c r="M66" i="5"/>
  <c r="I53" i="6" s="1"/>
  <c r="U66" i="5"/>
  <c r="Q53" i="6" s="1"/>
  <c r="H66" i="5"/>
  <c r="D53" i="6" s="1"/>
  <c r="P66" i="5"/>
  <c r="L53" i="6" s="1"/>
  <c r="X66" i="5"/>
  <c r="T53" i="6" s="1"/>
  <c r="I66" i="5"/>
  <c r="E53" i="6" s="1"/>
  <c r="Q66" i="5"/>
  <c r="M53" i="6" s="1"/>
  <c r="Y66" i="5"/>
  <c r="U53" i="6" s="1"/>
  <c r="J66" i="5"/>
  <c r="F53" i="6" s="1"/>
  <c r="V66" i="5"/>
  <c r="R53" i="6" s="1"/>
  <c r="K66" i="5"/>
  <c r="G53" i="6" s="1"/>
  <c r="W66" i="5"/>
  <c r="S53" i="6" s="1"/>
  <c r="L66" i="5"/>
  <c r="H53" i="6" s="1"/>
  <c r="Z66" i="5"/>
  <c r="V53" i="6" s="1"/>
  <c r="S66" i="5"/>
  <c r="O53" i="6" s="1"/>
  <c r="N66" i="5"/>
  <c r="J53" i="6" s="1"/>
  <c r="AA66" i="5"/>
  <c r="W53" i="6" s="1"/>
  <c r="O66" i="5"/>
  <c r="K53" i="6" s="1"/>
  <c r="R66" i="5"/>
  <c r="N53" i="6" s="1"/>
  <c r="F66" i="5"/>
  <c r="B53" i="6" s="1"/>
  <c r="G66" i="5"/>
  <c r="C53" i="6" s="1"/>
  <c r="T66" i="5"/>
  <c r="P53" i="6" s="1"/>
  <c r="I68" i="5"/>
  <c r="E55" i="6" s="1"/>
  <c r="Q68" i="5"/>
  <c r="M55" i="6" s="1"/>
  <c r="Y68" i="5"/>
  <c r="U55" i="6" s="1"/>
  <c r="L68" i="5"/>
  <c r="H55" i="6" s="1"/>
  <c r="T68" i="5"/>
  <c r="P55" i="6" s="1"/>
  <c r="M68" i="5"/>
  <c r="I55" i="6" s="1"/>
  <c r="U68" i="5"/>
  <c r="Q55" i="6" s="1"/>
  <c r="P68" i="5"/>
  <c r="L55" i="6" s="1"/>
  <c r="N68" i="5"/>
  <c r="J55" i="6" s="1"/>
  <c r="F68" i="5"/>
  <c r="B55" i="6" s="1"/>
  <c r="R68" i="5"/>
  <c r="N55" i="6" s="1"/>
  <c r="G68" i="5"/>
  <c r="C55" i="6" s="1"/>
  <c r="S68" i="5"/>
  <c r="O55" i="6" s="1"/>
  <c r="H68" i="5"/>
  <c r="D55" i="6" s="1"/>
  <c r="V68" i="5"/>
  <c r="R55" i="6" s="1"/>
  <c r="Z68" i="5"/>
  <c r="V55" i="6" s="1"/>
  <c r="J68" i="5"/>
  <c r="F55" i="6" s="1"/>
  <c r="W68" i="5"/>
  <c r="S55" i="6" s="1"/>
  <c r="K68" i="5"/>
  <c r="G55" i="6" s="1"/>
  <c r="X68" i="5"/>
  <c r="T55" i="6" s="1"/>
  <c r="O68" i="5"/>
  <c r="K55" i="6" s="1"/>
  <c r="AA68" i="5"/>
  <c r="W55" i="6" s="1"/>
  <c r="M70" i="5"/>
  <c r="I57" i="6" s="1"/>
  <c r="U70" i="5"/>
  <c r="Q57" i="6" s="1"/>
  <c r="H70" i="5"/>
  <c r="D57" i="6" s="1"/>
  <c r="P70" i="5"/>
  <c r="L57" i="6" s="1"/>
  <c r="X70" i="5"/>
  <c r="T57" i="6" s="1"/>
  <c r="I70" i="5"/>
  <c r="E57" i="6" s="1"/>
  <c r="Q70" i="5"/>
  <c r="M57" i="6" s="1"/>
  <c r="Y70" i="5"/>
  <c r="U57" i="6" s="1"/>
  <c r="K70" i="5"/>
  <c r="G57" i="6" s="1"/>
  <c r="W70" i="5"/>
  <c r="S57" i="6" s="1"/>
  <c r="L70" i="5"/>
  <c r="H57" i="6" s="1"/>
  <c r="Z70" i="5"/>
  <c r="V57" i="6" s="1"/>
  <c r="T70" i="5"/>
  <c r="P57" i="6" s="1"/>
  <c r="N70" i="5"/>
  <c r="J57" i="6" s="1"/>
  <c r="AA70" i="5"/>
  <c r="W57" i="6" s="1"/>
  <c r="O70" i="5"/>
  <c r="K57" i="6" s="1"/>
  <c r="R70" i="5"/>
  <c r="N57" i="6" s="1"/>
  <c r="F70" i="5"/>
  <c r="B57" i="6" s="1"/>
  <c r="S70" i="5"/>
  <c r="O57" i="6" s="1"/>
  <c r="G70" i="5"/>
  <c r="C57" i="6" s="1"/>
  <c r="J70" i="5"/>
  <c r="F57" i="6" s="1"/>
  <c r="V70" i="5"/>
  <c r="R57" i="6" s="1"/>
  <c r="A106" i="5"/>
  <c r="I72" i="5"/>
  <c r="E59" i="6" s="1"/>
  <c r="Q72" i="5"/>
  <c r="M59" i="6" s="1"/>
  <c r="Y72" i="5"/>
  <c r="U59" i="6" s="1"/>
  <c r="L72" i="5"/>
  <c r="H59" i="6" s="1"/>
  <c r="T72" i="5"/>
  <c r="P59" i="6" s="1"/>
  <c r="M72" i="5"/>
  <c r="I59" i="6" s="1"/>
  <c r="U72" i="5"/>
  <c r="Q59" i="6" s="1"/>
  <c r="F72" i="5"/>
  <c r="B59" i="6" s="1"/>
  <c r="R72" i="5"/>
  <c r="N59" i="6" s="1"/>
  <c r="O72" i="5"/>
  <c r="K59" i="6" s="1"/>
  <c r="G72" i="5"/>
  <c r="C59" i="6" s="1"/>
  <c r="S72" i="5"/>
  <c r="O59" i="6" s="1"/>
  <c r="H72" i="5"/>
  <c r="D59" i="6" s="1"/>
  <c r="V72" i="5"/>
  <c r="R59" i="6" s="1"/>
  <c r="J72" i="5"/>
  <c r="F59" i="6" s="1"/>
  <c r="W72" i="5"/>
  <c r="S59" i="6" s="1"/>
  <c r="K72" i="5"/>
  <c r="G59" i="6" s="1"/>
  <c r="X72" i="5"/>
  <c r="T59" i="6" s="1"/>
  <c r="AA72" i="5"/>
  <c r="W59" i="6" s="1"/>
  <c r="N72" i="5"/>
  <c r="J59" i="6" s="1"/>
  <c r="Z72" i="5"/>
  <c r="V59" i="6" s="1"/>
  <c r="P72" i="5"/>
  <c r="L59" i="6" s="1"/>
  <c r="A108" i="5"/>
  <c r="M74" i="5"/>
  <c r="I61" i="6" s="1"/>
  <c r="H74" i="5"/>
  <c r="D61" i="6" s="1"/>
  <c r="P74" i="5"/>
  <c r="L61" i="6" s="1"/>
  <c r="X74" i="5"/>
  <c r="T61" i="6" s="1"/>
  <c r="I74" i="5"/>
  <c r="E61" i="6" s="1"/>
  <c r="Q74" i="5"/>
  <c r="M61" i="6" s="1"/>
  <c r="Y74" i="5"/>
  <c r="U61" i="6" s="1"/>
  <c r="L74" i="5"/>
  <c r="H61" i="6" s="1"/>
  <c r="W74" i="5"/>
  <c r="S61" i="6" s="1"/>
  <c r="N74" i="5"/>
  <c r="J61" i="6" s="1"/>
  <c r="Z74" i="5"/>
  <c r="V61" i="6" s="1"/>
  <c r="U74" i="5"/>
  <c r="Q61" i="6" s="1"/>
  <c r="O74" i="5"/>
  <c r="K61" i="6" s="1"/>
  <c r="AA74" i="5"/>
  <c r="W61" i="6" s="1"/>
  <c r="R74" i="5"/>
  <c r="N61" i="6" s="1"/>
  <c r="F74" i="5"/>
  <c r="B61" i="6" s="1"/>
  <c r="S74" i="5"/>
  <c r="O61" i="6" s="1"/>
  <c r="G74" i="5"/>
  <c r="C61" i="6" s="1"/>
  <c r="T74" i="5"/>
  <c r="P61" i="6" s="1"/>
  <c r="J74" i="5"/>
  <c r="F61" i="6" s="1"/>
  <c r="K74" i="5"/>
  <c r="G61" i="6" s="1"/>
  <c r="V74" i="5"/>
  <c r="R61" i="6" s="1"/>
  <c r="A110" i="5"/>
  <c r="M76" i="5"/>
  <c r="I63" i="6" s="1"/>
  <c r="U76" i="5"/>
  <c r="Q63" i="6" s="1"/>
  <c r="F76" i="5"/>
  <c r="B63" i="6" s="1"/>
  <c r="N76" i="5"/>
  <c r="J63" i="6" s="1"/>
  <c r="V76" i="5"/>
  <c r="R63" i="6" s="1"/>
  <c r="AA76" i="5"/>
  <c r="W63" i="6" s="1"/>
  <c r="G76" i="5"/>
  <c r="C63" i="6" s="1"/>
  <c r="O76" i="5"/>
  <c r="K63" i="6" s="1"/>
  <c r="W76" i="5"/>
  <c r="S63" i="6" s="1"/>
  <c r="H76" i="5"/>
  <c r="D63" i="6" s="1"/>
  <c r="P76" i="5"/>
  <c r="L63" i="6" s="1"/>
  <c r="X76" i="5"/>
  <c r="T63" i="6" s="1"/>
  <c r="K76" i="5"/>
  <c r="G63" i="6" s="1"/>
  <c r="I76" i="5"/>
  <c r="E63" i="6" s="1"/>
  <c r="Q76" i="5"/>
  <c r="M63" i="6" s="1"/>
  <c r="Y76" i="5"/>
  <c r="U63" i="6" s="1"/>
  <c r="J76" i="5"/>
  <c r="F63" i="6" s="1"/>
  <c r="R76" i="5"/>
  <c r="N63" i="6" s="1"/>
  <c r="Z76" i="5"/>
  <c r="V63" i="6" s="1"/>
  <c r="S76" i="5"/>
  <c r="O63" i="6" s="1"/>
  <c r="L76" i="5"/>
  <c r="H63" i="6" s="1"/>
  <c r="T76" i="5"/>
  <c r="P63" i="6" s="1"/>
  <c r="I49" i="5"/>
  <c r="E36" i="6" s="1"/>
  <c r="K49" i="5"/>
  <c r="G36" i="6" s="1"/>
  <c r="S49" i="5"/>
  <c r="O36" i="6" s="1"/>
  <c r="AA49" i="5"/>
  <c r="W36" i="6" s="1"/>
  <c r="L49" i="5"/>
  <c r="H36" i="6" s="1"/>
  <c r="T49" i="5"/>
  <c r="P36" i="6" s="1"/>
  <c r="H49" i="5"/>
  <c r="D36" i="6" s="1"/>
  <c r="P49" i="5"/>
  <c r="L36" i="6" s="1"/>
  <c r="X49" i="5"/>
  <c r="T36" i="6" s="1"/>
  <c r="M49" i="5"/>
  <c r="I36" i="6" s="1"/>
  <c r="Y49" i="5"/>
  <c r="U36" i="6" s="1"/>
  <c r="N49" i="5"/>
  <c r="J36" i="6" s="1"/>
  <c r="Z49" i="5"/>
  <c r="V36" i="6" s="1"/>
  <c r="O49" i="5"/>
  <c r="K36" i="6" s="1"/>
  <c r="Q49" i="5"/>
  <c r="M36" i="6" s="1"/>
  <c r="R49" i="5"/>
  <c r="N36" i="6" s="1"/>
  <c r="F49" i="5"/>
  <c r="B36" i="6" s="1"/>
  <c r="U49" i="5"/>
  <c r="Q36" i="6" s="1"/>
  <c r="G49" i="5"/>
  <c r="C36" i="6" s="1"/>
  <c r="V49" i="5"/>
  <c r="R36" i="6" s="1"/>
  <c r="W49" i="5"/>
  <c r="S36" i="6" s="1"/>
  <c r="J49" i="5"/>
  <c r="F36" i="6" s="1"/>
  <c r="M51" i="5"/>
  <c r="I38" i="6" s="1"/>
  <c r="U51" i="5"/>
  <c r="Q38" i="6" s="1"/>
  <c r="F51" i="5"/>
  <c r="B38" i="6" s="1"/>
  <c r="N51" i="5"/>
  <c r="J38" i="6" s="1"/>
  <c r="V51" i="5"/>
  <c r="R38" i="6" s="1"/>
  <c r="G51" i="5"/>
  <c r="C38" i="6" s="1"/>
  <c r="O51" i="5"/>
  <c r="K38" i="6" s="1"/>
  <c r="W51" i="5"/>
  <c r="S38" i="6" s="1"/>
  <c r="H51" i="5"/>
  <c r="D38" i="6" s="1"/>
  <c r="P51" i="5"/>
  <c r="L38" i="6" s="1"/>
  <c r="X51" i="5"/>
  <c r="T38" i="6" s="1"/>
  <c r="I51" i="5"/>
  <c r="E38" i="6" s="1"/>
  <c r="Q51" i="5"/>
  <c r="M38" i="6" s="1"/>
  <c r="Y51" i="5"/>
  <c r="U38" i="6" s="1"/>
  <c r="J51" i="5"/>
  <c r="F38" i="6" s="1"/>
  <c r="R51" i="5"/>
  <c r="N38" i="6" s="1"/>
  <c r="Z51" i="5"/>
  <c r="V38" i="6" s="1"/>
  <c r="K51" i="5"/>
  <c r="G38" i="6" s="1"/>
  <c r="S51" i="5"/>
  <c r="O38" i="6" s="1"/>
  <c r="AA51" i="5"/>
  <c r="W38" i="6" s="1"/>
  <c r="L51" i="5"/>
  <c r="H38" i="6" s="1"/>
  <c r="T51" i="5"/>
  <c r="P38" i="6" s="1"/>
  <c r="I53" i="5"/>
  <c r="E40" i="6" s="1"/>
  <c r="Q53" i="5"/>
  <c r="M40" i="6" s="1"/>
  <c r="Y53" i="5"/>
  <c r="U40" i="6" s="1"/>
  <c r="J53" i="5"/>
  <c r="F40" i="6" s="1"/>
  <c r="R53" i="5"/>
  <c r="N40" i="6" s="1"/>
  <c r="Z53" i="5"/>
  <c r="V40" i="6" s="1"/>
  <c r="K53" i="5"/>
  <c r="G40" i="6" s="1"/>
  <c r="S53" i="5"/>
  <c r="O40" i="6" s="1"/>
  <c r="AA53" i="5"/>
  <c r="W40" i="6" s="1"/>
  <c r="L53" i="5"/>
  <c r="H40" i="6" s="1"/>
  <c r="T53" i="5"/>
  <c r="P40" i="6" s="1"/>
  <c r="M53" i="5"/>
  <c r="I40" i="6" s="1"/>
  <c r="U53" i="5"/>
  <c r="Q40" i="6" s="1"/>
  <c r="F53" i="5"/>
  <c r="B40" i="6" s="1"/>
  <c r="N53" i="5"/>
  <c r="J40" i="6" s="1"/>
  <c r="V53" i="5"/>
  <c r="R40" i="6" s="1"/>
  <c r="G53" i="5"/>
  <c r="C40" i="6" s="1"/>
  <c r="O53" i="5"/>
  <c r="K40" i="6" s="1"/>
  <c r="W53" i="5"/>
  <c r="S40" i="6" s="1"/>
  <c r="H53" i="5"/>
  <c r="D40" i="6" s="1"/>
  <c r="P53" i="5"/>
  <c r="L40" i="6" s="1"/>
  <c r="X53" i="5"/>
  <c r="T40" i="6" s="1"/>
  <c r="M55" i="5"/>
  <c r="I42" i="6" s="1"/>
  <c r="U55" i="5"/>
  <c r="Q42" i="6" s="1"/>
  <c r="F55" i="5"/>
  <c r="B42" i="6" s="1"/>
  <c r="G55" i="5"/>
  <c r="C42" i="6" s="1"/>
  <c r="O55" i="5"/>
  <c r="K42" i="6" s="1"/>
  <c r="W55" i="5"/>
  <c r="S42" i="6" s="1"/>
  <c r="I55" i="5"/>
  <c r="E42" i="6" s="1"/>
  <c r="Q55" i="5"/>
  <c r="M42" i="6" s="1"/>
  <c r="Y55" i="5"/>
  <c r="U42" i="6" s="1"/>
  <c r="J55" i="5"/>
  <c r="F42" i="6" s="1"/>
  <c r="R55" i="5"/>
  <c r="N42" i="6" s="1"/>
  <c r="Z55" i="5"/>
  <c r="V42" i="6" s="1"/>
  <c r="K55" i="5"/>
  <c r="G42" i="6" s="1"/>
  <c r="S55" i="5"/>
  <c r="O42" i="6" s="1"/>
  <c r="AA55" i="5"/>
  <c r="W42" i="6" s="1"/>
  <c r="N55" i="5"/>
  <c r="J42" i="6" s="1"/>
  <c r="P55" i="5"/>
  <c r="L42" i="6" s="1"/>
  <c r="T55" i="5"/>
  <c r="P42" i="6" s="1"/>
  <c r="V55" i="5"/>
  <c r="R42" i="6" s="1"/>
  <c r="X55" i="5"/>
  <c r="T42" i="6" s="1"/>
  <c r="H55" i="5"/>
  <c r="D42" i="6" s="1"/>
  <c r="L55" i="5"/>
  <c r="H42" i="6" s="1"/>
  <c r="I57" i="5"/>
  <c r="E44" i="6" s="1"/>
  <c r="Q57" i="5"/>
  <c r="M44" i="6" s="1"/>
  <c r="Y57" i="5"/>
  <c r="U44" i="6" s="1"/>
  <c r="K57" i="5"/>
  <c r="G44" i="6" s="1"/>
  <c r="S57" i="5"/>
  <c r="O44" i="6" s="1"/>
  <c r="AA57" i="5"/>
  <c r="W44" i="6" s="1"/>
  <c r="M57" i="5"/>
  <c r="I44" i="6" s="1"/>
  <c r="U57" i="5"/>
  <c r="Q44" i="6" s="1"/>
  <c r="F57" i="5"/>
  <c r="B44" i="6" s="1"/>
  <c r="N57" i="5"/>
  <c r="J44" i="6" s="1"/>
  <c r="V57" i="5"/>
  <c r="R44" i="6" s="1"/>
  <c r="G57" i="5"/>
  <c r="C44" i="6" s="1"/>
  <c r="O57" i="5"/>
  <c r="K44" i="6" s="1"/>
  <c r="W57" i="5"/>
  <c r="S44" i="6" s="1"/>
  <c r="L57" i="5"/>
  <c r="H44" i="6" s="1"/>
  <c r="P57" i="5"/>
  <c r="L44" i="6" s="1"/>
  <c r="H57" i="5"/>
  <c r="D44" i="6" s="1"/>
  <c r="R57" i="5"/>
  <c r="N44" i="6" s="1"/>
  <c r="T57" i="5"/>
  <c r="P44" i="6" s="1"/>
  <c r="X57" i="5"/>
  <c r="T44" i="6" s="1"/>
  <c r="Z57" i="5"/>
  <c r="V44" i="6" s="1"/>
  <c r="J57" i="5"/>
  <c r="F44" i="6" s="1"/>
  <c r="M59" i="5"/>
  <c r="I46" i="6" s="1"/>
  <c r="U59" i="5"/>
  <c r="Q46" i="6" s="1"/>
  <c r="G59" i="5"/>
  <c r="C46" i="6" s="1"/>
  <c r="O59" i="5"/>
  <c r="K46" i="6" s="1"/>
  <c r="W59" i="5"/>
  <c r="S46" i="6" s="1"/>
  <c r="I59" i="5"/>
  <c r="E46" i="6" s="1"/>
  <c r="Q59" i="5"/>
  <c r="M46" i="6" s="1"/>
  <c r="Y59" i="5"/>
  <c r="U46" i="6" s="1"/>
  <c r="J59" i="5"/>
  <c r="F46" i="6" s="1"/>
  <c r="R59" i="5"/>
  <c r="N46" i="6" s="1"/>
  <c r="Z59" i="5"/>
  <c r="V46" i="6" s="1"/>
  <c r="K59" i="5"/>
  <c r="G46" i="6" s="1"/>
  <c r="S59" i="5"/>
  <c r="O46" i="6" s="1"/>
  <c r="AA59" i="5"/>
  <c r="W46" i="6" s="1"/>
  <c r="L59" i="5"/>
  <c r="H46" i="6" s="1"/>
  <c r="N59" i="5"/>
  <c r="J46" i="6" s="1"/>
  <c r="P59" i="5"/>
  <c r="L46" i="6" s="1"/>
  <c r="T59" i="5"/>
  <c r="P46" i="6" s="1"/>
  <c r="V59" i="5"/>
  <c r="R46" i="6" s="1"/>
  <c r="X59" i="5"/>
  <c r="T46" i="6" s="1"/>
  <c r="F59" i="5"/>
  <c r="B46" i="6" s="1"/>
  <c r="H59" i="5"/>
  <c r="D46" i="6" s="1"/>
  <c r="I61" i="5"/>
  <c r="E48" i="6" s="1"/>
  <c r="Q61" i="5"/>
  <c r="M48" i="6" s="1"/>
  <c r="Y61" i="5"/>
  <c r="U48" i="6" s="1"/>
  <c r="K61" i="5"/>
  <c r="G48" i="6" s="1"/>
  <c r="S61" i="5"/>
  <c r="O48" i="6" s="1"/>
  <c r="AA61" i="5"/>
  <c r="W48" i="6" s="1"/>
  <c r="M61" i="5"/>
  <c r="I48" i="6" s="1"/>
  <c r="U61" i="5"/>
  <c r="Q48" i="6" s="1"/>
  <c r="F61" i="5"/>
  <c r="B48" i="6" s="1"/>
  <c r="N61" i="5"/>
  <c r="J48" i="6" s="1"/>
  <c r="V61" i="5"/>
  <c r="R48" i="6" s="1"/>
  <c r="G61" i="5"/>
  <c r="C48" i="6" s="1"/>
  <c r="O61" i="5"/>
  <c r="K48" i="6" s="1"/>
  <c r="W61" i="5"/>
  <c r="S48" i="6" s="1"/>
  <c r="J61" i="5"/>
  <c r="F48" i="6" s="1"/>
  <c r="L61" i="5"/>
  <c r="H48" i="6" s="1"/>
  <c r="Z61" i="5"/>
  <c r="V48" i="6" s="1"/>
  <c r="P61" i="5"/>
  <c r="L48" i="6" s="1"/>
  <c r="R61" i="5"/>
  <c r="N48" i="6" s="1"/>
  <c r="T61" i="5"/>
  <c r="P48" i="6" s="1"/>
  <c r="X61" i="5"/>
  <c r="T48" i="6" s="1"/>
  <c r="H61" i="5"/>
  <c r="D48" i="6" s="1"/>
  <c r="M63" i="5"/>
  <c r="I50" i="6" s="1"/>
  <c r="U63" i="5"/>
  <c r="Q50" i="6" s="1"/>
  <c r="G63" i="5"/>
  <c r="C50" i="6" s="1"/>
  <c r="O63" i="5"/>
  <c r="K50" i="6" s="1"/>
  <c r="W63" i="5"/>
  <c r="S50" i="6" s="1"/>
  <c r="I63" i="5"/>
  <c r="E50" i="6" s="1"/>
  <c r="Q63" i="5"/>
  <c r="M50" i="6" s="1"/>
  <c r="Y63" i="5"/>
  <c r="U50" i="6" s="1"/>
  <c r="J63" i="5"/>
  <c r="F50" i="6" s="1"/>
  <c r="R63" i="5"/>
  <c r="N50" i="6" s="1"/>
  <c r="Z63" i="5"/>
  <c r="V50" i="6" s="1"/>
  <c r="K63" i="5"/>
  <c r="G50" i="6" s="1"/>
  <c r="S63" i="5"/>
  <c r="O50" i="6" s="1"/>
  <c r="AA63" i="5"/>
  <c r="W50" i="6" s="1"/>
  <c r="H63" i="5"/>
  <c r="D50" i="6" s="1"/>
  <c r="X63" i="5"/>
  <c r="T50" i="6" s="1"/>
  <c r="L63" i="5"/>
  <c r="H50" i="6" s="1"/>
  <c r="N63" i="5"/>
  <c r="J50" i="6" s="1"/>
  <c r="P63" i="5"/>
  <c r="L50" i="6" s="1"/>
  <c r="T63" i="5"/>
  <c r="P50" i="6" s="1"/>
  <c r="V63" i="5"/>
  <c r="R50" i="6" s="1"/>
  <c r="F63" i="5"/>
  <c r="B50" i="6" s="1"/>
  <c r="K65" i="5"/>
  <c r="G52" i="6" s="1"/>
  <c r="S65" i="5"/>
  <c r="O52" i="6" s="1"/>
  <c r="AA65" i="5"/>
  <c r="W52" i="6" s="1"/>
  <c r="F65" i="5"/>
  <c r="B52" i="6" s="1"/>
  <c r="N65" i="5"/>
  <c r="J52" i="6" s="1"/>
  <c r="V65" i="5"/>
  <c r="R52" i="6" s="1"/>
  <c r="G65" i="5"/>
  <c r="C52" i="6" s="1"/>
  <c r="O65" i="5"/>
  <c r="K52" i="6" s="1"/>
  <c r="W65" i="5"/>
  <c r="S52" i="6" s="1"/>
  <c r="R65" i="5"/>
  <c r="N52" i="6" s="1"/>
  <c r="H65" i="5"/>
  <c r="D52" i="6" s="1"/>
  <c r="T65" i="5"/>
  <c r="P52" i="6" s="1"/>
  <c r="I65" i="5"/>
  <c r="E52" i="6" s="1"/>
  <c r="U65" i="5"/>
  <c r="Q52" i="6" s="1"/>
  <c r="J65" i="5"/>
  <c r="F52" i="6" s="1"/>
  <c r="X65" i="5"/>
  <c r="T52" i="6" s="1"/>
  <c r="L65" i="5"/>
  <c r="H52" i="6" s="1"/>
  <c r="Y65" i="5"/>
  <c r="U52" i="6" s="1"/>
  <c r="P65" i="5"/>
  <c r="L52" i="6" s="1"/>
  <c r="M65" i="5"/>
  <c r="I52" i="6" s="1"/>
  <c r="Z65" i="5"/>
  <c r="V52" i="6" s="1"/>
  <c r="Q65" i="5"/>
  <c r="M52" i="6" s="1"/>
  <c r="G67" i="5"/>
  <c r="C54" i="6" s="1"/>
  <c r="O67" i="5"/>
  <c r="K54" i="6" s="1"/>
  <c r="W67" i="5"/>
  <c r="S54" i="6" s="1"/>
  <c r="J67" i="5"/>
  <c r="F54" i="6" s="1"/>
  <c r="R67" i="5"/>
  <c r="N54" i="6" s="1"/>
  <c r="Z67" i="5"/>
  <c r="V54" i="6" s="1"/>
  <c r="K67" i="5"/>
  <c r="G54" i="6" s="1"/>
  <c r="S67" i="5"/>
  <c r="O54" i="6" s="1"/>
  <c r="AA67" i="5"/>
  <c r="W54" i="6" s="1"/>
  <c r="M67" i="5"/>
  <c r="I54" i="6" s="1"/>
  <c r="Y67" i="5"/>
  <c r="U54" i="6" s="1"/>
  <c r="N67" i="5"/>
  <c r="J54" i="6" s="1"/>
  <c r="I67" i="5"/>
  <c r="E54" i="6" s="1"/>
  <c r="P67" i="5"/>
  <c r="L54" i="6" s="1"/>
  <c r="Q67" i="5"/>
  <c r="M54" i="6" s="1"/>
  <c r="F67" i="5"/>
  <c r="B54" i="6" s="1"/>
  <c r="T67" i="5"/>
  <c r="P54" i="6" s="1"/>
  <c r="H67" i="5"/>
  <c r="D54" i="6" s="1"/>
  <c r="U67" i="5"/>
  <c r="Q54" i="6" s="1"/>
  <c r="V67" i="5"/>
  <c r="R54" i="6" s="1"/>
  <c r="L67" i="5"/>
  <c r="H54" i="6" s="1"/>
  <c r="X67" i="5"/>
  <c r="T54" i="6" s="1"/>
  <c r="K69" i="5"/>
  <c r="G56" i="6" s="1"/>
  <c r="S69" i="5"/>
  <c r="O56" i="6" s="1"/>
  <c r="AA69" i="5"/>
  <c r="W56" i="6" s="1"/>
  <c r="F69" i="5"/>
  <c r="B56" i="6" s="1"/>
  <c r="N69" i="5"/>
  <c r="J56" i="6" s="1"/>
  <c r="V69" i="5"/>
  <c r="R56" i="6" s="1"/>
  <c r="G69" i="5"/>
  <c r="C56" i="6" s="1"/>
  <c r="O69" i="5"/>
  <c r="K56" i="6" s="1"/>
  <c r="W69" i="5"/>
  <c r="S56" i="6" s="1"/>
  <c r="H69" i="5"/>
  <c r="D56" i="6" s="1"/>
  <c r="T69" i="5"/>
  <c r="P56" i="6" s="1"/>
  <c r="I69" i="5"/>
  <c r="E56" i="6" s="1"/>
  <c r="U69" i="5"/>
  <c r="Q56" i="6" s="1"/>
  <c r="J69" i="5"/>
  <c r="F56" i="6" s="1"/>
  <c r="X69" i="5"/>
  <c r="T56" i="6" s="1"/>
  <c r="L69" i="5"/>
  <c r="H56" i="6" s="1"/>
  <c r="Y69" i="5"/>
  <c r="U56" i="6" s="1"/>
  <c r="M69" i="5"/>
  <c r="I56" i="6" s="1"/>
  <c r="Z69" i="5"/>
  <c r="V56" i="6" s="1"/>
  <c r="Q69" i="5"/>
  <c r="M56" i="6" s="1"/>
  <c r="P69" i="5"/>
  <c r="L56" i="6" s="1"/>
  <c r="R69" i="5"/>
  <c r="N56" i="6" s="1"/>
  <c r="G71" i="5"/>
  <c r="C58" i="6" s="1"/>
  <c r="O71" i="5"/>
  <c r="K58" i="6" s="1"/>
  <c r="W71" i="5"/>
  <c r="S58" i="6" s="1"/>
  <c r="J71" i="5"/>
  <c r="F58" i="6" s="1"/>
  <c r="R71" i="5"/>
  <c r="N58" i="6" s="1"/>
  <c r="Z71" i="5"/>
  <c r="V58" i="6" s="1"/>
  <c r="K71" i="5"/>
  <c r="G58" i="6" s="1"/>
  <c r="S71" i="5"/>
  <c r="O58" i="6" s="1"/>
  <c r="AA71" i="5"/>
  <c r="W58" i="6" s="1"/>
  <c r="N71" i="5"/>
  <c r="J58" i="6" s="1"/>
  <c r="P71" i="5"/>
  <c r="L58" i="6" s="1"/>
  <c r="Q71" i="5"/>
  <c r="M58" i="6" s="1"/>
  <c r="X71" i="5"/>
  <c r="T58" i="6" s="1"/>
  <c r="F71" i="5"/>
  <c r="B58" i="6" s="1"/>
  <c r="T71" i="5"/>
  <c r="P58" i="6" s="1"/>
  <c r="H71" i="5"/>
  <c r="D58" i="6" s="1"/>
  <c r="U71" i="5"/>
  <c r="Q58" i="6" s="1"/>
  <c r="I71" i="5"/>
  <c r="E58" i="6" s="1"/>
  <c r="V71" i="5"/>
  <c r="R58" i="6" s="1"/>
  <c r="L71" i="5"/>
  <c r="H58" i="6" s="1"/>
  <c r="M71" i="5"/>
  <c r="I58" i="6" s="1"/>
  <c r="Y71" i="5"/>
  <c r="U58" i="6" s="1"/>
  <c r="K73" i="5"/>
  <c r="G60" i="6" s="1"/>
  <c r="S73" i="5"/>
  <c r="O60" i="6" s="1"/>
  <c r="AA73" i="5"/>
  <c r="W60" i="6" s="1"/>
  <c r="F73" i="5"/>
  <c r="B60" i="6" s="1"/>
  <c r="N73" i="5"/>
  <c r="J60" i="6" s="1"/>
  <c r="V73" i="5"/>
  <c r="R60" i="6" s="1"/>
  <c r="G73" i="5"/>
  <c r="C60" i="6" s="1"/>
  <c r="O73" i="5"/>
  <c r="K60" i="6" s="1"/>
  <c r="W73" i="5"/>
  <c r="S60" i="6" s="1"/>
  <c r="I73" i="5"/>
  <c r="E60" i="6" s="1"/>
  <c r="U73" i="5"/>
  <c r="Q60" i="6" s="1"/>
  <c r="J73" i="5"/>
  <c r="F60" i="6" s="1"/>
  <c r="X73" i="5"/>
  <c r="T60" i="6" s="1"/>
  <c r="R73" i="5"/>
  <c r="N60" i="6" s="1"/>
  <c r="L73" i="5"/>
  <c r="H60" i="6" s="1"/>
  <c r="Y73" i="5"/>
  <c r="U60" i="6" s="1"/>
  <c r="M73" i="5"/>
  <c r="I60" i="6" s="1"/>
  <c r="Z73" i="5"/>
  <c r="V60" i="6" s="1"/>
  <c r="P73" i="5"/>
  <c r="L60" i="6" s="1"/>
  <c r="Q73" i="5"/>
  <c r="M60" i="6" s="1"/>
  <c r="H73" i="5"/>
  <c r="D60" i="6" s="1"/>
  <c r="T73" i="5"/>
  <c r="P60" i="6" s="1"/>
  <c r="A109" i="5"/>
  <c r="K75" i="5"/>
  <c r="G62" i="6" s="1"/>
  <c r="S75" i="5"/>
  <c r="O62" i="6" s="1"/>
  <c r="AA75" i="5"/>
  <c r="W62" i="6" s="1"/>
  <c r="I75" i="5"/>
  <c r="E62" i="6" s="1"/>
  <c r="L75" i="5"/>
  <c r="H62" i="6" s="1"/>
  <c r="T75" i="5"/>
  <c r="P62" i="6" s="1"/>
  <c r="M75" i="5"/>
  <c r="I62" i="6" s="1"/>
  <c r="U75" i="5"/>
  <c r="Q62" i="6" s="1"/>
  <c r="Q75" i="5"/>
  <c r="M62" i="6" s="1"/>
  <c r="F75" i="5"/>
  <c r="B62" i="6" s="1"/>
  <c r="N75" i="5"/>
  <c r="J62" i="6" s="1"/>
  <c r="V75" i="5"/>
  <c r="R62" i="6" s="1"/>
  <c r="G75" i="5"/>
  <c r="C62" i="6" s="1"/>
  <c r="O75" i="5"/>
  <c r="K62" i="6" s="1"/>
  <c r="W75" i="5"/>
  <c r="S62" i="6" s="1"/>
  <c r="Y75" i="5"/>
  <c r="U62" i="6" s="1"/>
  <c r="H75" i="5"/>
  <c r="D62" i="6" s="1"/>
  <c r="P75" i="5"/>
  <c r="L62" i="6" s="1"/>
  <c r="X75" i="5"/>
  <c r="T62" i="6" s="1"/>
  <c r="J75" i="5"/>
  <c r="F62" i="6" s="1"/>
  <c r="R75" i="5"/>
  <c r="N62" i="6" s="1"/>
  <c r="Z75" i="5"/>
  <c r="V62" i="6" s="1"/>
  <c r="A109" i="2"/>
  <c r="J75" i="2"/>
  <c r="F31" i="6" s="1"/>
  <c r="R75" i="2"/>
  <c r="N31" i="6" s="1"/>
  <c r="K75" i="2"/>
  <c r="G31" i="6" s="1"/>
  <c r="O31" i="6"/>
  <c r="L75" i="2"/>
  <c r="H31" i="6" s="1"/>
  <c r="P31" i="6"/>
  <c r="M75" i="2"/>
  <c r="I31" i="6" s="1"/>
  <c r="Q31" i="6"/>
  <c r="F75" i="2"/>
  <c r="B31" i="6" s="1"/>
  <c r="N75" i="2"/>
  <c r="J31" i="6" s="1"/>
  <c r="R31" i="6"/>
  <c r="I75" i="2"/>
  <c r="E31" i="6" s="1"/>
  <c r="Q75" i="2"/>
  <c r="M31" i="6" s="1"/>
  <c r="T31" i="6"/>
  <c r="P75" i="2"/>
  <c r="L31" i="6" s="1"/>
  <c r="G75" i="2"/>
  <c r="C31" i="6" s="1"/>
  <c r="O75" i="2"/>
  <c r="K31" i="6" s="1"/>
  <c r="H75" i="2"/>
  <c r="D31" i="6" s="1"/>
  <c r="S31" i="6"/>
  <c r="A108" i="2"/>
  <c r="M74" i="2"/>
  <c r="I30" i="6" s="1"/>
  <c r="Q30" i="6"/>
  <c r="F74" i="2"/>
  <c r="B30" i="6" s="1"/>
  <c r="N74" i="2"/>
  <c r="J30" i="6" s="1"/>
  <c r="R30" i="6"/>
  <c r="G74" i="2"/>
  <c r="C30" i="6" s="1"/>
  <c r="O74" i="2"/>
  <c r="K30" i="6" s="1"/>
  <c r="S30" i="6"/>
  <c r="H74" i="2"/>
  <c r="D30" i="6" s="1"/>
  <c r="P74" i="2"/>
  <c r="L30" i="6" s="1"/>
  <c r="T30" i="6"/>
  <c r="I74" i="2"/>
  <c r="E30" i="6" s="1"/>
  <c r="Q74" i="2"/>
  <c r="M30" i="6" s="1"/>
  <c r="L74" i="2"/>
  <c r="H30" i="6" s="1"/>
  <c r="P30" i="6"/>
  <c r="K74" i="2"/>
  <c r="G30" i="6" s="1"/>
  <c r="R74" i="2"/>
  <c r="N30" i="6" s="1"/>
  <c r="O30" i="6"/>
  <c r="J74" i="2"/>
  <c r="F30" i="6" s="1"/>
  <c r="A107" i="2"/>
  <c r="H73" i="2"/>
  <c r="D29" i="6" s="1"/>
  <c r="P73" i="2"/>
  <c r="L29" i="6" s="1"/>
  <c r="T29" i="6"/>
  <c r="I73" i="2"/>
  <c r="E29" i="6" s="1"/>
  <c r="Q73" i="2"/>
  <c r="M29" i="6" s="1"/>
  <c r="J73" i="2"/>
  <c r="F29" i="6" s="1"/>
  <c r="R73" i="2"/>
  <c r="N29" i="6" s="1"/>
  <c r="K73" i="2"/>
  <c r="G29" i="6" s="1"/>
  <c r="O29" i="6"/>
  <c r="L73" i="2"/>
  <c r="H29" i="6" s="1"/>
  <c r="P29" i="6"/>
  <c r="G73" i="2"/>
  <c r="C29" i="6" s="1"/>
  <c r="O73" i="2"/>
  <c r="K29" i="6" s="1"/>
  <c r="S29" i="6"/>
  <c r="F73" i="2"/>
  <c r="B29" i="6" s="1"/>
  <c r="M73" i="2"/>
  <c r="I29" i="6" s="1"/>
  <c r="N73" i="2"/>
  <c r="J29" i="6" s="1"/>
  <c r="Q29" i="6"/>
  <c r="R29" i="6"/>
  <c r="H69" i="1"/>
  <c r="D88" i="6" s="1"/>
  <c r="P69" i="1"/>
  <c r="L88" i="6" s="1"/>
  <c r="X69" i="1"/>
  <c r="T88" i="6" s="1"/>
  <c r="I69" i="1"/>
  <c r="E88" i="6" s="1"/>
  <c r="Q69" i="1"/>
  <c r="M88" i="6" s="1"/>
  <c r="J69" i="1"/>
  <c r="F88" i="6" s="1"/>
  <c r="R69" i="1"/>
  <c r="N88" i="6" s="1"/>
  <c r="K69" i="1"/>
  <c r="G88" i="6" s="1"/>
  <c r="S69" i="1"/>
  <c r="O88" i="6" s="1"/>
  <c r="F69" i="1"/>
  <c r="B88" i="6" s="1"/>
  <c r="L69" i="1"/>
  <c r="H88" i="6" s="1"/>
  <c r="T69" i="1"/>
  <c r="P88" i="6" s="1"/>
  <c r="V69" i="1"/>
  <c r="R88" i="6" s="1"/>
  <c r="M69" i="1"/>
  <c r="I88" i="6" s="1"/>
  <c r="U69" i="1"/>
  <c r="Q88" i="6" s="1"/>
  <c r="G69" i="1"/>
  <c r="C88" i="6" s="1"/>
  <c r="O69" i="1"/>
  <c r="K88" i="6" s="1"/>
  <c r="W69" i="1"/>
  <c r="S88" i="6" s="1"/>
  <c r="N69" i="1"/>
  <c r="J88" i="6" s="1"/>
  <c r="I73" i="1"/>
  <c r="E92" i="6" s="1"/>
  <c r="Q73" i="1"/>
  <c r="M92" i="6" s="1"/>
  <c r="O73" i="1"/>
  <c r="K92" i="6" s="1"/>
  <c r="J73" i="1"/>
  <c r="F92" i="6" s="1"/>
  <c r="R73" i="1"/>
  <c r="N92" i="6" s="1"/>
  <c r="K73" i="1"/>
  <c r="G92" i="6" s="1"/>
  <c r="S73" i="1"/>
  <c r="O92" i="6" s="1"/>
  <c r="L73" i="1"/>
  <c r="H92" i="6" s="1"/>
  <c r="T73" i="1"/>
  <c r="P92" i="6" s="1"/>
  <c r="M73" i="1"/>
  <c r="I92" i="6" s="1"/>
  <c r="U73" i="1"/>
  <c r="Q92" i="6" s="1"/>
  <c r="F73" i="1"/>
  <c r="B92" i="6" s="1"/>
  <c r="N73" i="1"/>
  <c r="J92" i="6" s="1"/>
  <c r="V73" i="1"/>
  <c r="R92" i="6" s="1"/>
  <c r="G73" i="1"/>
  <c r="C92" i="6" s="1"/>
  <c r="H73" i="1"/>
  <c r="D92" i="6" s="1"/>
  <c r="P73" i="1"/>
  <c r="L92" i="6" s="1"/>
  <c r="X73" i="1"/>
  <c r="T92" i="6" s="1"/>
  <c r="W73" i="1"/>
  <c r="S92" i="6" s="1"/>
  <c r="M75" i="1"/>
  <c r="I94" i="6" s="1"/>
  <c r="U75" i="1"/>
  <c r="Q94" i="6" s="1"/>
  <c r="S75" i="1"/>
  <c r="O94" i="6" s="1"/>
  <c r="F75" i="1"/>
  <c r="B94" i="6" s="1"/>
  <c r="N75" i="1"/>
  <c r="J94" i="6" s="1"/>
  <c r="V75" i="1"/>
  <c r="R94" i="6" s="1"/>
  <c r="G75" i="1"/>
  <c r="C94" i="6" s="1"/>
  <c r="O75" i="1"/>
  <c r="K94" i="6" s="1"/>
  <c r="W75" i="1"/>
  <c r="S94" i="6" s="1"/>
  <c r="H75" i="1"/>
  <c r="D94" i="6" s="1"/>
  <c r="P75" i="1"/>
  <c r="L94" i="6" s="1"/>
  <c r="X75" i="1"/>
  <c r="T94" i="6" s="1"/>
  <c r="I75" i="1"/>
  <c r="E94" i="6" s="1"/>
  <c r="Q75" i="1"/>
  <c r="M94" i="6" s="1"/>
  <c r="J75" i="1"/>
  <c r="F94" i="6" s="1"/>
  <c r="R75" i="1"/>
  <c r="N94" i="6" s="1"/>
  <c r="L75" i="1"/>
  <c r="H94" i="6" s="1"/>
  <c r="T75" i="1"/>
  <c r="P94" i="6" s="1"/>
  <c r="K75" i="1"/>
  <c r="G94" i="6" s="1"/>
  <c r="G76" i="1"/>
  <c r="C95" i="6" s="1"/>
  <c r="O76" i="1"/>
  <c r="K95" i="6" s="1"/>
  <c r="W76" i="1"/>
  <c r="S95" i="6" s="1"/>
  <c r="H76" i="1"/>
  <c r="D95" i="6" s="1"/>
  <c r="P76" i="1"/>
  <c r="L95" i="6" s="1"/>
  <c r="X76" i="1"/>
  <c r="T95" i="6" s="1"/>
  <c r="I76" i="1"/>
  <c r="E95" i="6" s="1"/>
  <c r="Q76" i="1"/>
  <c r="M95" i="6" s="1"/>
  <c r="J76" i="1"/>
  <c r="F95" i="6" s="1"/>
  <c r="R76" i="1"/>
  <c r="N95" i="6" s="1"/>
  <c r="K76" i="1"/>
  <c r="G95" i="6" s="1"/>
  <c r="S76" i="1"/>
  <c r="O95" i="6" s="1"/>
  <c r="L76" i="1"/>
  <c r="H95" i="6" s="1"/>
  <c r="T76" i="1"/>
  <c r="P95" i="6" s="1"/>
  <c r="M76" i="1"/>
  <c r="I95" i="6" s="1"/>
  <c r="F76" i="1"/>
  <c r="B95" i="6" s="1"/>
  <c r="N76" i="1"/>
  <c r="J95" i="6" s="1"/>
  <c r="V76" i="1"/>
  <c r="R95" i="6" s="1"/>
  <c r="U76" i="1"/>
  <c r="Q95" i="6" s="1"/>
  <c r="K74" i="1"/>
  <c r="G93" i="6" s="1"/>
  <c r="S74" i="1"/>
  <c r="O93" i="6" s="1"/>
  <c r="L74" i="1"/>
  <c r="H93" i="6" s="1"/>
  <c r="T74" i="1"/>
  <c r="P93" i="6" s="1"/>
  <c r="Q74" i="1"/>
  <c r="M93" i="6" s="1"/>
  <c r="M74" i="1"/>
  <c r="I93" i="6" s="1"/>
  <c r="U74" i="1"/>
  <c r="Q93" i="6" s="1"/>
  <c r="F74" i="1"/>
  <c r="B93" i="6" s="1"/>
  <c r="N74" i="1"/>
  <c r="J93" i="6" s="1"/>
  <c r="V74" i="1"/>
  <c r="R93" i="6" s="1"/>
  <c r="I74" i="1"/>
  <c r="E93" i="6" s="1"/>
  <c r="G74" i="1"/>
  <c r="C93" i="6" s="1"/>
  <c r="O74" i="1"/>
  <c r="K93" i="6" s="1"/>
  <c r="W74" i="1"/>
  <c r="S93" i="6" s="1"/>
  <c r="H74" i="1"/>
  <c r="D93" i="6" s="1"/>
  <c r="P74" i="1"/>
  <c r="L93" i="6" s="1"/>
  <c r="X74" i="1"/>
  <c r="T93" i="6" s="1"/>
  <c r="J74" i="1"/>
  <c r="F93" i="6" s="1"/>
  <c r="R74" i="1"/>
  <c r="N93" i="6" s="1"/>
  <c r="G72" i="1"/>
  <c r="C91" i="6" s="1"/>
  <c r="O72" i="1"/>
  <c r="K91" i="6" s="1"/>
  <c r="W72" i="1"/>
  <c r="S91" i="6" s="1"/>
  <c r="H72" i="1"/>
  <c r="D91" i="6" s="1"/>
  <c r="P72" i="1"/>
  <c r="L91" i="6" s="1"/>
  <c r="X72" i="1"/>
  <c r="T91" i="6" s="1"/>
  <c r="U72" i="1"/>
  <c r="Q91" i="6" s="1"/>
  <c r="I72" i="1"/>
  <c r="E91" i="6" s="1"/>
  <c r="Q72" i="1"/>
  <c r="M91" i="6" s="1"/>
  <c r="J72" i="1"/>
  <c r="F91" i="6" s="1"/>
  <c r="R72" i="1"/>
  <c r="N91" i="6" s="1"/>
  <c r="M72" i="1"/>
  <c r="I91" i="6" s="1"/>
  <c r="K72" i="1"/>
  <c r="G91" i="6" s="1"/>
  <c r="S72" i="1"/>
  <c r="O91" i="6" s="1"/>
  <c r="L72" i="1"/>
  <c r="H91" i="6" s="1"/>
  <c r="T72" i="1"/>
  <c r="P91" i="6" s="1"/>
  <c r="F72" i="1"/>
  <c r="B91" i="6" s="1"/>
  <c r="N72" i="1"/>
  <c r="J91" i="6" s="1"/>
  <c r="V72" i="1"/>
  <c r="R91" i="6" s="1"/>
  <c r="J70" i="1"/>
  <c r="F89" i="6" s="1"/>
  <c r="R70" i="1"/>
  <c r="N89" i="6" s="1"/>
  <c r="K70" i="1"/>
  <c r="G89" i="6" s="1"/>
  <c r="S70" i="1"/>
  <c r="O89" i="6" s="1"/>
  <c r="H70" i="1"/>
  <c r="D89" i="6" s="1"/>
  <c r="L70" i="1"/>
  <c r="H89" i="6" s="1"/>
  <c r="T70" i="1"/>
  <c r="P89" i="6" s="1"/>
  <c r="X70" i="1"/>
  <c r="T89" i="6" s="1"/>
  <c r="M70" i="1"/>
  <c r="I89" i="6" s="1"/>
  <c r="U70" i="1"/>
  <c r="Q89" i="6" s="1"/>
  <c r="F70" i="1"/>
  <c r="B89" i="6" s="1"/>
  <c r="N70" i="1"/>
  <c r="J89" i="6" s="1"/>
  <c r="V70" i="1"/>
  <c r="R89" i="6" s="1"/>
  <c r="G70" i="1"/>
  <c r="C89" i="6" s="1"/>
  <c r="O70" i="1"/>
  <c r="K89" i="6" s="1"/>
  <c r="W70" i="1"/>
  <c r="S89" i="6" s="1"/>
  <c r="P70" i="1"/>
  <c r="L89" i="6" s="1"/>
  <c r="I70" i="1"/>
  <c r="E89" i="6" s="1"/>
  <c r="Q70" i="1"/>
  <c r="M89" i="6" s="1"/>
  <c r="M71" i="1"/>
  <c r="I90" i="6" s="1"/>
  <c r="U71" i="1"/>
  <c r="Q90" i="6" s="1"/>
  <c r="K71" i="1"/>
  <c r="G90" i="6" s="1"/>
  <c r="N71" i="1"/>
  <c r="J90" i="6" s="1"/>
  <c r="V71" i="1"/>
  <c r="R90" i="6" s="1"/>
  <c r="F71" i="1"/>
  <c r="B90" i="6" s="1"/>
  <c r="O71" i="1"/>
  <c r="K90" i="6" s="1"/>
  <c r="W71" i="1"/>
  <c r="S90" i="6" s="1"/>
  <c r="G71" i="1"/>
  <c r="C90" i="6" s="1"/>
  <c r="H71" i="1"/>
  <c r="D90" i="6" s="1"/>
  <c r="P71" i="1"/>
  <c r="L90" i="6" s="1"/>
  <c r="X71" i="1"/>
  <c r="T90" i="6" s="1"/>
  <c r="I71" i="1"/>
  <c r="E90" i="6" s="1"/>
  <c r="Q71" i="1"/>
  <c r="M90" i="6" s="1"/>
  <c r="J71" i="1"/>
  <c r="F90" i="6" s="1"/>
  <c r="R71" i="1"/>
  <c r="N90" i="6" s="1"/>
  <c r="S71" i="1"/>
  <c r="O90" i="6" s="1"/>
  <c r="L71" i="1"/>
  <c r="H90" i="6" s="1"/>
  <c r="T71" i="1"/>
  <c r="P90" i="6" s="1"/>
  <c r="E38" i="5"/>
  <c r="C80" i="5" s="1"/>
  <c r="A90" i="5"/>
  <c r="A93" i="5"/>
  <c r="A82" i="5"/>
  <c r="A104" i="5"/>
  <c r="D98" i="5"/>
  <c r="D100" i="5"/>
  <c r="A85" i="5"/>
  <c r="A97" i="5"/>
  <c r="D106" i="5"/>
  <c r="A107" i="5"/>
  <c r="A84" i="5"/>
  <c r="A86" i="5"/>
  <c r="A92" i="5"/>
  <c r="A96" i="5"/>
  <c r="A87" i="5"/>
  <c r="A95" i="5"/>
  <c r="B103" i="5"/>
  <c r="B94" i="5"/>
  <c r="B102" i="5"/>
  <c r="A83" i="5"/>
  <c r="A89" i="5"/>
  <c r="A91" i="5"/>
  <c r="A99" i="5"/>
  <c r="B101" i="5"/>
  <c r="B105" i="5"/>
  <c r="A88" i="5"/>
  <c r="A101" i="5"/>
  <c r="A103" i="5"/>
  <c r="A105" i="5"/>
  <c r="A94" i="5"/>
  <c r="A98" i="5"/>
  <c r="A100" i="5"/>
  <c r="A102" i="5"/>
  <c r="F83" i="5" l="1"/>
  <c r="N83" i="5"/>
  <c r="V83" i="5"/>
  <c r="H84" i="5"/>
  <c r="P84" i="5"/>
  <c r="X84" i="5"/>
  <c r="J85" i="5"/>
  <c r="R85" i="5"/>
  <c r="Z85" i="5"/>
  <c r="L86" i="5"/>
  <c r="T86" i="5"/>
  <c r="F87" i="5"/>
  <c r="N87" i="5"/>
  <c r="V87" i="5"/>
  <c r="H88" i="5"/>
  <c r="P88" i="5"/>
  <c r="X88" i="5"/>
  <c r="J89" i="5"/>
  <c r="R89" i="5"/>
  <c r="Z89" i="5"/>
  <c r="L90" i="5"/>
  <c r="T90" i="5"/>
  <c r="F91" i="5"/>
  <c r="N91" i="5"/>
  <c r="V91" i="5"/>
  <c r="H92" i="5"/>
  <c r="P92" i="5"/>
  <c r="X92" i="5"/>
  <c r="J93" i="5"/>
  <c r="R93" i="5"/>
  <c r="Z93" i="5"/>
  <c r="L94" i="5"/>
  <c r="T94" i="5"/>
  <c r="F95" i="5"/>
  <c r="N95" i="5"/>
  <c r="V95" i="5"/>
  <c r="H96" i="5"/>
  <c r="P96" i="5"/>
  <c r="X96" i="5"/>
  <c r="J97" i="5"/>
  <c r="R97" i="5"/>
  <c r="Z97" i="5"/>
  <c r="L98" i="5"/>
  <c r="T98" i="5"/>
  <c r="F99" i="5"/>
  <c r="N99" i="5"/>
  <c r="V99" i="5"/>
  <c r="H100" i="5"/>
  <c r="P100" i="5"/>
  <c r="X100" i="5"/>
  <c r="J101" i="5"/>
  <c r="R101" i="5"/>
  <c r="Z101" i="5"/>
  <c r="L102" i="5"/>
  <c r="T102" i="5"/>
  <c r="F103" i="5"/>
  <c r="N103" i="5"/>
  <c r="V103" i="5"/>
  <c r="H104" i="5"/>
  <c r="P104" i="5"/>
  <c r="X104" i="5"/>
  <c r="J105" i="5"/>
  <c r="R105" i="5"/>
  <c r="Z105" i="5"/>
  <c r="L106" i="5"/>
  <c r="T106" i="5"/>
  <c r="F107" i="5"/>
  <c r="N107" i="5"/>
  <c r="V107" i="5"/>
  <c r="H108" i="5"/>
  <c r="P108" i="5"/>
  <c r="X108" i="5"/>
  <c r="J109" i="5"/>
  <c r="R109" i="5"/>
  <c r="Z109" i="5"/>
  <c r="L110" i="5"/>
  <c r="T110" i="5"/>
  <c r="G82" i="5"/>
  <c r="O82" i="5"/>
  <c r="W82" i="5"/>
  <c r="G83" i="5"/>
  <c r="O83" i="5"/>
  <c r="W83" i="5"/>
  <c r="I84" i="5"/>
  <c r="Q84" i="5"/>
  <c r="Y84" i="5"/>
  <c r="K85" i="5"/>
  <c r="S85" i="5"/>
  <c r="AA85" i="5"/>
  <c r="M86" i="5"/>
  <c r="U86" i="5"/>
  <c r="G87" i="5"/>
  <c r="O87" i="5"/>
  <c r="W87" i="5"/>
  <c r="I88" i="5"/>
  <c r="Q88" i="5"/>
  <c r="Y88" i="5"/>
  <c r="K89" i="5"/>
  <c r="S89" i="5"/>
  <c r="AA89" i="5"/>
  <c r="M90" i="5"/>
  <c r="U90" i="5"/>
  <c r="G91" i="5"/>
  <c r="O91" i="5"/>
  <c r="W91" i="5"/>
  <c r="I92" i="5"/>
  <c r="Q92" i="5"/>
  <c r="Y92" i="5"/>
  <c r="K93" i="5"/>
  <c r="S93" i="5"/>
  <c r="AA93" i="5"/>
  <c r="M94" i="5"/>
  <c r="U94" i="5"/>
  <c r="G95" i="5"/>
  <c r="O95" i="5"/>
  <c r="W95" i="5"/>
  <c r="I96" i="5"/>
  <c r="Q96" i="5"/>
  <c r="Y96" i="5"/>
  <c r="K97" i="5"/>
  <c r="S97" i="5"/>
  <c r="AA97" i="5"/>
  <c r="M98" i="5"/>
  <c r="U98" i="5"/>
  <c r="G99" i="5"/>
  <c r="O99" i="5"/>
  <c r="W99" i="5"/>
  <c r="I100" i="5"/>
  <c r="Q100" i="5"/>
  <c r="Y100" i="5"/>
  <c r="K101" i="5"/>
  <c r="S101" i="5"/>
  <c r="AA101" i="5"/>
  <c r="M102" i="5"/>
  <c r="U102" i="5"/>
  <c r="G103" i="5"/>
  <c r="O103" i="5"/>
  <c r="H83" i="5"/>
  <c r="P83" i="5"/>
  <c r="X83" i="5"/>
  <c r="J84" i="5"/>
  <c r="R84" i="5"/>
  <c r="Z84" i="5"/>
  <c r="L85" i="5"/>
  <c r="T85" i="5"/>
  <c r="F86" i="5"/>
  <c r="N86" i="5"/>
  <c r="V86" i="5"/>
  <c r="H87" i="5"/>
  <c r="P87" i="5"/>
  <c r="X87" i="5"/>
  <c r="J88" i="5"/>
  <c r="R88" i="5"/>
  <c r="Z88" i="5"/>
  <c r="L89" i="5"/>
  <c r="T89" i="5"/>
  <c r="F90" i="5"/>
  <c r="N90" i="5"/>
  <c r="V90" i="5"/>
  <c r="H91" i="5"/>
  <c r="P91" i="5"/>
  <c r="X91" i="5"/>
  <c r="J92" i="5"/>
  <c r="R92" i="5"/>
  <c r="Z92" i="5"/>
  <c r="L93" i="5"/>
  <c r="T93" i="5"/>
  <c r="F94" i="5"/>
  <c r="N94" i="5"/>
  <c r="V94" i="5"/>
  <c r="H95" i="5"/>
  <c r="P95" i="5"/>
  <c r="X95" i="5"/>
  <c r="J96" i="5"/>
  <c r="R96" i="5"/>
  <c r="Z96" i="5"/>
  <c r="L97" i="5"/>
  <c r="T97" i="5"/>
  <c r="F98" i="5"/>
  <c r="N98" i="5"/>
  <c r="V98" i="5"/>
  <c r="H99" i="5"/>
  <c r="P99" i="5"/>
  <c r="X99" i="5"/>
  <c r="J100" i="5"/>
  <c r="R100" i="5"/>
  <c r="Z100" i="5"/>
  <c r="L101" i="5"/>
  <c r="T101" i="5"/>
  <c r="F102" i="5"/>
  <c r="N102" i="5"/>
  <c r="V102" i="5"/>
  <c r="H103" i="5"/>
  <c r="P103" i="5"/>
  <c r="X103" i="5"/>
  <c r="J104" i="5"/>
  <c r="R104" i="5"/>
  <c r="Z104" i="5"/>
  <c r="L105" i="5"/>
  <c r="T105" i="5"/>
  <c r="F106" i="5"/>
  <c r="N106" i="5"/>
  <c r="V106" i="5"/>
  <c r="H107" i="5"/>
  <c r="P107" i="5"/>
  <c r="X107" i="5"/>
  <c r="J108" i="5"/>
  <c r="R108" i="5"/>
  <c r="Z108" i="5"/>
  <c r="L109" i="5"/>
  <c r="T109" i="5"/>
  <c r="F110" i="5"/>
  <c r="N110" i="5"/>
  <c r="V110" i="5"/>
  <c r="I82" i="5"/>
  <c r="Q82" i="5"/>
  <c r="Y82" i="5"/>
  <c r="I83" i="5"/>
  <c r="Q83" i="5"/>
  <c r="Y83" i="5"/>
  <c r="K84" i="5"/>
  <c r="S84" i="5"/>
  <c r="AA84" i="5"/>
  <c r="M85" i="5"/>
  <c r="U85" i="5"/>
  <c r="G86" i="5"/>
  <c r="O86" i="5"/>
  <c r="W86" i="5"/>
  <c r="I87" i="5"/>
  <c r="Q87" i="5"/>
  <c r="Y87" i="5"/>
  <c r="K88" i="5"/>
  <c r="S88" i="5"/>
  <c r="AA88" i="5"/>
  <c r="M89" i="5"/>
  <c r="U89" i="5"/>
  <c r="G90" i="5"/>
  <c r="O90" i="5"/>
  <c r="W90" i="5"/>
  <c r="I91" i="5"/>
  <c r="Q91" i="5"/>
  <c r="Y91" i="5"/>
  <c r="K92" i="5"/>
  <c r="S92" i="5"/>
  <c r="AA92" i="5"/>
  <c r="M93" i="5"/>
  <c r="U93" i="5"/>
  <c r="U116" i="5" s="1"/>
  <c r="G94" i="5"/>
  <c r="O94" i="5"/>
  <c r="W94" i="5"/>
  <c r="I95" i="5"/>
  <c r="Q95" i="5"/>
  <c r="Y95" i="5"/>
  <c r="K96" i="5"/>
  <c r="S96" i="5"/>
  <c r="AA96" i="5"/>
  <c r="M97" i="5"/>
  <c r="U97" i="5"/>
  <c r="G98" i="5"/>
  <c r="O98" i="5"/>
  <c r="W98" i="5"/>
  <c r="I99" i="5"/>
  <c r="Q99" i="5"/>
  <c r="Y99" i="5"/>
  <c r="K100" i="5"/>
  <c r="S100" i="5"/>
  <c r="AA100" i="5"/>
  <c r="M101" i="5"/>
  <c r="U101" i="5"/>
  <c r="G102" i="5"/>
  <c r="O102" i="5"/>
  <c r="W102" i="5"/>
  <c r="I103" i="5"/>
  <c r="Q103" i="5"/>
  <c r="Y103" i="5"/>
  <c r="K104" i="5"/>
  <c r="S104" i="5"/>
  <c r="AA104" i="5"/>
  <c r="M105" i="5"/>
  <c r="U105" i="5"/>
  <c r="G106" i="5"/>
  <c r="O106" i="5"/>
  <c r="W106" i="5"/>
  <c r="I107" i="5"/>
  <c r="Q107" i="5"/>
  <c r="Y107" i="5"/>
  <c r="K108" i="5"/>
  <c r="S108" i="5"/>
  <c r="AA108" i="5"/>
  <c r="M109" i="5"/>
  <c r="U109" i="5"/>
  <c r="G110" i="5"/>
  <c r="O110" i="5"/>
  <c r="W110" i="5"/>
  <c r="J82" i="5"/>
  <c r="R82" i="5"/>
  <c r="Z82" i="5"/>
  <c r="J83" i="5"/>
  <c r="R83" i="5"/>
  <c r="Z83" i="5"/>
  <c r="L84" i="5"/>
  <c r="T84" i="5"/>
  <c r="F85" i="5"/>
  <c r="N85" i="5"/>
  <c r="V85" i="5"/>
  <c r="H86" i="5"/>
  <c r="P86" i="5"/>
  <c r="X86" i="5"/>
  <c r="J87" i="5"/>
  <c r="R87" i="5"/>
  <c r="Z87" i="5"/>
  <c r="L88" i="5"/>
  <c r="T88" i="5"/>
  <c r="F89" i="5"/>
  <c r="N89" i="5"/>
  <c r="V89" i="5"/>
  <c r="H90" i="5"/>
  <c r="P90" i="5"/>
  <c r="X90" i="5"/>
  <c r="J91" i="5"/>
  <c r="R91" i="5"/>
  <c r="Z91" i="5"/>
  <c r="L92" i="5"/>
  <c r="T92" i="5"/>
  <c r="F93" i="5"/>
  <c r="N93" i="5"/>
  <c r="V93" i="5"/>
  <c r="V116" i="5" s="1"/>
  <c r="H94" i="5"/>
  <c r="P94" i="5"/>
  <c r="X94" i="5"/>
  <c r="J95" i="5"/>
  <c r="R95" i="5"/>
  <c r="Z95" i="5"/>
  <c r="L96" i="5"/>
  <c r="T96" i="5"/>
  <c r="F97" i="5"/>
  <c r="N97" i="5"/>
  <c r="V97" i="5"/>
  <c r="H98" i="5"/>
  <c r="P98" i="5"/>
  <c r="X98" i="5"/>
  <c r="J99" i="5"/>
  <c r="R99" i="5"/>
  <c r="Z99" i="5"/>
  <c r="L100" i="5"/>
  <c r="T100" i="5"/>
  <c r="F101" i="5"/>
  <c r="N101" i="5"/>
  <c r="V101" i="5"/>
  <c r="H102" i="5"/>
  <c r="P102" i="5"/>
  <c r="X102" i="5"/>
  <c r="J103" i="5"/>
  <c r="R103" i="5"/>
  <c r="Z103" i="5"/>
  <c r="L104" i="5"/>
  <c r="T104" i="5"/>
  <c r="F105" i="5"/>
  <c r="N105" i="5"/>
  <c r="V105" i="5"/>
  <c r="H106" i="5"/>
  <c r="P106" i="5"/>
  <c r="X106" i="5"/>
  <c r="J107" i="5"/>
  <c r="R107" i="5"/>
  <c r="Z107" i="5"/>
  <c r="L108" i="5"/>
  <c r="T108" i="5"/>
  <c r="F109" i="5"/>
  <c r="N109" i="5"/>
  <c r="V109" i="5"/>
  <c r="H110" i="5"/>
  <c r="P110" i="5"/>
  <c r="X110" i="5"/>
  <c r="K82" i="5"/>
  <c r="S82" i="5"/>
  <c r="K83" i="5"/>
  <c r="S83" i="5"/>
  <c r="AA83" i="5"/>
  <c r="M84" i="5"/>
  <c r="U84" i="5"/>
  <c r="G85" i="5"/>
  <c r="O85" i="5"/>
  <c r="W85" i="5"/>
  <c r="I86" i="5"/>
  <c r="Q86" i="5"/>
  <c r="Y86" i="5"/>
  <c r="K87" i="5"/>
  <c r="S87" i="5"/>
  <c r="AA87" i="5"/>
  <c r="M88" i="5"/>
  <c r="U88" i="5"/>
  <c r="G89" i="5"/>
  <c r="O89" i="5"/>
  <c r="W89" i="5"/>
  <c r="I90" i="5"/>
  <c r="Q90" i="5"/>
  <c r="Y90" i="5"/>
  <c r="K91" i="5"/>
  <c r="S91" i="5"/>
  <c r="AA91" i="5"/>
  <c r="M92" i="5"/>
  <c r="U92" i="5"/>
  <c r="G93" i="5"/>
  <c r="O93" i="5"/>
  <c r="O116" i="5" s="1"/>
  <c r="W93" i="5"/>
  <c r="W116" i="5" s="1"/>
  <c r="I94" i="5"/>
  <c r="Q94" i="5"/>
  <c r="Y94" i="5"/>
  <c r="K95" i="5"/>
  <c r="S95" i="5"/>
  <c r="AA95" i="5"/>
  <c r="M96" i="5"/>
  <c r="U96" i="5"/>
  <c r="G97" i="5"/>
  <c r="O97" i="5"/>
  <c r="W97" i="5"/>
  <c r="I98" i="5"/>
  <c r="Q98" i="5"/>
  <c r="Y98" i="5"/>
  <c r="K99" i="5"/>
  <c r="S99" i="5"/>
  <c r="AA99" i="5"/>
  <c r="M100" i="5"/>
  <c r="U100" i="5"/>
  <c r="G101" i="5"/>
  <c r="O101" i="5"/>
  <c r="W101" i="5"/>
  <c r="I102" i="5"/>
  <c r="Q102" i="5"/>
  <c r="Y102" i="5"/>
  <c r="K103" i="5"/>
  <c r="S103" i="5"/>
  <c r="M83" i="5"/>
  <c r="U83" i="5"/>
  <c r="G84" i="5"/>
  <c r="O84" i="5"/>
  <c r="W84" i="5"/>
  <c r="I85" i="5"/>
  <c r="Q85" i="5"/>
  <c r="Y85" i="5"/>
  <c r="K86" i="5"/>
  <c r="S86" i="5"/>
  <c r="AA86" i="5"/>
  <c r="M87" i="5"/>
  <c r="U87" i="5"/>
  <c r="G88" i="5"/>
  <c r="O88" i="5"/>
  <c r="W88" i="5"/>
  <c r="I89" i="5"/>
  <c r="Q89" i="5"/>
  <c r="Y89" i="5"/>
  <c r="K90" i="5"/>
  <c r="S90" i="5"/>
  <c r="AA90" i="5"/>
  <c r="M91" i="5"/>
  <c r="U91" i="5"/>
  <c r="G92" i="5"/>
  <c r="O92" i="5"/>
  <c r="W92" i="5"/>
  <c r="I93" i="5"/>
  <c r="Q93" i="5"/>
  <c r="Y93" i="5"/>
  <c r="Y116" i="5" s="1"/>
  <c r="K94" i="5"/>
  <c r="S94" i="5"/>
  <c r="AA94" i="5"/>
  <c r="M95" i="5"/>
  <c r="U95" i="5"/>
  <c r="G96" i="5"/>
  <c r="O96" i="5"/>
  <c r="W96" i="5"/>
  <c r="I97" i="5"/>
  <c r="Q97" i="5"/>
  <c r="Y97" i="5"/>
  <c r="K98" i="5"/>
  <c r="S98" i="5"/>
  <c r="AA98" i="5"/>
  <c r="M99" i="5"/>
  <c r="U99" i="5"/>
  <c r="G100" i="5"/>
  <c r="O100" i="5"/>
  <c r="W100" i="5"/>
  <c r="I101" i="5"/>
  <c r="Q101" i="5"/>
  <c r="Y101" i="5"/>
  <c r="K102" i="5"/>
  <c r="S102" i="5"/>
  <c r="AA102" i="5"/>
  <c r="M103" i="5"/>
  <c r="U103" i="5"/>
  <c r="G104" i="5"/>
  <c r="O104" i="5"/>
  <c r="W104" i="5"/>
  <c r="I105" i="5"/>
  <c r="Q105" i="5"/>
  <c r="Y105" i="5"/>
  <c r="K106" i="5"/>
  <c r="S106" i="5"/>
  <c r="AA106" i="5"/>
  <c r="M107" i="5"/>
  <c r="U107" i="5"/>
  <c r="G108" i="5"/>
  <c r="O108" i="5"/>
  <c r="W108" i="5"/>
  <c r="I109" i="5"/>
  <c r="Q109" i="5"/>
  <c r="Y109" i="5"/>
  <c r="K110" i="5"/>
  <c r="S110" i="5"/>
  <c r="AA110" i="5"/>
  <c r="N82" i="5"/>
  <c r="V82" i="5"/>
  <c r="L83" i="5"/>
  <c r="J86" i="5"/>
  <c r="H89" i="5"/>
  <c r="F92" i="5"/>
  <c r="Z94" i="5"/>
  <c r="X97" i="5"/>
  <c r="V100" i="5"/>
  <c r="T103" i="5"/>
  <c r="U104" i="5"/>
  <c r="S105" i="5"/>
  <c r="R106" i="5"/>
  <c r="S107" i="5"/>
  <c r="Q108" i="5"/>
  <c r="P109" i="5"/>
  <c r="Q110" i="5"/>
  <c r="P82" i="5"/>
  <c r="T83" i="5"/>
  <c r="R86" i="5"/>
  <c r="P89" i="5"/>
  <c r="N92" i="5"/>
  <c r="L95" i="5"/>
  <c r="J98" i="5"/>
  <c r="H101" i="5"/>
  <c r="W103" i="5"/>
  <c r="V104" i="5"/>
  <c r="W105" i="5"/>
  <c r="U106" i="5"/>
  <c r="T107" i="5"/>
  <c r="U108" i="5"/>
  <c r="S109" i="5"/>
  <c r="R110" i="5"/>
  <c r="T82" i="5"/>
  <c r="F84" i="5"/>
  <c r="Z86" i="5"/>
  <c r="X89" i="5"/>
  <c r="V92" i="5"/>
  <c r="T95" i="5"/>
  <c r="R98" i="5"/>
  <c r="P101" i="5"/>
  <c r="AA103" i="5"/>
  <c r="Y104" i="5"/>
  <c r="X105" i="5"/>
  <c r="Y106" i="5"/>
  <c r="W107" i="5"/>
  <c r="V108" i="5"/>
  <c r="W109" i="5"/>
  <c r="U110" i="5"/>
  <c r="U82" i="5"/>
  <c r="N84" i="5"/>
  <c r="L87" i="5"/>
  <c r="J90" i="5"/>
  <c r="H93" i="5"/>
  <c r="F96" i="5"/>
  <c r="Z98" i="5"/>
  <c r="X101" i="5"/>
  <c r="F104" i="5"/>
  <c r="G105" i="5"/>
  <c r="AA105" i="5"/>
  <c r="Z106" i="5"/>
  <c r="AA107" i="5"/>
  <c r="Y108" i="5"/>
  <c r="X109" i="5"/>
  <c r="Y110" i="5"/>
  <c r="X82" i="5"/>
  <c r="V84" i="5"/>
  <c r="T87" i="5"/>
  <c r="R90" i="5"/>
  <c r="P93" i="5"/>
  <c r="P116" i="5" s="1"/>
  <c r="N96" i="5"/>
  <c r="L99" i="5"/>
  <c r="J102" i="5"/>
  <c r="I104" i="5"/>
  <c r="H105" i="5"/>
  <c r="I106" i="5"/>
  <c r="G107" i="5"/>
  <c r="F108" i="5"/>
  <c r="G109" i="5"/>
  <c r="AA109" i="5"/>
  <c r="Z110" i="5"/>
  <c r="AA82" i="5"/>
  <c r="H85" i="5"/>
  <c r="F88" i="5"/>
  <c r="Z90" i="5"/>
  <c r="X93" i="5"/>
  <c r="X116" i="5" s="1"/>
  <c r="V96" i="5"/>
  <c r="T99" i="5"/>
  <c r="R102" i="5"/>
  <c r="M104" i="5"/>
  <c r="K105" i="5"/>
  <c r="J106" i="5"/>
  <c r="K107" i="5"/>
  <c r="I108" i="5"/>
  <c r="H109" i="5"/>
  <c r="I110" i="5"/>
  <c r="H82" i="5"/>
  <c r="P85" i="5"/>
  <c r="N88" i="5"/>
  <c r="L91" i="5"/>
  <c r="J94" i="5"/>
  <c r="H97" i="5"/>
  <c r="F100" i="5"/>
  <c r="Z102" i="5"/>
  <c r="N104" i="5"/>
  <c r="O105" i="5"/>
  <c r="M106" i="5"/>
  <c r="L107" i="5"/>
  <c r="M108" i="5"/>
  <c r="K109" i="5"/>
  <c r="J110" i="5"/>
  <c r="L82" i="5"/>
  <c r="X85" i="5"/>
  <c r="P105" i="5"/>
  <c r="V88" i="5"/>
  <c r="Q106" i="5"/>
  <c r="T91" i="5"/>
  <c r="O107" i="5"/>
  <c r="M82" i="5"/>
  <c r="R94" i="5"/>
  <c r="N108" i="5"/>
  <c r="L103" i="5"/>
  <c r="P97" i="5"/>
  <c r="O109" i="5"/>
  <c r="N100" i="5"/>
  <c r="M110" i="5"/>
  <c r="Q104" i="5"/>
  <c r="F82" i="5"/>
  <c r="T116" i="5" l="1"/>
  <c r="N116" i="5"/>
  <c r="Q116" i="5"/>
  <c r="M116" i="5"/>
  <c r="L116" i="5"/>
  <c r="S116" i="5"/>
  <c r="F116" i="5"/>
  <c r="G116" i="5"/>
  <c r="I116" i="5"/>
  <c r="H116" i="5"/>
  <c r="AA116" i="5"/>
  <c r="Z116" i="5"/>
  <c r="K116" i="5"/>
  <c r="J116" i="5"/>
  <c r="R116" i="5"/>
  <c r="S118" i="5"/>
  <c r="K117" i="5"/>
  <c r="L117" i="5"/>
  <c r="I118" i="5"/>
  <c r="AA117" i="5"/>
  <c r="P118" i="5"/>
  <c r="G118" i="5"/>
  <c r="N117" i="5"/>
  <c r="M118" i="5"/>
  <c r="O117" i="5"/>
  <c r="V118" i="5"/>
  <c r="AA118" i="5"/>
  <c r="H118" i="5"/>
  <c r="T118" i="5"/>
  <c r="Z117" i="5"/>
  <c r="U118" i="5"/>
  <c r="J118" i="5"/>
  <c r="F117" i="5"/>
  <c r="N118" i="5"/>
  <c r="W118" i="5"/>
  <c r="V117" i="5"/>
  <c r="I117" i="5"/>
  <c r="Y117" i="5"/>
  <c r="R117" i="5"/>
  <c r="X117" i="5"/>
  <c r="Q118" i="5"/>
  <c r="S117" i="5"/>
  <c r="X118" i="5"/>
  <c r="L118" i="5"/>
  <c r="O118" i="5"/>
  <c r="J117" i="5"/>
  <c r="Y118" i="5"/>
  <c r="T117" i="5"/>
  <c r="Q117" i="5"/>
  <c r="K118" i="5"/>
  <c r="F118" i="5"/>
  <c r="H117" i="5"/>
  <c r="U117" i="5"/>
  <c r="M117" i="5"/>
  <c r="Z118" i="5"/>
  <c r="P117" i="5"/>
  <c r="G117" i="5"/>
  <c r="W117" i="5"/>
  <c r="R118" i="5"/>
  <c r="A70" i="2"/>
  <c r="B70" i="2"/>
  <c r="B104" i="2" s="1"/>
  <c r="C70" i="2"/>
  <c r="C104" i="2" s="1"/>
  <c r="D70" i="2"/>
  <c r="D104" i="2" s="1"/>
  <c r="A71" i="2"/>
  <c r="B71" i="2"/>
  <c r="B105" i="2" s="1"/>
  <c r="C71" i="2"/>
  <c r="C105" i="2" s="1"/>
  <c r="D71" i="2"/>
  <c r="D105" i="2" s="1"/>
  <c r="A72" i="2"/>
  <c r="E48" i="2"/>
  <c r="E49" i="2"/>
  <c r="E50" i="2"/>
  <c r="E51" i="2"/>
  <c r="E52" i="2"/>
  <c r="E53" i="2"/>
  <c r="A9" i="6" s="1"/>
  <c r="E54" i="2"/>
  <c r="E55" i="2"/>
  <c r="E56" i="2"/>
  <c r="E57" i="2"/>
  <c r="E58" i="2"/>
  <c r="A14" i="6" s="1"/>
  <c r="E59" i="2"/>
  <c r="E60" i="2"/>
  <c r="E61" i="2"/>
  <c r="A17" i="6" s="1"/>
  <c r="E62" i="2"/>
  <c r="E63" i="2"/>
  <c r="E64" i="2"/>
  <c r="E65" i="2"/>
  <c r="E66" i="2"/>
  <c r="A22" i="6" s="1"/>
  <c r="E67" i="2"/>
  <c r="E68" i="2"/>
  <c r="E69" i="2"/>
  <c r="A25" i="6" s="1"/>
  <c r="E47" i="2"/>
  <c r="E70" i="2"/>
  <c r="E71" i="2"/>
  <c r="E72" i="2"/>
  <c r="E46" i="2"/>
  <c r="E80" i="2" s="1"/>
  <c r="G37" i="2"/>
  <c r="G38" i="2" s="1"/>
  <c r="H37" i="2"/>
  <c r="H38" i="2" s="1"/>
  <c r="I37" i="2"/>
  <c r="I38" i="2" s="1"/>
  <c r="J37" i="2"/>
  <c r="J38" i="2" s="1"/>
  <c r="K37" i="2"/>
  <c r="K38" i="2" s="1"/>
  <c r="L37" i="2"/>
  <c r="L38" i="2" s="1"/>
  <c r="M37" i="2"/>
  <c r="M38" i="2" s="1"/>
  <c r="N37" i="2"/>
  <c r="N38" i="2" s="1"/>
  <c r="O37" i="2"/>
  <c r="O38" i="2" s="1"/>
  <c r="P37" i="2"/>
  <c r="P38" i="2" s="1"/>
  <c r="Q37" i="2"/>
  <c r="Q38" i="2" s="1"/>
  <c r="R37" i="2"/>
  <c r="R38" i="2" s="1"/>
  <c r="F37" i="2"/>
  <c r="F38" i="2" s="1"/>
  <c r="O27" i="6" l="1"/>
  <c r="O26" i="6"/>
  <c r="E84" i="2"/>
  <c r="A6" i="6"/>
  <c r="E83" i="2"/>
  <c r="A5" i="6"/>
  <c r="E105" i="2"/>
  <c r="A27" i="6"/>
  <c r="E98" i="2"/>
  <c r="A20" i="6"/>
  <c r="E90" i="2"/>
  <c r="A12" i="6"/>
  <c r="E82" i="2"/>
  <c r="A4" i="6"/>
  <c r="E106" i="2"/>
  <c r="A28" i="6"/>
  <c r="E91" i="2"/>
  <c r="A13" i="6"/>
  <c r="E104" i="2"/>
  <c r="A26" i="6"/>
  <c r="E97" i="2"/>
  <c r="A19" i="6"/>
  <c r="E89" i="2"/>
  <c r="A11" i="6"/>
  <c r="E99" i="2"/>
  <c r="A21" i="6"/>
  <c r="E81" i="2"/>
  <c r="A3" i="6"/>
  <c r="E96" i="2"/>
  <c r="A18" i="6"/>
  <c r="E88" i="2"/>
  <c r="A10" i="6"/>
  <c r="E102" i="2"/>
  <c r="A24" i="6"/>
  <c r="E94" i="2"/>
  <c r="A16" i="6"/>
  <c r="E86" i="2"/>
  <c r="A8" i="6"/>
  <c r="E101" i="2"/>
  <c r="A23" i="6"/>
  <c r="E93" i="2"/>
  <c r="A15" i="6"/>
  <c r="E85" i="2"/>
  <c r="A7" i="6"/>
  <c r="F71" i="2"/>
  <c r="B27" i="6" s="1"/>
  <c r="N71" i="2"/>
  <c r="J27" i="6" s="1"/>
  <c r="R27" i="6"/>
  <c r="G71" i="2"/>
  <c r="C27" i="6" s="1"/>
  <c r="O71" i="2"/>
  <c r="K27" i="6" s="1"/>
  <c r="S27" i="6"/>
  <c r="H71" i="2"/>
  <c r="D27" i="6" s="1"/>
  <c r="P71" i="2"/>
  <c r="L27" i="6" s="1"/>
  <c r="T27" i="6"/>
  <c r="I71" i="2"/>
  <c r="E27" i="6" s="1"/>
  <c r="Q71" i="2"/>
  <c r="M27" i="6" s="1"/>
  <c r="J71" i="2"/>
  <c r="F27" i="6" s="1"/>
  <c r="R71" i="2"/>
  <c r="N27" i="6" s="1"/>
  <c r="M71" i="2"/>
  <c r="I27" i="6" s="1"/>
  <c r="Q27" i="6"/>
  <c r="K71" i="2"/>
  <c r="G27" i="6" s="1"/>
  <c r="L71" i="2"/>
  <c r="H27" i="6" s="1"/>
  <c r="P27" i="6"/>
  <c r="K72" i="2"/>
  <c r="G28" i="6" s="1"/>
  <c r="O28" i="6"/>
  <c r="L72" i="2"/>
  <c r="H28" i="6" s="1"/>
  <c r="P28" i="6"/>
  <c r="M72" i="2"/>
  <c r="I28" i="6" s="1"/>
  <c r="Q28" i="6"/>
  <c r="F72" i="2"/>
  <c r="B28" i="6" s="1"/>
  <c r="N72" i="2"/>
  <c r="J28" i="6" s="1"/>
  <c r="R28" i="6"/>
  <c r="G72" i="2"/>
  <c r="C28" i="6" s="1"/>
  <c r="O72" i="2"/>
  <c r="K28" i="6" s="1"/>
  <c r="S28" i="6"/>
  <c r="J72" i="2"/>
  <c r="F28" i="6" s="1"/>
  <c r="R72" i="2"/>
  <c r="N28" i="6" s="1"/>
  <c r="Q72" i="2"/>
  <c r="M28" i="6" s="1"/>
  <c r="T28" i="6"/>
  <c r="I72" i="2"/>
  <c r="E28" i="6" s="1"/>
  <c r="H72" i="2"/>
  <c r="D28" i="6" s="1"/>
  <c r="P72" i="2"/>
  <c r="L28" i="6" s="1"/>
  <c r="I70" i="2"/>
  <c r="E26" i="6" s="1"/>
  <c r="Q70" i="2"/>
  <c r="M26" i="6" s="1"/>
  <c r="J70" i="2"/>
  <c r="F26" i="6" s="1"/>
  <c r="R70" i="2"/>
  <c r="N26" i="6" s="1"/>
  <c r="K70" i="2"/>
  <c r="G26" i="6" s="1"/>
  <c r="L70" i="2"/>
  <c r="H26" i="6" s="1"/>
  <c r="P26" i="6"/>
  <c r="M70" i="2"/>
  <c r="I26" i="6" s="1"/>
  <c r="Q26" i="6"/>
  <c r="H70" i="2"/>
  <c r="D26" i="6" s="1"/>
  <c r="P70" i="2"/>
  <c r="L26" i="6" s="1"/>
  <c r="T26" i="6"/>
  <c r="S26" i="6"/>
  <c r="O70" i="2"/>
  <c r="K26" i="6" s="1"/>
  <c r="F70" i="2"/>
  <c r="B26" i="6" s="1"/>
  <c r="N70" i="2"/>
  <c r="J26" i="6" s="1"/>
  <c r="G70" i="2"/>
  <c r="C26" i="6" s="1"/>
  <c r="R26" i="6"/>
  <c r="P120" i="5"/>
  <c r="Y120" i="5"/>
  <c r="L120" i="5"/>
  <c r="M120" i="5"/>
  <c r="R120" i="5"/>
  <c r="O120" i="5"/>
  <c r="N120" i="5"/>
  <c r="J120" i="5"/>
  <c r="H120" i="5"/>
  <c r="AA120" i="5"/>
  <c r="S120" i="5"/>
  <c r="T120" i="5"/>
  <c r="X120" i="5"/>
  <c r="K120" i="5"/>
  <c r="G120" i="5"/>
  <c r="Q120" i="5"/>
  <c r="W120" i="5"/>
  <c r="V120" i="5"/>
  <c r="Z120" i="5"/>
  <c r="U120" i="5"/>
  <c r="I120" i="5"/>
  <c r="F120" i="5"/>
  <c r="A104" i="2"/>
  <c r="A106" i="2"/>
  <c r="A105" i="2"/>
  <c r="E100" i="2"/>
  <c r="E103" i="2"/>
  <c r="E87" i="2"/>
  <c r="E92" i="2"/>
  <c r="E95" i="2"/>
  <c r="A5" i="2" l="1"/>
  <c r="A48" i="2" s="1"/>
  <c r="B5" i="2"/>
  <c r="B48" i="2" s="1"/>
  <c r="B82" i="2" s="1"/>
  <c r="C5" i="2"/>
  <c r="C48" i="2" s="1"/>
  <c r="C82" i="2" s="1"/>
  <c r="D5" i="2"/>
  <c r="D48" i="2" s="1"/>
  <c r="D82" i="2" s="1"/>
  <c r="A6" i="2"/>
  <c r="A49" i="2" s="1"/>
  <c r="B6" i="2"/>
  <c r="B49" i="2" s="1"/>
  <c r="B83" i="2" s="1"/>
  <c r="C6" i="2"/>
  <c r="C49" i="2" s="1"/>
  <c r="C83" i="2" s="1"/>
  <c r="D6" i="2"/>
  <c r="D49" i="2" s="1"/>
  <c r="D83" i="2" s="1"/>
  <c r="A7" i="2"/>
  <c r="A50" i="2" s="1"/>
  <c r="B7" i="2"/>
  <c r="B50" i="2" s="1"/>
  <c r="B84" i="2" s="1"/>
  <c r="C7" i="2"/>
  <c r="C50" i="2" s="1"/>
  <c r="C84" i="2" s="1"/>
  <c r="D7" i="2"/>
  <c r="D50" i="2" s="1"/>
  <c r="D84" i="2" s="1"/>
  <c r="A8" i="2"/>
  <c r="A51" i="2" s="1"/>
  <c r="B8" i="2"/>
  <c r="B51" i="2" s="1"/>
  <c r="B85" i="2" s="1"/>
  <c r="C8" i="2"/>
  <c r="C51" i="2" s="1"/>
  <c r="C85" i="2" s="1"/>
  <c r="D8" i="2"/>
  <c r="D51" i="2" s="1"/>
  <c r="D85" i="2" s="1"/>
  <c r="A9" i="2"/>
  <c r="A52" i="2" s="1"/>
  <c r="B9" i="2"/>
  <c r="B52" i="2" s="1"/>
  <c r="B86" i="2" s="1"/>
  <c r="C9" i="2"/>
  <c r="C52" i="2" s="1"/>
  <c r="C86" i="2" s="1"/>
  <c r="D9" i="2"/>
  <c r="D52" i="2" s="1"/>
  <c r="D86" i="2" s="1"/>
  <c r="A10" i="2"/>
  <c r="A53" i="2" s="1"/>
  <c r="B10" i="2"/>
  <c r="B53" i="2" s="1"/>
  <c r="B87" i="2" s="1"/>
  <c r="C10" i="2"/>
  <c r="C53" i="2" s="1"/>
  <c r="C87" i="2" s="1"/>
  <c r="D10" i="2"/>
  <c r="D53" i="2" s="1"/>
  <c r="D87" i="2" s="1"/>
  <c r="A11" i="2"/>
  <c r="A54" i="2" s="1"/>
  <c r="B11" i="2"/>
  <c r="B54" i="2" s="1"/>
  <c r="B88" i="2" s="1"/>
  <c r="C11" i="2"/>
  <c r="C54" i="2" s="1"/>
  <c r="C88" i="2" s="1"/>
  <c r="D11" i="2"/>
  <c r="D54" i="2" s="1"/>
  <c r="D88" i="2" s="1"/>
  <c r="A12" i="2"/>
  <c r="A55" i="2" s="1"/>
  <c r="B12" i="2"/>
  <c r="B55" i="2" s="1"/>
  <c r="B89" i="2" s="1"/>
  <c r="C12" i="2"/>
  <c r="C55" i="2" s="1"/>
  <c r="C89" i="2" s="1"/>
  <c r="D12" i="2"/>
  <c r="D55" i="2" s="1"/>
  <c r="D89" i="2" s="1"/>
  <c r="A13" i="2"/>
  <c r="A56" i="2" s="1"/>
  <c r="B13" i="2"/>
  <c r="B56" i="2" s="1"/>
  <c r="B90" i="2" s="1"/>
  <c r="C13" i="2"/>
  <c r="C56" i="2" s="1"/>
  <c r="C90" i="2" s="1"/>
  <c r="D13" i="2"/>
  <c r="D56" i="2" s="1"/>
  <c r="D90" i="2" s="1"/>
  <c r="A14" i="2"/>
  <c r="A57" i="2" s="1"/>
  <c r="B14" i="2"/>
  <c r="B57" i="2" s="1"/>
  <c r="B91" i="2" s="1"/>
  <c r="C14" i="2"/>
  <c r="C57" i="2" s="1"/>
  <c r="C91" i="2" s="1"/>
  <c r="D14" i="2"/>
  <c r="D57" i="2" s="1"/>
  <c r="D91" i="2" s="1"/>
  <c r="A15" i="2"/>
  <c r="A58" i="2" s="1"/>
  <c r="B15" i="2"/>
  <c r="B58" i="2" s="1"/>
  <c r="B92" i="2" s="1"/>
  <c r="C15" i="2"/>
  <c r="C58" i="2" s="1"/>
  <c r="C92" i="2" s="1"/>
  <c r="D15" i="2"/>
  <c r="D58" i="2" s="1"/>
  <c r="D92" i="2" s="1"/>
  <c r="A16" i="2"/>
  <c r="A59" i="2" s="1"/>
  <c r="B16" i="2"/>
  <c r="B59" i="2" s="1"/>
  <c r="B93" i="2" s="1"/>
  <c r="C16" i="2"/>
  <c r="C59" i="2" s="1"/>
  <c r="C93" i="2" s="1"/>
  <c r="D16" i="2"/>
  <c r="D59" i="2" s="1"/>
  <c r="D93" i="2" s="1"/>
  <c r="A17" i="2"/>
  <c r="A60" i="2" s="1"/>
  <c r="B17" i="2"/>
  <c r="B60" i="2" s="1"/>
  <c r="B94" i="2" s="1"/>
  <c r="C17" i="2"/>
  <c r="C60" i="2" s="1"/>
  <c r="C94" i="2" s="1"/>
  <c r="D17" i="2"/>
  <c r="D60" i="2" s="1"/>
  <c r="D94" i="2" s="1"/>
  <c r="A18" i="2"/>
  <c r="A61" i="2" s="1"/>
  <c r="B18" i="2"/>
  <c r="B61" i="2" s="1"/>
  <c r="B95" i="2" s="1"/>
  <c r="C18" i="2"/>
  <c r="C61" i="2" s="1"/>
  <c r="C95" i="2" s="1"/>
  <c r="D18" i="2"/>
  <c r="D61" i="2" s="1"/>
  <c r="D95" i="2" s="1"/>
  <c r="A19" i="2"/>
  <c r="A62" i="2" s="1"/>
  <c r="B19" i="2"/>
  <c r="B62" i="2" s="1"/>
  <c r="B96" i="2" s="1"/>
  <c r="C19" i="2"/>
  <c r="C62" i="2" s="1"/>
  <c r="C96" i="2" s="1"/>
  <c r="D19" i="2"/>
  <c r="D62" i="2" s="1"/>
  <c r="D96" i="2" s="1"/>
  <c r="A20" i="2"/>
  <c r="A63" i="2" s="1"/>
  <c r="B20" i="2"/>
  <c r="B63" i="2" s="1"/>
  <c r="B97" i="2" s="1"/>
  <c r="C20" i="2"/>
  <c r="C63" i="2" s="1"/>
  <c r="C97" i="2" s="1"/>
  <c r="D20" i="2"/>
  <c r="D63" i="2" s="1"/>
  <c r="D97" i="2" s="1"/>
  <c r="A21" i="2"/>
  <c r="A64" i="2" s="1"/>
  <c r="B21" i="2"/>
  <c r="B64" i="2" s="1"/>
  <c r="B98" i="2" s="1"/>
  <c r="C21" i="2"/>
  <c r="C64" i="2" s="1"/>
  <c r="C98" i="2" s="1"/>
  <c r="D21" i="2"/>
  <c r="D64" i="2" s="1"/>
  <c r="D98" i="2" s="1"/>
  <c r="A22" i="2"/>
  <c r="A65" i="2" s="1"/>
  <c r="B22" i="2"/>
  <c r="B65" i="2" s="1"/>
  <c r="B99" i="2" s="1"/>
  <c r="C22" i="2"/>
  <c r="C65" i="2" s="1"/>
  <c r="C99" i="2" s="1"/>
  <c r="D22" i="2"/>
  <c r="D65" i="2" s="1"/>
  <c r="D99" i="2" s="1"/>
  <c r="A23" i="2"/>
  <c r="A66" i="2" s="1"/>
  <c r="B23" i="2"/>
  <c r="B66" i="2" s="1"/>
  <c r="B100" i="2" s="1"/>
  <c r="C23" i="2"/>
  <c r="C66" i="2" s="1"/>
  <c r="C100" i="2" s="1"/>
  <c r="D23" i="2"/>
  <c r="D66" i="2" s="1"/>
  <c r="D100" i="2" s="1"/>
  <c r="A24" i="2"/>
  <c r="A67" i="2" s="1"/>
  <c r="B24" i="2"/>
  <c r="B67" i="2" s="1"/>
  <c r="B101" i="2" s="1"/>
  <c r="C24" i="2"/>
  <c r="C67" i="2" s="1"/>
  <c r="C101" i="2" s="1"/>
  <c r="D24" i="2"/>
  <c r="D67" i="2" s="1"/>
  <c r="D101" i="2" s="1"/>
  <c r="A25" i="2"/>
  <c r="A68" i="2" s="1"/>
  <c r="B25" i="2"/>
  <c r="B68" i="2" s="1"/>
  <c r="B102" i="2" s="1"/>
  <c r="C25" i="2"/>
  <c r="C68" i="2" s="1"/>
  <c r="C102" i="2" s="1"/>
  <c r="D25" i="2"/>
  <c r="D68" i="2" s="1"/>
  <c r="D102" i="2" s="1"/>
  <c r="A26" i="2"/>
  <c r="A69" i="2" s="1"/>
  <c r="B69" i="2"/>
  <c r="B103" i="2" s="1"/>
  <c r="C69" i="2"/>
  <c r="C103" i="2" s="1"/>
  <c r="D69" i="2"/>
  <c r="D103" i="2" s="1"/>
  <c r="B4" i="2"/>
  <c r="B47" i="2" s="1"/>
  <c r="C4" i="2"/>
  <c r="C47" i="2" s="1"/>
  <c r="C81" i="2" s="1"/>
  <c r="D4" i="2"/>
  <c r="D47" i="2" s="1"/>
  <c r="D81" i="2" s="1"/>
  <c r="O13" i="6" l="1"/>
  <c r="L69" i="2"/>
  <c r="H25" i="6" s="1"/>
  <c r="P25" i="6"/>
  <c r="M69" i="2"/>
  <c r="I25" i="6" s="1"/>
  <c r="Q25" i="6"/>
  <c r="F69" i="2"/>
  <c r="B25" i="6" s="1"/>
  <c r="N69" i="2"/>
  <c r="J25" i="6" s="1"/>
  <c r="R25" i="6"/>
  <c r="G69" i="2"/>
  <c r="C25" i="6" s="1"/>
  <c r="O69" i="2"/>
  <c r="K25" i="6" s="1"/>
  <c r="S25" i="6"/>
  <c r="H69" i="2"/>
  <c r="D25" i="6" s="1"/>
  <c r="P69" i="2"/>
  <c r="L25" i="6" s="1"/>
  <c r="T25" i="6"/>
  <c r="K69" i="2"/>
  <c r="G25" i="6" s="1"/>
  <c r="O25" i="6"/>
  <c r="J69" i="2"/>
  <c r="F25" i="6" s="1"/>
  <c r="Q69" i="2"/>
  <c r="M25" i="6" s="1"/>
  <c r="R69" i="2"/>
  <c r="N25" i="6" s="1"/>
  <c r="I69" i="2"/>
  <c r="E25" i="6" s="1"/>
  <c r="J67" i="2"/>
  <c r="F23" i="6" s="1"/>
  <c r="R67" i="2"/>
  <c r="N23" i="6" s="1"/>
  <c r="K67" i="2"/>
  <c r="G23" i="6" s="1"/>
  <c r="O23" i="6"/>
  <c r="G67" i="2"/>
  <c r="C23" i="6" s="1"/>
  <c r="L67" i="2"/>
  <c r="H23" i="6" s="1"/>
  <c r="P23" i="6"/>
  <c r="M67" i="2"/>
  <c r="I23" i="6" s="1"/>
  <c r="Q23" i="6"/>
  <c r="F67" i="2"/>
  <c r="B23" i="6" s="1"/>
  <c r="N67" i="2"/>
  <c r="J23" i="6" s="1"/>
  <c r="R23" i="6"/>
  <c r="I67" i="2"/>
  <c r="E23" i="6" s="1"/>
  <c r="Q67" i="2"/>
  <c r="M23" i="6" s="1"/>
  <c r="O67" i="2"/>
  <c r="K23" i="6" s="1"/>
  <c r="P67" i="2"/>
  <c r="L23" i="6" s="1"/>
  <c r="S23" i="6"/>
  <c r="T23" i="6"/>
  <c r="H67" i="2"/>
  <c r="D23" i="6" s="1"/>
  <c r="H65" i="2"/>
  <c r="D21" i="6" s="1"/>
  <c r="P65" i="2"/>
  <c r="L21" i="6" s="1"/>
  <c r="T21" i="6"/>
  <c r="Q21" i="6"/>
  <c r="I65" i="2"/>
  <c r="E21" i="6" s="1"/>
  <c r="Q65" i="2"/>
  <c r="M21" i="6" s="1"/>
  <c r="J65" i="2"/>
  <c r="F21" i="6" s="1"/>
  <c r="R65" i="2"/>
  <c r="N21" i="6" s="1"/>
  <c r="K65" i="2"/>
  <c r="G21" i="6" s="1"/>
  <c r="O21" i="6"/>
  <c r="L65" i="2"/>
  <c r="H21" i="6" s="1"/>
  <c r="P21" i="6"/>
  <c r="G65" i="2"/>
  <c r="C21" i="6" s="1"/>
  <c r="O65" i="2"/>
  <c r="K21" i="6" s="1"/>
  <c r="S21" i="6"/>
  <c r="M65" i="2"/>
  <c r="I21" i="6" s="1"/>
  <c r="F65" i="2"/>
  <c r="B21" i="6" s="1"/>
  <c r="N65" i="2"/>
  <c r="J21" i="6" s="1"/>
  <c r="R21" i="6"/>
  <c r="F63" i="2"/>
  <c r="B19" i="6" s="1"/>
  <c r="N63" i="2"/>
  <c r="J19" i="6" s="1"/>
  <c r="R19" i="6"/>
  <c r="O19" i="6"/>
  <c r="G63" i="2"/>
  <c r="C19" i="6" s="1"/>
  <c r="O63" i="2"/>
  <c r="K19" i="6" s="1"/>
  <c r="S19" i="6"/>
  <c r="K63" i="2"/>
  <c r="G19" i="6" s="1"/>
  <c r="H63" i="2"/>
  <c r="D19" i="6" s="1"/>
  <c r="P63" i="2"/>
  <c r="L19" i="6" s="1"/>
  <c r="T19" i="6"/>
  <c r="I63" i="2"/>
  <c r="E19" i="6" s="1"/>
  <c r="Q63" i="2"/>
  <c r="M19" i="6" s="1"/>
  <c r="J63" i="2"/>
  <c r="F19" i="6" s="1"/>
  <c r="R63" i="2"/>
  <c r="N19" i="6" s="1"/>
  <c r="M63" i="2"/>
  <c r="I19" i="6" s="1"/>
  <c r="Q19" i="6"/>
  <c r="L63" i="2"/>
  <c r="H19" i="6" s="1"/>
  <c r="P19" i="6"/>
  <c r="L61" i="2"/>
  <c r="H17" i="6" s="1"/>
  <c r="P17" i="6"/>
  <c r="I61" i="2"/>
  <c r="E17" i="6" s="1"/>
  <c r="M61" i="2"/>
  <c r="I17" i="6" s="1"/>
  <c r="Q17" i="6"/>
  <c r="Q61" i="2"/>
  <c r="M17" i="6" s="1"/>
  <c r="F61" i="2"/>
  <c r="B17" i="6" s="1"/>
  <c r="N61" i="2"/>
  <c r="J17" i="6" s="1"/>
  <c r="R17" i="6"/>
  <c r="G61" i="2"/>
  <c r="C17" i="6" s="1"/>
  <c r="O61" i="2"/>
  <c r="K17" i="6" s="1"/>
  <c r="S17" i="6"/>
  <c r="H61" i="2"/>
  <c r="D17" i="6" s="1"/>
  <c r="P61" i="2"/>
  <c r="L17" i="6" s="1"/>
  <c r="T17" i="6"/>
  <c r="K61" i="2"/>
  <c r="G17" i="6" s="1"/>
  <c r="O17" i="6"/>
  <c r="J61" i="2"/>
  <c r="F17" i="6" s="1"/>
  <c r="R61" i="2"/>
  <c r="N17" i="6" s="1"/>
  <c r="J59" i="2"/>
  <c r="F15" i="6" s="1"/>
  <c r="R59" i="2"/>
  <c r="N15" i="6" s="1"/>
  <c r="K59" i="2"/>
  <c r="G15" i="6" s="1"/>
  <c r="O15" i="6"/>
  <c r="O59" i="2"/>
  <c r="K15" i="6" s="1"/>
  <c r="L59" i="2"/>
  <c r="H15" i="6" s="1"/>
  <c r="P15" i="6"/>
  <c r="M59" i="2"/>
  <c r="I15" i="6" s="1"/>
  <c r="Q15" i="6"/>
  <c r="S15" i="6"/>
  <c r="F59" i="2"/>
  <c r="B15" i="6" s="1"/>
  <c r="N59" i="2"/>
  <c r="J15" i="6" s="1"/>
  <c r="R15" i="6"/>
  <c r="I59" i="2"/>
  <c r="E15" i="6" s="1"/>
  <c r="Q59" i="2"/>
  <c r="M15" i="6" s="1"/>
  <c r="G59" i="2"/>
  <c r="C15" i="6" s="1"/>
  <c r="H59" i="2"/>
  <c r="D15" i="6" s="1"/>
  <c r="P59" i="2"/>
  <c r="L15" i="6" s="1"/>
  <c r="T15" i="6"/>
  <c r="H57" i="2"/>
  <c r="D13" i="6" s="1"/>
  <c r="P57" i="2"/>
  <c r="L13" i="6" s="1"/>
  <c r="T13" i="6"/>
  <c r="I57" i="2"/>
  <c r="E13" i="6" s="1"/>
  <c r="Q57" i="2"/>
  <c r="M13" i="6" s="1"/>
  <c r="M57" i="2"/>
  <c r="I13" i="6" s="1"/>
  <c r="J57" i="2"/>
  <c r="F13" i="6" s="1"/>
  <c r="R57" i="2"/>
  <c r="N13" i="6" s="1"/>
  <c r="K57" i="2"/>
  <c r="G13" i="6" s="1"/>
  <c r="L57" i="2"/>
  <c r="H13" i="6" s="1"/>
  <c r="P13" i="6"/>
  <c r="G57" i="2"/>
  <c r="C13" i="6" s="1"/>
  <c r="O57" i="2"/>
  <c r="K13" i="6" s="1"/>
  <c r="S13" i="6"/>
  <c r="Q13" i="6"/>
  <c r="N57" i="2"/>
  <c r="J13" i="6" s="1"/>
  <c r="R13" i="6"/>
  <c r="F57" i="2"/>
  <c r="B13" i="6" s="1"/>
  <c r="F55" i="2"/>
  <c r="B11" i="6" s="1"/>
  <c r="N55" i="2"/>
  <c r="J11" i="6" s="1"/>
  <c r="R11" i="6"/>
  <c r="G55" i="2"/>
  <c r="C11" i="6" s="1"/>
  <c r="O55" i="2"/>
  <c r="K11" i="6" s="1"/>
  <c r="S11" i="6"/>
  <c r="K55" i="2"/>
  <c r="G11" i="6" s="1"/>
  <c r="H55" i="2"/>
  <c r="D11" i="6" s="1"/>
  <c r="P55" i="2"/>
  <c r="L11" i="6" s="1"/>
  <c r="T11" i="6"/>
  <c r="O11" i="6"/>
  <c r="I55" i="2"/>
  <c r="E11" i="6" s="1"/>
  <c r="Q55" i="2"/>
  <c r="M11" i="6" s="1"/>
  <c r="J55" i="2"/>
  <c r="F11" i="6" s="1"/>
  <c r="R55" i="2"/>
  <c r="N11" i="6" s="1"/>
  <c r="M55" i="2"/>
  <c r="I11" i="6" s="1"/>
  <c r="Q11" i="6"/>
  <c r="L55" i="2"/>
  <c r="H11" i="6" s="1"/>
  <c r="P11" i="6"/>
  <c r="L53" i="2"/>
  <c r="H9" i="6" s="1"/>
  <c r="P9" i="6"/>
  <c r="I53" i="2"/>
  <c r="E9" i="6" s="1"/>
  <c r="M53" i="2"/>
  <c r="I9" i="6" s="1"/>
  <c r="Q9" i="6"/>
  <c r="Q53" i="2"/>
  <c r="M9" i="6" s="1"/>
  <c r="F53" i="2"/>
  <c r="B9" i="6" s="1"/>
  <c r="N53" i="2"/>
  <c r="J9" i="6" s="1"/>
  <c r="R9" i="6"/>
  <c r="G53" i="2"/>
  <c r="C9" i="6" s="1"/>
  <c r="O53" i="2"/>
  <c r="K9" i="6" s="1"/>
  <c r="S9" i="6"/>
  <c r="H53" i="2"/>
  <c r="D9" i="6" s="1"/>
  <c r="P53" i="2"/>
  <c r="L9" i="6" s="1"/>
  <c r="T9" i="6"/>
  <c r="K53" i="2"/>
  <c r="G9" i="6" s="1"/>
  <c r="O9" i="6"/>
  <c r="J53" i="2"/>
  <c r="F9" i="6" s="1"/>
  <c r="R53" i="2"/>
  <c r="N9" i="6" s="1"/>
  <c r="J51" i="2"/>
  <c r="F7" i="6" s="1"/>
  <c r="R51" i="2"/>
  <c r="N7" i="6" s="1"/>
  <c r="G51" i="2"/>
  <c r="C7" i="6" s="1"/>
  <c r="O51" i="2"/>
  <c r="K7" i="6" s="1"/>
  <c r="K51" i="2"/>
  <c r="G7" i="6" s="1"/>
  <c r="O7" i="6"/>
  <c r="S7" i="6"/>
  <c r="L51" i="2"/>
  <c r="H7" i="6" s="1"/>
  <c r="P7" i="6"/>
  <c r="M51" i="2"/>
  <c r="I7" i="6" s="1"/>
  <c r="Q7" i="6"/>
  <c r="F51" i="2"/>
  <c r="B7" i="6" s="1"/>
  <c r="N51" i="2"/>
  <c r="J7" i="6" s="1"/>
  <c r="R7" i="6"/>
  <c r="I51" i="2"/>
  <c r="E7" i="6" s="1"/>
  <c r="Q51" i="2"/>
  <c r="M7" i="6" s="1"/>
  <c r="H51" i="2"/>
  <c r="D7" i="6" s="1"/>
  <c r="P51" i="2"/>
  <c r="L7" i="6" s="1"/>
  <c r="T7" i="6"/>
  <c r="H49" i="2"/>
  <c r="D5" i="6" s="1"/>
  <c r="P49" i="2"/>
  <c r="L5" i="6" s="1"/>
  <c r="T5" i="6"/>
  <c r="Q5" i="6"/>
  <c r="I49" i="2"/>
  <c r="E5" i="6" s="1"/>
  <c r="Q49" i="2"/>
  <c r="M5" i="6" s="1"/>
  <c r="J49" i="2"/>
  <c r="F5" i="6" s="1"/>
  <c r="R49" i="2"/>
  <c r="N5" i="6" s="1"/>
  <c r="K49" i="2"/>
  <c r="G5" i="6" s="1"/>
  <c r="O5" i="6"/>
  <c r="L49" i="2"/>
  <c r="H5" i="6" s="1"/>
  <c r="P5" i="6"/>
  <c r="G49" i="2"/>
  <c r="C5" i="6" s="1"/>
  <c r="O49" i="2"/>
  <c r="K5" i="6" s="1"/>
  <c r="S5" i="6"/>
  <c r="M49" i="2"/>
  <c r="I5" i="6" s="1"/>
  <c r="F49" i="2"/>
  <c r="B5" i="6" s="1"/>
  <c r="N49" i="2"/>
  <c r="J5" i="6" s="1"/>
  <c r="R5" i="6"/>
  <c r="G68" i="2"/>
  <c r="C24" i="6" s="1"/>
  <c r="O68" i="2"/>
  <c r="K24" i="6" s="1"/>
  <c r="S24" i="6"/>
  <c r="H68" i="2"/>
  <c r="D24" i="6" s="1"/>
  <c r="P68" i="2"/>
  <c r="L24" i="6" s="1"/>
  <c r="T24" i="6"/>
  <c r="I68" i="2"/>
  <c r="E24" i="6" s="1"/>
  <c r="Q68" i="2"/>
  <c r="M24" i="6" s="1"/>
  <c r="J68" i="2"/>
  <c r="F24" i="6" s="1"/>
  <c r="R68" i="2"/>
  <c r="N24" i="6" s="1"/>
  <c r="K68" i="2"/>
  <c r="G24" i="6" s="1"/>
  <c r="O24" i="6"/>
  <c r="F68" i="2"/>
  <c r="B24" i="6" s="1"/>
  <c r="N68" i="2"/>
  <c r="J24" i="6" s="1"/>
  <c r="R24" i="6"/>
  <c r="L68" i="2"/>
  <c r="H24" i="6" s="1"/>
  <c r="M68" i="2"/>
  <c r="I24" i="6" s="1"/>
  <c r="P24" i="6"/>
  <c r="Q24" i="6"/>
  <c r="M66" i="2"/>
  <c r="I22" i="6" s="1"/>
  <c r="Q22" i="6"/>
  <c r="F66" i="2"/>
  <c r="B22" i="6" s="1"/>
  <c r="N66" i="2"/>
  <c r="J22" i="6" s="1"/>
  <c r="R22" i="6"/>
  <c r="G66" i="2"/>
  <c r="C22" i="6" s="1"/>
  <c r="O66" i="2"/>
  <c r="K22" i="6" s="1"/>
  <c r="S22" i="6"/>
  <c r="R66" i="2"/>
  <c r="N22" i="6" s="1"/>
  <c r="H66" i="2"/>
  <c r="D22" i="6" s="1"/>
  <c r="P66" i="2"/>
  <c r="L22" i="6" s="1"/>
  <c r="T22" i="6"/>
  <c r="J66" i="2"/>
  <c r="F22" i="6" s="1"/>
  <c r="I66" i="2"/>
  <c r="E22" i="6" s="1"/>
  <c r="Q66" i="2"/>
  <c r="M22" i="6" s="1"/>
  <c r="L66" i="2"/>
  <c r="H22" i="6" s="1"/>
  <c r="P22" i="6"/>
  <c r="O22" i="6"/>
  <c r="K66" i="2"/>
  <c r="G22" i="6" s="1"/>
  <c r="K64" i="2"/>
  <c r="G20" i="6" s="1"/>
  <c r="O20" i="6"/>
  <c r="L64" i="2"/>
  <c r="H20" i="6" s="1"/>
  <c r="P20" i="6"/>
  <c r="T20" i="6"/>
  <c r="M64" i="2"/>
  <c r="I20" i="6" s="1"/>
  <c r="Q20" i="6"/>
  <c r="P64" i="2"/>
  <c r="L20" i="6" s="1"/>
  <c r="F64" i="2"/>
  <c r="B20" i="6" s="1"/>
  <c r="N64" i="2"/>
  <c r="J20" i="6" s="1"/>
  <c r="R20" i="6"/>
  <c r="H64" i="2"/>
  <c r="D20" i="6" s="1"/>
  <c r="G64" i="2"/>
  <c r="C20" i="6" s="1"/>
  <c r="O64" i="2"/>
  <c r="K20" i="6" s="1"/>
  <c r="S20" i="6"/>
  <c r="J64" i="2"/>
  <c r="F20" i="6" s="1"/>
  <c r="R64" i="2"/>
  <c r="N20" i="6" s="1"/>
  <c r="I64" i="2"/>
  <c r="E20" i="6" s="1"/>
  <c r="Q64" i="2"/>
  <c r="M20" i="6" s="1"/>
  <c r="I62" i="2"/>
  <c r="E18" i="6" s="1"/>
  <c r="Q62" i="2"/>
  <c r="M18" i="6" s="1"/>
  <c r="J62" i="2"/>
  <c r="F18" i="6" s="1"/>
  <c r="R62" i="2"/>
  <c r="N18" i="6" s="1"/>
  <c r="K62" i="2"/>
  <c r="G18" i="6" s="1"/>
  <c r="O18" i="6"/>
  <c r="F62" i="2"/>
  <c r="B18" i="6" s="1"/>
  <c r="L62" i="2"/>
  <c r="H18" i="6" s="1"/>
  <c r="P18" i="6"/>
  <c r="M62" i="2"/>
  <c r="I18" i="6" s="1"/>
  <c r="Q18" i="6"/>
  <c r="R18" i="6"/>
  <c r="H62" i="2"/>
  <c r="D18" i="6" s="1"/>
  <c r="P62" i="2"/>
  <c r="L18" i="6" s="1"/>
  <c r="T18" i="6"/>
  <c r="N62" i="2"/>
  <c r="J18" i="6" s="1"/>
  <c r="G62" i="2"/>
  <c r="C18" i="6" s="1"/>
  <c r="O62" i="2"/>
  <c r="K18" i="6" s="1"/>
  <c r="S18" i="6"/>
  <c r="G60" i="2"/>
  <c r="C16" i="6" s="1"/>
  <c r="O60" i="2"/>
  <c r="K16" i="6" s="1"/>
  <c r="S16" i="6"/>
  <c r="H60" i="2"/>
  <c r="D16" i="6" s="1"/>
  <c r="P60" i="2"/>
  <c r="L16" i="6" s="1"/>
  <c r="T16" i="6"/>
  <c r="I60" i="2"/>
  <c r="E16" i="6" s="1"/>
  <c r="Q60" i="2"/>
  <c r="M16" i="6" s="1"/>
  <c r="L60" i="2"/>
  <c r="H16" i="6" s="1"/>
  <c r="J60" i="2"/>
  <c r="F16" i="6" s="1"/>
  <c r="R60" i="2"/>
  <c r="N16" i="6" s="1"/>
  <c r="K60" i="2"/>
  <c r="G16" i="6" s="1"/>
  <c r="O16" i="6"/>
  <c r="F60" i="2"/>
  <c r="B16" i="6" s="1"/>
  <c r="N60" i="2"/>
  <c r="J16" i="6" s="1"/>
  <c r="R16" i="6"/>
  <c r="P16" i="6"/>
  <c r="Q16" i="6"/>
  <c r="M60" i="2"/>
  <c r="I16" i="6" s="1"/>
  <c r="M58" i="2"/>
  <c r="I14" i="6" s="1"/>
  <c r="Q14" i="6"/>
  <c r="J58" i="2"/>
  <c r="F14" i="6" s="1"/>
  <c r="F58" i="2"/>
  <c r="B14" i="6" s="1"/>
  <c r="N58" i="2"/>
  <c r="J14" i="6" s="1"/>
  <c r="R14" i="6"/>
  <c r="G58" i="2"/>
  <c r="C14" i="6" s="1"/>
  <c r="O58" i="2"/>
  <c r="K14" i="6" s="1"/>
  <c r="S14" i="6"/>
  <c r="R58" i="2"/>
  <c r="N14" i="6" s="1"/>
  <c r="H58" i="2"/>
  <c r="D14" i="6" s="1"/>
  <c r="P58" i="2"/>
  <c r="L14" i="6" s="1"/>
  <c r="T14" i="6"/>
  <c r="I58" i="2"/>
  <c r="E14" i="6" s="1"/>
  <c r="Q58" i="2"/>
  <c r="M14" i="6" s="1"/>
  <c r="L58" i="2"/>
  <c r="H14" i="6" s="1"/>
  <c r="P14" i="6"/>
  <c r="K58" i="2"/>
  <c r="G14" i="6" s="1"/>
  <c r="O14" i="6"/>
  <c r="K56" i="2"/>
  <c r="G12" i="6" s="1"/>
  <c r="O12" i="6"/>
  <c r="P56" i="2"/>
  <c r="L12" i="6" s="1"/>
  <c r="L56" i="2"/>
  <c r="H12" i="6" s="1"/>
  <c r="P12" i="6"/>
  <c r="M56" i="2"/>
  <c r="I12" i="6" s="1"/>
  <c r="Q12" i="6"/>
  <c r="T12" i="6"/>
  <c r="F56" i="2"/>
  <c r="B12" i="6" s="1"/>
  <c r="N56" i="2"/>
  <c r="J12" i="6" s="1"/>
  <c r="R12" i="6"/>
  <c r="G56" i="2"/>
  <c r="C12" i="6" s="1"/>
  <c r="O56" i="2"/>
  <c r="K12" i="6" s="1"/>
  <c r="S12" i="6"/>
  <c r="J56" i="2"/>
  <c r="F12" i="6" s="1"/>
  <c r="R56" i="2"/>
  <c r="N12" i="6" s="1"/>
  <c r="H56" i="2"/>
  <c r="D12" i="6" s="1"/>
  <c r="I56" i="2"/>
  <c r="E12" i="6" s="1"/>
  <c r="Q56" i="2"/>
  <c r="M12" i="6" s="1"/>
  <c r="I54" i="2"/>
  <c r="E10" i="6" s="1"/>
  <c r="Q54" i="2"/>
  <c r="M10" i="6" s="1"/>
  <c r="R10" i="6"/>
  <c r="J54" i="2"/>
  <c r="F10" i="6" s="1"/>
  <c r="R54" i="2"/>
  <c r="N10" i="6" s="1"/>
  <c r="K54" i="2"/>
  <c r="G10" i="6" s="1"/>
  <c r="O10" i="6"/>
  <c r="F54" i="2"/>
  <c r="B10" i="6" s="1"/>
  <c r="L54" i="2"/>
  <c r="H10" i="6" s="1"/>
  <c r="P10" i="6"/>
  <c r="M54" i="2"/>
  <c r="I10" i="6" s="1"/>
  <c r="Q10" i="6"/>
  <c r="H54" i="2"/>
  <c r="D10" i="6" s="1"/>
  <c r="P54" i="2"/>
  <c r="L10" i="6" s="1"/>
  <c r="T10" i="6"/>
  <c r="N54" i="2"/>
  <c r="J10" i="6" s="1"/>
  <c r="G54" i="2"/>
  <c r="C10" i="6" s="1"/>
  <c r="O54" i="2"/>
  <c r="K10" i="6" s="1"/>
  <c r="S10" i="6"/>
  <c r="G52" i="2"/>
  <c r="C8" i="6" s="1"/>
  <c r="O52" i="2"/>
  <c r="K8" i="6" s="1"/>
  <c r="S8" i="6"/>
  <c r="H52" i="2"/>
  <c r="D8" i="6" s="1"/>
  <c r="P52" i="2"/>
  <c r="L8" i="6" s="1"/>
  <c r="T8" i="6"/>
  <c r="I52" i="2"/>
  <c r="E8" i="6" s="1"/>
  <c r="Q52" i="2"/>
  <c r="M8" i="6" s="1"/>
  <c r="L52" i="2"/>
  <c r="H8" i="6" s="1"/>
  <c r="J52" i="2"/>
  <c r="F8" i="6" s="1"/>
  <c r="R52" i="2"/>
  <c r="N8" i="6" s="1"/>
  <c r="K52" i="2"/>
  <c r="G8" i="6" s="1"/>
  <c r="O8" i="6"/>
  <c r="F52" i="2"/>
  <c r="B8" i="6" s="1"/>
  <c r="N52" i="2"/>
  <c r="J8" i="6" s="1"/>
  <c r="R8" i="6"/>
  <c r="P8" i="6"/>
  <c r="Q8" i="6"/>
  <c r="M52" i="2"/>
  <c r="I8" i="6" s="1"/>
  <c r="M50" i="2"/>
  <c r="I6" i="6" s="1"/>
  <c r="Q6" i="6"/>
  <c r="J50" i="2"/>
  <c r="F6" i="6" s="1"/>
  <c r="R50" i="2"/>
  <c r="N6" i="6" s="1"/>
  <c r="F50" i="2"/>
  <c r="B6" i="6" s="1"/>
  <c r="N50" i="2"/>
  <c r="J6" i="6" s="1"/>
  <c r="R6" i="6"/>
  <c r="G50" i="2"/>
  <c r="C6" i="6" s="1"/>
  <c r="O50" i="2"/>
  <c r="K6" i="6" s="1"/>
  <c r="S6" i="6"/>
  <c r="H50" i="2"/>
  <c r="D6" i="6" s="1"/>
  <c r="P50" i="2"/>
  <c r="L6" i="6" s="1"/>
  <c r="T6" i="6"/>
  <c r="I50" i="2"/>
  <c r="E6" i="6" s="1"/>
  <c r="Q50" i="2"/>
  <c r="M6" i="6" s="1"/>
  <c r="L50" i="2"/>
  <c r="H6" i="6" s="1"/>
  <c r="P6" i="6"/>
  <c r="K50" i="2"/>
  <c r="G6" i="6" s="1"/>
  <c r="O6" i="6"/>
  <c r="K48" i="2"/>
  <c r="G4" i="6" s="1"/>
  <c r="O4" i="6"/>
  <c r="H48" i="2"/>
  <c r="D4" i="6" s="1"/>
  <c r="L48" i="2"/>
  <c r="H4" i="6" s="1"/>
  <c r="P4" i="6"/>
  <c r="P48" i="2"/>
  <c r="L4" i="6" s="1"/>
  <c r="M48" i="2"/>
  <c r="I4" i="6" s="1"/>
  <c r="Q4" i="6"/>
  <c r="T4" i="6"/>
  <c r="F48" i="2"/>
  <c r="B4" i="6" s="1"/>
  <c r="N48" i="2"/>
  <c r="J4" i="6" s="1"/>
  <c r="R4" i="6"/>
  <c r="G48" i="2"/>
  <c r="C4" i="6" s="1"/>
  <c r="O48" i="2"/>
  <c r="K4" i="6" s="1"/>
  <c r="S4" i="6"/>
  <c r="J48" i="2"/>
  <c r="F4" i="6" s="1"/>
  <c r="R48" i="2"/>
  <c r="N4" i="6" s="1"/>
  <c r="I48" i="2"/>
  <c r="E4" i="6" s="1"/>
  <c r="Q48" i="2"/>
  <c r="M4" i="6" s="1"/>
  <c r="B81" i="2"/>
  <c r="A103" i="2"/>
  <c r="A101" i="2"/>
  <c r="A99" i="2"/>
  <c r="A97" i="2"/>
  <c r="A95" i="2"/>
  <c r="A93" i="2"/>
  <c r="A91" i="2"/>
  <c r="A89" i="2"/>
  <c r="A87" i="2"/>
  <c r="A85" i="2"/>
  <c r="A83" i="2"/>
  <c r="A102" i="2"/>
  <c r="A100" i="2"/>
  <c r="A98" i="2"/>
  <c r="A96" i="2"/>
  <c r="A94" i="2"/>
  <c r="A92" i="2"/>
  <c r="A90" i="2"/>
  <c r="A88" i="2"/>
  <c r="A86" i="2"/>
  <c r="A84" i="2"/>
  <c r="A82" i="2"/>
  <c r="F141" i="2"/>
  <c r="F142" i="2" s="1"/>
  <c r="E141" i="2"/>
  <c r="E142" i="2" s="1"/>
  <c r="D141" i="2"/>
  <c r="D142" i="2" s="1"/>
  <c r="C141" i="2"/>
  <c r="C142" i="2" s="1"/>
  <c r="A4" i="2"/>
  <c r="A47" i="2" s="1"/>
  <c r="H47" i="2" l="1"/>
  <c r="D3" i="6" s="1"/>
  <c r="P47" i="2"/>
  <c r="L3" i="6" s="1"/>
  <c r="T3" i="6"/>
  <c r="I47" i="2"/>
  <c r="E3" i="6" s="1"/>
  <c r="Q47" i="2"/>
  <c r="M3" i="6" s="1"/>
  <c r="F47" i="2"/>
  <c r="B3" i="6" s="1"/>
  <c r="J47" i="2"/>
  <c r="F3" i="6" s="1"/>
  <c r="R47" i="2"/>
  <c r="N3" i="6" s="1"/>
  <c r="K47" i="2"/>
  <c r="G3" i="6" s="1"/>
  <c r="O3" i="6"/>
  <c r="L47" i="2"/>
  <c r="H3" i="6" s="1"/>
  <c r="P3" i="6"/>
  <c r="G47" i="2"/>
  <c r="C3" i="6" s="1"/>
  <c r="O47" i="2"/>
  <c r="K3" i="6" s="1"/>
  <c r="S3" i="6"/>
  <c r="M47" i="2"/>
  <c r="I3" i="6" s="1"/>
  <c r="N47" i="2"/>
  <c r="J3" i="6" s="1"/>
  <c r="Q3" i="6"/>
  <c r="R3" i="6"/>
  <c r="C79" i="2"/>
  <c r="A81" i="2"/>
  <c r="E138" i="1"/>
  <c r="E139" i="1" s="1"/>
  <c r="F138" i="1"/>
  <c r="F139" i="1" s="1"/>
  <c r="D138" i="1"/>
  <c r="D139" i="1" s="1"/>
  <c r="C138" i="1"/>
  <c r="C139" i="1" s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G37" i="1"/>
  <c r="F37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C38" i="1"/>
  <c r="D38" i="1"/>
  <c r="B38" i="1"/>
  <c r="F82" i="2" l="1"/>
  <c r="N82" i="2"/>
  <c r="K83" i="2"/>
  <c r="H84" i="2"/>
  <c r="P84" i="2"/>
  <c r="M85" i="2"/>
  <c r="J86" i="2"/>
  <c r="R86" i="2"/>
  <c r="G87" i="2"/>
  <c r="O87" i="2"/>
  <c r="L88" i="2"/>
  <c r="I89" i="2"/>
  <c r="Q89" i="2"/>
  <c r="F90" i="2"/>
  <c r="N90" i="2"/>
  <c r="K91" i="2"/>
  <c r="H92" i="2"/>
  <c r="P92" i="2"/>
  <c r="M93" i="2"/>
  <c r="J94" i="2"/>
  <c r="R94" i="2"/>
  <c r="G95" i="2"/>
  <c r="O95" i="2"/>
  <c r="L96" i="2"/>
  <c r="I97" i="2"/>
  <c r="Q97" i="2"/>
  <c r="F98" i="2"/>
  <c r="N98" i="2"/>
  <c r="K99" i="2"/>
  <c r="H100" i="2"/>
  <c r="P100" i="2"/>
  <c r="M101" i="2"/>
  <c r="J102" i="2"/>
  <c r="R102" i="2"/>
  <c r="G103" i="2"/>
  <c r="O103" i="2"/>
  <c r="L104" i="2"/>
  <c r="I105" i="2"/>
  <c r="Q105" i="2"/>
  <c r="F106" i="2"/>
  <c r="N106" i="2"/>
  <c r="K107" i="2"/>
  <c r="H108" i="2"/>
  <c r="P108" i="2"/>
  <c r="M109" i="2"/>
  <c r="K81" i="2"/>
  <c r="N100" i="2"/>
  <c r="G105" i="2"/>
  <c r="G82" i="2"/>
  <c r="O82" i="2"/>
  <c r="L83" i="2"/>
  <c r="I84" i="2"/>
  <c r="Q84" i="2"/>
  <c r="F85" i="2"/>
  <c r="N85" i="2"/>
  <c r="K86" i="2"/>
  <c r="H87" i="2"/>
  <c r="P87" i="2"/>
  <c r="M88" i="2"/>
  <c r="J89" i="2"/>
  <c r="R89" i="2"/>
  <c r="G90" i="2"/>
  <c r="O90" i="2"/>
  <c r="L91" i="2"/>
  <c r="I92" i="2"/>
  <c r="Q92" i="2"/>
  <c r="F93" i="2"/>
  <c r="N93" i="2"/>
  <c r="K94" i="2"/>
  <c r="H95" i="2"/>
  <c r="P95" i="2"/>
  <c r="M96" i="2"/>
  <c r="J97" i="2"/>
  <c r="R97" i="2"/>
  <c r="G98" i="2"/>
  <c r="O98" i="2"/>
  <c r="L99" i="2"/>
  <c r="I100" i="2"/>
  <c r="Q100" i="2"/>
  <c r="F101" i="2"/>
  <c r="N101" i="2"/>
  <c r="K102" i="2"/>
  <c r="H103" i="2"/>
  <c r="P103" i="2"/>
  <c r="M104" i="2"/>
  <c r="J105" i="2"/>
  <c r="R105" i="2"/>
  <c r="G106" i="2"/>
  <c r="O106" i="2"/>
  <c r="L107" i="2"/>
  <c r="I108" i="2"/>
  <c r="Q108" i="2"/>
  <c r="F109" i="2"/>
  <c r="N109" i="2"/>
  <c r="L81" i="2"/>
  <c r="N84" i="2"/>
  <c r="P86" i="2"/>
  <c r="M87" i="2"/>
  <c r="J88" i="2"/>
  <c r="G89" i="2"/>
  <c r="L90" i="2"/>
  <c r="N92" i="2"/>
  <c r="H94" i="2"/>
  <c r="J96" i="2"/>
  <c r="Q99" i="2"/>
  <c r="P102" i="2"/>
  <c r="J104" i="2"/>
  <c r="I107" i="2"/>
  <c r="H82" i="2"/>
  <c r="P82" i="2"/>
  <c r="M83" i="2"/>
  <c r="J84" i="2"/>
  <c r="R84" i="2"/>
  <c r="G85" i="2"/>
  <c r="O85" i="2"/>
  <c r="L86" i="2"/>
  <c r="I87" i="2"/>
  <c r="Q87" i="2"/>
  <c r="F88" i="2"/>
  <c r="N88" i="2"/>
  <c r="K89" i="2"/>
  <c r="H90" i="2"/>
  <c r="P90" i="2"/>
  <c r="M91" i="2"/>
  <c r="J92" i="2"/>
  <c r="R92" i="2"/>
  <c r="G93" i="2"/>
  <c r="O93" i="2"/>
  <c r="L94" i="2"/>
  <c r="I95" i="2"/>
  <c r="Q95" i="2"/>
  <c r="F96" i="2"/>
  <c r="N96" i="2"/>
  <c r="K97" i="2"/>
  <c r="H98" i="2"/>
  <c r="P98" i="2"/>
  <c r="M99" i="2"/>
  <c r="J100" i="2"/>
  <c r="R100" i="2"/>
  <c r="G101" i="2"/>
  <c r="O101" i="2"/>
  <c r="L102" i="2"/>
  <c r="I103" i="2"/>
  <c r="Q103" i="2"/>
  <c r="F104" i="2"/>
  <c r="N104" i="2"/>
  <c r="K105" i="2"/>
  <c r="H106" i="2"/>
  <c r="P106" i="2"/>
  <c r="M107" i="2"/>
  <c r="J108" i="2"/>
  <c r="R108" i="2"/>
  <c r="G109" i="2"/>
  <c r="O109" i="2"/>
  <c r="M81" i="2"/>
  <c r="Q83" i="2"/>
  <c r="F92" i="2"/>
  <c r="G97" i="2"/>
  <c r="F100" i="2"/>
  <c r="Q81" i="2"/>
  <c r="I82" i="2"/>
  <c r="Q82" i="2"/>
  <c r="F83" i="2"/>
  <c r="N83" i="2"/>
  <c r="K84" i="2"/>
  <c r="H85" i="2"/>
  <c r="P85" i="2"/>
  <c r="M86" i="2"/>
  <c r="J87" i="2"/>
  <c r="R87" i="2"/>
  <c r="G88" i="2"/>
  <c r="O88" i="2"/>
  <c r="L89" i="2"/>
  <c r="I90" i="2"/>
  <c r="Q90" i="2"/>
  <c r="F91" i="2"/>
  <c r="N91" i="2"/>
  <c r="K92" i="2"/>
  <c r="H93" i="2"/>
  <c r="P93" i="2"/>
  <c r="M94" i="2"/>
  <c r="J95" i="2"/>
  <c r="R95" i="2"/>
  <c r="G96" i="2"/>
  <c r="O96" i="2"/>
  <c r="L97" i="2"/>
  <c r="I98" i="2"/>
  <c r="Q98" i="2"/>
  <c r="F99" i="2"/>
  <c r="N99" i="2"/>
  <c r="K100" i="2"/>
  <c r="H101" i="2"/>
  <c r="P101" i="2"/>
  <c r="M102" i="2"/>
  <c r="J103" i="2"/>
  <c r="R103" i="2"/>
  <c r="G104" i="2"/>
  <c r="O104" i="2"/>
  <c r="L105" i="2"/>
  <c r="I106" i="2"/>
  <c r="Q106" i="2"/>
  <c r="F107" i="2"/>
  <c r="N107" i="2"/>
  <c r="K108" i="2"/>
  <c r="H109" i="2"/>
  <c r="P109" i="2"/>
  <c r="N81" i="2"/>
  <c r="O89" i="2"/>
  <c r="K93" i="2"/>
  <c r="K101" i="2"/>
  <c r="L106" i="2"/>
  <c r="K109" i="2"/>
  <c r="J82" i="2"/>
  <c r="R82" i="2"/>
  <c r="G83" i="2"/>
  <c r="O83" i="2"/>
  <c r="L84" i="2"/>
  <c r="I85" i="2"/>
  <c r="Q85" i="2"/>
  <c r="F86" i="2"/>
  <c r="N86" i="2"/>
  <c r="K87" i="2"/>
  <c r="H88" i="2"/>
  <c r="P88" i="2"/>
  <c r="M89" i="2"/>
  <c r="J90" i="2"/>
  <c r="R90" i="2"/>
  <c r="G91" i="2"/>
  <c r="O91" i="2"/>
  <c r="L92" i="2"/>
  <c r="I93" i="2"/>
  <c r="Q93" i="2"/>
  <c r="F94" i="2"/>
  <c r="N94" i="2"/>
  <c r="K95" i="2"/>
  <c r="H96" i="2"/>
  <c r="P96" i="2"/>
  <c r="M97" i="2"/>
  <c r="J98" i="2"/>
  <c r="R98" i="2"/>
  <c r="G99" i="2"/>
  <c r="O99" i="2"/>
  <c r="L100" i="2"/>
  <c r="I101" i="2"/>
  <c r="Q101" i="2"/>
  <c r="F102" i="2"/>
  <c r="N102" i="2"/>
  <c r="K103" i="2"/>
  <c r="H104" i="2"/>
  <c r="P104" i="2"/>
  <c r="M105" i="2"/>
  <c r="J106" i="2"/>
  <c r="R106" i="2"/>
  <c r="G107" i="2"/>
  <c r="O107" i="2"/>
  <c r="L108" i="2"/>
  <c r="I109" i="2"/>
  <c r="Q109" i="2"/>
  <c r="G81" i="2"/>
  <c r="O81" i="2"/>
  <c r="F84" i="2"/>
  <c r="I91" i="2"/>
  <c r="R96" i="2"/>
  <c r="O105" i="2"/>
  <c r="N108" i="2"/>
  <c r="K82" i="2"/>
  <c r="H83" i="2"/>
  <c r="P83" i="2"/>
  <c r="M84" i="2"/>
  <c r="J85" i="2"/>
  <c r="R85" i="2"/>
  <c r="G86" i="2"/>
  <c r="O86" i="2"/>
  <c r="L87" i="2"/>
  <c r="I88" i="2"/>
  <c r="Q88" i="2"/>
  <c r="F89" i="2"/>
  <c r="N89" i="2"/>
  <c r="K90" i="2"/>
  <c r="H91" i="2"/>
  <c r="P91" i="2"/>
  <c r="M92" i="2"/>
  <c r="J93" i="2"/>
  <c r="R93" i="2"/>
  <c r="G94" i="2"/>
  <c r="O94" i="2"/>
  <c r="L95" i="2"/>
  <c r="I96" i="2"/>
  <c r="Q96" i="2"/>
  <c r="F97" i="2"/>
  <c r="N97" i="2"/>
  <c r="K98" i="2"/>
  <c r="H99" i="2"/>
  <c r="P99" i="2"/>
  <c r="M100" i="2"/>
  <c r="J101" i="2"/>
  <c r="R101" i="2"/>
  <c r="G102" i="2"/>
  <c r="O102" i="2"/>
  <c r="L103" i="2"/>
  <c r="I104" i="2"/>
  <c r="Q104" i="2"/>
  <c r="F105" i="2"/>
  <c r="N105" i="2"/>
  <c r="K106" i="2"/>
  <c r="H107" i="2"/>
  <c r="P107" i="2"/>
  <c r="M108" i="2"/>
  <c r="J109" i="2"/>
  <c r="R109" i="2"/>
  <c r="H81" i="2"/>
  <c r="P81" i="2"/>
  <c r="L82" i="2"/>
  <c r="K85" i="2"/>
  <c r="H86" i="2"/>
  <c r="R88" i="2"/>
  <c r="M95" i="2"/>
  <c r="O97" i="2"/>
  <c r="I99" i="2"/>
  <c r="H102" i="2"/>
  <c r="R104" i="2"/>
  <c r="Q107" i="2"/>
  <c r="I81" i="2"/>
  <c r="M82" i="2"/>
  <c r="J83" i="2"/>
  <c r="R83" i="2"/>
  <c r="G84" i="2"/>
  <c r="O84" i="2"/>
  <c r="L85" i="2"/>
  <c r="I86" i="2"/>
  <c r="Q86" i="2"/>
  <c r="F87" i="2"/>
  <c r="N87" i="2"/>
  <c r="K88" i="2"/>
  <c r="H89" i="2"/>
  <c r="P89" i="2"/>
  <c r="M90" i="2"/>
  <c r="J91" i="2"/>
  <c r="R91" i="2"/>
  <c r="G92" i="2"/>
  <c r="O92" i="2"/>
  <c r="L93" i="2"/>
  <c r="I94" i="2"/>
  <c r="Q94" i="2"/>
  <c r="F95" i="2"/>
  <c r="N95" i="2"/>
  <c r="K96" i="2"/>
  <c r="H97" i="2"/>
  <c r="P97" i="2"/>
  <c r="M98" i="2"/>
  <c r="J99" i="2"/>
  <c r="R99" i="2"/>
  <c r="G100" i="2"/>
  <c r="O100" i="2"/>
  <c r="L101" i="2"/>
  <c r="I102" i="2"/>
  <c r="Q102" i="2"/>
  <c r="F103" i="2"/>
  <c r="N103" i="2"/>
  <c r="K104" i="2"/>
  <c r="H105" i="2"/>
  <c r="P105" i="2"/>
  <c r="M106" i="2"/>
  <c r="J107" i="2"/>
  <c r="R107" i="2"/>
  <c r="G108" i="2"/>
  <c r="O108" i="2"/>
  <c r="L109" i="2"/>
  <c r="J81" i="2"/>
  <c r="R81" i="2"/>
  <c r="I83" i="2"/>
  <c r="Q91" i="2"/>
  <c r="P94" i="2"/>
  <c r="L98" i="2"/>
  <c r="M103" i="2"/>
  <c r="F108" i="2"/>
  <c r="K38" i="1"/>
  <c r="S38" i="1"/>
  <c r="R38" i="1"/>
  <c r="L38" i="1"/>
  <c r="T38" i="1"/>
  <c r="F38" i="1"/>
  <c r="M38" i="1"/>
  <c r="U38" i="1"/>
  <c r="N38" i="1"/>
  <c r="V38" i="1"/>
  <c r="G38" i="1"/>
  <c r="O38" i="1"/>
  <c r="W38" i="1"/>
  <c r="H38" i="1"/>
  <c r="P38" i="1"/>
  <c r="X38" i="1"/>
  <c r="J38" i="1"/>
  <c r="I38" i="1"/>
  <c r="Q38" i="1"/>
  <c r="E38" i="1"/>
  <c r="C80" i="1" s="1"/>
  <c r="A48" i="1"/>
  <c r="A82" i="1"/>
  <c r="A65" i="1"/>
  <c r="A99" i="1"/>
  <c r="A50" i="1"/>
  <c r="A84" i="1"/>
  <c r="A58" i="1"/>
  <c r="A92" i="1"/>
  <c r="A51" i="1"/>
  <c r="A85" i="1"/>
  <c r="A59" i="1"/>
  <c r="A93" i="1"/>
  <c r="A53" i="1"/>
  <c r="A87" i="1"/>
  <c r="A61" i="1"/>
  <c r="A95" i="1"/>
  <c r="A62" i="1"/>
  <c r="A96" i="1"/>
  <c r="A60" i="1"/>
  <c r="A94" i="1"/>
  <c r="A54" i="1"/>
  <c r="A88" i="1"/>
  <c r="A55" i="1"/>
  <c r="A89" i="1"/>
  <c r="A63" i="1"/>
  <c r="A97" i="1"/>
  <c r="A56" i="1"/>
  <c r="A90" i="1"/>
  <c r="A64" i="1"/>
  <c r="A98" i="1"/>
  <c r="A52" i="1"/>
  <c r="A86" i="1"/>
  <c r="A49" i="1"/>
  <c r="A83" i="1"/>
  <c r="A57" i="1"/>
  <c r="A91" i="1"/>
  <c r="B4" i="1"/>
  <c r="C4" i="1"/>
  <c r="B15" i="1"/>
  <c r="C15" i="1"/>
  <c r="D15" i="1"/>
  <c r="B16" i="1"/>
  <c r="C16" i="1"/>
  <c r="D16" i="1"/>
  <c r="B17" i="1"/>
  <c r="C17" i="1"/>
  <c r="D17" i="1"/>
  <c r="B18" i="1"/>
  <c r="C18" i="1"/>
  <c r="D18" i="1"/>
  <c r="B19" i="1"/>
  <c r="C19" i="1"/>
  <c r="D19" i="1"/>
  <c r="B20" i="1"/>
  <c r="C20" i="1"/>
  <c r="D20" i="1"/>
  <c r="B5" i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D4" i="1"/>
  <c r="C14" i="1"/>
  <c r="D14" i="1"/>
  <c r="B14" i="1"/>
  <c r="O115" i="2" l="1"/>
  <c r="M115" i="2"/>
  <c r="G115" i="2"/>
  <c r="H117" i="2"/>
  <c r="H116" i="2"/>
  <c r="N117" i="2"/>
  <c r="N116" i="2"/>
  <c r="N115" i="2"/>
  <c r="F115" i="2"/>
  <c r="L117" i="2"/>
  <c r="L116" i="2"/>
  <c r="R116" i="2"/>
  <c r="R117" i="2"/>
  <c r="O117" i="2"/>
  <c r="O116" i="2"/>
  <c r="J116" i="2"/>
  <c r="J117" i="2"/>
  <c r="G117" i="2"/>
  <c r="G116" i="2"/>
  <c r="K115" i="2"/>
  <c r="Q115" i="2"/>
  <c r="Q116" i="2"/>
  <c r="Q117" i="2"/>
  <c r="M117" i="2"/>
  <c r="M116" i="2"/>
  <c r="I115" i="2"/>
  <c r="K116" i="2"/>
  <c r="K117" i="2"/>
  <c r="L115" i="2"/>
  <c r="I116" i="2"/>
  <c r="I117" i="2"/>
  <c r="R115" i="2"/>
  <c r="P115" i="2"/>
  <c r="P116" i="2"/>
  <c r="P117" i="2"/>
  <c r="J115" i="2"/>
  <c r="H115" i="2"/>
  <c r="F83" i="1"/>
  <c r="N83" i="1"/>
  <c r="V83" i="1"/>
  <c r="H84" i="1"/>
  <c r="P84" i="1"/>
  <c r="X84" i="1"/>
  <c r="J85" i="1"/>
  <c r="R85" i="1"/>
  <c r="L86" i="1"/>
  <c r="T86" i="1"/>
  <c r="F87" i="1"/>
  <c r="N87" i="1"/>
  <c r="V87" i="1"/>
  <c r="H88" i="1"/>
  <c r="P88" i="1"/>
  <c r="X88" i="1"/>
  <c r="J89" i="1"/>
  <c r="R89" i="1"/>
  <c r="L90" i="1"/>
  <c r="T90" i="1"/>
  <c r="F91" i="1"/>
  <c r="N91" i="1"/>
  <c r="V91" i="1"/>
  <c r="H92" i="1"/>
  <c r="P92" i="1"/>
  <c r="X92" i="1"/>
  <c r="J93" i="1"/>
  <c r="R93" i="1"/>
  <c r="L94" i="1"/>
  <c r="T94" i="1"/>
  <c r="F95" i="1"/>
  <c r="N95" i="1"/>
  <c r="V95" i="1"/>
  <c r="H96" i="1"/>
  <c r="P96" i="1"/>
  <c r="X96" i="1"/>
  <c r="J97" i="1"/>
  <c r="R97" i="1"/>
  <c r="L98" i="1"/>
  <c r="T98" i="1"/>
  <c r="F99" i="1"/>
  <c r="N99" i="1"/>
  <c r="V99" i="1"/>
  <c r="H100" i="1"/>
  <c r="P100" i="1"/>
  <c r="X100" i="1"/>
  <c r="J101" i="1"/>
  <c r="R101" i="1"/>
  <c r="L102" i="1"/>
  <c r="T102" i="1"/>
  <c r="F103" i="1"/>
  <c r="N103" i="1"/>
  <c r="V103" i="1"/>
  <c r="H104" i="1"/>
  <c r="P104" i="1"/>
  <c r="X104" i="1"/>
  <c r="J105" i="1"/>
  <c r="R105" i="1"/>
  <c r="L106" i="1"/>
  <c r="T106" i="1"/>
  <c r="F107" i="1"/>
  <c r="N107" i="1"/>
  <c r="V107" i="1"/>
  <c r="H108" i="1"/>
  <c r="P108" i="1"/>
  <c r="X108" i="1"/>
  <c r="J109" i="1"/>
  <c r="R109" i="1"/>
  <c r="L110" i="1"/>
  <c r="T110" i="1"/>
  <c r="F82" i="1"/>
  <c r="G83" i="1"/>
  <c r="O83" i="1"/>
  <c r="W83" i="1"/>
  <c r="I84" i="1"/>
  <c r="Q84" i="1"/>
  <c r="K85" i="1"/>
  <c r="S85" i="1"/>
  <c r="M86" i="1"/>
  <c r="U86" i="1"/>
  <c r="G87" i="1"/>
  <c r="O87" i="1"/>
  <c r="W87" i="1"/>
  <c r="I88" i="1"/>
  <c r="Q88" i="1"/>
  <c r="K89" i="1"/>
  <c r="S89" i="1"/>
  <c r="M90" i="1"/>
  <c r="U90" i="1"/>
  <c r="G91" i="1"/>
  <c r="O91" i="1"/>
  <c r="W91" i="1"/>
  <c r="I92" i="1"/>
  <c r="Q92" i="1"/>
  <c r="K93" i="1"/>
  <c r="S93" i="1"/>
  <c r="M94" i="1"/>
  <c r="U94" i="1"/>
  <c r="G95" i="1"/>
  <c r="O95" i="1"/>
  <c r="W95" i="1"/>
  <c r="I96" i="1"/>
  <c r="Q96" i="1"/>
  <c r="K97" i="1"/>
  <c r="S97" i="1"/>
  <c r="M98" i="1"/>
  <c r="U98" i="1"/>
  <c r="G99" i="1"/>
  <c r="O99" i="1"/>
  <c r="W99" i="1"/>
  <c r="I100" i="1"/>
  <c r="Q100" i="1"/>
  <c r="K101" i="1"/>
  <c r="S101" i="1"/>
  <c r="M102" i="1"/>
  <c r="U102" i="1"/>
  <c r="G103" i="1"/>
  <c r="O103" i="1"/>
  <c r="W103" i="1"/>
  <c r="I104" i="1"/>
  <c r="Q104" i="1"/>
  <c r="K105" i="1"/>
  <c r="S105" i="1"/>
  <c r="M106" i="1"/>
  <c r="U106" i="1"/>
  <c r="G107" i="1"/>
  <c r="O107" i="1"/>
  <c r="W107" i="1"/>
  <c r="I108" i="1"/>
  <c r="Q108" i="1"/>
  <c r="K109" i="1"/>
  <c r="S109" i="1"/>
  <c r="M110" i="1"/>
  <c r="U110" i="1"/>
  <c r="H83" i="1"/>
  <c r="P83" i="1"/>
  <c r="X83" i="1"/>
  <c r="J84" i="1"/>
  <c r="R84" i="1"/>
  <c r="L85" i="1"/>
  <c r="T85" i="1"/>
  <c r="F86" i="1"/>
  <c r="N86" i="1"/>
  <c r="V86" i="1"/>
  <c r="H87" i="1"/>
  <c r="P87" i="1"/>
  <c r="X87" i="1"/>
  <c r="J88" i="1"/>
  <c r="R88" i="1"/>
  <c r="L89" i="1"/>
  <c r="T89" i="1"/>
  <c r="F90" i="1"/>
  <c r="N90" i="1"/>
  <c r="V90" i="1"/>
  <c r="H91" i="1"/>
  <c r="P91" i="1"/>
  <c r="X91" i="1"/>
  <c r="J92" i="1"/>
  <c r="R92" i="1"/>
  <c r="L93" i="1"/>
  <c r="T93" i="1"/>
  <c r="F94" i="1"/>
  <c r="N94" i="1"/>
  <c r="V94" i="1"/>
  <c r="H95" i="1"/>
  <c r="P95" i="1"/>
  <c r="X95" i="1"/>
  <c r="J96" i="1"/>
  <c r="R96" i="1"/>
  <c r="L97" i="1"/>
  <c r="T97" i="1"/>
  <c r="F98" i="1"/>
  <c r="N98" i="1"/>
  <c r="V98" i="1"/>
  <c r="H99" i="1"/>
  <c r="P99" i="1"/>
  <c r="X99" i="1"/>
  <c r="J100" i="1"/>
  <c r="R100" i="1"/>
  <c r="L101" i="1"/>
  <c r="T101" i="1"/>
  <c r="F102" i="1"/>
  <c r="N102" i="1"/>
  <c r="V102" i="1"/>
  <c r="H103" i="1"/>
  <c r="P103" i="1"/>
  <c r="X103" i="1"/>
  <c r="J104" i="1"/>
  <c r="R104" i="1"/>
  <c r="L105" i="1"/>
  <c r="T105" i="1"/>
  <c r="F106" i="1"/>
  <c r="N106" i="1"/>
  <c r="V106" i="1"/>
  <c r="H107" i="1"/>
  <c r="P107" i="1"/>
  <c r="X107" i="1"/>
  <c r="J108" i="1"/>
  <c r="R108" i="1"/>
  <c r="L109" i="1"/>
  <c r="T109" i="1"/>
  <c r="F110" i="1"/>
  <c r="N110" i="1"/>
  <c r="V110" i="1"/>
  <c r="I83" i="1"/>
  <c r="Q83" i="1"/>
  <c r="K84" i="1"/>
  <c r="S84" i="1"/>
  <c r="M85" i="1"/>
  <c r="U85" i="1"/>
  <c r="G86" i="1"/>
  <c r="O86" i="1"/>
  <c r="W86" i="1"/>
  <c r="I87" i="1"/>
  <c r="Q87" i="1"/>
  <c r="K88" i="1"/>
  <c r="S88" i="1"/>
  <c r="M89" i="1"/>
  <c r="U89" i="1"/>
  <c r="G90" i="1"/>
  <c r="O90" i="1"/>
  <c r="W90" i="1"/>
  <c r="I91" i="1"/>
  <c r="Q91" i="1"/>
  <c r="K92" i="1"/>
  <c r="S92" i="1"/>
  <c r="M93" i="1"/>
  <c r="U93" i="1"/>
  <c r="G94" i="1"/>
  <c r="O94" i="1"/>
  <c r="W94" i="1"/>
  <c r="I95" i="1"/>
  <c r="Q95" i="1"/>
  <c r="K96" i="1"/>
  <c r="S96" i="1"/>
  <c r="M97" i="1"/>
  <c r="U97" i="1"/>
  <c r="G98" i="1"/>
  <c r="O98" i="1"/>
  <c r="W98" i="1"/>
  <c r="I99" i="1"/>
  <c r="Q99" i="1"/>
  <c r="K100" i="1"/>
  <c r="S100" i="1"/>
  <c r="M101" i="1"/>
  <c r="U101" i="1"/>
  <c r="G102" i="1"/>
  <c r="O102" i="1"/>
  <c r="W102" i="1"/>
  <c r="I103" i="1"/>
  <c r="Q103" i="1"/>
  <c r="K104" i="1"/>
  <c r="S104" i="1"/>
  <c r="M105" i="1"/>
  <c r="U105" i="1"/>
  <c r="G106" i="1"/>
  <c r="O106" i="1"/>
  <c r="W106" i="1"/>
  <c r="I107" i="1"/>
  <c r="Q107" i="1"/>
  <c r="K108" i="1"/>
  <c r="S108" i="1"/>
  <c r="M109" i="1"/>
  <c r="U109" i="1"/>
  <c r="G110" i="1"/>
  <c r="O110" i="1"/>
  <c r="W110" i="1"/>
  <c r="J83" i="1"/>
  <c r="R83" i="1"/>
  <c r="L84" i="1"/>
  <c r="T84" i="1"/>
  <c r="F85" i="1"/>
  <c r="N85" i="1"/>
  <c r="V85" i="1"/>
  <c r="H86" i="1"/>
  <c r="P86" i="1"/>
  <c r="X86" i="1"/>
  <c r="J87" i="1"/>
  <c r="R87" i="1"/>
  <c r="L88" i="1"/>
  <c r="T88" i="1"/>
  <c r="F89" i="1"/>
  <c r="N89" i="1"/>
  <c r="V89" i="1"/>
  <c r="H90" i="1"/>
  <c r="P90" i="1"/>
  <c r="X90" i="1"/>
  <c r="J91" i="1"/>
  <c r="R91" i="1"/>
  <c r="L92" i="1"/>
  <c r="T92" i="1"/>
  <c r="F93" i="1"/>
  <c r="N93" i="1"/>
  <c r="V93" i="1"/>
  <c r="H94" i="1"/>
  <c r="P94" i="1"/>
  <c r="X94" i="1"/>
  <c r="J95" i="1"/>
  <c r="R95" i="1"/>
  <c r="L96" i="1"/>
  <c r="T96" i="1"/>
  <c r="F97" i="1"/>
  <c r="N97" i="1"/>
  <c r="V97" i="1"/>
  <c r="H98" i="1"/>
  <c r="P98" i="1"/>
  <c r="X98" i="1"/>
  <c r="J99" i="1"/>
  <c r="R99" i="1"/>
  <c r="L100" i="1"/>
  <c r="T100" i="1"/>
  <c r="F101" i="1"/>
  <c r="N101" i="1"/>
  <c r="V101" i="1"/>
  <c r="H102" i="1"/>
  <c r="P102" i="1"/>
  <c r="X102" i="1"/>
  <c r="J103" i="1"/>
  <c r="R103" i="1"/>
  <c r="L104" i="1"/>
  <c r="T104" i="1"/>
  <c r="F105" i="1"/>
  <c r="N105" i="1"/>
  <c r="V105" i="1"/>
  <c r="H106" i="1"/>
  <c r="P106" i="1"/>
  <c r="X106" i="1"/>
  <c r="J107" i="1"/>
  <c r="R107" i="1"/>
  <c r="L108" i="1"/>
  <c r="T108" i="1"/>
  <c r="F109" i="1"/>
  <c r="N109" i="1"/>
  <c r="V109" i="1"/>
  <c r="H110" i="1"/>
  <c r="P110" i="1"/>
  <c r="X110" i="1"/>
  <c r="K83" i="1"/>
  <c r="S83" i="1"/>
  <c r="M84" i="1"/>
  <c r="U84" i="1"/>
  <c r="G85" i="1"/>
  <c r="O85" i="1"/>
  <c r="W85" i="1"/>
  <c r="I86" i="1"/>
  <c r="Q86" i="1"/>
  <c r="K87" i="1"/>
  <c r="S87" i="1"/>
  <c r="M88" i="1"/>
  <c r="U88" i="1"/>
  <c r="G89" i="1"/>
  <c r="O89" i="1"/>
  <c r="W89" i="1"/>
  <c r="I90" i="1"/>
  <c r="Q90" i="1"/>
  <c r="K91" i="1"/>
  <c r="S91" i="1"/>
  <c r="M92" i="1"/>
  <c r="U92" i="1"/>
  <c r="G93" i="1"/>
  <c r="O93" i="1"/>
  <c r="W93" i="1"/>
  <c r="I94" i="1"/>
  <c r="Q94" i="1"/>
  <c r="K95" i="1"/>
  <c r="S95" i="1"/>
  <c r="M96" i="1"/>
  <c r="U96" i="1"/>
  <c r="G97" i="1"/>
  <c r="O97" i="1"/>
  <c r="W97" i="1"/>
  <c r="I98" i="1"/>
  <c r="Q98" i="1"/>
  <c r="K99" i="1"/>
  <c r="S99" i="1"/>
  <c r="M100" i="1"/>
  <c r="U100" i="1"/>
  <c r="G101" i="1"/>
  <c r="O101" i="1"/>
  <c r="W101" i="1"/>
  <c r="I102" i="1"/>
  <c r="Q102" i="1"/>
  <c r="K103" i="1"/>
  <c r="S103" i="1"/>
  <c r="M104" i="1"/>
  <c r="U104" i="1"/>
  <c r="G105" i="1"/>
  <c r="O105" i="1"/>
  <c r="W105" i="1"/>
  <c r="I106" i="1"/>
  <c r="Q106" i="1"/>
  <c r="K107" i="1"/>
  <c r="S107" i="1"/>
  <c r="M108" i="1"/>
  <c r="U108" i="1"/>
  <c r="G109" i="1"/>
  <c r="O109" i="1"/>
  <c r="W109" i="1"/>
  <c r="I110" i="1"/>
  <c r="Q110" i="1"/>
  <c r="M83" i="1"/>
  <c r="U83" i="1"/>
  <c r="G84" i="1"/>
  <c r="O84" i="1"/>
  <c r="W84" i="1"/>
  <c r="I85" i="1"/>
  <c r="Q85" i="1"/>
  <c r="K86" i="1"/>
  <c r="S86" i="1"/>
  <c r="M87" i="1"/>
  <c r="U87" i="1"/>
  <c r="G88" i="1"/>
  <c r="O88" i="1"/>
  <c r="W88" i="1"/>
  <c r="I89" i="1"/>
  <c r="Q89" i="1"/>
  <c r="K90" i="1"/>
  <c r="S90" i="1"/>
  <c r="M91" i="1"/>
  <c r="U91" i="1"/>
  <c r="G92" i="1"/>
  <c r="O92" i="1"/>
  <c r="W92" i="1"/>
  <c r="I93" i="1"/>
  <c r="Q93" i="1"/>
  <c r="K94" i="1"/>
  <c r="S94" i="1"/>
  <c r="M95" i="1"/>
  <c r="U95" i="1"/>
  <c r="G96" i="1"/>
  <c r="O96" i="1"/>
  <c r="W96" i="1"/>
  <c r="I97" i="1"/>
  <c r="Q97" i="1"/>
  <c r="K98" i="1"/>
  <c r="S98" i="1"/>
  <c r="M99" i="1"/>
  <c r="U99" i="1"/>
  <c r="G100" i="1"/>
  <c r="O100" i="1"/>
  <c r="W100" i="1"/>
  <c r="I101" i="1"/>
  <c r="Q101" i="1"/>
  <c r="K102" i="1"/>
  <c r="S102" i="1"/>
  <c r="M103" i="1"/>
  <c r="U103" i="1"/>
  <c r="G104" i="1"/>
  <c r="O104" i="1"/>
  <c r="W104" i="1"/>
  <c r="I105" i="1"/>
  <c r="Q105" i="1"/>
  <c r="K106" i="1"/>
  <c r="S106" i="1"/>
  <c r="M107" i="1"/>
  <c r="U107" i="1"/>
  <c r="G108" i="1"/>
  <c r="O108" i="1"/>
  <c r="W108" i="1"/>
  <c r="I109" i="1"/>
  <c r="Q109" i="1"/>
  <c r="K110" i="1"/>
  <c r="S110" i="1"/>
  <c r="L83" i="1"/>
  <c r="J86" i="1"/>
  <c r="H89" i="1"/>
  <c r="F92" i="1"/>
  <c r="X97" i="1"/>
  <c r="V100" i="1"/>
  <c r="T103" i="1"/>
  <c r="R106" i="1"/>
  <c r="P109" i="1"/>
  <c r="R94" i="1"/>
  <c r="H109" i="1"/>
  <c r="T83" i="1"/>
  <c r="R86" i="1"/>
  <c r="P89" i="1"/>
  <c r="N92" i="1"/>
  <c r="L95" i="1"/>
  <c r="J98" i="1"/>
  <c r="H101" i="1"/>
  <c r="F104" i="1"/>
  <c r="X109" i="1"/>
  <c r="N100" i="1"/>
  <c r="F84" i="1"/>
  <c r="X89" i="1"/>
  <c r="V92" i="1"/>
  <c r="T95" i="1"/>
  <c r="R98" i="1"/>
  <c r="P101" i="1"/>
  <c r="N104" i="1"/>
  <c r="L107" i="1"/>
  <c r="J110" i="1"/>
  <c r="P97" i="1"/>
  <c r="N84" i="1"/>
  <c r="L87" i="1"/>
  <c r="J90" i="1"/>
  <c r="H93" i="1"/>
  <c r="F96" i="1"/>
  <c r="X101" i="1"/>
  <c r="V104" i="1"/>
  <c r="T107" i="1"/>
  <c r="R110" i="1"/>
  <c r="L103" i="1"/>
  <c r="J106" i="1"/>
  <c r="V84" i="1"/>
  <c r="T87" i="1"/>
  <c r="R90" i="1"/>
  <c r="P93" i="1"/>
  <c r="N96" i="1"/>
  <c r="L99" i="1"/>
  <c r="J102" i="1"/>
  <c r="H105" i="1"/>
  <c r="F108" i="1"/>
  <c r="T91" i="1"/>
  <c r="H85" i="1"/>
  <c r="F88" i="1"/>
  <c r="X93" i="1"/>
  <c r="V96" i="1"/>
  <c r="T99" i="1"/>
  <c r="R102" i="1"/>
  <c r="P105" i="1"/>
  <c r="N108" i="1"/>
  <c r="V88" i="1"/>
  <c r="P85" i="1"/>
  <c r="N88" i="1"/>
  <c r="L91" i="1"/>
  <c r="J94" i="1"/>
  <c r="H97" i="1"/>
  <c r="F100" i="1"/>
  <c r="X105" i="1"/>
  <c r="V108" i="1"/>
  <c r="X85" i="1"/>
  <c r="F65" i="1"/>
  <c r="B84" i="6" s="1"/>
  <c r="N65" i="1"/>
  <c r="J84" i="6" s="1"/>
  <c r="V65" i="1"/>
  <c r="R84" i="6" s="1"/>
  <c r="G65" i="1"/>
  <c r="C84" i="6" s="1"/>
  <c r="O65" i="1"/>
  <c r="K84" i="6" s="1"/>
  <c r="W65" i="1"/>
  <c r="S84" i="6" s="1"/>
  <c r="H65" i="1"/>
  <c r="D84" i="6" s="1"/>
  <c r="P65" i="1"/>
  <c r="L84" i="6" s="1"/>
  <c r="X65" i="1"/>
  <c r="T84" i="6" s="1"/>
  <c r="I65" i="1"/>
  <c r="E84" i="6" s="1"/>
  <c r="Q65" i="1"/>
  <c r="M84" i="6" s="1"/>
  <c r="J65" i="1"/>
  <c r="F84" i="6" s="1"/>
  <c r="R65" i="1"/>
  <c r="N84" i="6" s="1"/>
  <c r="K65" i="1"/>
  <c r="G84" i="6" s="1"/>
  <c r="S65" i="1"/>
  <c r="O84" i="6" s="1"/>
  <c r="M65" i="1"/>
  <c r="I84" i="6" s="1"/>
  <c r="L65" i="1"/>
  <c r="H84" i="6" s="1"/>
  <c r="T65" i="1"/>
  <c r="P84" i="6" s="1"/>
  <c r="U65" i="1"/>
  <c r="Q84" i="6" s="1"/>
  <c r="F81" i="2"/>
  <c r="G82" i="1"/>
  <c r="O82" i="1"/>
  <c r="W82" i="1"/>
  <c r="H82" i="1"/>
  <c r="P82" i="1"/>
  <c r="X82" i="1"/>
  <c r="L82" i="1"/>
  <c r="I82" i="1"/>
  <c r="Q82" i="1"/>
  <c r="S82" i="1"/>
  <c r="J82" i="1"/>
  <c r="R82" i="1"/>
  <c r="K82" i="1"/>
  <c r="T82" i="1"/>
  <c r="M82" i="1"/>
  <c r="U82" i="1"/>
  <c r="N82" i="1"/>
  <c r="V82" i="1"/>
  <c r="C99" i="1"/>
  <c r="B99" i="1"/>
  <c r="D48" i="1"/>
  <c r="D82" i="1"/>
  <c r="C48" i="1"/>
  <c r="C82" i="1"/>
  <c r="B48" i="1"/>
  <c r="B82" i="1"/>
  <c r="D99" i="1"/>
  <c r="D56" i="1"/>
  <c r="D90" i="1"/>
  <c r="B55" i="1"/>
  <c r="B89" i="1"/>
  <c r="C52" i="1"/>
  <c r="C86" i="1"/>
  <c r="C57" i="1"/>
  <c r="C91" i="1"/>
  <c r="D54" i="1"/>
  <c r="D88" i="1"/>
  <c r="B52" i="1"/>
  <c r="B86" i="1"/>
  <c r="C49" i="1"/>
  <c r="C83" i="1"/>
  <c r="D63" i="1"/>
  <c r="D97" i="1"/>
  <c r="B61" i="1"/>
  <c r="B95" i="1"/>
  <c r="D57" i="1"/>
  <c r="D91" i="1"/>
  <c r="B57" i="1"/>
  <c r="B91" i="1"/>
  <c r="C54" i="1"/>
  <c r="C88" i="1"/>
  <c r="D51" i="1"/>
  <c r="D85" i="1"/>
  <c r="B49" i="1"/>
  <c r="B83" i="1"/>
  <c r="C63" i="1"/>
  <c r="C97" i="1"/>
  <c r="D60" i="1"/>
  <c r="D94" i="1"/>
  <c r="B63" i="1"/>
  <c r="B97" i="1"/>
  <c r="B58" i="1"/>
  <c r="B92" i="1"/>
  <c r="C56" i="1"/>
  <c r="C90" i="1"/>
  <c r="D53" i="1"/>
  <c r="D87" i="1"/>
  <c r="B51" i="1"/>
  <c r="B85" i="1"/>
  <c r="D62" i="1"/>
  <c r="D96" i="1"/>
  <c r="B60" i="1"/>
  <c r="B94" i="1"/>
  <c r="C60" i="1"/>
  <c r="C94" i="1"/>
  <c r="C53" i="1"/>
  <c r="C87" i="1"/>
  <c r="D59" i="1"/>
  <c r="D93" i="1"/>
  <c r="C51" i="1"/>
  <c r="C85" i="1"/>
  <c r="D58" i="1"/>
  <c r="D92" i="1"/>
  <c r="B56" i="1"/>
  <c r="B90" i="1"/>
  <c r="D50" i="1"/>
  <c r="D84" i="1"/>
  <c r="C62" i="1"/>
  <c r="C96" i="1"/>
  <c r="C58" i="1"/>
  <c r="C92" i="1"/>
  <c r="D55" i="1"/>
  <c r="D89" i="1"/>
  <c r="B53" i="1"/>
  <c r="B87" i="1"/>
  <c r="C50" i="1"/>
  <c r="C84" i="1"/>
  <c r="D64" i="1"/>
  <c r="D98" i="1"/>
  <c r="B62" i="1"/>
  <c r="B96" i="1"/>
  <c r="C59" i="1"/>
  <c r="C93" i="1"/>
  <c r="B54" i="1"/>
  <c r="B88" i="1"/>
  <c r="C55" i="1"/>
  <c r="C89" i="1"/>
  <c r="D52" i="1"/>
  <c r="D86" i="1"/>
  <c r="B50" i="1"/>
  <c r="B84" i="1"/>
  <c r="C64" i="1"/>
  <c r="C98" i="1"/>
  <c r="D61" i="1"/>
  <c r="D95" i="1"/>
  <c r="B59" i="1"/>
  <c r="B93" i="1"/>
  <c r="D49" i="1"/>
  <c r="D83" i="1"/>
  <c r="B64" i="1"/>
  <c r="B98" i="1"/>
  <c r="C61" i="1"/>
  <c r="C95" i="1"/>
  <c r="F117" i="2" l="1"/>
  <c r="F116" i="2"/>
  <c r="U56" i="1"/>
  <c r="Q75" i="6" s="1"/>
  <c r="I48" i="1"/>
  <c r="E67" i="6" s="1"/>
  <c r="P51" i="1"/>
  <c r="L70" i="6" s="1"/>
  <c r="H50" i="1"/>
  <c r="D69" i="6" s="1"/>
  <c r="F48" i="1"/>
  <c r="B67" i="6" s="1"/>
  <c r="R58" i="1"/>
  <c r="N77" i="6" s="1"/>
  <c r="L59" i="1"/>
  <c r="H78" i="6" s="1"/>
  <c r="O61" i="1"/>
  <c r="K80" i="6" s="1"/>
  <c r="I62" i="1"/>
  <c r="E81" i="6" s="1"/>
  <c r="T64" i="1"/>
  <c r="P83" i="6" s="1"/>
  <c r="J59" i="1"/>
  <c r="F78" i="6" s="1"/>
  <c r="P56" i="1"/>
  <c r="L75" i="6" s="1"/>
  <c r="I54" i="1"/>
  <c r="E73" i="6" s="1"/>
  <c r="N60" i="1"/>
  <c r="J79" i="6" s="1"/>
  <c r="N57" i="1"/>
  <c r="J76" i="6" s="1"/>
  <c r="J60" i="1"/>
  <c r="F79" i="6" s="1"/>
  <c r="O56" i="1"/>
  <c r="K75" i="6" s="1"/>
  <c r="I60" i="1"/>
  <c r="E79" i="6" s="1"/>
  <c r="F56" i="1"/>
  <c r="B75" i="6" s="1"/>
  <c r="T52" i="1"/>
  <c r="P71" i="6" s="1"/>
  <c r="Q55" i="1"/>
  <c r="M74" i="6" s="1"/>
  <c r="P59" i="1"/>
  <c r="L78" i="6" s="1"/>
  <c r="W60" i="1"/>
  <c r="S79" i="6" s="1"/>
  <c r="L56" i="1"/>
  <c r="H75" i="6" s="1"/>
  <c r="O53" i="1"/>
  <c r="K72" i="6" s="1"/>
  <c r="J49" i="1"/>
  <c r="F68" i="6" s="1"/>
  <c r="G59" i="1"/>
  <c r="C78" i="6" s="1"/>
  <c r="V60" i="1"/>
  <c r="R79" i="6" s="1"/>
  <c r="S57" i="1"/>
  <c r="O76" i="6" s="1"/>
  <c r="F59" i="1"/>
  <c r="B78" i="6" s="1"/>
  <c r="M60" i="1"/>
  <c r="I79" i="6" s="1"/>
  <c r="J57" i="1"/>
  <c r="F76" i="6" s="1"/>
  <c r="T59" i="1"/>
  <c r="P78" i="6" s="1"/>
  <c r="I57" i="1"/>
  <c r="E76" i="6" s="1"/>
  <c r="K59" i="1"/>
  <c r="G78" i="6" s="1"/>
  <c r="V59" i="1"/>
  <c r="R78" i="6" s="1"/>
  <c r="P60" i="1"/>
  <c r="L79" i="6" s="1"/>
  <c r="F60" i="1"/>
  <c r="B79" i="6" s="1"/>
  <c r="J56" i="1"/>
  <c r="F75" i="6" s="1"/>
  <c r="K56" i="1"/>
  <c r="G75" i="6" s="1"/>
  <c r="M56" i="1"/>
  <c r="I75" i="6" s="1"/>
  <c r="P57" i="1"/>
  <c r="L76" i="6" s="1"/>
  <c r="F57" i="1"/>
  <c r="B76" i="6" s="1"/>
  <c r="I50" i="1"/>
  <c r="E69" i="6" s="1"/>
  <c r="W50" i="1"/>
  <c r="S69" i="6" s="1"/>
  <c r="L53" i="1"/>
  <c r="H72" i="6" s="1"/>
  <c r="G53" i="1"/>
  <c r="C72" i="6" s="1"/>
  <c r="F54" i="1"/>
  <c r="B73" i="6" s="1"/>
  <c r="K54" i="1"/>
  <c r="G73" i="6" s="1"/>
  <c r="X54" i="1"/>
  <c r="T73" i="6" s="1"/>
  <c r="I64" i="1"/>
  <c r="E83" i="6" s="1"/>
  <c r="S64" i="1"/>
  <c r="O83" i="6" s="1"/>
  <c r="L64" i="1"/>
  <c r="H83" i="6" s="1"/>
  <c r="T58" i="1"/>
  <c r="P77" i="6" s="1"/>
  <c r="J58" i="1"/>
  <c r="F77" i="6" s="1"/>
  <c r="L61" i="1"/>
  <c r="H80" i="6" s="1"/>
  <c r="G61" i="1"/>
  <c r="C80" i="6" s="1"/>
  <c r="I55" i="1"/>
  <c r="E74" i="6" s="1"/>
  <c r="U55" i="1"/>
  <c r="Q74" i="6" s="1"/>
  <c r="Q52" i="1"/>
  <c r="M71" i="6" s="1"/>
  <c r="O52" i="1"/>
  <c r="K71" i="6" s="1"/>
  <c r="L52" i="1"/>
  <c r="H71" i="6" s="1"/>
  <c r="U48" i="1"/>
  <c r="Q67" i="6" s="1"/>
  <c r="S48" i="1"/>
  <c r="O67" i="6" s="1"/>
  <c r="H51" i="1"/>
  <c r="D70" i="6" s="1"/>
  <c r="U51" i="1"/>
  <c r="Q70" i="6" s="1"/>
  <c r="F62" i="1"/>
  <c r="B81" i="6" s="1"/>
  <c r="K62" i="1"/>
  <c r="G81" i="6" s="1"/>
  <c r="W62" i="1"/>
  <c r="S81" i="6" s="1"/>
  <c r="I63" i="1"/>
  <c r="E82" i="6" s="1"/>
  <c r="U63" i="1"/>
  <c r="Q82" i="6" s="1"/>
  <c r="R63" i="1"/>
  <c r="N82" i="6" s="1"/>
  <c r="H49" i="1"/>
  <c r="D68" i="6" s="1"/>
  <c r="F49" i="1"/>
  <c r="B68" i="6" s="1"/>
  <c r="X59" i="1"/>
  <c r="T78" i="6" s="1"/>
  <c r="N59" i="1"/>
  <c r="J78" i="6" s="1"/>
  <c r="S59" i="1"/>
  <c r="O78" i="6" s="1"/>
  <c r="R60" i="1"/>
  <c r="N79" i="6" s="1"/>
  <c r="H60" i="1"/>
  <c r="D79" i="6" s="1"/>
  <c r="U60" i="1"/>
  <c r="Q79" i="6" s="1"/>
  <c r="S56" i="1"/>
  <c r="O75" i="6" s="1"/>
  <c r="W56" i="1"/>
  <c r="S75" i="6" s="1"/>
  <c r="T56" i="1"/>
  <c r="P75" i="6" s="1"/>
  <c r="R57" i="1"/>
  <c r="N76" i="6" s="1"/>
  <c r="H57" i="1"/>
  <c r="D76" i="6" s="1"/>
  <c r="U50" i="1"/>
  <c r="Q69" i="6" s="1"/>
  <c r="O50" i="1"/>
  <c r="K69" i="6" s="1"/>
  <c r="Q53" i="1"/>
  <c r="M72" i="6" s="1"/>
  <c r="M53" i="1"/>
  <c r="I72" i="6" s="1"/>
  <c r="U54" i="1"/>
  <c r="Q73" i="6" s="1"/>
  <c r="G54" i="1"/>
  <c r="C73" i="6" s="1"/>
  <c r="P54" i="1"/>
  <c r="L73" i="6" s="1"/>
  <c r="X64" i="1"/>
  <c r="T83" i="6" s="1"/>
  <c r="V64" i="1"/>
  <c r="R83" i="6" s="1"/>
  <c r="V58" i="1"/>
  <c r="R77" i="6" s="1"/>
  <c r="L58" i="1"/>
  <c r="H77" i="6" s="1"/>
  <c r="Q61" i="1"/>
  <c r="M80" i="6" s="1"/>
  <c r="M61" i="1"/>
  <c r="I80" i="6" s="1"/>
  <c r="W55" i="1"/>
  <c r="S74" i="6" s="1"/>
  <c r="M55" i="1"/>
  <c r="I74" i="6" s="1"/>
  <c r="R55" i="1"/>
  <c r="N74" i="6" s="1"/>
  <c r="I52" i="1"/>
  <c r="E71" i="6" s="1"/>
  <c r="G52" i="1"/>
  <c r="C71" i="6" s="1"/>
  <c r="M48" i="1"/>
  <c r="I67" i="6" s="1"/>
  <c r="K48" i="1"/>
  <c r="G67" i="6" s="1"/>
  <c r="X51" i="1"/>
  <c r="T70" i="6" s="1"/>
  <c r="S51" i="1"/>
  <c r="O70" i="6" s="1"/>
  <c r="M51" i="1"/>
  <c r="I70" i="6" s="1"/>
  <c r="U62" i="1"/>
  <c r="Q81" i="6" s="1"/>
  <c r="O62" i="1"/>
  <c r="K81" i="6" s="1"/>
  <c r="X62" i="1"/>
  <c r="T81" i="6" s="1"/>
  <c r="W63" i="1"/>
  <c r="S82" i="6" s="1"/>
  <c r="M63" i="1"/>
  <c r="I82" i="6" s="1"/>
  <c r="J63" i="1"/>
  <c r="F82" i="6" s="1"/>
  <c r="U49" i="1"/>
  <c r="Q68" i="6" s="1"/>
  <c r="W57" i="1"/>
  <c r="S76" i="6" s="1"/>
  <c r="R50" i="1"/>
  <c r="N69" i="6" s="1"/>
  <c r="G50" i="1"/>
  <c r="C69" i="6" s="1"/>
  <c r="S53" i="1"/>
  <c r="O72" i="6" s="1"/>
  <c r="I53" i="1"/>
  <c r="E72" i="6" s="1"/>
  <c r="V53" i="1"/>
  <c r="R72" i="6" s="1"/>
  <c r="M54" i="1"/>
  <c r="I73" i="6" s="1"/>
  <c r="H54" i="1"/>
  <c r="D73" i="6" s="1"/>
  <c r="P64" i="1"/>
  <c r="L83" i="6" s="1"/>
  <c r="N64" i="1"/>
  <c r="J83" i="6" s="1"/>
  <c r="N58" i="1"/>
  <c r="J77" i="6" s="1"/>
  <c r="Q58" i="1"/>
  <c r="M77" i="6" s="1"/>
  <c r="S61" i="1"/>
  <c r="O80" i="6" s="1"/>
  <c r="I61" i="1"/>
  <c r="E80" i="6" s="1"/>
  <c r="V61" i="1"/>
  <c r="R80" i="6" s="1"/>
  <c r="O55" i="1"/>
  <c r="K74" i="6" s="1"/>
  <c r="T55" i="1"/>
  <c r="P74" i="6" s="1"/>
  <c r="J55" i="1"/>
  <c r="F74" i="6" s="1"/>
  <c r="S52" i="1"/>
  <c r="O71" i="6" s="1"/>
  <c r="V52" i="1"/>
  <c r="R71" i="6" s="1"/>
  <c r="W48" i="1"/>
  <c r="S67" i="6" s="1"/>
  <c r="P48" i="1"/>
  <c r="L67" i="6" s="1"/>
  <c r="L51" i="1"/>
  <c r="H70" i="6" s="1"/>
  <c r="G51" i="1"/>
  <c r="C70" i="6" s="1"/>
  <c r="R51" i="1"/>
  <c r="N70" i="6" s="1"/>
  <c r="M62" i="1"/>
  <c r="I81" i="6" s="1"/>
  <c r="P62" i="1"/>
  <c r="L81" i="6" s="1"/>
  <c r="O63" i="1"/>
  <c r="K82" i="6" s="1"/>
  <c r="T63" i="1"/>
  <c r="P82" i="6" s="1"/>
  <c r="W49" i="1"/>
  <c r="S68" i="6" s="1"/>
  <c r="G49" i="1"/>
  <c r="C68" i="6" s="1"/>
  <c r="M49" i="1"/>
  <c r="I68" i="6" s="1"/>
  <c r="H59" i="1"/>
  <c r="D78" i="6" s="1"/>
  <c r="Q59" i="1"/>
  <c r="M78" i="6" s="1"/>
  <c r="S60" i="1"/>
  <c r="O79" i="6" s="1"/>
  <c r="O60" i="1"/>
  <c r="K79" i="6" s="1"/>
  <c r="T60" i="1"/>
  <c r="P79" i="6" s="1"/>
  <c r="Q56" i="1"/>
  <c r="M75" i="6" s="1"/>
  <c r="G56" i="1"/>
  <c r="C75" i="6" s="1"/>
  <c r="T57" i="1"/>
  <c r="P76" i="6" s="1"/>
  <c r="U57" i="1"/>
  <c r="Q76" i="6" s="1"/>
  <c r="O57" i="1"/>
  <c r="K76" i="6" s="1"/>
  <c r="Q50" i="1"/>
  <c r="M69" i="6" s="1"/>
  <c r="S50" i="1"/>
  <c r="O69" i="6" s="1"/>
  <c r="N50" i="1"/>
  <c r="J69" i="6" s="1"/>
  <c r="K53" i="1"/>
  <c r="G72" i="6" s="1"/>
  <c r="X53" i="1"/>
  <c r="T72" i="6" s="1"/>
  <c r="N53" i="1"/>
  <c r="J72" i="6" s="1"/>
  <c r="T54" i="1"/>
  <c r="P73" i="6" s="1"/>
  <c r="R54" i="1"/>
  <c r="N73" i="6" s="1"/>
  <c r="H64" i="1"/>
  <c r="D83" i="6" s="1"/>
  <c r="F64" i="1"/>
  <c r="B83" i="6" s="1"/>
  <c r="F58" i="1"/>
  <c r="B77" i="6" s="1"/>
  <c r="S58" i="1"/>
  <c r="O77" i="6" s="1"/>
  <c r="I58" i="1"/>
  <c r="E77" i="6" s="1"/>
  <c r="K61" i="1"/>
  <c r="G80" i="6" s="1"/>
  <c r="X61" i="1"/>
  <c r="T80" i="6" s="1"/>
  <c r="N61" i="1"/>
  <c r="J80" i="6" s="1"/>
  <c r="G55" i="1"/>
  <c r="C74" i="6" s="1"/>
  <c r="L55" i="1"/>
  <c r="H74" i="6" s="1"/>
  <c r="X52" i="1"/>
  <c r="T71" i="6" s="1"/>
  <c r="N52" i="1"/>
  <c r="J71" i="6" s="1"/>
  <c r="O48" i="1"/>
  <c r="K67" i="6" s="1"/>
  <c r="R48" i="1"/>
  <c r="N67" i="6" s="1"/>
  <c r="W51" i="1"/>
  <c r="S70" i="6" s="1"/>
  <c r="J51" i="1"/>
  <c r="F70" i="6" s="1"/>
  <c r="T62" i="1"/>
  <c r="P81" i="6" s="1"/>
  <c r="R62" i="1"/>
  <c r="N81" i="6" s="1"/>
  <c r="H62" i="1"/>
  <c r="D81" i="6" s="1"/>
  <c r="G63" i="1"/>
  <c r="C82" i="6" s="1"/>
  <c r="L63" i="1"/>
  <c r="H82" i="6" s="1"/>
  <c r="S49" i="1"/>
  <c r="O68" i="6" s="1"/>
  <c r="T49" i="1"/>
  <c r="P68" i="6" s="1"/>
  <c r="W59" i="1"/>
  <c r="S78" i="6" s="1"/>
  <c r="U59" i="1"/>
  <c r="Q78" i="6" s="1"/>
  <c r="G60" i="1"/>
  <c r="C79" i="6" s="1"/>
  <c r="L60" i="1"/>
  <c r="H79" i="6" s="1"/>
  <c r="I56" i="1"/>
  <c r="E75" i="6" s="1"/>
  <c r="V56" i="1"/>
  <c r="R75" i="6" s="1"/>
  <c r="L57" i="1"/>
  <c r="H76" i="6" s="1"/>
  <c r="G57" i="1"/>
  <c r="C76" i="6" s="1"/>
  <c r="V50" i="1"/>
  <c r="R69" i="6" s="1"/>
  <c r="K50" i="1"/>
  <c r="G69" i="6" s="1"/>
  <c r="F50" i="1"/>
  <c r="B69" i="6" s="1"/>
  <c r="U53" i="1"/>
  <c r="Q72" i="6" s="1"/>
  <c r="P53" i="1"/>
  <c r="L72" i="6" s="1"/>
  <c r="F53" i="1"/>
  <c r="B72" i="6" s="1"/>
  <c r="L54" i="1"/>
  <c r="H73" i="6" s="1"/>
  <c r="J54" i="1"/>
  <c r="F73" i="6" s="1"/>
  <c r="R64" i="1"/>
  <c r="N83" i="6" s="1"/>
  <c r="K64" i="1"/>
  <c r="G83" i="6" s="1"/>
  <c r="U64" i="1"/>
  <c r="Q83" i="6" s="1"/>
  <c r="W58" i="1"/>
  <c r="S77" i="6" s="1"/>
  <c r="K58" i="1"/>
  <c r="G77" i="6" s="1"/>
  <c r="X58" i="1"/>
  <c r="T77" i="6" s="1"/>
  <c r="U61" i="1"/>
  <c r="Q80" i="6" s="1"/>
  <c r="P61" i="1"/>
  <c r="L80" i="6" s="1"/>
  <c r="F61" i="1"/>
  <c r="B80" i="6" s="1"/>
  <c r="R52" i="1"/>
  <c r="N71" i="6" s="1"/>
  <c r="P52" i="1"/>
  <c r="L71" i="6" s="1"/>
  <c r="F52" i="1"/>
  <c r="B71" i="6" s="1"/>
  <c r="G48" i="1"/>
  <c r="C67" i="6" s="1"/>
  <c r="T48" i="1"/>
  <c r="P67" i="6" s="1"/>
  <c r="J48" i="1"/>
  <c r="F67" i="6" s="1"/>
  <c r="K51" i="1"/>
  <c r="G70" i="6" s="1"/>
  <c r="Q51" i="1"/>
  <c r="M70" i="6" s="1"/>
  <c r="N51" i="1"/>
  <c r="J70" i="6" s="1"/>
  <c r="L62" i="1"/>
  <c r="H81" i="6" s="1"/>
  <c r="J62" i="1"/>
  <c r="F81" i="6" s="1"/>
  <c r="Q63" i="1"/>
  <c r="M82" i="6" s="1"/>
  <c r="X49" i="1"/>
  <c r="T68" i="6" s="1"/>
  <c r="Q49" i="1"/>
  <c r="M68" i="6" s="1"/>
  <c r="L49" i="1"/>
  <c r="H68" i="6" s="1"/>
  <c r="O59" i="1"/>
  <c r="K78" i="6" s="1"/>
  <c r="M59" i="1"/>
  <c r="I78" i="6" s="1"/>
  <c r="R59" i="1"/>
  <c r="N78" i="6" s="1"/>
  <c r="Q60" i="1"/>
  <c r="M79" i="6" s="1"/>
  <c r="X56" i="1"/>
  <c r="T75" i="6" s="1"/>
  <c r="N56" i="1"/>
  <c r="J75" i="6" s="1"/>
  <c r="Q57" i="1"/>
  <c r="M76" i="6" s="1"/>
  <c r="M57" i="1"/>
  <c r="I76" i="6" s="1"/>
  <c r="M50" i="1"/>
  <c r="I69" i="6" s="1"/>
  <c r="X50" i="1"/>
  <c r="T69" i="6" s="1"/>
  <c r="T50" i="1"/>
  <c r="P69" i="6" s="1"/>
  <c r="H53" i="1"/>
  <c r="D72" i="6" s="1"/>
  <c r="W54" i="1"/>
  <c r="S73" i="6" s="1"/>
  <c r="O54" i="1"/>
  <c r="K73" i="6" s="1"/>
  <c r="J64" i="1"/>
  <c r="F83" i="6" s="1"/>
  <c r="W64" i="1"/>
  <c r="S83" i="6" s="1"/>
  <c r="M64" i="1"/>
  <c r="I83" i="6" s="1"/>
  <c r="U58" i="1"/>
  <c r="Q77" i="6" s="1"/>
  <c r="O58" i="1"/>
  <c r="K77" i="6" s="1"/>
  <c r="P58" i="1"/>
  <c r="L77" i="6" s="1"/>
  <c r="H61" i="1"/>
  <c r="D80" i="6" s="1"/>
  <c r="X55" i="1"/>
  <c r="T74" i="6" s="1"/>
  <c r="V55" i="1"/>
  <c r="R74" i="6" s="1"/>
  <c r="S55" i="1"/>
  <c r="O74" i="6" s="1"/>
  <c r="J52" i="1"/>
  <c r="F71" i="6" s="1"/>
  <c r="H52" i="1"/>
  <c r="D71" i="6" s="1"/>
  <c r="U52" i="1"/>
  <c r="Q71" i="6" s="1"/>
  <c r="V48" i="1"/>
  <c r="R67" i="6" s="1"/>
  <c r="L48" i="1"/>
  <c r="H67" i="6" s="1"/>
  <c r="V51" i="1"/>
  <c r="R70" i="6" s="1"/>
  <c r="O51" i="1"/>
  <c r="K70" i="6" s="1"/>
  <c r="F51" i="1"/>
  <c r="B70" i="6" s="1"/>
  <c r="G62" i="1"/>
  <c r="C81" i="6" s="1"/>
  <c r="X63" i="1"/>
  <c r="T82" i="6" s="1"/>
  <c r="V63" i="1"/>
  <c r="R82" i="6" s="1"/>
  <c r="S63" i="1"/>
  <c r="O82" i="6" s="1"/>
  <c r="P49" i="1"/>
  <c r="L68" i="6" s="1"/>
  <c r="I49" i="1"/>
  <c r="E68" i="6" s="1"/>
  <c r="V57" i="1"/>
  <c r="R76" i="6" s="1"/>
  <c r="J50" i="1"/>
  <c r="F69" i="6" s="1"/>
  <c r="P50" i="1"/>
  <c r="L69" i="6" s="1"/>
  <c r="L50" i="1"/>
  <c r="H69" i="6" s="1"/>
  <c r="R53" i="1"/>
  <c r="N72" i="6" s="1"/>
  <c r="W53" i="1"/>
  <c r="S72" i="6" s="1"/>
  <c r="V54" i="1"/>
  <c r="R73" i="6" s="1"/>
  <c r="Q54" i="1"/>
  <c r="M73" i="6" s="1"/>
  <c r="O64" i="1"/>
  <c r="K83" i="6" s="1"/>
  <c r="M58" i="1"/>
  <c r="I77" i="6" s="1"/>
  <c r="H58" i="1"/>
  <c r="D77" i="6" s="1"/>
  <c r="R61" i="1"/>
  <c r="N80" i="6" s="1"/>
  <c r="W61" i="1"/>
  <c r="S80" i="6" s="1"/>
  <c r="P55" i="1"/>
  <c r="L74" i="6" s="1"/>
  <c r="N55" i="1"/>
  <c r="J74" i="6" s="1"/>
  <c r="K55" i="1"/>
  <c r="G74" i="6" s="1"/>
  <c r="K52" i="1"/>
  <c r="G71" i="6" s="1"/>
  <c r="M52" i="1"/>
  <c r="I71" i="6" s="1"/>
  <c r="N48" i="1"/>
  <c r="J67" i="6" s="1"/>
  <c r="X48" i="1"/>
  <c r="T67" i="6" s="1"/>
  <c r="Q48" i="1"/>
  <c r="M67" i="6" s="1"/>
  <c r="I51" i="1"/>
  <c r="E70" i="6" s="1"/>
  <c r="V62" i="1"/>
  <c r="R81" i="6" s="1"/>
  <c r="Q62" i="1"/>
  <c r="M81" i="6" s="1"/>
  <c r="P63" i="1"/>
  <c r="L82" i="6" s="1"/>
  <c r="N63" i="1"/>
  <c r="J82" i="6" s="1"/>
  <c r="K63" i="1"/>
  <c r="G82" i="6" s="1"/>
  <c r="O49" i="1"/>
  <c r="K68" i="6" s="1"/>
  <c r="V49" i="1"/>
  <c r="R68" i="6" s="1"/>
  <c r="R49" i="1"/>
  <c r="N68" i="6" s="1"/>
  <c r="I59" i="1"/>
  <c r="E78" i="6" s="1"/>
  <c r="K60" i="1"/>
  <c r="G79" i="6" s="1"/>
  <c r="X60" i="1"/>
  <c r="T79" i="6" s="1"/>
  <c r="R56" i="1"/>
  <c r="N75" i="6" s="1"/>
  <c r="H56" i="1"/>
  <c r="D75" i="6" s="1"/>
  <c r="K57" i="1"/>
  <c r="G76" i="6" s="1"/>
  <c r="X57" i="1"/>
  <c r="T76" i="6" s="1"/>
  <c r="T53" i="1"/>
  <c r="P72" i="6" s="1"/>
  <c r="J53" i="1"/>
  <c r="F72" i="6" s="1"/>
  <c r="N54" i="1"/>
  <c r="J73" i="6" s="1"/>
  <c r="S54" i="1"/>
  <c r="O73" i="6" s="1"/>
  <c r="Q64" i="1"/>
  <c r="M83" i="6" s="1"/>
  <c r="G64" i="1"/>
  <c r="C83" i="6" s="1"/>
  <c r="G58" i="1"/>
  <c r="C77" i="6" s="1"/>
  <c r="T61" i="1"/>
  <c r="P80" i="6" s="1"/>
  <c r="J61" i="1"/>
  <c r="F80" i="6" s="1"/>
  <c r="H55" i="1"/>
  <c r="D74" i="6" s="1"/>
  <c r="F55" i="1"/>
  <c r="B74" i="6" s="1"/>
  <c r="W52" i="1"/>
  <c r="S71" i="6" s="1"/>
  <c r="H48" i="1"/>
  <c r="D67" i="6" s="1"/>
  <c r="T51" i="1"/>
  <c r="P70" i="6" s="1"/>
  <c r="N62" i="1"/>
  <c r="J81" i="6" s="1"/>
  <c r="S62" i="1"/>
  <c r="O81" i="6" s="1"/>
  <c r="H63" i="1"/>
  <c r="D82" i="6" s="1"/>
  <c r="F63" i="1"/>
  <c r="B82" i="6" s="1"/>
  <c r="K49" i="1"/>
  <c r="G68" i="6" s="1"/>
  <c r="N49" i="1"/>
  <c r="J68" i="6" s="1"/>
  <c r="H119" i="1" l="1"/>
  <c r="T117" i="1"/>
  <c r="V116" i="1"/>
  <c r="H117" i="1"/>
  <c r="M116" i="1"/>
  <c r="F119" i="1"/>
  <c r="G116" i="1"/>
  <c r="R117" i="1"/>
  <c r="T116" i="1"/>
  <c r="H118" i="1"/>
  <c r="L119" i="1"/>
  <c r="J119" i="1"/>
  <c r="R118" i="1"/>
  <c r="P117" i="1"/>
  <c r="F118" i="1"/>
  <c r="J117" i="1"/>
  <c r="N119" i="1"/>
  <c r="O117" i="1"/>
  <c r="F116" i="1"/>
  <c r="L118" i="1"/>
  <c r="J118" i="1"/>
  <c r="R119" i="1"/>
  <c r="W119" i="1"/>
  <c r="U119" i="1"/>
  <c r="N118" i="1"/>
  <c r="R116" i="1"/>
  <c r="I117" i="1"/>
  <c r="N117" i="1"/>
  <c r="H116" i="1"/>
  <c r="P116" i="1"/>
  <c r="X116" i="1"/>
  <c r="W118" i="1"/>
  <c r="U118" i="1"/>
  <c r="L116" i="1"/>
  <c r="P118" i="1"/>
  <c r="W116" i="1"/>
  <c r="S119" i="1"/>
  <c r="N116" i="1"/>
  <c r="N121" i="1" s="1"/>
  <c r="K117" i="1"/>
  <c r="S117" i="1"/>
  <c r="M119" i="1"/>
  <c r="U116" i="1"/>
  <c r="U121" i="1" s="1"/>
  <c r="S116" i="1"/>
  <c r="G117" i="1"/>
  <c r="P119" i="1"/>
  <c r="K119" i="1"/>
  <c r="S118" i="1"/>
  <c r="V117" i="1"/>
  <c r="J116" i="1"/>
  <c r="J121" i="1" s="1"/>
  <c r="L117" i="1"/>
  <c r="M118" i="1"/>
  <c r="M120" i="1" s="1"/>
  <c r="X117" i="1"/>
  <c r="T119" i="1"/>
  <c r="Q119" i="1"/>
  <c r="K118" i="1"/>
  <c r="Q116" i="1"/>
  <c r="X119" i="1"/>
  <c r="G119" i="1"/>
  <c r="O119" i="1"/>
  <c r="K116" i="1"/>
  <c r="I118" i="1"/>
  <c r="T118" i="1"/>
  <c r="T120" i="1" s="1"/>
  <c r="Q118" i="1"/>
  <c r="V119" i="1"/>
  <c r="I116" i="1"/>
  <c r="W117" i="1"/>
  <c r="U117" i="1"/>
  <c r="X118" i="1"/>
  <c r="G118" i="1"/>
  <c r="O118" i="1"/>
  <c r="I119" i="1"/>
  <c r="Q117" i="1"/>
  <c r="O116" i="1"/>
  <c r="V118" i="1"/>
  <c r="M117" i="1"/>
  <c r="F117" i="1"/>
  <c r="F119" i="2"/>
  <c r="F118" i="2"/>
  <c r="M119" i="2"/>
  <c r="J119" i="2"/>
  <c r="H119" i="2"/>
  <c r="O119" i="2"/>
  <c r="R119" i="2"/>
  <c r="L119" i="2"/>
  <c r="P119" i="2"/>
  <c r="N119" i="2"/>
  <c r="K119" i="2"/>
  <c r="I119" i="2"/>
  <c r="G119" i="2"/>
  <c r="Q119" i="2"/>
  <c r="Q118" i="2"/>
  <c r="L118" i="2"/>
  <c r="K118" i="2"/>
  <c r="J118" i="2"/>
  <c r="H118" i="2"/>
  <c r="O118" i="2"/>
  <c r="R118" i="2"/>
  <c r="P118" i="2"/>
  <c r="N118" i="2"/>
  <c r="I118" i="2"/>
  <c r="G118" i="2"/>
  <c r="M118" i="2"/>
  <c r="O120" i="1" l="1"/>
  <c r="S120" i="1"/>
  <c r="R121" i="1"/>
  <c r="G120" i="1"/>
  <c r="K121" i="1"/>
  <c r="W121" i="1"/>
  <c r="V120" i="1"/>
  <c r="X121" i="1"/>
  <c r="Q120" i="1"/>
  <c r="K120" i="1"/>
  <c r="N120" i="1"/>
  <c r="X120" i="1"/>
  <c r="P121" i="1"/>
  <c r="O121" i="1"/>
  <c r="S121" i="1"/>
  <c r="P120" i="1"/>
  <c r="J120" i="1"/>
  <c r="G121" i="1"/>
  <c r="I121" i="1"/>
  <c r="L121" i="1"/>
  <c r="L120" i="1"/>
  <c r="R120" i="1"/>
  <c r="U120" i="1"/>
  <c r="G122" i="1"/>
  <c r="M121" i="1"/>
  <c r="W120" i="1"/>
  <c r="H120" i="1"/>
  <c r="V121" i="1"/>
  <c r="I120" i="1"/>
  <c r="Q121" i="1"/>
  <c r="T121" i="1"/>
  <c r="H121" i="1"/>
  <c r="F120" i="1"/>
  <c r="F121" i="1"/>
  <c r="G1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60919511-576E-402D-941D-A3F4FB68D2B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A4EC371B-3663-4345-954B-B15373471FBC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57871F37-BF62-469A-9E87-AA0D67D5A6A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1D226F38-FD8C-4BC9-A7AC-F12A47EB839D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  <comment ref="J1" authorId="0" shapeId="0" xr:uid="{1F12E685-4F1C-4A05-92A6-55DD15239261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РЫЖИЙ ЦВЕТ ВЫДЕЛАЕТ СТРОЧКУ С ВЕЩЕСТВОМ</t>
        </r>
      </text>
    </comment>
  </commentList>
</comments>
</file>

<file path=xl/sharedStrings.xml><?xml version="1.0" encoding="utf-8"?>
<sst xmlns="http://schemas.openxmlformats.org/spreadsheetml/2006/main" count="204" uniqueCount="88">
  <si>
    <t>*Se[m]</t>
  </si>
  <si>
    <t>*Ga</t>
  </si>
  <si>
    <t>Ar</t>
  </si>
  <si>
    <t>(l)Ge</t>
  </si>
  <si>
    <t>(l)GeSe</t>
  </si>
  <si>
    <t>(l)Ga</t>
  </si>
  <si>
    <t>(l)Ga2Se3</t>
  </si>
  <si>
    <t>Se</t>
  </si>
  <si>
    <t>Ge</t>
  </si>
  <si>
    <t>Ga</t>
  </si>
  <si>
    <t>Первоначальные данные</t>
  </si>
  <si>
    <t>Состав смеси в атомах</t>
  </si>
  <si>
    <t>Состав смеси в атомных долях</t>
  </si>
  <si>
    <t>Сумма</t>
  </si>
  <si>
    <t>Набор фаз</t>
  </si>
  <si>
    <t>Реальный расчет</t>
  </si>
  <si>
    <t>H(289)</t>
  </si>
  <si>
    <t>T (K)</t>
  </si>
  <si>
    <t>G(T)-H(0) (J)</t>
  </si>
  <si>
    <t>G(T)-H(298) (J)</t>
  </si>
  <si>
    <t>G(T) (J)</t>
  </si>
  <si>
    <t>*Ge[c]</t>
  </si>
  <si>
    <t>*Ge[l]</t>
  </si>
  <si>
    <t>(l)Ge[l]</t>
  </si>
  <si>
    <t>(l)Ga[l]</t>
  </si>
  <si>
    <t>(l)Se[l]</t>
  </si>
  <si>
    <t>Se7</t>
  </si>
  <si>
    <t>Se4</t>
  </si>
  <si>
    <t>Se5</t>
  </si>
  <si>
    <t>Se6</t>
  </si>
  <si>
    <t>Se8</t>
  </si>
  <si>
    <t>Se3</t>
  </si>
  <si>
    <t>Ge2</t>
  </si>
  <si>
    <t>Se2</t>
  </si>
  <si>
    <t>Ga2Se</t>
  </si>
  <si>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</si>
  <si>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</si>
  <si>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*Ge</t>
  </si>
  <si>
    <t>*GeSe2</t>
  </si>
  <si>
    <t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t>
  </si>
  <si>
    <t>(l)Se</t>
  </si>
  <si>
    <t>(l)Se[r]</t>
  </si>
  <si>
    <t>Тип сорт/\ 0E- выбранный столбец, 1 по всей таблице</t>
  </si>
  <si>
    <t xml:space="preserve">Раствор 1(тв): </t>
  </si>
  <si>
    <t xml:space="preserve">Газовая: </t>
  </si>
  <si>
    <t xml:space="preserve">Газовая без Ar: </t>
  </si>
  <si>
    <t xml:space="preserve">Раствор 2 (жид): </t>
  </si>
  <si>
    <t>нет жидкой фазы</t>
  </si>
  <si>
    <t xml:space="preserve">Раствор (жид): </t>
  </si>
  <si>
    <t xml:space="preserve">Раствор + газовая: </t>
  </si>
  <si>
    <t xml:space="preserve">Раствор + газовая без Ar: 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</si>
  <si>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</si>
  <si>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 xml:space="preserve">Расвор: </t>
  </si>
  <si>
    <t>Из FLUID :</t>
  </si>
  <si>
    <t>ИЗ SOLIDDIFFER</t>
  </si>
  <si>
    <t>ИЗ ALL</t>
  </si>
  <si>
    <t>Начало/конец=</t>
  </si>
  <si>
    <t xml:space="preserve">Частота= </t>
  </si>
  <si>
    <t>Ряд температур</t>
  </si>
  <si>
    <t>От куда:</t>
  </si>
  <si>
    <t>(l)Se[a]</t>
  </si>
  <si>
    <t>(l)GeSe2</t>
  </si>
  <si>
    <t>Температура</t>
  </si>
  <si>
    <t>Раствор + газовая без Ar</t>
  </si>
  <si>
    <t xml:space="preserve"> </t>
  </si>
  <si>
    <t>*GeSe</t>
  </si>
  <si>
    <t>(l)Ge[c]</t>
  </si>
  <si>
    <t>Ga2Se3</t>
  </si>
  <si>
    <t xml:space="preserve">Раствор 1 + газовая без Ar: </t>
  </si>
  <si>
    <t xml:space="preserve">Раствор 1 + газовая: </t>
  </si>
  <si>
    <t>Относительная  концентрация в данной системе</t>
  </si>
  <si>
    <t>Энергия гиббса фаз в данной системе. КДж</t>
  </si>
  <si>
    <t>Общая энергия гиббса смесей, КДж</t>
  </si>
  <si>
    <t>Удельная энергия Гиббса отдельных веществ из потенциалов. Дж</t>
  </si>
  <si>
    <t>H (Ar)</t>
  </si>
  <si>
    <t>H (Ga)</t>
  </si>
  <si>
    <t>H (Ge)</t>
  </si>
  <si>
    <t>H (Se)</t>
  </si>
  <si>
    <t>All</t>
  </si>
  <si>
    <t>p(Ga)</t>
  </si>
  <si>
    <t>p(Ge)</t>
  </si>
  <si>
    <t>p(Ar)</t>
  </si>
  <si>
    <t>Vapor</t>
  </si>
  <si>
    <t>Se?</t>
  </si>
  <si>
    <t>(l)SeCl]</t>
  </si>
  <si>
    <t>B(Se)</t>
  </si>
  <si>
    <t>(l)Se[m]</t>
  </si>
  <si>
    <t>solid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</si>
</sst>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"/>
  </numFmts>
  <fonts count="26" x14ac:knownFonts="1">
    <font>
      <sz val="16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8"/>
      <name val="Arial"/>
      <family val="2"/>
      <charset val="204"/>
    </font>
    <font>
      <sz val="14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b/>
      <sz val="14"/>
      <color theme="0" tint="-4.9989318521683403E-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7.5"/>
      <name val="Arial"/>
      <family val="2"/>
      <charset val="204"/>
    </font>
    <font>
      <sz val="18"/>
      <color theme="1"/>
      <name val="Calibri"/>
      <family val="2"/>
      <charset val="204"/>
      <scheme val="minor"/>
    </font>
    <font>
      <sz val="12"/>
      <name val="Arial"/>
      <family val="2"/>
      <charset val="204"/>
    </font>
    <font>
      <sz val="16"/>
      <color rgb="FF00000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9">
    <xf numFmtId="0" fontId="0" fillId="0" borderId="0"/>
    <xf numFmtId="165" fontId="8" fillId="2" borderId="2">
      <alignment horizontal="left" vertical="center"/>
    </xf>
    <xf numFmtId="0" fontId="18" fillId="3" borderId="8" applyNumberFormat="0">
      <alignment horizontal="left" vertical="center"/>
    </xf>
    <xf numFmtId="164" fontId="17" fillId="0" borderId="0"/>
    <xf numFmtId="11" fontId="5" fillId="6" borderId="0">
      <alignment vertical="top"/>
    </xf>
    <xf numFmtId="0" fontId="20" fillId="4" borderId="0"/>
    <xf numFmtId="0" fontId="25" fillId="21" borderId="0" applyNumberFormat="0" applyBorder="0" applyAlignment="0" applyProtection="0"/>
    <xf numFmtId="0" fontId="24" fillId="5" borderId="0">
      <alignment horizontal="center" vertical="center"/>
    </xf>
    <xf numFmtId="0" fontId="3" fillId="0" borderId="0" applyNumberFormat="0" applyFont="0" applyFill="0" applyBorder="0" applyAlignment="0" applyProtection="0">
      <alignment vertical="top"/>
    </xf>
  </cellStyleXfs>
  <cellXfs count="92">
    <xf numFmtId="0" fontId="0" fillId="0" borderId="0" xfId="0"/>
    <xf numFmtId="0" fontId="4" fillId="0" borderId="0" xfId="0" applyNumberFormat="1" applyFont="1" applyFill="1" applyBorder="1" applyAlignment="1" applyProtection="1">
      <alignment vertical="top"/>
    </xf>
    <xf numFmtId="0" fontId="2" fillId="5" borderId="0" xfId="0" applyFont="1" applyFill="1"/>
    <xf numFmtId="0" fontId="1" fillId="2" borderId="2" xfId="0" applyFont="1" applyFill="1" applyBorder="1" applyAlignment="1">
      <alignment horizontal="center" vertical="center"/>
    </xf>
    <xf numFmtId="0" fontId="0" fillId="6" borderId="0" xfId="0" applyFill="1"/>
    <xf numFmtId="0" fontId="7" fillId="6" borderId="0" xfId="0" applyFont="1" applyFill="1"/>
    <xf numFmtId="0" fontId="8" fillId="2" borderId="2" xfId="0" applyFont="1" applyFill="1" applyBorder="1"/>
    <xf numFmtId="0" fontId="9" fillId="3" borderId="1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6" fillId="8" borderId="6" xfId="0" applyFont="1" applyFill="1" applyBorder="1" applyAlignment="1"/>
    <xf numFmtId="0" fontId="6" fillId="8" borderId="7" xfId="0" applyFont="1" applyFill="1" applyBorder="1" applyAlignment="1"/>
    <xf numFmtId="0" fontId="1" fillId="8" borderId="5" xfId="0" applyFont="1" applyFill="1" applyBorder="1" applyAlignment="1"/>
    <xf numFmtId="0" fontId="1" fillId="4" borderId="0" xfId="0" applyFont="1" applyFill="1" applyAlignment="1"/>
    <xf numFmtId="0" fontId="6" fillId="8" borderId="5" xfId="0" applyFont="1" applyFill="1" applyBorder="1" applyAlignment="1"/>
    <xf numFmtId="0" fontId="1" fillId="2" borderId="10" xfId="0" applyFont="1" applyFill="1" applyBorder="1" applyAlignment="1">
      <alignment horizontal="center" vertical="center"/>
    </xf>
    <xf numFmtId="0" fontId="0" fillId="6" borderId="11" xfId="0" applyFill="1" applyBorder="1"/>
    <xf numFmtId="0" fontId="0" fillId="9" borderId="0" xfId="0" applyFill="1"/>
    <xf numFmtId="0" fontId="8" fillId="7" borderId="0" xfId="0" applyFont="1" applyFill="1"/>
    <xf numFmtId="0" fontId="8" fillId="2" borderId="12" xfId="0" applyFont="1" applyFill="1" applyBorder="1"/>
    <xf numFmtId="0" fontId="8" fillId="2" borderId="13" xfId="0" applyFont="1" applyFill="1" applyBorder="1"/>
    <xf numFmtId="0" fontId="11" fillId="2" borderId="12" xfId="0" applyFont="1" applyFill="1" applyBorder="1"/>
    <xf numFmtId="0" fontId="9" fillId="3" borderId="4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8" fillId="2" borderId="17" xfId="0" applyFont="1" applyFill="1" applyBorder="1"/>
    <xf numFmtId="0" fontId="0" fillId="0" borderId="0" xfId="0" applyAlignment="1">
      <alignment wrapText="1"/>
    </xf>
    <xf numFmtId="0" fontId="13" fillId="0" borderId="0" xfId="0" applyNumberFormat="1" applyFont="1" applyFill="1" applyBorder="1" applyAlignment="1" applyProtection="1">
      <alignment vertical="top"/>
    </xf>
    <xf numFmtId="0" fontId="14" fillId="0" borderId="0" xfId="0" applyFont="1"/>
    <xf numFmtId="0" fontId="15" fillId="0" borderId="0" xfId="0" applyNumberFormat="1" applyFont="1" applyFill="1" applyBorder="1" applyAlignment="1" applyProtection="1">
      <alignment vertical="top"/>
    </xf>
    <xf numFmtId="0" fontId="3" fillId="0" borderId="0" xfId="0" applyNumberFormat="1" applyFont="1" applyFill="1" applyBorder="1" applyAlignment="1" applyProtection="1">
      <alignment vertical="top"/>
    </xf>
    <xf numFmtId="0" fontId="8" fillId="2" borderId="2" xfId="1" applyNumberFormat="1">
      <alignment horizontal="left" vertical="center"/>
    </xf>
    <xf numFmtId="164" fontId="17" fillId="0" borderId="0" xfId="3"/>
    <xf numFmtId="11" fontId="17" fillId="0" borderId="0" xfId="3" applyNumberFormat="1"/>
    <xf numFmtId="0" fontId="0" fillId="0" borderId="0" xfId="0" applyFill="1"/>
    <xf numFmtId="0" fontId="18" fillId="3" borderId="8" xfId="2" applyNumberFormat="1">
      <alignment horizontal="left" vertical="center"/>
    </xf>
    <xf numFmtId="0" fontId="18" fillId="3" borderId="8" xfId="2">
      <alignment horizontal="left" vertical="center"/>
    </xf>
    <xf numFmtId="0" fontId="6" fillId="8" borderId="14" xfId="0" applyFont="1" applyFill="1" applyBorder="1" applyAlignment="1"/>
    <xf numFmtId="0" fontId="6" fillId="8" borderId="16" xfId="0" applyFont="1" applyFill="1" applyBorder="1" applyAlignment="1"/>
    <xf numFmtId="11" fontId="5" fillId="6" borderId="0" xfId="4">
      <alignment vertical="top"/>
    </xf>
    <xf numFmtId="0" fontId="0" fillId="0" borderId="0" xfId="0" applyFill="1" applyAlignment="1">
      <alignment vertical="center" wrapText="1"/>
    </xf>
    <xf numFmtId="11" fontId="0" fillId="0" borderId="0" xfId="0" applyNumberFormat="1"/>
    <xf numFmtId="0" fontId="0" fillId="0" borderId="0" xfId="0" applyAlignment="1"/>
    <xf numFmtId="0" fontId="0" fillId="0" borderId="0" xfId="0" applyAlignment="1">
      <alignment horizontal="right"/>
    </xf>
    <xf numFmtId="0" fontId="0" fillId="12" borderId="0" xfId="0" applyFill="1" applyAlignment="1">
      <alignment horizontal="right"/>
    </xf>
    <xf numFmtId="0" fontId="17" fillId="0" borderId="0" xfId="0" applyFont="1" applyAlignment="1">
      <alignment horizontal="right"/>
    </xf>
    <xf numFmtId="11" fontId="18" fillId="3" borderId="8" xfId="2" applyNumberFormat="1">
      <alignment horizontal="left" vertical="center"/>
    </xf>
    <xf numFmtId="0" fontId="20" fillId="4" borderId="0" xfId="0" applyFont="1" applyFill="1" applyAlignment="1"/>
    <xf numFmtId="0" fontId="20" fillId="4" borderId="0" xfId="5"/>
    <xf numFmtId="0" fontId="0" fillId="14" borderId="0" xfId="0" applyFill="1"/>
    <xf numFmtId="0" fontId="0" fillId="15" borderId="0" xfId="0" applyFill="1"/>
    <xf numFmtId="0" fontId="0" fillId="16" borderId="0" xfId="0" applyFill="1"/>
    <xf numFmtId="0" fontId="23" fillId="15" borderId="16" xfId="0" applyFont="1" applyFill="1" applyBorder="1" applyAlignment="1">
      <alignment horizontal="center" vertical="center"/>
    </xf>
    <xf numFmtId="0" fontId="23" fillId="15" borderId="15" xfId="0" applyFont="1" applyFill="1" applyBorder="1" applyAlignment="1">
      <alignment horizontal="center" vertical="center"/>
    </xf>
    <xf numFmtId="0" fontId="23" fillId="17" borderId="15" xfId="0" applyFont="1" applyFill="1" applyBorder="1" applyAlignment="1">
      <alignment horizontal="center" vertical="center"/>
    </xf>
    <xf numFmtId="0" fontId="23" fillId="18" borderId="14" xfId="0" applyFont="1" applyFill="1" applyBorder="1" applyAlignment="1">
      <alignment horizontal="left" vertical="center"/>
    </xf>
    <xf numFmtId="0" fontId="23" fillId="18" borderId="15" xfId="0" applyFont="1" applyFill="1" applyBorder="1" applyAlignment="1">
      <alignment horizontal="center" vertical="center"/>
    </xf>
    <xf numFmtId="0" fontId="23" fillId="19" borderId="15" xfId="0" applyFont="1" applyFill="1" applyBorder="1" applyAlignment="1">
      <alignment horizontal="center" vertical="center"/>
    </xf>
    <xf numFmtId="0" fontId="2" fillId="15" borderId="8" xfId="0" applyFont="1" applyFill="1" applyBorder="1" applyAlignment="1">
      <alignment horizontal="right" vertical="center"/>
    </xf>
    <xf numFmtId="0" fontId="2" fillId="17" borderId="8" xfId="0" applyFont="1" applyFill="1" applyBorder="1" applyAlignment="1">
      <alignment horizontal="right" vertical="center"/>
    </xf>
    <xf numFmtId="0" fontId="23" fillId="18" borderId="15" xfId="0" applyFont="1" applyFill="1" applyBorder="1" applyAlignment="1">
      <alignment horizontal="right" vertical="center"/>
    </xf>
    <xf numFmtId="0" fontId="23" fillId="19" borderId="8" xfId="0" applyFont="1" applyFill="1" applyBorder="1" applyAlignment="1">
      <alignment horizontal="right" vertical="center"/>
    </xf>
    <xf numFmtId="0" fontId="17" fillId="0" borderId="0" xfId="3" applyNumberFormat="1"/>
    <xf numFmtId="0" fontId="0" fillId="0" borderId="0" xfId="0" applyFill="1" applyBorder="1" applyAlignment="1">
      <alignment horizontal="right"/>
    </xf>
    <xf numFmtId="3" fontId="0" fillId="6" borderId="0" xfId="0" applyNumberFormat="1" applyFill="1"/>
    <xf numFmtId="3" fontId="0" fillId="0" borderId="0" xfId="0" applyNumberFormat="1"/>
    <xf numFmtId="0" fontId="0" fillId="20" borderId="0" xfId="0" applyFill="1"/>
    <xf numFmtId="2" fontId="17" fillId="0" borderId="0" xfId="3" applyNumberFormat="1"/>
    <xf numFmtId="164" fontId="0" fillId="0" borderId="0" xfId="0" applyNumberFormat="1"/>
    <xf numFmtId="164" fontId="0" fillId="6" borderId="0" xfId="0" applyNumberFormat="1" applyFill="1"/>
    <xf numFmtId="165" fontId="8" fillId="2" borderId="2" xfId="1">
      <alignment horizontal="left" vertical="center"/>
    </xf>
    <xf numFmtId="1" fontId="5" fillId="6" borderId="0" xfId="4" applyNumberFormat="1">
      <alignment vertical="top"/>
    </xf>
    <xf numFmtId="0" fontId="24" fillId="5" borderId="0" xfId="7">
      <alignment horizontal="center" vertical="center"/>
    </xf>
    <xf numFmtId="0" fontId="20" fillId="22" borderId="0" xfId="5" applyFill="1"/>
    <xf numFmtId="0" fontId="0" fillId="22" borderId="0" xfId="0" applyFill="1"/>
    <xf numFmtId="0" fontId="1" fillId="22" borderId="0" xfId="0" applyFont="1" applyFill="1" applyAlignment="1"/>
    <xf numFmtId="0" fontId="10" fillId="22" borderId="7" xfId="0" applyFont="1" applyFill="1" applyBorder="1" applyAlignment="1"/>
    <xf numFmtId="0" fontId="1" fillId="22" borderId="16" xfId="0" applyFont="1" applyFill="1" applyBorder="1" applyAlignment="1"/>
    <xf numFmtId="0" fontId="0" fillId="22" borderId="16" xfId="0" applyFill="1" applyBorder="1"/>
    <xf numFmtId="0" fontId="0" fillId="22" borderId="15" xfId="0" applyFill="1" applyBorder="1"/>
    <xf numFmtId="1" fontId="18" fillId="3" borderId="8" xfId="2" applyNumberFormat="1">
      <alignment horizontal="left" vertical="center"/>
    </xf>
    <xf numFmtId="1" fontId="0" fillId="0" borderId="0" xfId="0" applyNumberFormat="1"/>
    <xf numFmtId="1" fontId="8" fillId="2" borderId="2" xfId="1" applyNumberFormat="1">
      <alignment horizontal="left" vertical="center"/>
    </xf>
    <xf numFmtId="165" fontId="0" fillId="0" borderId="0" xfId="0" applyNumberFormat="1"/>
    <xf numFmtId="165" fontId="14" fillId="0" borderId="0" xfId="0" applyNumberFormat="1" applyFont="1"/>
    <xf numFmtId="11" fontId="4" fillId="0" borderId="0" xfId="8" applyNumberFormat="1" applyFont="1" applyFill="1" applyBorder="1" applyAlignment="1" applyProtection="1">
      <alignment vertical="top"/>
    </xf>
    <xf numFmtId="11" fontId="5" fillId="23" borderId="0" xfId="8" applyNumberFormat="1" applyFont="1" applyFill="1">
      <alignment vertical="top"/>
    </xf>
    <xf numFmtId="0" fontId="12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9" borderId="0" xfId="0" applyFill="1" applyAlignment="1">
      <alignment horizontal="center" vertical="center" wrapText="1"/>
    </xf>
    <xf numFmtId="0" fontId="19" fillId="1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9">
    <cellStyle name="Выделение" xfId="7" xr:uid="{0F6AA409-7D93-4CC0-AD16-CBB408B703ED}"/>
    <cellStyle name="Данные" xfId="3" xr:uid="{00000000-0005-0000-0000-000000000000}"/>
    <cellStyle name="Заглавие" xfId="5" xr:uid="{2C99FE75-EF66-401A-8461-9A8FF66AAD70}"/>
    <cellStyle name="Заголовок" xfId="1" xr:uid="{00000000-0005-0000-0000-000001000000}"/>
    <cellStyle name="Заголовок2" xfId="2" xr:uid="{00000000-0005-0000-0000-000002000000}"/>
    <cellStyle name="Нейтральный" xfId="6" builtinId="28" hidden="1"/>
    <cellStyle name="Обычный" xfId="0" builtinId="0"/>
    <cellStyle name="Обычный_data" xfId="8" xr:uid="{0FEF9202-B00B-491C-AE65-36260D063FDC}"/>
    <cellStyle name="Форм" xfId="4" xr:uid="{00000000-0005-0000-0000-000004000000}"/>
  </cellStyles>
  <dxfs count="15"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ont>
        <b/>
        <i val="0"/>
        <color theme="0" tint="-4.9989318521683403E-2"/>
      </font>
      <fill>
        <patternFill>
          <bgColor theme="1" tint="0.24994659260841701"/>
        </patternFill>
      </fill>
    </dxf>
    <dxf>
      <fill>
        <patternFill>
          <bgColor theme="7" tint="0.39994506668294322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ill>
        <patternFill>
          <bgColor theme="7" tint="0.39994506668294322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ill>
        <patternFill>
          <bgColor theme="7" tint="0.39994506668294322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ALL!$F$37:$X$37</c:f>
              <c:numCache>
                <c:formatCode>General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ALL!$F$38:$X$38</c:f>
              <c:numCache>
                <c:formatCode>General</c:formatCode>
                <c:ptCount val="19"/>
                <c:pt idx="0">
                  <c:v>-402.97426526700008</c:v>
                </c:pt>
                <c:pt idx="1">
                  <c:v>-424.0592885100001</c:v>
                </c:pt>
                <c:pt idx="2">
                  <c:v>-449.05657501049996</c:v>
                </c:pt>
                <c:pt idx="3">
                  <c:v>-476.47137167350007</c:v>
                </c:pt>
                <c:pt idx="4">
                  <c:v>-505.73620140225006</c:v>
                </c:pt>
                <c:pt idx="5">
                  <c:v>-670.84864786800006</c:v>
                </c:pt>
                <c:pt idx="6">
                  <c:v>-727.28280278190016</c:v>
                </c:pt>
                <c:pt idx="7">
                  <c:v>-785.61524340799997</c:v>
                </c:pt>
                <c:pt idx="8">
                  <c:v>-845.46442898160012</c:v>
                </c:pt>
                <c:pt idx="9">
                  <c:v>-906.75296647379992</c:v>
                </c:pt>
                <c:pt idx="10">
                  <c:v>-1165.9290392830501</c:v>
                </c:pt>
                <c:pt idx="11">
                  <c:v>-1444.6095400165</c:v>
                </c:pt>
                <c:pt idx="12">
                  <c:v>-1738.5691725290005</c:v>
                </c:pt>
                <c:pt idx="13">
                  <c:v>-1815.4166261109999</c:v>
                </c:pt>
                <c:pt idx="14">
                  <c:v>-1891.1335682140002</c:v>
                </c:pt>
                <c:pt idx="15">
                  <c:v>-1969.3857731999999</c:v>
                </c:pt>
                <c:pt idx="16">
                  <c:v>-2046.7983328605005</c:v>
                </c:pt>
                <c:pt idx="17">
                  <c:v>-2363.2265047870001</c:v>
                </c:pt>
                <c:pt idx="18">
                  <c:v>-2689.4289562500003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78-4CCD-B663-3BEC038F1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1176"/>
        <c:axId val="391631568"/>
      </c:scatterChart>
      <c:valAx>
        <c:axId val="3916311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568"/>
        <c:crosses val="autoZero"/>
        <c:crossBetween val="midCat"/>
      </c:valAx>
      <c:valAx>
        <c:axId val="391631568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1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 фаза</a:t>
            </a:r>
            <a:r>
              <a:rPr lang="en-US" sz="1800" baseline="0"/>
              <a:t> </a:t>
            </a:r>
            <a:endParaRPr lang="ru-RU" sz="1800"/>
          </a:p>
        </c:rich>
      </c:tx>
      <c:layout>
        <c:manualLayout>
          <c:xMode val="edge"/>
          <c:yMode val="edge"/>
          <c:x val="0.48506301612398534"/>
          <c:y val="2.920709988744990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235474982600566"/>
          <c:y val="9.3994478072448276E-2"/>
          <c:w val="0.82051080770781659"/>
          <c:h val="0.78539910293323945"/>
        </c:manualLayout>
      </c:layout>
      <c:scatterChart>
        <c:scatterStyle val="smoothMarker"/>
        <c:varyColors val="0"/>
        <c:ser>
          <c:idx val="7"/>
          <c:order val="1"/>
          <c:tx>
            <c:strRef>
              <c:f>ALL!$E$5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ALL!$F$5:$X$5</c:f>
              <c:numCache>
                <c:formatCode>0.00E+00</c:formatCode>
                <c:ptCount val="19"/>
                <c:pt idx="0">
                  <c:v>1.4031E-2</c:v>
                </c:pt>
                <c:pt idx="1">
                  <c:v>1.3042E-2</c:v>
                </c:pt>
                <c:pt idx="2">
                  <c:v>1.2111E-2</c:v>
                </c:pt>
                <c:pt idx="3">
                  <c:v>1.1827000000000001E-2</c:v>
                </c:pt>
                <c:pt idx="4">
                  <c:v>1.1691E-2</c:v>
                </c:pt>
                <c:pt idx="5">
                  <c:v>8.6454999999999996E-9</c:v>
                </c:pt>
                <c:pt idx="6">
                  <c:v>1.6989E-12</c:v>
                </c:pt>
                <c:pt idx="7">
                  <c:v>5.993E-16</c:v>
                </c:pt>
                <c:pt idx="8">
                  <c:v>3.5301E-19</c:v>
                </c:pt>
                <c:pt idx="9">
                  <c:v>3.2807999999999999E-22</c:v>
                </c:pt>
                <c:pt idx="10">
                  <c:v>1.0592E-32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0EAA-4093-8DEA-E2502666A289}"/>
            </c:ext>
          </c:extLst>
        </c:ser>
        <c:ser>
          <c:idx val="8"/>
          <c:order val="2"/>
          <c:tx>
            <c:strRef>
              <c:f>ALL!$E$6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ALL!$F$6:$X$6</c:f>
              <c:numCache>
                <c:formatCode>0.00E+00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1.0016E-29</c:v>
                </c:pt>
                <c:pt idx="6">
                  <c:v>8.6551000000000002E-28</c:v>
                </c:pt>
                <c:pt idx="7">
                  <c:v>4.6019999999999999E-26</c:v>
                </c:pt>
                <c:pt idx="8">
                  <c:v>1.6368E-24</c:v>
                </c:pt>
                <c:pt idx="9">
                  <c:v>4.1361000000000001E-23</c:v>
                </c:pt>
                <c:pt idx="10">
                  <c:v>1.2665E-18</c:v>
                </c:pt>
                <c:pt idx="11">
                  <c:v>2.2310000000000002E-15</c:v>
                </c:pt>
                <c:pt idx="12">
                  <c:v>6.3804999999999999E-13</c:v>
                </c:pt>
                <c:pt idx="13">
                  <c:v>2.1290999999999999E-12</c:v>
                </c:pt>
                <c:pt idx="14">
                  <c:v>6.6288000000000002E-12</c:v>
                </c:pt>
                <c:pt idx="15">
                  <c:v>1.9369000000000001E-11</c:v>
                </c:pt>
                <c:pt idx="16">
                  <c:v>5.3384000000000003E-11</c:v>
                </c:pt>
                <c:pt idx="17">
                  <c:v>1.8718000000000001E-9</c:v>
                </c:pt>
                <c:pt idx="18">
                  <c:v>3.4675999999999999E-8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0EAA-4093-8DEA-E2502666A289}"/>
            </c:ext>
          </c:extLst>
        </c:ser>
        <c:ser>
          <c:idx val="9"/>
          <c:order val="3"/>
          <c:tx>
            <c:strRef>
              <c:f>ALL!$E$7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ALL!$F$7:$X$7</c:f>
              <c:numCache>
                <c:formatCode>0.00E+00</c:formatCode>
                <c:ptCount val="19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0EAA-4093-8DEA-E2502666A289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EF8B-4FF5-9E62-A50818EEB2F1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300</c:v>
                </c:pt>
                <c:pt idx="1">
                  <c:v>300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-65.37</c:v>
                </c:pt>
                <c:pt idx="1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EE0-4A3E-AC7E-56FAA3E8C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392"/>
        <c:axId val="391631960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ALL!$F$4:$X$4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3.5994999999999999E-8</c:v>
                      </c:pt>
                      <c:pt idx="1">
                        <c:v>4.9854999999999999E-8</c:v>
                      </c:pt>
                      <c:pt idx="2">
                        <c:v>7.8368000000000004E-8</c:v>
                      </c:pt>
                      <c:pt idx="3">
                        <c:v>9.2201000000000006E-8</c:v>
                      </c:pt>
                      <c:pt idx="4">
                        <c:v>9.1532000000000002E-8</c:v>
                      </c:pt>
                      <c:pt idx="5">
                        <c:v>1.1143E-7</c:v>
                      </c:pt>
                      <c:pt idx="6">
                        <c:v>1.2272E-7</c:v>
                      </c:pt>
                      <c:pt idx="7">
                        <c:v>1.2407E-7</c:v>
                      </c:pt>
                      <c:pt idx="8">
                        <c:v>1.2499999999999999E-7</c:v>
                      </c:pt>
                      <c:pt idx="9">
                        <c:v>1.2436999999999999E-7</c:v>
                      </c:pt>
                      <c:pt idx="10">
                        <c:v>1.1789000000000001E-7</c:v>
                      </c:pt>
                      <c:pt idx="11">
                        <c:v>1.1532E-7</c:v>
                      </c:pt>
                      <c:pt idx="12">
                        <c:v>1.1542E-7</c:v>
                      </c:pt>
                      <c:pt idx="13">
                        <c:v>1.1574E-7</c:v>
                      </c:pt>
                      <c:pt idx="14">
                        <c:v>1.1608E-7</c:v>
                      </c:pt>
                      <c:pt idx="15">
                        <c:v>1.1643E-7</c:v>
                      </c:pt>
                      <c:pt idx="16">
                        <c:v>1.168E-7</c:v>
                      </c:pt>
                      <c:pt idx="17">
                        <c:v>1.1842E-7</c:v>
                      </c:pt>
                      <c:pt idx="18">
                        <c:v>1.2032999999999999E-7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1-0EAA-4093-8DEA-E2502666A289}"/>
                  </c:ext>
                </c:extLst>
              </c15:ser>
            </c15:filteredScatterSeries>
            <c15:filteredScatterSeries>
              <c15:ser>
                <c:idx val="1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ALL!$F$8:$X$8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0.10983999999999999</c:v>
                      </c:pt>
                      <c:pt idx="1">
                        <c:v>6.6614000000000007E-2</c:v>
                      </c:pt>
                      <c:pt idx="2">
                        <c:v>1.9526999999999999E-2</c:v>
                      </c:pt>
                      <c:pt idx="3">
                        <c:v>4.2795000000000003E-3</c:v>
                      </c:pt>
                      <c:pt idx="4">
                        <c:v>9.6991000000000004E-4</c:v>
                      </c:pt>
                      <c:pt idx="5">
                        <c:v>4.4163999999999998E-7</c:v>
                      </c:pt>
                      <c:pt idx="6">
                        <c:v>5.2524000000000001E-8</c:v>
                      </c:pt>
                      <c:pt idx="7">
                        <c:v>7.1420000000000004E-9</c:v>
                      </c:pt>
                      <c:pt idx="8">
                        <c:v>1.1053999999999999E-9</c:v>
                      </c:pt>
                      <c:pt idx="9">
                        <c:v>1.9218E-10</c:v>
                      </c:pt>
                      <c:pt idx="10">
                        <c:v>4.3892000000000001E-13</c:v>
                      </c:pt>
                      <c:pt idx="11">
                        <c:v>2.8443999999999998E-15</c:v>
                      </c:pt>
                      <c:pt idx="12">
                        <c:v>3.6466000000000003E-17</c:v>
                      </c:pt>
                      <c:pt idx="13">
                        <c:v>1.3281E-17</c:v>
                      </c:pt>
                      <c:pt idx="14">
                        <c:v>4.9658000000000002E-18</c:v>
                      </c:pt>
                      <c:pt idx="15">
                        <c:v>1.9018999999999999E-18</c:v>
                      </c:pt>
                      <c:pt idx="16">
                        <c:v>7.4456999999999998E-19</c:v>
                      </c:pt>
                      <c:pt idx="17">
                        <c:v>2.1060999999999999E-20</c:v>
                      </c:pt>
                      <c:pt idx="18">
                        <c:v>7.5076000000000004E-22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EAA-4093-8DEA-E2502666A289}"/>
                  </c:ext>
                </c:extLst>
              </c15:ser>
            </c15:filteredScatterSeries>
            <c15:filteredScatterSeries>
              <c15:ser>
                <c:idx val="11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ALL!$F$9:$X$9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1.0159E-2</c:v>
                      </c:pt>
                      <c:pt idx="1">
                        <c:v>5.3384000000000001E-2</c:v>
                      </c:pt>
                      <c:pt idx="2">
                        <c:v>0.10041</c:v>
                      </c:pt>
                      <c:pt idx="3">
                        <c:v>0.11502999999999999</c:v>
                      </c:pt>
                      <c:pt idx="4">
                        <c:v>0.11377</c:v>
                      </c:pt>
                      <c:pt idx="5">
                        <c:v>5.1475000000000002E-3</c:v>
                      </c:pt>
                      <c:pt idx="6">
                        <c:v>1.5674E-3</c:v>
                      </c:pt>
                      <c:pt idx="7">
                        <c:v>5.1270999999999999E-4</c:v>
                      </c:pt>
                      <c:pt idx="8">
                        <c:v>1.8076999999999999E-4</c:v>
                      </c:pt>
                      <c:pt idx="9">
                        <c:v>6.8257999999999996E-5</c:v>
                      </c:pt>
                      <c:pt idx="10">
                        <c:v>2.3856999999999999E-6</c:v>
                      </c:pt>
                      <c:pt idx="11">
                        <c:v>1.5417999999999999E-7</c:v>
                      </c:pt>
                      <c:pt idx="12">
                        <c:v>1.4864E-8</c:v>
                      </c:pt>
                      <c:pt idx="13">
                        <c:v>8.6748999999999995E-9</c:v>
                      </c:pt>
                      <c:pt idx="14">
                        <c:v>5.1410000000000003E-9</c:v>
                      </c:pt>
                      <c:pt idx="15">
                        <c:v>3.0897000000000002E-9</c:v>
                      </c:pt>
                      <c:pt idx="16">
                        <c:v>1.8809E-9</c:v>
                      </c:pt>
                      <c:pt idx="17">
                        <c:v>2.8795000000000002E-10</c:v>
                      </c:pt>
                      <c:pt idx="18">
                        <c:v>5.0483999999999999E-11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EAA-4093-8DEA-E2502666A289}"/>
                  </c:ext>
                </c:extLst>
              </c15:ser>
            </c15:filteredScatterSeries>
            <c15:filteredScatterSeries>
              <c15:ser>
                <c:idx val="0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ALL!$F$10:$X$10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2.5968999999999999E-2</c:v>
                      </c:pt>
                      <c:pt idx="1">
                        <c:v>2.6957999999999999E-2</c:v>
                      </c:pt>
                      <c:pt idx="2">
                        <c:v>2.7889000000000001E-2</c:v>
                      </c:pt>
                      <c:pt idx="3">
                        <c:v>2.8173E-2</c:v>
                      </c:pt>
                      <c:pt idx="4">
                        <c:v>2.8309000000000001E-2</c:v>
                      </c:pt>
                      <c:pt idx="5">
                        <c:v>3.4358999999999997E-8</c:v>
                      </c:pt>
                      <c:pt idx="6">
                        <c:v>6.7823000000000003E-12</c:v>
                      </c:pt>
                      <c:pt idx="7">
                        <c:v>2.3956000000000001E-15</c:v>
                      </c:pt>
                      <c:pt idx="8">
                        <c:v>1.4117E-18</c:v>
                      </c:pt>
                      <c:pt idx="9">
                        <c:v>1.3121999999999999E-21</c:v>
                      </c:pt>
                      <c:pt idx="10">
                        <c:v>4.2368000000000001E-32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EAA-4093-8DEA-E2502666A289}"/>
                  </c:ext>
                </c:extLst>
              </c15:ser>
            </c15:filteredScatterSeries>
            <c15:filteredScatterSeries>
              <c15:ser>
                <c:idx val="1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ALL!$F$11:$X$11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8.5071000000000001E-9</c:v>
                      </c:pt>
                      <c:pt idx="1">
                        <c:v>1.0655E-6</c:v>
                      </c:pt>
                      <c:pt idx="2">
                        <c:v>2.9221999999999999E-5</c:v>
                      </c:pt>
                      <c:pt idx="3">
                        <c:v>3.4483000000000002E-4</c:v>
                      </c:pt>
                      <c:pt idx="4">
                        <c:v>2.6305E-3</c:v>
                      </c:pt>
                      <c:pt idx="5">
                        <c:v>5.7425999999999998E-2</c:v>
                      </c:pt>
                      <c:pt idx="6">
                        <c:v>5.9215999999999998E-2</c:v>
                      </c:pt>
                      <c:pt idx="7">
                        <c:v>5.9743999999999998E-2</c:v>
                      </c:pt>
                      <c:pt idx="8">
                        <c:v>5.9909999999999998E-2</c:v>
                      </c:pt>
                      <c:pt idx="9">
                        <c:v>5.9965999999999998E-2</c:v>
                      </c:pt>
                      <c:pt idx="10">
                        <c:v>5.9998999999999997E-2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EAA-4093-8DEA-E2502666A289}"/>
                  </c:ext>
                </c:extLst>
              </c15:ser>
            </c15:filteredScatterSeries>
            <c15:filteredScatterSeries>
              <c15:ser>
                <c:idx val="2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ALL!$F$12:$X$12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1.6756E-22</c:v>
                      </c:pt>
                      <c:pt idx="1">
                        <c:v>4.4808999999999998E-18</c:v>
                      </c:pt>
                      <c:pt idx="2">
                        <c:v>2.7254E-14</c:v>
                      </c:pt>
                      <c:pt idx="3">
                        <c:v>5.3873999999999999E-11</c:v>
                      </c:pt>
                      <c:pt idx="4">
                        <c:v>4.4460000000000002E-8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EAA-4093-8DEA-E2502666A289}"/>
                  </c:ext>
                </c:extLst>
              </c15:ser>
            </c15:filteredScatterSeries>
            <c15:filteredScatterSeries>
              <c15:ser>
                <c:idx val="3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ALL!$F$13:$X$13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2.1579999999999999E-7</c:v>
                      </c:pt>
                      <c:pt idx="1">
                        <c:v>1.6581E-7</c:v>
                      </c:pt>
                      <c:pt idx="2">
                        <c:v>1.2426999999999999E-7</c:v>
                      </c:pt>
                      <c:pt idx="3">
                        <c:v>8.3587000000000006E-8</c:v>
                      </c:pt>
                      <c:pt idx="4">
                        <c:v>5.4971999999999998E-8</c:v>
                      </c:pt>
                      <c:pt idx="5">
                        <c:v>1.9907999999999999E-8</c:v>
                      </c:pt>
                      <c:pt idx="6">
                        <c:v>1.4467999999999999E-8</c:v>
                      </c:pt>
                      <c:pt idx="7">
                        <c:v>1.0487E-8</c:v>
                      </c:pt>
                      <c:pt idx="8">
                        <c:v>7.6083000000000007E-9</c:v>
                      </c:pt>
                      <c:pt idx="9">
                        <c:v>5.5303999999999998E-9</c:v>
                      </c:pt>
                      <c:pt idx="10">
                        <c:v>1.5813999999999999E-9</c:v>
                      </c:pt>
                      <c:pt idx="11">
                        <c:v>4.6943999999999998E-10</c:v>
                      </c:pt>
                      <c:pt idx="12">
                        <c:v>1.4369E-10</c:v>
                      </c:pt>
                      <c:pt idx="13">
                        <c:v>1.0727E-10</c:v>
                      </c:pt>
                      <c:pt idx="14">
                        <c:v>8.0176000000000006E-11</c:v>
                      </c:pt>
                      <c:pt idx="15">
                        <c:v>5.9982E-11</c:v>
                      </c:pt>
                      <c:pt idx="16">
                        <c:v>4.4910000000000003E-11</c:v>
                      </c:pt>
                      <c:pt idx="17">
                        <c:v>1.4188000000000001E-11</c:v>
                      </c:pt>
                      <c:pt idx="18">
                        <c:v>4.4923999999999997E-12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EAA-4093-8DEA-E2502666A289}"/>
                  </c:ext>
                </c:extLst>
              </c15:ser>
            </c15:filteredScatterSeries>
            <c15:filteredScatterSeries>
              <c15:ser>
                <c:idx val="4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ALL!$F$14:$X$14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5.9804999999999999E-8</c:v>
                      </c:pt>
                      <c:pt idx="1">
                        <c:v>5.6418000000000003E-8</c:v>
                      </c:pt>
                      <c:pt idx="2">
                        <c:v>5.0087999999999998E-8</c:v>
                      </c:pt>
                      <c:pt idx="3">
                        <c:v>3.8835999999999998E-8</c:v>
                      </c:pt>
                      <c:pt idx="4">
                        <c:v>2.8816999999999999E-8</c:v>
                      </c:pt>
                      <c:pt idx="5">
                        <c:v>1.2054E-8</c:v>
                      </c:pt>
                      <c:pt idx="6">
                        <c:v>8.5872000000000003E-9</c:v>
                      </c:pt>
                      <c:pt idx="7">
                        <c:v>6.0987E-9</c:v>
                      </c:pt>
                      <c:pt idx="8">
                        <c:v>4.3344999999999999E-9</c:v>
                      </c:pt>
                      <c:pt idx="9">
                        <c:v>3.0867000000000001E-9</c:v>
                      </c:pt>
                      <c:pt idx="10">
                        <c:v>8.1506999999999996E-10</c:v>
                      </c:pt>
                      <c:pt idx="11">
                        <c:v>2.2442999999999999E-10</c:v>
                      </c:pt>
                      <c:pt idx="12">
                        <c:v>6.3919999999999997E-11</c:v>
                      </c:pt>
                      <c:pt idx="13">
                        <c:v>4.6885999999999997E-11</c:v>
                      </c:pt>
                      <c:pt idx="14">
                        <c:v>3.4435999999999997E-11</c:v>
                      </c:pt>
                      <c:pt idx="15">
                        <c:v>2.5322000000000001E-11</c:v>
                      </c:pt>
                      <c:pt idx="16">
                        <c:v>1.8639000000000001E-11</c:v>
                      </c:pt>
                      <c:pt idx="17">
                        <c:v>5.5112000000000002E-12</c:v>
                      </c:pt>
                      <c:pt idx="18">
                        <c:v>1.6387000000000001E-12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EAA-4093-8DEA-E2502666A289}"/>
                  </c:ext>
                </c:extLst>
              </c15:ser>
            </c15:filteredScatterSeries>
            <c15:filteredScatterSeries>
              <c15:ser>
                <c:idx val="5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ALL!$F$15:$X$15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0.25015999999999999</c:v>
                      </c:pt>
                      <c:pt idx="1">
                        <c:v>0.29338999999999998</c:v>
                      </c:pt>
                      <c:pt idx="2">
                        <c:v>0.34053</c:v>
                      </c:pt>
                      <c:pt idx="3">
                        <c:v>0.35641</c:v>
                      </c:pt>
                      <c:pt idx="4">
                        <c:v>0.36429</c:v>
                      </c:pt>
                      <c:pt idx="5">
                        <c:v>0.59484999999999999</c:v>
                      </c:pt>
                      <c:pt idx="6">
                        <c:v>0.59843000000000002</c:v>
                      </c:pt>
                      <c:pt idx="7">
                        <c:v>0.59948999999999997</c:v>
                      </c:pt>
                      <c:pt idx="8">
                        <c:v>0.59982000000000002</c:v>
                      </c:pt>
                      <c:pt idx="9">
                        <c:v>0.59992999999999996</c:v>
                      </c:pt>
                      <c:pt idx="10">
                        <c:v>0.6</c:v>
                      </c:pt>
                      <c:pt idx="11">
                        <c:v>0.6</c:v>
                      </c:pt>
                      <c:pt idx="12">
                        <c:v>0.6</c:v>
                      </c:pt>
                      <c:pt idx="13">
                        <c:v>0.6</c:v>
                      </c:pt>
                      <c:pt idx="14">
                        <c:v>0.6</c:v>
                      </c:pt>
                      <c:pt idx="15">
                        <c:v>0.6</c:v>
                      </c:pt>
                      <c:pt idx="16">
                        <c:v>0.6</c:v>
                      </c:pt>
                      <c:pt idx="17">
                        <c:v>0.6</c:v>
                      </c:pt>
                      <c:pt idx="18">
                        <c:v>0.6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EAA-4093-8DEA-E2502666A289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ALL!$F$16:$X$16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1.0007000000000001E-9</c:v>
                      </c:pt>
                      <c:pt idx="1">
                        <c:v>1.5073E-9</c:v>
                      </c:pt>
                      <c:pt idx="2">
                        <c:v>1.9908000000000002E-9</c:v>
                      </c:pt>
                      <c:pt idx="3">
                        <c:v>2.1753000000000001E-9</c:v>
                      </c:pt>
                      <c:pt idx="4">
                        <c:v>2.1798999999999999E-9</c:v>
                      </c:pt>
                      <c:pt idx="5">
                        <c:v>2.2788E-9</c:v>
                      </c:pt>
                      <c:pt idx="6">
                        <c:v>1.9422000000000002E-9</c:v>
                      </c:pt>
                      <c:pt idx="7">
                        <c:v>1.6271000000000001E-9</c:v>
                      </c:pt>
                      <c:pt idx="8">
                        <c:v>1.3473999999999999E-9</c:v>
                      </c:pt>
                      <c:pt idx="9">
                        <c:v>1.1060999999999999E-9</c:v>
                      </c:pt>
                      <c:pt idx="10">
                        <c:v>4.7395999999999998E-10</c:v>
                      </c:pt>
                      <c:pt idx="11">
                        <c:v>1.9203999999999999E-10</c:v>
                      </c:pt>
                      <c:pt idx="12">
                        <c:v>7.5294999999999997E-11</c:v>
                      </c:pt>
                      <c:pt idx="13">
                        <c:v>5.9345000000000003E-11</c:v>
                      </c:pt>
                      <c:pt idx="14">
                        <c:v>4.6707E-11</c:v>
                      </c:pt>
                      <c:pt idx="15">
                        <c:v>3.6707999999999997E-11</c:v>
                      </c:pt>
                      <c:pt idx="16">
                        <c:v>2.8811000000000001E-11</c:v>
                      </c:pt>
                      <c:pt idx="17">
                        <c:v>1.0783999999999999E-11</c:v>
                      </c:pt>
                      <c:pt idx="18">
                        <c:v>3.9473000000000004E-12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EE0-4A3E-AC7E-56FAA3E8CB96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ALL!$F$17:$X$17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8.5071000000000001E-9</c:v>
                      </c:pt>
                      <c:pt idx="1">
                        <c:v>1.0655E-6</c:v>
                      </c:pt>
                      <c:pt idx="2">
                        <c:v>2.9221999999999999E-5</c:v>
                      </c:pt>
                      <c:pt idx="3">
                        <c:v>3.4483000000000002E-4</c:v>
                      </c:pt>
                      <c:pt idx="4">
                        <c:v>2.6305E-3</c:v>
                      </c:pt>
                      <c:pt idx="5">
                        <c:v>5.7425999999999998E-2</c:v>
                      </c:pt>
                      <c:pt idx="6">
                        <c:v>5.9215999999999998E-2</c:v>
                      </c:pt>
                      <c:pt idx="7">
                        <c:v>5.9743999999999998E-2</c:v>
                      </c:pt>
                      <c:pt idx="8">
                        <c:v>5.9909999999999998E-2</c:v>
                      </c:pt>
                      <c:pt idx="9">
                        <c:v>5.9965999999999998E-2</c:v>
                      </c:pt>
                      <c:pt idx="10">
                        <c:v>5.9998999999999997E-2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EE0-4A3E-AC7E-56FAA3E8CB96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ALL!$F$18:$X$18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-18.68</c:v>
                      </c:pt>
                      <c:pt idx="1">
                        <c:v>-18.690000000000001</c:v>
                      </c:pt>
                      <c:pt idx="2">
                        <c:v>-18.72</c:v>
                      </c:pt>
                      <c:pt idx="3">
                        <c:v>-18.760000000000002</c:v>
                      </c:pt>
                      <c:pt idx="4">
                        <c:v>-18.82</c:v>
                      </c:pt>
                      <c:pt idx="5">
                        <c:v>-19.03</c:v>
                      </c:pt>
                      <c:pt idx="6">
                        <c:v>-19.100000000000001</c:v>
                      </c:pt>
                      <c:pt idx="7">
                        <c:v>-19.170000000000002</c:v>
                      </c:pt>
                      <c:pt idx="8">
                        <c:v>-19.239999999999998</c:v>
                      </c:pt>
                      <c:pt idx="9">
                        <c:v>-19.309999999999999</c:v>
                      </c:pt>
                      <c:pt idx="10">
                        <c:v>-19.57</c:v>
                      </c:pt>
                      <c:pt idx="11">
                        <c:v>-19.82</c:v>
                      </c:pt>
                      <c:pt idx="12">
                        <c:v>-20.05</c:v>
                      </c:pt>
                      <c:pt idx="13">
                        <c:v>-20.11</c:v>
                      </c:pt>
                      <c:pt idx="14">
                        <c:v>-20.16</c:v>
                      </c:pt>
                      <c:pt idx="15">
                        <c:v>-20.21</c:v>
                      </c:pt>
                      <c:pt idx="16">
                        <c:v>-20.260000000000002</c:v>
                      </c:pt>
                      <c:pt idx="17">
                        <c:v>-20.46</c:v>
                      </c:pt>
                      <c:pt idx="18">
                        <c:v>-20.65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EE0-4A3E-AC7E-56FAA3E8CB9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ALL!$F$19:$X$19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-65.37</c:v>
                      </c:pt>
                      <c:pt idx="1">
                        <c:v>-56.57</c:v>
                      </c:pt>
                      <c:pt idx="2">
                        <c:v>-49.26</c:v>
                      </c:pt>
                      <c:pt idx="3">
                        <c:v>-43.03</c:v>
                      </c:pt>
                      <c:pt idx="4">
                        <c:v>-37.67</c:v>
                      </c:pt>
                      <c:pt idx="5">
                        <c:v>-29.03</c:v>
                      </c:pt>
                      <c:pt idx="6">
                        <c:v>-30.33</c:v>
                      </c:pt>
                      <c:pt idx="7">
                        <c:v>-31.61</c:v>
                      </c:pt>
                      <c:pt idx="8">
                        <c:v>-32.86</c:v>
                      </c:pt>
                      <c:pt idx="9">
                        <c:v>-34.08</c:v>
                      </c:pt>
                      <c:pt idx="10">
                        <c:v>-38.58</c:v>
                      </c:pt>
                      <c:pt idx="11">
                        <c:v>-42.35</c:v>
                      </c:pt>
                      <c:pt idx="12">
                        <c:v>-45.25</c:v>
                      </c:pt>
                      <c:pt idx="13">
                        <c:v>-45.82</c:v>
                      </c:pt>
                      <c:pt idx="14">
                        <c:v>-46.33</c:v>
                      </c:pt>
                      <c:pt idx="15">
                        <c:v>-46.78</c:v>
                      </c:pt>
                      <c:pt idx="16">
                        <c:v>-47.16</c:v>
                      </c:pt>
                      <c:pt idx="17">
                        <c:v>-48.02</c:v>
                      </c:pt>
                      <c:pt idx="18">
                        <c:v>-47.77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EE0-4A3E-AC7E-56FAA3E8CB9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ALL!$F$20:$X$20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-21.4</c:v>
                      </c:pt>
                      <c:pt idx="1">
                        <c:v>-16.690000000000001</c:v>
                      </c:pt>
                      <c:pt idx="2">
                        <c:v>-13.52</c:v>
                      </c:pt>
                      <c:pt idx="3">
                        <c:v>-11.14</c:v>
                      </c:pt>
                      <c:pt idx="4">
                        <c:v>-9.1850000000000005</c:v>
                      </c:pt>
                      <c:pt idx="5">
                        <c:v>-6.85</c:v>
                      </c:pt>
                      <c:pt idx="6">
                        <c:v>-6.907</c:v>
                      </c:pt>
                      <c:pt idx="7">
                        <c:v>-6.9820000000000002</c:v>
                      </c:pt>
                      <c:pt idx="8">
                        <c:v>-7.0620000000000003</c:v>
                      </c:pt>
                      <c:pt idx="9">
                        <c:v>-7.1429999999999998</c:v>
                      </c:pt>
                      <c:pt idx="10">
                        <c:v>-7.4630000000000001</c:v>
                      </c:pt>
                      <c:pt idx="11">
                        <c:v>-7.7649999999999997</c:v>
                      </c:pt>
                      <c:pt idx="12">
                        <c:v>-8.048</c:v>
                      </c:pt>
                      <c:pt idx="13">
                        <c:v>-8.1159999999999997</c:v>
                      </c:pt>
                      <c:pt idx="14">
                        <c:v>-8.1820000000000004</c:v>
                      </c:pt>
                      <c:pt idx="15">
                        <c:v>-8.2479999999999993</c:v>
                      </c:pt>
                      <c:pt idx="16">
                        <c:v>-8.3130000000000006</c:v>
                      </c:pt>
                      <c:pt idx="17">
                        <c:v>-8.5609999999999999</c:v>
                      </c:pt>
                      <c:pt idx="18">
                        <c:v>-8.7949999999999999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EE0-4A3E-AC7E-56FAA3E8CB9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ALL!$F$21:$X$21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-19.510000000000002</c:v>
                      </c:pt>
                      <c:pt idx="1">
                        <c:v>-19.89</c:v>
                      </c:pt>
                      <c:pt idx="2">
                        <c:v>-20.329999999999998</c:v>
                      </c:pt>
                      <c:pt idx="3">
                        <c:v>-20.81</c:v>
                      </c:pt>
                      <c:pt idx="4">
                        <c:v>-21.32</c:v>
                      </c:pt>
                      <c:pt idx="5">
                        <c:v>-23.31</c:v>
                      </c:pt>
                      <c:pt idx="6">
                        <c:v>-23.8</c:v>
                      </c:pt>
                      <c:pt idx="7">
                        <c:v>-24.29</c:v>
                      </c:pt>
                      <c:pt idx="8">
                        <c:v>-24.77</c:v>
                      </c:pt>
                      <c:pt idx="9">
                        <c:v>-25.24</c:v>
                      </c:pt>
                      <c:pt idx="10">
                        <c:v>-27.06</c:v>
                      </c:pt>
                      <c:pt idx="11">
                        <c:v>-28.78</c:v>
                      </c:pt>
                      <c:pt idx="12">
                        <c:v>-30.41</c:v>
                      </c:pt>
                      <c:pt idx="13">
                        <c:v>-30.81</c:v>
                      </c:pt>
                      <c:pt idx="14">
                        <c:v>-31.2</c:v>
                      </c:pt>
                      <c:pt idx="15">
                        <c:v>-31.59</c:v>
                      </c:pt>
                      <c:pt idx="16">
                        <c:v>-31.98</c:v>
                      </c:pt>
                      <c:pt idx="17">
                        <c:v>-33.5</c:v>
                      </c:pt>
                      <c:pt idx="18">
                        <c:v>-35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EE0-4A3E-AC7E-56FAA3E8CB9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ALL!$F$22:$X$22</c15:sqref>
                        </c15:formulaRef>
                      </c:ext>
                    </c:extLst>
                    <c:numCache>
                      <c:formatCode>0.00</c:formatCode>
                      <c:ptCount val="1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EE0-4A3E-AC7E-56FAA3E8CB96}"/>
                  </c:ext>
                </c:extLst>
              </c15:ser>
            </c15:filteredScatterSeries>
          </c:ext>
        </c:extLst>
      </c:scatterChart>
      <c:valAx>
        <c:axId val="3916303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</a:p>
            </c:rich>
          </c:tx>
          <c:layout>
            <c:manualLayout>
              <c:xMode val="edge"/>
              <c:yMode val="edge"/>
              <c:x val="0.49154071343380679"/>
              <c:y val="0.937794978491197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960"/>
        <c:crosses val="autoZero"/>
        <c:crossBetween val="midCat"/>
      </c:valAx>
      <c:valAx>
        <c:axId val="391631960"/>
        <c:scaling>
          <c:orientation val="minMax"/>
          <c:max val="0.210000000000000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</a:t>
                </a:r>
                <a:r>
                  <a:rPr lang="ru-RU" sz="1800" baseline="0"/>
                  <a:t>рация, моль/(моль*атом)</a:t>
                </a:r>
              </a:p>
            </c:rich>
          </c:tx>
          <c:layout>
            <c:manualLayout>
              <c:xMode val="edge"/>
              <c:yMode val="edge"/>
              <c:x val="1.3359633935008062E-2"/>
              <c:y val="0.1562820574638245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E+00" sourceLinked="1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392"/>
        <c:crosses val="autoZero"/>
        <c:crossBetween val="midCat"/>
      </c:valAx>
    </c:plotArea>
    <c:plotVisOnly val="0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91334200186688"/>
          <c:y val="7.0164333908350696E-2"/>
          <c:w val="0.81865701223074527"/>
          <c:h val="0.7542637810334880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ALL!$E$116</c:f>
              <c:strCache>
                <c:ptCount val="1"/>
                <c:pt idx="0">
                  <c:v>Раствор 1(тв):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ALL!$F$115:$X$115</c:f>
              <c:numCache>
                <c:formatCode>General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ALL!$F$116:$X$116</c:f>
              <c:numCache>
                <c:formatCode>0</c:formatCode>
                <c:ptCount val="19"/>
                <c:pt idx="0">
                  <c:v>-348.10379458441037</c:v>
                </c:pt>
                <c:pt idx="1">
                  <c:v>-372.29353428130236</c:v>
                </c:pt>
                <c:pt idx="2">
                  <c:v>-400.20966047141104</c:v>
                </c:pt>
                <c:pt idx="3">
                  <c:v>-428.00463038268879</c:v>
                </c:pt>
                <c:pt idx="4">
                  <c:v>-457.02402023902823</c:v>
                </c:pt>
                <c:pt idx="5">
                  <c:v>-670.84735986288615</c:v>
                </c:pt>
                <c:pt idx="6">
                  <c:v>-727.28020784912746</c:v>
                </c:pt>
                <c:pt idx="7">
                  <c:v>-785.61837972847718</c:v>
                </c:pt>
                <c:pt idx="8">
                  <c:v>-845.46557707970317</c:v>
                </c:pt>
                <c:pt idx="9">
                  <c:v>-906.75093927076273</c:v>
                </c:pt>
                <c:pt idx="10">
                  <c:v>-1165.932932634606</c:v>
                </c:pt>
                <c:pt idx="11">
                  <c:v>-1444.6099187719499</c:v>
                </c:pt>
                <c:pt idx="12">
                  <c:v>-1738.5692167127308</c:v>
                </c:pt>
                <c:pt idx="13">
                  <c:v>-1815.4166531361268</c:v>
                </c:pt>
                <c:pt idx="14">
                  <c:v>-1891.1335849774423</c:v>
                </c:pt>
                <c:pt idx="15">
                  <c:v>-1969.3857837545786</c:v>
                </c:pt>
                <c:pt idx="16">
                  <c:v>-2046.7983395874417</c:v>
                </c:pt>
                <c:pt idx="17">
                  <c:v>-2363.2265060299624</c:v>
                </c:pt>
                <c:pt idx="18">
                  <c:v>-2689.4289565164481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8-400B-8B26-9FF23CA20E2D}"/>
            </c:ext>
          </c:extLst>
        </c:ser>
        <c:ser>
          <c:idx val="5"/>
          <c:order val="4"/>
          <c:tx>
            <c:strRef>
              <c:f>ALL!$E$120</c:f>
              <c:strCache>
                <c:ptCount val="1"/>
                <c:pt idx="0">
                  <c:v>Раствор 1 + газовая без Ar: 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ALL!$F$115:$X$115</c:f>
              <c:numCache>
                <c:formatCode>General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ALL!$F$120:$X$120</c:f>
              <c:numCache>
                <c:formatCode>0</c:formatCode>
                <c:ptCount val="19"/>
                <c:pt idx="0">
                  <c:v>-402.97353902820493</c:v>
                </c:pt>
                <c:pt idx="1">
                  <c:v>-424.06035464125347</c:v>
                </c:pt>
                <c:pt idx="2">
                  <c:v>-449.05202427251515</c:v>
                </c:pt>
                <c:pt idx="3">
                  <c:v>-476.47061075239617</c:v>
                </c:pt>
                <c:pt idx="4">
                  <c:v>-505.73644154349734</c:v>
                </c:pt>
                <c:pt idx="5">
                  <c:v>-670.84740319632942</c:v>
                </c:pt>
                <c:pt idx="6">
                  <c:v>-727.28020785843273</c:v>
                </c:pt>
                <c:pt idx="7">
                  <c:v>-785.6183797284807</c:v>
                </c:pt>
                <c:pt idx="8">
                  <c:v>-845.46557707970317</c:v>
                </c:pt>
                <c:pt idx="9">
                  <c:v>-906.75093927076273</c:v>
                </c:pt>
                <c:pt idx="10">
                  <c:v>-1165.932932634606</c:v>
                </c:pt>
                <c:pt idx="11">
                  <c:v>-1444.609918771951</c:v>
                </c:pt>
                <c:pt idx="12">
                  <c:v>-1738.5692167131219</c:v>
                </c:pt>
                <c:pt idx="13">
                  <c:v>-1815.4166531374833</c:v>
                </c:pt>
                <c:pt idx="14">
                  <c:v>-1891.133584981824</c:v>
                </c:pt>
                <c:pt idx="15">
                  <c:v>-1969.3857837678615</c:v>
                </c:pt>
                <c:pt idx="16">
                  <c:v>-2046.7983396253546</c:v>
                </c:pt>
                <c:pt idx="17">
                  <c:v>-2363.2265075466271</c:v>
                </c:pt>
                <c:pt idx="18">
                  <c:v>-2689.4289882129247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2-AF78-400B-8B26-9FF23CA20E2D}"/>
            </c:ext>
          </c:extLst>
        </c:ser>
        <c:ser>
          <c:idx val="7"/>
          <c:order val="6"/>
          <c:tx>
            <c:v>Энергия Гиббса стекла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ALL!$F$37:$X$37</c:f>
              <c:numCache>
                <c:formatCode>General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ALL!$F$38:$X$38</c:f>
              <c:numCache>
                <c:formatCode>General</c:formatCode>
                <c:ptCount val="19"/>
                <c:pt idx="0">
                  <c:v>-402.97426526700008</c:v>
                </c:pt>
                <c:pt idx="1">
                  <c:v>-424.0592885100001</c:v>
                </c:pt>
                <c:pt idx="2">
                  <c:v>-449.05657501049996</c:v>
                </c:pt>
                <c:pt idx="3">
                  <c:v>-476.47137167350007</c:v>
                </c:pt>
                <c:pt idx="4">
                  <c:v>-505.73620140225006</c:v>
                </c:pt>
                <c:pt idx="5">
                  <c:v>-670.84864786800006</c:v>
                </c:pt>
                <c:pt idx="6">
                  <c:v>-727.28280278190016</c:v>
                </c:pt>
                <c:pt idx="7">
                  <c:v>-785.61524340799997</c:v>
                </c:pt>
                <c:pt idx="8">
                  <c:v>-845.46442898160012</c:v>
                </c:pt>
                <c:pt idx="9">
                  <c:v>-906.75296647379992</c:v>
                </c:pt>
                <c:pt idx="10">
                  <c:v>-1165.9290392830501</c:v>
                </c:pt>
                <c:pt idx="11">
                  <c:v>-1444.6095400165</c:v>
                </c:pt>
                <c:pt idx="12">
                  <c:v>-1738.5691725290005</c:v>
                </c:pt>
                <c:pt idx="13">
                  <c:v>-1815.4166261109999</c:v>
                </c:pt>
                <c:pt idx="14">
                  <c:v>-1891.1335682140002</c:v>
                </c:pt>
                <c:pt idx="15">
                  <c:v>-1969.3857731999999</c:v>
                </c:pt>
                <c:pt idx="16">
                  <c:v>-2046.7983328605005</c:v>
                </c:pt>
                <c:pt idx="17">
                  <c:v>-2363.2265047870001</c:v>
                </c:pt>
                <c:pt idx="18">
                  <c:v>-2689.4289562500003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8-400B-8B26-9FF23CA20E2D}"/>
            </c:ext>
          </c:extLst>
        </c:ser>
        <c:ser>
          <c:idx val="4"/>
          <c:order val="7"/>
          <c:tx>
            <c:strRef>
              <c:f>ALL!$E$122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ALL!$F$122:$F$133</c:f>
              <c:numCache>
                <c:formatCode>General</c:formatCode>
                <c:ptCount val="12"/>
                <c:pt idx="0">
                  <c:v>300</c:v>
                </c:pt>
                <c:pt idx="1">
                  <c:v>300</c:v>
                </c:pt>
              </c:numCache>
            </c:numRef>
          </c:xVal>
          <c:yVal>
            <c:numRef>
              <c:f>ALL!$G$122:$G$133</c:f>
              <c:numCache>
                <c:formatCode>#,##0</c:formatCode>
                <c:ptCount val="12"/>
                <c:pt idx="0">
                  <c:v>-3118.6650507129248</c:v>
                </c:pt>
                <c:pt idx="1">
                  <c:v>1000000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2E-48CB-A522-BE6269B1F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36192"/>
        <c:axId val="4879334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ALL!$E$117</c15:sqref>
                        </c15:formulaRef>
                      </c:ext>
                    </c:extLst>
                    <c:strCache>
                      <c:ptCount val="1"/>
                      <c:pt idx="0">
                        <c:v>Раствор 2 (жид):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ALL!$F$115:$X$115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ALL!$F$117:$X$117</c15:sqref>
                        </c15:formulaRef>
                      </c:ext>
                    </c:extLst>
                    <c:numCache>
                      <c:formatCode>0</c:formatCode>
                      <c:ptCount val="19"/>
                      <c:pt idx="0">
                        <c:v>-110.14173047643166</c:v>
                      </c:pt>
                      <c:pt idx="1">
                        <c:v>-151.85644576532553</c:v>
                      </c:pt>
                      <c:pt idx="2">
                        <c:v>-198.4172985512553</c:v>
                      </c:pt>
                      <c:pt idx="3">
                        <c:v>-216.98200340274252</c:v>
                      </c:pt>
                      <c:pt idx="4">
                        <c:v>-222.4859457186032</c:v>
                      </c:pt>
                      <c:pt idx="5">
                        <c:v>-112.43293333117164</c:v>
                      </c:pt>
                      <c:pt idx="6">
                        <c:v>-119.59607412512383</c:v>
                      </c:pt>
                      <c:pt idx="7">
                        <c:v>-129.70362348110643</c:v>
                      </c:pt>
                      <c:pt idx="8">
                        <c:v>-140.96908971209621</c:v>
                      </c:pt>
                      <c:pt idx="9">
                        <c:v>-152.85342784767661</c:v>
                      </c:pt>
                      <c:pt idx="10">
                        <c:v>-203.81336663159112</c:v>
                      </c:pt>
                      <c:pt idx="11">
                        <c:v>-257.89514794383814</c:v>
                      </c:pt>
                      <c:pt idx="12">
                        <c:v>-312.42189351137546</c:v>
                      </c:pt>
                      <c:pt idx="13">
                        <c:v>-325.98735451459078</c:v>
                      </c:pt>
                      <c:pt idx="14">
                        <c:v>-339.09824652271152</c:v>
                      </c:pt>
                      <c:pt idx="15">
                        <c:v>-352.30865605816291</c:v>
                      </c:pt>
                      <c:pt idx="16">
                        <c:v>-364.92744002347717</c:v>
                      </c:pt>
                      <c:pt idx="17">
                        <c:v>-412.21109673227016</c:v>
                      </c:pt>
                      <c:pt idx="18">
                        <c:v>-452.02818587708902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F78-400B-8B26-9FF23CA20E2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ALL!$E$118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ALL!$F$115:$X$115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ALL!$F$118:$X$118</c15:sqref>
                        </c15:formulaRef>
                      </c:ext>
                    </c:extLst>
                    <c:numCache>
                      <c:formatCode>0</c:formatCode>
                      <c:ptCount val="19"/>
                      <c:pt idx="0">
                        <c:v>-54.869744443794538</c:v>
                      </c:pt>
                      <c:pt idx="1">
                        <c:v>-51.766820359951133</c:v>
                      </c:pt>
                      <c:pt idx="2">
                        <c:v>-48.842363801104092</c:v>
                      </c:pt>
                      <c:pt idx="3">
                        <c:v>-48.465980369707353</c:v>
                      </c:pt>
                      <c:pt idx="4">
                        <c:v>-48.712421304469132</c:v>
                      </c:pt>
                      <c:pt idx="5">
                        <c:v>-4.3333443228320779E-5</c:v>
                      </c:pt>
                      <c:pt idx="6">
                        <c:v>-9.3053071601251662E-9</c:v>
                      </c:pt>
                      <c:pt idx="7">
                        <c:v>-3.5714326256229706E-12</c:v>
                      </c:pt>
                      <c:pt idx="8">
                        <c:v>-2.2790081940909169E-15</c:v>
                      </c:pt>
                      <c:pt idx="9">
                        <c:v>-2.2998402340267764E-18</c:v>
                      </c:pt>
                      <c:pt idx="10">
                        <c:v>-5.4507143372261611E-16</c:v>
                      </c:pt>
                      <c:pt idx="11">
                        <c:v>-1.1592660649777627E-12</c:v>
                      </c:pt>
                      <c:pt idx="12">
                        <c:v>-3.9101666271731005E-10</c:v>
                      </c:pt>
                      <c:pt idx="13">
                        <c:v>-1.3565096879857052E-9</c:v>
                      </c:pt>
                      <c:pt idx="14">
                        <c:v>-4.3817523993117614E-9</c:v>
                      </c:pt>
                      <c:pt idx="15">
                        <c:v>-1.3282872045240003E-8</c:v>
                      </c:pt>
                      <c:pt idx="16">
                        <c:v>-3.7912887357083108E-8</c:v>
                      </c:pt>
                      <c:pt idx="17">
                        <c:v>-1.5166645328986553E-6</c:v>
                      </c:pt>
                      <c:pt idx="18">
                        <c:v>-3.1696476619875006E-5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F78-400B-8B26-9FF23CA20E2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ALL!$E$119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ALL!$F$115:$X$115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ALL!$F$119:$X$119</c15:sqref>
                        </c15:formulaRef>
                      </c:ext>
                    </c:extLst>
                    <c:numCache>
                      <c:formatCode>0</c:formatCode>
                      <c:ptCount val="19"/>
                      <c:pt idx="0">
                        <c:v>-132.06122986379458</c:v>
                      </c:pt>
                      <c:pt idx="1">
                        <c:v>-137.62421812245117</c:v>
                      </c:pt>
                      <c:pt idx="2">
                        <c:v>-143.50194856110409</c:v>
                      </c:pt>
                      <c:pt idx="3">
                        <c:v>-152.01071697970738</c:v>
                      </c:pt>
                      <c:pt idx="4">
                        <c:v>-161.29898265946915</c:v>
                      </c:pt>
                      <c:pt idx="5">
                        <c:v>-149.04793210344329</c:v>
                      </c:pt>
                      <c:pt idx="6">
                        <c:v>-158.43640045930539</c:v>
                      </c:pt>
                      <c:pt idx="7">
                        <c:v>-167.88970980000363</c:v>
                      </c:pt>
                      <c:pt idx="8">
                        <c:v>-177.40781682000005</c:v>
                      </c:pt>
                      <c:pt idx="9">
                        <c:v>-186.99072151000004</c:v>
                      </c:pt>
                      <c:pt idx="10">
                        <c:v>-225.71249818250007</c:v>
                      </c:pt>
                      <c:pt idx="11">
                        <c:v>-265.26242677000118</c:v>
                      </c:pt>
                      <c:pt idx="12">
                        <c:v>-305.34931962539105</c:v>
                      </c:pt>
                      <c:pt idx="13">
                        <c:v>-315.73801022635661</c:v>
                      </c:pt>
                      <c:pt idx="14">
                        <c:v>-325.74215520438185</c:v>
                      </c:pt>
                      <c:pt idx="15">
                        <c:v>-336.072090013283</c:v>
                      </c:pt>
                      <c:pt idx="16">
                        <c:v>-346.16838738791296</c:v>
                      </c:pt>
                      <c:pt idx="17">
                        <c:v>-387.29440021666471</c:v>
                      </c:pt>
                      <c:pt idx="18">
                        <c:v>-429.23609419647676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F78-400B-8B26-9FF23CA20E2D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ALL!$E$121</c15:sqref>
                        </c15:formulaRef>
                      </c:ext>
                    </c:extLst>
                    <c:strCache>
                      <c:ptCount val="1"/>
                      <c:pt idx="0">
                        <c:v>Раствор 1 + 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ALL!$F$115:$X$115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ALL!$F$121:$X$121</c15:sqref>
                        </c15:formulaRef>
                      </c:ext>
                    </c:extLst>
                    <c:numCache>
                      <c:formatCode>0</c:formatCode>
                      <c:ptCount val="19"/>
                      <c:pt idx="0">
                        <c:v>-480.16502444820492</c:v>
                      </c:pt>
                      <c:pt idx="1">
                        <c:v>-509.91775240375352</c:v>
                      </c:pt>
                      <c:pt idx="2">
                        <c:v>-543.71160903251507</c:v>
                      </c:pt>
                      <c:pt idx="3">
                        <c:v>-580.01534736239614</c:v>
                      </c:pt>
                      <c:pt idx="4">
                        <c:v>-618.32300289849741</c:v>
                      </c:pt>
                      <c:pt idx="5">
                        <c:v>-819.89529196632941</c:v>
                      </c:pt>
                      <c:pt idx="6">
                        <c:v>-885.7166083084328</c:v>
                      </c:pt>
                      <c:pt idx="7">
                        <c:v>-953.50808952848081</c:v>
                      </c:pt>
                      <c:pt idx="8">
                        <c:v>-1022.8733938997032</c:v>
                      </c:pt>
                      <c:pt idx="9">
                        <c:v>-1093.7416607807627</c:v>
                      </c:pt>
                      <c:pt idx="10">
                        <c:v>-1391.645430817106</c:v>
                      </c:pt>
                      <c:pt idx="11">
                        <c:v>-1709.8723455419511</c:v>
                      </c:pt>
                      <c:pt idx="12">
                        <c:v>-2043.9185363381218</c:v>
                      </c:pt>
                      <c:pt idx="13">
                        <c:v>-2131.1546633624835</c:v>
                      </c:pt>
                      <c:pt idx="14">
                        <c:v>-2216.8757401818243</c:v>
                      </c:pt>
                      <c:pt idx="15">
                        <c:v>-2305.4578737678617</c:v>
                      </c:pt>
                      <c:pt idx="16">
                        <c:v>-2392.9667269753545</c:v>
                      </c:pt>
                      <c:pt idx="17">
                        <c:v>-2750.520906246627</c:v>
                      </c:pt>
                      <c:pt idx="18">
                        <c:v>-3118.6650507129248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F78-400B-8B26-9FF23CA20E2D}"/>
                  </c:ext>
                </c:extLst>
              </c15:ser>
            </c15:filteredScatterSeries>
          </c:ext>
        </c:extLst>
      </c:scatterChart>
      <c:valAx>
        <c:axId val="4879361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T, K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53240227436102749"/>
              <c:y val="0.90465534134260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33448"/>
        <c:crosses val="autoZero"/>
        <c:crossBetween val="midCat"/>
      </c:valAx>
      <c:valAx>
        <c:axId val="487933448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600"/>
                  <a:t>Энергия</a:t>
                </a:r>
                <a:r>
                  <a:rPr lang="ru-RU" sz="1600" baseline="0"/>
                  <a:t> Гиббса, Дж/(моль*атом)</a:t>
                </a:r>
              </a:p>
            </c:rich>
          </c:tx>
          <c:layout>
            <c:manualLayout>
              <c:xMode val="edge"/>
              <c:yMode val="edge"/>
              <c:x val="1.0519702977576669E-2"/>
              <c:y val="6.114212696007943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361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08599624283267"/>
          <c:y val="3.4157679606002918E-2"/>
          <c:w val="0.81689447329230103"/>
          <c:h val="0.85597882499481004"/>
        </c:manualLayout>
      </c:layout>
      <c:scatterChart>
        <c:scatterStyle val="smoothMarker"/>
        <c:varyColors val="0"/>
        <c:ser>
          <c:idx val="4"/>
          <c:order val="4"/>
          <c:tx>
            <c:strRef>
              <c:f>ALL!$E$8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ALL!$F$8:$X$8</c:f>
              <c:numCache>
                <c:formatCode>0.00E+00</c:formatCode>
                <c:ptCount val="19"/>
                <c:pt idx="0">
                  <c:v>0.10983999999999999</c:v>
                </c:pt>
                <c:pt idx="1">
                  <c:v>6.6614000000000007E-2</c:v>
                </c:pt>
                <c:pt idx="2">
                  <c:v>1.9526999999999999E-2</c:v>
                </c:pt>
                <c:pt idx="3">
                  <c:v>4.2795000000000003E-3</c:v>
                </c:pt>
                <c:pt idx="4">
                  <c:v>9.6991000000000004E-4</c:v>
                </c:pt>
                <c:pt idx="5">
                  <c:v>4.4163999999999998E-7</c:v>
                </c:pt>
                <c:pt idx="6">
                  <c:v>5.2524000000000001E-8</c:v>
                </c:pt>
                <c:pt idx="7">
                  <c:v>7.1420000000000004E-9</c:v>
                </c:pt>
                <c:pt idx="8">
                  <c:v>1.1053999999999999E-9</c:v>
                </c:pt>
                <c:pt idx="9">
                  <c:v>1.9218E-10</c:v>
                </c:pt>
                <c:pt idx="10">
                  <c:v>4.3892000000000001E-13</c:v>
                </c:pt>
                <c:pt idx="11">
                  <c:v>2.8443999999999998E-15</c:v>
                </c:pt>
                <c:pt idx="12">
                  <c:v>3.6466000000000003E-17</c:v>
                </c:pt>
                <c:pt idx="13">
                  <c:v>1.3281E-17</c:v>
                </c:pt>
                <c:pt idx="14">
                  <c:v>4.9658000000000002E-18</c:v>
                </c:pt>
                <c:pt idx="15">
                  <c:v>1.9018999999999999E-18</c:v>
                </c:pt>
                <c:pt idx="16">
                  <c:v>7.4456999999999998E-19</c:v>
                </c:pt>
                <c:pt idx="17">
                  <c:v>2.1060999999999999E-20</c:v>
                </c:pt>
                <c:pt idx="18">
                  <c:v>7.5076000000000004E-22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E222-4782-8935-D3231D457017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ALL!$F$9:$X$9</c:f>
              <c:numCache>
                <c:formatCode>0.00E+00</c:formatCode>
                <c:ptCount val="19"/>
                <c:pt idx="0">
                  <c:v>1.0159E-2</c:v>
                </c:pt>
                <c:pt idx="1">
                  <c:v>5.3384000000000001E-2</c:v>
                </c:pt>
                <c:pt idx="2">
                  <c:v>0.10041</c:v>
                </c:pt>
                <c:pt idx="3">
                  <c:v>0.11502999999999999</c:v>
                </c:pt>
                <c:pt idx="4">
                  <c:v>0.11377</c:v>
                </c:pt>
                <c:pt idx="5">
                  <c:v>5.1475000000000002E-3</c:v>
                </c:pt>
                <c:pt idx="6">
                  <c:v>1.5674E-3</c:v>
                </c:pt>
                <c:pt idx="7">
                  <c:v>5.1270999999999999E-4</c:v>
                </c:pt>
                <c:pt idx="8">
                  <c:v>1.8076999999999999E-4</c:v>
                </c:pt>
                <c:pt idx="9">
                  <c:v>6.8257999999999996E-5</c:v>
                </c:pt>
                <c:pt idx="10">
                  <c:v>2.3856999999999999E-6</c:v>
                </c:pt>
                <c:pt idx="11">
                  <c:v>1.5417999999999999E-7</c:v>
                </c:pt>
                <c:pt idx="12">
                  <c:v>1.4864E-8</c:v>
                </c:pt>
                <c:pt idx="13">
                  <c:v>8.6748999999999995E-9</c:v>
                </c:pt>
                <c:pt idx="14">
                  <c:v>5.1410000000000003E-9</c:v>
                </c:pt>
                <c:pt idx="15">
                  <c:v>3.0897000000000002E-9</c:v>
                </c:pt>
                <c:pt idx="16">
                  <c:v>1.8809E-9</c:v>
                </c:pt>
                <c:pt idx="17">
                  <c:v>2.8795000000000002E-10</c:v>
                </c:pt>
                <c:pt idx="18">
                  <c:v>5.0483999999999999E-11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222-4782-8935-D3231D457017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ALL!$F$10:$X$10</c:f>
              <c:numCache>
                <c:formatCode>0.00E+00</c:formatCode>
                <c:ptCount val="19"/>
                <c:pt idx="0">
                  <c:v>2.5968999999999999E-2</c:v>
                </c:pt>
                <c:pt idx="1">
                  <c:v>2.6957999999999999E-2</c:v>
                </c:pt>
                <c:pt idx="2">
                  <c:v>2.7889000000000001E-2</c:v>
                </c:pt>
                <c:pt idx="3">
                  <c:v>2.8173E-2</c:v>
                </c:pt>
                <c:pt idx="4">
                  <c:v>2.8309000000000001E-2</c:v>
                </c:pt>
                <c:pt idx="5">
                  <c:v>3.4358999999999997E-8</c:v>
                </c:pt>
                <c:pt idx="6">
                  <c:v>6.7823000000000003E-12</c:v>
                </c:pt>
                <c:pt idx="7">
                  <c:v>2.3956000000000001E-15</c:v>
                </c:pt>
                <c:pt idx="8">
                  <c:v>1.4117E-18</c:v>
                </c:pt>
                <c:pt idx="9">
                  <c:v>1.3121999999999999E-21</c:v>
                </c:pt>
                <c:pt idx="10">
                  <c:v>4.2368000000000001E-32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222-4782-8935-D3231D457017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ALL!$F$11:$X$11</c:f>
              <c:numCache>
                <c:formatCode>0.00E+00</c:formatCode>
                <c:ptCount val="19"/>
                <c:pt idx="0">
                  <c:v>8.5071000000000001E-9</c:v>
                </c:pt>
                <c:pt idx="1">
                  <c:v>1.0655E-6</c:v>
                </c:pt>
                <c:pt idx="2">
                  <c:v>2.9221999999999999E-5</c:v>
                </c:pt>
                <c:pt idx="3">
                  <c:v>3.4483000000000002E-4</c:v>
                </c:pt>
                <c:pt idx="4">
                  <c:v>2.6305E-3</c:v>
                </c:pt>
                <c:pt idx="5">
                  <c:v>5.7425999999999998E-2</c:v>
                </c:pt>
                <c:pt idx="6">
                  <c:v>5.9215999999999998E-2</c:v>
                </c:pt>
                <c:pt idx="7">
                  <c:v>5.9743999999999998E-2</c:v>
                </c:pt>
                <c:pt idx="8">
                  <c:v>5.9909999999999998E-2</c:v>
                </c:pt>
                <c:pt idx="9">
                  <c:v>5.9965999999999998E-2</c:v>
                </c:pt>
                <c:pt idx="10">
                  <c:v>5.9998999999999997E-2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222-4782-8935-D3231D457017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ALL!$F$12:$X$12</c:f>
              <c:numCache>
                <c:formatCode>0.00E+00</c:formatCode>
                <c:ptCount val="19"/>
                <c:pt idx="0">
                  <c:v>1.6756E-22</c:v>
                </c:pt>
                <c:pt idx="1">
                  <c:v>4.4808999999999998E-18</c:v>
                </c:pt>
                <c:pt idx="2">
                  <c:v>2.7254E-14</c:v>
                </c:pt>
                <c:pt idx="3">
                  <c:v>5.3873999999999999E-11</c:v>
                </c:pt>
                <c:pt idx="4">
                  <c:v>4.4460000000000002E-8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222-4782-8935-D3231D457017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ALL!$F$15:$X$15</c:f>
              <c:numCache>
                <c:formatCode>0.00E+00</c:formatCode>
                <c:ptCount val="19"/>
                <c:pt idx="0">
                  <c:v>0.25015999999999999</c:v>
                </c:pt>
                <c:pt idx="1">
                  <c:v>0.29338999999999998</c:v>
                </c:pt>
                <c:pt idx="2">
                  <c:v>0.34053</c:v>
                </c:pt>
                <c:pt idx="3">
                  <c:v>0.35641</c:v>
                </c:pt>
                <c:pt idx="4">
                  <c:v>0.36429</c:v>
                </c:pt>
                <c:pt idx="5">
                  <c:v>0.59484999999999999</c:v>
                </c:pt>
                <c:pt idx="6">
                  <c:v>0.59843000000000002</c:v>
                </c:pt>
                <c:pt idx="7">
                  <c:v>0.59948999999999997</c:v>
                </c:pt>
                <c:pt idx="8">
                  <c:v>0.59982000000000002</c:v>
                </c:pt>
                <c:pt idx="9">
                  <c:v>0.59992999999999996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E222-4782-8935-D3231D457017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(l)Ge[c]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ALL!$F$17:$X$17</c:f>
              <c:numCache>
                <c:formatCode>0.00E+00</c:formatCode>
                <c:ptCount val="19"/>
                <c:pt idx="0">
                  <c:v>8.5071000000000001E-9</c:v>
                </c:pt>
                <c:pt idx="1">
                  <c:v>1.0655E-6</c:v>
                </c:pt>
                <c:pt idx="2">
                  <c:v>2.9221999999999999E-5</c:v>
                </c:pt>
                <c:pt idx="3">
                  <c:v>3.4483000000000002E-4</c:v>
                </c:pt>
                <c:pt idx="4">
                  <c:v>2.6305E-3</c:v>
                </c:pt>
                <c:pt idx="5">
                  <c:v>5.7425999999999998E-2</c:v>
                </c:pt>
                <c:pt idx="6">
                  <c:v>5.9215999999999998E-2</c:v>
                </c:pt>
                <c:pt idx="7">
                  <c:v>5.9743999999999998E-2</c:v>
                </c:pt>
                <c:pt idx="8">
                  <c:v>5.9909999999999998E-2</c:v>
                </c:pt>
                <c:pt idx="9">
                  <c:v>5.9965999999999998E-2</c:v>
                </c:pt>
                <c:pt idx="10">
                  <c:v>5.9998999999999997E-2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BAC-4CB7-97BC-1D8D71FFD184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3E-4C8D-8433-0EC37F558984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300</c:v>
                </c:pt>
                <c:pt idx="1">
                  <c:v>300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-65.37</c:v>
                </c:pt>
                <c:pt idx="1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BAC-4CB7-97BC-1D8D71FFD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784"/>
        <c:axId val="3916205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ALL!$F$4:$X$4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3.5994999999999999E-8</c:v>
                      </c:pt>
                      <c:pt idx="1">
                        <c:v>4.9854999999999999E-8</c:v>
                      </c:pt>
                      <c:pt idx="2">
                        <c:v>7.8368000000000004E-8</c:v>
                      </c:pt>
                      <c:pt idx="3">
                        <c:v>9.2201000000000006E-8</c:v>
                      </c:pt>
                      <c:pt idx="4">
                        <c:v>9.1532000000000002E-8</c:v>
                      </c:pt>
                      <c:pt idx="5">
                        <c:v>1.1143E-7</c:v>
                      </c:pt>
                      <c:pt idx="6">
                        <c:v>1.2272E-7</c:v>
                      </c:pt>
                      <c:pt idx="7">
                        <c:v>1.2407E-7</c:v>
                      </c:pt>
                      <c:pt idx="8">
                        <c:v>1.2499999999999999E-7</c:v>
                      </c:pt>
                      <c:pt idx="9">
                        <c:v>1.2436999999999999E-7</c:v>
                      </c:pt>
                      <c:pt idx="10">
                        <c:v>1.1789000000000001E-7</c:v>
                      </c:pt>
                      <c:pt idx="11">
                        <c:v>1.1532E-7</c:v>
                      </c:pt>
                      <c:pt idx="12">
                        <c:v>1.1542E-7</c:v>
                      </c:pt>
                      <c:pt idx="13">
                        <c:v>1.1574E-7</c:v>
                      </c:pt>
                      <c:pt idx="14">
                        <c:v>1.1608E-7</c:v>
                      </c:pt>
                      <c:pt idx="15">
                        <c:v>1.1643E-7</c:v>
                      </c:pt>
                      <c:pt idx="16">
                        <c:v>1.168E-7</c:v>
                      </c:pt>
                      <c:pt idx="17">
                        <c:v>1.1842E-7</c:v>
                      </c:pt>
                      <c:pt idx="18">
                        <c:v>1.2032999999999999E-7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222-4782-8935-D3231D457017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ALL!$F$5:$X$5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1.4031E-2</c:v>
                      </c:pt>
                      <c:pt idx="1">
                        <c:v>1.3042E-2</c:v>
                      </c:pt>
                      <c:pt idx="2">
                        <c:v>1.2111E-2</c:v>
                      </c:pt>
                      <c:pt idx="3">
                        <c:v>1.1827000000000001E-2</c:v>
                      </c:pt>
                      <c:pt idx="4">
                        <c:v>1.1691E-2</c:v>
                      </c:pt>
                      <c:pt idx="5">
                        <c:v>8.6454999999999996E-9</c:v>
                      </c:pt>
                      <c:pt idx="6">
                        <c:v>1.6989E-12</c:v>
                      </c:pt>
                      <c:pt idx="7">
                        <c:v>5.993E-16</c:v>
                      </c:pt>
                      <c:pt idx="8">
                        <c:v>3.5301E-19</c:v>
                      </c:pt>
                      <c:pt idx="9">
                        <c:v>3.2807999999999999E-22</c:v>
                      </c:pt>
                      <c:pt idx="10">
                        <c:v>1.0592E-32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222-4782-8935-D3231D45701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ALL!$F$6:$X$6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1.0016E-29</c:v>
                      </c:pt>
                      <c:pt idx="6">
                        <c:v>8.6551000000000002E-28</c:v>
                      </c:pt>
                      <c:pt idx="7">
                        <c:v>4.6019999999999999E-26</c:v>
                      </c:pt>
                      <c:pt idx="8">
                        <c:v>1.6368E-24</c:v>
                      </c:pt>
                      <c:pt idx="9">
                        <c:v>4.1361000000000001E-23</c:v>
                      </c:pt>
                      <c:pt idx="10">
                        <c:v>1.2665E-18</c:v>
                      </c:pt>
                      <c:pt idx="11">
                        <c:v>2.2310000000000002E-15</c:v>
                      </c:pt>
                      <c:pt idx="12">
                        <c:v>6.3804999999999999E-13</c:v>
                      </c:pt>
                      <c:pt idx="13">
                        <c:v>2.1290999999999999E-12</c:v>
                      </c:pt>
                      <c:pt idx="14">
                        <c:v>6.6288000000000002E-12</c:v>
                      </c:pt>
                      <c:pt idx="15">
                        <c:v>1.9369000000000001E-11</c:v>
                      </c:pt>
                      <c:pt idx="16">
                        <c:v>5.3384000000000003E-11</c:v>
                      </c:pt>
                      <c:pt idx="17">
                        <c:v>1.8718000000000001E-9</c:v>
                      </c:pt>
                      <c:pt idx="18">
                        <c:v>3.4675999999999999E-8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222-4782-8935-D3231D45701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ALL!$F$7:$X$7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222-4782-8935-D3231D457017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ALL!$F$13:$X$13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2.1579999999999999E-7</c:v>
                      </c:pt>
                      <c:pt idx="1">
                        <c:v>1.6581E-7</c:v>
                      </c:pt>
                      <c:pt idx="2">
                        <c:v>1.2426999999999999E-7</c:v>
                      </c:pt>
                      <c:pt idx="3">
                        <c:v>8.3587000000000006E-8</c:v>
                      </c:pt>
                      <c:pt idx="4">
                        <c:v>5.4971999999999998E-8</c:v>
                      </c:pt>
                      <c:pt idx="5">
                        <c:v>1.9907999999999999E-8</c:v>
                      </c:pt>
                      <c:pt idx="6">
                        <c:v>1.4467999999999999E-8</c:v>
                      </c:pt>
                      <c:pt idx="7">
                        <c:v>1.0487E-8</c:v>
                      </c:pt>
                      <c:pt idx="8">
                        <c:v>7.6083000000000007E-9</c:v>
                      </c:pt>
                      <c:pt idx="9">
                        <c:v>5.5303999999999998E-9</c:v>
                      </c:pt>
                      <c:pt idx="10">
                        <c:v>1.5813999999999999E-9</c:v>
                      </c:pt>
                      <c:pt idx="11">
                        <c:v>4.6943999999999998E-10</c:v>
                      </c:pt>
                      <c:pt idx="12">
                        <c:v>1.4369E-10</c:v>
                      </c:pt>
                      <c:pt idx="13">
                        <c:v>1.0727E-10</c:v>
                      </c:pt>
                      <c:pt idx="14">
                        <c:v>8.0176000000000006E-11</c:v>
                      </c:pt>
                      <c:pt idx="15">
                        <c:v>5.9982E-11</c:v>
                      </c:pt>
                      <c:pt idx="16">
                        <c:v>4.4910000000000003E-11</c:v>
                      </c:pt>
                      <c:pt idx="17">
                        <c:v>1.4188000000000001E-11</c:v>
                      </c:pt>
                      <c:pt idx="18">
                        <c:v>4.4923999999999997E-12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222-4782-8935-D3231D45701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ALL!$F$14:$X$14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5.9804999999999999E-8</c:v>
                      </c:pt>
                      <c:pt idx="1">
                        <c:v>5.6418000000000003E-8</c:v>
                      </c:pt>
                      <c:pt idx="2">
                        <c:v>5.0087999999999998E-8</c:v>
                      </c:pt>
                      <c:pt idx="3">
                        <c:v>3.8835999999999998E-8</c:v>
                      </c:pt>
                      <c:pt idx="4">
                        <c:v>2.8816999999999999E-8</c:v>
                      </c:pt>
                      <c:pt idx="5">
                        <c:v>1.2054E-8</c:v>
                      </c:pt>
                      <c:pt idx="6">
                        <c:v>8.5872000000000003E-9</c:v>
                      </c:pt>
                      <c:pt idx="7">
                        <c:v>6.0987E-9</c:v>
                      </c:pt>
                      <c:pt idx="8">
                        <c:v>4.3344999999999999E-9</c:v>
                      </c:pt>
                      <c:pt idx="9">
                        <c:v>3.0867000000000001E-9</c:v>
                      </c:pt>
                      <c:pt idx="10">
                        <c:v>8.1506999999999996E-10</c:v>
                      </c:pt>
                      <c:pt idx="11">
                        <c:v>2.2442999999999999E-10</c:v>
                      </c:pt>
                      <c:pt idx="12">
                        <c:v>6.3919999999999997E-11</c:v>
                      </c:pt>
                      <c:pt idx="13">
                        <c:v>4.6885999999999997E-11</c:v>
                      </c:pt>
                      <c:pt idx="14">
                        <c:v>3.4435999999999997E-11</c:v>
                      </c:pt>
                      <c:pt idx="15">
                        <c:v>2.5322000000000001E-11</c:v>
                      </c:pt>
                      <c:pt idx="16">
                        <c:v>1.8639000000000001E-11</c:v>
                      </c:pt>
                      <c:pt idx="17">
                        <c:v>5.5112000000000002E-12</c:v>
                      </c:pt>
                      <c:pt idx="18">
                        <c:v>1.6387000000000001E-12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222-4782-8935-D3231D45701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ALL!$F$16:$X$16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1.0007000000000001E-9</c:v>
                      </c:pt>
                      <c:pt idx="1">
                        <c:v>1.5073E-9</c:v>
                      </c:pt>
                      <c:pt idx="2">
                        <c:v>1.9908000000000002E-9</c:v>
                      </c:pt>
                      <c:pt idx="3">
                        <c:v>2.1753000000000001E-9</c:v>
                      </c:pt>
                      <c:pt idx="4">
                        <c:v>2.1798999999999999E-9</c:v>
                      </c:pt>
                      <c:pt idx="5">
                        <c:v>2.2788E-9</c:v>
                      </c:pt>
                      <c:pt idx="6">
                        <c:v>1.9422000000000002E-9</c:v>
                      </c:pt>
                      <c:pt idx="7">
                        <c:v>1.6271000000000001E-9</c:v>
                      </c:pt>
                      <c:pt idx="8">
                        <c:v>1.3473999999999999E-9</c:v>
                      </c:pt>
                      <c:pt idx="9">
                        <c:v>1.1060999999999999E-9</c:v>
                      </c:pt>
                      <c:pt idx="10">
                        <c:v>4.7395999999999998E-10</c:v>
                      </c:pt>
                      <c:pt idx="11">
                        <c:v>1.9203999999999999E-10</c:v>
                      </c:pt>
                      <c:pt idx="12">
                        <c:v>7.5294999999999997E-11</c:v>
                      </c:pt>
                      <c:pt idx="13">
                        <c:v>5.9345000000000003E-11</c:v>
                      </c:pt>
                      <c:pt idx="14">
                        <c:v>4.6707E-11</c:v>
                      </c:pt>
                      <c:pt idx="15">
                        <c:v>3.6707999999999997E-11</c:v>
                      </c:pt>
                      <c:pt idx="16">
                        <c:v>2.8811000000000001E-11</c:v>
                      </c:pt>
                      <c:pt idx="17">
                        <c:v>1.0783999999999999E-11</c:v>
                      </c:pt>
                      <c:pt idx="18">
                        <c:v>3.9473000000000004E-12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222-4782-8935-D3231D45701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ALL!$F$18:$X$18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-18.68</c:v>
                      </c:pt>
                      <c:pt idx="1">
                        <c:v>-18.690000000000001</c:v>
                      </c:pt>
                      <c:pt idx="2">
                        <c:v>-18.72</c:v>
                      </c:pt>
                      <c:pt idx="3">
                        <c:v>-18.760000000000002</c:v>
                      </c:pt>
                      <c:pt idx="4">
                        <c:v>-18.82</c:v>
                      </c:pt>
                      <c:pt idx="5">
                        <c:v>-19.03</c:v>
                      </c:pt>
                      <c:pt idx="6">
                        <c:v>-19.100000000000001</c:v>
                      </c:pt>
                      <c:pt idx="7">
                        <c:v>-19.170000000000002</c:v>
                      </c:pt>
                      <c:pt idx="8">
                        <c:v>-19.239999999999998</c:v>
                      </c:pt>
                      <c:pt idx="9">
                        <c:v>-19.309999999999999</c:v>
                      </c:pt>
                      <c:pt idx="10">
                        <c:v>-19.57</c:v>
                      </c:pt>
                      <c:pt idx="11">
                        <c:v>-19.82</c:v>
                      </c:pt>
                      <c:pt idx="12">
                        <c:v>-20.05</c:v>
                      </c:pt>
                      <c:pt idx="13">
                        <c:v>-20.11</c:v>
                      </c:pt>
                      <c:pt idx="14">
                        <c:v>-20.16</c:v>
                      </c:pt>
                      <c:pt idx="15">
                        <c:v>-20.21</c:v>
                      </c:pt>
                      <c:pt idx="16">
                        <c:v>-20.260000000000002</c:v>
                      </c:pt>
                      <c:pt idx="17">
                        <c:v>-20.46</c:v>
                      </c:pt>
                      <c:pt idx="18">
                        <c:v>-20.65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BAC-4CB7-97BC-1D8D71FFD184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ALL!$F$19:$X$19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-65.37</c:v>
                      </c:pt>
                      <c:pt idx="1">
                        <c:v>-56.57</c:v>
                      </c:pt>
                      <c:pt idx="2">
                        <c:v>-49.26</c:v>
                      </c:pt>
                      <c:pt idx="3">
                        <c:v>-43.03</c:v>
                      </c:pt>
                      <c:pt idx="4">
                        <c:v>-37.67</c:v>
                      </c:pt>
                      <c:pt idx="5">
                        <c:v>-29.03</c:v>
                      </c:pt>
                      <c:pt idx="6">
                        <c:v>-30.33</c:v>
                      </c:pt>
                      <c:pt idx="7">
                        <c:v>-31.61</c:v>
                      </c:pt>
                      <c:pt idx="8">
                        <c:v>-32.86</c:v>
                      </c:pt>
                      <c:pt idx="9">
                        <c:v>-34.08</c:v>
                      </c:pt>
                      <c:pt idx="10">
                        <c:v>-38.58</c:v>
                      </c:pt>
                      <c:pt idx="11">
                        <c:v>-42.35</c:v>
                      </c:pt>
                      <c:pt idx="12">
                        <c:v>-45.25</c:v>
                      </c:pt>
                      <c:pt idx="13">
                        <c:v>-45.82</c:v>
                      </c:pt>
                      <c:pt idx="14">
                        <c:v>-46.33</c:v>
                      </c:pt>
                      <c:pt idx="15">
                        <c:v>-46.78</c:v>
                      </c:pt>
                      <c:pt idx="16">
                        <c:v>-47.16</c:v>
                      </c:pt>
                      <c:pt idx="17">
                        <c:v>-48.02</c:v>
                      </c:pt>
                      <c:pt idx="18">
                        <c:v>-47.77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BAC-4CB7-97BC-1D8D71FFD184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ALL!$F$20:$X$20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-21.4</c:v>
                      </c:pt>
                      <c:pt idx="1">
                        <c:v>-16.690000000000001</c:v>
                      </c:pt>
                      <c:pt idx="2">
                        <c:v>-13.52</c:v>
                      </c:pt>
                      <c:pt idx="3">
                        <c:v>-11.14</c:v>
                      </c:pt>
                      <c:pt idx="4">
                        <c:v>-9.1850000000000005</c:v>
                      </c:pt>
                      <c:pt idx="5">
                        <c:v>-6.85</c:v>
                      </c:pt>
                      <c:pt idx="6">
                        <c:v>-6.907</c:v>
                      </c:pt>
                      <c:pt idx="7">
                        <c:v>-6.9820000000000002</c:v>
                      </c:pt>
                      <c:pt idx="8">
                        <c:v>-7.0620000000000003</c:v>
                      </c:pt>
                      <c:pt idx="9">
                        <c:v>-7.1429999999999998</c:v>
                      </c:pt>
                      <c:pt idx="10">
                        <c:v>-7.4630000000000001</c:v>
                      </c:pt>
                      <c:pt idx="11">
                        <c:v>-7.7649999999999997</c:v>
                      </c:pt>
                      <c:pt idx="12">
                        <c:v>-8.048</c:v>
                      </c:pt>
                      <c:pt idx="13">
                        <c:v>-8.1159999999999997</c:v>
                      </c:pt>
                      <c:pt idx="14">
                        <c:v>-8.1820000000000004</c:v>
                      </c:pt>
                      <c:pt idx="15">
                        <c:v>-8.2479999999999993</c:v>
                      </c:pt>
                      <c:pt idx="16">
                        <c:v>-8.3130000000000006</c:v>
                      </c:pt>
                      <c:pt idx="17">
                        <c:v>-8.5609999999999999</c:v>
                      </c:pt>
                      <c:pt idx="18">
                        <c:v>-8.7949999999999999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BAC-4CB7-97BC-1D8D71FFD184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ALL!$F$21:$X$21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-19.510000000000002</c:v>
                      </c:pt>
                      <c:pt idx="1">
                        <c:v>-19.89</c:v>
                      </c:pt>
                      <c:pt idx="2">
                        <c:v>-20.329999999999998</c:v>
                      </c:pt>
                      <c:pt idx="3">
                        <c:v>-20.81</c:v>
                      </c:pt>
                      <c:pt idx="4">
                        <c:v>-21.32</c:v>
                      </c:pt>
                      <c:pt idx="5">
                        <c:v>-23.31</c:v>
                      </c:pt>
                      <c:pt idx="6">
                        <c:v>-23.8</c:v>
                      </c:pt>
                      <c:pt idx="7">
                        <c:v>-24.29</c:v>
                      </c:pt>
                      <c:pt idx="8">
                        <c:v>-24.77</c:v>
                      </c:pt>
                      <c:pt idx="9">
                        <c:v>-25.24</c:v>
                      </c:pt>
                      <c:pt idx="10">
                        <c:v>-27.06</c:v>
                      </c:pt>
                      <c:pt idx="11">
                        <c:v>-28.78</c:v>
                      </c:pt>
                      <c:pt idx="12">
                        <c:v>-30.41</c:v>
                      </c:pt>
                      <c:pt idx="13">
                        <c:v>-30.81</c:v>
                      </c:pt>
                      <c:pt idx="14">
                        <c:v>-31.2</c:v>
                      </c:pt>
                      <c:pt idx="15">
                        <c:v>-31.59</c:v>
                      </c:pt>
                      <c:pt idx="16">
                        <c:v>-31.98</c:v>
                      </c:pt>
                      <c:pt idx="17">
                        <c:v>-33.5</c:v>
                      </c:pt>
                      <c:pt idx="18">
                        <c:v>-35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BAC-4CB7-97BC-1D8D71FFD184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ALL!$F$22:$X$22</c15:sqref>
                        </c15:formulaRef>
                      </c:ext>
                    </c:extLst>
                    <c:numCache>
                      <c:formatCode>0.00</c:formatCode>
                      <c:ptCount val="1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BAC-4CB7-97BC-1D8D71FFD184}"/>
                  </c:ext>
                </c:extLst>
              </c15:ser>
            </c15:filteredScatterSeries>
          </c:ext>
        </c:extLst>
      </c:scatterChart>
      <c:valAx>
        <c:axId val="391630784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592"/>
        <c:crosses val="autoZero"/>
        <c:crossBetween val="midCat"/>
      </c:valAx>
      <c:valAx>
        <c:axId val="39162059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Концентрация, моль/(моль*атом)</a:t>
                </a:r>
              </a:p>
            </c:rich>
          </c:tx>
          <c:layout>
            <c:manualLayout>
              <c:xMode val="edge"/>
              <c:yMode val="edge"/>
              <c:x val="6.4921680368266281E-3"/>
              <c:y val="0.211309836270466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E+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784"/>
        <c:crosses val="autoZero"/>
        <c:crossBetween val="midCat"/>
      </c:valAx>
      <c:spPr>
        <a:noFill/>
        <a:ln w="25400"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17120796687222"/>
          <c:y val="3.4157679606002918E-2"/>
          <c:w val="0.82577964395932668"/>
          <c:h val="0.85597882499481004"/>
        </c:manualLayout>
      </c:layout>
      <c:scatterChart>
        <c:scatterStyle val="smoothMarker"/>
        <c:varyColors val="0"/>
        <c:ser>
          <c:idx val="6"/>
          <c:order val="6"/>
          <c:tx>
            <c:strRef>
              <c:f>ALL!$E$10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ALL!$F$10:$X$10</c:f>
              <c:numCache>
                <c:formatCode>0.00E+00</c:formatCode>
                <c:ptCount val="19"/>
                <c:pt idx="0">
                  <c:v>2.5968999999999999E-2</c:v>
                </c:pt>
                <c:pt idx="1">
                  <c:v>2.6957999999999999E-2</c:v>
                </c:pt>
                <c:pt idx="2">
                  <c:v>2.7889000000000001E-2</c:v>
                </c:pt>
                <c:pt idx="3">
                  <c:v>2.8173E-2</c:v>
                </c:pt>
                <c:pt idx="4">
                  <c:v>2.8309000000000001E-2</c:v>
                </c:pt>
                <c:pt idx="5">
                  <c:v>3.4358999999999997E-8</c:v>
                </c:pt>
                <c:pt idx="6">
                  <c:v>6.7823000000000003E-12</c:v>
                </c:pt>
                <c:pt idx="7">
                  <c:v>2.3956000000000001E-15</c:v>
                </c:pt>
                <c:pt idx="8">
                  <c:v>1.4117E-18</c:v>
                </c:pt>
                <c:pt idx="9">
                  <c:v>1.3121999999999999E-21</c:v>
                </c:pt>
                <c:pt idx="10">
                  <c:v>4.2368000000000001E-32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1A2-4921-BB82-E259C6E04A07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ALL!$F$11:$X$11</c:f>
              <c:numCache>
                <c:formatCode>0.00E+00</c:formatCode>
                <c:ptCount val="19"/>
                <c:pt idx="0">
                  <c:v>8.5071000000000001E-9</c:v>
                </c:pt>
                <c:pt idx="1">
                  <c:v>1.0655E-6</c:v>
                </c:pt>
                <c:pt idx="2">
                  <c:v>2.9221999999999999E-5</c:v>
                </c:pt>
                <c:pt idx="3">
                  <c:v>3.4483000000000002E-4</c:v>
                </c:pt>
                <c:pt idx="4">
                  <c:v>2.6305E-3</c:v>
                </c:pt>
                <c:pt idx="5">
                  <c:v>5.7425999999999998E-2</c:v>
                </c:pt>
                <c:pt idx="6">
                  <c:v>5.9215999999999998E-2</c:v>
                </c:pt>
                <c:pt idx="7">
                  <c:v>5.9743999999999998E-2</c:v>
                </c:pt>
                <c:pt idx="8">
                  <c:v>5.9909999999999998E-2</c:v>
                </c:pt>
                <c:pt idx="9">
                  <c:v>5.9965999999999998E-2</c:v>
                </c:pt>
                <c:pt idx="10">
                  <c:v>5.9998999999999997E-2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01A2-4921-BB82-E259C6E04A07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ALL!$F$12:$X$12</c:f>
              <c:numCache>
                <c:formatCode>0.00E+00</c:formatCode>
                <c:ptCount val="19"/>
                <c:pt idx="0">
                  <c:v>1.6756E-22</c:v>
                </c:pt>
                <c:pt idx="1">
                  <c:v>4.4808999999999998E-18</c:v>
                </c:pt>
                <c:pt idx="2">
                  <c:v>2.7254E-14</c:v>
                </c:pt>
                <c:pt idx="3">
                  <c:v>5.3873999999999999E-11</c:v>
                </c:pt>
                <c:pt idx="4">
                  <c:v>4.4460000000000002E-8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01A2-4921-BB82-E259C6E04A07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ALL!$F$13:$X$13</c:f>
              <c:numCache>
                <c:formatCode>0.00E+00</c:formatCode>
                <c:ptCount val="19"/>
                <c:pt idx="0">
                  <c:v>2.1579999999999999E-7</c:v>
                </c:pt>
                <c:pt idx="1">
                  <c:v>1.6581E-7</c:v>
                </c:pt>
                <c:pt idx="2">
                  <c:v>1.2426999999999999E-7</c:v>
                </c:pt>
                <c:pt idx="3">
                  <c:v>8.3587000000000006E-8</c:v>
                </c:pt>
                <c:pt idx="4">
                  <c:v>5.4971999999999998E-8</c:v>
                </c:pt>
                <c:pt idx="5">
                  <c:v>1.9907999999999999E-8</c:v>
                </c:pt>
                <c:pt idx="6">
                  <c:v>1.4467999999999999E-8</c:v>
                </c:pt>
                <c:pt idx="7">
                  <c:v>1.0487E-8</c:v>
                </c:pt>
                <c:pt idx="8">
                  <c:v>7.6083000000000007E-9</c:v>
                </c:pt>
                <c:pt idx="9">
                  <c:v>5.5303999999999998E-9</c:v>
                </c:pt>
                <c:pt idx="10">
                  <c:v>1.5813999999999999E-9</c:v>
                </c:pt>
                <c:pt idx="11">
                  <c:v>4.6943999999999998E-10</c:v>
                </c:pt>
                <c:pt idx="12">
                  <c:v>1.4369E-10</c:v>
                </c:pt>
                <c:pt idx="13">
                  <c:v>1.0727E-10</c:v>
                </c:pt>
                <c:pt idx="14">
                  <c:v>8.0176000000000006E-11</c:v>
                </c:pt>
                <c:pt idx="15">
                  <c:v>5.9982E-11</c:v>
                </c:pt>
                <c:pt idx="16">
                  <c:v>4.4910000000000003E-11</c:v>
                </c:pt>
                <c:pt idx="17">
                  <c:v>1.4188000000000001E-11</c:v>
                </c:pt>
                <c:pt idx="18">
                  <c:v>4.4923999999999997E-12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01A2-4921-BB82-E259C6E04A07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(l)Se[r]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ALL!$F$16:$X$16</c:f>
              <c:numCache>
                <c:formatCode>0.00E+00</c:formatCode>
                <c:ptCount val="19"/>
                <c:pt idx="0">
                  <c:v>1.0007000000000001E-9</c:v>
                </c:pt>
                <c:pt idx="1">
                  <c:v>1.5073E-9</c:v>
                </c:pt>
                <c:pt idx="2">
                  <c:v>1.9908000000000002E-9</c:v>
                </c:pt>
                <c:pt idx="3">
                  <c:v>2.1753000000000001E-9</c:v>
                </c:pt>
                <c:pt idx="4">
                  <c:v>2.1798999999999999E-9</c:v>
                </c:pt>
                <c:pt idx="5">
                  <c:v>2.2788E-9</c:v>
                </c:pt>
                <c:pt idx="6">
                  <c:v>1.9422000000000002E-9</c:v>
                </c:pt>
                <c:pt idx="7">
                  <c:v>1.6271000000000001E-9</c:v>
                </c:pt>
                <c:pt idx="8">
                  <c:v>1.3473999999999999E-9</c:v>
                </c:pt>
                <c:pt idx="9">
                  <c:v>1.1060999999999999E-9</c:v>
                </c:pt>
                <c:pt idx="10">
                  <c:v>4.7395999999999998E-10</c:v>
                </c:pt>
                <c:pt idx="11">
                  <c:v>1.9203999999999999E-10</c:v>
                </c:pt>
                <c:pt idx="12">
                  <c:v>7.5294999999999997E-11</c:v>
                </c:pt>
                <c:pt idx="13">
                  <c:v>5.9345000000000003E-11</c:v>
                </c:pt>
                <c:pt idx="14">
                  <c:v>4.6707E-11</c:v>
                </c:pt>
                <c:pt idx="15">
                  <c:v>3.6707999999999997E-11</c:v>
                </c:pt>
                <c:pt idx="16">
                  <c:v>2.8811000000000001E-11</c:v>
                </c:pt>
                <c:pt idx="17">
                  <c:v>1.0783999999999999E-11</c:v>
                </c:pt>
                <c:pt idx="18">
                  <c:v>3.9473000000000004E-12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1A2-4921-BB82-E259C6E04A07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ALL!$F$18:$X$18</c:f>
              <c:numCache>
                <c:formatCode>0.00E+00</c:formatCode>
                <c:ptCount val="19"/>
                <c:pt idx="0">
                  <c:v>-18.68</c:v>
                </c:pt>
                <c:pt idx="1">
                  <c:v>-18.690000000000001</c:v>
                </c:pt>
                <c:pt idx="2">
                  <c:v>-18.72</c:v>
                </c:pt>
                <c:pt idx="3">
                  <c:v>-18.760000000000002</c:v>
                </c:pt>
                <c:pt idx="4">
                  <c:v>-18.82</c:v>
                </c:pt>
                <c:pt idx="5">
                  <c:v>-19.03</c:v>
                </c:pt>
                <c:pt idx="6">
                  <c:v>-19.100000000000001</c:v>
                </c:pt>
                <c:pt idx="7">
                  <c:v>-19.170000000000002</c:v>
                </c:pt>
                <c:pt idx="8">
                  <c:v>-19.239999999999998</c:v>
                </c:pt>
                <c:pt idx="9">
                  <c:v>-19.309999999999999</c:v>
                </c:pt>
                <c:pt idx="10">
                  <c:v>-19.57</c:v>
                </c:pt>
                <c:pt idx="11">
                  <c:v>-19.82</c:v>
                </c:pt>
                <c:pt idx="12">
                  <c:v>-20.05</c:v>
                </c:pt>
                <c:pt idx="13">
                  <c:v>-20.11</c:v>
                </c:pt>
                <c:pt idx="14">
                  <c:v>-20.16</c:v>
                </c:pt>
                <c:pt idx="15">
                  <c:v>-20.21</c:v>
                </c:pt>
                <c:pt idx="16">
                  <c:v>-20.260000000000002</c:v>
                </c:pt>
                <c:pt idx="17">
                  <c:v>-20.46</c:v>
                </c:pt>
                <c:pt idx="18">
                  <c:v>-20.65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7C-4E72-ABAB-0C979D2D4DC6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7-4208-8020-CBB951B8FE2E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300</c:v>
                </c:pt>
                <c:pt idx="1">
                  <c:v>300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-65.37</c:v>
                </c:pt>
                <c:pt idx="1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77C-4E72-ABAB-0C979D2D4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784"/>
        <c:axId val="3916205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ALL!$F$4:$X$4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3.5994999999999999E-8</c:v>
                      </c:pt>
                      <c:pt idx="1">
                        <c:v>4.9854999999999999E-8</c:v>
                      </c:pt>
                      <c:pt idx="2">
                        <c:v>7.8368000000000004E-8</c:v>
                      </c:pt>
                      <c:pt idx="3">
                        <c:v>9.2201000000000006E-8</c:v>
                      </c:pt>
                      <c:pt idx="4">
                        <c:v>9.1532000000000002E-8</c:v>
                      </c:pt>
                      <c:pt idx="5">
                        <c:v>1.1143E-7</c:v>
                      </c:pt>
                      <c:pt idx="6">
                        <c:v>1.2272E-7</c:v>
                      </c:pt>
                      <c:pt idx="7">
                        <c:v>1.2407E-7</c:v>
                      </c:pt>
                      <c:pt idx="8">
                        <c:v>1.2499999999999999E-7</c:v>
                      </c:pt>
                      <c:pt idx="9">
                        <c:v>1.2436999999999999E-7</c:v>
                      </c:pt>
                      <c:pt idx="10">
                        <c:v>1.1789000000000001E-7</c:v>
                      </c:pt>
                      <c:pt idx="11">
                        <c:v>1.1532E-7</c:v>
                      </c:pt>
                      <c:pt idx="12">
                        <c:v>1.1542E-7</c:v>
                      </c:pt>
                      <c:pt idx="13">
                        <c:v>1.1574E-7</c:v>
                      </c:pt>
                      <c:pt idx="14">
                        <c:v>1.1608E-7</c:v>
                      </c:pt>
                      <c:pt idx="15">
                        <c:v>1.1643E-7</c:v>
                      </c:pt>
                      <c:pt idx="16">
                        <c:v>1.168E-7</c:v>
                      </c:pt>
                      <c:pt idx="17">
                        <c:v>1.1842E-7</c:v>
                      </c:pt>
                      <c:pt idx="18">
                        <c:v>1.2032999999999999E-7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01A2-4921-BB82-E259C6E04A07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ALL!$F$5:$X$5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1.4031E-2</c:v>
                      </c:pt>
                      <c:pt idx="1">
                        <c:v>1.3042E-2</c:v>
                      </c:pt>
                      <c:pt idx="2">
                        <c:v>1.2111E-2</c:v>
                      </c:pt>
                      <c:pt idx="3">
                        <c:v>1.1827000000000001E-2</c:v>
                      </c:pt>
                      <c:pt idx="4">
                        <c:v>1.1691E-2</c:v>
                      </c:pt>
                      <c:pt idx="5">
                        <c:v>8.6454999999999996E-9</c:v>
                      </c:pt>
                      <c:pt idx="6">
                        <c:v>1.6989E-12</c:v>
                      </c:pt>
                      <c:pt idx="7">
                        <c:v>5.993E-16</c:v>
                      </c:pt>
                      <c:pt idx="8">
                        <c:v>3.5301E-19</c:v>
                      </c:pt>
                      <c:pt idx="9">
                        <c:v>3.2807999999999999E-22</c:v>
                      </c:pt>
                      <c:pt idx="10">
                        <c:v>1.0592E-32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1A2-4921-BB82-E259C6E04A0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ALL!$F$6:$X$6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1.0016E-29</c:v>
                      </c:pt>
                      <c:pt idx="6">
                        <c:v>8.6551000000000002E-28</c:v>
                      </c:pt>
                      <c:pt idx="7">
                        <c:v>4.6019999999999999E-26</c:v>
                      </c:pt>
                      <c:pt idx="8">
                        <c:v>1.6368E-24</c:v>
                      </c:pt>
                      <c:pt idx="9">
                        <c:v>4.1361000000000001E-23</c:v>
                      </c:pt>
                      <c:pt idx="10">
                        <c:v>1.2665E-18</c:v>
                      </c:pt>
                      <c:pt idx="11">
                        <c:v>2.2310000000000002E-15</c:v>
                      </c:pt>
                      <c:pt idx="12">
                        <c:v>6.3804999999999999E-13</c:v>
                      </c:pt>
                      <c:pt idx="13">
                        <c:v>2.1290999999999999E-12</c:v>
                      </c:pt>
                      <c:pt idx="14">
                        <c:v>6.6288000000000002E-12</c:v>
                      </c:pt>
                      <c:pt idx="15">
                        <c:v>1.9369000000000001E-11</c:v>
                      </c:pt>
                      <c:pt idx="16">
                        <c:v>5.3384000000000003E-11</c:v>
                      </c:pt>
                      <c:pt idx="17">
                        <c:v>1.8718000000000001E-9</c:v>
                      </c:pt>
                      <c:pt idx="18">
                        <c:v>3.4675999999999999E-8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01A2-4921-BB82-E259C6E04A0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ALL!$F$7:$X$7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1A2-4921-BB82-E259C6E04A0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ALL!$F$8:$X$8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0.10983999999999999</c:v>
                      </c:pt>
                      <c:pt idx="1">
                        <c:v>6.6614000000000007E-2</c:v>
                      </c:pt>
                      <c:pt idx="2">
                        <c:v>1.9526999999999999E-2</c:v>
                      </c:pt>
                      <c:pt idx="3">
                        <c:v>4.2795000000000003E-3</c:v>
                      </c:pt>
                      <c:pt idx="4">
                        <c:v>9.6991000000000004E-4</c:v>
                      </c:pt>
                      <c:pt idx="5">
                        <c:v>4.4163999999999998E-7</c:v>
                      </c:pt>
                      <c:pt idx="6">
                        <c:v>5.2524000000000001E-8</c:v>
                      </c:pt>
                      <c:pt idx="7">
                        <c:v>7.1420000000000004E-9</c:v>
                      </c:pt>
                      <c:pt idx="8">
                        <c:v>1.1053999999999999E-9</c:v>
                      </c:pt>
                      <c:pt idx="9">
                        <c:v>1.9218E-10</c:v>
                      </c:pt>
                      <c:pt idx="10">
                        <c:v>4.3892000000000001E-13</c:v>
                      </c:pt>
                      <c:pt idx="11">
                        <c:v>2.8443999999999998E-15</c:v>
                      </c:pt>
                      <c:pt idx="12">
                        <c:v>3.6466000000000003E-17</c:v>
                      </c:pt>
                      <c:pt idx="13">
                        <c:v>1.3281E-17</c:v>
                      </c:pt>
                      <c:pt idx="14">
                        <c:v>4.9658000000000002E-18</c:v>
                      </c:pt>
                      <c:pt idx="15">
                        <c:v>1.9018999999999999E-18</c:v>
                      </c:pt>
                      <c:pt idx="16">
                        <c:v>7.4456999999999998E-19</c:v>
                      </c:pt>
                      <c:pt idx="17">
                        <c:v>2.1060999999999999E-20</c:v>
                      </c:pt>
                      <c:pt idx="18">
                        <c:v>7.5076000000000004E-22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1A2-4921-BB82-E259C6E04A0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ALL!$F$9:$X$9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1.0159E-2</c:v>
                      </c:pt>
                      <c:pt idx="1">
                        <c:v>5.3384000000000001E-2</c:v>
                      </c:pt>
                      <c:pt idx="2">
                        <c:v>0.10041</c:v>
                      </c:pt>
                      <c:pt idx="3">
                        <c:v>0.11502999999999999</c:v>
                      </c:pt>
                      <c:pt idx="4">
                        <c:v>0.11377</c:v>
                      </c:pt>
                      <c:pt idx="5">
                        <c:v>5.1475000000000002E-3</c:v>
                      </c:pt>
                      <c:pt idx="6">
                        <c:v>1.5674E-3</c:v>
                      </c:pt>
                      <c:pt idx="7">
                        <c:v>5.1270999999999999E-4</c:v>
                      </c:pt>
                      <c:pt idx="8">
                        <c:v>1.8076999999999999E-4</c:v>
                      </c:pt>
                      <c:pt idx="9">
                        <c:v>6.8257999999999996E-5</c:v>
                      </c:pt>
                      <c:pt idx="10">
                        <c:v>2.3856999999999999E-6</c:v>
                      </c:pt>
                      <c:pt idx="11">
                        <c:v>1.5417999999999999E-7</c:v>
                      </c:pt>
                      <c:pt idx="12">
                        <c:v>1.4864E-8</c:v>
                      </c:pt>
                      <c:pt idx="13">
                        <c:v>8.6748999999999995E-9</c:v>
                      </c:pt>
                      <c:pt idx="14">
                        <c:v>5.1410000000000003E-9</c:v>
                      </c:pt>
                      <c:pt idx="15">
                        <c:v>3.0897000000000002E-9</c:v>
                      </c:pt>
                      <c:pt idx="16">
                        <c:v>1.8809E-9</c:v>
                      </c:pt>
                      <c:pt idx="17">
                        <c:v>2.8795000000000002E-10</c:v>
                      </c:pt>
                      <c:pt idx="18">
                        <c:v>5.0483999999999999E-11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1A2-4921-BB82-E259C6E04A0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ALL!$F$14:$X$14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5.9804999999999999E-8</c:v>
                      </c:pt>
                      <c:pt idx="1">
                        <c:v>5.6418000000000003E-8</c:v>
                      </c:pt>
                      <c:pt idx="2">
                        <c:v>5.0087999999999998E-8</c:v>
                      </c:pt>
                      <c:pt idx="3">
                        <c:v>3.8835999999999998E-8</c:v>
                      </c:pt>
                      <c:pt idx="4">
                        <c:v>2.8816999999999999E-8</c:v>
                      </c:pt>
                      <c:pt idx="5">
                        <c:v>1.2054E-8</c:v>
                      </c:pt>
                      <c:pt idx="6">
                        <c:v>8.5872000000000003E-9</c:v>
                      </c:pt>
                      <c:pt idx="7">
                        <c:v>6.0987E-9</c:v>
                      </c:pt>
                      <c:pt idx="8">
                        <c:v>4.3344999999999999E-9</c:v>
                      </c:pt>
                      <c:pt idx="9">
                        <c:v>3.0867000000000001E-9</c:v>
                      </c:pt>
                      <c:pt idx="10">
                        <c:v>8.1506999999999996E-10</c:v>
                      </c:pt>
                      <c:pt idx="11">
                        <c:v>2.2442999999999999E-10</c:v>
                      </c:pt>
                      <c:pt idx="12">
                        <c:v>6.3919999999999997E-11</c:v>
                      </c:pt>
                      <c:pt idx="13">
                        <c:v>4.6885999999999997E-11</c:v>
                      </c:pt>
                      <c:pt idx="14">
                        <c:v>3.4435999999999997E-11</c:v>
                      </c:pt>
                      <c:pt idx="15">
                        <c:v>2.5322000000000001E-11</c:v>
                      </c:pt>
                      <c:pt idx="16">
                        <c:v>1.8639000000000001E-11</c:v>
                      </c:pt>
                      <c:pt idx="17">
                        <c:v>5.5112000000000002E-12</c:v>
                      </c:pt>
                      <c:pt idx="18">
                        <c:v>1.6387000000000001E-12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1A2-4921-BB82-E259C6E04A0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ALL!$F$15:$X$15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0.25015999999999999</c:v>
                      </c:pt>
                      <c:pt idx="1">
                        <c:v>0.29338999999999998</c:v>
                      </c:pt>
                      <c:pt idx="2">
                        <c:v>0.34053</c:v>
                      </c:pt>
                      <c:pt idx="3">
                        <c:v>0.35641</c:v>
                      </c:pt>
                      <c:pt idx="4">
                        <c:v>0.36429</c:v>
                      </c:pt>
                      <c:pt idx="5">
                        <c:v>0.59484999999999999</c:v>
                      </c:pt>
                      <c:pt idx="6">
                        <c:v>0.59843000000000002</c:v>
                      </c:pt>
                      <c:pt idx="7">
                        <c:v>0.59948999999999997</c:v>
                      </c:pt>
                      <c:pt idx="8">
                        <c:v>0.59982000000000002</c:v>
                      </c:pt>
                      <c:pt idx="9">
                        <c:v>0.59992999999999996</c:v>
                      </c:pt>
                      <c:pt idx="10">
                        <c:v>0.6</c:v>
                      </c:pt>
                      <c:pt idx="11">
                        <c:v>0.6</c:v>
                      </c:pt>
                      <c:pt idx="12">
                        <c:v>0.6</c:v>
                      </c:pt>
                      <c:pt idx="13">
                        <c:v>0.6</c:v>
                      </c:pt>
                      <c:pt idx="14">
                        <c:v>0.6</c:v>
                      </c:pt>
                      <c:pt idx="15">
                        <c:v>0.6</c:v>
                      </c:pt>
                      <c:pt idx="16">
                        <c:v>0.6</c:v>
                      </c:pt>
                      <c:pt idx="17">
                        <c:v>0.6</c:v>
                      </c:pt>
                      <c:pt idx="18">
                        <c:v>0.6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1A2-4921-BB82-E259C6E04A0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ALL!$F$17:$X$17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8.5071000000000001E-9</c:v>
                      </c:pt>
                      <c:pt idx="1">
                        <c:v>1.0655E-6</c:v>
                      </c:pt>
                      <c:pt idx="2">
                        <c:v>2.9221999999999999E-5</c:v>
                      </c:pt>
                      <c:pt idx="3">
                        <c:v>3.4483000000000002E-4</c:v>
                      </c:pt>
                      <c:pt idx="4">
                        <c:v>2.6305E-3</c:v>
                      </c:pt>
                      <c:pt idx="5">
                        <c:v>5.7425999999999998E-2</c:v>
                      </c:pt>
                      <c:pt idx="6">
                        <c:v>5.9215999999999998E-2</c:v>
                      </c:pt>
                      <c:pt idx="7">
                        <c:v>5.9743999999999998E-2</c:v>
                      </c:pt>
                      <c:pt idx="8">
                        <c:v>5.9909999999999998E-2</c:v>
                      </c:pt>
                      <c:pt idx="9">
                        <c:v>5.9965999999999998E-2</c:v>
                      </c:pt>
                      <c:pt idx="10">
                        <c:v>5.9998999999999997E-2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77C-4E72-ABAB-0C979D2D4DC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ALL!$F$19:$X$19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-65.37</c:v>
                      </c:pt>
                      <c:pt idx="1">
                        <c:v>-56.57</c:v>
                      </c:pt>
                      <c:pt idx="2">
                        <c:v>-49.26</c:v>
                      </c:pt>
                      <c:pt idx="3">
                        <c:v>-43.03</c:v>
                      </c:pt>
                      <c:pt idx="4">
                        <c:v>-37.67</c:v>
                      </c:pt>
                      <c:pt idx="5">
                        <c:v>-29.03</c:v>
                      </c:pt>
                      <c:pt idx="6">
                        <c:v>-30.33</c:v>
                      </c:pt>
                      <c:pt idx="7">
                        <c:v>-31.61</c:v>
                      </c:pt>
                      <c:pt idx="8">
                        <c:v>-32.86</c:v>
                      </c:pt>
                      <c:pt idx="9">
                        <c:v>-34.08</c:v>
                      </c:pt>
                      <c:pt idx="10">
                        <c:v>-38.58</c:v>
                      </c:pt>
                      <c:pt idx="11">
                        <c:v>-42.35</c:v>
                      </c:pt>
                      <c:pt idx="12">
                        <c:v>-45.25</c:v>
                      </c:pt>
                      <c:pt idx="13">
                        <c:v>-45.82</c:v>
                      </c:pt>
                      <c:pt idx="14">
                        <c:v>-46.33</c:v>
                      </c:pt>
                      <c:pt idx="15">
                        <c:v>-46.78</c:v>
                      </c:pt>
                      <c:pt idx="16">
                        <c:v>-47.16</c:v>
                      </c:pt>
                      <c:pt idx="17">
                        <c:v>-48.02</c:v>
                      </c:pt>
                      <c:pt idx="18">
                        <c:v>-47.77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77C-4E72-ABAB-0C979D2D4DC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ALL!$F$20:$X$20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-21.4</c:v>
                      </c:pt>
                      <c:pt idx="1">
                        <c:v>-16.690000000000001</c:v>
                      </c:pt>
                      <c:pt idx="2">
                        <c:v>-13.52</c:v>
                      </c:pt>
                      <c:pt idx="3">
                        <c:v>-11.14</c:v>
                      </c:pt>
                      <c:pt idx="4">
                        <c:v>-9.1850000000000005</c:v>
                      </c:pt>
                      <c:pt idx="5">
                        <c:v>-6.85</c:v>
                      </c:pt>
                      <c:pt idx="6">
                        <c:v>-6.907</c:v>
                      </c:pt>
                      <c:pt idx="7">
                        <c:v>-6.9820000000000002</c:v>
                      </c:pt>
                      <c:pt idx="8">
                        <c:v>-7.0620000000000003</c:v>
                      </c:pt>
                      <c:pt idx="9">
                        <c:v>-7.1429999999999998</c:v>
                      </c:pt>
                      <c:pt idx="10">
                        <c:v>-7.4630000000000001</c:v>
                      </c:pt>
                      <c:pt idx="11">
                        <c:v>-7.7649999999999997</c:v>
                      </c:pt>
                      <c:pt idx="12">
                        <c:v>-8.048</c:v>
                      </c:pt>
                      <c:pt idx="13">
                        <c:v>-8.1159999999999997</c:v>
                      </c:pt>
                      <c:pt idx="14">
                        <c:v>-8.1820000000000004</c:v>
                      </c:pt>
                      <c:pt idx="15">
                        <c:v>-8.2479999999999993</c:v>
                      </c:pt>
                      <c:pt idx="16">
                        <c:v>-8.3130000000000006</c:v>
                      </c:pt>
                      <c:pt idx="17">
                        <c:v>-8.5609999999999999</c:v>
                      </c:pt>
                      <c:pt idx="18">
                        <c:v>-8.7949999999999999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77C-4E72-ABAB-0C979D2D4DC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ALL!$F$21:$X$21</c15:sqref>
                        </c15:formulaRef>
                      </c:ext>
                    </c:extLst>
                    <c:numCache>
                      <c:formatCode>0.00E+00</c:formatCode>
                      <c:ptCount val="19"/>
                      <c:pt idx="0">
                        <c:v>-19.510000000000002</c:v>
                      </c:pt>
                      <c:pt idx="1">
                        <c:v>-19.89</c:v>
                      </c:pt>
                      <c:pt idx="2">
                        <c:v>-20.329999999999998</c:v>
                      </c:pt>
                      <c:pt idx="3">
                        <c:v>-20.81</c:v>
                      </c:pt>
                      <c:pt idx="4">
                        <c:v>-21.32</c:v>
                      </c:pt>
                      <c:pt idx="5">
                        <c:v>-23.31</c:v>
                      </c:pt>
                      <c:pt idx="6">
                        <c:v>-23.8</c:v>
                      </c:pt>
                      <c:pt idx="7">
                        <c:v>-24.29</c:v>
                      </c:pt>
                      <c:pt idx="8">
                        <c:v>-24.77</c:v>
                      </c:pt>
                      <c:pt idx="9">
                        <c:v>-25.24</c:v>
                      </c:pt>
                      <c:pt idx="10">
                        <c:v>-27.06</c:v>
                      </c:pt>
                      <c:pt idx="11">
                        <c:v>-28.78</c:v>
                      </c:pt>
                      <c:pt idx="12">
                        <c:v>-30.41</c:v>
                      </c:pt>
                      <c:pt idx="13">
                        <c:v>-30.81</c:v>
                      </c:pt>
                      <c:pt idx="14">
                        <c:v>-31.2</c:v>
                      </c:pt>
                      <c:pt idx="15">
                        <c:v>-31.59</c:v>
                      </c:pt>
                      <c:pt idx="16">
                        <c:v>-31.98</c:v>
                      </c:pt>
                      <c:pt idx="17">
                        <c:v>-33.5</c:v>
                      </c:pt>
                      <c:pt idx="18">
                        <c:v>-35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7C-4E72-ABAB-0C979D2D4DC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ALL!$F$22:$X$22</c15:sqref>
                        </c15:formulaRef>
                      </c:ext>
                    </c:extLst>
                    <c:numCache>
                      <c:formatCode>0.00</c:formatCode>
                      <c:ptCount val="1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77C-4E72-ABAB-0C979D2D4DC6}"/>
                  </c:ext>
                </c:extLst>
              </c15:ser>
            </c15:filteredScatterSeries>
          </c:ext>
        </c:extLst>
      </c:scatterChart>
      <c:valAx>
        <c:axId val="391630784"/>
        <c:scaling>
          <c:orientation val="minMax"/>
          <c:max val="6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592"/>
        <c:crosses val="autoZero"/>
        <c:crossBetween val="midCat"/>
      </c:valAx>
      <c:valAx>
        <c:axId val="39162059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Концентрация, моль/(моль*атом)</a:t>
                </a:r>
              </a:p>
            </c:rich>
          </c:tx>
          <c:layout>
            <c:manualLayout>
              <c:xMode val="edge"/>
              <c:yMode val="edge"/>
              <c:x val="6.4921680368266281E-3"/>
              <c:y val="0.211309836270466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E+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7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FLUID!$F$37:$R$37</c:f>
            </c:numRef>
          </c:xVal>
          <c:yVal>
            <c:numRef>
              <c:f>FLUID!$F$38:$R$38</c:f>
            </c:numRef>
          </c:yVal>
          <c:smooth val="0"/>
          <c:extLst>
            <c:ext xmlns:c16="http://schemas.microsoft.com/office/drawing/2014/chart" uri="{C3380CC4-5D6E-409C-BE32-E72D297353CC}">
              <c16:uniqueId val="{00000000-8584-4F3D-BB67-7329A9535A9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FLUID!$F$37:$R$37</c:f>
            </c:numRef>
          </c:xVal>
          <c:yVal>
            <c:numRef>
              <c:f>FLUID!#REF!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A6-4624-9A08-961B994CB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FLUID!$F$4:$R$4</c:f>
              <c:numCache>
                <c:formatCode>0.00E+00</c:formatCode>
                <c:ptCount val="13"/>
                <c:pt idx="0">
                  <c:v>2.5500000000000001E-22</c:v>
                </c:pt>
                <c:pt idx="1">
                  <c:v>1.6538E-13</c:v>
                </c:pt>
                <c:pt idx="2">
                  <c:v>4.5345999999999996E-9</c:v>
                </c:pt>
                <c:pt idx="3">
                  <c:v>2.1671E-6</c:v>
                </c:pt>
                <c:pt idx="4">
                  <c:v>1.3137000000000001E-4</c:v>
                </c:pt>
                <c:pt idx="5">
                  <c:v>1.9562E-3</c:v>
                </c:pt>
                <c:pt idx="6">
                  <c:v>2.9272999999999999E-3</c:v>
                </c:pt>
                <c:pt idx="7">
                  <c:v>3.8682E-3</c:v>
                </c:pt>
                <c:pt idx="8">
                  <c:v>4.5303000000000001E-3</c:v>
                </c:pt>
                <c:pt idx="9">
                  <c:v>4.8446000000000001E-3</c:v>
                </c:pt>
                <c:pt idx="10">
                  <c:v>4.0956999999999999E-3</c:v>
                </c:pt>
                <c:pt idx="11">
                  <c:v>2.9797000000000001E-3</c:v>
                </c:pt>
                <c:pt idx="12">
                  <c:v>2.9797000000000001E-3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3E-4D91-BE7D-77FCF35AE101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FLUID!$F$5:$R$5</c:f>
              <c:numCache>
                <c:formatCode>0.00E+00</c:formatCode>
                <c:ptCount val="13"/>
                <c:pt idx="0">
                  <c:v>1.8647000000000001E-20</c:v>
                </c:pt>
                <c:pt idx="1">
                  <c:v>1.4376000000000001E-12</c:v>
                </c:pt>
                <c:pt idx="2">
                  <c:v>1.1363000000000001E-8</c:v>
                </c:pt>
                <c:pt idx="3">
                  <c:v>2.4256999999999999E-6</c:v>
                </c:pt>
                <c:pt idx="4">
                  <c:v>8.2272000000000001E-5</c:v>
                </c:pt>
                <c:pt idx="5">
                  <c:v>6.8984999999999999E-4</c:v>
                </c:pt>
                <c:pt idx="6">
                  <c:v>8.5939999999999996E-4</c:v>
                </c:pt>
                <c:pt idx="7">
                  <c:v>9.2778999999999995E-4</c:v>
                </c:pt>
                <c:pt idx="8">
                  <c:v>8.7343999999999996E-4</c:v>
                </c:pt>
                <c:pt idx="9">
                  <c:v>7.4456999999999995E-4</c:v>
                </c:pt>
                <c:pt idx="10">
                  <c:v>2.6080999999999999E-4</c:v>
                </c:pt>
                <c:pt idx="11">
                  <c:v>8.9968000000000003E-5</c:v>
                </c:pt>
                <c:pt idx="12">
                  <c:v>8.9968000000000003E-5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3E-4D91-BE7D-77FCF35AE101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FLUID!$F$6:$R$6</c:f>
              <c:numCache>
                <c:formatCode>0.00E+00</c:formatCode>
                <c:ptCount val="13"/>
                <c:pt idx="0">
                  <c:v>4.1969000000000002E-17</c:v>
                </c:pt>
                <c:pt idx="1">
                  <c:v>5.8152999999999996E-10</c:v>
                </c:pt>
                <c:pt idx="2">
                  <c:v>1.6755000000000001E-6</c:v>
                </c:pt>
                <c:pt idx="3">
                  <c:v>1.8579999999999999E-4</c:v>
                </c:pt>
                <c:pt idx="4">
                  <c:v>3.9169000000000001E-3</c:v>
                </c:pt>
                <c:pt idx="5">
                  <c:v>1.9984999999999999E-2</c:v>
                </c:pt>
                <c:pt idx="6">
                  <c:v>2.1066999999999999E-2</c:v>
                </c:pt>
                <c:pt idx="7">
                  <c:v>1.8866999999999998E-2</c:v>
                </c:pt>
                <c:pt idx="8">
                  <c:v>1.4484E-2</c:v>
                </c:pt>
                <c:pt idx="9">
                  <c:v>9.9763000000000004E-3</c:v>
                </c:pt>
                <c:pt idx="10">
                  <c:v>1.5176E-3</c:v>
                </c:pt>
                <c:pt idx="11">
                  <c:v>2.5787E-4</c:v>
                </c:pt>
                <c:pt idx="12">
                  <c:v>2.5787E-4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3E-4D91-BE7D-77FCF35AE101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FLUID!$F$7:$R$7</c:f>
              <c:numCache>
                <c:formatCode>0.00E+00</c:formatCode>
                <c:ptCount val="13"/>
                <c:pt idx="0">
                  <c:v>8.8317999999999997E-15</c:v>
                </c:pt>
                <c:pt idx="1">
                  <c:v>6.6137E-9</c:v>
                </c:pt>
                <c:pt idx="2">
                  <c:v>3.6586E-6</c:v>
                </c:pt>
                <c:pt idx="3">
                  <c:v>1.4147000000000001E-4</c:v>
                </c:pt>
                <c:pt idx="4">
                  <c:v>1.4123E-3</c:v>
                </c:pt>
                <c:pt idx="5">
                  <c:v>3.5994999999999998E-3</c:v>
                </c:pt>
                <c:pt idx="6">
                  <c:v>3.0814000000000002E-3</c:v>
                </c:pt>
                <c:pt idx="7">
                  <c:v>2.2028E-3</c:v>
                </c:pt>
                <c:pt idx="8">
                  <c:v>1.3301000000000001E-3</c:v>
                </c:pt>
                <c:pt idx="9">
                  <c:v>7.1551999999999998E-4</c:v>
                </c:pt>
                <c:pt idx="10">
                  <c:v>4.2027999999999998E-5</c:v>
                </c:pt>
                <c:pt idx="11">
                  <c:v>3.2001000000000001E-6</c:v>
                </c:pt>
                <c:pt idx="12">
                  <c:v>3.2001000000000001E-6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3E-4D91-BE7D-77FCF35AE101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FLUID!$F$8:$R$8</c:f>
              <c:numCache>
                <c:formatCode>0.00E+00</c:formatCode>
                <c:ptCount val="13"/>
                <c:pt idx="0">
                  <c:v>1.2175E-15</c:v>
                </c:pt>
                <c:pt idx="1">
                  <c:v>1.856E-9</c:v>
                </c:pt>
                <c:pt idx="2">
                  <c:v>1.3314000000000001E-6</c:v>
                </c:pt>
                <c:pt idx="3">
                  <c:v>5.8335000000000003E-5</c:v>
                </c:pt>
                <c:pt idx="4">
                  <c:v>6.1364000000000004E-4</c:v>
                </c:pt>
                <c:pt idx="5">
                  <c:v>1.3929000000000001E-3</c:v>
                </c:pt>
                <c:pt idx="6">
                  <c:v>1.0922E-3</c:v>
                </c:pt>
                <c:pt idx="7">
                  <c:v>6.9746999999999995E-4</c:v>
                </c:pt>
                <c:pt idx="8">
                  <c:v>3.681E-4</c:v>
                </c:pt>
                <c:pt idx="9">
                  <c:v>1.7077999999999999E-4</c:v>
                </c:pt>
                <c:pt idx="10">
                  <c:v>5.4566999999999998E-6</c:v>
                </c:pt>
                <c:pt idx="11">
                  <c:v>2.4527000000000003E-7</c:v>
                </c:pt>
                <c:pt idx="12">
                  <c:v>2.4527000000000003E-7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3E-4D91-BE7D-77FCF35AE101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FLUID!$F$9:$R$9</c:f>
              <c:numCache>
                <c:formatCode>0.00E+00</c:formatCode>
                <c:ptCount val="13"/>
                <c:pt idx="0">
                  <c:v>3.3501999999999999E-17</c:v>
                </c:pt>
                <c:pt idx="1">
                  <c:v>8.8483999999999997E-11</c:v>
                </c:pt>
                <c:pt idx="2">
                  <c:v>7.5701999999999999E-8</c:v>
                </c:pt>
                <c:pt idx="3">
                  <c:v>3.5708000000000002E-6</c:v>
                </c:pt>
                <c:pt idx="4">
                  <c:v>3.8232999999999998E-5</c:v>
                </c:pt>
                <c:pt idx="5">
                  <c:v>7.5388000000000004E-5</c:v>
                </c:pt>
                <c:pt idx="6">
                  <c:v>5.3866000000000002E-5</c:v>
                </c:pt>
                <c:pt idx="7">
                  <c:v>3.0582E-5</c:v>
                </c:pt>
                <c:pt idx="8">
                  <c:v>1.4044E-5</c:v>
                </c:pt>
                <c:pt idx="9">
                  <c:v>5.5952000000000002E-6</c:v>
                </c:pt>
                <c:pt idx="10">
                  <c:v>9.5831000000000006E-8</c:v>
                </c:pt>
                <c:pt idx="11">
                  <c:v>2.5128999999999999E-9</c:v>
                </c:pt>
                <c:pt idx="12">
                  <c:v>2.5128999999999999E-9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3E-4D91-BE7D-77FCF35AE101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FLUID!$F$10:$R$10</c:f>
              <c:numCache>
                <c:formatCode>0.00E+00</c:formatCode>
                <c:ptCount val="13"/>
                <c:pt idx="0">
                  <c:v>9.3072999999999998E-18</c:v>
                </c:pt>
                <c:pt idx="1">
                  <c:v>1.7489E-10</c:v>
                </c:pt>
                <c:pt idx="2">
                  <c:v>9.0166000000000004E-7</c:v>
                </c:pt>
                <c:pt idx="3">
                  <c:v>1.6593000000000001E-4</c:v>
                </c:pt>
                <c:pt idx="4">
                  <c:v>5.5744999999999996E-3</c:v>
                </c:pt>
                <c:pt idx="5">
                  <c:v>6.4226000000000005E-2</c:v>
                </c:pt>
                <c:pt idx="6">
                  <c:v>9.7309000000000007E-2</c:v>
                </c:pt>
                <c:pt idx="7">
                  <c:v>0.13425000000000001</c:v>
                </c:pt>
                <c:pt idx="8">
                  <c:v>0.16864000000000001</c:v>
                </c:pt>
                <c:pt idx="9">
                  <c:v>0.19694</c:v>
                </c:pt>
                <c:pt idx="10">
                  <c:v>0.25024999999999997</c:v>
                </c:pt>
                <c:pt idx="11">
                  <c:v>0.26444000000000001</c:v>
                </c:pt>
                <c:pt idx="12">
                  <c:v>0.26444000000000001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3E-4D91-BE7D-77FCF35AE101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FLUID!$F$11:$R$11</c:f>
              <c:numCache>
                <c:formatCode>0.00E+00</c:formatCode>
                <c:ptCount val="13"/>
                <c:pt idx="0">
                  <c:v>8.0042000000000004E-36</c:v>
                </c:pt>
                <c:pt idx="1">
                  <c:v>3.2423999999999998E-23</c:v>
                </c:pt>
                <c:pt idx="2">
                  <c:v>1.2645999999999999E-16</c:v>
                </c:pt>
                <c:pt idx="3">
                  <c:v>1.4952999999999999E-12</c:v>
                </c:pt>
                <c:pt idx="4">
                  <c:v>9.0133000000000003E-10</c:v>
                </c:pt>
                <c:pt idx="5">
                  <c:v>1.0002E-7</c:v>
                </c:pt>
                <c:pt idx="6">
                  <c:v>2.5967E-7</c:v>
                </c:pt>
                <c:pt idx="7">
                  <c:v>6.1203999999999997E-7</c:v>
                </c:pt>
                <c:pt idx="8">
                  <c:v>1.3088000000000001E-6</c:v>
                </c:pt>
                <c:pt idx="9">
                  <c:v>2.5770999999999999E-6</c:v>
                </c:pt>
                <c:pt idx="10">
                  <c:v>2.2167E-5</c:v>
                </c:pt>
                <c:pt idx="11">
                  <c:v>1.1458E-4</c:v>
                </c:pt>
                <c:pt idx="12">
                  <c:v>1.1458E-4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3E-4D91-BE7D-77FCF35AE101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Ga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FLUID!$F$12:$R$12</c:f>
              <c:numCache>
                <c:formatCode>0.00E+00</c:formatCode>
                <c:ptCount val="13"/>
                <c:pt idx="0">
                  <c:v>0</c:v>
                </c:pt>
                <c:pt idx="1">
                  <c:v>6.2496999999999995E-29</c:v>
                </c:pt>
                <c:pt idx="2">
                  <c:v>2.5017E-21</c:v>
                </c:pt>
                <c:pt idx="3">
                  <c:v>9.9454000000000001E-17</c:v>
                </c:pt>
                <c:pt idx="4">
                  <c:v>9.5514999999999997E-14</c:v>
                </c:pt>
                <c:pt idx="5">
                  <c:v>1.4959999999999999E-11</c:v>
                </c:pt>
                <c:pt idx="6">
                  <c:v>4.4647000000000002E-11</c:v>
                </c:pt>
                <c:pt idx="7">
                  <c:v>1.2533E-10</c:v>
                </c:pt>
                <c:pt idx="8">
                  <c:v>3.3116000000000002E-10</c:v>
                </c:pt>
                <c:pt idx="9">
                  <c:v>8.2653000000000004E-10</c:v>
                </c:pt>
                <c:pt idx="10">
                  <c:v>1.9531999999999999E-8</c:v>
                </c:pt>
                <c:pt idx="11">
                  <c:v>2.4812999999999999E-7</c:v>
                </c:pt>
                <c:pt idx="12">
                  <c:v>2.4812999999999999E-7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093E-4D91-BE7D-77FCF35AE101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FLUID!$F$13:$R$13</c:f>
              <c:numCache>
                <c:formatCode>0.00E+00</c:formatCode>
                <c:ptCount val="13"/>
                <c:pt idx="0">
                  <c:v>5.1099999999999999E-10</c:v>
                </c:pt>
                <c:pt idx="1">
                  <c:v>9.5418000000000007E-6</c:v>
                </c:pt>
                <c:pt idx="2">
                  <c:v>1.1914E-3</c:v>
                </c:pt>
                <c:pt idx="3">
                  <c:v>1.23E-2</c:v>
                </c:pt>
                <c:pt idx="4">
                  <c:v>2.6346000000000001E-2</c:v>
                </c:pt>
                <c:pt idx="5">
                  <c:v>3.5166999999999997E-2</c:v>
                </c:pt>
                <c:pt idx="6">
                  <c:v>3.6438999999999999E-2</c:v>
                </c:pt>
                <c:pt idx="7">
                  <c:v>3.7315000000000001E-2</c:v>
                </c:pt>
                <c:pt idx="8">
                  <c:v>3.7860999999999999E-2</c:v>
                </c:pt>
                <c:pt idx="9">
                  <c:v>3.8210000000000001E-2</c:v>
                </c:pt>
                <c:pt idx="10">
                  <c:v>3.8764E-2</c:v>
                </c:pt>
                <c:pt idx="11">
                  <c:v>3.8907999999999998E-2</c:v>
                </c:pt>
                <c:pt idx="12">
                  <c:v>3.8907999999999998E-2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3E-4D91-BE7D-77FCF35AE101}"/>
            </c:ext>
          </c:extLst>
        </c:ser>
        <c:ser>
          <c:idx val="10"/>
          <c:order val="10"/>
          <c:tx>
            <c:strRef>
              <c:f>FLUID!$E$14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FLUID!$F$14:$R$14</c:f>
              <c:numCache>
                <c:formatCode>0.00E+00</c:formatCode>
                <c:ptCount val="1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093E-4D91-BE7D-77FCF35AE101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300</c:v>
                </c:pt>
                <c:pt idx="1">
                  <c:v>300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-21.39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884-467B-B5F1-58A1B26AE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1"/>
                <c:order val="11"/>
                <c:tx>
                  <c:strRef>
                    <c:extLst>
                      <c:ext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FLUID!$F$15:$R$15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0.08</c:v>
                      </c:pt>
                      <c:pt idx="1">
                        <c:v>7.9980999999999997E-2</c:v>
                      </c:pt>
                      <c:pt idx="2">
                        <c:v>7.7617000000000005E-2</c:v>
                      </c:pt>
                      <c:pt idx="3">
                        <c:v>5.5400999999999999E-2</c:v>
                      </c:pt>
                      <c:pt idx="4">
                        <c:v>2.7307000000000001E-2</c:v>
                      </c:pt>
                      <c:pt idx="5">
                        <c:v>9.6652000000000005E-3</c:v>
                      </c:pt>
                      <c:pt idx="6">
                        <c:v>7.1215000000000002E-3</c:v>
                      </c:pt>
                      <c:pt idx="7">
                        <c:v>5.3695000000000001E-3</c:v>
                      </c:pt>
                      <c:pt idx="8">
                        <c:v>4.2785999999999996E-3</c:v>
                      </c:pt>
                      <c:pt idx="9">
                        <c:v>3.5799E-3</c:v>
                      </c:pt>
                      <c:pt idx="10">
                        <c:v>2.4729000000000001E-3</c:v>
                      </c:pt>
                      <c:pt idx="11">
                        <c:v>2.1836999999999998E-3</c:v>
                      </c:pt>
                      <c:pt idx="12">
                        <c:v>2.1836999999999998E-3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093E-4D91-BE7D-77FCF35AE10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FLUID!$F$16:$R$16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93E-4D91-BE7D-77FCF35AE10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6602767162"/>
          <c:y val="8.2117375328083983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FLUID!$F$4:$R$4</c:f>
              <c:numCache>
                <c:formatCode>0.00E+00</c:formatCode>
                <c:ptCount val="13"/>
                <c:pt idx="0">
                  <c:v>2.5500000000000001E-22</c:v>
                </c:pt>
                <c:pt idx="1">
                  <c:v>1.6538E-13</c:v>
                </c:pt>
                <c:pt idx="2">
                  <c:v>4.5345999999999996E-9</c:v>
                </c:pt>
                <c:pt idx="3">
                  <c:v>2.1671E-6</c:v>
                </c:pt>
                <c:pt idx="4">
                  <c:v>1.3137000000000001E-4</c:v>
                </c:pt>
                <c:pt idx="5">
                  <c:v>1.9562E-3</c:v>
                </c:pt>
                <c:pt idx="6">
                  <c:v>2.9272999999999999E-3</c:v>
                </c:pt>
                <c:pt idx="7">
                  <c:v>3.8682E-3</c:v>
                </c:pt>
                <c:pt idx="8">
                  <c:v>4.5303000000000001E-3</c:v>
                </c:pt>
                <c:pt idx="9">
                  <c:v>4.8446000000000001E-3</c:v>
                </c:pt>
                <c:pt idx="10">
                  <c:v>4.0956999999999999E-3</c:v>
                </c:pt>
                <c:pt idx="11">
                  <c:v>2.9797000000000001E-3</c:v>
                </c:pt>
                <c:pt idx="12">
                  <c:v>2.9797000000000001E-3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C4-4BA2-917D-592D5A2F5588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FLUID!$F$5:$R$5</c:f>
              <c:numCache>
                <c:formatCode>0.00E+00</c:formatCode>
                <c:ptCount val="13"/>
                <c:pt idx="0">
                  <c:v>1.8647000000000001E-20</c:v>
                </c:pt>
                <c:pt idx="1">
                  <c:v>1.4376000000000001E-12</c:v>
                </c:pt>
                <c:pt idx="2">
                  <c:v>1.1363000000000001E-8</c:v>
                </c:pt>
                <c:pt idx="3">
                  <c:v>2.4256999999999999E-6</c:v>
                </c:pt>
                <c:pt idx="4">
                  <c:v>8.2272000000000001E-5</c:v>
                </c:pt>
                <c:pt idx="5">
                  <c:v>6.8984999999999999E-4</c:v>
                </c:pt>
                <c:pt idx="6">
                  <c:v>8.5939999999999996E-4</c:v>
                </c:pt>
                <c:pt idx="7">
                  <c:v>9.2778999999999995E-4</c:v>
                </c:pt>
                <c:pt idx="8">
                  <c:v>8.7343999999999996E-4</c:v>
                </c:pt>
                <c:pt idx="9">
                  <c:v>7.4456999999999995E-4</c:v>
                </c:pt>
                <c:pt idx="10">
                  <c:v>2.6080999999999999E-4</c:v>
                </c:pt>
                <c:pt idx="11">
                  <c:v>8.9968000000000003E-5</c:v>
                </c:pt>
                <c:pt idx="12">
                  <c:v>8.9968000000000003E-5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C4-4BA2-917D-592D5A2F5588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FLUID!$F$6:$R$6</c:f>
              <c:numCache>
                <c:formatCode>0.00E+00</c:formatCode>
                <c:ptCount val="13"/>
                <c:pt idx="0">
                  <c:v>4.1969000000000002E-17</c:v>
                </c:pt>
                <c:pt idx="1">
                  <c:v>5.8152999999999996E-10</c:v>
                </c:pt>
                <c:pt idx="2">
                  <c:v>1.6755000000000001E-6</c:v>
                </c:pt>
                <c:pt idx="3">
                  <c:v>1.8579999999999999E-4</c:v>
                </c:pt>
                <c:pt idx="4">
                  <c:v>3.9169000000000001E-3</c:v>
                </c:pt>
                <c:pt idx="5">
                  <c:v>1.9984999999999999E-2</c:v>
                </c:pt>
                <c:pt idx="6">
                  <c:v>2.1066999999999999E-2</c:v>
                </c:pt>
                <c:pt idx="7">
                  <c:v>1.8866999999999998E-2</c:v>
                </c:pt>
                <c:pt idx="8">
                  <c:v>1.4484E-2</c:v>
                </c:pt>
                <c:pt idx="9">
                  <c:v>9.9763000000000004E-3</c:v>
                </c:pt>
                <c:pt idx="10">
                  <c:v>1.5176E-3</c:v>
                </c:pt>
                <c:pt idx="11">
                  <c:v>2.5787E-4</c:v>
                </c:pt>
                <c:pt idx="12">
                  <c:v>2.5787E-4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C4-4BA2-917D-592D5A2F5588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FLUID!$F$7:$R$7</c:f>
              <c:numCache>
                <c:formatCode>0.00E+00</c:formatCode>
                <c:ptCount val="13"/>
                <c:pt idx="0">
                  <c:v>8.8317999999999997E-15</c:v>
                </c:pt>
                <c:pt idx="1">
                  <c:v>6.6137E-9</c:v>
                </c:pt>
                <c:pt idx="2">
                  <c:v>3.6586E-6</c:v>
                </c:pt>
                <c:pt idx="3">
                  <c:v>1.4147000000000001E-4</c:v>
                </c:pt>
                <c:pt idx="4">
                  <c:v>1.4123E-3</c:v>
                </c:pt>
                <c:pt idx="5">
                  <c:v>3.5994999999999998E-3</c:v>
                </c:pt>
                <c:pt idx="6">
                  <c:v>3.0814000000000002E-3</c:v>
                </c:pt>
                <c:pt idx="7">
                  <c:v>2.2028E-3</c:v>
                </c:pt>
                <c:pt idx="8">
                  <c:v>1.3301000000000001E-3</c:v>
                </c:pt>
                <c:pt idx="9">
                  <c:v>7.1551999999999998E-4</c:v>
                </c:pt>
                <c:pt idx="10">
                  <c:v>4.2027999999999998E-5</c:v>
                </c:pt>
                <c:pt idx="11">
                  <c:v>3.2001000000000001E-6</c:v>
                </c:pt>
                <c:pt idx="12">
                  <c:v>3.2001000000000001E-6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C4-4BA2-917D-592D5A2F5588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FLUID!$F$8:$R$8</c:f>
              <c:numCache>
                <c:formatCode>0.00E+00</c:formatCode>
                <c:ptCount val="13"/>
                <c:pt idx="0">
                  <c:v>1.2175E-15</c:v>
                </c:pt>
                <c:pt idx="1">
                  <c:v>1.856E-9</c:v>
                </c:pt>
                <c:pt idx="2">
                  <c:v>1.3314000000000001E-6</c:v>
                </c:pt>
                <c:pt idx="3">
                  <c:v>5.8335000000000003E-5</c:v>
                </c:pt>
                <c:pt idx="4">
                  <c:v>6.1364000000000004E-4</c:v>
                </c:pt>
                <c:pt idx="5">
                  <c:v>1.3929000000000001E-3</c:v>
                </c:pt>
                <c:pt idx="6">
                  <c:v>1.0922E-3</c:v>
                </c:pt>
                <c:pt idx="7">
                  <c:v>6.9746999999999995E-4</c:v>
                </c:pt>
                <c:pt idx="8">
                  <c:v>3.681E-4</c:v>
                </c:pt>
                <c:pt idx="9">
                  <c:v>1.7077999999999999E-4</c:v>
                </c:pt>
                <c:pt idx="10">
                  <c:v>5.4566999999999998E-6</c:v>
                </c:pt>
                <c:pt idx="11">
                  <c:v>2.4527000000000003E-7</c:v>
                </c:pt>
                <c:pt idx="12">
                  <c:v>2.4527000000000003E-7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BC4-4BA2-917D-592D5A2F5588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FLUID!$F$10:$R$10</c:f>
              <c:numCache>
                <c:formatCode>0.00E+00</c:formatCode>
                <c:ptCount val="13"/>
                <c:pt idx="0">
                  <c:v>9.3072999999999998E-18</c:v>
                </c:pt>
                <c:pt idx="1">
                  <c:v>1.7489E-10</c:v>
                </c:pt>
                <c:pt idx="2">
                  <c:v>9.0166000000000004E-7</c:v>
                </c:pt>
                <c:pt idx="3">
                  <c:v>1.6593000000000001E-4</c:v>
                </c:pt>
                <c:pt idx="4">
                  <c:v>5.5744999999999996E-3</c:v>
                </c:pt>
                <c:pt idx="5">
                  <c:v>6.4226000000000005E-2</c:v>
                </c:pt>
                <c:pt idx="6">
                  <c:v>9.7309000000000007E-2</c:v>
                </c:pt>
                <c:pt idx="7">
                  <c:v>0.13425000000000001</c:v>
                </c:pt>
                <c:pt idx="8">
                  <c:v>0.16864000000000001</c:v>
                </c:pt>
                <c:pt idx="9">
                  <c:v>0.19694</c:v>
                </c:pt>
                <c:pt idx="10">
                  <c:v>0.25024999999999997</c:v>
                </c:pt>
                <c:pt idx="11">
                  <c:v>0.26444000000000001</c:v>
                </c:pt>
                <c:pt idx="12">
                  <c:v>0.26444000000000001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BC4-4BA2-917D-592D5A2F5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FLUID!$F$9:$R$9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3.3501999999999999E-17</c:v>
                      </c:pt>
                      <c:pt idx="1">
                        <c:v>8.8483999999999997E-11</c:v>
                      </c:pt>
                      <c:pt idx="2">
                        <c:v>7.5701999999999999E-8</c:v>
                      </c:pt>
                      <c:pt idx="3">
                        <c:v>3.5708000000000002E-6</c:v>
                      </c:pt>
                      <c:pt idx="4">
                        <c:v>3.8232999999999998E-5</c:v>
                      </c:pt>
                      <c:pt idx="5">
                        <c:v>7.5388000000000004E-5</c:v>
                      </c:pt>
                      <c:pt idx="6">
                        <c:v>5.3866000000000002E-5</c:v>
                      </c:pt>
                      <c:pt idx="7">
                        <c:v>3.0582E-5</c:v>
                      </c:pt>
                      <c:pt idx="8">
                        <c:v>1.4044E-5</c:v>
                      </c:pt>
                      <c:pt idx="9">
                        <c:v>5.5952000000000002E-6</c:v>
                      </c:pt>
                      <c:pt idx="10">
                        <c:v>9.5831000000000006E-8</c:v>
                      </c:pt>
                      <c:pt idx="11">
                        <c:v>2.5128999999999999E-9</c:v>
                      </c:pt>
                      <c:pt idx="12">
                        <c:v>2.5128999999999999E-9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6BC4-4BA2-917D-592D5A2F5588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FLUID!$F$11:$R$11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8.0042000000000004E-36</c:v>
                      </c:pt>
                      <c:pt idx="1">
                        <c:v>3.2423999999999998E-23</c:v>
                      </c:pt>
                      <c:pt idx="2">
                        <c:v>1.2645999999999999E-16</c:v>
                      </c:pt>
                      <c:pt idx="3">
                        <c:v>1.4952999999999999E-12</c:v>
                      </c:pt>
                      <c:pt idx="4">
                        <c:v>9.0133000000000003E-10</c:v>
                      </c:pt>
                      <c:pt idx="5">
                        <c:v>1.0002E-7</c:v>
                      </c:pt>
                      <c:pt idx="6">
                        <c:v>2.5967E-7</c:v>
                      </c:pt>
                      <c:pt idx="7">
                        <c:v>6.1203999999999997E-7</c:v>
                      </c:pt>
                      <c:pt idx="8">
                        <c:v>1.3088000000000001E-6</c:v>
                      </c:pt>
                      <c:pt idx="9">
                        <c:v>2.5770999999999999E-6</c:v>
                      </c:pt>
                      <c:pt idx="10">
                        <c:v>2.2167E-5</c:v>
                      </c:pt>
                      <c:pt idx="11">
                        <c:v>1.1458E-4</c:v>
                      </c:pt>
                      <c:pt idx="12">
                        <c:v>1.1458E-4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BC4-4BA2-917D-592D5A2F558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FLUID!$F$12:$R$12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0</c:v>
                      </c:pt>
                      <c:pt idx="1">
                        <c:v>6.2496999999999995E-29</c:v>
                      </c:pt>
                      <c:pt idx="2">
                        <c:v>2.5017E-21</c:v>
                      </c:pt>
                      <c:pt idx="3">
                        <c:v>9.9454000000000001E-17</c:v>
                      </c:pt>
                      <c:pt idx="4">
                        <c:v>9.5514999999999997E-14</c:v>
                      </c:pt>
                      <c:pt idx="5">
                        <c:v>1.4959999999999999E-11</c:v>
                      </c:pt>
                      <c:pt idx="6">
                        <c:v>4.4647000000000002E-11</c:v>
                      </c:pt>
                      <c:pt idx="7">
                        <c:v>1.2533E-10</c:v>
                      </c:pt>
                      <c:pt idx="8">
                        <c:v>3.3116000000000002E-10</c:v>
                      </c:pt>
                      <c:pt idx="9">
                        <c:v>8.2653000000000004E-10</c:v>
                      </c:pt>
                      <c:pt idx="10">
                        <c:v>1.9531999999999999E-8</c:v>
                      </c:pt>
                      <c:pt idx="11">
                        <c:v>2.4812999999999999E-7</c:v>
                      </c:pt>
                      <c:pt idx="12">
                        <c:v>2.4812999999999999E-7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BC4-4BA2-917D-592D5A2F5588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FLUID!$F$13:$R$13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5.1099999999999999E-10</c:v>
                      </c:pt>
                      <c:pt idx="1">
                        <c:v>9.5418000000000007E-6</c:v>
                      </c:pt>
                      <c:pt idx="2">
                        <c:v>1.1914E-3</c:v>
                      </c:pt>
                      <c:pt idx="3">
                        <c:v>1.23E-2</c:v>
                      </c:pt>
                      <c:pt idx="4">
                        <c:v>2.6346000000000001E-2</c:v>
                      </c:pt>
                      <c:pt idx="5">
                        <c:v>3.5166999999999997E-2</c:v>
                      </c:pt>
                      <c:pt idx="6">
                        <c:v>3.6438999999999999E-2</c:v>
                      </c:pt>
                      <c:pt idx="7">
                        <c:v>3.7315000000000001E-2</c:v>
                      </c:pt>
                      <c:pt idx="8">
                        <c:v>3.7860999999999999E-2</c:v>
                      </c:pt>
                      <c:pt idx="9">
                        <c:v>3.8210000000000001E-2</c:v>
                      </c:pt>
                      <c:pt idx="10">
                        <c:v>3.8764E-2</c:v>
                      </c:pt>
                      <c:pt idx="11">
                        <c:v>3.8907999999999998E-2</c:v>
                      </c:pt>
                      <c:pt idx="12">
                        <c:v>3.8907999999999998E-2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BC4-4BA2-917D-592D5A2F558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FLUID!$F$14:$R$14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BC4-4BA2-917D-592D5A2F5588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FLUID!$F$15:$R$15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0.08</c:v>
                      </c:pt>
                      <c:pt idx="1">
                        <c:v>7.9980999999999997E-2</c:v>
                      </c:pt>
                      <c:pt idx="2">
                        <c:v>7.7617000000000005E-2</c:v>
                      </c:pt>
                      <c:pt idx="3">
                        <c:v>5.5400999999999999E-2</c:v>
                      </c:pt>
                      <c:pt idx="4">
                        <c:v>2.7307000000000001E-2</c:v>
                      </c:pt>
                      <c:pt idx="5">
                        <c:v>9.6652000000000005E-3</c:v>
                      </c:pt>
                      <c:pt idx="6">
                        <c:v>7.1215000000000002E-3</c:v>
                      </c:pt>
                      <c:pt idx="7">
                        <c:v>5.3695000000000001E-3</c:v>
                      </c:pt>
                      <c:pt idx="8">
                        <c:v>4.2785999999999996E-3</c:v>
                      </c:pt>
                      <c:pt idx="9">
                        <c:v>3.5799E-3</c:v>
                      </c:pt>
                      <c:pt idx="10">
                        <c:v>2.4729000000000001E-3</c:v>
                      </c:pt>
                      <c:pt idx="11">
                        <c:v>2.1836999999999998E-3</c:v>
                      </c:pt>
                      <c:pt idx="12">
                        <c:v>2.1836999999999998E-3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BC4-4BA2-917D-592D5A2F5588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FLUID!$F$16:$R$16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BC4-4BA2-917D-592D5A2F5588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FLUID!$E$34:$E$35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300</c:v>
                      </c:pt>
                      <c:pt idx="1">
                        <c:v>300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FLUID!$F$34:$F$35</c15:sqref>
                        </c15:formulaRef>
                      </c:ext>
                    </c:extLst>
                    <c:numCache>
                      <c:formatCode>0.0E+00</c:formatCode>
                      <c:ptCount val="2"/>
                      <c:pt idx="0" formatCode="General">
                        <c:v>-21.39</c:v>
                      </c:pt>
                      <c:pt idx="1">
                        <c:v>5.367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0B8-40D4-85B6-EFC142DCCBB8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200"/>
          <c:min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1.2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61674469222643"/>
          <c:y val="6.4670909795469883E-2"/>
          <c:w val="0.83226051765507369"/>
          <c:h val="0.80732479399238055"/>
        </c:manualLayout>
      </c:layout>
      <c:scatterChart>
        <c:scatterStyle val="smoothMarker"/>
        <c:varyColors val="0"/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FLUID!$F$15:$R$15</c:f>
              <c:numCache>
                <c:formatCode>0.00E+00</c:formatCode>
                <c:ptCount val="13"/>
                <c:pt idx="0">
                  <c:v>0.08</c:v>
                </c:pt>
                <c:pt idx="1">
                  <c:v>7.9980999999999997E-2</c:v>
                </c:pt>
                <c:pt idx="2">
                  <c:v>7.7617000000000005E-2</c:v>
                </c:pt>
                <c:pt idx="3">
                  <c:v>5.5400999999999999E-2</c:v>
                </c:pt>
                <c:pt idx="4">
                  <c:v>2.7307000000000001E-2</c:v>
                </c:pt>
                <c:pt idx="5">
                  <c:v>9.6652000000000005E-3</c:v>
                </c:pt>
                <c:pt idx="6">
                  <c:v>7.1215000000000002E-3</c:v>
                </c:pt>
                <c:pt idx="7">
                  <c:v>5.3695000000000001E-3</c:v>
                </c:pt>
                <c:pt idx="8">
                  <c:v>4.2785999999999996E-3</c:v>
                </c:pt>
                <c:pt idx="9">
                  <c:v>3.5799E-3</c:v>
                </c:pt>
                <c:pt idx="10">
                  <c:v>2.4729000000000001E-3</c:v>
                </c:pt>
                <c:pt idx="11">
                  <c:v>2.1836999999999998E-3</c:v>
                </c:pt>
                <c:pt idx="12">
                  <c:v>2.1836999999999998E-3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89-45A5-BD17-4BF5D2007501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FLUID!$F$16:$R$16</c:f>
              <c:numCache>
                <c:formatCode>0.00E+00</c:formatCode>
                <c:ptCount val="13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289-45A5-BD17-4BF5D2007501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300</c:v>
                </c:pt>
                <c:pt idx="1">
                  <c:v>300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-21.39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289-45A5-BD17-4BF5D2007501}"/>
            </c:ext>
          </c:extLst>
        </c:ser>
        <c:ser>
          <c:idx val="14"/>
          <c:order val="14"/>
          <c:tx>
            <c:strRef>
              <c:f>FLUID!$E$17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FLUID!$F$3:$R$3</c:f>
              <c:numCache>
                <c:formatCode>0.0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FLUID!$F$17:$R$17</c:f>
              <c:numCache>
                <c:formatCode>0.00E+00</c:formatCode>
                <c:ptCount val="13"/>
                <c:pt idx="0">
                  <c:v>0.6</c:v>
                </c:pt>
                <c:pt idx="1">
                  <c:v>0.59999000000000002</c:v>
                </c:pt>
                <c:pt idx="2">
                  <c:v>0.59877000000000002</c:v>
                </c:pt>
                <c:pt idx="3">
                  <c:v>0.58513999999999999</c:v>
                </c:pt>
                <c:pt idx="4">
                  <c:v>0.52912000000000003</c:v>
                </c:pt>
                <c:pt idx="5">
                  <c:v>0.29587999999999998</c:v>
                </c:pt>
                <c:pt idx="6">
                  <c:v>0.22481999999999999</c:v>
                </c:pt>
                <c:pt idx="7">
                  <c:v>0.16619</c:v>
                </c:pt>
                <c:pt idx="8">
                  <c:v>0.12469</c:v>
                </c:pt>
                <c:pt idx="9">
                  <c:v>9.4979999999999995E-2</c:v>
                </c:pt>
                <c:pt idx="10">
                  <c:v>3.9503999999999997E-2</c:v>
                </c:pt>
                <c:pt idx="11">
                  <c:v>2.1496999999999999E-2</c:v>
                </c:pt>
                <c:pt idx="12">
                  <c:v>2.1496999999999999E-2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42-44A5-B541-9A5D3D90A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3776"/>
        <c:axId val="393211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FLUID!$F$4:$R$4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2.5500000000000001E-22</c:v>
                      </c:pt>
                      <c:pt idx="1">
                        <c:v>1.6538E-13</c:v>
                      </c:pt>
                      <c:pt idx="2">
                        <c:v>4.5345999999999996E-9</c:v>
                      </c:pt>
                      <c:pt idx="3">
                        <c:v>2.1671E-6</c:v>
                      </c:pt>
                      <c:pt idx="4">
                        <c:v>1.3137000000000001E-4</c:v>
                      </c:pt>
                      <c:pt idx="5">
                        <c:v>1.9562E-3</c:v>
                      </c:pt>
                      <c:pt idx="6">
                        <c:v>2.9272999999999999E-3</c:v>
                      </c:pt>
                      <c:pt idx="7">
                        <c:v>3.8682E-3</c:v>
                      </c:pt>
                      <c:pt idx="8">
                        <c:v>4.5303000000000001E-3</c:v>
                      </c:pt>
                      <c:pt idx="9">
                        <c:v>4.8446000000000001E-3</c:v>
                      </c:pt>
                      <c:pt idx="10">
                        <c:v>4.0956999999999999E-3</c:v>
                      </c:pt>
                      <c:pt idx="11">
                        <c:v>2.9797000000000001E-3</c:v>
                      </c:pt>
                      <c:pt idx="12">
                        <c:v>2.9797000000000001E-3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2EBB-417F-BF8D-5355D01212B5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FLUID!$F$5:$R$5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1.8647000000000001E-20</c:v>
                      </c:pt>
                      <c:pt idx="1">
                        <c:v>1.4376000000000001E-12</c:v>
                      </c:pt>
                      <c:pt idx="2">
                        <c:v>1.1363000000000001E-8</c:v>
                      </c:pt>
                      <c:pt idx="3">
                        <c:v>2.4256999999999999E-6</c:v>
                      </c:pt>
                      <c:pt idx="4">
                        <c:v>8.2272000000000001E-5</c:v>
                      </c:pt>
                      <c:pt idx="5">
                        <c:v>6.8984999999999999E-4</c:v>
                      </c:pt>
                      <c:pt idx="6">
                        <c:v>8.5939999999999996E-4</c:v>
                      </c:pt>
                      <c:pt idx="7">
                        <c:v>9.2778999999999995E-4</c:v>
                      </c:pt>
                      <c:pt idx="8">
                        <c:v>8.7343999999999996E-4</c:v>
                      </c:pt>
                      <c:pt idx="9">
                        <c:v>7.4456999999999995E-4</c:v>
                      </c:pt>
                      <c:pt idx="10">
                        <c:v>2.6080999999999999E-4</c:v>
                      </c:pt>
                      <c:pt idx="11">
                        <c:v>8.9968000000000003E-5</c:v>
                      </c:pt>
                      <c:pt idx="12">
                        <c:v>8.9968000000000003E-5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EBB-417F-BF8D-5355D01212B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FLUID!$F$6:$R$6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4.1969000000000002E-17</c:v>
                      </c:pt>
                      <c:pt idx="1">
                        <c:v>5.8152999999999996E-10</c:v>
                      </c:pt>
                      <c:pt idx="2">
                        <c:v>1.6755000000000001E-6</c:v>
                      </c:pt>
                      <c:pt idx="3">
                        <c:v>1.8579999999999999E-4</c:v>
                      </c:pt>
                      <c:pt idx="4">
                        <c:v>3.9169000000000001E-3</c:v>
                      </c:pt>
                      <c:pt idx="5">
                        <c:v>1.9984999999999999E-2</c:v>
                      </c:pt>
                      <c:pt idx="6">
                        <c:v>2.1066999999999999E-2</c:v>
                      </c:pt>
                      <c:pt idx="7">
                        <c:v>1.8866999999999998E-2</c:v>
                      </c:pt>
                      <c:pt idx="8">
                        <c:v>1.4484E-2</c:v>
                      </c:pt>
                      <c:pt idx="9">
                        <c:v>9.9763000000000004E-3</c:v>
                      </c:pt>
                      <c:pt idx="10">
                        <c:v>1.5176E-3</c:v>
                      </c:pt>
                      <c:pt idx="11">
                        <c:v>2.5787E-4</c:v>
                      </c:pt>
                      <c:pt idx="12">
                        <c:v>2.5787E-4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EBB-417F-BF8D-5355D01212B5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FLUID!$F$7:$R$7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8.8317999999999997E-15</c:v>
                      </c:pt>
                      <c:pt idx="1">
                        <c:v>6.6137E-9</c:v>
                      </c:pt>
                      <c:pt idx="2">
                        <c:v>3.6586E-6</c:v>
                      </c:pt>
                      <c:pt idx="3">
                        <c:v>1.4147000000000001E-4</c:v>
                      </c:pt>
                      <c:pt idx="4">
                        <c:v>1.4123E-3</c:v>
                      </c:pt>
                      <c:pt idx="5">
                        <c:v>3.5994999999999998E-3</c:v>
                      </c:pt>
                      <c:pt idx="6">
                        <c:v>3.0814000000000002E-3</c:v>
                      </c:pt>
                      <c:pt idx="7">
                        <c:v>2.2028E-3</c:v>
                      </c:pt>
                      <c:pt idx="8">
                        <c:v>1.3301000000000001E-3</c:v>
                      </c:pt>
                      <c:pt idx="9">
                        <c:v>7.1551999999999998E-4</c:v>
                      </c:pt>
                      <c:pt idx="10">
                        <c:v>4.2027999999999998E-5</c:v>
                      </c:pt>
                      <c:pt idx="11">
                        <c:v>3.2001000000000001E-6</c:v>
                      </c:pt>
                      <c:pt idx="12">
                        <c:v>3.2001000000000001E-6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EBB-417F-BF8D-5355D01212B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FLUID!$F$8:$R$8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1.2175E-15</c:v>
                      </c:pt>
                      <c:pt idx="1">
                        <c:v>1.856E-9</c:v>
                      </c:pt>
                      <c:pt idx="2">
                        <c:v>1.3314000000000001E-6</c:v>
                      </c:pt>
                      <c:pt idx="3">
                        <c:v>5.8335000000000003E-5</c:v>
                      </c:pt>
                      <c:pt idx="4">
                        <c:v>6.1364000000000004E-4</c:v>
                      </c:pt>
                      <c:pt idx="5">
                        <c:v>1.3929000000000001E-3</c:v>
                      </c:pt>
                      <c:pt idx="6">
                        <c:v>1.0922E-3</c:v>
                      </c:pt>
                      <c:pt idx="7">
                        <c:v>6.9746999999999995E-4</c:v>
                      </c:pt>
                      <c:pt idx="8">
                        <c:v>3.681E-4</c:v>
                      </c:pt>
                      <c:pt idx="9">
                        <c:v>1.7077999999999999E-4</c:v>
                      </c:pt>
                      <c:pt idx="10">
                        <c:v>5.4566999999999998E-6</c:v>
                      </c:pt>
                      <c:pt idx="11">
                        <c:v>2.4527000000000003E-7</c:v>
                      </c:pt>
                      <c:pt idx="12">
                        <c:v>2.4527000000000003E-7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EBB-417F-BF8D-5355D01212B5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FLUID!$F$9:$R$9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3.3501999999999999E-17</c:v>
                      </c:pt>
                      <c:pt idx="1">
                        <c:v>8.8483999999999997E-11</c:v>
                      </c:pt>
                      <c:pt idx="2">
                        <c:v>7.5701999999999999E-8</c:v>
                      </c:pt>
                      <c:pt idx="3">
                        <c:v>3.5708000000000002E-6</c:v>
                      </c:pt>
                      <c:pt idx="4">
                        <c:v>3.8232999999999998E-5</c:v>
                      </c:pt>
                      <c:pt idx="5">
                        <c:v>7.5388000000000004E-5</c:v>
                      </c:pt>
                      <c:pt idx="6">
                        <c:v>5.3866000000000002E-5</c:v>
                      </c:pt>
                      <c:pt idx="7">
                        <c:v>3.0582E-5</c:v>
                      </c:pt>
                      <c:pt idx="8">
                        <c:v>1.4044E-5</c:v>
                      </c:pt>
                      <c:pt idx="9">
                        <c:v>5.5952000000000002E-6</c:v>
                      </c:pt>
                      <c:pt idx="10">
                        <c:v>9.5831000000000006E-8</c:v>
                      </c:pt>
                      <c:pt idx="11">
                        <c:v>2.5128999999999999E-9</c:v>
                      </c:pt>
                      <c:pt idx="12">
                        <c:v>2.5128999999999999E-9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EBB-417F-BF8D-5355D01212B5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FLUID!$F$10:$R$10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9.3072999999999998E-18</c:v>
                      </c:pt>
                      <c:pt idx="1">
                        <c:v>1.7489E-10</c:v>
                      </c:pt>
                      <c:pt idx="2">
                        <c:v>9.0166000000000004E-7</c:v>
                      </c:pt>
                      <c:pt idx="3">
                        <c:v>1.6593000000000001E-4</c:v>
                      </c:pt>
                      <c:pt idx="4">
                        <c:v>5.5744999999999996E-3</c:v>
                      </c:pt>
                      <c:pt idx="5">
                        <c:v>6.4226000000000005E-2</c:v>
                      </c:pt>
                      <c:pt idx="6">
                        <c:v>9.7309000000000007E-2</c:v>
                      </c:pt>
                      <c:pt idx="7">
                        <c:v>0.13425000000000001</c:v>
                      </c:pt>
                      <c:pt idx="8">
                        <c:v>0.16864000000000001</c:v>
                      </c:pt>
                      <c:pt idx="9">
                        <c:v>0.19694</c:v>
                      </c:pt>
                      <c:pt idx="10">
                        <c:v>0.25024999999999997</c:v>
                      </c:pt>
                      <c:pt idx="11">
                        <c:v>0.26444000000000001</c:v>
                      </c:pt>
                      <c:pt idx="12">
                        <c:v>0.26444000000000001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EBB-417F-BF8D-5355D01212B5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FLUID!$F$11:$R$11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8.0042000000000004E-36</c:v>
                      </c:pt>
                      <c:pt idx="1">
                        <c:v>3.2423999999999998E-23</c:v>
                      </c:pt>
                      <c:pt idx="2">
                        <c:v>1.2645999999999999E-16</c:v>
                      </c:pt>
                      <c:pt idx="3">
                        <c:v>1.4952999999999999E-12</c:v>
                      </c:pt>
                      <c:pt idx="4">
                        <c:v>9.0133000000000003E-10</c:v>
                      </c:pt>
                      <c:pt idx="5">
                        <c:v>1.0002E-7</c:v>
                      </c:pt>
                      <c:pt idx="6">
                        <c:v>2.5967E-7</c:v>
                      </c:pt>
                      <c:pt idx="7">
                        <c:v>6.1203999999999997E-7</c:v>
                      </c:pt>
                      <c:pt idx="8">
                        <c:v>1.3088000000000001E-6</c:v>
                      </c:pt>
                      <c:pt idx="9">
                        <c:v>2.5770999999999999E-6</c:v>
                      </c:pt>
                      <c:pt idx="10">
                        <c:v>2.2167E-5</c:v>
                      </c:pt>
                      <c:pt idx="11">
                        <c:v>1.1458E-4</c:v>
                      </c:pt>
                      <c:pt idx="12">
                        <c:v>1.1458E-4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289-45A5-BD17-4BF5D200750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FLUID!$F$12:$R$12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0</c:v>
                      </c:pt>
                      <c:pt idx="1">
                        <c:v>6.2496999999999995E-29</c:v>
                      </c:pt>
                      <c:pt idx="2">
                        <c:v>2.5017E-21</c:v>
                      </c:pt>
                      <c:pt idx="3">
                        <c:v>9.9454000000000001E-17</c:v>
                      </c:pt>
                      <c:pt idx="4">
                        <c:v>9.5514999999999997E-14</c:v>
                      </c:pt>
                      <c:pt idx="5">
                        <c:v>1.4959999999999999E-11</c:v>
                      </c:pt>
                      <c:pt idx="6">
                        <c:v>4.4647000000000002E-11</c:v>
                      </c:pt>
                      <c:pt idx="7">
                        <c:v>1.2533E-10</c:v>
                      </c:pt>
                      <c:pt idx="8">
                        <c:v>3.3116000000000002E-10</c:v>
                      </c:pt>
                      <c:pt idx="9">
                        <c:v>8.2653000000000004E-10</c:v>
                      </c:pt>
                      <c:pt idx="10">
                        <c:v>1.9531999999999999E-8</c:v>
                      </c:pt>
                      <c:pt idx="11">
                        <c:v>2.4812999999999999E-7</c:v>
                      </c:pt>
                      <c:pt idx="12">
                        <c:v>2.4812999999999999E-7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289-45A5-BD17-4BF5D200750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FLUID!$F$13:$R$13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5.1099999999999999E-10</c:v>
                      </c:pt>
                      <c:pt idx="1">
                        <c:v>9.5418000000000007E-6</c:v>
                      </c:pt>
                      <c:pt idx="2">
                        <c:v>1.1914E-3</c:v>
                      </c:pt>
                      <c:pt idx="3">
                        <c:v>1.23E-2</c:v>
                      </c:pt>
                      <c:pt idx="4">
                        <c:v>2.6346000000000001E-2</c:v>
                      </c:pt>
                      <c:pt idx="5">
                        <c:v>3.5166999999999997E-2</c:v>
                      </c:pt>
                      <c:pt idx="6">
                        <c:v>3.6438999999999999E-2</c:v>
                      </c:pt>
                      <c:pt idx="7">
                        <c:v>3.7315000000000001E-2</c:v>
                      </c:pt>
                      <c:pt idx="8">
                        <c:v>3.7860999999999999E-2</c:v>
                      </c:pt>
                      <c:pt idx="9">
                        <c:v>3.8210000000000001E-2</c:v>
                      </c:pt>
                      <c:pt idx="10">
                        <c:v>3.8764E-2</c:v>
                      </c:pt>
                      <c:pt idx="11">
                        <c:v>3.8907999999999998E-2</c:v>
                      </c:pt>
                      <c:pt idx="12">
                        <c:v>3.8907999999999998E-2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289-45A5-BD17-4BF5D200750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FLUID!$F$3:$R$3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FLUID!$F$14:$R$14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289-45A5-BD17-4BF5D2007501}"/>
                  </c:ext>
                </c:extLst>
              </c15:ser>
            </c15:filteredScatterSeries>
          </c:ext>
        </c:extLst>
      </c:scatterChart>
      <c:valAx>
        <c:axId val="3932137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</a:t>
                </a:r>
                <a:r>
                  <a:rPr lang="ru-RU" sz="1800" b="0" i="0" baseline="0">
                    <a:effectLst/>
                  </a:rPr>
                  <a:t>, К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7497357974156512"/>
              <c:y val="0.94376075630889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1816"/>
        <c:crosses val="autoZero"/>
        <c:crossBetween val="midCat"/>
      </c:valAx>
      <c:valAx>
        <c:axId val="393211816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0175619604135116E-2"/>
              <c:y val="0.21977765040056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37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56405903142791"/>
          <c:y val="3.4270725866223706E-2"/>
          <c:w val="0.8550066671275679"/>
          <c:h val="0.845782199163479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FLUID!$E$115</c:f>
              <c:strCache>
                <c:ptCount val="1"/>
                <c:pt idx="0">
                  <c:v>Раствор (жид):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FLUID!$F$114:$R$114</c:f>
              <c:numCache>
                <c:formatCode>General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FLUID!$F$115:$R$115</c:f>
              <c:numCache>
                <c:formatCode>0.00E+00</c:formatCode>
                <c:ptCount val="13"/>
                <c:pt idx="0">
                  <c:v>-55.557207969900013</c:v>
                </c:pt>
                <c:pt idx="1">
                  <c:v>-113.05751847882424</c:v>
                </c:pt>
                <c:pt idx="2">
                  <c:v>-179.2040623905587</c:v>
                </c:pt>
                <c:pt idx="3">
                  <c:v>-238.42283088657686</c:v>
                </c:pt>
                <c:pt idx="4">
                  <c:v>-273.37350929198163</c:v>
                </c:pt>
                <c:pt idx="5">
                  <c:v>-208.28457865615607</c:v>
                </c:pt>
                <c:pt idx="6">
                  <c:v>-178.07740500601989</c:v>
                </c:pt>
                <c:pt idx="7">
                  <c:v>-151.54170416012175</c:v>
                </c:pt>
                <c:pt idx="8">
                  <c:v>-132.56246544727162</c:v>
                </c:pt>
                <c:pt idx="9">
                  <c:v>-119.08337685824738</c:v>
                </c:pt>
                <c:pt idx="10">
                  <c:v>-98.200490682992069</c:v>
                </c:pt>
                <c:pt idx="11">
                  <c:v>-99.018129182201164</c:v>
                </c:pt>
                <c:pt idx="12">
                  <c:v>-108.73147421178753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8B-4B34-A7C8-C41054A3ADF3}"/>
            </c:ext>
          </c:extLst>
        </c:ser>
        <c:ser>
          <c:idx val="3"/>
          <c:order val="3"/>
          <c:tx>
            <c:strRef>
              <c:f>FLUID!$E$118</c:f>
              <c:strCache>
                <c:ptCount val="1"/>
                <c:pt idx="0">
                  <c:v>Раствор + газовая без Ar: 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FLUID!$F$114:$R$114</c:f>
              <c:numCache>
                <c:formatCode>General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FLUID!$F$118:$R$118</c:f>
              <c:numCache>
                <c:formatCode>0.00E+00</c:formatCode>
                <c:ptCount val="13"/>
                <c:pt idx="0">
                  <c:v>-55.557208169706314</c:v>
                </c:pt>
                <c:pt idx="1">
                  <c:v>-113.06366386854216</c:v>
                </c:pt>
                <c:pt idx="2">
                  <c:v>-180.32130500908596</c:v>
                </c:pt>
                <c:pt idx="3">
                  <c:v>-254.81424727510657</c:v>
                </c:pt>
                <c:pt idx="4">
                  <c:v>-335.93294532725037</c:v>
                </c:pt>
                <c:pt idx="5">
                  <c:v>-424.57047161830099</c:v>
                </c:pt>
                <c:pt idx="6">
                  <c:v>-449.11712938981191</c:v>
                </c:pt>
                <c:pt idx="7">
                  <c:v>-475.16502204920693</c:v>
                </c:pt>
                <c:pt idx="8">
                  <c:v>-502.34755296877097</c:v>
                </c:pt>
                <c:pt idx="9">
                  <c:v>-530.77131068234792</c:v>
                </c:pt>
                <c:pt idx="10">
                  <c:v>-652.92281521063217</c:v>
                </c:pt>
                <c:pt idx="11">
                  <c:v>-780.06444590162323</c:v>
                </c:pt>
                <c:pt idx="12">
                  <c:v>-856.58614118040623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8B-4B34-A7C8-C41054A3ADF3}"/>
            </c:ext>
          </c:extLst>
        </c:ser>
        <c:ser>
          <c:idx val="6"/>
          <c:order val="5"/>
          <c:tx>
            <c:strRef>
              <c:f>FLUID!$E$120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58B-4B34-A7C8-C41054A3ADF3}"/>
              </c:ext>
            </c:extLst>
          </c:dPt>
          <c:xVal>
            <c:numRef>
              <c:f>FLUID!$F$120:$F$121</c:f>
              <c:numCache>
                <c:formatCode>General</c:formatCode>
                <c:ptCount val="2"/>
                <c:pt idx="0">
                  <c:v>300</c:v>
                </c:pt>
                <c:pt idx="1">
                  <c:v>300</c:v>
                </c:pt>
              </c:numCache>
            </c:numRef>
          </c:xVal>
          <c:yVal>
            <c:numRef>
              <c:f>FLUID!$G$120:$G$121</c:f>
              <c:numCache>
                <c:formatCode>General</c:formatCode>
                <c:ptCount val="2"/>
                <c:pt idx="0">
                  <c:v>-10000000</c:v>
                </c:pt>
                <c:pt idx="1">
                  <c:v>1000000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8B-4B34-A7C8-C41054A3ADF3}"/>
            </c:ext>
          </c:extLst>
        </c:ser>
        <c:ser>
          <c:idx val="5"/>
          <c:order val="6"/>
          <c:tx>
            <c:v>1</c:v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FLUID!$F$37:$R$37</c:f>
              <c:numCache>
                <c:formatCode>General</c:formatCode>
                <c:ptCount val="1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FLUID!$F$38:$R$38</c:f>
              <c:numCache>
                <c:formatCode>0.0E+00</c:formatCode>
                <c:ptCount val="13"/>
                <c:pt idx="0">
                  <c:v>-55.557207969900006</c:v>
                </c:pt>
                <c:pt idx="1">
                  <c:v>-113.06370822714</c:v>
                </c:pt>
                <c:pt idx="2">
                  <c:v>-180.32053250520005</c:v>
                </c:pt>
                <c:pt idx="3">
                  <c:v>-254.8128662698</c:v>
                </c:pt>
                <c:pt idx="4">
                  <c:v>-335.93447366185001</c:v>
                </c:pt>
                <c:pt idx="5">
                  <c:v>-424.56977885519996</c:v>
                </c:pt>
                <c:pt idx="6">
                  <c:v>-449.11951522120012</c:v>
                </c:pt>
                <c:pt idx="7">
                  <c:v>-475.16538821500006</c:v>
                </c:pt>
                <c:pt idx="8">
                  <c:v>-502.34281698900008</c:v>
                </c:pt>
                <c:pt idx="9">
                  <c:v>-530.77174153149997</c:v>
                </c:pt>
                <c:pt idx="10">
                  <c:v>-652.92210362699996</c:v>
                </c:pt>
                <c:pt idx="11">
                  <c:v>-780.05559223600005</c:v>
                </c:pt>
                <c:pt idx="12">
                  <c:v>-856.57641899999999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58B-4B34-A7C8-C41054A3A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095336"/>
        <c:axId val="5190949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FLUID!$E$116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FLUID!$F$114:$R$114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FLUID!$F$116:$R$116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-1.9980630137166362E-7</c:v>
                      </c:pt>
                      <c:pt idx="1">
                        <c:v>-6.1453897179283125E-3</c:v>
                      </c:pt>
                      <c:pt idx="2">
                        <c:v>-1.1172426185272666</c:v>
                      </c:pt>
                      <c:pt idx="3">
                        <c:v>-16.391416388529716</c:v>
                      </c:pt>
                      <c:pt idx="4">
                        <c:v>-62.559436035268753</c:v>
                      </c:pt>
                      <c:pt idx="5">
                        <c:v>-216.28589296214494</c:v>
                      </c:pt>
                      <c:pt idx="6">
                        <c:v>-271.03972438379202</c:v>
                      </c:pt>
                      <c:pt idx="7">
                        <c:v>-323.62331788908517</c:v>
                      </c:pt>
                      <c:pt idx="8">
                        <c:v>-369.78508752149935</c:v>
                      </c:pt>
                      <c:pt idx="9">
                        <c:v>-411.68793382410058</c:v>
                      </c:pt>
                      <c:pt idx="10">
                        <c:v>-554.72232452764013</c:v>
                      </c:pt>
                      <c:pt idx="11">
                        <c:v>-681.04631671942207</c:v>
                      </c:pt>
                      <c:pt idx="12">
                        <c:v>-747.85466696861874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458B-4B34-A7C8-C41054A3ADF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FLUID!$E$117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FLUID!$F$114:$R$114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FLUID!$F$117:$R$117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-76.902224164806327</c:v>
                      </c:pt>
                      <c:pt idx="1">
                        <c:v>-112.23376977971797</c:v>
                      </c:pt>
                      <c:pt idx="2">
                        <c:v>-150.1651313885273</c:v>
                      </c:pt>
                      <c:pt idx="3">
                        <c:v>-203.96315515852973</c:v>
                      </c:pt>
                      <c:pt idx="4">
                        <c:v>-290.34798172276879</c:v>
                      </c:pt>
                      <c:pt idx="5">
                        <c:v>-488.106270747145</c:v>
                      </c:pt>
                      <c:pt idx="6">
                        <c:v>-554.6142831037921</c:v>
                      </c:pt>
                      <c:pt idx="7">
                        <c:v>-618.93759031408524</c:v>
                      </c:pt>
                      <c:pt idx="8">
                        <c:v>-676.45377972149947</c:v>
                      </c:pt>
                      <c:pt idx="9">
                        <c:v>-729.52535529910062</c:v>
                      </c:pt>
                      <c:pt idx="10">
                        <c:v>-916.43924260264032</c:v>
                      </c:pt>
                      <c:pt idx="11">
                        <c:v>-1085.9450062694223</c:v>
                      </c:pt>
                      <c:pt idx="12">
                        <c:v>-1192.4725544686189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58B-4B34-A7C8-C41054A3ADF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FLUID!$E$119</c15:sqref>
                        </c15:formulaRef>
                      </c:ext>
                    </c:extLst>
                    <c:strCache>
                      <c:ptCount val="1"/>
                      <c:pt idx="0">
                        <c:v>Раствор + 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FLUID!$F$114:$R$114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FLUID!$F$119:$R$119</c15:sqref>
                        </c15:formulaRef>
                      </c:ext>
                    </c:extLst>
                    <c:numCache>
                      <c:formatCode>0.00E+00</c:formatCode>
                      <c:ptCount val="13"/>
                      <c:pt idx="0">
                        <c:v>-132.45943213470633</c:v>
                      </c:pt>
                      <c:pt idx="1">
                        <c:v>-225.29128825854221</c:v>
                      </c:pt>
                      <c:pt idx="2">
                        <c:v>-329.369193779086</c:v>
                      </c:pt>
                      <c:pt idx="3">
                        <c:v>-442.38598604510662</c:v>
                      </c:pt>
                      <c:pt idx="4">
                        <c:v>-563.72149101475043</c:v>
                      </c:pt>
                      <c:pt idx="5">
                        <c:v>-696.3908494033011</c:v>
                      </c:pt>
                      <c:pt idx="6">
                        <c:v>-732.69168810981205</c:v>
                      </c:pt>
                      <c:pt idx="7">
                        <c:v>-770.47929447420699</c:v>
                      </c:pt>
                      <c:pt idx="8">
                        <c:v>-809.01624516877109</c:v>
                      </c:pt>
                      <c:pt idx="9">
                        <c:v>-848.60873215734796</c:v>
                      </c:pt>
                      <c:pt idx="10">
                        <c:v>-1014.6397332856324</c:v>
                      </c:pt>
                      <c:pt idx="11">
                        <c:v>-1184.9631354516234</c:v>
                      </c:pt>
                      <c:pt idx="12">
                        <c:v>-1301.2040286804065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58B-4B34-A7C8-C41054A3ADF3}"/>
                  </c:ext>
                </c:extLst>
              </c15:ser>
            </c15:filteredScatterSeries>
          </c:ext>
        </c:extLst>
      </c:scatterChart>
      <c:valAx>
        <c:axId val="51909533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</a:t>
                </a:r>
                <a:r>
                  <a:rPr lang="en-US" baseline="0"/>
                  <a:t> </a:t>
                </a:r>
                <a:r>
                  <a:rPr lang="ru-RU" baseline="0"/>
                  <a:t>К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9094944"/>
        <c:crosses val="autoZero"/>
        <c:crossBetween val="midCat"/>
      </c:valAx>
      <c:valAx>
        <c:axId val="519094944"/>
        <c:scaling>
          <c:orientation val="minMax"/>
          <c:max val="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213322689273837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8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909533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579004454016617E-2"/>
          <c:y val="5.4916397774484829E-2"/>
          <c:w val="0.92172545969724562"/>
          <c:h val="0.8528288867533202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SOLIDDIFER!$A$38</c:f>
              <c:strCache>
                <c:ptCount val="1"/>
                <c:pt idx="0">
                  <c:v>1,666666667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SOLIDDIFER!$F$37:$AA$37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SOLIDDIFER!$F$38:$AA$38</c:f>
              <c:numCache>
                <c:formatCode>0</c:formatCode>
                <c:ptCount val="22"/>
                <c:pt idx="0">
                  <c:v>-396.73448245199995</c:v>
                </c:pt>
                <c:pt idx="1">
                  <c:v>-415.75376817000006</c:v>
                </c:pt>
                <c:pt idx="2">
                  <c:v>-439.91423904650003</c:v>
                </c:pt>
                <c:pt idx="3">
                  <c:v>-467.03312542600008</c:v>
                </c:pt>
                <c:pt idx="4">
                  <c:v>-495.36053020065015</c:v>
                </c:pt>
                <c:pt idx="5">
                  <c:v>-524.72326427550013</c:v>
                </c:pt>
                <c:pt idx="6">
                  <c:v>-555.39752231450007</c:v>
                </c:pt>
                <c:pt idx="7">
                  <c:v>-590.86965814410007</c:v>
                </c:pt>
                <c:pt idx="8">
                  <c:v>-644.48369762220011</c:v>
                </c:pt>
                <c:pt idx="9">
                  <c:v>-874.66144647980002</c:v>
                </c:pt>
                <c:pt idx="10">
                  <c:v>-1127.3606900790501</c:v>
                </c:pt>
                <c:pt idx="11">
                  <c:v>-1399.8548702325002</c:v>
                </c:pt>
                <c:pt idx="12">
                  <c:v>-1470.3811647708001</c:v>
                </c:pt>
                <c:pt idx="13">
                  <c:v>-1542.6312896280001</c:v>
                </c:pt>
                <c:pt idx="14">
                  <c:v>-1614.8470179530002</c:v>
                </c:pt>
                <c:pt idx="15">
                  <c:v>-1687.5811664390001</c:v>
                </c:pt>
                <c:pt idx="16">
                  <c:v>-1990.3178678445004</c:v>
                </c:pt>
                <c:pt idx="17">
                  <c:v>-2305.230777576</c:v>
                </c:pt>
                <c:pt idx="18">
                  <c:v>-2386.0480945000004</c:v>
                </c:pt>
                <c:pt idx="19">
                  <c:v>-2466.3543357379999</c:v>
                </c:pt>
                <c:pt idx="20">
                  <c:v>-2548.1976037605004</c:v>
                </c:pt>
                <c:pt idx="21">
                  <c:v>-2628.7247917500003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B1-40E5-8F18-54EE353C7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2792"/>
        <c:axId val="393219264"/>
      </c:scatterChart>
      <c:valAx>
        <c:axId val="3932227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264"/>
        <c:crosses val="autoZero"/>
        <c:crossBetween val="midCat"/>
      </c:valAx>
      <c:valAx>
        <c:axId val="393219264"/>
        <c:scaling>
          <c:orientation val="minMax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27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000"/>
              <a:t>Газовая</a:t>
            </a:r>
            <a:r>
              <a:rPr lang="ru-RU" sz="2000" baseline="0"/>
              <a:t> фаза</a:t>
            </a:r>
            <a:r>
              <a:rPr lang="en-US" sz="2000" baseline="0"/>
              <a:t> </a:t>
            </a:r>
            <a:endParaRPr lang="ru-RU" sz="2000"/>
          </a:p>
        </c:rich>
      </c:tx>
      <c:layout>
        <c:manualLayout>
          <c:xMode val="edge"/>
          <c:yMode val="edge"/>
          <c:x val="0.38017891879219146"/>
          <c:y val="1.34974184858659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144039325304441"/>
          <c:y val="8.6225569984366424E-2"/>
          <c:w val="0.82219333821052498"/>
          <c:h val="0.78364352812551963"/>
        </c:manualLayout>
      </c:layout>
      <c:scatterChart>
        <c:scatterStyle val="smoothMarker"/>
        <c:varyColors val="0"/>
        <c:ser>
          <c:idx val="7"/>
          <c:order val="7"/>
          <c:tx>
            <c:strRef>
              <c:f>SOLIDDIFER!$E$11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0.0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SOLIDDIFER!$F$11:$AA$11</c:f>
              <c:numCache>
                <c:formatCode>0.0E+00</c:formatCode>
                <c:ptCount val="22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2.2412999999999999E-2</c:v>
                </c:pt>
                <c:pt idx="8">
                  <c:v>2.0362000000000001E-6</c:v>
                </c:pt>
                <c:pt idx="9">
                  <c:v>7.7761000000000004E-20</c:v>
                </c:pt>
                <c:pt idx="10">
                  <c:v>2.5107E-30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68-490C-8D6D-76CC3C874F00}"/>
            </c:ext>
          </c:extLst>
        </c:ser>
        <c:ser>
          <c:idx val="8"/>
          <c:order val="8"/>
          <c:tx>
            <c:strRef>
              <c:f>SOLIDDIFER!$E$12</c:f>
              <c:strCache>
                <c:ptCount val="1"/>
                <c:pt idx="0">
                  <c:v>Ge2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0.0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SOLIDDIFER!$F$12:$AA$12</c:f>
              <c:numCache>
                <c:formatCode>0.0E+00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4.1590999999999998E-36</c:v>
                </c:pt>
                <c:pt idx="9">
                  <c:v>1.3659000000000001E-27</c:v>
                </c:pt>
                <c:pt idx="10">
                  <c:v>8.0203000000000004E-22</c:v>
                </c:pt>
                <c:pt idx="11">
                  <c:v>1.1604999999999999E-17</c:v>
                </c:pt>
                <c:pt idx="12">
                  <c:v>8.4930999999999999E-17</c:v>
                </c:pt>
                <c:pt idx="13">
                  <c:v>5.4554999999999996E-16</c:v>
                </c:pt>
                <c:pt idx="14">
                  <c:v>3.1137999999999998E-15</c:v>
                </c:pt>
                <c:pt idx="15">
                  <c:v>1.5962999999999998E-14</c:v>
                </c:pt>
                <c:pt idx="16">
                  <c:v>3.9470999999999996E-12</c:v>
                </c:pt>
                <c:pt idx="17">
                  <c:v>1.7847999999999999E-10</c:v>
                </c:pt>
                <c:pt idx="18">
                  <c:v>4.1200000000000002E-10</c:v>
                </c:pt>
                <c:pt idx="19">
                  <c:v>9.1374999999999997E-10</c:v>
                </c:pt>
                <c:pt idx="20">
                  <c:v>1.9525E-9</c:v>
                </c:pt>
                <c:pt idx="21">
                  <c:v>4.0296000000000002E-9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768-490C-8D6D-76CC3C874F00}"/>
            </c:ext>
          </c:extLst>
        </c:ser>
        <c:ser>
          <c:idx val="9"/>
          <c:order val="9"/>
          <c:tx>
            <c:strRef>
              <c:f>SOLIDDIFER!$E$13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0.0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SOLIDDIFER!$F$13:$AA$13</c:f>
              <c:numCache>
                <c:formatCode>0.0E+00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2.0279999999999999E-33</c:v>
                </c:pt>
                <c:pt idx="7">
                  <c:v>1.0517E-30</c:v>
                </c:pt>
                <c:pt idx="8">
                  <c:v>1.3863000000000001E-28</c:v>
                </c:pt>
                <c:pt idx="9">
                  <c:v>5.5174000000000001E-22</c:v>
                </c:pt>
                <c:pt idx="10">
                  <c:v>1.6886000000000001E-17</c:v>
                </c:pt>
                <c:pt idx="11">
                  <c:v>2.9747000000000003E-14</c:v>
                </c:pt>
                <c:pt idx="12">
                  <c:v>1.4100000000000001E-13</c:v>
                </c:pt>
                <c:pt idx="13">
                  <c:v>6.0427000000000001E-13</c:v>
                </c:pt>
                <c:pt idx="14">
                  <c:v>2.3635000000000002E-12</c:v>
                </c:pt>
                <c:pt idx="15">
                  <c:v>8.5073000000000003E-12</c:v>
                </c:pt>
                <c:pt idx="16">
                  <c:v>6.6755000000000004E-10</c:v>
                </c:pt>
                <c:pt idx="17">
                  <c:v>1.6446E-8</c:v>
                </c:pt>
                <c:pt idx="18">
                  <c:v>3.3279000000000003E-8</c:v>
                </c:pt>
                <c:pt idx="19">
                  <c:v>6.5148999999999997E-8</c:v>
                </c:pt>
                <c:pt idx="20">
                  <c:v>1.2367E-7</c:v>
                </c:pt>
                <c:pt idx="21">
                  <c:v>2.2807999999999999E-7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68-490C-8D6D-76CC3C874F00}"/>
            </c:ext>
          </c:extLst>
        </c:ser>
        <c:ser>
          <c:idx val="10"/>
          <c:order val="10"/>
          <c:tx>
            <c:strRef>
              <c:f>SOLIDDIFER!$E$14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0.0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SOLIDDIFER!$F$14:$AA$14</c:f>
              <c:numCache>
                <c:formatCode>0.0E+00</c:formatCode>
                <c:ptCount val="2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68-490C-8D6D-76CC3C874F00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300</c:v>
                </c:pt>
                <c:pt idx="1">
                  <c:v>300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-20.65</c:v>
                </c:pt>
                <c:pt idx="1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68-490C-8D6D-76CC3C874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2208"/>
        <c:axId val="39321848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SOLIDDIFER!$E$4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SOLIDDIFER!$F$4:$AA$4</c15:sqref>
                        </c15:formulaRef>
                      </c:ext>
                    </c:extLst>
                    <c:numCache>
                      <c:formatCode>0.0E+00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6.3215999999999997E-24</c:v>
                      </c:pt>
                      <c:pt idx="9">
                        <c:v>1.9479999999999999E-13</c:v>
                      </c:pt>
                      <c:pt idx="10">
                        <c:v>1.8252000000000001E-10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F31-4368-B255-2EDC69BF288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SOLIDDIFER!$F$5:$AA$5</c15:sqref>
                        </c15:formulaRef>
                      </c:ext>
                    </c:extLst>
                    <c:numCache>
                      <c:formatCode>0.0E+00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2.0312000000000001E-26</c:v>
                      </c:pt>
                      <c:pt idx="4">
                        <c:v>7.3857999999999996E-18</c:v>
                      </c:pt>
                      <c:pt idx="5">
                        <c:v>2.3168000000000001E-11</c:v>
                      </c:pt>
                      <c:pt idx="6">
                        <c:v>6.5644999999999998E-9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2.2055000000000001E-8</c:v>
                      </c:pt>
                      <c:pt idx="18">
                        <c:v>1.0951999999999999E-8</c:v>
                      </c:pt>
                      <c:pt idx="19">
                        <c:v>7.5769000000000002E-9</c:v>
                      </c:pt>
                      <c:pt idx="20">
                        <c:v>7.8679999999999997E-9</c:v>
                      </c:pt>
                      <c:pt idx="21">
                        <c:v>6.0850000000000004E-9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F31-4368-B255-2EDC69BF288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SOLIDDIFER!$F$6:$AA$6</c15:sqref>
                        </c15:formulaRef>
                      </c:ext>
                    </c:extLst>
                    <c:numCache>
                      <c:formatCode>0.0E+00</c:formatCode>
                      <c:ptCount val="22"/>
                      <c:pt idx="0">
                        <c:v>9.6087000000000004E-12</c:v>
                      </c:pt>
                      <c:pt idx="1">
                        <c:v>1.1031E-8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1.8961000000000001E-9</c:v>
                      </c:pt>
                      <c:pt idx="8">
                        <c:v>7.5525000000000005E-11</c:v>
                      </c:pt>
                      <c:pt idx="9">
                        <c:v>1.2385E-27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F31-4368-B255-2EDC69BF288C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SOLIDDIFER!$F$7:$AA$7</c15:sqref>
                        </c15:formulaRef>
                      </c:ext>
                    </c:extLst>
                    <c:numCache>
                      <c:formatCode>0.0E+00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3.5173000000000003E-2</c:v>
                      </c:pt>
                      <c:pt idx="8">
                        <c:v>7.9995999999999998E-2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>
                        <c:v>0.08</c:v>
                      </c:pt>
                      <c:pt idx="20">
                        <c:v>0.08</c:v>
                      </c:pt>
                      <c:pt idx="21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F31-4368-B255-2EDC69BF288C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SOLIDDIFER!$F$8:$AA$8</c15:sqref>
                        </c15:formulaRef>
                      </c:ext>
                    </c:extLst>
                    <c:numCache>
                      <c:formatCode>0.0E+00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2.0312000000000001E-26</c:v>
                      </c:pt>
                      <c:pt idx="4">
                        <c:v>7.3857999999999996E-18</c:v>
                      </c:pt>
                      <c:pt idx="5">
                        <c:v>2.3168000000000001E-11</c:v>
                      </c:pt>
                      <c:pt idx="6">
                        <c:v>6.5644999999999998E-9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2.2055000000000001E-8</c:v>
                      </c:pt>
                      <c:pt idx="18">
                        <c:v>1.0951999999999999E-8</c:v>
                      </c:pt>
                      <c:pt idx="19">
                        <c:v>7.5769000000000002E-9</c:v>
                      </c:pt>
                      <c:pt idx="20">
                        <c:v>7.8679999999999997E-9</c:v>
                      </c:pt>
                      <c:pt idx="21">
                        <c:v>6.0850000000000004E-9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F31-4368-B255-2EDC69BF288C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SOLIDDIFER!$F$9:$AA$9</c15:sqref>
                        </c15:formulaRef>
                      </c:ext>
                    </c:extLst>
                    <c:numCache>
                      <c:formatCode>0.0E+00</c:formatCode>
                      <c:ptCount val="22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0.36</c:v>
                      </c:pt>
                      <c:pt idx="3">
                        <c:v>0.36</c:v>
                      </c:pt>
                      <c:pt idx="4">
                        <c:v>0.36</c:v>
                      </c:pt>
                      <c:pt idx="5">
                        <c:v>0.36</c:v>
                      </c:pt>
                      <c:pt idx="6">
                        <c:v>0.36</c:v>
                      </c:pt>
                      <c:pt idx="7">
                        <c:v>0.53276000000000001</c:v>
                      </c:pt>
                      <c:pt idx="8">
                        <c:v>0.59999000000000002</c:v>
                      </c:pt>
                      <c:pt idx="9">
                        <c:v>0.6</c:v>
                      </c:pt>
                      <c:pt idx="10">
                        <c:v>0.6</c:v>
                      </c:pt>
                      <c:pt idx="11">
                        <c:v>0.6</c:v>
                      </c:pt>
                      <c:pt idx="12">
                        <c:v>0.6</c:v>
                      </c:pt>
                      <c:pt idx="13">
                        <c:v>0.6</c:v>
                      </c:pt>
                      <c:pt idx="14">
                        <c:v>0.6</c:v>
                      </c:pt>
                      <c:pt idx="15">
                        <c:v>0.6</c:v>
                      </c:pt>
                      <c:pt idx="16">
                        <c:v>0.6</c:v>
                      </c:pt>
                      <c:pt idx="17">
                        <c:v>0.6</c:v>
                      </c:pt>
                      <c:pt idx="18">
                        <c:v>0.6</c:v>
                      </c:pt>
                      <c:pt idx="19">
                        <c:v>0.6</c:v>
                      </c:pt>
                      <c:pt idx="20">
                        <c:v>0.6</c:v>
                      </c:pt>
                      <c:pt idx="21">
                        <c:v>0.6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EB6-45C2-9E92-DC4250B3EF30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SOLIDDIFER!$F$10:$AA$10</c15:sqref>
                        </c15:formulaRef>
                      </c:ext>
                    </c:extLst>
                    <c:numCache>
                      <c:formatCode>0.0E+00</c:formatCode>
                      <c:ptCount val="22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5.8479999999999999E-10</c:v>
                      </c:pt>
                      <c:pt idx="3">
                        <c:v>8.8798000000000002E-12</c:v>
                      </c:pt>
                      <c:pt idx="4">
                        <c:v>7.4469E-17</c:v>
                      </c:pt>
                      <c:pt idx="5">
                        <c:v>5.9184999999999999E-24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768-490C-8D6D-76CC3C874F0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SOLIDDIFER!$F$15:$AA$15</c15:sqref>
                        </c15:formulaRef>
                      </c:ext>
                    </c:extLst>
                    <c:numCache>
                      <c:formatCode>0.0E+00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5.3322000000000002E-36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4.0563000000000001E-22</c:v>
                      </c:pt>
                      <c:pt idx="9">
                        <c:v>2.9414999999999999E-12</c:v>
                      </c:pt>
                      <c:pt idx="10">
                        <c:v>1.8252000000000001E-10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768-490C-8D6D-76CC3C874F00}"/>
                  </c:ext>
                </c:extLst>
              </c15:ser>
            </c15:filteredScatterSeries>
          </c:ext>
        </c:extLst>
      </c:scatterChart>
      <c:valAx>
        <c:axId val="39321220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/>
                  <a:t>T</a:t>
                </a:r>
                <a:r>
                  <a:rPr lang="ru-RU" sz="1800" b="0"/>
                  <a:t>, К</a:t>
                </a:r>
              </a:p>
            </c:rich>
          </c:tx>
          <c:layout>
            <c:manualLayout>
              <c:xMode val="edge"/>
              <c:yMode val="edge"/>
              <c:x val="0.49814187866482268"/>
              <c:y val="0.92575399308460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8480"/>
        <c:crosses val="autoZero"/>
        <c:crossBetween val="midCat"/>
      </c:valAx>
      <c:valAx>
        <c:axId val="393218480"/>
        <c:scaling>
          <c:orientation val="minMax"/>
          <c:max val="0.210000000000000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 b="0">
                  <a:effectLst/>
                </a:endParaRPr>
              </a:p>
            </c:rich>
          </c:tx>
          <c:layout>
            <c:manualLayout>
              <c:xMode val="edge"/>
              <c:yMode val="edge"/>
              <c:x val="1.6302688053023765E-2"/>
              <c:y val="0.207410675898498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220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68752435311094"/>
          <c:y val="4.7082474557637782E-2"/>
          <c:w val="0.81640958388220752"/>
          <c:h val="0.792703800403113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SOLIDDIFER!$E$116</c:f>
              <c:strCache>
                <c:ptCount val="1"/>
                <c:pt idx="0">
                  <c:v>Расвор: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SOLIDDIFER!$F$115:$AA$115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SOLIDDIFER!$F$116:$AA$116</c:f>
              <c:numCache>
                <c:formatCode>#,##0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-1.0791139464806103E-33</c:v>
                </c:pt>
                <c:pt idx="6">
                  <c:v>0</c:v>
                </c:pt>
                <c:pt idx="7">
                  <c:v>0</c:v>
                </c:pt>
                <c:pt idx="8">
                  <c:v>-6.7083143831425909E-20</c:v>
                </c:pt>
                <c:pt idx="9">
                  <c:v>-6.4844719901103021E-10</c:v>
                </c:pt>
                <c:pt idx="10">
                  <c:v>-5.129106204651662E-8</c:v>
                </c:pt>
                <c:pt idx="11">
                  <c:v>-4.9749453428551498E-7</c:v>
                </c:pt>
                <c:pt idx="12">
                  <c:v>-9.0281175277182386E-7</c:v>
                </c:pt>
                <c:pt idx="13">
                  <c:v>-1.7064805738554614E-6</c:v>
                </c:pt>
                <c:pt idx="14">
                  <c:v>-4.7226746078219375E-6</c:v>
                </c:pt>
                <c:pt idx="15">
                  <c:v>-1.2219353200869577E-5</c:v>
                </c:pt>
                <c:pt idx="16">
                  <c:v>-29.660554749955015</c:v>
                </c:pt>
                <c:pt idx="17">
                  <c:v>-36.276196762518161</c:v>
                </c:pt>
                <c:pt idx="18">
                  <c:v>-37.976478753512474</c:v>
                </c:pt>
                <c:pt idx="19">
                  <c:v>-39.663964729227828</c:v>
                </c:pt>
                <c:pt idx="20">
                  <c:v>-41.391780187367644</c:v>
                </c:pt>
                <c:pt idx="21">
                  <c:v>-43.096132126641464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B0-429A-AC13-9841C125A1B2}"/>
            </c:ext>
          </c:extLst>
        </c:ser>
        <c:ser>
          <c:idx val="3"/>
          <c:order val="3"/>
          <c:tx>
            <c:v>Энергия Гиббса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SOLIDDIFER!$F$37:$AA$37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SOLIDDIFER!$F$38:$AA$38</c:f>
              <c:numCache>
                <c:formatCode>0</c:formatCode>
                <c:ptCount val="22"/>
                <c:pt idx="0">
                  <c:v>-396.73448245199995</c:v>
                </c:pt>
                <c:pt idx="1">
                  <c:v>-415.75376817000006</c:v>
                </c:pt>
                <c:pt idx="2">
                  <c:v>-439.91423904650003</c:v>
                </c:pt>
                <c:pt idx="3">
                  <c:v>-467.03312542600008</c:v>
                </c:pt>
                <c:pt idx="4">
                  <c:v>-495.36053020065015</c:v>
                </c:pt>
                <c:pt idx="5">
                  <c:v>-524.72326427550013</c:v>
                </c:pt>
                <c:pt idx="6">
                  <c:v>-555.39752231450007</c:v>
                </c:pt>
                <c:pt idx="7">
                  <c:v>-590.86965814410007</c:v>
                </c:pt>
                <c:pt idx="8">
                  <c:v>-644.48369762220011</c:v>
                </c:pt>
                <c:pt idx="9">
                  <c:v>-874.66144647980002</c:v>
                </c:pt>
                <c:pt idx="10">
                  <c:v>-1127.3606900790501</c:v>
                </c:pt>
                <c:pt idx="11">
                  <c:v>-1399.8548702325002</c:v>
                </c:pt>
                <c:pt idx="12">
                  <c:v>-1470.3811647708001</c:v>
                </c:pt>
                <c:pt idx="13">
                  <c:v>-1542.6312896280001</c:v>
                </c:pt>
                <c:pt idx="14">
                  <c:v>-1614.8470179530002</c:v>
                </c:pt>
                <c:pt idx="15">
                  <c:v>-1687.5811664390001</c:v>
                </c:pt>
                <c:pt idx="16">
                  <c:v>-1990.3178678445004</c:v>
                </c:pt>
                <c:pt idx="17">
                  <c:v>-2305.230777576</c:v>
                </c:pt>
                <c:pt idx="18">
                  <c:v>-2386.0480945000004</c:v>
                </c:pt>
                <c:pt idx="19">
                  <c:v>-2466.3543357379999</c:v>
                </c:pt>
                <c:pt idx="20">
                  <c:v>-2548.1976037605004</c:v>
                </c:pt>
                <c:pt idx="21">
                  <c:v>-2628.7247917500003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B0-429A-AC13-9841C125A1B2}"/>
            </c:ext>
          </c:extLst>
        </c:ser>
        <c:ser>
          <c:idx val="4"/>
          <c:order val="4"/>
          <c:tx>
            <c:strRef>
              <c:f>SOLIDDIFER!$E$120</c:f>
              <c:strCache>
                <c:ptCount val="1"/>
                <c:pt idx="0">
                  <c:v>Раствор + газовая без 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SOLIDDIFER!$F$115:$AA$115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SOLIDDIFER!$F$120:$AA$120</c:f>
              <c:numCache>
                <c:formatCode>0</c:formatCode>
                <c:ptCount val="22"/>
                <c:pt idx="0">
                  <c:v>-155.66398585500002</c:v>
                </c:pt>
                <c:pt idx="1">
                  <c:v>-157.85082407250002</c:v>
                </c:pt>
                <c:pt idx="2">
                  <c:v>-160.24370945749999</c:v>
                </c:pt>
                <c:pt idx="3">
                  <c:v>-162.7241964145</c:v>
                </c:pt>
                <c:pt idx="4">
                  <c:v>-165.35029521000001</c:v>
                </c:pt>
                <c:pt idx="5">
                  <c:v>-168.02436312750001</c:v>
                </c:pt>
                <c:pt idx="6">
                  <c:v>-170.86157539250004</c:v>
                </c:pt>
                <c:pt idx="7">
                  <c:v>-97.73980719536587</c:v>
                </c:pt>
                <c:pt idx="8">
                  <c:v>-9.7697728422550829E-3</c:v>
                </c:pt>
                <c:pt idx="9">
                  <c:v>-6.4844772036483457E-10</c:v>
                </c:pt>
                <c:pt idx="10">
                  <c:v>-5.12910667922052E-8</c:v>
                </c:pt>
                <c:pt idx="11">
                  <c:v>-4.9750484370817555E-7</c:v>
                </c:pt>
                <c:pt idx="12">
                  <c:v>-9.028630342306599E-7</c:v>
                </c:pt>
                <c:pt idx="13">
                  <c:v>-1.7067109927327652E-6</c:v>
                </c:pt>
                <c:pt idx="14">
                  <c:v>-4.7236178402139151E-6</c:v>
                </c:pt>
                <c:pt idx="15">
                  <c:v>-1.2222902189623458E-5</c:v>
                </c:pt>
                <c:pt idx="16">
                  <c:v>-29.660555083889236</c:v>
                </c:pt>
                <c:pt idx="17">
                  <c:v>-36.276206921642881</c:v>
                </c:pt>
                <c:pt idx="18">
                  <c:v>-37.976500338710053</c:v>
                </c:pt>
                <c:pt idx="19">
                  <c:v>-39.66400900512005</c:v>
                </c:pt>
                <c:pt idx="20">
                  <c:v>-41.39186819664026</c:v>
                </c:pt>
                <c:pt idx="21">
                  <c:v>-43.096301738077514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16-4703-9D79-8FD2279F9B0E}"/>
            </c:ext>
          </c:extLst>
        </c:ser>
        <c:ser>
          <c:idx val="5"/>
          <c:order val="5"/>
          <c:tx>
            <c:strRef>
              <c:f>SOLIDDIFER!$E$122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SOLIDDIFER!$F$122:$F$123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SOLIDDIFER!$G$122:$G$123</c:f>
              <c:numCache>
                <c:formatCode>General</c:formatCode>
                <c:ptCount val="2"/>
                <c:pt idx="0">
                  <c:v>1000000</c:v>
                </c:pt>
                <c:pt idx="1">
                  <c:v>-10000000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16-4703-9D79-8FD2279F9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879088"/>
        <c:axId val="48288065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SOLIDDIFER!$E$117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SOLIDDIFER!$F$115:$AA$115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SOLIDDIFER!$F$117:$AA$117</c15:sqref>
                        </c15:formulaRef>
                      </c:ext>
                    </c:extLst>
                    <c:numCache>
                      <c:formatCode>#,##0</c:formatCode>
                      <c:ptCount val="22"/>
                      <c:pt idx="0">
                        <c:v>-155.66398585500002</c:v>
                      </c:pt>
                      <c:pt idx="1">
                        <c:v>-157.85082407250002</c:v>
                      </c:pt>
                      <c:pt idx="2">
                        <c:v>-160.24370945749999</c:v>
                      </c:pt>
                      <c:pt idx="3">
                        <c:v>-162.7241964145</c:v>
                      </c:pt>
                      <c:pt idx="4">
                        <c:v>-165.35029521000001</c:v>
                      </c:pt>
                      <c:pt idx="5">
                        <c:v>-168.02436312750001</c:v>
                      </c:pt>
                      <c:pt idx="6">
                        <c:v>-170.86157539250004</c:v>
                      </c:pt>
                      <c:pt idx="7">
                        <c:v>-97.73980719536587</c:v>
                      </c:pt>
                      <c:pt idx="8">
                        <c:v>-9.7697728422550829E-3</c:v>
                      </c:pt>
                      <c:pt idx="9">
                        <c:v>-5.2135380437530261E-16</c:v>
                      </c:pt>
                      <c:pt idx="10">
                        <c:v>-4.74568858058136E-15</c:v>
                      </c:pt>
                      <c:pt idx="11">
                        <c:v>-1.0309422660575631E-11</c:v>
                      </c:pt>
                      <c:pt idx="12">
                        <c:v>-5.1281458836036665E-11</c:v>
                      </c:pt>
                      <c:pt idx="13">
                        <c:v>-2.3041887730372607E-10</c:v>
                      </c:pt>
                      <c:pt idx="14">
                        <c:v>-9.4323239197797161E-10</c:v>
                      </c:pt>
                      <c:pt idx="15">
                        <c:v>-3.5489887538815944E-9</c:v>
                      </c:pt>
                      <c:pt idx="16">
                        <c:v>-3.3393422119415529E-7</c:v>
                      </c:pt>
                      <c:pt idx="17">
                        <c:v>-1.0159124717946732E-5</c:v>
                      </c:pt>
                      <c:pt idx="18">
                        <c:v>-2.1585197580187506E-5</c:v>
                      </c:pt>
                      <c:pt idx="19">
                        <c:v>-4.4275892225073797E-5</c:v>
                      </c:pt>
                      <c:pt idx="20">
                        <c:v>-8.8009272618887836E-5</c:v>
                      </c:pt>
                      <c:pt idx="21">
                        <c:v>-1.6961143605152999E-4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50B0-429A-AC13-9841C125A1B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SOLIDDIFER!$E$118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SOLIDDIFER!$F$115:$AA$115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SOLIDDIFER!$F$118:$AA$118</c15:sqref>
                        </c15:formulaRef>
                      </c:ext>
                    </c:extLst>
                    <c:numCache>
                      <c:formatCode>#,##0</c:formatCode>
                      <c:ptCount val="22"/>
                      <c:pt idx="0">
                        <c:v>-233.31002499000004</c:v>
                      </c:pt>
                      <c:pt idx="1">
                        <c:v>-244.25947318500005</c:v>
                      </c:pt>
                      <c:pt idx="2">
                        <c:v>-255.5100864275</c:v>
                      </c:pt>
                      <c:pt idx="3">
                        <c:v>-266.98646051700007</c:v>
                      </c:pt>
                      <c:pt idx="4">
                        <c:v>-278.71455332250002</c:v>
                      </c:pt>
                      <c:pt idx="5">
                        <c:v>-290.54615611000003</c:v>
                      </c:pt>
                      <c:pt idx="6">
                        <c:v>-302.59644410500005</c:v>
                      </c:pt>
                      <c:pt idx="7">
                        <c:v>-238.27461799036587</c:v>
                      </c:pt>
                      <c:pt idx="8">
                        <c:v>-149.05765854284232</c:v>
                      </c:pt>
                      <c:pt idx="9">
                        <c:v>-186.99072151000004</c:v>
                      </c:pt>
                      <c:pt idx="10">
                        <c:v>-225.71249818250007</c:v>
                      </c:pt>
                      <c:pt idx="11">
                        <c:v>-265.26242677001039</c:v>
                      </c:pt>
                      <c:pt idx="12">
                        <c:v>-275.26671032005135</c:v>
                      </c:pt>
                      <c:pt idx="13">
                        <c:v>-285.43706215023053</c:v>
                      </c:pt>
                      <c:pt idx="14">
                        <c:v>-295.44190000094335</c:v>
                      </c:pt>
                      <c:pt idx="15">
                        <c:v>-305.34931962854904</c:v>
                      </c:pt>
                      <c:pt idx="16">
                        <c:v>-346.16838768393433</c:v>
                      </c:pt>
                      <c:pt idx="17">
                        <c:v>-387.29440885912487</c:v>
                      </c:pt>
                      <c:pt idx="18">
                        <c:v>-397.90427658519769</c:v>
                      </c:pt>
                      <c:pt idx="19">
                        <c:v>-408.27636087589241</c:v>
                      </c:pt>
                      <c:pt idx="20">
                        <c:v>-418.77650950927284</c:v>
                      </c:pt>
                      <c:pt idx="21">
                        <c:v>-429.23623211143621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0B0-429A-AC13-9841C125A1B2}"/>
                  </c:ext>
                </c:extLst>
              </c15:ser>
            </c15:filteredScatterSeries>
          </c:ext>
        </c:extLst>
      </c:scatterChart>
      <c:valAx>
        <c:axId val="482879088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53074875447084946"/>
              <c:y val="0.92269329867504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880656"/>
        <c:crosses val="autoZero"/>
        <c:crossBetween val="midCat"/>
      </c:valAx>
      <c:valAx>
        <c:axId val="482880656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879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02587674796123"/>
          <c:y val="0.15861398121829673"/>
          <c:w val="0.22836552812246813"/>
          <c:h val="0.2695580880883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9554958666642"/>
          <c:y val="3.5361723953697993E-2"/>
          <c:w val="0.84010309212637069"/>
          <c:h val="0.8246777743575740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SOLIDDIFER!$E$4</c:f>
              <c:strCache>
                <c:ptCount val="1"/>
                <c:pt idx="0">
                  <c:v>*Ge[l]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0.0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SOLIDDIFER!$F$4:$AA$4</c:f>
              <c:numCache>
                <c:formatCode>0.0E+00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6.3215999999999997E-24</c:v>
                </c:pt>
                <c:pt idx="9">
                  <c:v>1.9479999999999999E-13</c:v>
                </c:pt>
                <c:pt idx="10">
                  <c:v>1.8252000000000001E-10</c:v>
                </c:pt>
                <c:pt idx="11">
                  <c:v>1.4366E-9</c:v>
                </c:pt>
                <c:pt idx="12">
                  <c:v>2.4853000000000001E-9</c:v>
                </c:pt>
                <c:pt idx="13">
                  <c:v>4.4833E-9</c:v>
                </c:pt>
                <c:pt idx="14">
                  <c:v>1.1865000000000001E-8</c:v>
                </c:pt>
                <c:pt idx="15">
                  <c:v>2.9401E-8</c:v>
                </c:pt>
                <c:pt idx="16">
                  <c:v>5.9993999999999999E-2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AC8-483E-8904-9DB1BFFE345E}"/>
            </c:ext>
          </c:extLst>
        </c:ser>
        <c:ser>
          <c:idx val="1"/>
          <c:order val="1"/>
          <c:tx>
            <c:strRef>
              <c:f>SOLIDDIFER!$E$5</c:f>
              <c:strCache>
                <c:ptCount val="1"/>
                <c:pt idx="0">
                  <c:v>*Ge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0.0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SOLIDDIFER!$F$5:$AA$5</c:f>
              <c:numCache>
                <c:formatCode>0.0E+00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2.0312000000000001E-26</c:v>
                </c:pt>
                <c:pt idx="4">
                  <c:v>7.3857999999999996E-18</c:v>
                </c:pt>
                <c:pt idx="5">
                  <c:v>2.3168000000000001E-11</c:v>
                </c:pt>
                <c:pt idx="6">
                  <c:v>6.5644999999999998E-9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2.2055000000000001E-8</c:v>
                </c:pt>
                <c:pt idx="18">
                  <c:v>1.0951999999999999E-8</c:v>
                </c:pt>
                <c:pt idx="19">
                  <c:v>7.5769000000000002E-9</c:v>
                </c:pt>
                <c:pt idx="20">
                  <c:v>7.8679999999999997E-9</c:v>
                </c:pt>
                <c:pt idx="21">
                  <c:v>6.0850000000000004E-9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AC8-483E-8904-9DB1BFFE345E}"/>
            </c:ext>
          </c:extLst>
        </c:ser>
        <c:ser>
          <c:idx val="2"/>
          <c:order val="2"/>
          <c:tx>
            <c:strRef>
              <c:f>SOLIDDIFER!$E$6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0.0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SOLIDDIFER!$F$6:$AA$6</c:f>
              <c:numCache>
                <c:formatCode>0.0E+00</c:formatCode>
                <c:ptCount val="22"/>
                <c:pt idx="0">
                  <c:v>9.6087000000000004E-12</c:v>
                </c:pt>
                <c:pt idx="1">
                  <c:v>1.1031E-8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1.8961000000000001E-9</c:v>
                </c:pt>
                <c:pt idx="8">
                  <c:v>7.5525000000000005E-11</c:v>
                </c:pt>
                <c:pt idx="9">
                  <c:v>1.2385E-27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C8-483E-8904-9DB1BFFE345E}"/>
            </c:ext>
          </c:extLst>
        </c:ser>
        <c:ser>
          <c:idx val="3"/>
          <c:order val="3"/>
          <c:tx>
            <c:strRef>
              <c:f>SOLIDDIFER!$E$7</c:f>
              <c:strCache>
                <c:ptCount val="1"/>
                <c:pt idx="0">
                  <c:v>*Ga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0.0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SOLIDDIFER!$F$7:$AA$7</c:f>
              <c:numCache>
                <c:formatCode>0.0E+00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3.5173000000000003E-2</c:v>
                </c:pt>
                <c:pt idx="8">
                  <c:v>7.9995999999999998E-2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C8-483E-8904-9DB1BFFE345E}"/>
            </c:ext>
          </c:extLst>
        </c:ser>
        <c:ser>
          <c:idx val="4"/>
          <c:order val="4"/>
          <c:tx>
            <c:strRef>
              <c:f>SOLIDDIFER!$E$8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0.0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SOLIDDIFER!$F$8:$AA$8</c:f>
              <c:numCache>
                <c:formatCode>0.0E+00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2.0312000000000001E-26</c:v>
                </c:pt>
                <c:pt idx="4">
                  <c:v>7.3857999999999996E-18</c:v>
                </c:pt>
                <c:pt idx="5">
                  <c:v>2.3168000000000001E-11</c:v>
                </c:pt>
                <c:pt idx="6">
                  <c:v>6.5644999999999998E-9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2.2055000000000001E-8</c:v>
                </c:pt>
                <c:pt idx="18">
                  <c:v>1.0951999999999999E-8</c:v>
                </c:pt>
                <c:pt idx="19">
                  <c:v>7.5769000000000002E-9</c:v>
                </c:pt>
                <c:pt idx="20">
                  <c:v>7.8679999999999997E-9</c:v>
                </c:pt>
                <c:pt idx="21">
                  <c:v>6.0850000000000004E-9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C8-483E-8904-9DB1BFFE345E}"/>
            </c:ext>
          </c:extLst>
        </c:ser>
        <c:ser>
          <c:idx val="5"/>
          <c:order val="5"/>
          <c:tx>
            <c:strRef>
              <c:f>SOLIDDIFER!$E$9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0.0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SOLIDDIFER!$F$9:$AA$9</c:f>
              <c:numCache>
                <c:formatCode>0.0E+00</c:formatCode>
                <c:ptCount val="22"/>
                <c:pt idx="0">
                  <c:v>0.24</c:v>
                </c:pt>
                <c:pt idx="1">
                  <c:v>0.24</c:v>
                </c:pt>
                <c:pt idx="2">
                  <c:v>0.36</c:v>
                </c:pt>
                <c:pt idx="3">
                  <c:v>0.36</c:v>
                </c:pt>
                <c:pt idx="4">
                  <c:v>0.36</c:v>
                </c:pt>
                <c:pt idx="5">
                  <c:v>0.36</c:v>
                </c:pt>
                <c:pt idx="6">
                  <c:v>0.36</c:v>
                </c:pt>
                <c:pt idx="7">
                  <c:v>0.53276000000000001</c:v>
                </c:pt>
                <c:pt idx="8">
                  <c:v>0.59999000000000002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C8-483E-8904-9DB1BFFE345E}"/>
            </c:ext>
          </c:extLst>
        </c:ser>
        <c:ser>
          <c:idx val="6"/>
          <c:order val="6"/>
          <c:tx>
            <c:strRef>
              <c:f>SOLIDDIFER!$E$10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0.0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SOLIDDIFER!$F$10:$AA$10</c:f>
              <c:numCache>
                <c:formatCode>0.0E+00</c:formatCode>
                <c:ptCount val="22"/>
                <c:pt idx="0">
                  <c:v>0.12</c:v>
                </c:pt>
                <c:pt idx="1">
                  <c:v>0.12</c:v>
                </c:pt>
                <c:pt idx="2">
                  <c:v>5.8479999999999999E-10</c:v>
                </c:pt>
                <c:pt idx="3">
                  <c:v>8.8798000000000002E-12</c:v>
                </c:pt>
                <c:pt idx="4">
                  <c:v>7.4469E-17</c:v>
                </c:pt>
                <c:pt idx="5">
                  <c:v>5.9184999999999999E-24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C8-483E-8904-9DB1BFFE345E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300</c:v>
                </c:pt>
                <c:pt idx="1">
                  <c:v>300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-20.65</c:v>
                </c:pt>
                <c:pt idx="1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AC8-483E-8904-9DB1BFFE3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0440"/>
        <c:axId val="393219656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SOLIDDIFER!$E$11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SOLIDDIFER!$F$11:$AA$11</c15:sqref>
                        </c15:formulaRef>
                      </c:ext>
                    </c:extLst>
                    <c:numCache>
                      <c:formatCode>0.0E+00</c:formatCode>
                      <c:ptCount val="22"/>
                      <c:pt idx="0">
                        <c:v>0.04</c:v>
                      </c:pt>
                      <c:pt idx="1">
                        <c:v>0.04</c:v>
                      </c:pt>
                      <c:pt idx="2">
                        <c:v>0.04</c:v>
                      </c:pt>
                      <c:pt idx="3">
                        <c:v>0.04</c:v>
                      </c:pt>
                      <c:pt idx="4">
                        <c:v>0.04</c:v>
                      </c:pt>
                      <c:pt idx="5">
                        <c:v>0.04</c:v>
                      </c:pt>
                      <c:pt idx="6">
                        <c:v>0.04</c:v>
                      </c:pt>
                      <c:pt idx="7">
                        <c:v>2.2412999999999999E-2</c:v>
                      </c:pt>
                      <c:pt idx="8">
                        <c:v>2.0362000000000001E-6</c:v>
                      </c:pt>
                      <c:pt idx="9">
                        <c:v>7.7761000000000004E-20</c:v>
                      </c:pt>
                      <c:pt idx="10">
                        <c:v>2.5107E-30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6AC8-483E-8904-9DB1BFFE34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SOLIDDIFER!$E$12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SOLIDDIFER!$F$12:$AA$12</c15:sqref>
                        </c15:formulaRef>
                      </c:ext>
                    </c:extLst>
                    <c:numCache>
                      <c:formatCode>0.0E+00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4.1590999999999998E-36</c:v>
                      </c:pt>
                      <c:pt idx="9">
                        <c:v>1.3659000000000001E-27</c:v>
                      </c:pt>
                      <c:pt idx="10">
                        <c:v>8.0203000000000004E-22</c:v>
                      </c:pt>
                      <c:pt idx="11">
                        <c:v>1.1604999999999999E-17</c:v>
                      </c:pt>
                      <c:pt idx="12">
                        <c:v>8.4930999999999999E-17</c:v>
                      </c:pt>
                      <c:pt idx="13">
                        <c:v>5.4554999999999996E-16</c:v>
                      </c:pt>
                      <c:pt idx="14">
                        <c:v>3.1137999999999998E-15</c:v>
                      </c:pt>
                      <c:pt idx="15">
                        <c:v>1.5962999999999998E-14</c:v>
                      </c:pt>
                      <c:pt idx="16">
                        <c:v>3.9470999999999996E-12</c:v>
                      </c:pt>
                      <c:pt idx="17">
                        <c:v>1.7847999999999999E-10</c:v>
                      </c:pt>
                      <c:pt idx="18">
                        <c:v>4.1200000000000002E-10</c:v>
                      </c:pt>
                      <c:pt idx="19">
                        <c:v>9.1374999999999997E-10</c:v>
                      </c:pt>
                      <c:pt idx="20">
                        <c:v>1.9525E-9</c:v>
                      </c:pt>
                      <c:pt idx="21">
                        <c:v>4.0296000000000002E-9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AC8-483E-8904-9DB1BFFE34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SOLIDDIFER!$F$13:$AA$13</c15:sqref>
                        </c15:formulaRef>
                      </c:ext>
                    </c:extLst>
                    <c:numCache>
                      <c:formatCode>0.0E+00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2.0279999999999999E-33</c:v>
                      </c:pt>
                      <c:pt idx="7">
                        <c:v>1.0517E-30</c:v>
                      </c:pt>
                      <c:pt idx="8">
                        <c:v>1.3863000000000001E-28</c:v>
                      </c:pt>
                      <c:pt idx="9">
                        <c:v>5.5174000000000001E-22</c:v>
                      </c:pt>
                      <c:pt idx="10">
                        <c:v>1.6886000000000001E-17</c:v>
                      </c:pt>
                      <c:pt idx="11">
                        <c:v>2.9747000000000003E-14</c:v>
                      </c:pt>
                      <c:pt idx="12">
                        <c:v>1.4100000000000001E-13</c:v>
                      </c:pt>
                      <c:pt idx="13">
                        <c:v>6.0427000000000001E-13</c:v>
                      </c:pt>
                      <c:pt idx="14">
                        <c:v>2.3635000000000002E-12</c:v>
                      </c:pt>
                      <c:pt idx="15">
                        <c:v>8.5073000000000003E-12</c:v>
                      </c:pt>
                      <c:pt idx="16">
                        <c:v>6.6755000000000004E-10</c:v>
                      </c:pt>
                      <c:pt idx="17">
                        <c:v>1.6446E-8</c:v>
                      </c:pt>
                      <c:pt idx="18">
                        <c:v>3.3279000000000003E-8</c:v>
                      </c:pt>
                      <c:pt idx="19">
                        <c:v>6.5148999999999997E-8</c:v>
                      </c:pt>
                      <c:pt idx="20">
                        <c:v>1.2367E-7</c:v>
                      </c:pt>
                      <c:pt idx="21">
                        <c:v>2.2807999999999999E-7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AC8-483E-8904-9DB1BFFE34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SOLIDDIFER!$F$14:$AA$14</c15:sqref>
                        </c15:formulaRef>
                      </c:ext>
                    </c:extLst>
                    <c:numCache>
                      <c:formatCode>0.0E+00</c:formatCode>
                      <c:ptCount val="22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AC8-483E-8904-9DB1BFFE345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SOLIDDIFER!$F$15:$AA$15</c15:sqref>
                        </c15:formulaRef>
                      </c:ext>
                    </c:extLst>
                    <c:numCache>
                      <c:formatCode>0.0E+00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5.3322000000000002E-36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4.0563000000000001E-22</c:v>
                      </c:pt>
                      <c:pt idx="9">
                        <c:v>2.9414999999999999E-12</c:v>
                      </c:pt>
                      <c:pt idx="10">
                        <c:v>1.8252000000000001E-10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AC8-483E-8904-9DB1BFFE345E}"/>
                  </c:ext>
                </c:extLst>
              </c15:ser>
            </c15:filteredScatterSeries>
          </c:ext>
        </c:extLst>
      </c:scatterChart>
      <c:valAx>
        <c:axId val="393220440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9341080637818513"/>
              <c:y val="0.92990856780077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656"/>
        <c:crosses val="autoZero"/>
        <c:crossBetween val="midCat"/>
      </c:valAx>
      <c:valAx>
        <c:axId val="393219656"/>
        <c:scaling>
          <c:orientation val="minMax"/>
          <c:max val="0.61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4202173871958792E-3"/>
              <c:y val="0.197649293237307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044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252178505766039"/>
          <c:y val="8.632633420822397E-2"/>
          <c:w val="0.83842863018051283"/>
          <c:h val="0.747349518810148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Answ!$B$4</c:f>
              <c:strCache>
                <c:ptCount val="1"/>
                <c:pt idx="0">
                  <c:v>*Ge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Answ!$C$3:$CO$3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Answ!$C$4:$CO$4</c:f>
              <c:numCache>
                <c:formatCode>General</c:formatCode>
                <c:ptCount val="91"/>
                <c:pt idx="0">
                  <c:v>-20.451709747314453</c:v>
                </c:pt>
                <c:pt idx="1">
                  <c:v>-20.176399230957031</c:v>
                </c:pt>
                <c:pt idx="2">
                  <c:v>-17.98814582824707</c:v>
                </c:pt>
                <c:pt idx="3">
                  <c:v>-15.799887657165527</c:v>
                </c:pt>
                <c:pt idx="4">
                  <c:v>-14.393250465393066</c:v>
                </c:pt>
                <c:pt idx="5">
                  <c:v>-13.060880661010742</c:v>
                </c:pt>
                <c:pt idx="6">
                  <c:v>-11.904621124267578</c:v>
                </c:pt>
                <c:pt idx="7">
                  <c:v>-10.982830047607422</c:v>
                </c:pt>
                <c:pt idx="8">
                  <c:v>-10.061041831970215</c:v>
                </c:pt>
                <c:pt idx="9">
                  <c:v>-9.2537031173706055</c:v>
                </c:pt>
                <c:pt idx="10">
                  <c:v>-8.4530744552612305</c:v>
                </c:pt>
                <c:pt idx="11">
                  <c:v>-7.6984000205993652</c:v>
                </c:pt>
                <c:pt idx="12">
                  <c:v>-6.9975976943969727</c:v>
                </c:pt>
                <c:pt idx="13">
                  <c:v>-6.2967967987060547</c:v>
                </c:pt>
                <c:pt idx="14">
                  <c:v>-5.6733918190002441</c:v>
                </c:pt>
                <c:pt idx="15">
                  <c:v>-5.0518889427185059</c:v>
                </c:pt>
                <c:pt idx="16">
                  <c:v>-4.6178736686706543</c:v>
                </c:pt>
                <c:pt idx="17">
                  <c:v>-4.3776497840881348</c:v>
                </c:pt>
                <c:pt idx="18">
                  <c:v>-4.1414909362792969</c:v>
                </c:pt>
                <c:pt idx="19">
                  <c:v>-4.1744980812072754</c:v>
                </c:pt>
                <c:pt idx="20">
                  <c:v>-4.2075057029724121</c:v>
                </c:pt>
                <c:pt idx="21">
                  <c:v>-4.2406196594238281</c:v>
                </c:pt>
                <c:pt idx="22">
                  <c:v>-4.2738285064697266</c:v>
                </c:pt>
                <c:pt idx="23">
                  <c:v>-4.3070368766784668</c:v>
                </c:pt>
                <c:pt idx="24">
                  <c:v>-4.3402457237243652</c:v>
                </c:pt>
                <c:pt idx="25">
                  <c:v>-4.3734540939331055</c:v>
                </c:pt>
                <c:pt idx="26">
                  <c:v>-4.4066624641418457</c:v>
                </c:pt>
                <c:pt idx="27">
                  <c:v>-4.4398713111877441</c:v>
                </c:pt>
                <c:pt idx="28">
                  <c:v>-4.4730796813964844</c:v>
                </c:pt>
                <c:pt idx="29">
                  <c:v>-4.5062885284423828</c:v>
                </c:pt>
                <c:pt idx="30">
                  <c:v>-4.539496898651123</c:v>
                </c:pt>
                <c:pt idx="31">
                  <c:v>-4.5721225738525391</c:v>
                </c:pt>
                <c:pt idx="32">
                  <c:v>-4.6043491363525391</c:v>
                </c:pt>
                <c:pt idx="33">
                  <c:v>-4.6365756988525391</c:v>
                </c:pt>
                <c:pt idx="34">
                  <c:v>-4.6688017845153809</c:v>
                </c:pt>
                <c:pt idx="35">
                  <c:v>-4.7010283470153809</c:v>
                </c:pt>
                <c:pt idx="36">
                  <c:v>-4.7332549095153809</c:v>
                </c:pt>
                <c:pt idx="37">
                  <c:v>-4.7654809951782227</c:v>
                </c:pt>
                <c:pt idx="38">
                  <c:v>-4.7977075576782227</c:v>
                </c:pt>
                <c:pt idx="39">
                  <c:v>-4.8299341201782227</c:v>
                </c:pt>
                <c:pt idx="40">
                  <c:v>-4.8621602058410645</c:v>
                </c:pt>
                <c:pt idx="41">
                  <c:v>-4.893183708190918</c:v>
                </c:pt>
                <c:pt idx="42">
                  <c:v>-4.9235973358154297</c:v>
                </c:pt>
                <c:pt idx="43">
                  <c:v>-4.9540109634399414</c:v>
                </c:pt>
                <c:pt idx="44">
                  <c:v>-4.9844245910644531</c:v>
                </c:pt>
                <c:pt idx="45">
                  <c:v>-5.0148382186889648</c:v>
                </c:pt>
                <c:pt idx="46">
                  <c:v>-5.0452518463134766</c:v>
                </c:pt>
                <c:pt idx="47">
                  <c:v>-5.0756659507751465</c:v>
                </c:pt>
                <c:pt idx="48">
                  <c:v>-5.1060791015625</c:v>
                </c:pt>
                <c:pt idx="49">
                  <c:v>-5.1364932060241699</c:v>
                </c:pt>
                <c:pt idx="50">
                  <c:v>-5.1669068336486816</c:v>
                </c:pt>
                <c:pt idx="51">
                  <c:v>-5.1962695121765137</c:v>
                </c:pt>
                <c:pt idx="52">
                  <c:v>-5.2252516746520996</c:v>
                </c:pt>
                <c:pt idx="53">
                  <c:v>-5.2540488243103027</c:v>
                </c:pt>
                <c:pt idx="54">
                  <c:v>-5.282289981842041</c:v>
                </c:pt>
                <c:pt idx="55">
                  <c:v>-5.3105311393737793</c:v>
                </c:pt>
                <c:pt idx="56">
                  <c:v>-5.3392758369445801</c:v>
                </c:pt>
                <c:pt idx="57">
                  <c:v>-5.3682022094726563</c:v>
                </c:pt>
                <c:pt idx="58">
                  <c:v>-5.3968992233276367</c:v>
                </c:pt>
                <c:pt idx="59">
                  <c:v>-5.4250102043151855</c:v>
                </c:pt>
                <c:pt idx="60">
                  <c:v>-5.4531211853027344</c:v>
                </c:pt>
                <c:pt idx="61">
                  <c:v>-5.4852805137634277</c:v>
                </c:pt>
                <c:pt idx="62">
                  <c:v>-5.5182895660400391</c:v>
                </c:pt>
                <c:pt idx="63">
                  <c:v>-5.5512986183166504</c:v>
                </c:pt>
                <c:pt idx="64">
                  <c:v>-5.5843076705932617</c:v>
                </c:pt>
                <c:pt idx="65">
                  <c:v>-5.6173171997070313</c:v>
                </c:pt>
                <c:pt idx="66">
                  <c:v>-5.6503262519836426</c:v>
                </c:pt>
                <c:pt idx="67">
                  <c:v>-5.6833353042602539</c:v>
                </c:pt>
                <c:pt idx="68">
                  <c:v>-5.7163443565368652</c:v>
                </c:pt>
                <c:pt idx="69">
                  <c:v>-5.7493534088134766</c:v>
                </c:pt>
                <c:pt idx="70">
                  <c:v>-5.7823624610900879</c:v>
                </c:pt>
                <c:pt idx="71">
                  <c:v>-5.8392171859741211</c:v>
                </c:pt>
                <c:pt idx="72">
                  <c:v>-5.8999700546264648</c:v>
                </c:pt>
                <c:pt idx="73">
                  <c:v>-5.9607229232788086</c:v>
                </c:pt>
                <c:pt idx="74">
                  <c:v>-6.0214757919311523</c:v>
                </c:pt>
                <c:pt idx="75">
                  <c:v>-6.0822281837463379</c:v>
                </c:pt>
                <c:pt idx="76">
                  <c:v>-6.1429810523986816</c:v>
                </c:pt>
                <c:pt idx="77">
                  <c:v>-6.2037334442138672</c:v>
                </c:pt>
                <c:pt idx="78">
                  <c:v>-6.2644863128662109</c:v>
                </c:pt>
                <c:pt idx="79">
                  <c:v>-6.3252387046813965</c:v>
                </c:pt>
                <c:pt idx="80">
                  <c:v>-6.3859915733337402</c:v>
                </c:pt>
                <c:pt idx="81">
                  <c:v>-6.4403824806213379</c:v>
                </c:pt>
                <c:pt idx="82">
                  <c:v>-6.4945554733276367</c:v>
                </c:pt>
                <c:pt idx="83">
                  <c:v>-6.548734188079834</c:v>
                </c:pt>
                <c:pt idx="84">
                  <c:v>-6.6029195785522461</c:v>
                </c:pt>
                <c:pt idx="85">
                  <c:v>-6.6571044921875</c:v>
                </c:pt>
                <c:pt idx="86">
                  <c:v>-6.7081665992736816</c:v>
                </c:pt>
                <c:pt idx="87">
                  <c:v>-6.7591762542724609</c:v>
                </c:pt>
                <c:pt idx="88">
                  <c:v>-6.8099627494812012</c:v>
                </c:pt>
                <c:pt idx="89">
                  <c:v>-6.8604812622070313</c:v>
                </c:pt>
                <c:pt idx="90">
                  <c:v>-6.9109997749328613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7EEF-4BAA-B810-F2840BF7C999}"/>
            </c:ext>
          </c:extLst>
        </c:ser>
        <c:ser>
          <c:idx val="1"/>
          <c:order val="1"/>
          <c:tx>
            <c:strRef>
              <c:f>Answ!$B$5</c:f>
              <c:strCache>
                <c:ptCount val="1"/>
                <c:pt idx="0">
                  <c:v>*GeSe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Answ!$C$3:$CO$3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Answ!$C$5:$CO$5</c:f>
              <c:numCache>
                <c:formatCode>General</c:formatCode>
                <c:ptCount val="91"/>
                <c:pt idx="0">
                  <c:v>-38.977867126464844</c:v>
                </c:pt>
                <c:pt idx="1">
                  <c:v>-39.295696258544922</c:v>
                </c:pt>
                <c:pt idx="2">
                  <c:v>-37.285087585449219</c:v>
                </c:pt>
                <c:pt idx="3">
                  <c:v>-35.274471282958984</c:v>
                </c:pt>
                <c:pt idx="4">
                  <c:v>-34.059696197509766</c:v>
                </c:pt>
                <c:pt idx="5">
                  <c:v>-32.920539855957031</c:v>
                </c:pt>
                <c:pt idx="6">
                  <c:v>-31.960948944091797</c:v>
                </c:pt>
                <c:pt idx="7">
                  <c:v>-31.240421295166016</c:v>
                </c:pt>
                <c:pt idx="8">
                  <c:v>-30.5198974609375</c:v>
                </c:pt>
                <c:pt idx="9">
                  <c:v>-29.917625427246094</c:v>
                </c:pt>
                <c:pt idx="10">
                  <c:v>-29.322284698486328</c:v>
                </c:pt>
                <c:pt idx="11">
                  <c:v>-28.77290153503418</c:v>
                </c:pt>
                <c:pt idx="12">
                  <c:v>-28.277387619018555</c:v>
                </c:pt>
                <c:pt idx="13">
                  <c:v>-27.781877517700195</c:v>
                </c:pt>
                <c:pt idx="14">
                  <c:v>-27.367691040039063</c:v>
                </c:pt>
                <c:pt idx="15">
                  <c:v>-26.955501556396484</c:v>
                </c:pt>
                <c:pt idx="16">
                  <c:v>-26.727140426635742</c:v>
                </c:pt>
                <c:pt idx="17">
                  <c:v>-26.688783645629883</c:v>
                </c:pt>
                <c:pt idx="18">
                  <c:v>-26.654544830322266</c:v>
                </c:pt>
                <c:pt idx="19">
                  <c:v>-26.892841339111328</c:v>
                </c:pt>
                <c:pt idx="20">
                  <c:v>-27.131137847900391</c:v>
                </c:pt>
                <c:pt idx="21">
                  <c:v>-27.364202499389648</c:v>
                </c:pt>
                <c:pt idx="22">
                  <c:v>-27.59263801574707</c:v>
                </c:pt>
                <c:pt idx="23">
                  <c:v>-27.821071624755859</c:v>
                </c:pt>
                <c:pt idx="24">
                  <c:v>-28.049507141113281</c:v>
                </c:pt>
                <c:pt idx="25">
                  <c:v>-28.27794075012207</c:v>
                </c:pt>
                <c:pt idx="26">
                  <c:v>-28.506376266479492</c:v>
                </c:pt>
                <c:pt idx="27">
                  <c:v>-28.734811782836914</c:v>
                </c:pt>
                <c:pt idx="28">
                  <c:v>-28.963247299194336</c:v>
                </c:pt>
                <c:pt idx="29">
                  <c:v>-29.191682815551758</c:v>
                </c:pt>
                <c:pt idx="30">
                  <c:v>-29.420116424560547</c:v>
                </c:pt>
                <c:pt idx="31">
                  <c:v>-29.640285491943359</c:v>
                </c:pt>
                <c:pt idx="32">
                  <c:v>-29.854793548583984</c:v>
                </c:pt>
                <c:pt idx="33">
                  <c:v>-30.069299697875977</c:v>
                </c:pt>
                <c:pt idx="34">
                  <c:v>-30.283805847167969</c:v>
                </c:pt>
                <c:pt idx="35">
                  <c:v>-30.498313903808594</c:v>
                </c:pt>
                <c:pt idx="36">
                  <c:v>-30.712820053100586</c:v>
                </c:pt>
                <c:pt idx="37">
                  <c:v>-30.927328109741211</c:v>
                </c:pt>
                <c:pt idx="38">
                  <c:v>-31.141834259033203</c:v>
                </c:pt>
                <c:pt idx="39">
                  <c:v>-31.356340408325195</c:v>
                </c:pt>
                <c:pt idx="40">
                  <c:v>-31.570846557617188</c:v>
                </c:pt>
                <c:pt idx="41">
                  <c:v>-31.77813720703125</c:v>
                </c:pt>
                <c:pt idx="42">
                  <c:v>-31.981767654418945</c:v>
                </c:pt>
                <c:pt idx="43">
                  <c:v>-32.185398101806641</c:v>
                </c:pt>
                <c:pt idx="44">
                  <c:v>-32.389026641845703</c:v>
                </c:pt>
                <c:pt idx="45">
                  <c:v>-32.592658996582031</c:v>
                </c:pt>
                <c:pt idx="46">
                  <c:v>-32.796291351318359</c:v>
                </c:pt>
                <c:pt idx="47">
                  <c:v>-32.999919891357422</c:v>
                </c:pt>
                <c:pt idx="48">
                  <c:v>-33.203548431396484</c:v>
                </c:pt>
                <c:pt idx="49">
                  <c:v>-33.407180786132813</c:v>
                </c:pt>
                <c:pt idx="50">
                  <c:v>-33.610813140869141</c:v>
                </c:pt>
                <c:pt idx="51">
                  <c:v>-33.807388305664063</c:v>
                </c:pt>
                <c:pt idx="52">
                  <c:v>-34.00140380859375</c:v>
                </c:pt>
                <c:pt idx="53">
                  <c:v>-34.194751739501953</c:v>
                </c:pt>
                <c:pt idx="54">
                  <c:v>-34.386074066162109</c:v>
                </c:pt>
                <c:pt idx="55">
                  <c:v>-34.577400207519531</c:v>
                </c:pt>
                <c:pt idx="56">
                  <c:v>-34.772136688232422</c:v>
                </c:pt>
                <c:pt idx="57">
                  <c:v>-34.968101501464844</c:v>
                </c:pt>
                <c:pt idx="58">
                  <c:v>-35.162693023681641</c:v>
                </c:pt>
                <c:pt idx="59">
                  <c:v>-35.353763580322266</c:v>
                </c:pt>
                <c:pt idx="60">
                  <c:v>-35.544837951660156</c:v>
                </c:pt>
                <c:pt idx="61">
                  <c:v>-35.735462188720703</c:v>
                </c:pt>
                <c:pt idx="62">
                  <c:v>-35.925991058349609</c:v>
                </c:pt>
                <c:pt idx="63">
                  <c:v>-36.116523742675781</c:v>
                </c:pt>
                <c:pt idx="64">
                  <c:v>-36.307052612304688</c:v>
                </c:pt>
                <c:pt idx="65">
                  <c:v>-36.497581481933594</c:v>
                </c:pt>
                <c:pt idx="66">
                  <c:v>-36.688114166259766</c:v>
                </c:pt>
                <c:pt idx="67">
                  <c:v>-36.878643035888672</c:v>
                </c:pt>
                <c:pt idx="68">
                  <c:v>-37.069171905517578</c:v>
                </c:pt>
                <c:pt idx="69">
                  <c:v>-37.259700775146484</c:v>
                </c:pt>
                <c:pt idx="70">
                  <c:v>-37.450233459472656</c:v>
                </c:pt>
                <c:pt idx="71">
                  <c:v>-37.662151336669922</c:v>
                </c:pt>
                <c:pt idx="72">
                  <c:v>-37.8775634765625</c:v>
                </c:pt>
                <c:pt idx="73">
                  <c:v>-38.092979431152344</c:v>
                </c:pt>
                <c:pt idx="74">
                  <c:v>-38.308395385742188</c:v>
                </c:pt>
                <c:pt idx="75">
                  <c:v>-38.523807525634766</c:v>
                </c:pt>
                <c:pt idx="76">
                  <c:v>-38.739223480224609</c:v>
                </c:pt>
                <c:pt idx="77">
                  <c:v>-38.954635620117188</c:v>
                </c:pt>
                <c:pt idx="78">
                  <c:v>-39.170051574707031</c:v>
                </c:pt>
                <c:pt idx="79">
                  <c:v>-39.385467529296875</c:v>
                </c:pt>
                <c:pt idx="80">
                  <c:v>-39.600879669189453</c:v>
                </c:pt>
                <c:pt idx="81">
                  <c:v>-39.801853179931641</c:v>
                </c:pt>
                <c:pt idx="82">
                  <c:v>-40.002334594726563</c:v>
                </c:pt>
                <c:pt idx="83">
                  <c:v>-40.206546783447266</c:v>
                </c:pt>
                <c:pt idx="84">
                  <c:v>-40.415546417236328</c:v>
                </c:pt>
                <c:pt idx="85">
                  <c:v>-40.624546051025391</c:v>
                </c:pt>
                <c:pt idx="86">
                  <c:v>-40.822052001953125</c:v>
                </c:pt>
                <c:pt idx="87">
                  <c:v>-41.019371032714844</c:v>
                </c:pt>
                <c:pt idx="88">
                  <c:v>-41.218479156494141</c:v>
                </c:pt>
                <c:pt idx="89">
                  <c:v>-41.41973876953125</c:v>
                </c:pt>
                <c:pt idx="90">
                  <c:v>-41.620998382568359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7EEF-4BAA-B810-F2840BF7C999}"/>
            </c:ext>
          </c:extLst>
        </c:ser>
        <c:ser>
          <c:idx val="2"/>
          <c:order val="2"/>
          <c:tx>
            <c:strRef>
              <c:f>Answ!$B$6</c:f>
              <c:strCache>
                <c:ptCount val="1"/>
                <c:pt idx="0">
                  <c:v>*Ga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Answ!$C$3:$CO$3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Answ!$C$6:$CO$6</c:f>
              <c:numCache>
                <c:formatCode>General</c:formatCode>
                <c:ptCount val="91"/>
                <c:pt idx="0">
                  <c:v>-63.796104431152344</c:v>
                </c:pt>
                <c:pt idx="1">
                  <c:v>-64.193603515625</c:v>
                </c:pt>
                <c:pt idx="2">
                  <c:v>-60.588233947753906</c:v>
                </c:pt>
                <c:pt idx="3">
                  <c:v>-56.982856750488281</c:v>
                </c:pt>
                <c:pt idx="4">
                  <c:v>-53.949775695800781</c:v>
                </c:pt>
                <c:pt idx="5">
                  <c:v>-50.971061706542969</c:v>
                </c:pt>
                <c:pt idx="6">
                  <c:v>-48.187454223632813</c:v>
                </c:pt>
                <c:pt idx="7">
                  <c:v>-45.663600921630859</c:v>
                </c:pt>
                <c:pt idx="8">
                  <c:v>-43.139751434326172</c:v>
                </c:pt>
                <c:pt idx="9">
                  <c:v>-40.958114624023438</c:v>
                </c:pt>
                <c:pt idx="10">
                  <c:v>-38.796535491943359</c:v>
                </c:pt>
                <c:pt idx="11">
                  <c:v>-36.760963439941406</c:v>
                </c:pt>
                <c:pt idx="12">
                  <c:v>-34.873104095458984</c:v>
                </c:pt>
                <c:pt idx="13">
                  <c:v>-32.985244750976563</c:v>
                </c:pt>
                <c:pt idx="14">
                  <c:v>-31.321329116821289</c:v>
                </c:pt>
                <c:pt idx="15">
                  <c:v>-29.662914276123047</c:v>
                </c:pt>
                <c:pt idx="16">
                  <c:v>-28.14300537109375</c:v>
                </c:pt>
                <c:pt idx="17">
                  <c:v>-26.766263961791992</c:v>
                </c:pt>
                <c:pt idx="18">
                  <c:v>-25.417903900146484</c:v>
                </c:pt>
                <c:pt idx="19">
                  <c:v>-25.949241638183594</c:v>
                </c:pt>
                <c:pt idx="20">
                  <c:v>-26.480579376220703</c:v>
                </c:pt>
                <c:pt idx="21">
                  <c:v>-26.9996337890625</c:v>
                </c:pt>
                <c:pt idx="22">
                  <c:v>-27.507827758789063</c:v>
                </c:pt>
                <c:pt idx="23">
                  <c:v>-28.016019821166992</c:v>
                </c:pt>
                <c:pt idx="24">
                  <c:v>-28.524211883544922</c:v>
                </c:pt>
                <c:pt idx="25">
                  <c:v>-29.032402038574219</c:v>
                </c:pt>
                <c:pt idx="26">
                  <c:v>-29.540596008300781</c:v>
                </c:pt>
                <c:pt idx="27">
                  <c:v>-30.048788070678711</c:v>
                </c:pt>
                <c:pt idx="28">
                  <c:v>-30.556980133056641</c:v>
                </c:pt>
                <c:pt idx="29">
                  <c:v>-31.065174102783203</c:v>
                </c:pt>
                <c:pt idx="30">
                  <c:v>-31.5733642578125</c:v>
                </c:pt>
                <c:pt idx="31">
                  <c:v>-32.048915863037109</c:v>
                </c:pt>
                <c:pt idx="32">
                  <c:v>-32.502098083496094</c:v>
                </c:pt>
                <c:pt idx="33">
                  <c:v>-32.955280303955078</c:v>
                </c:pt>
                <c:pt idx="34">
                  <c:v>-33.408462524414063</c:v>
                </c:pt>
                <c:pt idx="35">
                  <c:v>-33.861648559570313</c:v>
                </c:pt>
                <c:pt idx="36">
                  <c:v>-34.314830780029297</c:v>
                </c:pt>
                <c:pt idx="37">
                  <c:v>-34.768016815185547</c:v>
                </c:pt>
                <c:pt idx="38">
                  <c:v>-35.221199035644531</c:v>
                </c:pt>
                <c:pt idx="39">
                  <c:v>-35.674381256103516</c:v>
                </c:pt>
                <c:pt idx="40">
                  <c:v>-36.1275634765625</c:v>
                </c:pt>
                <c:pt idx="41">
                  <c:v>-36.531959533691406</c:v>
                </c:pt>
                <c:pt idx="42">
                  <c:v>-36.911628723144531</c:v>
                </c:pt>
                <c:pt idx="43">
                  <c:v>-37.291294097900391</c:v>
                </c:pt>
                <c:pt idx="44">
                  <c:v>-37.67095947265625</c:v>
                </c:pt>
                <c:pt idx="45">
                  <c:v>-38.050628662109375</c:v>
                </c:pt>
                <c:pt idx="46">
                  <c:v>-38.4302978515625</c:v>
                </c:pt>
                <c:pt idx="47">
                  <c:v>-38.809963226318359</c:v>
                </c:pt>
                <c:pt idx="48">
                  <c:v>-39.189628601074219</c:v>
                </c:pt>
                <c:pt idx="49">
                  <c:v>-39.569297790527344</c:v>
                </c:pt>
                <c:pt idx="50">
                  <c:v>-39.948963165283203</c:v>
                </c:pt>
                <c:pt idx="51">
                  <c:v>-40.289279937744141</c:v>
                </c:pt>
                <c:pt idx="52">
                  <c:v>-40.615329742431641</c:v>
                </c:pt>
                <c:pt idx="53">
                  <c:v>-40.934455871582031</c:v>
                </c:pt>
                <c:pt idx="54">
                  <c:v>-41.232780456542969</c:v>
                </c:pt>
                <c:pt idx="55">
                  <c:v>-41.531105041503906</c:v>
                </c:pt>
                <c:pt idx="56">
                  <c:v>-41.819766998291016</c:v>
                </c:pt>
                <c:pt idx="57">
                  <c:v>-42.104949951171875</c:v>
                </c:pt>
                <c:pt idx="58">
                  <c:v>-42.382122039794922</c:v>
                </c:pt>
                <c:pt idx="59">
                  <c:v>-42.638786315917969</c:v>
                </c:pt>
                <c:pt idx="60">
                  <c:v>-42.895454406738281</c:v>
                </c:pt>
                <c:pt idx="61">
                  <c:v>-43.099201202392578</c:v>
                </c:pt>
                <c:pt idx="62">
                  <c:v>-43.291839599609375</c:v>
                </c:pt>
                <c:pt idx="63">
                  <c:v>-43.484477996826172</c:v>
                </c:pt>
                <c:pt idx="64">
                  <c:v>-43.677112579345703</c:v>
                </c:pt>
                <c:pt idx="65">
                  <c:v>-43.8697509765625</c:v>
                </c:pt>
                <c:pt idx="66">
                  <c:v>-44.062389373779297</c:v>
                </c:pt>
                <c:pt idx="67">
                  <c:v>-44.255023956298828</c:v>
                </c:pt>
                <c:pt idx="68">
                  <c:v>-44.447662353515625</c:v>
                </c:pt>
                <c:pt idx="69">
                  <c:v>-44.640296936035156</c:v>
                </c:pt>
                <c:pt idx="70">
                  <c:v>-44.832935333251953</c:v>
                </c:pt>
                <c:pt idx="71">
                  <c:v>-44.934719085693359</c:v>
                </c:pt>
                <c:pt idx="72">
                  <c:v>-45.021656036376953</c:v>
                </c:pt>
                <c:pt idx="73">
                  <c:v>-45.108589172363281</c:v>
                </c:pt>
                <c:pt idx="74">
                  <c:v>-45.195522308349609</c:v>
                </c:pt>
                <c:pt idx="75">
                  <c:v>-45.282455444335938</c:v>
                </c:pt>
                <c:pt idx="76">
                  <c:v>-45.369392395019531</c:v>
                </c:pt>
                <c:pt idx="77">
                  <c:v>-45.456325531005859</c:v>
                </c:pt>
                <c:pt idx="78">
                  <c:v>-45.543258666992188</c:v>
                </c:pt>
                <c:pt idx="79">
                  <c:v>-45.630191802978516</c:v>
                </c:pt>
                <c:pt idx="80">
                  <c:v>-45.717128753662109</c:v>
                </c:pt>
                <c:pt idx="81">
                  <c:v>-45.735294342041016</c:v>
                </c:pt>
                <c:pt idx="82">
                  <c:v>-45.751110076904297</c:v>
                </c:pt>
                <c:pt idx="83">
                  <c:v>-45.756431579589844</c:v>
                </c:pt>
                <c:pt idx="84">
                  <c:v>-45.748283386230469</c:v>
                </c:pt>
                <c:pt idx="85">
                  <c:v>-45.740135192871094</c:v>
                </c:pt>
                <c:pt idx="86">
                  <c:v>-45.70111083984375</c:v>
                </c:pt>
                <c:pt idx="87">
                  <c:v>-45.661567687988281</c:v>
                </c:pt>
                <c:pt idx="88">
                  <c:v>-45.608516693115234</c:v>
                </c:pt>
                <c:pt idx="89">
                  <c:v>-45.539260864257813</c:v>
                </c:pt>
                <c:pt idx="90">
                  <c:v>-45.470001220703125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7EEF-4BAA-B810-F2840BF7C999}"/>
            </c:ext>
          </c:extLst>
        </c:ser>
        <c:ser>
          <c:idx val="4"/>
          <c:order val="3"/>
          <c:tx>
            <c:strRef>
              <c:f>Answ!$B$7</c:f>
              <c:strCache>
                <c:ptCount val="1"/>
                <c:pt idx="0">
                  <c:v>*GeSe2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Answ!$C$3:$CO$3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Answ!$C$7:$CO$7</c:f>
              <c:numCache>
                <c:formatCode>General</c:formatCode>
                <c:ptCount val="91"/>
                <c:pt idx="0">
                  <c:v>-57.504024505615234</c:v>
                </c:pt>
                <c:pt idx="1">
                  <c:v>-58.414993286132813</c:v>
                </c:pt>
                <c:pt idx="2">
                  <c:v>-56.582027435302734</c:v>
                </c:pt>
                <c:pt idx="3">
                  <c:v>-54.749057769775391</c:v>
                </c:pt>
                <c:pt idx="4">
                  <c:v>-53.726146697998047</c:v>
                </c:pt>
                <c:pt idx="5">
                  <c:v>-52.780204772949219</c:v>
                </c:pt>
                <c:pt idx="6">
                  <c:v>-52.017276763916016</c:v>
                </c:pt>
                <c:pt idx="7">
                  <c:v>-51.498016357421875</c:v>
                </c:pt>
                <c:pt idx="8">
                  <c:v>-50.978752136230469</c:v>
                </c:pt>
                <c:pt idx="9">
                  <c:v>-50.581546783447266</c:v>
                </c:pt>
                <c:pt idx="10">
                  <c:v>-50.191497802734375</c:v>
                </c:pt>
                <c:pt idx="11">
                  <c:v>-49.847400665283203</c:v>
                </c:pt>
                <c:pt idx="12">
                  <c:v>-49.557178497314453</c:v>
                </c:pt>
                <c:pt idx="13">
                  <c:v>-49.266952514648438</c:v>
                </c:pt>
                <c:pt idx="14">
                  <c:v>-49.061988830566406</c:v>
                </c:pt>
                <c:pt idx="15">
                  <c:v>-48.859115600585938</c:v>
                </c:pt>
                <c:pt idx="16">
                  <c:v>-48.836406707763672</c:v>
                </c:pt>
                <c:pt idx="17">
                  <c:v>-48.999919891357422</c:v>
                </c:pt>
                <c:pt idx="18">
                  <c:v>-49.167598724365234</c:v>
                </c:pt>
                <c:pt idx="19">
                  <c:v>-49.611186981201172</c:v>
                </c:pt>
                <c:pt idx="20">
                  <c:v>-50.054771423339844</c:v>
                </c:pt>
                <c:pt idx="21">
                  <c:v>-50.487785339355469</c:v>
                </c:pt>
                <c:pt idx="22">
                  <c:v>-50.911445617675781</c:v>
                </c:pt>
                <c:pt idx="23">
                  <c:v>-51.335105895996094</c:v>
                </c:pt>
                <c:pt idx="24">
                  <c:v>-51.758769989013672</c:v>
                </c:pt>
                <c:pt idx="25">
                  <c:v>-52.182430267333984</c:v>
                </c:pt>
                <c:pt idx="26">
                  <c:v>-52.606090545654297</c:v>
                </c:pt>
                <c:pt idx="27">
                  <c:v>-53.029750823974609</c:v>
                </c:pt>
                <c:pt idx="28">
                  <c:v>-53.453411102294922</c:v>
                </c:pt>
                <c:pt idx="29">
                  <c:v>-53.8770751953125</c:v>
                </c:pt>
                <c:pt idx="30">
                  <c:v>-54.300735473632813</c:v>
                </c:pt>
                <c:pt idx="31">
                  <c:v>-54.708450317382813</c:v>
                </c:pt>
                <c:pt idx="32">
                  <c:v>-55.105236053466797</c:v>
                </c:pt>
                <c:pt idx="33">
                  <c:v>-55.502025604248047</c:v>
                </c:pt>
                <c:pt idx="34">
                  <c:v>-55.898811340332031</c:v>
                </c:pt>
                <c:pt idx="35">
                  <c:v>-56.295597076416016</c:v>
                </c:pt>
                <c:pt idx="36">
                  <c:v>-56.692386627197266</c:v>
                </c:pt>
                <c:pt idx="37">
                  <c:v>-57.08917236328125</c:v>
                </c:pt>
                <c:pt idx="38">
                  <c:v>-57.4859619140625</c:v>
                </c:pt>
                <c:pt idx="39">
                  <c:v>-57.882747650146484</c:v>
                </c:pt>
                <c:pt idx="40">
                  <c:v>-58.279533386230469</c:v>
                </c:pt>
                <c:pt idx="41">
                  <c:v>-58.663089752197266</c:v>
                </c:pt>
                <c:pt idx="42">
                  <c:v>-59.039936065673828</c:v>
                </c:pt>
                <c:pt idx="43">
                  <c:v>-59.416782379150391</c:v>
                </c:pt>
                <c:pt idx="44">
                  <c:v>-59.793628692626953</c:v>
                </c:pt>
                <c:pt idx="45">
                  <c:v>-60.170478820800781</c:v>
                </c:pt>
                <c:pt idx="46">
                  <c:v>-60.547325134277344</c:v>
                </c:pt>
                <c:pt idx="47">
                  <c:v>-60.924171447753906</c:v>
                </c:pt>
                <c:pt idx="48">
                  <c:v>-61.301017761230469</c:v>
                </c:pt>
                <c:pt idx="49">
                  <c:v>-61.677867889404297</c:v>
                </c:pt>
                <c:pt idx="50">
                  <c:v>-62.054714202880859</c:v>
                </c:pt>
                <c:pt idx="51">
                  <c:v>-62.418506622314453</c:v>
                </c:pt>
                <c:pt idx="52">
                  <c:v>-62.777561187744141</c:v>
                </c:pt>
                <c:pt idx="53">
                  <c:v>-63.135456085205078</c:v>
                </c:pt>
                <c:pt idx="54">
                  <c:v>-63.489864349365234</c:v>
                </c:pt>
                <c:pt idx="55">
                  <c:v>-63.844272613525391</c:v>
                </c:pt>
                <c:pt idx="56">
                  <c:v>-64.205001831054688</c:v>
                </c:pt>
                <c:pt idx="57">
                  <c:v>-64.568000793457031</c:v>
                </c:pt>
                <c:pt idx="58">
                  <c:v>-64.928482055664063</c:v>
                </c:pt>
                <c:pt idx="59">
                  <c:v>-65.282516479492188</c:v>
                </c:pt>
                <c:pt idx="60">
                  <c:v>-65.636550903320313</c:v>
                </c:pt>
                <c:pt idx="61">
                  <c:v>-65.985641479492188</c:v>
                </c:pt>
                <c:pt idx="62">
                  <c:v>-66.333694458007813</c:v>
                </c:pt>
                <c:pt idx="63">
                  <c:v>-66.681747436523438</c:v>
                </c:pt>
                <c:pt idx="64">
                  <c:v>-67.029792785644531</c:v>
                </c:pt>
                <c:pt idx="65">
                  <c:v>-67.377845764160156</c:v>
                </c:pt>
                <c:pt idx="66">
                  <c:v>-67.725898742675781</c:v>
                </c:pt>
                <c:pt idx="67">
                  <c:v>-68.073951721191406</c:v>
                </c:pt>
                <c:pt idx="68">
                  <c:v>-68.4219970703125</c:v>
                </c:pt>
                <c:pt idx="69">
                  <c:v>-68.770050048828125</c:v>
                </c:pt>
                <c:pt idx="70">
                  <c:v>-69.11810302734375</c:v>
                </c:pt>
                <c:pt idx="71">
                  <c:v>-69.485084533691406</c:v>
                </c:pt>
                <c:pt idx="72">
                  <c:v>-69.855155944824219</c:v>
                </c:pt>
                <c:pt idx="73">
                  <c:v>-70.225234985351563</c:v>
                </c:pt>
                <c:pt idx="74">
                  <c:v>-70.595314025878906</c:v>
                </c:pt>
                <c:pt idx="75">
                  <c:v>-70.965385437011719</c:v>
                </c:pt>
                <c:pt idx="76">
                  <c:v>-71.335464477539063</c:v>
                </c:pt>
                <c:pt idx="77">
                  <c:v>-71.705535888671875</c:v>
                </c:pt>
                <c:pt idx="78">
                  <c:v>-72.075614929199219</c:v>
                </c:pt>
                <c:pt idx="79">
                  <c:v>-72.445693969726563</c:v>
                </c:pt>
                <c:pt idx="80">
                  <c:v>-72.815765380859375</c:v>
                </c:pt>
                <c:pt idx="81">
                  <c:v>-73.163322448730469</c:v>
                </c:pt>
                <c:pt idx="82">
                  <c:v>-73.510116577148438</c:v>
                </c:pt>
                <c:pt idx="83">
                  <c:v>-73.864356994628906</c:v>
                </c:pt>
                <c:pt idx="84">
                  <c:v>-74.228172302246094</c:v>
                </c:pt>
                <c:pt idx="85">
                  <c:v>-74.591987609863281</c:v>
                </c:pt>
                <c:pt idx="86">
                  <c:v>-74.935943603515625</c:v>
                </c:pt>
                <c:pt idx="87">
                  <c:v>-75.279571533203125</c:v>
                </c:pt>
                <c:pt idx="88">
                  <c:v>-75.626998901367188</c:v>
                </c:pt>
                <c:pt idx="89">
                  <c:v>-75.97900390625</c:v>
                </c:pt>
                <c:pt idx="90">
                  <c:v>-76.331001281738281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7EEF-4BAA-B810-F2840BF7C999}"/>
            </c:ext>
          </c:extLst>
        </c:ser>
        <c:ser>
          <c:idx val="5"/>
          <c:order val="4"/>
          <c:tx>
            <c:strRef>
              <c:f>Answ!$B$8</c:f>
              <c:strCache>
                <c:ptCount val="1"/>
                <c:pt idx="0">
                  <c:v>(l)GeSe2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Answ!$C$3:$CO$3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Answ!$C$8:$CO$8</c:f>
              <c:numCache>
                <c:formatCode>General</c:formatCode>
                <c:ptCount val="91"/>
                <c:pt idx="0">
                  <c:v>-58.758548736572266</c:v>
                </c:pt>
                <c:pt idx="1">
                  <c:v>-59.797908782958984</c:v>
                </c:pt>
                <c:pt idx="2">
                  <c:v>-58.203151702880859</c:v>
                </c:pt>
                <c:pt idx="3">
                  <c:v>-56.608386993408203</c:v>
                </c:pt>
                <c:pt idx="4">
                  <c:v>-55.628200531005859</c:v>
                </c:pt>
                <c:pt idx="5">
                  <c:v>-54.706409454345703</c:v>
                </c:pt>
                <c:pt idx="6">
                  <c:v>-53.934829711914063</c:v>
                </c:pt>
                <c:pt idx="7">
                  <c:v>-53.363239288330078</c:v>
                </c:pt>
                <c:pt idx="8">
                  <c:v>-52.791648864746094</c:v>
                </c:pt>
                <c:pt idx="9">
                  <c:v>-52.404476165771484</c:v>
                </c:pt>
                <c:pt idx="10">
                  <c:v>-52.028110504150391</c:v>
                </c:pt>
                <c:pt idx="11">
                  <c:v>-51.901260375976563</c:v>
                </c:pt>
                <c:pt idx="12">
                  <c:v>-52.066925048828125</c:v>
                </c:pt>
                <c:pt idx="13">
                  <c:v>-52.232589721679688</c:v>
                </c:pt>
                <c:pt idx="14">
                  <c:v>-52.398250579833984</c:v>
                </c:pt>
                <c:pt idx="15">
                  <c:v>-52.563915252685547</c:v>
                </c:pt>
                <c:pt idx="16">
                  <c:v>-52.729579925537109</c:v>
                </c:pt>
                <c:pt idx="17">
                  <c:v>-52.895244598388672</c:v>
                </c:pt>
                <c:pt idx="18">
                  <c:v>-53.060905456542969</c:v>
                </c:pt>
                <c:pt idx="19">
                  <c:v>-53.226570129394531</c:v>
                </c:pt>
                <c:pt idx="20">
                  <c:v>-53.392234802246094</c:v>
                </c:pt>
                <c:pt idx="21">
                  <c:v>-53.691474914550781</c:v>
                </c:pt>
                <c:pt idx="22">
                  <c:v>-54.108898162841797</c:v>
                </c:pt>
                <c:pt idx="23">
                  <c:v>-54.526653289794922</c:v>
                </c:pt>
                <c:pt idx="24">
                  <c:v>-54.951320648193359</c:v>
                </c:pt>
                <c:pt idx="25">
                  <c:v>-55.375988006591797</c:v>
                </c:pt>
                <c:pt idx="26">
                  <c:v>-55.797264099121094</c:v>
                </c:pt>
                <c:pt idx="27">
                  <c:v>-56.215892791748047</c:v>
                </c:pt>
                <c:pt idx="28">
                  <c:v>-56.633930206298828</c:v>
                </c:pt>
                <c:pt idx="29">
                  <c:v>-57.044910430908203</c:v>
                </c:pt>
                <c:pt idx="30">
                  <c:v>-57.455890655517578</c:v>
                </c:pt>
                <c:pt idx="31">
                  <c:v>-57.859645843505859</c:v>
                </c:pt>
                <c:pt idx="32">
                  <c:v>-58.258445739746094</c:v>
                </c:pt>
                <c:pt idx="33">
                  <c:v>-58.657249450683594</c:v>
                </c:pt>
                <c:pt idx="34">
                  <c:v>-59.056049346923828</c:v>
                </c:pt>
                <c:pt idx="35">
                  <c:v>-59.454849243164063</c:v>
                </c:pt>
                <c:pt idx="36">
                  <c:v>-59.853652954101563</c:v>
                </c:pt>
                <c:pt idx="37">
                  <c:v>-60.252452850341797</c:v>
                </c:pt>
                <c:pt idx="38">
                  <c:v>-60.651256561279297</c:v>
                </c:pt>
                <c:pt idx="39">
                  <c:v>-61.050056457519531</c:v>
                </c:pt>
                <c:pt idx="40">
                  <c:v>-61.448856353759766</c:v>
                </c:pt>
                <c:pt idx="41">
                  <c:v>-61.833091735839844</c:v>
                </c:pt>
                <c:pt idx="42">
                  <c:v>-62.209938049316406</c:v>
                </c:pt>
                <c:pt idx="43">
                  <c:v>-62.586784362792969</c:v>
                </c:pt>
                <c:pt idx="44">
                  <c:v>-62.963630676269531</c:v>
                </c:pt>
                <c:pt idx="45">
                  <c:v>-63.340476989746094</c:v>
                </c:pt>
                <c:pt idx="46">
                  <c:v>-63.717323303222656</c:v>
                </c:pt>
                <c:pt idx="47">
                  <c:v>-64.094169616699219</c:v>
                </c:pt>
                <c:pt idx="48">
                  <c:v>-64.471015930175781</c:v>
                </c:pt>
                <c:pt idx="49">
                  <c:v>-64.847862243652344</c:v>
                </c:pt>
                <c:pt idx="50">
                  <c:v>-65.224716186523438</c:v>
                </c:pt>
                <c:pt idx="51">
                  <c:v>-65.587440490722656</c:v>
                </c:pt>
                <c:pt idx="52">
                  <c:v>-65.945053100585938</c:v>
                </c:pt>
                <c:pt idx="53">
                  <c:v>-66.302658081054688</c:v>
                </c:pt>
                <c:pt idx="54">
                  <c:v>-66.660270690917969</c:v>
                </c:pt>
                <c:pt idx="55">
                  <c:v>-67.01788330078125</c:v>
                </c:pt>
                <c:pt idx="56">
                  <c:v>-67.375495910644531</c:v>
                </c:pt>
                <c:pt idx="57">
                  <c:v>-67.733100891113281</c:v>
                </c:pt>
                <c:pt idx="58">
                  <c:v>-68.090713500976563</c:v>
                </c:pt>
                <c:pt idx="59">
                  <c:v>-68.448318481445313</c:v>
                </c:pt>
                <c:pt idx="60">
                  <c:v>-68.805931091308594</c:v>
                </c:pt>
                <c:pt idx="61">
                  <c:v>-69.151657104492188</c:v>
                </c:pt>
                <c:pt idx="62">
                  <c:v>-69.494888305664063</c:v>
                </c:pt>
                <c:pt idx="63">
                  <c:v>-69.838546752929688</c:v>
                </c:pt>
                <c:pt idx="64">
                  <c:v>-70.183212280273438</c:v>
                </c:pt>
                <c:pt idx="65">
                  <c:v>-70.527877807617188</c:v>
                </c:pt>
                <c:pt idx="66">
                  <c:v>-70.863998413085938</c:v>
                </c:pt>
                <c:pt idx="67">
                  <c:v>-71.198532104492188</c:v>
                </c:pt>
                <c:pt idx="68">
                  <c:v>-71.536117553710938</c:v>
                </c:pt>
                <c:pt idx="69">
                  <c:v>-71.88037109375</c:v>
                </c:pt>
                <c:pt idx="70">
                  <c:v>-72.224632263183594</c:v>
                </c:pt>
                <c:pt idx="71">
                  <c:v>-72.558677673339844</c:v>
                </c:pt>
                <c:pt idx="72">
                  <c:v>-72.891044616699219</c:v>
                </c:pt>
                <c:pt idx="73">
                  <c:v>-73.223419189453125</c:v>
                </c:pt>
                <c:pt idx="74">
                  <c:v>-73.5557861328125</c:v>
                </c:pt>
                <c:pt idx="75">
                  <c:v>-73.888160705566406</c:v>
                </c:pt>
                <c:pt idx="76">
                  <c:v>-74.220527648925781</c:v>
                </c:pt>
                <c:pt idx="77">
                  <c:v>-74.552894592285156</c:v>
                </c:pt>
                <c:pt idx="78">
                  <c:v>-74.885269165039063</c:v>
                </c:pt>
                <c:pt idx="79">
                  <c:v>-75.217636108398438</c:v>
                </c:pt>
                <c:pt idx="80">
                  <c:v>-75.550010681152344</c:v>
                </c:pt>
                <c:pt idx="81">
                  <c:v>-75.874740600585938</c:v>
                </c:pt>
                <c:pt idx="82">
                  <c:v>-76.19921875</c:v>
                </c:pt>
                <c:pt idx="83">
                  <c:v>-76.523689270019531</c:v>
                </c:pt>
                <c:pt idx="84">
                  <c:v>-76.848159790039063</c:v>
                </c:pt>
                <c:pt idx="85">
                  <c:v>-77.172637939453125</c:v>
                </c:pt>
                <c:pt idx="86">
                  <c:v>-77.497108459472656</c:v>
                </c:pt>
                <c:pt idx="87">
                  <c:v>-77.821578979492188</c:v>
                </c:pt>
                <c:pt idx="88">
                  <c:v>-78.146049499511719</c:v>
                </c:pt>
                <c:pt idx="89">
                  <c:v>-78.470527648925781</c:v>
                </c:pt>
                <c:pt idx="90">
                  <c:v>-78.794998168945313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7EEF-4BAA-B810-F2840BF7C999}"/>
            </c:ext>
          </c:extLst>
        </c:ser>
        <c:ser>
          <c:idx val="6"/>
          <c:order val="5"/>
          <c:tx>
            <c:strRef>
              <c:f>Answ!$B$9</c:f>
              <c:strCache>
                <c:ptCount val="1"/>
                <c:pt idx="0">
                  <c:v>(l)GeSe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Answ!$C$3:$CO$3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Answ!$C$9:$CO$9</c:f>
              <c:numCache>
                <c:formatCode>General</c:formatCode>
                <c:ptCount val="91"/>
                <c:pt idx="0">
                  <c:v>-39.785041809082031</c:v>
                </c:pt>
                <c:pt idx="1">
                  <c:v>-40.228065490722656</c:v>
                </c:pt>
                <c:pt idx="2">
                  <c:v>-38.479885101318359</c:v>
                </c:pt>
                <c:pt idx="3">
                  <c:v>-36.731700897216797</c:v>
                </c:pt>
                <c:pt idx="4">
                  <c:v>-35.576457977294922</c:v>
                </c:pt>
                <c:pt idx="5">
                  <c:v>-34.477554321289063</c:v>
                </c:pt>
                <c:pt idx="6">
                  <c:v>-33.521953582763672</c:v>
                </c:pt>
                <c:pt idx="7">
                  <c:v>-32.757152557373047</c:v>
                </c:pt>
                <c:pt idx="8">
                  <c:v>-31.992349624633789</c:v>
                </c:pt>
                <c:pt idx="9">
                  <c:v>-31.400554656982422</c:v>
                </c:pt>
                <c:pt idx="10">
                  <c:v>-30.818899154663086</c:v>
                </c:pt>
                <c:pt idx="11">
                  <c:v>-30.489006042480469</c:v>
                </c:pt>
                <c:pt idx="12">
                  <c:v>-30.454261779785156</c:v>
                </c:pt>
                <c:pt idx="13">
                  <c:v>-30.419517517089844</c:v>
                </c:pt>
                <c:pt idx="14">
                  <c:v>-30.384773254394531</c:v>
                </c:pt>
                <c:pt idx="15">
                  <c:v>-30.350028991699219</c:v>
                </c:pt>
                <c:pt idx="16">
                  <c:v>-30.315284729003906</c:v>
                </c:pt>
                <c:pt idx="17">
                  <c:v>-30.280542373657227</c:v>
                </c:pt>
                <c:pt idx="18">
                  <c:v>-30.245798110961914</c:v>
                </c:pt>
                <c:pt idx="19">
                  <c:v>-30.211053848266602</c:v>
                </c:pt>
                <c:pt idx="20">
                  <c:v>-30.176309585571289</c:v>
                </c:pt>
                <c:pt idx="21">
                  <c:v>-30.276823043823242</c:v>
                </c:pt>
                <c:pt idx="22">
                  <c:v>-30.497007369995117</c:v>
                </c:pt>
                <c:pt idx="23">
                  <c:v>-30.717527389526367</c:v>
                </c:pt>
                <c:pt idx="24">
                  <c:v>-30.944953918457031</c:v>
                </c:pt>
                <c:pt idx="25">
                  <c:v>-31.172382354736328</c:v>
                </c:pt>
                <c:pt idx="26">
                  <c:v>-31.398679733276367</c:v>
                </c:pt>
                <c:pt idx="27">
                  <c:v>-31.624095916748047</c:v>
                </c:pt>
                <c:pt idx="28">
                  <c:v>-31.84922981262207</c:v>
                </c:pt>
                <c:pt idx="29">
                  <c:v>-32.071022033691406</c:v>
                </c:pt>
                <c:pt idx="30">
                  <c:v>-32.292816162109375</c:v>
                </c:pt>
                <c:pt idx="31">
                  <c:v>-32.510883331298828</c:v>
                </c:pt>
                <c:pt idx="32">
                  <c:v>-32.726398468017578</c:v>
                </c:pt>
                <c:pt idx="33">
                  <c:v>-32.941909790039063</c:v>
                </c:pt>
                <c:pt idx="34">
                  <c:v>-33.157424926757813</c:v>
                </c:pt>
                <c:pt idx="35">
                  <c:v>-33.372940063476563</c:v>
                </c:pt>
                <c:pt idx="36">
                  <c:v>-33.588451385498047</c:v>
                </c:pt>
                <c:pt idx="37">
                  <c:v>-33.803966522216797</c:v>
                </c:pt>
                <c:pt idx="38">
                  <c:v>-34.019481658935547</c:v>
                </c:pt>
                <c:pt idx="39">
                  <c:v>-34.234992980957031</c:v>
                </c:pt>
                <c:pt idx="40">
                  <c:v>-34.450508117675781</c:v>
                </c:pt>
                <c:pt idx="41">
                  <c:v>-34.658134460449219</c:v>
                </c:pt>
                <c:pt idx="42">
                  <c:v>-34.861766815185547</c:v>
                </c:pt>
                <c:pt idx="43">
                  <c:v>-35.065395355224609</c:v>
                </c:pt>
                <c:pt idx="44">
                  <c:v>-35.269027709960938</c:v>
                </c:pt>
                <c:pt idx="45">
                  <c:v>-35.47265625</c:v>
                </c:pt>
                <c:pt idx="46">
                  <c:v>-35.676288604736328</c:v>
                </c:pt>
                <c:pt idx="47">
                  <c:v>-35.879917144775391</c:v>
                </c:pt>
                <c:pt idx="48">
                  <c:v>-36.083549499511719</c:v>
                </c:pt>
                <c:pt idx="49">
                  <c:v>-36.287178039550781</c:v>
                </c:pt>
                <c:pt idx="50">
                  <c:v>-36.490810394287109</c:v>
                </c:pt>
                <c:pt idx="51">
                  <c:v>-36.686702728271484</c:v>
                </c:pt>
                <c:pt idx="52">
                  <c:v>-36.879787445068359</c:v>
                </c:pt>
                <c:pt idx="53">
                  <c:v>-37.0728759765625</c:v>
                </c:pt>
                <c:pt idx="54">
                  <c:v>-37.265964508056641</c:v>
                </c:pt>
                <c:pt idx="55">
                  <c:v>-37.459053039550781</c:v>
                </c:pt>
                <c:pt idx="56">
                  <c:v>-37.652141571044922</c:v>
                </c:pt>
                <c:pt idx="57">
                  <c:v>-37.845226287841797</c:v>
                </c:pt>
                <c:pt idx="58">
                  <c:v>-38.038314819335938</c:v>
                </c:pt>
                <c:pt idx="59">
                  <c:v>-38.231399536132813</c:v>
                </c:pt>
                <c:pt idx="60">
                  <c:v>-38.424488067626953</c:v>
                </c:pt>
                <c:pt idx="61">
                  <c:v>-38.610939025878906</c:v>
                </c:pt>
                <c:pt idx="62">
                  <c:v>-38.795997619628906</c:v>
                </c:pt>
                <c:pt idx="63">
                  <c:v>-38.981269836425781</c:v>
                </c:pt>
                <c:pt idx="64">
                  <c:v>-39.167049407958984</c:v>
                </c:pt>
                <c:pt idx="65">
                  <c:v>-39.352828979492188</c:v>
                </c:pt>
                <c:pt idx="66">
                  <c:v>-39.534000396728516</c:v>
                </c:pt>
                <c:pt idx="67">
                  <c:v>-39.714313507080078</c:v>
                </c:pt>
                <c:pt idx="68">
                  <c:v>-39.896217346191406</c:v>
                </c:pt>
                <c:pt idx="69">
                  <c:v>-40.081584930419922</c:v>
                </c:pt>
                <c:pt idx="70">
                  <c:v>-40.266956329345703</c:v>
                </c:pt>
                <c:pt idx="71">
                  <c:v>-40.446609497070313</c:v>
                </c:pt>
                <c:pt idx="72">
                  <c:v>-40.625331878662109</c:v>
                </c:pt>
                <c:pt idx="73">
                  <c:v>-40.804050445556641</c:v>
                </c:pt>
                <c:pt idx="74">
                  <c:v>-40.982772827148438</c:v>
                </c:pt>
                <c:pt idx="75">
                  <c:v>-41.161491394042969</c:v>
                </c:pt>
                <c:pt idx="76">
                  <c:v>-41.340213775634766</c:v>
                </c:pt>
                <c:pt idx="77">
                  <c:v>-41.518932342529297</c:v>
                </c:pt>
                <c:pt idx="78">
                  <c:v>-41.697650909423828</c:v>
                </c:pt>
                <c:pt idx="79">
                  <c:v>-41.876373291015625</c:v>
                </c:pt>
                <c:pt idx="80">
                  <c:v>-42.055091857910156</c:v>
                </c:pt>
                <c:pt idx="81">
                  <c:v>-42.229225158691406</c:v>
                </c:pt>
                <c:pt idx="82">
                  <c:v>-42.4031982421875</c:v>
                </c:pt>
                <c:pt idx="83">
                  <c:v>-42.577175140380859</c:v>
                </c:pt>
                <c:pt idx="84">
                  <c:v>-42.751148223876953</c:v>
                </c:pt>
                <c:pt idx="85">
                  <c:v>-42.925125122070313</c:v>
                </c:pt>
                <c:pt idx="86">
                  <c:v>-43.099098205566406</c:v>
                </c:pt>
                <c:pt idx="87">
                  <c:v>-43.2730712890625</c:v>
                </c:pt>
                <c:pt idx="88">
                  <c:v>-43.447048187255859</c:v>
                </c:pt>
                <c:pt idx="89">
                  <c:v>-43.621021270751953</c:v>
                </c:pt>
                <c:pt idx="90">
                  <c:v>-43.794998168945313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EF-4BAA-B810-F2840BF7C999}"/>
            </c:ext>
          </c:extLst>
        </c:ser>
        <c:ser>
          <c:idx val="8"/>
          <c:order val="7"/>
          <c:tx>
            <c:strRef>
              <c:f>Answ!$B$11</c:f>
              <c:strCache>
                <c:ptCount val="1"/>
                <c:pt idx="0">
                  <c:v>(l)Ge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Answ!$C$3:$CO$3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Answ!$C$11:$CO$11</c:f>
              <c:numCache>
                <c:formatCode>General</c:formatCode>
                <c:ptCount val="91"/>
                <c:pt idx="0">
                  <c:v>-20.811534881591797</c:v>
                </c:pt>
                <c:pt idx="1">
                  <c:v>-20.658218383789063</c:v>
                </c:pt>
                <c:pt idx="2">
                  <c:v>-18.756618499755859</c:v>
                </c:pt>
                <c:pt idx="3">
                  <c:v>-16.855014801025391</c:v>
                </c:pt>
                <c:pt idx="4">
                  <c:v>-15.524714469909668</c:v>
                </c:pt>
                <c:pt idx="5">
                  <c:v>-14.248698234558105</c:v>
                </c:pt>
                <c:pt idx="6">
                  <c:v>-13.109082221984863</c:v>
                </c:pt>
                <c:pt idx="7">
                  <c:v>-12.151063919067383</c:v>
                </c:pt>
                <c:pt idx="8">
                  <c:v>-11.193047523498535</c:v>
                </c:pt>
                <c:pt idx="9">
                  <c:v>-10.396632194519043</c:v>
                </c:pt>
                <c:pt idx="10">
                  <c:v>-9.6096887588500977</c:v>
                </c:pt>
                <c:pt idx="11">
                  <c:v>-9.0767526626586914</c:v>
                </c:pt>
                <c:pt idx="12">
                  <c:v>-8.8416004180908203</c:v>
                </c:pt>
                <c:pt idx="13">
                  <c:v>-8.6064491271972656</c:v>
                </c:pt>
                <c:pt idx="14">
                  <c:v>-8.3712968826293945</c:v>
                </c:pt>
                <c:pt idx="15">
                  <c:v>-8.1361455917358398</c:v>
                </c:pt>
                <c:pt idx="16">
                  <c:v>-7.9009933471679688</c:v>
                </c:pt>
                <c:pt idx="17">
                  <c:v>-7.6658415794372559</c:v>
                </c:pt>
                <c:pt idx="18">
                  <c:v>-7.4306893348693848</c:v>
                </c:pt>
                <c:pt idx="19">
                  <c:v>-7.1955370903015137</c:v>
                </c:pt>
                <c:pt idx="20">
                  <c:v>-6.9603848457336426</c:v>
                </c:pt>
                <c:pt idx="21">
                  <c:v>-6.8621735572814941</c:v>
                </c:pt>
                <c:pt idx="22">
                  <c:v>-6.8851180076599121</c:v>
                </c:pt>
                <c:pt idx="23">
                  <c:v>-6.9083971977233887</c:v>
                </c:pt>
                <c:pt idx="24">
                  <c:v>-6.9385867118835449</c:v>
                </c:pt>
                <c:pt idx="25">
                  <c:v>-6.9687762260437012</c:v>
                </c:pt>
                <c:pt idx="26">
                  <c:v>-7.0000967979431152</c:v>
                </c:pt>
                <c:pt idx="27">
                  <c:v>-7.0322990417480469</c:v>
                </c:pt>
                <c:pt idx="28">
                  <c:v>-7.0645327568054199</c:v>
                </c:pt>
                <c:pt idx="29">
                  <c:v>-7.0971379280090332</c:v>
                </c:pt>
                <c:pt idx="30">
                  <c:v>-7.1297426223754883</c:v>
                </c:pt>
                <c:pt idx="31">
                  <c:v>-7.1621227264404297</c:v>
                </c:pt>
                <c:pt idx="32">
                  <c:v>-7.1943492889404297</c:v>
                </c:pt>
                <c:pt idx="33">
                  <c:v>-7.2265758514404297</c:v>
                </c:pt>
                <c:pt idx="34">
                  <c:v>-7.2588019371032715</c:v>
                </c:pt>
                <c:pt idx="35">
                  <c:v>-7.2910284996032715</c:v>
                </c:pt>
                <c:pt idx="36">
                  <c:v>-7.3232545852661133</c:v>
                </c:pt>
                <c:pt idx="37">
                  <c:v>-7.3554811477661133</c:v>
                </c:pt>
                <c:pt idx="38">
                  <c:v>-7.3877072334289551</c:v>
                </c:pt>
                <c:pt idx="39">
                  <c:v>-7.4199337959289551</c:v>
                </c:pt>
                <c:pt idx="40">
                  <c:v>-7.4521598815917969</c:v>
                </c:pt>
                <c:pt idx="41">
                  <c:v>-7.4831833839416504</c:v>
                </c:pt>
                <c:pt idx="42">
                  <c:v>-7.5135970115661621</c:v>
                </c:pt>
                <c:pt idx="43">
                  <c:v>-7.5440106391906738</c:v>
                </c:pt>
                <c:pt idx="44">
                  <c:v>-7.5744242668151855</c:v>
                </c:pt>
                <c:pt idx="45">
                  <c:v>-7.6048378944396973</c:v>
                </c:pt>
                <c:pt idx="46">
                  <c:v>-7.635251522064209</c:v>
                </c:pt>
                <c:pt idx="47">
                  <c:v>-7.6656656265258789</c:v>
                </c:pt>
                <c:pt idx="48">
                  <c:v>-7.6960787773132324</c:v>
                </c:pt>
                <c:pt idx="49">
                  <c:v>-7.7264928817749023</c:v>
                </c:pt>
                <c:pt idx="50">
                  <c:v>-7.7569065093994141</c:v>
                </c:pt>
                <c:pt idx="51">
                  <c:v>-7.7859630584716797</c:v>
                </c:pt>
                <c:pt idx="52">
                  <c:v>-7.8145270347595215</c:v>
                </c:pt>
                <c:pt idx="53">
                  <c:v>-7.8430919647216797</c:v>
                </c:pt>
                <c:pt idx="54">
                  <c:v>-7.8716564178466797</c:v>
                </c:pt>
                <c:pt idx="55">
                  <c:v>-7.9002208709716797</c:v>
                </c:pt>
                <c:pt idx="56">
                  <c:v>-7.9287853240966797</c:v>
                </c:pt>
                <c:pt idx="57">
                  <c:v>-7.9573497772216797</c:v>
                </c:pt>
                <c:pt idx="58">
                  <c:v>-7.9859142303466797</c:v>
                </c:pt>
                <c:pt idx="59">
                  <c:v>-8.0144786834716797</c:v>
                </c:pt>
                <c:pt idx="60">
                  <c:v>-8.0430431365966797</c:v>
                </c:pt>
                <c:pt idx="61">
                  <c:v>-8.0702228546142578</c:v>
                </c:pt>
                <c:pt idx="62">
                  <c:v>-8.097111701965332</c:v>
                </c:pt>
                <c:pt idx="63">
                  <c:v>-8.1240005493164063</c:v>
                </c:pt>
                <c:pt idx="64">
                  <c:v>-8.1508893966674805</c:v>
                </c:pt>
                <c:pt idx="65">
                  <c:v>-8.1777782440185547</c:v>
                </c:pt>
                <c:pt idx="66">
                  <c:v>-8.2040004730224609</c:v>
                </c:pt>
                <c:pt idx="67">
                  <c:v>-8.2300987243652344</c:v>
                </c:pt>
                <c:pt idx="68">
                  <c:v>-8.2563161849975586</c:v>
                </c:pt>
                <c:pt idx="69">
                  <c:v>-8.2827978134155273</c:v>
                </c:pt>
                <c:pt idx="70">
                  <c:v>-8.3092794418334961</c:v>
                </c:pt>
                <c:pt idx="71">
                  <c:v>-8.3345470428466797</c:v>
                </c:pt>
                <c:pt idx="72">
                  <c:v>-8.3596162796020508</c:v>
                </c:pt>
                <c:pt idx="73">
                  <c:v>-8.3846855163574219</c:v>
                </c:pt>
                <c:pt idx="74">
                  <c:v>-8.409754753112793</c:v>
                </c:pt>
                <c:pt idx="75">
                  <c:v>-8.4348239898681641</c:v>
                </c:pt>
                <c:pt idx="76">
                  <c:v>-8.4598941802978516</c:v>
                </c:pt>
                <c:pt idx="77">
                  <c:v>-8.4849634170532227</c:v>
                </c:pt>
                <c:pt idx="78">
                  <c:v>-8.5100326538085938</c:v>
                </c:pt>
                <c:pt idx="79">
                  <c:v>-8.5351018905639648</c:v>
                </c:pt>
                <c:pt idx="80">
                  <c:v>-8.5601711273193359</c:v>
                </c:pt>
                <c:pt idx="81">
                  <c:v>-8.5837011337280273</c:v>
                </c:pt>
                <c:pt idx="82">
                  <c:v>-8.6071786880493164</c:v>
                </c:pt>
                <c:pt idx="83">
                  <c:v>-8.6306562423706055</c:v>
                </c:pt>
                <c:pt idx="84">
                  <c:v>-8.6541347503662109</c:v>
                </c:pt>
                <c:pt idx="85">
                  <c:v>-8.6776123046875</c:v>
                </c:pt>
                <c:pt idx="86">
                  <c:v>-8.7010898590087891</c:v>
                </c:pt>
                <c:pt idx="87">
                  <c:v>-8.7245674133300781</c:v>
                </c:pt>
                <c:pt idx="88">
                  <c:v>-8.7480449676513672</c:v>
                </c:pt>
                <c:pt idx="89">
                  <c:v>-8.7715225219726563</c:v>
                </c:pt>
                <c:pt idx="90">
                  <c:v>-8.7950000762939453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7EEF-4BAA-B810-F2840BF7C999}"/>
            </c:ext>
          </c:extLst>
        </c:ser>
        <c:ser>
          <c:idx val="9"/>
          <c:order val="8"/>
          <c:tx>
            <c:strRef>
              <c:f>Answ!$B$12</c:f>
              <c:strCache>
                <c:ptCount val="1"/>
                <c:pt idx="0">
                  <c:v>(l)Ga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Answ!$C$3:$CO$3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Answ!$C$12:$CO$12</c:f>
              <c:numCache>
                <c:formatCode>General</c:formatCode>
                <c:ptCount val="91"/>
                <c:pt idx="0">
                  <c:v>-63.572433471679688</c:v>
                </c:pt>
                <c:pt idx="1">
                  <c:v>-63.984081268310547</c:v>
                </c:pt>
                <c:pt idx="2">
                  <c:v>-60.431198120117188</c:v>
                </c:pt>
                <c:pt idx="3">
                  <c:v>-56.878307342529297</c:v>
                </c:pt>
                <c:pt idx="4">
                  <c:v>-53.882858276367188</c:v>
                </c:pt>
                <c:pt idx="5">
                  <c:v>-50.940372467041016</c:v>
                </c:pt>
                <c:pt idx="6">
                  <c:v>-48.184360504150391</c:v>
                </c:pt>
                <c:pt idx="7">
                  <c:v>-45.676605224609375</c:v>
                </c:pt>
                <c:pt idx="8">
                  <c:v>-43.168857574462891</c:v>
                </c:pt>
                <c:pt idx="9">
                  <c:v>-40.991912841796875</c:v>
                </c:pt>
                <c:pt idx="10">
                  <c:v>-38.834362030029297</c:v>
                </c:pt>
                <c:pt idx="11">
                  <c:v>-37.269458770751953</c:v>
                </c:pt>
                <c:pt idx="12">
                  <c:v>-36.399345397949219</c:v>
                </c:pt>
                <c:pt idx="13">
                  <c:v>-35.52923583984375</c:v>
                </c:pt>
                <c:pt idx="14">
                  <c:v>-34.659122467041016</c:v>
                </c:pt>
                <c:pt idx="15">
                  <c:v>-33.789012908935547</c:v>
                </c:pt>
                <c:pt idx="16">
                  <c:v>-32.918899536132813</c:v>
                </c:pt>
                <c:pt idx="17">
                  <c:v>-32.048786163330078</c:v>
                </c:pt>
                <c:pt idx="18">
                  <c:v>-31.178674697875977</c:v>
                </c:pt>
                <c:pt idx="19">
                  <c:v>-30.308561325073242</c:v>
                </c:pt>
                <c:pt idx="20">
                  <c:v>-29.438449859619141</c:v>
                </c:pt>
                <c:pt idx="21">
                  <c:v>-29.307643890380859</c:v>
                </c:pt>
                <c:pt idx="22">
                  <c:v>-29.8309326171875</c:v>
                </c:pt>
                <c:pt idx="23">
                  <c:v>-30.353847503662109</c:v>
                </c:pt>
                <c:pt idx="24">
                  <c:v>-30.869083404541016</c:v>
                </c:pt>
                <c:pt idx="25">
                  <c:v>-31.384317398071289</c:v>
                </c:pt>
                <c:pt idx="26">
                  <c:v>-31.892766952514648</c:v>
                </c:pt>
                <c:pt idx="27">
                  <c:v>-32.395927429199219</c:v>
                </c:pt>
                <c:pt idx="28">
                  <c:v>-32.898151397705078</c:v>
                </c:pt>
                <c:pt idx="29">
                  <c:v>-33.389236450195313</c:v>
                </c:pt>
                <c:pt idx="30">
                  <c:v>-33.880321502685547</c:v>
                </c:pt>
                <c:pt idx="31">
                  <c:v>-34.348915100097656</c:v>
                </c:pt>
                <c:pt idx="32">
                  <c:v>-34.802101135253906</c:v>
                </c:pt>
                <c:pt idx="33">
                  <c:v>-35.255283355712891</c:v>
                </c:pt>
                <c:pt idx="34">
                  <c:v>-35.708465576171875</c:v>
                </c:pt>
                <c:pt idx="35">
                  <c:v>-36.161651611328125</c:v>
                </c:pt>
                <c:pt idx="36">
                  <c:v>-36.614833831787109</c:v>
                </c:pt>
                <c:pt idx="37">
                  <c:v>-37.068016052246094</c:v>
                </c:pt>
                <c:pt idx="38">
                  <c:v>-37.521202087402344</c:v>
                </c:pt>
                <c:pt idx="39">
                  <c:v>-37.974384307861328</c:v>
                </c:pt>
                <c:pt idx="40">
                  <c:v>-38.427566528320313</c:v>
                </c:pt>
                <c:pt idx="41">
                  <c:v>-38.831962585449219</c:v>
                </c:pt>
                <c:pt idx="42">
                  <c:v>-39.211631774902344</c:v>
                </c:pt>
                <c:pt idx="43">
                  <c:v>-39.591297149658203</c:v>
                </c:pt>
                <c:pt idx="44">
                  <c:v>-39.970962524414063</c:v>
                </c:pt>
                <c:pt idx="45">
                  <c:v>-40.350631713867188</c:v>
                </c:pt>
                <c:pt idx="46">
                  <c:v>-40.730297088623047</c:v>
                </c:pt>
                <c:pt idx="47">
                  <c:v>-41.109962463378906</c:v>
                </c:pt>
                <c:pt idx="48">
                  <c:v>-41.489627838134766</c:v>
                </c:pt>
                <c:pt idx="49">
                  <c:v>-41.869297027587891</c:v>
                </c:pt>
                <c:pt idx="50">
                  <c:v>-42.24896240234375</c:v>
                </c:pt>
                <c:pt idx="51">
                  <c:v>-42.564815521240234</c:v>
                </c:pt>
                <c:pt idx="52">
                  <c:v>-42.857521057128906</c:v>
                </c:pt>
                <c:pt idx="53">
                  <c:v>-43.150234222412109</c:v>
                </c:pt>
                <c:pt idx="54">
                  <c:v>-43.442943572998047</c:v>
                </c:pt>
                <c:pt idx="55">
                  <c:v>-43.735652923583984</c:v>
                </c:pt>
                <c:pt idx="56">
                  <c:v>-44.028362274169922</c:v>
                </c:pt>
                <c:pt idx="57">
                  <c:v>-44.321071624755859</c:v>
                </c:pt>
                <c:pt idx="58">
                  <c:v>-44.613780975341797</c:v>
                </c:pt>
                <c:pt idx="59">
                  <c:v>-44.906490325927734</c:v>
                </c:pt>
                <c:pt idx="60">
                  <c:v>-45.199199676513672</c:v>
                </c:pt>
                <c:pt idx="61">
                  <c:v>-45.436275482177734</c:v>
                </c:pt>
                <c:pt idx="62">
                  <c:v>-45.661666870117188</c:v>
                </c:pt>
                <c:pt idx="63">
                  <c:v>-45.881816864013672</c:v>
                </c:pt>
                <c:pt idx="64">
                  <c:v>-46.089595794677734</c:v>
                </c:pt>
                <c:pt idx="65">
                  <c:v>-46.297374725341797</c:v>
                </c:pt>
                <c:pt idx="66">
                  <c:v>-46.479999542236328</c:v>
                </c:pt>
                <c:pt idx="67">
                  <c:v>-46.657939910888672</c:v>
                </c:pt>
                <c:pt idx="68">
                  <c:v>-46.828617095947266</c:v>
                </c:pt>
                <c:pt idx="69">
                  <c:v>-46.983432769775391</c:v>
                </c:pt>
                <c:pt idx="70">
                  <c:v>-47.138248443603516</c:v>
                </c:pt>
                <c:pt idx="71">
                  <c:v>-47.234718322753906</c:v>
                </c:pt>
                <c:pt idx="72">
                  <c:v>-47.3216552734375</c:v>
                </c:pt>
                <c:pt idx="73">
                  <c:v>-47.408588409423828</c:v>
                </c:pt>
                <c:pt idx="74">
                  <c:v>-47.495521545410156</c:v>
                </c:pt>
                <c:pt idx="75">
                  <c:v>-47.582454681396484</c:v>
                </c:pt>
                <c:pt idx="76">
                  <c:v>-47.669391632080078</c:v>
                </c:pt>
                <c:pt idx="77">
                  <c:v>-47.756324768066406</c:v>
                </c:pt>
                <c:pt idx="78">
                  <c:v>-47.843257904052734</c:v>
                </c:pt>
                <c:pt idx="79">
                  <c:v>-47.930191040039063</c:v>
                </c:pt>
                <c:pt idx="80">
                  <c:v>-48.017127990722656</c:v>
                </c:pt>
                <c:pt idx="81">
                  <c:v>-47.995746612548828</c:v>
                </c:pt>
                <c:pt idx="82">
                  <c:v>-47.970664978027344</c:v>
                </c:pt>
                <c:pt idx="83">
                  <c:v>-47.945579528808594</c:v>
                </c:pt>
                <c:pt idx="84">
                  <c:v>-47.920497894287109</c:v>
                </c:pt>
                <c:pt idx="85">
                  <c:v>-47.895416259765625</c:v>
                </c:pt>
                <c:pt idx="86">
                  <c:v>-47.870330810546875</c:v>
                </c:pt>
                <c:pt idx="87">
                  <c:v>-47.845249176025391</c:v>
                </c:pt>
                <c:pt idx="88">
                  <c:v>-47.820167541503906</c:v>
                </c:pt>
                <c:pt idx="89">
                  <c:v>-47.795082092285156</c:v>
                </c:pt>
                <c:pt idx="90">
                  <c:v>-47.770000457763672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7EEF-4BAA-B810-F2840BF7C999}"/>
            </c:ext>
          </c:extLst>
        </c:ser>
        <c:ser>
          <c:idx val="10"/>
          <c:order val="9"/>
          <c:tx>
            <c:strRef>
              <c:f>Answ!$B$13</c:f>
              <c:strCache>
                <c:ptCount val="1"/>
                <c:pt idx="0">
                  <c:v>(l)Se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Answ!$C$3:$CO$3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Answ!$C$13:$CO$13</c:f>
              <c:numCache>
                <c:formatCode>General</c:formatCode>
                <c:ptCount val="91"/>
                <c:pt idx="0">
                  <c:v>-18.973506927490234</c:v>
                </c:pt>
                <c:pt idx="1">
                  <c:v>-19.569847106933594</c:v>
                </c:pt>
                <c:pt idx="2">
                  <c:v>-19.7232666015625</c:v>
                </c:pt>
                <c:pt idx="3">
                  <c:v>-19.876686096191406</c:v>
                </c:pt>
                <c:pt idx="4">
                  <c:v>-20.051742553710938</c:v>
                </c:pt>
                <c:pt idx="5">
                  <c:v>-20.228855133056641</c:v>
                </c:pt>
                <c:pt idx="6">
                  <c:v>-20.412874221801758</c:v>
                </c:pt>
                <c:pt idx="7">
                  <c:v>-20.606086730957031</c:v>
                </c:pt>
                <c:pt idx="8">
                  <c:v>-20.799301147460938</c:v>
                </c:pt>
                <c:pt idx="9">
                  <c:v>-21.003921508789063</c:v>
                </c:pt>
                <c:pt idx="10">
                  <c:v>-21.209211349487305</c:v>
                </c:pt>
                <c:pt idx="11">
                  <c:v>-21.412252426147461</c:v>
                </c:pt>
                <c:pt idx="12">
                  <c:v>-21.612661361694336</c:v>
                </c:pt>
                <c:pt idx="13">
                  <c:v>-21.813068389892578</c:v>
                </c:pt>
                <c:pt idx="14">
                  <c:v>-22.013477325439453</c:v>
                </c:pt>
                <c:pt idx="15">
                  <c:v>-22.213884353637695</c:v>
                </c:pt>
                <c:pt idx="16">
                  <c:v>-22.41429328918457</c:v>
                </c:pt>
                <c:pt idx="17">
                  <c:v>-22.614700317382813</c:v>
                </c:pt>
                <c:pt idx="18">
                  <c:v>-22.815107345581055</c:v>
                </c:pt>
                <c:pt idx="19">
                  <c:v>-23.01551628112793</c:v>
                </c:pt>
                <c:pt idx="20">
                  <c:v>-23.215923309326172</c:v>
                </c:pt>
                <c:pt idx="21">
                  <c:v>-23.414649963378906</c:v>
                </c:pt>
                <c:pt idx="22">
                  <c:v>-23.611888885498047</c:v>
                </c:pt>
                <c:pt idx="23">
                  <c:v>-23.809127807617188</c:v>
                </c:pt>
                <c:pt idx="24">
                  <c:v>-24.006368637084961</c:v>
                </c:pt>
                <c:pt idx="25">
                  <c:v>-24.203605651855469</c:v>
                </c:pt>
                <c:pt idx="26">
                  <c:v>-24.398582458496094</c:v>
                </c:pt>
                <c:pt idx="27">
                  <c:v>-24.591796875</c:v>
                </c:pt>
                <c:pt idx="28">
                  <c:v>-24.784698486328125</c:v>
                </c:pt>
                <c:pt idx="29">
                  <c:v>-24.973886489868164</c:v>
                </c:pt>
                <c:pt idx="30">
                  <c:v>-25.16307258605957</c:v>
                </c:pt>
                <c:pt idx="31">
                  <c:v>-25.348760604858398</c:v>
                </c:pt>
                <c:pt idx="32">
                  <c:v>-25.532049179077148</c:v>
                </c:pt>
                <c:pt idx="33">
                  <c:v>-25.715335845947266</c:v>
                </c:pt>
                <c:pt idx="34">
                  <c:v>-25.898622512817383</c:v>
                </c:pt>
                <c:pt idx="35">
                  <c:v>-26.081911087036133</c:v>
                </c:pt>
                <c:pt idx="36">
                  <c:v>-26.26519775390625</c:v>
                </c:pt>
                <c:pt idx="37">
                  <c:v>-26.448486328125</c:v>
                </c:pt>
                <c:pt idx="38">
                  <c:v>-26.631772994995117</c:v>
                </c:pt>
                <c:pt idx="39">
                  <c:v>-26.815059661865234</c:v>
                </c:pt>
                <c:pt idx="40">
                  <c:v>-26.998348236083984</c:v>
                </c:pt>
                <c:pt idx="41">
                  <c:v>-27.174953460693359</c:v>
                </c:pt>
                <c:pt idx="42">
                  <c:v>-27.348169326782227</c:v>
                </c:pt>
                <c:pt idx="43">
                  <c:v>-27.521387100219727</c:v>
                </c:pt>
                <c:pt idx="44">
                  <c:v>-27.694602966308594</c:v>
                </c:pt>
                <c:pt idx="45">
                  <c:v>-27.867820739746094</c:v>
                </c:pt>
                <c:pt idx="46">
                  <c:v>-28.041036605834961</c:v>
                </c:pt>
                <c:pt idx="47">
                  <c:v>-28.214254379272461</c:v>
                </c:pt>
                <c:pt idx="48">
                  <c:v>-28.387470245361328</c:v>
                </c:pt>
                <c:pt idx="49">
                  <c:v>-28.560688018798828</c:v>
                </c:pt>
                <c:pt idx="50">
                  <c:v>-28.733905792236328</c:v>
                </c:pt>
                <c:pt idx="51">
                  <c:v>-28.900741577148438</c:v>
                </c:pt>
                <c:pt idx="52">
                  <c:v>-29.065263748168945</c:v>
                </c:pt>
                <c:pt idx="53">
                  <c:v>-29.229785919189453</c:v>
                </c:pt>
                <c:pt idx="54">
                  <c:v>-29.394309997558594</c:v>
                </c:pt>
                <c:pt idx="55">
                  <c:v>-29.558832168579102</c:v>
                </c:pt>
                <c:pt idx="56">
                  <c:v>-29.723356246948242</c:v>
                </c:pt>
                <c:pt idx="57">
                  <c:v>-29.88787841796875</c:v>
                </c:pt>
                <c:pt idx="58">
                  <c:v>-30.052400588989258</c:v>
                </c:pt>
                <c:pt idx="59">
                  <c:v>-30.216922760009766</c:v>
                </c:pt>
                <c:pt idx="60">
                  <c:v>-30.381444931030273</c:v>
                </c:pt>
                <c:pt idx="61">
                  <c:v>-30.540718078613281</c:v>
                </c:pt>
                <c:pt idx="62">
                  <c:v>-30.698888778686523</c:v>
                </c:pt>
                <c:pt idx="63">
                  <c:v>-30.857273101806641</c:v>
                </c:pt>
                <c:pt idx="64">
                  <c:v>-31.016162872314453</c:v>
                </c:pt>
                <c:pt idx="65">
                  <c:v>-31.175050735473633</c:v>
                </c:pt>
                <c:pt idx="66">
                  <c:v>-31.330001831054688</c:v>
                </c:pt>
                <c:pt idx="67">
                  <c:v>-31.484216690063477</c:v>
                </c:pt>
                <c:pt idx="68">
                  <c:v>-31.639898300170898</c:v>
                </c:pt>
                <c:pt idx="69">
                  <c:v>-31.798788070678711</c:v>
                </c:pt>
                <c:pt idx="70">
                  <c:v>-31.957675933837891</c:v>
                </c:pt>
                <c:pt idx="71">
                  <c:v>-32.112064361572266</c:v>
                </c:pt>
                <c:pt idx="72">
                  <c:v>-32.265712738037109</c:v>
                </c:pt>
                <c:pt idx="73">
                  <c:v>-32.419364929199219</c:v>
                </c:pt>
                <c:pt idx="74">
                  <c:v>-32.573017120361328</c:v>
                </c:pt>
                <c:pt idx="75">
                  <c:v>-32.726665496826172</c:v>
                </c:pt>
                <c:pt idx="76">
                  <c:v>-32.880317687988281</c:v>
                </c:pt>
                <c:pt idx="77">
                  <c:v>-33.033966064453125</c:v>
                </c:pt>
                <c:pt idx="78">
                  <c:v>-33.187618255615234</c:v>
                </c:pt>
                <c:pt idx="79">
                  <c:v>-33.341270446777344</c:v>
                </c:pt>
                <c:pt idx="80">
                  <c:v>-33.494918823242188</c:v>
                </c:pt>
                <c:pt idx="81">
                  <c:v>-33.645523071289063</c:v>
                </c:pt>
                <c:pt idx="82">
                  <c:v>-33.7960205078125</c:v>
                </c:pt>
                <c:pt idx="83">
                  <c:v>-33.946517944335938</c:v>
                </c:pt>
                <c:pt idx="84">
                  <c:v>-34.097015380859375</c:v>
                </c:pt>
                <c:pt idx="85">
                  <c:v>-34.247512817382813</c:v>
                </c:pt>
                <c:pt idx="86">
                  <c:v>-34.39801025390625</c:v>
                </c:pt>
                <c:pt idx="87">
                  <c:v>-34.548507690429688</c:v>
                </c:pt>
                <c:pt idx="88">
                  <c:v>-34.699005126953125</c:v>
                </c:pt>
                <c:pt idx="89">
                  <c:v>-34.849502563476563</c:v>
                </c:pt>
                <c:pt idx="90">
                  <c:v>-35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7EEF-4BAA-B810-F2840BF7C999}"/>
            </c:ext>
          </c:extLst>
        </c:ser>
        <c:ser>
          <c:idx val="3"/>
          <c:order val="10"/>
          <c:tx>
            <c:v>1+Answ!$A$1:$A$2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Answ!$A$1:$A$2</c:f>
              <c:numCache>
                <c:formatCode>General</c:formatCode>
                <c:ptCount val="2"/>
                <c:pt idx="0">
                  <c:v>350</c:v>
                </c:pt>
                <c:pt idx="1">
                  <c:v>350</c:v>
                </c:pt>
              </c:numCache>
            </c:numRef>
          </c:xVal>
          <c:yVal>
            <c:numRef>
              <c:f>Answ!$B$1:$B$2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EEF-4BAA-B810-F2840BF7C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6"/>
                <c:tx>
                  <c:strRef>
                    <c:extLst>
                      <c:ext uri="{02D57815-91ED-43cb-92C2-25804820EDAC}">
                        <c15:formulaRef>
                          <c15:sqref>Answ!$B$10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Answ!$C$10:$CO$10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-184.06538391113281</c:v>
                      </c:pt>
                      <c:pt idx="1">
                        <c:v>-186.67770385742188</c:v>
                      </c:pt>
                      <c:pt idx="2">
                        <c:v>-180.03219604492188</c:v>
                      </c:pt>
                      <c:pt idx="3">
                        <c:v>-173.38667297363281</c:v>
                      </c:pt>
                      <c:pt idx="4">
                        <c:v>-167.92094421386719</c:v>
                      </c:pt>
                      <c:pt idx="5">
                        <c:v>-162.56730651855469</c:v>
                      </c:pt>
                      <c:pt idx="6">
                        <c:v>-157.60734558105469</c:v>
                      </c:pt>
                      <c:pt idx="7">
                        <c:v>-153.17147827148438</c:v>
                      </c:pt>
                      <c:pt idx="8">
                        <c:v>-148.73562622070313</c:v>
                      </c:pt>
                      <c:pt idx="9">
                        <c:v>-144.99560546875</c:v>
                      </c:pt>
                      <c:pt idx="10">
                        <c:v>-141.29637145996094</c:v>
                      </c:pt>
                      <c:pt idx="11">
                        <c:v>-138.77568054199219</c:v>
                      </c:pt>
                      <c:pt idx="12">
                        <c:v>-137.63668823242188</c:v>
                      </c:pt>
                      <c:pt idx="13">
                        <c:v>-136.4976806640625</c:v>
                      </c:pt>
                      <c:pt idx="14">
                        <c:v>-135.35868835449219</c:v>
                      </c:pt>
                      <c:pt idx="15">
                        <c:v>-134.21968078613281</c:v>
                      </c:pt>
                      <c:pt idx="16">
                        <c:v>-133.08067321777344</c:v>
                      </c:pt>
                      <c:pt idx="17">
                        <c:v>-131.94168090820313</c:v>
                      </c:pt>
                      <c:pt idx="18">
                        <c:v>-130.80267333984375</c:v>
                      </c:pt>
                      <c:pt idx="19">
                        <c:v>-129.66366577148438</c:v>
                      </c:pt>
                      <c:pt idx="20">
                        <c:v>-128.52467346191406</c:v>
                      </c:pt>
                      <c:pt idx="21">
                        <c:v>-128.85923767089844</c:v>
                      </c:pt>
                      <c:pt idx="22">
                        <c:v>-130.49752807617188</c:v>
                      </c:pt>
                      <c:pt idx="23">
                        <c:v>-132.13507080078125</c:v>
                      </c:pt>
                      <c:pt idx="24">
                        <c:v>-133.75726318359375</c:v>
                      </c:pt>
                      <c:pt idx="25">
                        <c:v>-135.37945556640625</c:v>
                      </c:pt>
                      <c:pt idx="26">
                        <c:v>-136.98127746582031</c:v>
                      </c:pt>
                      <c:pt idx="27">
                        <c:v>-138.56724548339844</c:v>
                      </c:pt>
                      <c:pt idx="28">
                        <c:v>-140.150390625</c:v>
                      </c:pt>
                      <c:pt idx="29">
                        <c:v>-141.70013427734375</c:v>
                      </c:pt>
                      <c:pt idx="30">
                        <c:v>-143.24986267089844</c:v>
                      </c:pt>
                      <c:pt idx="31">
                        <c:v>-144.74411010742188</c:v>
                      </c:pt>
                      <c:pt idx="32">
                        <c:v>-146.20034790039063</c:v>
                      </c:pt>
                      <c:pt idx="33">
                        <c:v>-147.65657043457031</c:v>
                      </c:pt>
                      <c:pt idx="34">
                        <c:v>-149.11279296875</c:v>
                      </c:pt>
                      <c:pt idx="35">
                        <c:v>-150.56903076171875</c:v>
                      </c:pt>
                      <c:pt idx="36">
                        <c:v>-152.02525329589844</c:v>
                      </c:pt>
                      <c:pt idx="37">
                        <c:v>-153.48149108886719</c:v>
                      </c:pt>
                      <c:pt idx="38">
                        <c:v>-154.93771362304688</c:v>
                      </c:pt>
                      <c:pt idx="39">
                        <c:v>-156.39395141601563</c:v>
                      </c:pt>
                      <c:pt idx="40">
                        <c:v>-157.85017395019531</c:v>
                      </c:pt>
                      <c:pt idx="41">
                        <c:v>-159.18878173828125</c:v>
                      </c:pt>
                      <c:pt idx="42">
                        <c:v>-160.46775817871094</c:v>
                      </c:pt>
                      <c:pt idx="43">
                        <c:v>-161.74674987792969</c:v>
                      </c:pt>
                      <c:pt idx="44">
                        <c:v>-163.02572631835938</c:v>
                      </c:pt>
                      <c:pt idx="45">
                        <c:v>-164.30471801757813</c:v>
                      </c:pt>
                      <c:pt idx="46">
                        <c:v>-165.58369445800781</c:v>
                      </c:pt>
                      <c:pt idx="47">
                        <c:v>-166.86268615722656</c:v>
                      </c:pt>
                      <c:pt idx="48">
                        <c:v>-168.14166259765625</c:v>
                      </c:pt>
                      <c:pt idx="49">
                        <c:v>-169.420654296875</c:v>
                      </c:pt>
                      <c:pt idx="50">
                        <c:v>-170.69963073730469</c:v>
                      </c:pt>
                      <c:pt idx="51">
                        <c:v>-171.83184814453125</c:v>
                      </c:pt>
                      <c:pt idx="52">
                        <c:v>-172.91082763671875</c:v>
                      </c:pt>
                      <c:pt idx="53">
                        <c:v>-173.98982238769531</c:v>
                      </c:pt>
                      <c:pt idx="54">
                        <c:v>-175.06880187988281</c:v>
                      </c:pt>
                      <c:pt idx="55">
                        <c:v>-176.14779663085938</c:v>
                      </c:pt>
                      <c:pt idx="56">
                        <c:v>-177.22679138183594</c:v>
                      </c:pt>
                      <c:pt idx="57">
                        <c:v>-178.30577087402344</c:v>
                      </c:pt>
                      <c:pt idx="58">
                        <c:v>-179.384765625</c:v>
                      </c:pt>
                      <c:pt idx="59">
                        <c:v>-180.4637451171875</c:v>
                      </c:pt>
                      <c:pt idx="60">
                        <c:v>-181.542724609375</c:v>
                      </c:pt>
                      <c:pt idx="61">
                        <c:v>-182.49470520019531</c:v>
                      </c:pt>
                      <c:pt idx="62">
                        <c:v>-183.41999816894531</c:v>
                      </c:pt>
                      <c:pt idx="63">
                        <c:v>-184.33546447753906</c:v>
                      </c:pt>
                      <c:pt idx="64">
                        <c:v>-185.22767639160156</c:v>
                      </c:pt>
                      <c:pt idx="65">
                        <c:v>-186.11990356445313</c:v>
                      </c:pt>
                      <c:pt idx="66">
                        <c:v>-186.94999694824219</c:v>
                      </c:pt>
                      <c:pt idx="67">
                        <c:v>-187.76853942871094</c:v>
                      </c:pt>
                      <c:pt idx="68">
                        <c:v>-188.57693481445313</c:v>
                      </c:pt>
                      <c:pt idx="69">
                        <c:v>-189.36323547363281</c:v>
                      </c:pt>
                      <c:pt idx="70">
                        <c:v>-190.14952087402344</c:v>
                      </c:pt>
                      <c:pt idx="71">
                        <c:v>-190.80561828613281</c:v>
                      </c:pt>
                      <c:pt idx="72">
                        <c:v>-191.44044494628906</c:v>
                      </c:pt>
                      <c:pt idx="73">
                        <c:v>-192.07527160644531</c:v>
                      </c:pt>
                      <c:pt idx="74">
                        <c:v>-192.7100830078125</c:v>
                      </c:pt>
                      <c:pt idx="75">
                        <c:v>-193.34490966796875</c:v>
                      </c:pt>
                      <c:pt idx="76">
                        <c:v>-193.979736328125</c:v>
                      </c:pt>
                      <c:pt idx="77">
                        <c:v>-194.61454772949219</c:v>
                      </c:pt>
                      <c:pt idx="78">
                        <c:v>-195.24935913085938</c:v>
                      </c:pt>
                      <c:pt idx="79">
                        <c:v>-195.88418579101563</c:v>
                      </c:pt>
                      <c:pt idx="80">
                        <c:v>-196.51901245117188</c:v>
                      </c:pt>
                      <c:pt idx="81">
                        <c:v>-196.92805480957031</c:v>
                      </c:pt>
                      <c:pt idx="82">
                        <c:v>-197.32937622070313</c:v>
                      </c:pt>
                      <c:pt idx="83">
                        <c:v>-197.730712890625</c:v>
                      </c:pt>
                      <c:pt idx="84">
                        <c:v>-198.13203430175781</c:v>
                      </c:pt>
                      <c:pt idx="85">
                        <c:v>-198.53335571289063</c:v>
                      </c:pt>
                      <c:pt idx="86">
                        <c:v>-198.9346923828125</c:v>
                      </c:pt>
                      <c:pt idx="87">
                        <c:v>-199.33601379394531</c:v>
                      </c:pt>
                      <c:pt idx="88">
                        <c:v>-199.73733520507813</c:v>
                      </c:pt>
                      <c:pt idx="89">
                        <c:v>-200.138671875</c:v>
                      </c:pt>
                      <c:pt idx="90">
                        <c:v>-200.53999328613281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7EEF-4BAA-B810-F2840BF7C999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45087542069523046"/>
              <c:y val="0.922291557305336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2"/>
          <c:min val="-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6.9601372117794906E-3"/>
              <c:y val="0.10007260954903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GeSe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568203894979722"/>
          <c:y val="9.9906653562126441E-2"/>
          <c:w val="0.85899153392652172"/>
          <c:h val="0.75124425538761674"/>
        </c:manualLayout>
      </c:layout>
      <c:scatterChart>
        <c:scatterStyle val="smoothMarker"/>
        <c:varyColors val="0"/>
        <c:ser>
          <c:idx val="2"/>
          <c:order val="1"/>
          <c:tx>
            <c:strRef>
              <c:f>Answ!$B$5</c:f>
              <c:strCache>
                <c:ptCount val="1"/>
                <c:pt idx="0">
                  <c:v>*GeSe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Answ!$C$3:$CO$3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Answ!$C$5:$CO$5</c:f>
              <c:numCache>
                <c:formatCode>General</c:formatCode>
                <c:ptCount val="91"/>
                <c:pt idx="0">
                  <c:v>-38.977867126464844</c:v>
                </c:pt>
                <c:pt idx="1">
                  <c:v>-39.295696258544922</c:v>
                </c:pt>
                <c:pt idx="2">
                  <c:v>-37.285087585449219</c:v>
                </c:pt>
                <c:pt idx="3">
                  <c:v>-35.274471282958984</c:v>
                </c:pt>
                <c:pt idx="4">
                  <c:v>-34.059696197509766</c:v>
                </c:pt>
                <c:pt idx="5">
                  <c:v>-32.920539855957031</c:v>
                </c:pt>
                <c:pt idx="6">
                  <c:v>-31.960948944091797</c:v>
                </c:pt>
                <c:pt idx="7">
                  <c:v>-31.240421295166016</c:v>
                </c:pt>
                <c:pt idx="8">
                  <c:v>-30.5198974609375</c:v>
                </c:pt>
                <c:pt idx="9">
                  <c:v>-29.917625427246094</c:v>
                </c:pt>
                <c:pt idx="10">
                  <c:v>-29.322284698486328</c:v>
                </c:pt>
                <c:pt idx="11">
                  <c:v>-28.77290153503418</c:v>
                </c:pt>
                <c:pt idx="12">
                  <c:v>-28.277387619018555</c:v>
                </c:pt>
                <c:pt idx="13">
                  <c:v>-27.781877517700195</c:v>
                </c:pt>
                <c:pt idx="14">
                  <c:v>-27.367691040039063</c:v>
                </c:pt>
                <c:pt idx="15">
                  <c:v>-26.955501556396484</c:v>
                </c:pt>
                <c:pt idx="16">
                  <c:v>-26.727140426635742</c:v>
                </c:pt>
                <c:pt idx="17">
                  <c:v>-26.688783645629883</c:v>
                </c:pt>
                <c:pt idx="18">
                  <c:v>-26.654544830322266</c:v>
                </c:pt>
                <c:pt idx="19">
                  <c:v>-26.892841339111328</c:v>
                </c:pt>
                <c:pt idx="20">
                  <c:v>-27.131137847900391</c:v>
                </c:pt>
                <c:pt idx="21">
                  <c:v>-27.364202499389648</c:v>
                </c:pt>
                <c:pt idx="22">
                  <c:v>-27.59263801574707</c:v>
                </c:pt>
                <c:pt idx="23">
                  <c:v>-27.821071624755859</c:v>
                </c:pt>
                <c:pt idx="24">
                  <c:v>-28.049507141113281</c:v>
                </c:pt>
                <c:pt idx="25">
                  <c:v>-28.27794075012207</c:v>
                </c:pt>
                <c:pt idx="26">
                  <c:v>-28.506376266479492</c:v>
                </c:pt>
                <c:pt idx="27">
                  <c:v>-28.734811782836914</c:v>
                </c:pt>
                <c:pt idx="28">
                  <c:v>-28.963247299194336</c:v>
                </c:pt>
                <c:pt idx="29">
                  <c:v>-29.191682815551758</c:v>
                </c:pt>
                <c:pt idx="30">
                  <c:v>-29.420116424560547</c:v>
                </c:pt>
                <c:pt idx="31">
                  <c:v>-29.640285491943359</c:v>
                </c:pt>
                <c:pt idx="32">
                  <c:v>-29.854793548583984</c:v>
                </c:pt>
                <c:pt idx="33">
                  <c:v>-30.069299697875977</c:v>
                </c:pt>
                <c:pt idx="34">
                  <c:v>-30.283805847167969</c:v>
                </c:pt>
                <c:pt idx="35">
                  <c:v>-30.498313903808594</c:v>
                </c:pt>
                <c:pt idx="36">
                  <c:v>-30.712820053100586</c:v>
                </c:pt>
                <c:pt idx="37">
                  <c:v>-30.927328109741211</c:v>
                </c:pt>
                <c:pt idx="38">
                  <c:v>-31.141834259033203</c:v>
                </c:pt>
                <c:pt idx="39">
                  <c:v>-31.356340408325195</c:v>
                </c:pt>
                <c:pt idx="40">
                  <c:v>-31.570846557617188</c:v>
                </c:pt>
                <c:pt idx="41">
                  <c:v>-31.77813720703125</c:v>
                </c:pt>
                <c:pt idx="42">
                  <c:v>-31.981767654418945</c:v>
                </c:pt>
                <c:pt idx="43">
                  <c:v>-32.185398101806641</c:v>
                </c:pt>
                <c:pt idx="44">
                  <c:v>-32.389026641845703</c:v>
                </c:pt>
                <c:pt idx="45">
                  <c:v>-32.592658996582031</c:v>
                </c:pt>
                <c:pt idx="46">
                  <c:v>-32.796291351318359</c:v>
                </c:pt>
                <c:pt idx="47">
                  <c:v>-32.999919891357422</c:v>
                </c:pt>
                <c:pt idx="48">
                  <c:v>-33.203548431396484</c:v>
                </c:pt>
                <c:pt idx="49">
                  <c:v>-33.407180786132813</c:v>
                </c:pt>
                <c:pt idx="50">
                  <c:v>-33.610813140869141</c:v>
                </c:pt>
                <c:pt idx="51">
                  <c:v>-33.807388305664063</c:v>
                </c:pt>
                <c:pt idx="52">
                  <c:v>-34.00140380859375</c:v>
                </c:pt>
                <c:pt idx="53">
                  <c:v>-34.194751739501953</c:v>
                </c:pt>
                <c:pt idx="54">
                  <c:v>-34.386074066162109</c:v>
                </c:pt>
                <c:pt idx="55">
                  <c:v>-34.577400207519531</c:v>
                </c:pt>
                <c:pt idx="56">
                  <c:v>-34.772136688232422</c:v>
                </c:pt>
                <c:pt idx="57">
                  <c:v>-34.968101501464844</c:v>
                </c:pt>
                <c:pt idx="58">
                  <c:v>-35.162693023681641</c:v>
                </c:pt>
                <c:pt idx="59">
                  <c:v>-35.353763580322266</c:v>
                </c:pt>
                <c:pt idx="60">
                  <c:v>-35.544837951660156</c:v>
                </c:pt>
                <c:pt idx="61">
                  <c:v>-35.735462188720703</c:v>
                </c:pt>
                <c:pt idx="62">
                  <c:v>-35.925991058349609</c:v>
                </c:pt>
                <c:pt idx="63">
                  <c:v>-36.116523742675781</c:v>
                </c:pt>
                <c:pt idx="64">
                  <c:v>-36.307052612304688</c:v>
                </c:pt>
                <c:pt idx="65">
                  <c:v>-36.497581481933594</c:v>
                </c:pt>
                <c:pt idx="66">
                  <c:v>-36.688114166259766</c:v>
                </c:pt>
                <c:pt idx="67">
                  <c:v>-36.878643035888672</c:v>
                </c:pt>
                <c:pt idx="68">
                  <c:v>-37.069171905517578</c:v>
                </c:pt>
                <c:pt idx="69">
                  <c:v>-37.259700775146484</c:v>
                </c:pt>
                <c:pt idx="70">
                  <c:v>-37.450233459472656</c:v>
                </c:pt>
                <c:pt idx="71">
                  <c:v>-37.662151336669922</c:v>
                </c:pt>
                <c:pt idx="72">
                  <c:v>-37.8775634765625</c:v>
                </c:pt>
                <c:pt idx="73">
                  <c:v>-38.092979431152344</c:v>
                </c:pt>
                <c:pt idx="74">
                  <c:v>-38.308395385742188</c:v>
                </c:pt>
                <c:pt idx="75">
                  <c:v>-38.523807525634766</c:v>
                </c:pt>
                <c:pt idx="76">
                  <c:v>-38.739223480224609</c:v>
                </c:pt>
                <c:pt idx="77">
                  <c:v>-38.954635620117188</c:v>
                </c:pt>
                <c:pt idx="78">
                  <c:v>-39.170051574707031</c:v>
                </c:pt>
                <c:pt idx="79">
                  <c:v>-39.385467529296875</c:v>
                </c:pt>
                <c:pt idx="80">
                  <c:v>-39.600879669189453</c:v>
                </c:pt>
                <c:pt idx="81">
                  <c:v>-39.801853179931641</c:v>
                </c:pt>
                <c:pt idx="82">
                  <c:v>-40.002334594726563</c:v>
                </c:pt>
                <c:pt idx="83">
                  <c:v>-40.206546783447266</c:v>
                </c:pt>
                <c:pt idx="84">
                  <c:v>-40.415546417236328</c:v>
                </c:pt>
                <c:pt idx="85">
                  <c:v>-40.624546051025391</c:v>
                </c:pt>
                <c:pt idx="86">
                  <c:v>-40.822052001953125</c:v>
                </c:pt>
                <c:pt idx="87">
                  <c:v>-41.019371032714844</c:v>
                </c:pt>
                <c:pt idx="88">
                  <c:v>-41.218479156494141</c:v>
                </c:pt>
                <c:pt idx="89">
                  <c:v>-41.41973876953125</c:v>
                </c:pt>
                <c:pt idx="90">
                  <c:v>-41.620998382568359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D6B-4552-BE8F-6B195C3B7D1D}"/>
            </c:ext>
          </c:extLst>
        </c:ser>
        <c:ser>
          <c:idx val="7"/>
          <c:order val="5"/>
          <c:tx>
            <c:strRef>
              <c:f>Answ!$B$9</c:f>
              <c:strCache>
                <c:ptCount val="1"/>
                <c:pt idx="0">
                  <c:v>(l)GeSe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Answ!$C$3:$CO$3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Answ!$C$9:$CO$9</c:f>
              <c:numCache>
                <c:formatCode>General</c:formatCode>
                <c:ptCount val="91"/>
                <c:pt idx="0">
                  <c:v>-39.785041809082031</c:v>
                </c:pt>
                <c:pt idx="1">
                  <c:v>-40.228065490722656</c:v>
                </c:pt>
                <c:pt idx="2">
                  <c:v>-38.479885101318359</c:v>
                </c:pt>
                <c:pt idx="3">
                  <c:v>-36.731700897216797</c:v>
                </c:pt>
                <c:pt idx="4">
                  <c:v>-35.576457977294922</c:v>
                </c:pt>
                <c:pt idx="5">
                  <c:v>-34.477554321289063</c:v>
                </c:pt>
                <c:pt idx="6">
                  <c:v>-33.521953582763672</c:v>
                </c:pt>
                <c:pt idx="7">
                  <c:v>-32.757152557373047</c:v>
                </c:pt>
                <c:pt idx="8">
                  <c:v>-31.992349624633789</c:v>
                </c:pt>
                <c:pt idx="9">
                  <c:v>-31.400554656982422</c:v>
                </c:pt>
                <c:pt idx="10">
                  <c:v>-30.818899154663086</c:v>
                </c:pt>
                <c:pt idx="11">
                  <c:v>-30.489006042480469</c:v>
                </c:pt>
                <c:pt idx="12">
                  <c:v>-30.454261779785156</c:v>
                </c:pt>
                <c:pt idx="13">
                  <c:v>-30.419517517089844</c:v>
                </c:pt>
                <c:pt idx="14">
                  <c:v>-30.384773254394531</c:v>
                </c:pt>
                <c:pt idx="15">
                  <c:v>-30.350028991699219</c:v>
                </c:pt>
                <c:pt idx="16">
                  <c:v>-30.315284729003906</c:v>
                </c:pt>
                <c:pt idx="17">
                  <c:v>-30.280542373657227</c:v>
                </c:pt>
                <c:pt idx="18">
                  <c:v>-30.245798110961914</c:v>
                </c:pt>
                <c:pt idx="19">
                  <c:v>-30.211053848266602</c:v>
                </c:pt>
                <c:pt idx="20">
                  <c:v>-30.176309585571289</c:v>
                </c:pt>
                <c:pt idx="21">
                  <c:v>-30.276823043823242</c:v>
                </c:pt>
                <c:pt idx="22">
                  <c:v>-30.497007369995117</c:v>
                </c:pt>
                <c:pt idx="23">
                  <c:v>-30.717527389526367</c:v>
                </c:pt>
                <c:pt idx="24">
                  <c:v>-30.944953918457031</c:v>
                </c:pt>
                <c:pt idx="25">
                  <c:v>-31.172382354736328</c:v>
                </c:pt>
                <c:pt idx="26">
                  <c:v>-31.398679733276367</c:v>
                </c:pt>
                <c:pt idx="27">
                  <c:v>-31.624095916748047</c:v>
                </c:pt>
                <c:pt idx="28">
                  <c:v>-31.84922981262207</c:v>
                </c:pt>
                <c:pt idx="29">
                  <c:v>-32.071022033691406</c:v>
                </c:pt>
                <c:pt idx="30">
                  <c:v>-32.292816162109375</c:v>
                </c:pt>
                <c:pt idx="31">
                  <c:v>-32.510883331298828</c:v>
                </c:pt>
                <c:pt idx="32">
                  <c:v>-32.726398468017578</c:v>
                </c:pt>
                <c:pt idx="33">
                  <c:v>-32.941909790039063</c:v>
                </c:pt>
                <c:pt idx="34">
                  <c:v>-33.157424926757813</c:v>
                </c:pt>
                <c:pt idx="35">
                  <c:v>-33.372940063476563</c:v>
                </c:pt>
                <c:pt idx="36">
                  <c:v>-33.588451385498047</c:v>
                </c:pt>
                <c:pt idx="37">
                  <c:v>-33.803966522216797</c:v>
                </c:pt>
                <c:pt idx="38">
                  <c:v>-34.019481658935547</c:v>
                </c:pt>
                <c:pt idx="39">
                  <c:v>-34.234992980957031</c:v>
                </c:pt>
                <c:pt idx="40">
                  <c:v>-34.450508117675781</c:v>
                </c:pt>
                <c:pt idx="41">
                  <c:v>-34.658134460449219</c:v>
                </c:pt>
                <c:pt idx="42">
                  <c:v>-34.861766815185547</c:v>
                </c:pt>
                <c:pt idx="43">
                  <c:v>-35.065395355224609</c:v>
                </c:pt>
                <c:pt idx="44">
                  <c:v>-35.269027709960938</c:v>
                </c:pt>
                <c:pt idx="45">
                  <c:v>-35.47265625</c:v>
                </c:pt>
                <c:pt idx="46">
                  <c:v>-35.676288604736328</c:v>
                </c:pt>
                <c:pt idx="47">
                  <c:v>-35.879917144775391</c:v>
                </c:pt>
                <c:pt idx="48">
                  <c:v>-36.083549499511719</c:v>
                </c:pt>
                <c:pt idx="49">
                  <c:v>-36.287178039550781</c:v>
                </c:pt>
                <c:pt idx="50">
                  <c:v>-36.490810394287109</c:v>
                </c:pt>
                <c:pt idx="51">
                  <c:v>-36.686702728271484</c:v>
                </c:pt>
                <c:pt idx="52">
                  <c:v>-36.879787445068359</c:v>
                </c:pt>
                <c:pt idx="53">
                  <c:v>-37.0728759765625</c:v>
                </c:pt>
                <c:pt idx="54">
                  <c:v>-37.265964508056641</c:v>
                </c:pt>
                <c:pt idx="55">
                  <c:v>-37.459053039550781</c:v>
                </c:pt>
                <c:pt idx="56">
                  <c:v>-37.652141571044922</c:v>
                </c:pt>
                <c:pt idx="57">
                  <c:v>-37.845226287841797</c:v>
                </c:pt>
                <c:pt idx="58">
                  <c:v>-38.038314819335938</c:v>
                </c:pt>
                <c:pt idx="59">
                  <c:v>-38.231399536132813</c:v>
                </c:pt>
                <c:pt idx="60">
                  <c:v>-38.424488067626953</c:v>
                </c:pt>
                <c:pt idx="61">
                  <c:v>-38.610939025878906</c:v>
                </c:pt>
                <c:pt idx="62">
                  <c:v>-38.795997619628906</c:v>
                </c:pt>
                <c:pt idx="63">
                  <c:v>-38.981269836425781</c:v>
                </c:pt>
                <c:pt idx="64">
                  <c:v>-39.167049407958984</c:v>
                </c:pt>
                <c:pt idx="65">
                  <c:v>-39.352828979492188</c:v>
                </c:pt>
                <c:pt idx="66">
                  <c:v>-39.534000396728516</c:v>
                </c:pt>
                <c:pt idx="67">
                  <c:v>-39.714313507080078</c:v>
                </c:pt>
                <c:pt idx="68">
                  <c:v>-39.896217346191406</c:v>
                </c:pt>
                <c:pt idx="69">
                  <c:v>-40.081584930419922</c:v>
                </c:pt>
                <c:pt idx="70">
                  <c:v>-40.266956329345703</c:v>
                </c:pt>
                <c:pt idx="71">
                  <c:v>-40.446609497070313</c:v>
                </c:pt>
                <c:pt idx="72">
                  <c:v>-40.625331878662109</c:v>
                </c:pt>
                <c:pt idx="73">
                  <c:v>-40.804050445556641</c:v>
                </c:pt>
                <c:pt idx="74">
                  <c:v>-40.982772827148438</c:v>
                </c:pt>
                <c:pt idx="75">
                  <c:v>-41.161491394042969</c:v>
                </c:pt>
                <c:pt idx="76">
                  <c:v>-41.340213775634766</c:v>
                </c:pt>
                <c:pt idx="77">
                  <c:v>-41.518932342529297</c:v>
                </c:pt>
                <c:pt idx="78">
                  <c:v>-41.697650909423828</c:v>
                </c:pt>
                <c:pt idx="79">
                  <c:v>-41.876373291015625</c:v>
                </c:pt>
                <c:pt idx="80">
                  <c:v>-42.055091857910156</c:v>
                </c:pt>
                <c:pt idx="81">
                  <c:v>-42.229225158691406</c:v>
                </c:pt>
                <c:pt idx="82">
                  <c:v>-42.4031982421875</c:v>
                </c:pt>
                <c:pt idx="83">
                  <c:v>-42.577175140380859</c:v>
                </c:pt>
                <c:pt idx="84">
                  <c:v>-42.751148223876953</c:v>
                </c:pt>
                <c:pt idx="85">
                  <c:v>-42.925125122070313</c:v>
                </c:pt>
                <c:pt idx="86">
                  <c:v>-43.099098205566406</c:v>
                </c:pt>
                <c:pt idx="87">
                  <c:v>-43.2730712890625</c:v>
                </c:pt>
                <c:pt idx="88">
                  <c:v>-43.447048187255859</c:v>
                </c:pt>
                <c:pt idx="89">
                  <c:v>-43.621021270751953</c:v>
                </c:pt>
                <c:pt idx="90">
                  <c:v>-43.794998168945313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AD6B-4552-BE8F-6B195C3B7D1D}"/>
            </c:ext>
          </c:extLst>
        </c:ser>
        <c:ser>
          <c:idx val="6"/>
          <c:order val="10"/>
          <c:tx>
            <c:v>1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Answ!$A$1:$A$2</c:f>
              <c:numCache>
                <c:formatCode>General</c:formatCode>
                <c:ptCount val="2"/>
                <c:pt idx="0">
                  <c:v>350</c:v>
                </c:pt>
                <c:pt idx="1">
                  <c:v>350</c:v>
                </c:pt>
              </c:numCache>
            </c:numRef>
          </c:xVal>
          <c:yVal>
            <c:numRef>
              <c:f>Answ!$B$1:$B$2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D6B-4552-BE8F-6B195C3B7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Answ!$B$4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Answ!$C$4:$CO$4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-20.451709747314453</c:v>
                      </c:pt>
                      <c:pt idx="1">
                        <c:v>-20.176399230957031</c:v>
                      </c:pt>
                      <c:pt idx="2">
                        <c:v>-17.98814582824707</c:v>
                      </c:pt>
                      <c:pt idx="3">
                        <c:v>-15.799887657165527</c:v>
                      </c:pt>
                      <c:pt idx="4">
                        <c:v>-14.393250465393066</c:v>
                      </c:pt>
                      <c:pt idx="5">
                        <c:v>-13.060880661010742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AD6B-4552-BE8F-6B195C3B7D1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Answ!$B$6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Answ!$C$6:$CO$6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-63.796104431152344</c:v>
                      </c:pt>
                      <c:pt idx="1">
                        <c:v>-64.193603515625</c:v>
                      </c:pt>
                      <c:pt idx="2">
                        <c:v>-60.588233947753906</c:v>
                      </c:pt>
                      <c:pt idx="3">
                        <c:v>-56.982856750488281</c:v>
                      </c:pt>
                      <c:pt idx="4">
                        <c:v>-53.949775695800781</c:v>
                      </c:pt>
                      <c:pt idx="5">
                        <c:v>-50.971061706542969</c:v>
                      </c:pt>
                      <c:pt idx="6">
                        <c:v>-48.187454223632813</c:v>
                      </c:pt>
                      <c:pt idx="7">
                        <c:v>-45.663600921630859</c:v>
                      </c:pt>
                      <c:pt idx="8">
                        <c:v>-43.139751434326172</c:v>
                      </c:pt>
                      <c:pt idx="9">
                        <c:v>-40.958114624023438</c:v>
                      </c:pt>
                      <c:pt idx="10">
                        <c:v>-38.796535491943359</c:v>
                      </c:pt>
                      <c:pt idx="11">
                        <c:v>-36.760963439941406</c:v>
                      </c:pt>
                      <c:pt idx="12">
                        <c:v>-34.873104095458984</c:v>
                      </c:pt>
                      <c:pt idx="13">
                        <c:v>-32.985244750976563</c:v>
                      </c:pt>
                      <c:pt idx="14">
                        <c:v>-31.321329116821289</c:v>
                      </c:pt>
                      <c:pt idx="15">
                        <c:v>-29.662914276123047</c:v>
                      </c:pt>
                      <c:pt idx="16">
                        <c:v>-28.14300537109375</c:v>
                      </c:pt>
                      <c:pt idx="17">
                        <c:v>-26.766263961791992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D6B-4552-BE8F-6B195C3B7D1D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Answ!$C$7:$CO$7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-57.504024505615234</c:v>
                      </c:pt>
                      <c:pt idx="1">
                        <c:v>-58.414993286132813</c:v>
                      </c:pt>
                      <c:pt idx="2">
                        <c:v>-56.582027435302734</c:v>
                      </c:pt>
                      <c:pt idx="3">
                        <c:v>-54.749057769775391</c:v>
                      </c:pt>
                      <c:pt idx="4">
                        <c:v>-53.726146697998047</c:v>
                      </c:pt>
                      <c:pt idx="5">
                        <c:v>-52.780204772949219</c:v>
                      </c:pt>
                      <c:pt idx="6">
                        <c:v>-52.017276763916016</c:v>
                      </c:pt>
                      <c:pt idx="7">
                        <c:v>-51.498016357421875</c:v>
                      </c:pt>
                      <c:pt idx="8">
                        <c:v>-50.978752136230469</c:v>
                      </c:pt>
                      <c:pt idx="9">
                        <c:v>-50.581546783447266</c:v>
                      </c:pt>
                      <c:pt idx="10">
                        <c:v>-50.191497802734375</c:v>
                      </c:pt>
                      <c:pt idx="11">
                        <c:v>-49.847400665283203</c:v>
                      </c:pt>
                      <c:pt idx="12">
                        <c:v>-49.557178497314453</c:v>
                      </c:pt>
                      <c:pt idx="13">
                        <c:v>-49.266952514648438</c:v>
                      </c:pt>
                      <c:pt idx="14">
                        <c:v>-49.061988830566406</c:v>
                      </c:pt>
                      <c:pt idx="15">
                        <c:v>-48.859115600585938</c:v>
                      </c:pt>
                      <c:pt idx="16">
                        <c:v>-48.836406707763672</c:v>
                      </c:pt>
                      <c:pt idx="17">
                        <c:v>-48.999919891357422</c:v>
                      </c:pt>
                      <c:pt idx="18">
                        <c:v>-49.167598724365234</c:v>
                      </c:pt>
                      <c:pt idx="19">
                        <c:v>-49.611186981201172</c:v>
                      </c:pt>
                      <c:pt idx="20">
                        <c:v>-50.054771423339844</c:v>
                      </c:pt>
                      <c:pt idx="21">
                        <c:v>-50.487785339355469</c:v>
                      </c:pt>
                      <c:pt idx="22">
                        <c:v>-50.911445617675781</c:v>
                      </c:pt>
                      <c:pt idx="23">
                        <c:v>-51.335105895996094</c:v>
                      </c:pt>
                      <c:pt idx="24">
                        <c:v>-51.758769989013672</c:v>
                      </c:pt>
                      <c:pt idx="25">
                        <c:v>-52.182430267333984</c:v>
                      </c:pt>
                      <c:pt idx="26">
                        <c:v>-52.606090545654297</c:v>
                      </c:pt>
                      <c:pt idx="27">
                        <c:v>-53.029750823974609</c:v>
                      </c:pt>
                      <c:pt idx="28">
                        <c:v>-53.453411102294922</c:v>
                      </c:pt>
                      <c:pt idx="29">
                        <c:v>-53.8770751953125</c:v>
                      </c:pt>
                      <c:pt idx="30">
                        <c:v>-54.300735473632813</c:v>
                      </c:pt>
                      <c:pt idx="31">
                        <c:v>-54.708450317382813</c:v>
                      </c:pt>
                      <c:pt idx="32">
                        <c:v>-55.105236053466797</c:v>
                      </c:pt>
                      <c:pt idx="33">
                        <c:v>-55.502025604248047</c:v>
                      </c:pt>
                      <c:pt idx="34">
                        <c:v>-55.898811340332031</c:v>
                      </c:pt>
                      <c:pt idx="35">
                        <c:v>-56.295597076416016</c:v>
                      </c:pt>
                      <c:pt idx="36">
                        <c:v>-56.692386627197266</c:v>
                      </c:pt>
                      <c:pt idx="37">
                        <c:v>-57.08917236328125</c:v>
                      </c:pt>
                      <c:pt idx="38">
                        <c:v>-57.4859619140625</c:v>
                      </c:pt>
                      <c:pt idx="39">
                        <c:v>-57.882747650146484</c:v>
                      </c:pt>
                      <c:pt idx="40">
                        <c:v>-58.279533386230469</c:v>
                      </c:pt>
                      <c:pt idx="41">
                        <c:v>-58.663089752197266</c:v>
                      </c:pt>
                      <c:pt idx="42">
                        <c:v>-59.039936065673828</c:v>
                      </c:pt>
                      <c:pt idx="43">
                        <c:v>-59.416782379150391</c:v>
                      </c:pt>
                      <c:pt idx="44">
                        <c:v>-59.793628692626953</c:v>
                      </c:pt>
                      <c:pt idx="45">
                        <c:v>-60.170478820800781</c:v>
                      </c:pt>
                      <c:pt idx="46">
                        <c:v>-60.547325134277344</c:v>
                      </c:pt>
                      <c:pt idx="47">
                        <c:v>-60.924171447753906</c:v>
                      </c:pt>
                      <c:pt idx="48">
                        <c:v>-61.301017761230469</c:v>
                      </c:pt>
                      <c:pt idx="49">
                        <c:v>-61.677867889404297</c:v>
                      </c:pt>
                      <c:pt idx="50">
                        <c:v>-62.054714202880859</c:v>
                      </c:pt>
                      <c:pt idx="51">
                        <c:v>-62.418506622314453</c:v>
                      </c:pt>
                      <c:pt idx="52">
                        <c:v>-62.777561187744141</c:v>
                      </c:pt>
                      <c:pt idx="53">
                        <c:v>-63.135456085205078</c:v>
                      </c:pt>
                      <c:pt idx="54">
                        <c:v>-63.489864349365234</c:v>
                      </c:pt>
                      <c:pt idx="55">
                        <c:v>-63.844272613525391</c:v>
                      </c:pt>
                      <c:pt idx="56">
                        <c:v>-64.205001831054688</c:v>
                      </c:pt>
                      <c:pt idx="57">
                        <c:v>-64.568000793457031</c:v>
                      </c:pt>
                      <c:pt idx="58">
                        <c:v>-64.928482055664063</c:v>
                      </c:pt>
                      <c:pt idx="59">
                        <c:v>-65.282516479492188</c:v>
                      </c:pt>
                      <c:pt idx="60">
                        <c:v>-65.636550903320313</c:v>
                      </c:pt>
                      <c:pt idx="61">
                        <c:v>-65.985641479492188</c:v>
                      </c:pt>
                      <c:pt idx="62">
                        <c:v>-66.333694458007813</c:v>
                      </c:pt>
                      <c:pt idx="63">
                        <c:v>-66.681747436523438</c:v>
                      </c:pt>
                      <c:pt idx="64">
                        <c:v>-67.029792785644531</c:v>
                      </c:pt>
                      <c:pt idx="65">
                        <c:v>-67.377845764160156</c:v>
                      </c:pt>
                      <c:pt idx="66">
                        <c:v>-67.725898742675781</c:v>
                      </c:pt>
                      <c:pt idx="67">
                        <c:v>-68.073951721191406</c:v>
                      </c:pt>
                      <c:pt idx="68">
                        <c:v>-68.4219970703125</c:v>
                      </c:pt>
                      <c:pt idx="69">
                        <c:v>-68.770050048828125</c:v>
                      </c:pt>
                      <c:pt idx="70">
                        <c:v>-69.11810302734375</c:v>
                      </c:pt>
                      <c:pt idx="71">
                        <c:v>-69.485084533691406</c:v>
                      </c:pt>
                      <c:pt idx="72">
                        <c:v>-69.855155944824219</c:v>
                      </c:pt>
                      <c:pt idx="73">
                        <c:v>-70.225234985351563</c:v>
                      </c:pt>
                      <c:pt idx="74">
                        <c:v>-70.595314025878906</c:v>
                      </c:pt>
                      <c:pt idx="75">
                        <c:v>-70.965385437011719</c:v>
                      </c:pt>
                      <c:pt idx="76">
                        <c:v>-71.335464477539063</c:v>
                      </c:pt>
                      <c:pt idx="77">
                        <c:v>-71.705535888671875</c:v>
                      </c:pt>
                      <c:pt idx="78">
                        <c:v>-72.075614929199219</c:v>
                      </c:pt>
                      <c:pt idx="79">
                        <c:v>-72.445693969726563</c:v>
                      </c:pt>
                      <c:pt idx="80">
                        <c:v>-72.815765380859375</c:v>
                      </c:pt>
                      <c:pt idx="81">
                        <c:v>-73.163322448730469</c:v>
                      </c:pt>
                      <c:pt idx="82">
                        <c:v>-73.510116577148438</c:v>
                      </c:pt>
                      <c:pt idx="83">
                        <c:v>-73.864356994628906</c:v>
                      </c:pt>
                      <c:pt idx="84">
                        <c:v>-74.228172302246094</c:v>
                      </c:pt>
                      <c:pt idx="85">
                        <c:v>-74.591987609863281</c:v>
                      </c:pt>
                      <c:pt idx="86">
                        <c:v>-74.935943603515625</c:v>
                      </c:pt>
                      <c:pt idx="87">
                        <c:v>-75.279571533203125</c:v>
                      </c:pt>
                      <c:pt idx="88">
                        <c:v>-75.626998901367188</c:v>
                      </c:pt>
                      <c:pt idx="89">
                        <c:v>-75.97900390625</c:v>
                      </c:pt>
                      <c:pt idx="90">
                        <c:v>-76.331001281738281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D6B-4552-BE8F-6B195C3B7D1D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Answ!$C$8:$CO$8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-58.758548736572266</c:v>
                      </c:pt>
                      <c:pt idx="1">
                        <c:v>-59.797908782958984</c:v>
                      </c:pt>
                      <c:pt idx="2">
                        <c:v>-58.203151702880859</c:v>
                      </c:pt>
                      <c:pt idx="3">
                        <c:v>-56.608386993408203</c:v>
                      </c:pt>
                      <c:pt idx="4">
                        <c:v>-55.628200531005859</c:v>
                      </c:pt>
                      <c:pt idx="5">
                        <c:v>-54.706409454345703</c:v>
                      </c:pt>
                      <c:pt idx="6">
                        <c:v>-53.934829711914063</c:v>
                      </c:pt>
                      <c:pt idx="7">
                        <c:v>-53.363239288330078</c:v>
                      </c:pt>
                      <c:pt idx="8">
                        <c:v>-52.791648864746094</c:v>
                      </c:pt>
                      <c:pt idx="9">
                        <c:v>-52.404476165771484</c:v>
                      </c:pt>
                      <c:pt idx="10">
                        <c:v>-52.028110504150391</c:v>
                      </c:pt>
                      <c:pt idx="11">
                        <c:v>-51.901260375976563</c:v>
                      </c:pt>
                      <c:pt idx="12">
                        <c:v>-52.066925048828125</c:v>
                      </c:pt>
                      <c:pt idx="13">
                        <c:v>-52.232589721679688</c:v>
                      </c:pt>
                      <c:pt idx="14">
                        <c:v>-52.398250579833984</c:v>
                      </c:pt>
                      <c:pt idx="15">
                        <c:v>-52.563915252685547</c:v>
                      </c:pt>
                      <c:pt idx="16">
                        <c:v>-52.729579925537109</c:v>
                      </c:pt>
                      <c:pt idx="17">
                        <c:v>-52.895244598388672</c:v>
                      </c:pt>
                      <c:pt idx="18">
                        <c:v>-53.060905456542969</c:v>
                      </c:pt>
                      <c:pt idx="19">
                        <c:v>-53.226570129394531</c:v>
                      </c:pt>
                      <c:pt idx="20">
                        <c:v>-53.392234802246094</c:v>
                      </c:pt>
                      <c:pt idx="21">
                        <c:v>-53.691474914550781</c:v>
                      </c:pt>
                      <c:pt idx="22">
                        <c:v>-54.108898162841797</c:v>
                      </c:pt>
                      <c:pt idx="23">
                        <c:v>-54.526653289794922</c:v>
                      </c:pt>
                      <c:pt idx="24">
                        <c:v>-54.951320648193359</c:v>
                      </c:pt>
                      <c:pt idx="25">
                        <c:v>-55.375988006591797</c:v>
                      </c:pt>
                      <c:pt idx="26">
                        <c:v>-55.797264099121094</c:v>
                      </c:pt>
                      <c:pt idx="27">
                        <c:v>-56.215892791748047</c:v>
                      </c:pt>
                      <c:pt idx="28">
                        <c:v>-56.633930206298828</c:v>
                      </c:pt>
                      <c:pt idx="29">
                        <c:v>-57.044910430908203</c:v>
                      </c:pt>
                      <c:pt idx="30">
                        <c:v>-57.455890655517578</c:v>
                      </c:pt>
                      <c:pt idx="31">
                        <c:v>-57.859645843505859</c:v>
                      </c:pt>
                      <c:pt idx="32">
                        <c:v>-58.258445739746094</c:v>
                      </c:pt>
                      <c:pt idx="33">
                        <c:v>-58.657249450683594</c:v>
                      </c:pt>
                      <c:pt idx="34">
                        <c:v>-59.056049346923828</c:v>
                      </c:pt>
                      <c:pt idx="35">
                        <c:v>-59.454849243164063</c:v>
                      </c:pt>
                      <c:pt idx="36">
                        <c:v>-59.853652954101563</c:v>
                      </c:pt>
                      <c:pt idx="37">
                        <c:v>-60.252452850341797</c:v>
                      </c:pt>
                      <c:pt idx="38">
                        <c:v>-60.651256561279297</c:v>
                      </c:pt>
                      <c:pt idx="39">
                        <c:v>-61.050056457519531</c:v>
                      </c:pt>
                      <c:pt idx="40">
                        <c:v>-61.448856353759766</c:v>
                      </c:pt>
                      <c:pt idx="41">
                        <c:v>-61.833091735839844</c:v>
                      </c:pt>
                      <c:pt idx="42">
                        <c:v>-62.209938049316406</c:v>
                      </c:pt>
                      <c:pt idx="43">
                        <c:v>-62.586784362792969</c:v>
                      </c:pt>
                      <c:pt idx="44">
                        <c:v>-62.963630676269531</c:v>
                      </c:pt>
                      <c:pt idx="45">
                        <c:v>-63.340476989746094</c:v>
                      </c:pt>
                      <c:pt idx="46">
                        <c:v>-63.717323303222656</c:v>
                      </c:pt>
                      <c:pt idx="47">
                        <c:v>-64.094169616699219</c:v>
                      </c:pt>
                      <c:pt idx="48">
                        <c:v>-64.471015930175781</c:v>
                      </c:pt>
                      <c:pt idx="49">
                        <c:v>-64.847862243652344</c:v>
                      </c:pt>
                      <c:pt idx="50">
                        <c:v>-65.224716186523438</c:v>
                      </c:pt>
                      <c:pt idx="51">
                        <c:v>-65.587440490722656</c:v>
                      </c:pt>
                      <c:pt idx="52">
                        <c:v>-65.945053100585938</c:v>
                      </c:pt>
                      <c:pt idx="53">
                        <c:v>-66.302658081054688</c:v>
                      </c:pt>
                      <c:pt idx="54">
                        <c:v>-66.660270690917969</c:v>
                      </c:pt>
                      <c:pt idx="55">
                        <c:v>-67.01788330078125</c:v>
                      </c:pt>
                      <c:pt idx="56">
                        <c:v>-67.375495910644531</c:v>
                      </c:pt>
                      <c:pt idx="57">
                        <c:v>-67.733100891113281</c:v>
                      </c:pt>
                      <c:pt idx="58">
                        <c:v>-68.090713500976563</c:v>
                      </c:pt>
                      <c:pt idx="59">
                        <c:v>-68.448318481445313</c:v>
                      </c:pt>
                      <c:pt idx="60">
                        <c:v>-68.805931091308594</c:v>
                      </c:pt>
                      <c:pt idx="61">
                        <c:v>-69.151657104492188</c:v>
                      </c:pt>
                      <c:pt idx="62">
                        <c:v>-69.494888305664063</c:v>
                      </c:pt>
                      <c:pt idx="63">
                        <c:v>-69.838546752929688</c:v>
                      </c:pt>
                      <c:pt idx="64">
                        <c:v>-70.183212280273438</c:v>
                      </c:pt>
                      <c:pt idx="65">
                        <c:v>-70.527877807617188</c:v>
                      </c:pt>
                      <c:pt idx="66">
                        <c:v>-70.863998413085938</c:v>
                      </c:pt>
                      <c:pt idx="67">
                        <c:v>-71.198532104492188</c:v>
                      </c:pt>
                      <c:pt idx="68">
                        <c:v>-71.536117553710938</c:v>
                      </c:pt>
                      <c:pt idx="69">
                        <c:v>-71.88037109375</c:v>
                      </c:pt>
                      <c:pt idx="70">
                        <c:v>-72.224632263183594</c:v>
                      </c:pt>
                      <c:pt idx="71">
                        <c:v>-72.558677673339844</c:v>
                      </c:pt>
                      <c:pt idx="72">
                        <c:v>-72.891044616699219</c:v>
                      </c:pt>
                      <c:pt idx="73">
                        <c:v>-73.223419189453125</c:v>
                      </c:pt>
                      <c:pt idx="74">
                        <c:v>-73.5557861328125</c:v>
                      </c:pt>
                      <c:pt idx="75">
                        <c:v>-73.888160705566406</c:v>
                      </c:pt>
                      <c:pt idx="76">
                        <c:v>-74.220527648925781</c:v>
                      </c:pt>
                      <c:pt idx="77">
                        <c:v>-74.552894592285156</c:v>
                      </c:pt>
                      <c:pt idx="78">
                        <c:v>-74.885269165039063</c:v>
                      </c:pt>
                      <c:pt idx="79">
                        <c:v>-75.217636108398438</c:v>
                      </c:pt>
                      <c:pt idx="80">
                        <c:v>-75.550010681152344</c:v>
                      </c:pt>
                      <c:pt idx="81">
                        <c:v>-75.874740600585938</c:v>
                      </c:pt>
                      <c:pt idx="82">
                        <c:v>-76.19921875</c:v>
                      </c:pt>
                      <c:pt idx="83">
                        <c:v>-76.523689270019531</c:v>
                      </c:pt>
                      <c:pt idx="84">
                        <c:v>-76.848159790039063</c:v>
                      </c:pt>
                      <c:pt idx="85">
                        <c:v>-77.172637939453125</c:v>
                      </c:pt>
                      <c:pt idx="86">
                        <c:v>-77.497108459472656</c:v>
                      </c:pt>
                      <c:pt idx="87">
                        <c:v>-77.821578979492188</c:v>
                      </c:pt>
                      <c:pt idx="88">
                        <c:v>-78.146049499511719</c:v>
                      </c:pt>
                      <c:pt idx="89">
                        <c:v>-78.470527648925781</c:v>
                      </c:pt>
                      <c:pt idx="90">
                        <c:v>-78.794998168945313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D6B-4552-BE8F-6B195C3B7D1D}"/>
                  </c:ext>
                </c:extLst>
              </c15:ser>
            </c15:filteredScatterSeries>
            <c15:filteredScatterSeries>
              <c15:ser>
                <c:idx val="8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Answ!$C$10:$CO$10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-184.06538391113281</c:v>
                      </c:pt>
                      <c:pt idx="1">
                        <c:v>-186.67770385742188</c:v>
                      </c:pt>
                      <c:pt idx="2">
                        <c:v>-180.03219604492188</c:v>
                      </c:pt>
                      <c:pt idx="3">
                        <c:v>-173.38667297363281</c:v>
                      </c:pt>
                      <c:pt idx="4">
                        <c:v>-167.92094421386719</c:v>
                      </c:pt>
                      <c:pt idx="5">
                        <c:v>-162.56730651855469</c:v>
                      </c:pt>
                      <c:pt idx="6">
                        <c:v>-157.60734558105469</c:v>
                      </c:pt>
                      <c:pt idx="7">
                        <c:v>-153.17147827148438</c:v>
                      </c:pt>
                      <c:pt idx="8">
                        <c:v>-148.73562622070313</c:v>
                      </c:pt>
                      <c:pt idx="9">
                        <c:v>-144.99560546875</c:v>
                      </c:pt>
                      <c:pt idx="10">
                        <c:v>-141.29637145996094</c:v>
                      </c:pt>
                      <c:pt idx="11">
                        <c:v>-138.77568054199219</c:v>
                      </c:pt>
                      <c:pt idx="12">
                        <c:v>-137.63668823242188</c:v>
                      </c:pt>
                      <c:pt idx="13">
                        <c:v>-136.4976806640625</c:v>
                      </c:pt>
                      <c:pt idx="14">
                        <c:v>-135.35868835449219</c:v>
                      </c:pt>
                      <c:pt idx="15">
                        <c:v>-134.21968078613281</c:v>
                      </c:pt>
                      <c:pt idx="16">
                        <c:v>-133.08067321777344</c:v>
                      </c:pt>
                      <c:pt idx="17">
                        <c:v>-131.94168090820313</c:v>
                      </c:pt>
                      <c:pt idx="18">
                        <c:v>-130.80267333984375</c:v>
                      </c:pt>
                      <c:pt idx="19">
                        <c:v>-129.66366577148438</c:v>
                      </c:pt>
                      <c:pt idx="20">
                        <c:v>-128.52467346191406</c:v>
                      </c:pt>
                      <c:pt idx="21">
                        <c:v>-128.85923767089844</c:v>
                      </c:pt>
                      <c:pt idx="22">
                        <c:v>-130.49752807617188</c:v>
                      </c:pt>
                      <c:pt idx="23">
                        <c:v>-132.13507080078125</c:v>
                      </c:pt>
                      <c:pt idx="24">
                        <c:v>-133.75726318359375</c:v>
                      </c:pt>
                      <c:pt idx="25">
                        <c:v>-135.37945556640625</c:v>
                      </c:pt>
                      <c:pt idx="26">
                        <c:v>-136.98127746582031</c:v>
                      </c:pt>
                      <c:pt idx="27">
                        <c:v>-138.56724548339844</c:v>
                      </c:pt>
                      <c:pt idx="28">
                        <c:v>-140.150390625</c:v>
                      </c:pt>
                      <c:pt idx="29">
                        <c:v>-141.70013427734375</c:v>
                      </c:pt>
                      <c:pt idx="30">
                        <c:v>-143.24986267089844</c:v>
                      </c:pt>
                      <c:pt idx="31">
                        <c:v>-144.74411010742188</c:v>
                      </c:pt>
                      <c:pt idx="32">
                        <c:v>-146.20034790039063</c:v>
                      </c:pt>
                      <c:pt idx="33">
                        <c:v>-147.65657043457031</c:v>
                      </c:pt>
                      <c:pt idx="34">
                        <c:v>-149.11279296875</c:v>
                      </c:pt>
                      <c:pt idx="35">
                        <c:v>-150.56903076171875</c:v>
                      </c:pt>
                      <c:pt idx="36">
                        <c:v>-152.02525329589844</c:v>
                      </c:pt>
                      <c:pt idx="37">
                        <c:v>-153.48149108886719</c:v>
                      </c:pt>
                      <c:pt idx="38">
                        <c:v>-154.93771362304688</c:v>
                      </c:pt>
                      <c:pt idx="39">
                        <c:v>-156.39395141601563</c:v>
                      </c:pt>
                      <c:pt idx="40">
                        <c:v>-157.85017395019531</c:v>
                      </c:pt>
                      <c:pt idx="41">
                        <c:v>-159.18878173828125</c:v>
                      </c:pt>
                      <c:pt idx="42">
                        <c:v>-160.46775817871094</c:v>
                      </c:pt>
                      <c:pt idx="43">
                        <c:v>-161.74674987792969</c:v>
                      </c:pt>
                      <c:pt idx="44">
                        <c:v>-163.02572631835938</c:v>
                      </c:pt>
                      <c:pt idx="45">
                        <c:v>-164.30471801757813</c:v>
                      </c:pt>
                      <c:pt idx="46">
                        <c:v>-165.58369445800781</c:v>
                      </c:pt>
                      <c:pt idx="47">
                        <c:v>-166.86268615722656</c:v>
                      </c:pt>
                      <c:pt idx="48">
                        <c:v>-168.14166259765625</c:v>
                      </c:pt>
                      <c:pt idx="49">
                        <c:v>-169.420654296875</c:v>
                      </c:pt>
                      <c:pt idx="50">
                        <c:v>-170.69963073730469</c:v>
                      </c:pt>
                      <c:pt idx="51">
                        <c:v>-171.83184814453125</c:v>
                      </c:pt>
                      <c:pt idx="52">
                        <c:v>-172.91082763671875</c:v>
                      </c:pt>
                      <c:pt idx="53">
                        <c:v>-173.98982238769531</c:v>
                      </c:pt>
                      <c:pt idx="54">
                        <c:v>-175.06880187988281</c:v>
                      </c:pt>
                      <c:pt idx="55">
                        <c:v>-176.14779663085938</c:v>
                      </c:pt>
                      <c:pt idx="56">
                        <c:v>-177.22679138183594</c:v>
                      </c:pt>
                      <c:pt idx="57">
                        <c:v>-178.30577087402344</c:v>
                      </c:pt>
                      <c:pt idx="58">
                        <c:v>-179.384765625</c:v>
                      </c:pt>
                      <c:pt idx="59">
                        <c:v>-180.4637451171875</c:v>
                      </c:pt>
                      <c:pt idx="60">
                        <c:v>-181.542724609375</c:v>
                      </c:pt>
                      <c:pt idx="61">
                        <c:v>-182.49470520019531</c:v>
                      </c:pt>
                      <c:pt idx="62">
                        <c:v>-183.41999816894531</c:v>
                      </c:pt>
                      <c:pt idx="63">
                        <c:v>-184.33546447753906</c:v>
                      </c:pt>
                      <c:pt idx="64">
                        <c:v>-185.22767639160156</c:v>
                      </c:pt>
                      <c:pt idx="65">
                        <c:v>-186.11990356445313</c:v>
                      </c:pt>
                      <c:pt idx="66">
                        <c:v>-186.94999694824219</c:v>
                      </c:pt>
                      <c:pt idx="67">
                        <c:v>-187.76853942871094</c:v>
                      </c:pt>
                      <c:pt idx="68">
                        <c:v>-188.57693481445313</c:v>
                      </c:pt>
                      <c:pt idx="69">
                        <c:v>-189.36323547363281</c:v>
                      </c:pt>
                      <c:pt idx="70">
                        <c:v>-190.14952087402344</c:v>
                      </c:pt>
                      <c:pt idx="71">
                        <c:v>-190.80561828613281</c:v>
                      </c:pt>
                      <c:pt idx="72">
                        <c:v>-191.44044494628906</c:v>
                      </c:pt>
                      <c:pt idx="73">
                        <c:v>-192.07527160644531</c:v>
                      </c:pt>
                      <c:pt idx="74">
                        <c:v>-192.7100830078125</c:v>
                      </c:pt>
                      <c:pt idx="75">
                        <c:v>-193.34490966796875</c:v>
                      </c:pt>
                      <c:pt idx="76">
                        <c:v>-193.979736328125</c:v>
                      </c:pt>
                      <c:pt idx="77">
                        <c:v>-194.61454772949219</c:v>
                      </c:pt>
                      <c:pt idx="78">
                        <c:v>-195.24935913085938</c:v>
                      </c:pt>
                      <c:pt idx="79">
                        <c:v>-195.88418579101563</c:v>
                      </c:pt>
                      <c:pt idx="80">
                        <c:v>-196.51901245117188</c:v>
                      </c:pt>
                      <c:pt idx="81">
                        <c:v>-196.92805480957031</c:v>
                      </c:pt>
                      <c:pt idx="82">
                        <c:v>-197.32937622070313</c:v>
                      </c:pt>
                      <c:pt idx="83">
                        <c:v>-197.730712890625</c:v>
                      </c:pt>
                      <c:pt idx="84">
                        <c:v>-198.13203430175781</c:v>
                      </c:pt>
                      <c:pt idx="85">
                        <c:v>-198.53335571289063</c:v>
                      </c:pt>
                      <c:pt idx="86">
                        <c:v>-198.9346923828125</c:v>
                      </c:pt>
                      <c:pt idx="87">
                        <c:v>-199.33601379394531</c:v>
                      </c:pt>
                      <c:pt idx="88">
                        <c:v>-199.73733520507813</c:v>
                      </c:pt>
                      <c:pt idx="89">
                        <c:v>-200.138671875</c:v>
                      </c:pt>
                      <c:pt idx="90">
                        <c:v>-200.53999328613281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D6B-4552-BE8F-6B195C3B7D1D}"/>
                  </c:ext>
                </c:extLst>
              </c15:ser>
            </c15:filteredScatterSeries>
            <c15:filteredScatterSeries>
              <c15:ser>
                <c:idx val="9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Answ!$B$11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Answ!$C$11:$CO$11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-20.811534881591797</c:v>
                      </c:pt>
                      <c:pt idx="1">
                        <c:v>-20.658218383789063</c:v>
                      </c:pt>
                      <c:pt idx="2">
                        <c:v>-18.756618499755859</c:v>
                      </c:pt>
                      <c:pt idx="3">
                        <c:v>-16.855014801025391</c:v>
                      </c:pt>
                      <c:pt idx="4">
                        <c:v>-15.524714469909668</c:v>
                      </c:pt>
                      <c:pt idx="5">
                        <c:v>-14.248698234558105</c:v>
                      </c:pt>
                      <c:pt idx="6">
                        <c:v>-13.109082221984863</c:v>
                      </c:pt>
                      <c:pt idx="7">
                        <c:v>-12.151063919067383</c:v>
                      </c:pt>
                      <c:pt idx="8">
                        <c:v>-11.193047523498535</c:v>
                      </c:pt>
                      <c:pt idx="9">
                        <c:v>-10.396632194519043</c:v>
                      </c:pt>
                      <c:pt idx="10">
                        <c:v>-9.6096887588500977</c:v>
                      </c:pt>
                      <c:pt idx="11">
                        <c:v>-9.0767526626586914</c:v>
                      </c:pt>
                      <c:pt idx="12">
                        <c:v>-8.8416004180908203</c:v>
                      </c:pt>
                      <c:pt idx="13">
                        <c:v>-8.6064491271972656</c:v>
                      </c:pt>
                      <c:pt idx="14">
                        <c:v>-8.3712968826293945</c:v>
                      </c:pt>
                      <c:pt idx="15">
                        <c:v>-8.1361455917358398</c:v>
                      </c:pt>
                      <c:pt idx="16">
                        <c:v>-7.9009933471679688</c:v>
                      </c:pt>
                      <c:pt idx="17">
                        <c:v>-7.6658415794372559</c:v>
                      </c:pt>
                      <c:pt idx="18">
                        <c:v>-7.4306893348693848</c:v>
                      </c:pt>
                      <c:pt idx="19">
                        <c:v>-7.1955370903015137</c:v>
                      </c:pt>
                      <c:pt idx="20">
                        <c:v>-6.9603848457336426</c:v>
                      </c:pt>
                      <c:pt idx="21">
                        <c:v>-6.8621735572814941</c:v>
                      </c:pt>
                      <c:pt idx="22">
                        <c:v>-6.8851180076599121</c:v>
                      </c:pt>
                      <c:pt idx="23">
                        <c:v>-6.9083971977233887</c:v>
                      </c:pt>
                      <c:pt idx="24">
                        <c:v>-6.9385867118835449</c:v>
                      </c:pt>
                      <c:pt idx="25">
                        <c:v>-6.9687762260437012</c:v>
                      </c:pt>
                      <c:pt idx="26">
                        <c:v>-7.0000967979431152</c:v>
                      </c:pt>
                      <c:pt idx="27">
                        <c:v>-7.0322990417480469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D6B-4552-BE8F-6B195C3B7D1D}"/>
                  </c:ext>
                </c:extLst>
              </c15:ser>
            </c15:filteredScatterSeries>
            <c15:filteredScatterSeries>
              <c15:ser>
                <c:idx val="10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Answ!$B$12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Answ!$C$12:$CO$12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-63.572433471679688</c:v>
                      </c:pt>
                      <c:pt idx="1">
                        <c:v>-63.984081268310547</c:v>
                      </c:pt>
                      <c:pt idx="2">
                        <c:v>-60.431198120117188</c:v>
                      </c:pt>
                      <c:pt idx="3">
                        <c:v>-56.878307342529297</c:v>
                      </c:pt>
                      <c:pt idx="4">
                        <c:v>-53.882858276367188</c:v>
                      </c:pt>
                      <c:pt idx="5">
                        <c:v>-50.940372467041016</c:v>
                      </c:pt>
                      <c:pt idx="6">
                        <c:v>-48.184360504150391</c:v>
                      </c:pt>
                      <c:pt idx="7">
                        <c:v>-45.676605224609375</c:v>
                      </c:pt>
                      <c:pt idx="8">
                        <c:v>-43.168857574462891</c:v>
                      </c:pt>
                      <c:pt idx="9">
                        <c:v>-40.991912841796875</c:v>
                      </c:pt>
                      <c:pt idx="10">
                        <c:v>-38.834362030029297</c:v>
                      </c:pt>
                      <c:pt idx="11">
                        <c:v>-37.269458770751953</c:v>
                      </c:pt>
                      <c:pt idx="12">
                        <c:v>-36.399345397949219</c:v>
                      </c:pt>
                      <c:pt idx="13">
                        <c:v>-35.52923583984375</c:v>
                      </c:pt>
                      <c:pt idx="14">
                        <c:v>-34.659122467041016</c:v>
                      </c:pt>
                      <c:pt idx="15">
                        <c:v>-33.789012908935547</c:v>
                      </c:pt>
                      <c:pt idx="16">
                        <c:v>-32.918899536132813</c:v>
                      </c:pt>
                      <c:pt idx="17">
                        <c:v>-32.048786163330078</c:v>
                      </c:pt>
                      <c:pt idx="18">
                        <c:v>-31.178674697875977</c:v>
                      </c:pt>
                      <c:pt idx="19">
                        <c:v>-30.308561325073242</c:v>
                      </c:pt>
                      <c:pt idx="20">
                        <c:v>-29.438449859619141</c:v>
                      </c:pt>
                      <c:pt idx="21">
                        <c:v>-29.307643890380859</c:v>
                      </c:pt>
                      <c:pt idx="22">
                        <c:v>-29.8309326171875</c:v>
                      </c:pt>
                      <c:pt idx="23">
                        <c:v>-30.353847503662109</c:v>
                      </c:pt>
                      <c:pt idx="24">
                        <c:v>-30.869083404541016</c:v>
                      </c:pt>
                      <c:pt idx="25">
                        <c:v>-31.384317398071289</c:v>
                      </c:pt>
                      <c:pt idx="26">
                        <c:v>-31.892766952514648</c:v>
                      </c:pt>
                      <c:pt idx="27">
                        <c:v>-32.395927429199219</c:v>
                      </c:pt>
                      <c:pt idx="28">
                        <c:v>-32.898151397705078</c:v>
                      </c:pt>
                      <c:pt idx="29">
                        <c:v>-33.389236450195313</c:v>
                      </c:pt>
                      <c:pt idx="30">
                        <c:v>-33.880321502685547</c:v>
                      </c:pt>
                      <c:pt idx="31">
                        <c:v>-34.348915100097656</c:v>
                      </c:pt>
                      <c:pt idx="32">
                        <c:v>-34.802101135253906</c:v>
                      </c:pt>
                      <c:pt idx="33">
                        <c:v>-35.255283355712891</c:v>
                      </c:pt>
                      <c:pt idx="34">
                        <c:v>-35.708465576171875</c:v>
                      </c:pt>
                      <c:pt idx="35">
                        <c:v>-36.161651611328125</c:v>
                      </c:pt>
                      <c:pt idx="36">
                        <c:v>-36.614833831787109</c:v>
                      </c:pt>
                      <c:pt idx="37">
                        <c:v>-37.068016052246094</c:v>
                      </c:pt>
                      <c:pt idx="38">
                        <c:v>-37.521202087402344</c:v>
                      </c:pt>
                      <c:pt idx="39">
                        <c:v>-37.974384307861328</c:v>
                      </c:pt>
                      <c:pt idx="40">
                        <c:v>-38.427566528320313</c:v>
                      </c:pt>
                      <c:pt idx="41">
                        <c:v>-38.831962585449219</c:v>
                      </c:pt>
                      <c:pt idx="42">
                        <c:v>-39.211631774902344</c:v>
                      </c:pt>
                      <c:pt idx="43">
                        <c:v>-39.591297149658203</c:v>
                      </c:pt>
                      <c:pt idx="44">
                        <c:v>-39.970962524414063</c:v>
                      </c:pt>
                      <c:pt idx="45">
                        <c:v>-40.350631713867188</c:v>
                      </c:pt>
                      <c:pt idx="46">
                        <c:v>-40.730297088623047</c:v>
                      </c:pt>
                      <c:pt idx="47">
                        <c:v>-41.109962463378906</c:v>
                      </c:pt>
                      <c:pt idx="48">
                        <c:v>-41.489627838134766</c:v>
                      </c:pt>
                      <c:pt idx="49">
                        <c:v>-41.869297027587891</c:v>
                      </c:pt>
                      <c:pt idx="50">
                        <c:v>-42.24896240234375</c:v>
                      </c:pt>
                      <c:pt idx="51">
                        <c:v>-42.564815521240234</c:v>
                      </c:pt>
                      <c:pt idx="52">
                        <c:v>-42.857521057128906</c:v>
                      </c:pt>
                      <c:pt idx="53">
                        <c:v>-43.150234222412109</c:v>
                      </c:pt>
                      <c:pt idx="54">
                        <c:v>-43.442943572998047</c:v>
                      </c:pt>
                      <c:pt idx="55">
                        <c:v>-43.735652923583984</c:v>
                      </c:pt>
                      <c:pt idx="56">
                        <c:v>-44.028362274169922</c:v>
                      </c:pt>
                      <c:pt idx="57">
                        <c:v>-44.321071624755859</c:v>
                      </c:pt>
                      <c:pt idx="58">
                        <c:v>-44.613780975341797</c:v>
                      </c:pt>
                      <c:pt idx="59">
                        <c:v>-44.906490325927734</c:v>
                      </c:pt>
                      <c:pt idx="60">
                        <c:v>-45.199199676513672</c:v>
                      </c:pt>
                      <c:pt idx="61">
                        <c:v>-45.436275482177734</c:v>
                      </c:pt>
                      <c:pt idx="62">
                        <c:v>-45.661666870117188</c:v>
                      </c:pt>
                      <c:pt idx="63">
                        <c:v>-45.881816864013672</c:v>
                      </c:pt>
                      <c:pt idx="64">
                        <c:v>-46.089595794677734</c:v>
                      </c:pt>
                      <c:pt idx="65">
                        <c:v>-46.297374725341797</c:v>
                      </c:pt>
                      <c:pt idx="66">
                        <c:v>-46.479999542236328</c:v>
                      </c:pt>
                      <c:pt idx="67">
                        <c:v>-46.657939910888672</c:v>
                      </c:pt>
                      <c:pt idx="68">
                        <c:v>-46.828617095947266</c:v>
                      </c:pt>
                      <c:pt idx="69">
                        <c:v>-46.983432769775391</c:v>
                      </c:pt>
                      <c:pt idx="70">
                        <c:v>-47.138248443603516</c:v>
                      </c:pt>
                      <c:pt idx="71">
                        <c:v>-47.234718322753906</c:v>
                      </c:pt>
                      <c:pt idx="72">
                        <c:v>-47.3216552734375</c:v>
                      </c:pt>
                      <c:pt idx="73">
                        <c:v>-47.408588409423828</c:v>
                      </c:pt>
                      <c:pt idx="74">
                        <c:v>-47.495521545410156</c:v>
                      </c:pt>
                      <c:pt idx="75">
                        <c:v>-47.582454681396484</c:v>
                      </c:pt>
                      <c:pt idx="76">
                        <c:v>-47.669391632080078</c:v>
                      </c:pt>
                      <c:pt idx="77">
                        <c:v>-47.756324768066406</c:v>
                      </c:pt>
                      <c:pt idx="78">
                        <c:v>-47.843257904052734</c:v>
                      </c:pt>
                      <c:pt idx="79">
                        <c:v>-47.930191040039063</c:v>
                      </c:pt>
                      <c:pt idx="80">
                        <c:v>-48.017127990722656</c:v>
                      </c:pt>
                      <c:pt idx="81">
                        <c:v>-47.995746612548828</c:v>
                      </c:pt>
                      <c:pt idx="82">
                        <c:v>-47.970664978027344</c:v>
                      </c:pt>
                      <c:pt idx="83">
                        <c:v>-47.945579528808594</c:v>
                      </c:pt>
                      <c:pt idx="84">
                        <c:v>-47.920497894287109</c:v>
                      </c:pt>
                      <c:pt idx="85">
                        <c:v>-47.895416259765625</c:v>
                      </c:pt>
                      <c:pt idx="86">
                        <c:v>-47.870330810546875</c:v>
                      </c:pt>
                      <c:pt idx="87">
                        <c:v>-47.845249176025391</c:v>
                      </c:pt>
                      <c:pt idx="88">
                        <c:v>-47.820167541503906</c:v>
                      </c:pt>
                      <c:pt idx="89">
                        <c:v>-47.795082092285156</c:v>
                      </c:pt>
                      <c:pt idx="90">
                        <c:v>-47.770000457763672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D6B-4552-BE8F-6B195C3B7D1D}"/>
                  </c:ext>
                </c:extLst>
              </c15:ser>
            </c15:filteredScatterSeries>
            <c15:filteredScatterSeries>
              <c15:ser>
                <c:idx val="11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Answ!$B$13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Answ!$C$13:$CO$13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-18.973506927490234</c:v>
                      </c:pt>
                      <c:pt idx="1">
                        <c:v>-19.569847106933594</c:v>
                      </c:pt>
                      <c:pt idx="2">
                        <c:v>-19.7232666015625</c:v>
                      </c:pt>
                      <c:pt idx="3">
                        <c:v>-19.876686096191406</c:v>
                      </c:pt>
                      <c:pt idx="4">
                        <c:v>-20.051742553710938</c:v>
                      </c:pt>
                      <c:pt idx="5">
                        <c:v>-20.228855133056641</c:v>
                      </c:pt>
                      <c:pt idx="6">
                        <c:v>-20.412874221801758</c:v>
                      </c:pt>
                      <c:pt idx="7">
                        <c:v>-20.606086730957031</c:v>
                      </c:pt>
                      <c:pt idx="8">
                        <c:v>-20.799301147460938</c:v>
                      </c:pt>
                      <c:pt idx="9">
                        <c:v>-21.003921508789063</c:v>
                      </c:pt>
                      <c:pt idx="10">
                        <c:v>-21.209211349487305</c:v>
                      </c:pt>
                      <c:pt idx="11">
                        <c:v>-21.412252426147461</c:v>
                      </c:pt>
                      <c:pt idx="12">
                        <c:v>-21.612661361694336</c:v>
                      </c:pt>
                      <c:pt idx="13">
                        <c:v>-21.813068389892578</c:v>
                      </c:pt>
                      <c:pt idx="14">
                        <c:v>-22.013477325439453</c:v>
                      </c:pt>
                      <c:pt idx="15">
                        <c:v>-22.213884353637695</c:v>
                      </c:pt>
                      <c:pt idx="16">
                        <c:v>-22.41429328918457</c:v>
                      </c:pt>
                      <c:pt idx="17">
                        <c:v>-22.614700317382813</c:v>
                      </c:pt>
                      <c:pt idx="18">
                        <c:v>-22.815107345581055</c:v>
                      </c:pt>
                      <c:pt idx="19">
                        <c:v>-23.01551628112793</c:v>
                      </c:pt>
                      <c:pt idx="20">
                        <c:v>-23.215923309326172</c:v>
                      </c:pt>
                      <c:pt idx="21">
                        <c:v>-23.414649963378906</c:v>
                      </c:pt>
                      <c:pt idx="22">
                        <c:v>-23.611888885498047</c:v>
                      </c:pt>
                      <c:pt idx="23">
                        <c:v>-23.809127807617188</c:v>
                      </c:pt>
                      <c:pt idx="24">
                        <c:v>-24.006368637084961</c:v>
                      </c:pt>
                      <c:pt idx="25">
                        <c:v>-24.203605651855469</c:v>
                      </c:pt>
                      <c:pt idx="26">
                        <c:v>-24.398582458496094</c:v>
                      </c:pt>
                      <c:pt idx="27">
                        <c:v>-24.591796875</c:v>
                      </c:pt>
                      <c:pt idx="28">
                        <c:v>-24.784698486328125</c:v>
                      </c:pt>
                      <c:pt idx="29">
                        <c:v>-24.973886489868164</c:v>
                      </c:pt>
                      <c:pt idx="30">
                        <c:v>-25.16307258605957</c:v>
                      </c:pt>
                      <c:pt idx="31">
                        <c:v>-25.348760604858398</c:v>
                      </c:pt>
                      <c:pt idx="32">
                        <c:v>-25.532049179077148</c:v>
                      </c:pt>
                      <c:pt idx="33">
                        <c:v>-25.715335845947266</c:v>
                      </c:pt>
                      <c:pt idx="34">
                        <c:v>-25.898622512817383</c:v>
                      </c:pt>
                      <c:pt idx="35">
                        <c:v>-26.081911087036133</c:v>
                      </c:pt>
                      <c:pt idx="36">
                        <c:v>-26.26519775390625</c:v>
                      </c:pt>
                      <c:pt idx="37">
                        <c:v>-26.448486328125</c:v>
                      </c:pt>
                      <c:pt idx="38">
                        <c:v>-26.631772994995117</c:v>
                      </c:pt>
                      <c:pt idx="39">
                        <c:v>-26.815059661865234</c:v>
                      </c:pt>
                      <c:pt idx="40">
                        <c:v>-26.998348236083984</c:v>
                      </c:pt>
                      <c:pt idx="41">
                        <c:v>-27.174953460693359</c:v>
                      </c:pt>
                      <c:pt idx="42">
                        <c:v>-27.348169326782227</c:v>
                      </c:pt>
                      <c:pt idx="43">
                        <c:v>-27.521387100219727</c:v>
                      </c:pt>
                      <c:pt idx="44">
                        <c:v>-27.694602966308594</c:v>
                      </c:pt>
                      <c:pt idx="45">
                        <c:v>-27.867820739746094</c:v>
                      </c:pt>
                      <c:pt idx="46">
                        <c:v>-28.041036605834961</c:v>
                      </c:pt>
                      <c:pt idx="47">
                        <c:v>-28.214254379272461</c:v>
                      </c:pt>
                      <c:pt idx="48">
                        <c:v>-28.387470245361328</c:v>
                      </c:pt>
                      <c:pt idx="49">
                        <c:v>-28.560688018798828</c:v>
                      </c:pt>
                      <c:pt idx="50">
                        <c:v>-28.733905792236328</c:v>
                      </c:pt>
                      <c:pt idx="51">
                        <c:v>-28.900741577148438</c:v>
                      </c:pt>
                      <c:pt idx="52">
                        <c:v>-29.065263748168945</c:v>
                      </c:pt>
                      <c:pt idx="53">
                        <c:v>-29.229785919189453</c:v>
                      </c:pt>
                      <c:pt idx="54">
                        <c:v>-29.394309997558594</c:v>
                      </c:pt>
                      <c:pt idx="55">
                        <c:v>-29.558832168579102</c:v>
                      </c:pt>
                      <c:pt idx="56">
                        <c:v>-29.723356246948242</c:v>
                      </c:pt>
                      <c:pt idx="57">
                        <c:v>-29.88787841796875</c:v>
                      </c:pt>
                      <c:pt idx="58">
                        <c:v>-30.052400588989258</c:v>
                      </c:pt>
                      <c:pt idx="59">
                        <c:v>-30.216922760009766</c:v>
                      </c:pt>
                      <c:pt idx="60">
                        <c:v>-30.381444931030273</c:v>
                      </c:pt>
                      <c:pt idx="61">
                        <c:v>-30.540718078613281</c:v>
                      </c:pt>
                      <c:pt idx="62">
                        <c:v>-30.698888778686523</c:v>
                      </c:pt>
                      <c:pt idx="63">
                        <c:v>-30.857273101806641</c:v>
                      </c:pt>
                      <c:pt idx="64">
                        <c:v>-31.016162872314453</c:v>
                      </c:pt>
                      <c:pt idx="65">
                        <c:v>-31.175050735473633</c:v>
                      </c:pt>
                      <c:pt idx="66">
                        <c:v>-31.330001831054688</c:v>
                      </c:pt>
                      <c:pt idx="67">
                        <c:v>-31.484216690063477</c:v>
                      </c:pt>
                      <c:pt idx="68">
                        <c:v>-31.639898300170898</c:v>
                      </c:pt>
                      <c:pt idx="69">
                        <c:v>-31.798788070678711</c:v>
                      </c:pt>
                      <c:pt idx="70">
                        <c:v>-31.957675933837891</c:v>
                      </c:pt>
                      <c:pt idx="71">
                        <c:v>-32.112064361572266</c:v>
                      </c:pt>
                      <c:pt idx="72">
                        <c:v>-32.265712738037109</c:v>
                      </c:pt>
                      <c:pt idx="73">
                        <c:v>-32.419364929199219</c:v>
                      </c:pt>
                      <c:pt idx="74">
                        <c:v>-32.573017120361328</c:v>
                      </c:pt>
                      <c:pt idx="75">
                        <c:v>-32.726665496826172</c:v>
                      </c:pt>
                      <c:pt idx="76">
                        <c:v>-32.880317687988281</c:v>
                      </c:pt>
                      <c:pt idx="77">
                        <c:v>-33.033966064453125</c:v>
                      </c:pt>
                      <c:pt idx="78">
                        <c:v>-33.187618255615234</c:v>
                      </c:pt>
                      <c:pt idx="79">
                        <c:v>-33.341270446777344</c:v>
                      </c:pt>
                      <c:pt idx="80">
                        <c:v>-33.494918823242188</c:v>
                      </c:pt>
                      <c:pt idx="81">
                        <c:v>-33.645523071289063</c:v>
                      </c:pt>
                      <c:pt idx="82">
                        <c:v>-33.7960205078125</c:v>
                      </c:pt>
                      <c:pt idx="83">
                        <c:v>-33.946517944335938</c:v>
                      </c:pt>
                      <c:pt idx="84">
                        <c:v>-34.097015380859375</c:v>
                      </c:pt>
                      <c:pt idx="85">
                        <c:v>-34.247512817382813</c:v>
                      </c:pt>
                      <c:pt idx="86">
                        <c:v>-34.39801025390625</c:v>
                      </c:pt>
                      <c:pt idx="87">
                        <c:v>-34.548507690429688</c:v>
                      </c:pt>
                      <c:pt idx="88">
                        <c:v>-34.699005126953125</c:v>
                      </c:pt>
                      <c:pt idx="89">
                        <c:v>-34.849502563476563</c:v>
                      </c:pt>
                      <c:pt idx="90">
                        <c:v>-35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D6B-4552-BE8F-6B195C3B7D1D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</c:valAx>
      <c:valAx>
        <c:axId val="785463200"/>
        <c:scaling>
          <c:orientation val="minMax"/>
          <c:max val="-2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252178505766039"/>
          <c:y val="8.632633420822397E-2"/>
          <c:w val="0.83842863018051283"/>
          <c:h val="0.74734951881014877"/>
        </c:manualLayout>
      </c:layout>
      <c:scatterChart>
        <c:scatterStyle val="smoothMarker"/>
        <c:varyColors val="0"/>
        <c:ser>
          <c:idx val="7"/>
          <c:order val="9"/>
          <c:tx>
            <c:strRef>
              <c:f>Answ!$B$13</c:f>
              <c:strCache>
                <c:ptCount val="1"/>
                <c:pt idx="0">
                  <c:v>(l)Se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Answ!$C$3:$CO$3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Answ!$C$13:$CO$13</c:f>
              <c:numCache>
                <c:formatCode>General</c:formatCode>
                <c:ptCount val="91"/>
                <c:pt idx="0">
                  <c:v>-18.973506927490234</c:v>
                </c:pt>
                <c:pt idx="1">
                  <c:v>-19.569847106933594</c:v>
                </c:pt>
                <c:pt idx="2">
                  <c:v>-19.7232666015625</c:v>
                </c:pt>
                <c:pt idx="3">
                  <c:v>-19.876686096191406</c:v>
                </c:pt>
                <c:pt idx="4">
                  <c:v>-20.051742553710938</c:v>
                </c:pt>
                <c:pt idx="5">
                  <c:v>-20.228855133056641</c:v>
                </c:pt>
                <c:pt idx="6">
                  <c:v>-20.412874221801758</c:v>
                </c:pt>
                <c:pt idx="7">
                  <c:v>-20.606086730957031</c:v>
                </c:pt>
                <c:pt idx="8">
                  <c:v>-20.799301147460938</c:v>
                </c:pt>
                <c:pt idx="9">
                  <c:v>-21.003921508789063</c:v>
                </c:pt>
                <c:pt idx="10">
                  <c:v>-21.209211349487305</c:v>
                </c:pt>
                <c:pt idx="11">
                  <c:v>-21.412252426147461</c:v>
                </c:pt>
                <c:pt idx="12">
                  <c:v>-21.612661361694336</c:v>
                </c:pt>
                <c:pt idx="13">
                  <c:v>-21.813068389892578</c:v>
                </c:pt>
                <c:pt idx="14">
                  <c:v>-22.013477325439453</c:v>
                </c:pt>
                <c:pt idx="15">
                  <c:v>-22.213884353637695</c:v>
                </c:pt>
                <c:pt idx="16">
                  <c:v>-22.41429328918457</c:v>
                </c:pt>
                <c:pt idx="17">
                  <c:v>-22.614700317382813</c:v>
                </c:pt>
                <c:pt idx="18">
                  <c:v>-22.815107345581055</c:v>
                </c:pt>
                <c:pt idx="19">
                  <c:v>-23.01551628112793</c:v>
                </c:pt>
                <c:pt idx="20">
                  <c:v>-23.215923309326172</c:v>
                </c:pt>
                <c:pt idx="21">
                  <c:v>-23.414649963378906</c:v>
                </c:pt>
                <c:pt idx="22">
                  <c:v>-23.611888885498047</c:v>
                </c:pt>
                <c:pt idx="23">
                  <c:v>-23.809127807617188</c:v>
                </c:pt>
                <c:pt idx="24">
                  <c:v>-24.006368637084961</c:v>
                </c:pt>
                <c:pt idx="25">
                  <c:v>-24.203605651855469</c:v>
                </c:pt>
                <c:pt idx="26">
                  <c:v>-24.398582458496094</c:v>
                </c:pt>
                <c:pt idx="27">
                  <c:v>-24.591796875</c:v>
                </c:pt>
                <c:pt idx="28">
                  <c:v>-24.784698486328125</c:v>
                </c:pt>
                <c:pt idx="29">
                  <c:v>-24.973886489868164</c:v>
                </c:pt>
                <c:pt idx="30">
                  <c:v>-25.16307258605957</c:v>
                </c:pt>
                <c:pt idx="31">
                  <c:v>-25.348760604858398</c:v>
                </c:pt>
                <c:pt idx="32">
                  <c:v>-25.532049179077148</c:v>
                </c:pt>
                <c:pt idx="33">
                  <c:v>-25.715335845947266</c:v>
                </c:pt>
                <c:pt idx="34">
                  <c:v>-25.898622512817383</c:v>
                </c:pt>
                <c:pt idx="35">
                  <c:v>-26.081911087036133</c:v>
                </c:pt>
                <c:pt idx="36">
                  <c:v>-26.26519775390625</c:v>
                </c:pt>
                <c:pt idx="37">
                  <c:v>-26.448486328125</c:v>
                </c:pt>
                <c:pt idx="38">
                  <c:v>-26.631772994995117</c:v>
                </c:pt>
                <c:pt idx="39">
                  <c:v>-26.815059661865234</c:v>
                </c:pt>
                <c:pt idx="40">
                  <c:v>-26.998348236083984</c:v>
                </c:pt>
                <c:pt idx="41">
                  <c:v>-27.174953460693359</c:v>
                </c:pt>
                <c:pt idx="42">
                  <c:v>-27.348169326782227</c:v>
                </c:pt>
                <c:pt idx="43">
                  <c:v>-27.521387100219727</c:v>
                </c:pt>
                <c:pt idx="44">
                  <c:v>-27.694602966308594</c:v>
                </c:pt>
                <c:pt idx="45">
                  <c:v>-27.867820739746094</c:v>
                </c:pt>
                <c:pt idx="46">
                  <c:v>-28.041036605834961</c:v>
                </c:pt>
                <c:pt idx="47">
                  <c:v>-28.214254379272461</c:v>
                </c:pt>
                <c:pt idx="48">
                  <c:v>-28.387470245361328</c:v>
                </c:pt>
                <c:pt idx="49">
                  <c:v>-28.560688018798828</c:v>
                </c:pt>
                <c:pt idx="50">
                  <c:v>-28.733905792236328</c:v>
                </c:pt>
                <c:pt idx="51">
                  <c:v>-28.900741577148438</c:v>
                </c:pt>
                <c:pt idx="52">
                  <c:v>-29.065263748168945</c:v>
                </c:pt>
                <c:pt idx="53">
                  <c:v>-29.229785919189453</c:v>
                </c:pt>
                <c:pt idx="54">
                  <c:v>-29.394309997558594</c:v>
                </c:pt>
                <c:pt idx="55">
                  <c:v>-29.558832168579102</c:v>
                </c:pt>
                <c:pt idx="56">
                  <c:v>-29.723356246948242</c:v>
                </c:pt>
                <c:pt idx="57">
                  <c:v>-29.88787841796875</c:v>
                </c:pt>
                <c:pt idx="58">
                  <c:v>-30.052400588989258</c:v>
                </c:pt>
                <c:pt idx="59">
                  <c:v>-30.216922760009766</c:v>
                </c:pt>
                <c:pt idx="60">
                  <c:v>-30.381444931030273</c:v>
                </c:pt>
                <c:pt idx="61">
                  <c:v>-30.540718078613281</c:v>
                </c:pt>
                <c:pt idx="62">
                  <c:v>-30.698888778686523</c:v>
                </c:pt>
                <c:pt idx="63">
                  <c:v>-30.857273101806641</c:v>
                </c:pt>
                <c:pt idx="64">
                  <c:v>-31.016162872314453</c:v>
                </c:pt>
                <c:pt idx="65">
                  <c:v>-31.175050735473633</c:v>
                </c:pt>
                <c:pt idx="66">
                  <c:v>-31.330001831054688</c:v>
                </c:pt>
                <c:pt idx="67">
                  <c:v>-31.484216690063477</c:v>
                </c:pt>
                <c:pt idx="68">
                  <c:v>-31.639898300170898</c:v>
                </c:pt>
                <c:pt idx="69">
                  <c:v>-31.798788070678711</c:v>
                </c:pt>
                <c:pt idx="70">
                  <c:v>-31.957675933837891</c:v>
                </c:pt>
                <c:pt idx="71">
                  <c:v>-32.112064361572266</c:v>
                </c:pt>
                <c:pt idx="72">
                  <c:v>-32.265712738037109</c:v>
                </c:pt>
                <c:pt idx="73">
                  <c:v>-32.419364929199219</c:v>
                </c:pt>
                <c:pt idx="74">
                  <c:v>-32.573017120361328</c:v>
                </c:pt>
                <c:pt idx="75">
                  <c:v>-32.726665496826172</c:v>
                </c:pt>
                <c:pt idx="76">
                  <c:v>-32.880317687988281</c:v>
                </c:pt>
                <c:pt idx="77">
                  <c:v>-33.033966064453125</c:v>
                </c:pt>
                <c:pt idx="78">
                  <c:v>-33.187618255615234</c:v>
                </c:pt>
                <c:pt idx="79">
                  <c:v>-33.341270446777344</c:v>
                </c:pt>
                <c:pt idx="80">
                  <c:v>-33.494918823242188</c:v>
                </c:pt>
                <c:pt idx="81">
                  <c:v>-33.645523071289063</c:v>
                </c:pt>
                <c:pt idx="82">
                  <c:v>-33.7960205078125</c:v>
                </c:pt>
                <c:pt idx="83">
                  <c:v>-33.946517944335938</c:v>
                </c:pt>
                <c:pt idx="84">
                  <c:v>-34.097015380859375</c:v>
                </c:pt>
                <c:pt idx="85">
                  <c:v>-34.247512817382813</c:v>
                </c:pt>
                <c:pt idx="86">
                  <c:v>-34.39801025390625</c:v>
                </c:pt>
                <c:pt idx="87">
                  <c:v>-34.548507690429688</c:v>
                </c:pt>
                <c:pt idx="88">
                  <c:v>-34.699005126953125</c:v>
                </c:pt>
                <c:pt idx="89">
                  <c:v>-34.849502563476563</c:v>
                </c:pt>
                <c:pt idx="90">
                  <c:v>-35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755-4193-AA73-7A7CD9F7D7F5}"/>
            </c:ext>
          </c:extLst>
        </c:ser>
        <c:ser>
          <c:idx val="8"/>
          <c:order val="11"/>
          <c:tx>
            <c:strRef>
              <c:f>Answ!$B$15</c:f>
              <c:strCache>
                <c:ptCount val="1"/>
                <c:pt idx="0">
                  <c:v>*Se[m]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Answ!$C$3:$CO$3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Answ!$C$15:$CO$15</c:f>
              <c:numCache>
                <c:formatCode>General</c:formatCode>
                <c:ptCount val="91"/>
                <c:pt idx="0">
                  <c:v>-18.526155471801758</c:v>
                </c:pt>
                <c:pt idx="1">
                  <c:v>-19.119295120239258</c:v>
                </c:pt>
                <c:pt idx="2">
                  <c:v>-19.296939849853516</c:v>
                </c:pt>
                <c:pt idx="3">
                  <c:v>-19.474584579467773</c:v>
                </c:pt>
                <c:pt idx="4">
                  <c:v>-19.666446685791016</c:v>
                </c:pt>
                <c:pt idx="5">
                  <c:v>-19.859661102294922</c:v>
                </c:pt>
                <c:pt idx="6">
                  <c:v>-20.056325912475586</c:v>
                </c:pt>
                <c:pt idx="7">
                  <c:v>-20.257591247558594</c:v>
                </c:pt>
                <c:pt idx="8">
                  <c:v>-20.458854675292969</c:v>
                </c:pt>
                <c:pt idx="9">
                  <c:v>-20.663921356201172</c:v>
                </c:pt>
                <c:pt idx="10">
                  <c:v>-20.869211196899414</c:v>
                </c:pt>
                <c:pt idx="11">
                  <c:v>-21.074501037597656</c:v>
                </c:pt>
                <c:pt idx="12">
                  <c:v>-21.279790878295898</c:v>
                </c:pt>
                <c:pt idx="13">
                  <c:v>-21.485078811645508</c:v>
                </c:pt>
                <c:pt idx="14">
                  <c:v>-21.694297790527344</c:v>
                </c:pt>
                <c:pt idx="15">
                  <c:v>-21.90361213684082</c:v>
                </c:pt>
                <c:pt idx="16">
                  <c:v>-22.10926628112793</c:v>
                </c:pt>
                <c:pt idx="17">
                  <c:v>-22.311134338378906</c:v>
                </c:pt>
                <c:pt idx="18">
                  <c:v>-22.513053894042969</c:v>
                </c:pt>
                <c:pt idx="19">
                  <c:v>-22.718343734741211</c:v>
                </c:pt>
                <c:pt idx="20">
                  <c:v>-22.923633575439453</c:v>
                </c:pt>
                <c:pt idx="21">
                  <c:v>-23.12358283996582</c:v>
                </c:pt>
                <c:pt idx="22">
                  <c:v>-23.318809509277344</c:v>
                </c:pt>
                <c:pt idx="23">
                  <c:v>-23.514036178588867</c:v>
                </c:pt>
                <c:pt idx="24">
                  <c:v>-23.709260940551758</c:v>
                </c:pt>
                <c:pt idx="25">
                  <c:v>-23.904487609863281</c:v>
                </c:pt>
                <c:pt idx="26">
                  <c:v>-24.099714279174805</c:v>
                </c:pt>
                <c:pt idx="27">
                  <c:v>-24.294939041137695</c:v>
                </c:pt>
                <c:pt idx="28">
                  <c:v>-24.490165710449219</c:v>
                </c:pt>
                <c:pt idx="29">
                  <c:v>-24.685392379760742</c:v>
                </c:pt>
                <c:pt idx="30">
                  <c:v>-24.880617141723633</c:v>
                </c:pt>
                <c:pt idx="31">
                  <c:v>-25.06816291809082</c:v>
                </c:pt>
                <c:pt idx="32">
                  <c:v>-25.250442504882813</c:v>
                </c:pt>
                <c:pt idx="33">
                  <c:v>-25.432723999023438</c:v>
                </c:pt>
                <c:pt idx="34">
                  <c:v>-25.61500358581543</c:v>
                </c:pt>
                <c:pt idx="35">
                  <c:v>-25.797285079956055</c:v>
                </c:pt>
                <c:pt idx="36">
                  <c:v>-25.979564666748047</c:v>
                </c:pt>
                <c:pt idx="37">
                  <c:v>-26.161846160888672</c:v>
                </c:pt>
                <c:pt idx="38">
                  <c:v>-26.344127655029297</c:v>
                </c:pt>
                <c:pt idx="39">
                  <c:v>-26.526407241821289</c:v>
                </c:pt>
                <c:pt idx="40">
                  <c:v>-26.708688735961914</c:v>
                </c:pt>
                <c:pt idx="41">
                  <c:v>-26.884954452514648</c:v>
                </c:pt>
                <c:pt idx="42">
                  <c:v>-27.058170318603516</c:v>
                </c:pt>
                <c:pt idx="43">
                  <c:v>-27.231386184692383</c:v>
                </c:pt>
                <c:pt idx="44">
                  <c:v>-27.404603958129883</c:v>
                </c:pt>
                <c:pt idx="45">
                  <c:v>-27.57781982421875</c:v>
                </c:pt>
                <c:pt idx="46">
                  <c:v>-27.75103759765625</c:v>
                </c:pt>
                <c:pt idx="47">
                  <c:v>-27.924253463745117</c:v>
                </c:pt>
                <c:pt idx="48">
                  <c:v>-28.097471237182617</c:v>
                </c:pt>
                <c:pt idx="49">
                  <c:v>-28.270687103271484</c:v>
                </c:pt>
                <c:pt idx="50">
                  <c:v>-28.443904876708984</c:v>
                </c:pt>
                <c:pt idx="51">
                  <c:v>-28.611118316650391</c:v>
                </c:pt>
                <c:pt idx="52">
                  <c:v>-28.776153564453125</c:v>
                </c:pt>
                <c:pt idx="53">
                  <c:v>-28.940702438354492</c:v>
                </c:pt>
                <c:pt idx="54">
                  <c:v>-29.103786468505859</c:v>
                </c:pt>
                <c:pt idx="55">
                  <c:v>-29.266870498657227</c:v>
                </c:pt>
                <c:pt idx="56">
                  <c:v>-29.432861328125</c:v>
                </c:pt>
                <c:pt idx="57">
                  <c:v>-29.599899291992188</c:v>
                </c:pt>
                <c:pt idx="58">
                  <c:v>-29.765790939331055</c:v>
                </c:pt>
                <c:pt idx="59">
                  <c:v>-29.928752899169922</c:v>
                </c:pt>
                <c:pt idx="60">
                  <c:v>-30.091716766357422</c:v>
                </c:pt>
                <c:pt idx="61">
                  <c:v>-30.25018310546875</c:v>
                </c:pt>
                <c:pt idx="62">
                  <c:v>-30.407703399658203</c:v>
                </c:pt>
                <c:pt idx="63">
                  <c:v>-30.565223693847656</c:v>
                </c:pt>
                <c:pt idx="64">
                  <c:v>-30.722745895385742</c:v>
                </c:pt>
                <c:pt idx="65">
                  <c:v>-30.880266189575195</c:v>
                </c:pt>
                <c:pt idx="66">
                  <c:v>-31.037786483764648</c:v>
                </c:pt>
                <c:pt idx="67">
                  <c:v>-31.195308685302734</c:v>
                </c:pt>
                <c:pt idx="68">
                  <c:v>-31.352827072143555</c:v>
                </c:pt>
                <c:pt idx="69">
                  <c:v>-31.510349273681641</c:v>
                </c:pt>
                <c:pt idx="70">
                  <c:v>-31.667869567871094</c:v>
                </c:pt>
                <c:pt idx="71">
                  <c:v>-31.822933197021484</c:v>
                </c:pt>
                <c:pt idx="72">
                  <c:v>-31.977594375610352</c:v>
                </c:pt>
                <c:pt idx="73">
                  <c:v>-32.132255554199219</c:v>
                </c:pt>
                <c:pt idx="74">
                  <c:v>-32.286918640136719</c:v>
                </c:pt>
                <c:pt idx="75">
                  <c:v>-32.441581726074219</c:v>
                </c:pt>
                <c:pt idx="76">
                  <c:v>-32.596240997314453</c:v>
                </c:pt>
                <c:pt idx="77">
                  <c:v>-32.750904083251953</c:v>
                </c:pt>
                <c:pt idx="78">
                  <c:v>-32.905563354492188</c:v>
                </c:pt>
                <c:pt idx="79">
                  <c:v>-33.060226440429688</c:v>
                </c:pt>
                <c:pt idx="80">
                  <c:v>-33.214889526367188</c:v>
                </c:pt>
                <c:pt idx="81">
                  <c:v>-33.361473083496094</c:v>
                </c:pt>
                <c:pt idx="82">
                  <c:v>-33.507778167724609</c:v>
                </c:pt>
                <c:pt idx="83">
                  <c:v>-33.657810211181641</c:v>
                </c:pt>
                <c:pt idx="84">
                  <c:v>-33.812625885009766</c:v>
                </c:pt>
                <c:pt idx="85">
                  <c:v>-33.967441558837891</c:v>
                </c:pt>
                <c:pt idx="86">
                  <c:v>-34.113887786865234</c:v>
                </c:pt>
                <c:pt idx="87">
                  <c:v>-34.260196685791016</c:v>
                </c:pt>
                <c:pt idx="88">
                  <c:v>-34.408519744873047</c:v>
                </c:pt>
                <c:pt idx="89">
                  <c:v>-34.559257507324219</c:v>
                </c:pt>
                <c:pt idx="90">
                  <c:v>-34.709999084472656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755-4193-AA73-7A7CD9F7D7F5}"/>
            </c:ext>
          </c:extLst>
        </c:ser>
        <c:ser>
          <c:idx val="9"/>
          <c:order val="12"/>
          <c:tx>
            <c:v>1+Answ!$A$1:$A$2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Answ!$A$1:$A$2</c:f>
              <c:numCache>
                <c:formatCode>General</c:formatCode>
                <c:ptCount val="2"/>
                <c:pt idx="0">
                  <c:v>350</c:v>
                </c:pt>
                <c:pt idx="1">
                  <c:v>350</c:v>
                </c:pt>
              </c:numCache>
            </c:numRef>
          </c:xVal>
          <c:yVal>
            <c:numRef>
              <c:f>Answ!$B$1:$B$2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755-4193-AA73-7A7CD9F7D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0"/>
                <c:tx>
                  <c:strRef>
                    <c:extLst>
                      <c:ext uri="{02D57815-91ED-43cb-92C2-25804820EDAC}">
                        <c15:formulaRef>
                          <c15:sqref>Answ!$B$4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Answ!$C$4:$CO$4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-20.451709747314453</c:v>
                      </c:pt>
                      <c:pt idx="1">
                        <c:v>-20.176399230957031</c:v>
                      </c:pt>
                      <c:pt idx="2">
                        <c:v>-17.98814582824707</c:v>
                      </c:pt>
                      <c:pt idx="3">
                        <c:v>-15.799887657165527</c:v>
                      </c:pt>
                      <c:pt idx="4">
                        <c:v>-14.393250465393066</c:v>
                      </c:pt>
                      <c:pt idx="5">
                        <c:v>-13.060880661010742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755-4193-AA73-7A7CD9F7D7F5}"/>
                  </c:ext>
                </c:extLst>
              </c15:ser>
            </c15:filteredScatterSeries>
            <c15:filteredScatterSeries>
              <c15:ser>
                <c:idx val="1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Answ!$C$5:$CO$5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-38.977867126464844</c:v>
                      </c:pt>
                      <c:pt idx="1">
                        <c:v>-39.295696258544922</c:v>
                      </c:pt>
                      <c:pt idx="2">
                        <c:v>-37.285087585449219</c:v>
                      </c:pt>
                      <c:pt idx="3">
                        <c:v>-35.274471282958984</c:v>
                      </c:pt>
                      <c:pt idx="4">
                        <c:v>-34.059696197509766</c:v>
                      </c:pt>
                      <c:pt idx="5">
                        <c:v>-32.920539855957031</c:v>
                      </c:pt>
                      <c:pt idx="6">
                        <c:v>-31.960948944091797</c:v>
                      </c:pt>
                      <c:pt idx="7">
                        <c:v>-31.240421295166016</c:v>
                      </c:pt>
                      <c:pt idx="8">
                        <c:v>-30.5198974609375</c:v>
                      </c:pt>
                      <c:pt idx="9">
                        <c:v>-29.917625427246094</c:v>
                      </c:pt>
                      <c:pt idx="10">
                        <c:v>-29.322284698486328</c:v>
                      </c:pt>
                      <c:pt idx="11">
                        <c:v>-28.77290153503418</c:v>
                      </c:pt>
                      <c:pt idx="12">
                        <c:v>-28.277387619018555</c:v>
                      </c:pt>
                      <c:pt idx="13">
                        <c:v>-27.781877517700195</c:v>
                      </c:pt>
                      <c:pt idx="14">
                        <c:v>-27.367691040039063</c:v>
                      </c:pt>
                      <c:pt idx="15">
                        <c:v>-26.955501556396484</c:v>
                      </c:pt>
                      <c:pt idx="16">
                        <c:v>-26.727140426635742</c:v>
                      </c:pt>
                      <c:pt idx="17">
                        <c:v>-26.688783645629883</c:v>
                      </c:pt>
                      <c:pt idx="18">
                        <c:v>-26.654544830322266</c:v>
                      </c:pt>
                      <c:pt idx="19">
                        <c:v>-26.892841339111328</c:v>
                      </c:pt>
                      <c:pt idx="20">
                        <c:v>-27.131137847900391</c:v>
                      </c:pt>
                      <c:pt idx="21">
                        <c:v>-27.364202499389648</c:v>
                      </c:pt>
                      <c:pt idx="22">
                        <c:v>-27.59263801574707</c:v>
                      </c:pt>
                      <c:pt idx="23">
                        <c:v>-27.821071624755859</c:v>
                      </c:pt>
                      <c:pt idx="24">
                        <c:v>-28.049507141113281</c:v>
                      </c:pt>
                      <c:pt idx="25">
                        <c:v>-28.27794075012207</c:v>
                      </c:pt>
                      <c:pt idx="26">
                        <c:v>-28.506376266479492</c:v>
                      </c:pt>
                      <c:pt idx="27">
                        <c:v>-28.734811782836914</c:v>
                      </c:pt>
                      <c:pt idx="28">
                        <c:v>-28.963247299194336</c:v>
                      </c:pt>
                      <c:pt idx="29">
                        <c:v>-29.191682815551758</c:v>
                      </c:pt>
                      <c:pt idx="30">
                        <c:v>-29.420116424560547</c:v>
                      </c:pt>
                      <c:pt idx="31">
                        <c:v>-29.640285491943359</c:v>
                      </c:pt>
                      <c:pt idx="32">
                        <c:v>-29.854793548583984</c:v>
                      </c:pt>
                      <c:pt idx="33">
                        <c:v>-30.069299697875977</c:v>
                      </c:pt>
                      <c:pt idx="34">
                        <c:v>-30.283805847167969</c:v>
                      </c:pt>
                      <c:pt idx="35">
                        <c:v>-30.498313903808594</c:v>
                      </c:pt>
                      <c:pt idx="36">
                        <c:v>-30.712820053100586</c:v>
                      </c:pt>
                      <c:pt idx="37">
                        <c:v>-30.927328109741211</c:v>
                      </c:pt>
                      <c:pt idx="38">
                        <c:v>-31.141834259033203</c:v>
                      </c:pt>
                      <c:pt idx="39">
                        <c:v>-31.356340408325195</c:v>
                      </c:pt>
                      <c:pt idx="40">
                        <c:v>-31.570846557617188</c:v>
                      </c:pt>
                      <c:pt idx="41">
                        <c:v>-31.77813720703125</c:v>
                      </c:pt>
                      <c:pt idx="42">
                        <c:v>-31.981767654418945</c:v>
                      </c:pt>
                      <c:pt idx="43">
                        <c:v>-32.185398101806641</c:v>
                      </c:pt>
                      <c:pt idx="44">
                        <c:v>-32.389026641845703</c:v>
                      </c:pt>
                      <c:pt idx="45">
                        <c:v>-32.592658996582031</c:v>
                      </c:pt>
                      <c:pt idx="46">
                        <c:v>-32.796291351318359</c:v>
                      </c:pt>
                      <c:pt idx="47">
                        <c:v>-32.999919891357422</c:v>
                      </c:pt>
                      <c:pt idx="48">
                        <c:v>-33.203548431396484</c:v>
                      </c:pt>
                      <c:pt idx="49">
                        <c:v>-33.407180786132813</c:v>
                      </c:pt>
                      <c:pt idx="50">
                        <c:v>-33.610813140869141</c:v>
                      </c:pt>
                      <c:pt idx="51">
                        <c:v>-33.807388305664063</c:v>
                      </c:pt>
                      <c:pt idx="52">
                        <c:v>-34.00140380859375</c:v>
                      </c:pt>
                      <c:pt idx="53">
                        <c:v>-34.194751739501953</c:v>
                      </c:pt>
                      <c:pt idx="54">
                        <c:v>-34.386074066162109</c:v>
                      </c:pt>
                      <c:pt idx="55">
                        <c:v>-34.577400207519531</c:v>
                      </c:pt>
                      <c:pt idx="56">
                        <c:v>-34.772136688232422</c:v>
                      </c:pt>
                      <c:pt idx="57">
                        <c:v>-34.968101501464844</c:v>
                      </c:pt>
                      <c:pt idx="58">
                        <c:v>-35.162693023681641</c:v>
                      </c:pt>
                      <c:pt idx="59">
                        <c:v>-35.353763580322266</c:v>
                      </c:pt>
                      <c:pt idx="60">
                        <c:v>-35.544837951660156</c:v>
                      </c:pt>
                      <c:pt idx="61">
                        <c:v>-35.735462188720703</c:v>
                      </c:pt>
                      <c:pt idx="62">
                        <c:v>-35.925991058349609</c:v>
                      </c:pt>
                      <c:pt idx="63">
                        <c:v>-36.116523742675781</c:v>
                      </c:pt>
                      <c:pt idx="64">
                        <c:v>-36.307052612304688</c:v>
                      </c:pt>
                      <c:pt idx="65">
                        <c:v>-36.497581481933594</c:v>
                      </c:pt>
                      <c:pt idx="66">
                        <c:v>-36.688114166259766</c:v>
                      </c:pt>
                      <c:pt idx="67">
                        <c:v>-36.878643035888672</c:v>
                      </c:pt>
                      <c:pt idx="68">
                        <c:v>-37.069171905517578</c:v>
                      </c:pt>
                      <c:pt idx="69">
                        <c:v>-37.259700775146484</c:v>
                      </c:pt>
                      <c:pt idx="70">
                        <c:v>-37.450233459472656</c:v>
                      </c:pt>
                      <c:pt idx="71">
                        <c:v>-37.662151336669922</c:v>
                      </c:pt>
                      <c:pt idx="72">
                        <c:v>-37.8775634765625</c:v>
                      </c:pt>
                      <c:pt idx="73">
                        <c:v>-38.092979431152344</c:v>
                      </c:pt>
                      <c:pt idx="74">
                        <c:v>-38.308395385742188</c:v>
                      </c:pt>
                      <c:pt idx="75">
                        <c:v>-38.523807525634766</c:v>
                      </c:pt>
                      <c:pt idx="76">
                        <c:v>-38.739223480224609</c:v>
                      </c:pt>
                      <c:pt idx="77">
                        <c:v>-38.954635620117188</c:v>
                      </c:pt>
                      <c:pt idx="78">
                        <c:v>-39.170051574707031</c:v>
                      </c:pt>
                      <c:pt idx="79">
                        <c:v>-39.385467529296875</c:v>
                      </c:pt>
                      <c:pt idx="80">
                        <c:v>-39.600879669189453</c:v>
                      </c:pt>
                      <c:pt idx="81">
                        <c:v>-39.801853179931641</c:v>
                      </c:pt>
                      <c:pt idx="82">
                        <c:v>-40.002334594726563</c:v>
                      </c:pt>
                      <c:pt idx="83">
                        <c:v>-40.206546783447266</c:v>
                      </c:pt>
                      <c:pt idx="84">
                        <c:v>-40.415546417236328</c:v>
                      </c:pt>
                      <c:pt idx="85">
                        <c:v>-40.624546051025391</c:v>
                      </c:pt>
                      <c:pt idx="86">
                        <c:v>-40.822052001953125</c:v>
                      </c:pt>
                      <c:pt idx="87">
                        <c:v>-41.019371032714844</c:v>
                      </c:pt>
                      <c:pt idx="88">
                        <c:v>-41.218479156494141</c:v>
                      </c:pt>
                      <c:pt idx="89">
                        <c:v>-41.41973876953125</c:v>
                      </c:pt>
                      <c:pt idx="90">
                        <c:v>-41.620998382568359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55-4193-AA73-7A7CD9F7D7F5}"/>
                  </c:ext>
                </c:extLst>
              </c15:ser>
            </c15:filteredScatterSeries>
            <c15:filteredScatterSeries>
              <c15:ser>
                <c:idx val="17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Answ!$B$6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Answ!$C$6:$CO$6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-63.796104431152344</c:v>
                      </c:pt>
                      <c:pt idx="1">
                        <c:v>-64.193603515625</c:v>
                      </c:pt>
                      <c:pt idx="2">
                        <c:v>-60.588233947753906</c:v>
                      </c:pt>
                      <c:pt idx="3">
                        <c:v>-56.982856750488281</c:v>
                      </c:pt>
                      <c:pt idx="4">
                        <c:v>-53.949775695800781</c:v>
                      </c:pt>
                      <c:pt idx="5">
                        <c:v>-50.971061706542969</c:v>
                      </c:pt>
                      <c:pt idx="6">
                        <c:v>-48.187454223632813</c:v>
                      </c:pt>
                      <c:pt idx="7">
                        <c:v>-45.663600921630859</c:v>
                      </c:pt>
                      <c:pt idx="8">
                        <c:v>-43.139751434326172</c:v>
                      </c:pt>
                      <c:pt idx="9">
                        <c:v>-40.958114624023438</c:v>
                      </c:pt>
                      <c:pt idx="10">
                        <c:v>-38.796535491943359</c:v>
                      </c:pt>
                      <c:pt idx="11">
                        <c:v>-36.760963439941406</c:v>
                      </c:pt>
                      <c:pt idx="12">
                        <c:v>-34.873104095458984</c:v>
                      </c:pt>
                      <c:pt idx="13">
                        <c:v>-32.985244750976563</c:v>
                      </c:pt>
                      <c:pt idx="14">
                        <c:v>-31.321329116821289</c:v>
                      </c:pt>
                      <c:pt idx="15">
                        <c:v>-29.662914276123047</c:v>
                      </c:pt>
                      <c:pt idx="16">
                        <c:v>-28.14300537109375</c:v>
                      </c:pt>
                      <c:pt idx="17">
                        <c:v>-26.766263961791992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55-4193-AA73-7A7CD9F7D7F5}"/>
                  </c:ext>
                </c:extLst>
              </c15:ser>
            </c15:filteredScatterSeries>
            <c15:filteredScatterSeries>
              <c15:ser>
                <c:idx val="18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Answ!$C$7:$CO$7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-57.504024505615234</c:v>
                      </c:pt>
                      <c:pt idx="1">
                        <c:v>-58.414993286132813</c:v>
                      </c:pt>
                      <c:pt idx="2">
                        <c:v>-56.582027435302734</c:v>
                      </c:pt>
                      <c:pt idx="3">
                        <c:v>-54.749057769775391</c:v>
                      </c:pt>
                      <c:pt idx="4">
                        <c:v>-53.726146697998047</c:v>
                      </c:pt>
                      <c:pt idx="5">
                        <c:v>-52.780204772949219</c:v>
                      </c:pt>
                      <c:pt idx="6">
                        <c:v>-52.017276763916016</c:v>
                      </c:pt>
                      <c:pt idx="7">
                        <c:v>-51.498016357421875</c:v>
                      </c:pt>
                      <c:pt idx="8">
                        <c:v>-50.978752136230469</c:v>
                      </c:pt>
                      <c:pt idx="9">
                        <c:v>-50.581546783447266</c:v>
                      </c:pt>
                      <c:pt idx="10">
                        <c:v>-50.191497802734375</c:v>
                      </c:pt>
                      <c:pt idx="11">
                        <c:v>-49.847400665283203</c:v>
                      </c:pt>
                      <c:pt idx="12">
                        <c:v>-49.557178497314453</c:v>
                      </c:pt>
                      <c:pt idx="13">
                        <c:v>-49.266952514648438</c:v>
                      </c:pt>
                      <c:pt idx="14">
                        <c:v>-49.061988830566406</c:v>
                      </c:pt>
                      <c:pt idx="15">
                        <c:v>-48.859115600585938</c:v>
                      </c:pt>
                      <c:pt idx="16">
                        <c:v>-48.836406707763672</c:v>
                      </c:pt>
                      <c:pt idx="17">
                        <c:v>-48.999919891357422</c:v>
                      </c:pt>
                      <c:pt idx="18">
                        <c:v>-49.167598724365234</c:v>
                      </c:pt>
                      <c:pt idx="19">
                        <c:v>-49.611186981201172</c:v>
                      </c:pt>
                      <c:pt idx="20">
                        <c:v>-50.054771423339844</c:v>
                      </c:pt>
                      <c:pt idx="21">
                        <c:v>-50.487785339355469</c:v>
                      </c:pt>
                      <c:pt idx="22">
                        <c:v>-50.911445617675781</c:v>
                      </c:pt>
                      <c:pt idx="23">
                        <c:v>-51.335105895996094</c:v>
                      </c:pt>
                      <c:pt idx="24">
                        <c:v>-51.758769989013672</c:v>
                      </c:pt>
                      <c:pt idx="25">
                        <c:v>-52.182430267333984</c:v>
                      </c:pt>
                      <c:pt idx="26">
                        <c:v>-52.606090545654297</c:v>
                      </c:pt>
                      <c:pt idx="27">
                        <c:v>-53.029750823974609</c:v>
                      </c:pt>
                      <c:pt idx="28">
                        <c:v>-53.453411102294922</c:v>
                      </c:pt>
                      <c:pt idx="29">
                        <c:v>-53.8770751953125</c:v>
                      </c:pt>
                      <c:pt idx="30">
                        <c:v>-54.300735473632813</c:v>
                      </c:pt>
                      <c:pt idx="31">
                        <c:v>-54.708450317382813</c:v>
                      </c:pt>
                      <c:pt idx="32">
                        <c:v>-55.105236053466797</c:v>
                      </c:pt>
                      <c:pt idx="33">
                        <c:v>-55.502025604248047</c:v>
                      </c:pt>
                      <c:pt idx="34">
                        <c:v>-55.898811340332031</c:v>
                      </c:pt>
                      <c:pt idx="35">
                        <c:v>-56.295597076416016</c:v>
                      </c:pt>
                      <c:pt idx="36">
                        <c:v>-56.692386627197266</c:v>
                      </c:pt>
                      <c:pt idx="37">
                        <c:v>-57.08917236328125</c:v>
                      </c:pt>
                      <c:pt idx="38">
                        <c:v>-57.4859619140625</c:v>
                      </c:pt>
                      <c:pt idx="39">
                        <c:v>-57.882747650146484</c:v>
                      </c:pt>
                      <c:pt idx="40">
                        <c:v>-58.279533386230469</c:v>
                      </c:pt>
                      <c:pt idx="41">
                        <c:v>-58.663089752197266</c:v>
                      </c:pt>
                      <c:pt idx="42">
                        <c:v>-59.039936065673828</c:v>
                      </c:pt>
                      <c:pt idx="43">
                        <c:v>-59.416782379150391</c:v>
                      </c:pt>
                      <c:pt idx="44">
                        <c:v>-59.793628692626953</c:v>
                      </c:pt>
                      <c:pt idx="45">
                        <c:v>-60.170478820800781</c:v>
                      </c:pt>
                      <c:pt idx="46">
                        <c:v>-60.547325134277344</c:v>
                      </c:pt>
                      <c:pt idx="47">
                        <c:v>-60.924171447753906</c:v>
                      </c:pt>
                      <c:pt idx="48">
                        <c:v>-61.301017761230469</c:v>
                      </c:pt>
                      <c:pt idx="49">
                        <c:v>-61.677867889404297</c:v>
                      </c:pt>
                      <c:pt idx="50">
                        <c:v>-62.054714202880859</c:v>
                      </c:pt>
                      <c:pt idx="51">
                        <c:v>-62.418506622314453</c:v>
                      </c:pt>
                      <c:pt idx="52">
                        <c:v>-62.777561187744141</c:v>
                      </c:pt>
                      <c:pt idx="53">
                        <c:v>-63.135456085205078</c:v>
                      </c:pt>
                      <c:pt idx="54">
                        <c:v>-63.489864349365234</c:v>
                      </c:pt>
                      <c:pt idx="55">
                        <c:v>-63.844272613525391</c:v>
                      </c:pt>
                      <c:pt idx="56">
                        <c:v>-64.205001831054688</c:v>
                      </c:pt>
                      <c:pt idx="57">
                        <c:v>-64.568000793457031</c:v>
                      </c:pt>
                      <c:pt idx="58">
                        <c:v>-64.928482055664063</c:v>
                      </c:pt>
                      <c:pt idx="59">
                        <c:v>-65.282516479492188</c:v>
                      </c:pt>
                      <c:pt idx="60">
                        <c:v>-65.636550903320313</c:v>
                      </c:pt>
                      <c:pt idx="61">
                        <c:v>-65.985641479492188</c:v>
                      </c:pt>
                      <c:pt idx="62">
                        <c:v>-66.333694458007813</c:v>
                      </c:pt>
                      <c:pt idx="63">
                        <c:v>-66.681747436523438</c:v>
                      </c:pt>
                      <c:pt idx="64">
                        <c:v>-67.029792785644531</c:v>
                      </c:pt>
                      <c:pt idx="65">
                        <c:v>-67.377845764160156</c:v>
                      </c:pt>
                      <c:pt idx="66">
                        <c:v>-67.725898742675781</c:v>
                      </c:pt>
                      <c:pt idx="67">
                        <c:v>-68.073951721191406</c:v>
                      </c:pt>
                      <c:pt idx="68">
                        <c:v>-68.4219970703125</c:v>
                      </c:pt>
                      <c:pt idx="69">
                        <c:v>-68.770050048828125</c:v>
                      </c:pt>
                      <c:pt idx="70">
                        <c:v>-69.11810302734375</c:v>
                      </c:pt>
                      <c:pt idx="71">
                        <c:v>-69.485084533691406</c:v>
                      </c:pt>
                      <c:pt idx="72">
                        <c:v>-69.855155944824219</c:v>
                      </c:pt>
                      <c:pt idx="73">
                        <c:v>-70.225234985351563</c:v>
                      </c:pt>
                      <c:pt idx="74">
                        <c:v>-70.595314025878906</c:v>
                      </c:pt>
                      <c:pt idx="75">
                        <c:v>-70.965385437011719</c:v>
                      </c:pt>
                      <c:pt idx="76">
                        <c:v>-71.335464477539063</c:v>
                      </c:pt>
                      <c:pt idx="77">
                        <c:v>-71.705535888671875</c:v>
                      </c:pt>
                      <c:pt idx="78">
                        <c:v>-72.075614929199219</c:v>
                      </c:pt>
                      <c:pt idx="79">
                        <c:v>-72.445693969726563</c:v>
                      </c:pt>
                      <c:pt idx="80">
                        <c:v>-72.815765380859375</c:v>
                      </c:pt>
                      <c:pt idx="81">
                        <c:v>-73.163322448730469</c:v>
                      </c:pt>
                      <c:pt idx="82">
                        <c:v>-73.510116577148438</c:v>
                      </c:pt>
                      <c:pt idx="83">
                        <c:v>-73.864356994628906</c:v>
                      </c:pt>
                      <c:pt idx="84">
                        <c:v>-74.228172302246094</c:v>
                      </c:pt>
                      <c:pt idx="85">
                        <c:v>-74.591987609863281</c:v>
                      </c:pt>
                      <c:pt idx="86">
                        <c:v>-74.935943603515625</c:v>
                      </c:pt>
                      <c:pt idx="87">
                        <c:v>-75.279571533203125</c:v>
                      </c:pt>
                      <c:pt idx="88">
                        <c:v>-75.626998901367188</c:v>
                      </c:pt>
                      <c:pt idx="89">
                        <c:v>-75.97900390625</c:v>
                      </c:pt>
                      <c:pt idx="90">
                        <c:v>-76.331001281738281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3755-4193-AA73-7A7CD9F7D7F5}"/>
                  </c:ext>
                </c:extLst>
              </c15:ser>
            </c15:filteredScatterSeries>
            <c15:filteredScatterSeries>
              <c15:ser>
                <c:idx val="0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Answ!$C$8:$CO$8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-58.758548736572266</c:v>
                      </c:pt>
                      <c:pt idx="1">
                        <c:v>-59.797908782958984</c:v>
                      </c:pt>
                      <c:pt idx="2">
                        <c:v>-58.203151702880859</c:v>
                      </c:pt>
                      <c:pt idx="3">
                        <c:v>-56.608386993408203</c:v>
                      </c:pt>
                      <c:pt idx="4">
                        <c:v>-55.628200531005859</c:v>
                      </c:pt>
                      <c:pt idx="5">
                        <c:v>-54.706409454345703</c:v>
                      </c:pt>
                      <c:pt idx="6">
                        <c:v>-53.934829711914063</c:v>
                      </c:pt>
                      <c:pt idx="7">
                        <c:v>-53.363239288330078</c:v>
                      </c:pt>
                      <c:pt idx="8">
                        <c:v>-52.791648864746094</c:v>
                      </c:pt>
                      <c:pt idx="9">
                        <c:v>-52.404476165771484</c:v>
                      </c:pt>
                      <c:pt idx="10">
                        <c:v>-52.028110504150391</c:v>
                      </c:pt>
                      <c:pt idx="11">
                        <c:v>-51.901260375976563</c:v>
                      </c:pt>
                      <c:pt idx="12">
                        <c:v>-52.066925048828125</c:v>
                      </c:pt>
                      <c:pt idx="13">
                        <c:v>-52.232589721679688</c:v>
                      </c:pt>
                      <c:pt idx="14">
                        <c:v>-52.398250579833984</c:v>
                      </c:pt>
                      <c:pt idx="15">
                        <c:v>-52.563915252685547</c:v>
                      </c:pt>
                      <c:pt idx="16">
                        <c:v>-52.729579925537109</c:v>
                      </c:pt>
                      <c:pt idx="17">
                        <c:v>-52.895244598388672</c:v>
                      </c:pt>
                      <c:pt idx="18">
                        <c:v>-53.060905456542969</c:v>
                      </c:pt>
                      <c:pt idx="19">
                        <c:v>-53.226570129394531</c:v>
                      </c:pt>
                      <c:pt idx="20">
                        <c:v>-53.392234802246094</c:v>
                      </c:pt>
                      <c:pt idx="21">
                        <c:v>-53.691474914550781</c:v>
                      </c:pt>
                      <c:pt idx="22">
                        <c:v>-54.108898162841797</c:v>
                      </c:pt>
                      <c:pt idx="23">
                        <c:v>-54.526653289794922</c:v>
                      </c:pt>
                      <c:pt idx="24">
                        <c:v>-54.951320648193359</c:v>
                      </c:pt>
                      <c:pt idx="25">
                        <c:v>-55.375988006591797</c:v>
                      </c:pt>
                      <c:pt idx="26">
                        <c:v>-55.797264099121094</c:v>
                      </c:pt>
                      <c:pt idx="27">
                        <c:v>-56.215892791748047</c:v>
                      </c:pt>
                      <c:pt idx="28">
                        <c:v>-56.633930206298828</c:v>
                      </c:pt>
                      <c:pt idx="29">
                        <c:v>-57.044910430908203</c:v>
                      </c:pt>
                      <c:pt idx="30">
                        <c:v>-57.455890655517578</c:v>
                      </c:pt>
                      <c:pt idx="31">
                        <c:v>-57.859645843505859</c:v>
                      </c:pt>
                      <c:pt idx="32">
                        <c:v>-58.258445739746094</c:v>
                      </c:pt>
                      <c:pt idx="33">
                        <c:v>-58.657249450683594</c:v>
                      </c:pt>
                      <c:pt idx="34">
                        <c:v>-59.056049346923828</c:v>
                      </c:pt>
                      <c:pt idx="35">
                        <c:v>-59.454849243164063</c:v>
                      </c:pt>
                      <c:pt idx="36">
                        <c:v>-59.853652954101563</c:v>
                      </c:pt>
                      <c:pt idx="37">
                        <c:v>-60.252452850341797</c:v>
                      </c:pt>
                      <c:pt idx="38">
                        <c:v>-60.651256561279297</c:v>
                      </c:pt>
                      <c:pt idx="39">
                        <c:v>-61.050056457519531</c:v>
                      </c:pt>
                      <c:pt idx="40">
                        <c:v>-61.448856353759766</c:v>
                      </c:pt>
                      <c:pt idx="41">
                        <c:v>-61.833091735839844</c:v>
                      </c:pt>
                      <c:pt idx="42">
                        <c:v>-62.209938049316406</c:v>
                      </c:pt>
                      <c:pt idx="43">
                        <c:v>-62.586784362792969</c:v>
                      </c:pt>
                      <c:pt idx="44">
                        <c:v>-62.963630676269531</c:v>
                      </c:pt>
                      <c:pt idx="45">
                        <c:v>-63.340476989746094</c:v>
                      </c:pt>
                      <c:pt idx="46">
                        <c:v>-63.717323303222656</c:v>
                      </c:pt>
                      <c:pt idx="47">
                        <c:v>-64.094169616699219</c:v>
                      </c:pt>
                      <c:pt idx="48">
                        <c:v>-64.471015930175781</c:v>
                      </c:pt>
                      <c:pt idx="49">
                        <c:v>-64.847862243652344</c:v>
                      </c:pt>
                      <c:pt idx="50">
                        <c:v>-65.224716186523438</c:v>
                      </c:pt>
                      <c:pt idx="51">
                        <c:v>-65.587440490722656</c:v>
                      </c:pt>
                      <c:pt idx="52">
                        <c:v>-65.945053100585938</c:v>
                      </c:pt>
                      <c:pt idx="53">
                        <c:v>-66.302658081054688</c:v>
                      </c:pt>
                      <c:pt idx="54">
                        <c:v>-66.660270690917969</c:v>
                      </c:pt>
                      <c:pt idx="55">
                        <c:v>-67.01788330078125</c:v>
                      </c:pt>
                      <c:pt idx="56">
                        <c:v>-67.375495910644531</c:v>
                      </c:pt>
                      <c:pt idx="57">
                        <c:v>-67.733100891113281</c:v>
                      </c:pt>
                      <c:pt idx="58">
                        <c:v>-68.090713500976563</c:v>
                      </c:pt>
                      <c:pt idx="59">
                        <c:v>-68.448318481445313</c:v>
                      </c:pt>
                      <c:pt idx="60">
                        <c:v>-68.805931091308594</c:v>
                      </c:pt>
                      <c:pt idx="61">
                        <c:v>-69.151657104492188</c:v>
                      </c:pt>
                      <c:pt idx="62">
                        <c:v>-69.494888305664063</c:v>
                      </c:pt>
                      <c:pt idx="63">
                        <c:v>-69.838546752929688</c:v>
                      </c:pt>
                      <c:pt idx="64">
                        <c:v>-70.183212280273438</c:v>
                      </c:pt>
                      <c:pt idx="65">
                        <c:v>-70.527877807617188</c:v>
                      </c:pt>
                      <c:pt idx="66">
                        <c:v>-70.863998413085938</c:v>
                      </c:pt>
                      <c:pt idx="67">
                        <c:v>-71.198532104492188</c:v>
                      </c:pt>
                      <c:pt idx="68">
                        <c:v>-71.536117553710938</c:v>
                      </c:pt>
                      <c:pt idx="69">
                        <c:v>-71.88037109375</c:v>
                      </c:pt>
                      <c:pt idx="70">
                        <c:v>-72.224632263183594</c:v>
                      </c:pt>
                      <c:pt idx="71">
                        <c:v>-72.558677673339844</c:v>
                      </c:pt>
                      <c:pt idx="72">
                        <c:v>-72.891044616699219</c:v>
                      </c:pt>
                      <c:pt idx="73">
                        <c:v>-73.223419189453125</c:v>
                      </c:pt>
                      <c:pt idx="74">
                        <c:v>-73.5557861328125</c:v>
                      </c:pt>
                      <c:pt idx="75">
                        <c:v>-73.888160705566406</c:v>
                      </c:pt>
                      <c:pt idx="76">
                        <c:v>-74.220527648925781</c:v>
                      </c:pt>
                      <c:pt idx="77">
                        <c:v>-74.552894592285156</c:v>
                      </c:pt>
                      <c:pt idx="78">
                        <c:v>-74.885269165039063</c:v>
                      </c:pt>
                      <c:pt idx="79">
                        <c:v>-75.217636108398438</c:v>
                      </c:pt>
                      <c:pt idx="80">
                        <c:v>-75.550010681152344</c:v>
                      </c:pt>
                      <c:pt idx="81">
                        <c:v>-75.874740600585938</c:v>
                      </c:pt>
                      <c:pt idx="82">
                        <c:v>-76.19921875</c:v>
                      </c:pt>
                      <c:pt idx="83">
                        <c:v>-76.523689270019531</c:v>
                      </c:pt>
                      <c:pt idx="84">
                        <c:v>-76.848159790039063</c:v>
                      </c:pt>
                      <c:pt idx="85">
                        <c:v>-77.172637939453125</c:v>
                      </c:pt>
                      <c:pt idx="86">
                        <c:v>-77.497108459472656</c:v>
                      </c:pt>
                      <c:pt idx="87">
                        <c:v>-77.821578979492188</c:v>
                      </c:pt>
                      <c:pt idx="88">
                        <c:v>-78.146049499511719</c:v>
                      </c:pt>
                      <c:pt idx="89">
                        <c:v>-78.470527648925781</c:v>
                      </c:pt>
                      <c:pt idx="90">
                        <c:v>-78.794998168945313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55-4193-AA73-7A7CD9F7D7F5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Answ!$C$9:$CO$9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-39.785041809082031</c:v>
                      </c:pt>
                      <c:pt idx="1">
                        <c:v>-40.228065490722656</c:v>
                      </c:pt>
                      <c:pt idx="2">
                        <c:v>-38.479885101318359</c:v>
                      </c:pt>
                      <c:pt idx="3">
                        <c:v>-36.731700897216797</c:v>
                      </c:pt>
                      <c:pt idx="4">
                        <c:v>-35.576457977294922</c:v>
                      </c:pt>
                      <c:pt idx="5">
                        <c:v>-34.477554321289063</c:v>
                      </c:pt>
                      <c:pt idx="6">
                        <c:v>-33.521953582763672</c:v>
                      </c:pt>
                      <c:pt idx="7">
                        <c:v>-32.757152557373047</c:v>
                      </c:pt>
                      <c:pt idx="8">
                        <c:v>-31.992349624633789</c:v>
                      </c:pt>
                      <c:pt idx="9">
                        <c:v>-31.400554656982422</c:v>
                      </c:pt>
                      <c:pt idx="10">
                        <c:v>-30.818899154663086</c:v>
                      </c:pt>
                      <c:pt idx="11">
                        <c:v>-30.489006042480469</c:v>
                      </c:pt>
                      <c:pt idx="12">
                        <c:v>-30.454261779785156</c:v>
                      </c:pt>
                      <c:pt idx="13">
                        <c:v>-30.419517517089844</c:v>
                      </c:pt>
                      <c:pt idx="14">
                        <c:v>-30.384773254394531</c:v>
                      </c:pt>
                      <c:pt idx="15">
                        <c:v>-30.350028991699219</c:v>
                      </c:pt>
                      <c:pt idx="16">
                        <c:v>-30.315284729003906</c:v>
                      </c:pt>
                      <c:pt idx="17">
                        <c:v>-30.280542373657227</c:v>
                      </c:pt>
                      <c:pt idx="18">
                        <c:v>-30.245798110961914</c:v>
                      </c:pt>
                      <c:pt idx="19">
                        <c:v>-30.211053848266602</c:v>
                      </c:pt>
                      <c:pt idx="20">
                        <c:v>-30.176309585571289</c:v>
                      </c:pt>
                      <c:pt idx="21">
                        <c:v>-30.276823043823242</c:v>
                      </c:pt>
                      <c:pt idx="22">
                        <c:v>-30.497007369995117</c:v>
                      </c:pt>
                      <c:pt idx="23">
                        <c:v>-30.717527389526367</c:v>
                      </c:pt>
                      <c:pt idx="24">
                        <c:v>-30.944953918457031</c:v>
                      </c:pt>
                      <c:pt idx="25">
                        <c:v>-31.172382354736328</c:v>
                      </c:pt>
                      <c:pt idx="26">
                        <c:v>-31.398679733276367</c:v>
                      </c:pt>
                      <c:pt idx="27">
                        <c:v>-31.624095916748047</c:v>
                      </c:pt>
                      <c:pt idx="28">
                        <c:v>-31.84922981262207</c:v>
                      </c:pt>
                      <c:pt idx="29">
                        <c:v>-32.071022033691406</c:v>
                      </c:pt>
                      <c:pt idx="30">
                        <c:v>-32.292816162109375</c:v>
                      </c:pt>
                      <c:pt idx="31">
                        <c:v>-32.510883331298828</c:v>
                      </c:pt>
                      <c:pt idx="32">
                        <c:v>-32.726398468017578</c:v>
                      </c:pt>
                      <c:pt idx="33">
                        <c:v>-32.941909790039063</c:v>
                      </c:pt>
                      <c:pt idx="34">
                        <c:v>-33.157424926757813</c:v>
                      </c:pt>
                      <c:pt idx="35">
                        <c:v>-33.372940063476563</c:v>
                      </c:pt>
                      <c:pt idx="36">
                        <c:v>-33.588451385498047</c:v>
                      </c:pt>
                      <c:pt idx="37">
                        <c:v>-33.803966522216797</c:v>
                      </c:pt>
                      <c:pt idx="38">
                        <c:v>-34.019481658935547</c:v>
                      </c:pt>
                      <c:pt idx="39">
                        <c:v>-34.234992980957031</c:v>
                      </c:pt>
                      <c:pt idx="40">
                        <c:v>-34.450508117675781</c:v>
                      </c:pt>
                      <c:pt idx="41">
                        <c:v>-34.658134460449219</c:v>
                      </c:pt>
                      <c:pt idx="42">
                        <c:v>-34.861766815185547</c:v>
                      </c:pt>
                      <c:pt idx="43">
                        <c:v>-35.065395355224609</c:v>
                      </c:pt>
                      <c:pt idx="44">
                        <c:v>-35.269027709960938</c:v>
                      </c:pt>
                      <c:pt idx="45">
                        <c:v>-35.47265625</c:v>
                      </c:pt>
                      <c:pt idx="46">
                        <c:v>-35.676288604736328</c:v>
                      </c:pt>
                      <c:pt idx="47">
                        <c:v>-35.879917144775391</c:v>
                      </c:pt>
                      <c:pt idx="48">
                        <c:v>-36.083549499511719</c:v>
                      </c:pt>
                      <c:pt idx="49">
                        <c:v>-36.287178039550781</c:v>
                      </c:pt>
                      <c:pt idx="50">
                        <c:v>-36.490810394287109</c:v>
                      </c:pt>
                      <c:pt idx="51">
                        <c:v>-36.686702728271484</c:v>
                      </c:pt>
                      <c:pt idx="52">
                        <c:v>-36.879787445068359</c:v>
                      </c:pt>
                      <c:pt idx="53">
                        <c:v>-37.0728759765625</c:v>
                      </c:pt>
                      <c:pt idx="54">
                        <c:v>-37.265964508056641</c:v>
                      </c:pt>
                      <c:pt idx="55">
                        <c:v>-37.459053039550781</c:v>
                      </c:pt>
                      <c:pt idx="56">
                        <c:v>-37.652141571044922</c:v>
                      </c:pt>
                      <c:pt idx="57">
                        <c:v>-37.845226287841797</c:v>
                      </c:pt>
                      <c:pt idx="58">
                        <c:v>-38.038314819335938</c:v>
                      </c:pt>
                      <c:pt idx="59">
                        <c:v>-38.231399536132813</c:v>
                      </c:pt>
                      <c:pt idx="60">
                        <c:v>-38.424488067626953</c:v>
                      </c:pt>
                      <c:pt idx="61">
                        <c:v>-38.610939025878906</c:v>
                      </c:pt>
                      <c:pt idx="62">
                        <c:v>-38.795997619628906</c:v>
                      </c:pt>
                      <c:pt idx="63">
                        <c:v>-38.981269836425781</c:v>
                      </c:pt>
                      <c:pt idx="64">
                        <c:v>-39.167049407958984</c:v>
                      </c:pt>
                      <c:pt idx="65">
                        <c:v>-39.352828979492188</c:v>
                      </c:pt>
                      <c:pt idx="66">
                        <c:v>-39.534000396728516</c:v>
                      </c:pt>
                      <c:pt idx="67">
                        <c:v>-39.714313507080078</c:v>
                      </c:pt>
                      <c:pt idx="68">
                        <c:v>-39.896217346191406</c:v>
                      </c:pt>
                      <c:pt idx="69">
                        <c:v>-40.081584930419922</c:v>
                      </c:pt>
                      <c:pt idx="70">
                        <c:v>-40.266956329345703</c:v>
                      </c:pt>
                      <c:pt idx="71">
                        <c:v>-40.446609497070313</c:v>
                      </c:pt>
                      <c:pt idx="72">
                        <c:v>-40.625331878662109</c:v>
                      </c:pt>
                      <c:pt idx="73">
                        <c:v>-40.804050445556641</c:v>
                      </c:pt>
                      <c:pt idx="74">
                        <c:v>-40.982772827148438</c:v>
                      </c:pt>
                      <c:pt idx="75">
                        <c:v>-41.161491394042969</c:v>
                      </c:pt>
                      <c:pt idx="76">
                        <c:v>-41.340213775634766</c:v>
                      </c:pt>
                      <c:pt idx="77">
                        <c:v>-41.518932342529297</c:v>
                      </c:pt>
                      <c:pt idx="78">
                        <c:v>-41.697650909423828</c:v>
                      </c:pt>
                      <c:pt idx="79">
                        <c:v>-41.876373291015625</c:v>
                      </c:pt>
                      <c:pt idx="80">
                        <c:v>-42.055091857910156</c:v>
                      </c:pt>
                      <c:pt idx="81">
                        <c:v>-42.229225158691406</c:v>
                      </c:pt>
                      <c:pt idx="82">
                        <c:v>-42.4031982421875</c:v>
                      </c:pt>
                      <c:pt idx="83">
                        <c:v>-42.577175140380859</c:v>
                      </c:pt>
                      <c:pt idx="84">
                        <c:v>-42.751148223876953</c:v>
                      </c:pt>
                      <c:pt idx="85">
                        <c:v>-42.925125122070313</c:v>
                      </c:pt>
                      <c:pt idx="86">
                        <c:v>-43.099098205566406</c:v>
                      </c:pt>
                      <c:pt idx="87">
                        <c:v>-43.2730712890625</c:v>
                      </c:pt>
                      <c:pt idx="88">
                        <c:v>-43.447048187255859</c:v>
                      </c:pt>
                      <c:pt idx="89">
                        <c:v>-43.621021270751953</c:v>
                      </c:pt>
                      <c:pt idx="90">
                        <c:v>-43.794998168945313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755-4193-AA73-7A7CD9F7D7F5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Answ!$C$10:$CO$10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-184.06538391113281</c:v>
                      </c:pt>
                      <c:pt idx="1">
                        <c:v>-186.67770385742188</c:v>
                      </c:pt>
                      <c:pt idx="2">
                        <c:v>-180.03219604492188</c:v>
                      </c:pt>
                      <c:pt idx="3">
                        <c:v>-173.38667297363281</c:v>
                      </c:pt>
                      <c:pt idx="4">
                        <c:v>-167.92094421386719</c:v>
                      </c:pt>
                      <c:pt idx="5">
                        <c:v>-162.56730651855469</c:v>
                      </c:pt>
                      <c:pt idx="6">
                        <c:v>-157.60734558105469</c:v>
                      </c:pt>
                      <c:pt idx="7">
                        <c:v>-153.17147827148438</c:v>
                      </c:pt>
                      <c:pt idx="8">
                        <c:v>-148.73562622070313</c:v>
                      </c:pt>
                      <c:pt idx="9">
                        <c:v>-144.99560546875</c:v>
                      </c:pt>
                      <c:pt idx="10">
                        <c:v>-141.29637145996094</c:v>
                      </c:pt>
                      <c:pt idx="11">
                        <c:v>-138.77568054199219</c:v>
                      </c:pt>
                      <c:pt idx="12">
                        <c:v>-137.63668823242188</c:v>
                      </c:pt>
                      <c:pt idx="13">
                        <c:v>-136.4976806640625</c:v>
                      </c:pt>
                      <c:pt idx="14">
                        <c:v>-135.35868835449219</c:v>
                      </c:pt>
                      <c:pt idx="15">
                        <c:v>-134.21968078613281</c:v>
                      </c:pt>
                      <c:pt idx="16">
                        <c:v>-133.08067321777344</c:v>
                      </c:pt>
                      <c:pt idx="17">
                        <c:v>-131.94168090820313</c:v>
                      </c:pt>
                      <c:pt idx="18">
                        <c:v>-130.80267333984375</c:v>
                      </c:pt>
                      <c:pt idx="19">
                        <c:v>-129.66366577148438</c:v>
                      </c:pt>
                      <c:pt idx="20">
                        <c:v>-128.52467346191406</c:v>
                      </c:pt>
                      <c:pt idx="21">
                        <c:v>-128.85923767089844</c:v>
                      </c:pt>
                      <c:pt idx="22">
                        <c:v>-130.49752807617188</c:v>
                      </c:pt>
                      <c:pt idx="23">
                        <c:v>-132.13507080078125</c:v>
                      </c:pt>
                      <c:pt idx="24">
                        <c:v>-133.75726318359375</c:v>
                      </c:pt>
                      <c:pt idx="25">
                        <c:v>-135.37945556640625</c:v>
                      </c:pt>
                      <c:pt idx="26">
                        <c:v>-136.98127746582031</c:v>
                      </c:pt>
                      <c:pt idx="27">
                        <c:v>-138.56724548339844</c:v>
                      </c:pt>
                      <c:pt idx="28">
                        <c:v>-140.150390625</c:v>
                      </c:pt>
                      <c:pt idx="29">
                        <c:v>-141.70013427734375</c:v>
                      </c:pt>
                      <c:pt idx="30">
                        <c:v>-143.24986267089844</c:v>
                      </c:pt>
                      <c:pt idx="31">
                        <c:v>-144.74411010742188</c:v>
                      </c:pt>
                      <c:pt idx="32">
                        <c:v>-146.20034790039063</c:v>
                      </c:pt>
                      <c:pt idx="33">
                        <c:v>-147.65657043457031</c:v>
                      </c:pt>
                      <c:pt idx="34">
                        <c:v>-149.11279296875</c:v>
                      </c:pt>
                      <c:pt idx="35">
                        <c:v>-150.56903076171875</c:v>
                      </c:pt>
                      <c:pt idx="36">
                        <c:v>-152.02525329589844</c:v>
                      </c:pt>
                      <c:pt idx="37">
                        <c:v>-153.48149108886719</c:v>
                      </c:pt>
                      <c:pt idx="38">
                        <c:v>-154.93771362304688</c:v>
                      </c:pt>
                      <c:pt idx="39">
                        <c:v>-156.39395141601563</c:v>
                      </c:pt>
                      <c:pt idx="40">
                        <c:v>-157.85017395019531</c:v>
                      </c:pt>
                      <c:pt idx="41">
                        <c:v>-159.18878173828125</c:v>
                      </c:pt>
                      <c:pt idx="42">
                        <c:v>-160.46775817871094</c:v>
                      </c:pt>
                      <c:pt idx="43">
                        <c:v>-161.74674987792969</c:v>
                      </c:pt>
                      <c:pt idx="44">
                        <c:v>-163.02572631835938</c:v>
                      </c:pt>
                      <c:pt idx="45">
                        <c:v>-164.30471801757813</c:v>
                      </c:pt>
                      <c:pt idx="46">
                        <c:v>-165.58369445800781</c:v>
                      </c:pt>
                      <c:pt idx="47">
                        <c:v>-166.86268615722656</c:v>
                      </c:pt>
                      <c:pt idx="48">
                        <c:v>-168.14166259765625</c:v>
                      </c:pt>
                      <c:pt idx="49">
                        <c:v>-169.420654296875</c:v>
                      </c:pt>
                      <c:pt idx="50">
                        <c:v>-170.69963073730469</c:v>
                      </c:pt>
                      <c:pt idx="51">
                        <c:v>-171.83184814453125</c:v>
                      </c:pt>
                      <c:pt idx="52">
                        <c:v>-172.91082763671875</c:v>
                      </c:pt>
                      <c:pt idx="53">
                        <c:v>-173.98982238769531</c:v>
                      </c:pt>
                      <c:pt idx="54">
                        <c:v>-175.06880187988281</c:v>
                      </c:pt>
                      <c:pt idx="55">
                        <c:v>-176.14779663085938</c:v>
                      </c:pt>
                      <c:pt idx="56">
                        <c:v>-177.22679138183594</c:v>
                      </c:pt>
                      <c:pt idx="57">
                        <c:v>-178.30577087402344</c:v>
                      </c:pt>
                      <c:pt idx="58">
                        <c:v>-179.384765625</c:v>
                      </c:pt>
                      <c:pt idx="59">
                        <c:v>-180.4637451171875</c:v>
                      </c:pt>
                      <c:pt idx="60">
                        <c:v>-181.542724609375</c:v>
                      </c:pt>
                      <c:pt idx="61">
                        <c:v>-182.49470520019531</c:v>
                      </c:pt>
                      <c:pt idx="62">
                        <c:v>-183.41999816894531</c:v>
                      </c:pt>
                      <c:pt idx="63">
                        <c:v>-184.33546447753906</c:v>
                      </c:pt>
                      <c:pt idx="64">
                        <c:v>-185.22767639160156</c:v>
                      </c:pt>
                      <c:pt idx="65">
                        <c:v>-186.11990356445313</c:v>
                      </c:pt>
                      <c:pt idx="66">
                        <c:v>-186.94999694824219</c:v>
                      </c:pt>
                      <c:pt idx="67">
                        <c:v>-187.76853942871094</c:v>
                      </c:pt>
                      <c:pt idx="68">
                        <c:v>-188.57693481445313</c:v>
                      </c:pt>
                      <c:pt idx="69">
                        <c:v>-189.36323547363281</c:v>
                      </c:pt>
                      <c:pt idx="70">
                        <c:v>-190.14952087402344</c:v>
                      </c:pt>
                      <c:pt idx="71">
                        <c:v>-190.80561828613281</c:v>
                      </c:pt>
                      <c:pt idx="72">
                        <c:v>-191.44044494628906</c:v>
                      </c:pt>
                      <c:pt idx="73">
                        <c:v>-192.07527160644531</c:v>
                      </c:pt>
                      <c:pt idx="74">
                        <c:v>-192.7100830078125</c:v>
                      </c:pt>
                      <c:pt idx="75">
                        <c:v>-193.34490966796875</c:v>
                      </c:pt>
                      <c:pt idx="76">
                        <c:v>-193.979736328125</c:v>
                      </c:pt>
                      <c:pt idx="77">
                        <c:v>-194.61454772949219</c:v>
                      </c:pt>
                      <c:pt idx="78">
                        <c:v>-195.24935913085938</c:v>
                      </c:pt>
                      <c:pt idx="79">
                        <c:v>-195.88418579101563</c:v>
                      </c:pt>
                      <c:pt idx="80">
                        <c:v>-196.51901245117188</c:v>
                      </c:pt>
                      <c:pt idx="81">
                        <c:v>-196.92805480957031</c:v>
                      </c:pt>
                      <c:pt idx="82">
                        <c:v>-197.32937622070313</c:v>
                      </c:pt>
                      <c:pt idx="83">
                        <c:v>-197.730712890625</c:v>
                      </c:pt>
                      <c:pt idx="84">
                        <c:v>-198.13203430175781</c:v>
                      </c:pt>
                      <c:pt idx="85">
                        <c:v>-198.53335571289063</c:v>
                      </c:pt>
                      <c:pt idx="86">
                        <c:v>-198.9346923828125</c:v>
                      </c:pt>
                      <c:pt idx="87">
                        <c:v>-199.33601379394531</c:v>
                      </c:pt>
                      <c:pt idx="88">
                        <c:v>-199.73733520507813</c:v>
                      </c:pt>
                      <c:pt idx="89">
                        <c:v>-200.138671875</c:v>
                      </c:pt>
                      <c:pt idx="90">
                        <c:v>-200.53999328613281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55-4193-AA73-7A7CD9F7D7F5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Answ!$B$11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Answ!$C$11:$CO$11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-20.811534881591797</c:v>
                      </c:pt>
                      <c:pt idx="1">
                        <c:v>-20.658218383789063</c:v>
                      </c:pt>
                      <c:pt idx="2">
                        <c:v>-18.756618499755859</c:v>
                      </c:pt>
                      <c:pt idx="3">
                        <c:v>-16.855014801025391</c:v>
                      </c:pt>
                      <c:pt idx="4">
                        <c:v>-15.524714469909668</c:v>
                      </c:pt>
                      <c:pt idx="5">
                        <c:v>-14.248698234558105</c:v>
                      </c:pt>
                      <c:pt idx="6">
                        <c:v>-13.109082221984863</c:v>
                      </c:pt>
                      <c:pt idx="7">
                        <c:v>-12.151063919067383</c:v>
                      </c:pt>
                      <c:pt idx="8">
                        <c:v>-11.193047523498535</c:v>
                      </c:pt>
                      <c:pt idx="9">
                        <c:v>-10.396632194519043</c:v>
                      </c:pt>
                      <c:pt idx="10">
                        <c:v>-9.6096887588500977</c:v>
                      </c:pt>
                      <c:pt idx="11">
                        <c:v>-9.0767526626586914</c:v>
                      </c:pt>
                      <c:pt idx="12">
                        <c:v>-8.8416004180908203</c:v>
                      </c:pt>
                      <c:pt idx="13">
                        <c:v>-8.6064491271972656</c:v>
                      </c:pt>
                      <c:pt idx="14">
                        <c:v>-8.3712968826293945</c:v>
                      </c:pt>
                      <c:pt idx="15">
                        <c:v>-8.1361455917358398</c:v>
                      </c:pt>
                      <c:pt idx="16">
                        <c:v>-7.9009933471679688</c:v>
                      </c:pt>
                      <c:pt idx="17">
                        <c:v>-7.6658415794372559</c:v>
                      </c:pt>
                      <c:pt idx="18">
                        <c:v>-7.4306893348693848</c:v>
                      </c:pt>
                      <c:pt idx="19">
                        <c:v>-7.1955370903015137</c:v>
                      </c:pt>
                      <c:pt idx="20">
                        <c:v>-6.9603848457336426</c:v>
                      </c:pt>
                      <c:pt idx="21">
                        <c:v>-6.8621735572814941</c:v>
                      </c:pt>
                      <c:pt idx="22">
                        <c:v>-6.8851180076599121</c:v>
                      </c:pt>
                      <c:pt idx="23">
                        <c:v>-6.9083971977233887</c:v>
                      </c:pt>
                      <c:pt idx="24">
                        <c:v>-6.9385867118835449</c:v>
                      </c:pt>
                      <c:pt idx="25">
                        <c:v>-6.9687762260437012</c:v>
                      </c:pt>
                      <c:pt idx="26">
                        <c:v>-7.0000967979431152</c:v>
                      </c:pt>
                      <c:pt idx="27">
                        <c:v>-7.0322990417480469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55-4193-AA73-7A7CD9F7D7F5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Answ!$B$12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Answ!$C$12:$CO$12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-63.572433471679688</c:v>
                      </c:pt>
                      <c:pt idx="1">
                        <c:v>-63.984081268310547</c:v>
                      </c:pt>
                      <c:pt idx="2">
                        <c:v>-60.431198120117188</c:v>
                      </c:pt>
                      <c:pt idx="3">
                        <c:v>-56.878307342529297</c:v>
                      </c:pt>
                      <c:pt idx="4">
                        <c:v>-53.882858276367188</c:v>
                      </c:pt>
                      <c:pt idx="5">
                        <c:v>-50.940372467041016</c:v>
                      </c:pt>
                      <c:pt idx="6">
                        <c:v>-48.184360504150391</c:v>
                      </c:pt>
                      <c:pt idx="7">
                        <c:v>-45.676605224609375</c:v>
                      </c:pt>
                      <c:pt idx="8">
                        <c:v>-43.168857574462891</c:v>
                      </c:pt>
                      <c:pt idx="9">
                        <c:v>-40.991912841796875</c:v>
                      </c:pt>
                      <c:pt idx="10">
                        <c:v>-38.834362030029297</c:v>
                      </c:pt>
                      <c:pt idx="11">
                        <c:v>-37.269458770751953</c:v>
                      </c:pt>
                      <c:pt idx="12">
                        <c:v>-36.399345397949219</c:v>
                      </c:pt>
                      <c:pt idx="13">
                        <c:v>-35.52923583984375</c:v>
                      </c:pt>
                      <c:pt idx="14">
                        <c:v>-34.659122467041016</c:v>
                      </c:pt>
                      <c:pt idx="15">
                        <c:v>-33.789012908935547</c:v>
                      </c:pt>
                      <c:pt idx="16">
                        <c:v>-32.918899536132813</c:v>
                      </c:pt>
                      <c:pt idx="17">
                        <c:v>-32.048786163330078</c:v>
                      </c:pt>
                      <c:pt idx="18">
                        <c:v>-31.178674697875977</c:v>
                      </c:pt>
                      <c:pt idx="19">
                        <c:v>-30.308561325073242</c:v>
                      </c:pt>
                      <c:pt idx="20">
                        <c:v>-29.438449859619141</c:v>
                      </c:pt>
                      <c:pt idx="21">
                        <c:v>-29.307643890380859</c:v>
                      </c:pt>
                      <c:pt idx="22">
                        <c:v>-29.8309326171875</c:v>
                      </c:pt>
                      <c:pt idx="23">
                        <c:v>-30.353847503662109</c:v>
                      </c:pt>
                      <c:pt idx="24">
                        <c:v>-30.869083404541016</c:v>
                      </c:pt>
                      <c:pt idx="25">
                        <c:v>-31.384317398071289</c:v>
                      </c:pt>
                      <c:pt idx="26">
                        <c:v>-31.892766952514648</c:v>
                      </c:pt>
                      <c:pt idx="27">
                        <c:v>-32.395927429199219</c:v>
                      </c:pt>
                      <c:pt idx="28">
                        <c:v>-32.898151397705078</c:v>
                      </c:pt>
                      <c:pt idx="29">
                        <c:v>-33.389236450195313</c:v>
                      </c:pt>
                      <c:pt idx="30">
                        <c:v>-33.880321502685547</c:v>
                      </c:pt>
                      <c:pt idx="31">
                        <c:v>-34.348915100097656</c:v>
                      </c:pt>
                      <c:pt idx="32">
                        <c:v>-34.802101135253906</c:v>
                      </c:pt>
                      <c:pt idx="33">
                        <c:v>-35.255283355712891</c:v>
                      </c:pt>
                      <c:pt idx="34">
                        <c:v>-35.708465576171875</c:v>
                      </c:pt>
                      <c:pt idx="35">
                        <c:v>-36.161651611328125</c:v>
                      </c:pt>
                      <c:pt idx="36">
                        <c:v>-36.614833831787109</c:v>
                      </c:pt>
                      <c:pt idx="37">
                        <c:v>-37.068016052246094</c:v>
                      </c:pt>
                      <c:pt idx="38">
                        <c:v>-37.521202087402344</c:v>
                      </c:pt>
                      <c:pt idx="39">
                        <c:v>-37.974384307861328</c:v>
                      </c:pt>
                      <c:pt idx="40">
                        <c:v>-38.427566528320313</c:v>
                      </c:pt>
                      <c:pt idx="41">
                        <c:v>-38.831962585449219</c:v>
                      </c:pt>
                      <c:pt idx="42">
                        <c:v>-39.211631774902344</c:v>
                      </c:pt>
                      <c:pt idx="43">
                        <c:v>-39.591297149658203</c:v>
                      </c:pt>
                      <c:pt idx="44">
                        <c:v>-39.970962524414063</c:v>
                      </c:pt>
                      <c:pt idx="45">
                        <c:v>-40.350631713867188</c:v>
                      </c:pt>
                      <c:pt idx="46">
                        <c:v>-40.730297088623047</c:v>
                      </c:pt>
                      <c:pt idx="47">
                        <c:v>-41.109962463378906</c:v>
                      </c:pt>
                      <c:pt idx="48">
                        <c:v>-41.489627838134766</c:v>
                      </c:pt>
                      <c:pt idx="49">
                        <c:v>-41.869297027587891</c:v>
                      </c:pt>
                      <c:pt idx="50">
                        <c:v>-42.24896240234375</c:v>
                      </c:pt>
                      <c:pt idx="51">
                        <c:v>-42.564815521240234</c:v>
                      </c:pt>
                      <c:pt idx="52">
                        <c:v>-42.857521057128906</c:v>
                      </c:pt>
                      <c:pt idx="53">
                        <c:v>-43.150234222412109</c:v>
                      </c:pt>
                      <c:pt idx="54">
                        <c:v>-43.442943572998047</c:v>
                      </c:pt>
                      <c:pt idx="55">
                        <c:v>-43.735652923583984</c:v>
                      </c:pt>
                      <c:pt idx="56">
                        <c:v>-44.028362274169922</c:v>
                      </c:pt>
                      <c:pt idx="57">
                        <c:v>-44.321071624755859</c:v>
                      </c:pt>
                      <c:pt idx="58">
                        <c:v>-44.613780975341797</c:v>
                      </c:pt>
                      <c:pt idx="59">
                        <c:v>-44.906490325927734</c:v>
                      </c:pt>
                      <c:pt idx="60">
                        <c:v>-45.199199676513672</c:v>
                      </c:pt>
                      <c:pt idx="61">
                        <c:v>-45.436275482177734</c:v>
                      </c:pt>
                      <c:pt idx="62">
                        <c:v>-45.661666870117188</c:v>
                      </c:pt>
                      <c:pt idx="63">
                        <c:v>-45.881816864013672</c:v>
                      </c:pt>
                      <c:pt idx="64">
                        <c:v>-46.089595794677734</c:v>
                      </c:pt>
                      <c:pt idx="65">
                        <c:v>-46.297374725341797</c:v>
                      </c:pt>
                      <c:pt idx="66">
                        <c:v>-46.479999542236328</c:v>
                      </c:pt>
                      <c:pt idx="67">
                        <c:v>-46.657939910888672</c:v>
                      </c:pt>
                      <c:pt idx="68">
                        <c:v>-46.828617095947266</c:v>
                      </c:pt>
                      <c:pt idx="69">
                        <c:v>-46.983432769775391</c:v>
                      </c:pt>
                      <c:pt idx="70">
                        <c:v>-47.138248443603516</c:v>
                      </c:pt>
                      <c:pt idx="71">
                        <c:v>-47.234718322753906</c:v>
                      </c:pt>
                      <c:pt idx="72">
                        <c:v>-47.3216552734375</c:v>
                      </c:pt>
                      <c:pt idx="73">
                        <c:v>-47.408588409423828</c:v>
                      </c:pt>
                      <c:pt idx="74">
                        <c:v>-47.495521545410156</c:v>
                      </c:pt>
                      <c:pt idx="75">
                        <c:v>-47.582454681396484</c:v>
                      </c:pt>
                      <c:pt idx="76">
                        <c:v>-47.669391632080078</c:v>
                      </c:pt>
                      <c:pt idx="77">
                        <c:v>-47.756324768066406</c:v>
                      </c:pt>
                      <c:pt idx="78">
                        <c:v>-47.843257904052734</c:v>
                      </c:pt>
                      <c:pt idx="79">
                        <c:v>-47.930191040039063</c:v>
                      </c:pt>
                      <c:pt idx="80">
                        <c:v>-48.017127990722656</c:v>
                      </c:pt>
                      <c:pt idx="81">
                        <c:v>-47.995746612548828</c:v>
                      </c:pt>
                      <c:pt idx="82">
                        <c:v>-47.970664978027344</c:v>
                      </c:pt>
                      <c:pt idx="83">
                        <c:v>-47.945579528808594</c:v>
                      </c:pt>
                      <c:pt idx="84">
                        <c:v>-47.920497894287109</c:v>
                      </c:pt>
                      <c:pt idx="85">
                        <c:v>-47.895416259765625</c:v>
                      </c:pt>
                      <c:pt idx="86">
                        <c:v>-47.870330810546875</c:v>
                      </c:pt>
                      <c:pt idx="87">
                        <c:v>-47.845249176025391</c:v>
                      </c:pt>
                      <c:pt idx="88">
                        <c:v>-47.820167541503906</c:v>
                      </c:pt>
                      <c:pt idx="89">
                        <c:v>-47.795082092285156</c:v>
                      </c:pt>
                      <c:pt idx="90">
                        <c:v>-47.770000457763672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755-4193-AA73-7A7CD9F7D7F5}"/>
                  </c:ext>
                </c:extLst>
              </c15:ser>
            </c15:filteredScatterSeries>
            <c15:filteredScatterSeries>
              <c15:ser>
                <c:idx val="1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Answ!$C$14:$CO$14</c15:sqref>
                        </c15:formulaRef>
                      </c:ext>
                    </c:extLst>
                    <c:numCache>
                      <c:formatCode>General</c:formatCode>
                      <c:ptCount val="9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3755-4193-AA73-7A7CD9F7D7F5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T, K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5087542069523046"/>
              <c:y val="0.922291557305336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15"/>
          <c:min val="-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6.9601372117794906E-3"/>
              <c:y val="0.10007260954903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GeSe2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9179274565201647E-2"/>
          <c:y val="0.10339872528970825"/>
          <c:w val="0.86544508974481649"/>
          <c:h val="0.73520907622973231"/>
        </c:manualLayout>
      </c:layout>
      <c:scatterChart>
        <c:scatterStyle val="smoothMarker"/>
        <c:varyColors val="0"/>
        <c:ser>
          <c:idx val="4"/>
          <c:order val="3"/>
          <c:tx>
            <c:strRef>
              <c:f>Answ!$B$7</c:f>
              <c:strCache>
                <c:ptCount val="1"/>
                <c:pt idx="0">
                  <c:v>*GeSe2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Answ!$C$3:$CO$3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Answ!$C$7:$CO$7</c:f>
              <c:numCache>
                <c:formatCode>General</c:formatCode>
                <c:ptCount val="91"/>
                <c:pt idx="0">
                  <c:v>-57.504024505615234</c:v>
                </c:pt>
                <c:pt idx="1">
                  <c:v>-58.414993286132813</c:v>
                </c:pt>
                <c:pt idx="2">
                  <c:v>-56.582027435302734</c:v>
                </c:pt>
                <c:pt idx="3">
                  <c:v>-54.749057769775391</c:v>
                </c:pt>
                <c:pt idx="4">
                  <c:v>-53.726146697998047</c:v>
                </c:pt>
                <c:pt idx="5">
                  <c:v>-52.780204772949219</c:v>
                </c:pt>
                <c:pt idx="6">
                  <c:v>-52.017276763916016</c:v>
                </c:pt>
                <c:pt idx="7">
                  <c:v>-51.498016357421875</c:v>
                </c:pt>
                <c:pt idx="8">
                  <c:v>-50.978752136230469</c:v>
                </c:pt>
                <c:pt idx="9">
                  <c:v>-50.581546783447266</c:v>
                </c:pt>
                <c:pt idx="10">
                  <c:v>-50.191497802734375</c:v>
                </c:pt>
                <c:pt idx="11">
                  <c:v>-49.847400665283203</c:v>
                </c:pt>
                <c:pt idx="12">
                  <c:v>-49.557178497314453</c:v>
                </c:pt>
                <c:pt idx="13">
                  <c:v>-49.266952514648438</c:v>
                </c:pt>
                <c:pt idx="14">
                  <c:v>-49.061988830566406</c:v>
                </c:pt>
                <c:pt idx="15">
                  <c:v>-48.859115600585938</c:v>
                </c:pt>
                <c:pt idx="16">
                  <c:v>-48.836406707763672</c:v>
                </c:pt>
                <c:pt idx="17">
                  <c:v>-48.999919891357422</c:v>
                </c:pt>
                <c:pt idx="18">
                  <c:v>-49.167598724365234</c:v>
                </c:pt>
                <c:pt idx="19">
                  <c:v>-49.611186981201172</c:v>
                </c:pt>
                <c:pt idx="20">
                  <c:v>-50.054771423339844</c:v>
                </c:pt>
                <c:pt idx="21">
                  <c:v>-50.487785339355469</c:v>
                </c:pt>
                <c:pt idx="22">
                  <c:v>-50.911445617675781</c:v>
                </c:pt>
                <c:pt idx="23">
                  <c:v>-51.335105895996094</c:v>
                </c:pt>
                <c:pt idx="24">
                  <c:v>-51.758769989013672</c:v>
                </c:pt>
                <c:pt idx="25">
                  <c:v>-52.182430267333984</c:v>
                </c:pt>
                <c:pt idx="26">
                  <c:v>-52.606090545654297</c:v>
                </c:pt>
                <c:pt idx="27">
                  <c:v>-53.029750823974609</c:v>
                </c:pt>
                <c:pt idx="28">
                  <c:v>-53.453411102294922</c:v>
                </c:pt>
                <c:pt idx="29">
                  <c:v>-53.8770751953125</c:v>
                </c:pt>
                <c:pt idx="30">
                  <c:v>-54.300735473632813</c:v>
                </c:pt>
                <c:pt idx="31">
                  <c:v>-54.708450317382813</c:v>
                </c:pt>
                <c:pt idx="32">
                  <c:v>-55.105236053466797</c:v>
                </c:pt>
                <c:pt idx="33">
                  <c:v>-55.502025604248047</c:v>
                </c:pt>
                <c:pt idx="34">
                  <c:v>-55.898811340332031</c:v>
                </c:pt>
                <c:pt idx="35">
                  <c:v>-56.295597076416016</c:v>
                </c:pt>
                <c:pt idx="36">
                  <c:v>-56.692386627197266</c:v>
                </c:pt>
                <c:pt idx="37">
                  <c:v>-57.08917236328125</c:v>
                </c:pt>
                <c:pt idx="38">
                  <c:v>-57.4859619140625</c:v>
                </c:pt>
                <c:pt idx="39">
                  <c:v>-57.882747650146484</c:v>
                </c:pt>
                <c:pt idx="40">
                  <c:v>-58.279533386230469</c:v>
                </c:pt>
                <c:pt idx="41">
                  <c:v>-58.663089752197266</c:v>
                </c:pt>
                <c:pt idx="42">
                  <c:v>-59.039936065673828</c:v>
                </c:pt>
                <c:pt idx="43">
                  <c:v>-59.416782379150391</c:v>
                </c:pt>
                <c:pt idx="44">
                  <c:v>-59.793628692626953</c:v>
                </c:pt>
                <c:pt idx="45">
                  <c:v>-60.170478820800781</c:v>
                </c:pt>
                <c:pt idx="46">
                  <c:v>-60.547325134277344</c:v>
                </c:pt>
                <c:pt idx="47">
                  <c:v>-60.924171447753906</c:v>
                </c:pt>
                <c:pt idx="48">
                  <c:v>-61.301017761230469</c:v>
                </c:pt>
                <c:pt idx="49">
                  <c:v>-61.677867889404297</c:v>
                </c:pt>
                <c:pt idx="50">
                  <c:v>-62.054714202880859</c:v>
                </c:pt>
                <c:pt idx="51">
                  <c:v>-62.418506622314453</c:v>
                </c:pt>
                <c:pt idx="52">
                  <c:v>-62.777561187744141</c:v>
                </c:pt>
                <c:pt idx="53">
                  <c:v>-63.135456085205078</c:v>
                </c:pt>
                <c:pt idx="54">
                  <c:v>-63.489864349365234</c:v>
                </c:pt>
                <c:pt idx="55">
                  <c:v>-63.844272613525391</c:v>
                </c:pt>
                <c:pt idx="56">
                  <c:v>-64.205001831054688</c:v>
                </c:pt>
                <c:pt idx="57">
                  <c:v>-64.568000793457031</c:v>
                </c:pt>
                <c:pt idx="58">
                  <c:v>-64.928482055664063</c:v>
                </c:pt>
                <c:pt idx="59">
                  <c:v>-65.282516479492188</c:v>
                </c:pt>
                <c:pt idx="60">
                  <c:v>-65.636550903320313</c:v>
                </c:pt>
                <c:pt idx="61">
                  <c:v>-65.985641479492188</c:v>
                </c:pt>
                <c:pt idx="62">
                  <c:v>-66.333694458007813</c:v>
                </c:pt>
                <c:pt idx="63">
                  <c:v>-66.681747436523438</c:v>
                </c:pt>
                <c:pt idx="64">
                  <c:v>-67.029792785644531</c:v>
                </c:pt>
                <c:pt idx="65">
                  <c:v>-67.377845764160156</c:v>
                </c:pt>
                <c:pt idx="66">
                  <c:v>-67.725898742675781</c:v>
                </c:pt>
                <c:pt idx="67">
                  <c:v>-68.073951721191406</c:v>
                </c:pt>
                <c:pt idx="68">
                  <c:v>-68.4219970703125</c:v>
                </c:pt>
                <c:pt idx="69">
                  <c:v>-68.770050048828125</c:v>
                </c:pt>
                <c:pt idx="70">
                  <c:v>-69.11810302734375</c:v>
                </c:pt>
                <c:pt idx="71">
                  <c:v>-69.485084533691406</c:v>
                </c:pt>
                <c:pt idx="72">
                  <c:v>-69.855155944824219</c:v>
                </c:pt>
                <c:pt idx="73">
                  <c:v>-70.225234985351563</c:v>
                </c:pt>
                <c:pt idx="74">
                  <c:v>-70.595314025878906</c:v>
                </c:pt>
                <c:pt idx="75">
                  <c:v>-70.965385437011719</c:v>
                </c:pt>
                <c:pt idx="76">
                  <c:v>-71.335464477539063</c:v>
                </c:pt>
                <c:pt idx="77">
                  <c:v>-71.705535888671875</c:v>
                </c:pt>
                <c:pt idx="78">
                  <c:v>-72.075614929199219</c:v>
                </c:pt>
                <c:pt idx="79">
                  <c:v>-72.445693969726563</c:v>
                </c:pt>
                <c:pt idx="80">
                  <c:v>-72.815765380859375</c:v>
                </c:pt>
                <c:pt idx="81">
                  <c:v>-73.163322448730469</c:v>
                </c:pt>
                <c:pt idx="82">
                  <c:v>-73.510116577148438</c:v>
                </c:pt>
                <c:pt idx="83">
                  <c:v>-73.864356994628906</c:v>
                </c:pt>
                <c:pt idx="84">
                  <c:v>-74.228172302246094</c:v>
                </c:pt>
                <c:pt idx="85">
                  <c:v>-74.591987609863281</c:v>
                </c:pt>
                <c:pt idx="86">
                  <c:v>-74.935943603515625</c:v>
                </c:pt>
                <c:pt idx="87">
                  <c:v>-75.279571533203125</c:v>
                </c:pt>
                <c:pt idx="88">
                  <c:v>-75.626998901367188</c:v>
                </c:pt>
                <c:pt idx="89">
                  <c:v>-75.97900390625</c:v>
                </c:pt>
                <c:pt idx="90">
                  <c:v>-76.331001281738281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AC3-42A3-9B4F-1399491F3B7E}"/>
            </c:ext>
          </c:extLst>
        </c:ser>
        <c:ser>
          <c:idx val="5"/>
          <c:order val="4"/>
          <c:tx>
            <c:strRef>
              <c:f>Answ!$B$8</c:f>
              <c:strCache>
                <c:ptCount val="1"/>
                <c:pt idx="0">
                  <c:v>(l)GeSe2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Answ!$C$3:$CO$3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Answ!$C$8:$CO$8</c:f>
              <c:numCache>
                <c:formatCode>General</c:formatCode>
                <c:ptCount val="91"/>
                <c:pt idx="0">
                  <c:v>-58.758548736572266</c:v>
                </c:pt>
                <c:pt idx="1">
                  <c:v>-59.797908782958984</c:v>
                </c:pt>
                <c:pt idx="2">
                  <c:v>-58.203151702880859</c:v>
                </c:pt>
                <c:pt idx="3">
                  <c:v>-56.608386993408203</c:v>
                </c:pt>
                <c:pt idx="4">
                  <c:v>-55.628200531005859</c:v>
                </c:pt>
                <c:pt idx="5">
                  <c:v>-54.706409454345703</c:v>
                </c:pt>
                <c:pt idx="6">
                  <c:v>-53.934829711914063</c:v>
                </c:pt>
                <c:pt idx="7">
                  <c:v>-53.363239288330078</c:v>
                </c:pt>
                <c:pt idx="8">
                  <c:v>-52.791648864746094</c:v>
                </c:pt>
                <c:pt idx="9">
                  <c:v>-52.404476165771484</c:v>
                </c:pt>
                <c:pt idx="10">
                  <c:v>-52.028110504150391</c:v>
                </c:pt>
                <c:pt idx="11">
                  <c:v>-51.901260375976563</c:v>
                </c:pt>
                <c:pt idx="12">
                  <c:v>-52.066925048828125</c:v>
                </c:pt>
                <c:pt idx="13">
                  <c:v>-52.232589721679688</c:v>
                </c:pt>
                <c:pt idx="14">
                  <c:v>-52.398250579833984</c:v>
                </c:pt>
                <c:pt idx="15">
                  <c:v>-52.563915252685547</c:v>
                </c:pt>
                <c:pt idx="16">
                  <c:v>-52.729579925537109</c:v>
                </c:pt>
                <c:pt idx="17">
                  <c:v>-52.895244598388672</c:v>
                </c:pt>
                <c:pt idx="18">
                  <c:v>-53.060905456542969</c:v>
                </c:pt>
                <c:pt idx="19">
                  <c:v>-53.226570129394531</c:v>
                </c:pt>
                <c:pt idx="20">
                  <c:v>-53.392234802246094</c:v>
                </c:pt>
                <c:pt idx="21">
                  <c:v>-53.691474914550781</c:v>
                </c:pt>
                <c:pt idx="22">
                  <c:v>-54.108898162841797</c:v>
                </c:pt>
                <c:pt idx="23">
                  <c:v>-54.526653289794922</c:v>
                </c:pt>
                <c:pt idx="24">
                  <c:v>-54.951320648193359</c:v>
                </c:pt>
                <c:pt idx="25">
                  <c:v>-55.375988006591797</c:v>
                </c:pt>
                <c:pt idx="26">
                  <c:v>-55.797264099121094</c:v>
                </c:pt>
                <c:pt idx="27">
                  <c:v>-56.215892791748047</c:v>
                </c:pt>
                <c:pt idx="28">
                  <c:v>-56.633930206298828</c:v>
                </c:pt>
                <c:pt idx="29">
                  <c:v>-57.044910430908203</c:v>
                </c:pt>
                <c:pt idx="30">
                  <c:v>-57.455890655517578</c:v>
                </c:pt>
                <c:pt idx="31">
                  <c:v>-57.859645843505859</c:v>
                </c:pt>
                <c:pt idx="32">
                  <c:v>-58.258445739746094</c:v>
                </c:pt>
                <c:pt idx="33">
                  <c:v>-58.657249450683594</c:v>
                </c:pt>
                <c:pt idx="34">
                  <c:v>-59.056049346923828</c:v>
                </c:pt>
                <c:pt idx="35">
                  <c:v>-59.454849243164063</c:v>
                </c:pt>
                <c:pt idx="36">
                  <c:v>-59.853652954101563</c:v>
                </c:pt>
                <c:pt idx="37">
                  <c:v>-60.252452850341797</c:v>
                </c:pt>
                <c:pt idx="38">
                  <c:v>-60.651256561279297</c:v>
                </c:pt>
                <c:pt idx="39">
                  <c:v>-61.050056457519531</c:v>
                </c:pt>
                <c:pt idx="40">
                  <c:v>-61.448856353759766</c:v>
                </c:pt>
                <c:pt idx="41">
                  <c:v>-61.833091735839844</c:v>
                </c:pt>
                <c:pt idx="42">
                  <c:v>-62.209938049316406</c:v>
                </c:pt>
                <c:pt idx="43">
                  <c:v>-62.586784362792969</c:v>
                </c:pt>
                <c:pt idx="44">
                  <c:v>-62.963630676269531</c:v>
                </c:pt>
                <c:pt idx="45">
                  <c:v>-63.340476989746094</c:v>
                </c:pt>
                <c:pt idx="46">
                  <c:v>-63.717323303222656</c:v>
                </c:pt>
                <c:pt idx="47">
                  <c:v>-64.094169616699219</c:v>
                </c:pt>
                <c:pt idx="48">
                  <c:v>-64.471015930175781</c:v>
                </c:pt>
                <c:pt idx="49">
                  <c:v>-64.847862243652344</c:v>
                </c:pt>
                <c:pt idx="50">
                  <c:v>-65.224716186523438</c:v>
                </c:pt>
                <c:pt idx="51">
                  <c:v>-65.587440490722656</c:v>
                </c:pt>
                <c:pt idx="52">
                  <c:v>-65.945053100585938</c:v>
                </c:pt>
                <c:pt idx="53">
                  <c:v>-66.302658081054688</c:v>
                </c:pt>
                <c:pt idx="54">
                  <c:v>-66.660270690917969</c:v>
                </c:pt>
                <c:pt idx="55">
                  <c:v>-67.01788330078125</c:v>
                </c:pt>
                <c:pt idx="56">
                  <c:v>-67.375495910644531</c:v>
                </c:pt>
                <c:pt idx="57">
                  <c:v>-67.733100891113281</c:v>
                </c:pt>
                <c:pt idx="58">
                  <c:v>-68.090713500976563</c:v>
                </c:pt>
                <c:pt idx="59">
                  <c:v>-68.448318481445313</c:v>
                </c:pt>
                <c:pt idx="60">
                  <c:v>-68.805931091308594</c:v>
                </c:pt>
                <c:pt idx="61">
                  <c:v>-69.151657104492188</c:v>
                </c:pt>
                <c:pt idx="62">
                  <c:v>-69.494888305664063</c:v>
                </c:pt>
                <c:pt idx="63">
                  <c:v>-69.838546752929688</c:v>
                </c:pt>
                <c:pt idx="64">
                  <c:v>-70.183212280273438</c:v>
                </c:pt>
                <c:pt idx="65">
                  <c:v>-70.527877807617188</c:v>
                </c:pt>
                <c:pt idx="66">
                  <c:v>-70.863998413085938</c:v>
                </c:pt>
                <c:pt idx="67">
                  <c:v>-71.198532104492188</c:v>
                </c:pt>
                <c:pt idx="68">
                  <c:v>-71.536117553710938</c:v>
                </c:pt>
                <c:pt idx="69">
                  <c:v>-71.88037109375</c:v>
                </c:pt>
                <c:pt idx="70">
                  <c:v>-72.224632263183594</c:v>
                </c:pt>
                <c:pt idx="71">
                  <c:v>-72.558677673339844</c:v>
                </c:pt>
                <c:pt idx="72">
                  <c:v>-72.891044616699219</c:v>
                </c:pt>
                <c:pt idx="73">
                  <c:v>-73.223419189453125</c:v>
                </c:pt>
                <c:pt idx="74">
                  <c:v>-73.5557861328125</c:v>
                </c:pt>
                <c:pt idx="75">
                  <c:v>-73.888160705566406</c:v>
                </c:pt>
                <c:pt idx="76">
                  <c:v>-74.220527648925781</c:v>
                </c:pt>
                <c:pt idx="77">
                  <c:v>-74.552894592285156</c:v>
                </c:pt>
                <c:pt idx="78">
                  <c:v>-74.885269165039063</c:v>
                </c:pt>
                <c:pt idx="79">
                  <c:v>-75.217636108398438</c:v>
                </c:pt>
                <c:pt idx="80">
                  <c:v>-75.550010681152344</c:v>
                </c:pt>
                <c:pt idx="81">
                  <c:v>-75.874740600585938</c:v>
                </c:pt>
                <c:pt idx="82">
                  <c:v>-76.19921875</c:v>
                </c:pt>
                <c:pt idx="83">
                  <c:v>-76.523689270019531</c:v>
                </c:pt>
                <c:pt idx="84">
                  <c:v>-76.848159790039063</c:v>
                </c:pt>
                <c:pt idx="85">
                  <c:v>-77.172637939453125</c:v>
                </c:pt>
                <c:pt idx="86">
                  <c:v>-77.497108459472656</c:v>
                </c:pt>
                <c:pt idx="87">
                  <c:v>-77.821578979492188</c:v>
                </c:pt>
                <c:pt idx="88">
                  <c:v>-78.146049499511719</c:v>
                </c:pt>
                <c:pt idx="89">
                  <c:v>-78.470527648925781</c:v>
                </c:pt>
                <c:pt idx="90">
                  <c:v>-78.794998168945313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AC3-42A3-9B4F-1399491F3B7E}"/>
            </c:ext>
          </c:extLst>
        </c:ser>
        <c:ser>
          <c:idx val="11"/>
          <c:order val="10"/>
          <c:tx>
            <c:v>1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Answ!$A$1:$A$2</c:f>
              <c:numCache>
                <c:formatCode>General</c:formatCode>
                <c:ptCount val="2"/>
                <c:pt idx="0">
                  <c:v>350</c:v>
                </c:pt>
                <c:pt idx="1">
                  <c:v>350</c:v>
                </c:pt>
              </c:numCache>
            </c:numRef>
          </c:xVal>
          <c:yVal>
            <c:numRef>
              <c:f>Answ!$B$1:$B$2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AC3-42A3-9B4F-1399491F3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Answ!$B$4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Answ!$C$4:$CO$4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-20.451709747314453</c:v>
                      </c:pt>
                      <c:pt idx="1">
                        <c:v>-20.176399230957031</c:v>
                      </c:pt>
                      <c:pt idx="2">
                        <c:v>-17.98814582824707</c:v>
                      </c:pt>
                      <c:pt idx="3">
                        <c:v>-15.799887657165527</c:v>
                      </c:pt>
                      <c:pt idx="4">
                        <c:v>-14.393250465393066</c:v>
                      </c:pt>
                      <c:pt idx="5">
                        <c:v>-13.060880661010742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6AC3-42A3-9B4F-1399491F3B7E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Answ!$C$5:$CO$5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-38.977867126464844</c:v>
                      </c:pt>
                      <c:pt idx="1">
                        <c:v>-39.295696258544922</c:v>
                      </c:pt>
                      <c:pt idx="2">
                        <c:v>-37.285087585449219</c:v>
                      </c:pt>
                      <c:pt idx="3">
                        <c:v>-35.274471282958984</c:v>
                      </c:pt>
                      <c:pt idx="4">
                        <c:v>-34.059696197509766</c:v>
                      </c:pt>
                      <c:pt idx="5">
                        <c:v>-32.920539855957031</c:v>
                      </c:pt>
                      <c:pt idx="6">
                        <c:v>-31.960948944091797</c:v>
                      </c:pt>
                      <c:pt idx="7">
                        <c:v>-31.240421295166016</c:v>
                      </c:pt>
                      <c:pt idx="8">
                        <c:v>-30.5198974609375</c:v>
                      </c:pt>
                      <c:pt idx="9">
                        <c:v>-29.917625427246094</c:v>
                      </c:pt>
                      <c:pt idx="10">
                        <c:v>-29.322284698486328</c:v>
                      </c:pt>
                      <c:pt idx="11">
                        <c:v>-28.77290153503418</c:v>
                      </c:pt>
                      <c:pt idx="12">
                        <c:v>-28.277387619018555</c:v>
                      </c:pt>
                      <c:pt idx="13">
                        <c:v>-27.781877517700195</c:v>
                      </c:pt>
                      <c:pt idx="14">
                        <c:v>-27.367691040039063</c:v>
                      </c:pt>
                      <c:pt idx="15">
                        <c:v>-26.955501556396484</c:v>
                      </c:pt>
                      <c:pt idx="16">
                        <c:v>-26.727140426635742</c:v>
                      </c:pt>
                      <c:pt idx="17">
                        <c:v>-26.688783645629883</c:v>
                      </c:pt>
                      <c:pt idx="18">
                        <c:v>-26.654544830322266</c:v>
                      </c:pt>
                      <c:pt idx="19">
                        <c:v>-26.892841339111328</c:v>
                      </c:pt>
                      <c:pt idx="20">
                        <c:v>-27.131137847900391</c:v>
                      </c:pt>
                      <c:pt idx="21">
                        <c:v>-27.364202499389648</c:v>
                      </c:pt>
                      <c:pt idx="22">
                        <c:v>-27.59263801574707</c:v>
                      </c:pt>
                      <c:pt idx="23">
                        <c:v>-27.821071624755859</c:v>
                      </c:pt>
                      <c:pt idx="24">
                        <c:v>-28.049507141113281</c:v>
                      </c:pt>
                      <c:pt idx="25">
                        <c:v>-28.27794075012207</c:v>
                      </c:pt>
                      <c:pt idx="26">
                        <c:v>-28.506376266479492</c:v>
                      </c:pt>
                      <c:pt idx="27">
                        <c:v>-28.734811782836914</c:v>
                      </c:pt>
                      <c:pt idx="28">
                        <c:v>-28.963247299194336</c:v>
                      </c:pt>
                      <c:pt idx="29">
                        <c:v>-29.191682815551758</c:v>
                      </c:pt>
                      <c:pt idx="30">
                        <c:v>-29.420116424560547</c:v>
                      </c:pt>
                      <c:pt idx="31">
                        <c:v>-29.640285491943359</c:v>
                      </c:pt>
                      <c:pt idx="32">
                        <c:v>-29.854793548583984</c:v>
                      </c:pt>
                      <c:pt idx="33">
                        <c:v>-30.069299697875977</c:v>
                      </c:pt>
                      <c:pt idx="34">
                        <c:v>-30.283805847167969</c:v>
                      </c:pt>
                      <c:pt idx="35">
                        <c:v>-30.498313903808594</c:v>
                      </c:pt>
                      <c:pt idx="36">
                        <c:v>-30.712820053100586</c:v>
                      </c:pt>
                      <c:pt idx="37">
                        <c:v>-30.927328109741211</c:v>
                      </c:pt>
                      <c:pt idx="38">
                        <c:v>-31.141834259033203</c:v>
                      </c:pt>
                      <c:pt idx="39">
                        <c:v>-31.356340408325195</c:v>
                      </c:pt>
                      <c:pt idx="40">
                        <c:v>-31.570846557617188</c:v>
                      </c:pt>
                      <c:pt idx="41">
                        <c:v>-31.77813720703125</c:v>
                      </c:pt>
                      <c:pt idx="42">
                        <c:v>-31.981767654418945</c:v>
                      </c:pt>
                      <c:pt idx="43">
                        <c:v>-32.185398101806641</c:v>
                      </c:pt>
                      <c:pt idx="44">
                        <c:v>-32.389026641845703</c:v>
                      </c:pt>
                      <c:pt idx="45">
                        <c:v>-32.592658996582031</c:v>
                      </c:pt>
                      <c:pt idx="46">
                        <c:v>-32.796291351318359</c:v>
                      </c:pt>
                      <c:pt idx="47">
                        <c:v>-32.999919891357422</c:v>
                      </c:pt>
                      <c:pt idx="48">
                        <c:v>-33.203548431396484</c:v>
                      </c:pt>
                      <c:pt idx="49">
                        <c:v>-33.407180786132813</c:v>
                      </c:pt>
                      <c:pt idx="50">
                        <c:v>-33.610813140869141</c:v>
                      </c:pt>
                      <c:pt idx="51">
                        <c:v>-33.807388305664063</c:v>
                      </c:pt>
                      <c:pt idx="52">
                        <c:v>-34.00140380859375</c:v>
                      </c:pt>
                      <c:pt idx="53">
                        <c:v>-34.194751739501953</c:v>
                      </c:pt>
                      <c:pt idx="54">
                        <c:v>-34.386074066162109</c:v>
                      </c:pt>
                      <c:pt idx="55">
                        <c:v>-34.577400207519531</c:v>
                      </c:pt>
                      <c:pt idx="56">
                        <c:v>-34.772136688232422</c:v>
                      </c:pt>
                      <c:pt idx="57">
                        <c:v>-34.968101501464844</c:v>
                      </c:pt>
                      <c:pt idx="58">
                        <c:v>-35.162693023681641</c:v>
                      </c:pt>
                      <c:pt idx="59">
                        <c:v>-35.353763580322266</c:v>
                      </c:pt>
                      <c:pt idx="60">
                        <c:v>-35.544837951660156</c:v>
                      </c:pt>
                      <c:pt idx="61">
                        <c:v>-35.735462188720703</c:v>
                      </c:pt>
                      <c:pt idx="62">
                        <c:v>-35.925991058349609</c:v>
                      </c:pt>
                      <c:pt idx="63">
                        <c:v>-36.116523742675781</c:v>
                      </c:pt>
                      <c:pt idx="64">
                        <c:v>-36.307052612304688</c:v>
                      </c:pt>
                      <c:pt idx="65">
                        <c:v>-36.497581481933594</c:v>
                      </c:pt>
                      <c:pt idx="66">
                        <c:v>-36.688114166259766</c:v>
                      </c:pt>
                      <c:pt idx="67">
                        <c:v>-36.878643035888672</c:v>
                      </c:pt>
                      <c:pt idx="68">
                        <c:v>-37.069171905517578</c:v>
                      </c:pt>
                      <c:pt idx="69">
                        <c:v>-37.259700775146484</c:v>
                      </c:pt>
                      <c:pt idx="70">
                        <c:v>-37.450233459472656</c:v>
                      </c:pt>
                      <c:pt idx="71">
                        <c:v>-37.662151336669922</c:v>
                      </c:pt>
                      <c:pt idx="72">
                        <c:v>-37.8775634765625</c:v>
                      </c:pt>
                      <c:pt idx="73">
                        <c:v>-38.092979431152344</c:v>
                      </c:pt>
                      <c:pt idx="74">
                        <c:v>-38.308395385742188</c:v>
                      </c:pt>
                      <c:pt idx="75">
                        <c:v>-38.523807525634766</c:v>
                      </c:pt>
                      <c:pt idx="76">
                        <c:v>-38.739223480224609</c:v>
                      </c:pt>
                      <c:pt idx="77">
                        <c:v>-38.954635620117188</c:v>
                      </c:pt>
                      <c:pt idx="78">
                        <c:v>-39.170051574707031</c:v>
                      </c:pt>
                      <c:pt idx="79">
                        <c:v>-39.385467529296875</c:v>
                      </c:pt>
                      <c:pt idx="80">
                        <c:v>-39.600879669189453</c:v>
                      </c:pt>
                      <c:pt idx="81">
                        <c:v>-39.801853179931641</c:v>
                      </c:pt>
                      <c:pt idx="82">
                        <c:v>-40.002334594726563</c:v>
                      </c:pt>
                      <c:pt idx="83">
                        <c:v>-40.206546783447266</c:v>
                      </c:pt>
                      <c:pt idx="84">
                        <c:v>-40.415546417236328</c:v>
                      </c:pt>
                      <c:pt idx="85">
                        <c:v>-40.624546051025391</c:v>
                      </c:pt>
                      <c:pt idx="86">
                        <c:v>-40.822052001953125</c:v>
                      </c:pt>
                      <c:pt idx="87">
                        <c:v>-41.019371032714844</c:v>
                      </c:pt>
                      <c:pt idx="88">
                        <c:v>-41.218479156494141</c:v>
                      </c:pt>
                      <c:pt idx="89">
                        <c:v>-41.41973876953125</c:v>
                      </c:pt>
                      <c:pt idx="90">
                        <c:v>-41.620998382568359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AC3-42A3-9B4F-1399491F3B7E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Answ!$B$6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Answ!$C$6:$CO$6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-63.796104431152344</c:v>
                      </c:pt>
                      <c:pt idx="1">
                        <c:v>-64.193603515625</c:v>
                      </c:pt>
                      <c:pt idx="2">
                        <c:v>-60.588233947753906</c:v>
                      </c:pt>
                      <c:pt idx="3">
                        <c:v>-56.982856750488281</c:v>
                      </c:pt>
                      <c:pt idx="4">
                        <c:v>-53.949775695800781</c:v>
                      </c:pt>
                      <c:pt idx="5">
                        <c:v>-50.971061706542969</c:v>
                      </c:pt>
                      <c:pt idx="6">
                        <c:v>-48.187454223632813</c:v>
                      </c:pt>
                      <c:pt idx="7">
                        <c:v>-45.663600921630859</c:v>
                      </c:pt>
                      <c:pt idx="8">
                        <c:v>-43.139751434326172</c:v>
                      </c:pt>
                      <c:pt idx="9">
                        <c:v>-40.958114624023438</c:v>
                      </c:pt>
                      <c:pt idx="10">
                        <c:v>-38.796535491943359</c:v>
                      </c:pt>
                      <c:pt idx="11">
                        <c:v>-36.760963439941406</c:v>
                      </c:pt>
                      <c:pt idx="12">
                        <c:v>-34.873104095458984</c:v>
                      </c:pt>
                      <c:pt idx="13">
                        <c:v>-32.985244750976563</c:v>
                      </c:pt>
                      <c:pt idx="14">
                        <c:v>-31.321329116821289</c:v>
                      </c:pt>
                      <c:pt idx="15">
                        <c:v>-29.662914276123047</c:v>
                      </c:pt>
                      <c:pt idx="16">
                        <c:v>-28.14300537109375</c:v>
                      </c:pt>
                      <c:pt idx="17">
                        <c:v>-26.766263961791992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AC3-42A3-9B4F-1399491F3B7E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Answ!$C$9:$CO$9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-39.785041809082031</c:v>
                      </c:pt>
                      <c:pt idx="1">
                        <c:v>-40.228065490722656</c:v>
                      </c:pt>
                      <c:pt idx="2">
                        <c:v>-38.479885101318359</c:v>
                      </c:pt>
                      <c:pt idx="3">
                        <c:v>-36.731700897216797</c:v>
                      </c:pt>
                      <c:pt idx="4">
                        <c:v>-35.576457977294922</c:v>
                      </c:pt>
                      <c:pt idx="5">
                        <c:v>-34.477554321289063</c:v>
                      </c:pt>
                      <c:pt idx="6">
                        <c:v>-33.521953582763672</c:v>
                      </c:pt>
                      <c:pt idx="7">
                        <c:v>-32.757152557373047</c:v>
                      </c:pt>
                      <c:pt idx="8">
                        <c:v>-31.992349624633789</c:v>
                      </c:pt>
                      <c:pt idx="9">
                        <c:v>-31.400554656982422</c:v>
                      </c:pt>
                      <c:pt idx="10">
                        <c:v>-30.818899154663086</c:v>
                      </c:pt>
                      <c:pt idx="11">
                        <c:v>-30.489006042480469</c:v>
                      </c:pt>
                      <c:pt idx="12">
                        <c:v>-30.454261779785156</c:v>
                      </c:pt>
                      <c:pt idx="13">
                        <c:v>-30.419517517089844</c:v>
                      </c:pt>
                      <c:pt idx="14">
                        <c:v>-30.384773254394531</c:v>
                      </c:pt>
                      <c:pt idx="15">
                        <c:v>-30.350028991699219</c:v>
                      </c:pt>
                      <c:pt idx="16">
                        <c:v>-30.315284729003906</c:v>
                      </c:pt>
                      <c:pt idx="17">
                        <c:v>-30.280542373657227</c:v>
                      </c:pt>
                      <c:pt idx="18">
                        <c:v>-30.245798110961914</c:v>
                      </c:pt>
                      <c:pt idx="19">
                        <c:v>-30.211053848266602</c:v>
                      </c:pt>
                      <c:pt idx="20">
                        <c:v>-30.176309585571289</c:v>
                      </c:pt>
                      <c:pt idx="21">
                        <c:v>-30.276823043823242</c:v>
                      </c:pt>
                      <c:pt idx="22">
                        <c:v>-30.497007369995117</c:v>
                      </c:pt>
                      <c:pt idx="23">
                        <c:v>-30.717527389526367</c:v>
                      </c:pt>
                      <c:pt idx="24">
                        <c:v>-30.944953918457031</c:v>
                      </c:pt>
                      <c:pt idx="25">
                        <c:v>-31.172382354736328</c:v>
                      </c:pt>
                      <c:pt idx="26">
                        <c:v>-31.398679733276367</c:v>
                      </c:pt>
                      <c:pt idx="27">
                        <c:v>-31.624095916748047</c:v>
                      </c:pt>
                      <c:pt idx="28">
                        <c:v>-31.84922981262207</c:v>
                      </c:pt>
                      <c:pt idx="29">
                        <c:v>-32.071022033691406</c:v>
                      </c:pt>
                      <c:pt idx="30">
                        <c:v>-32.292816162109375</c:v>
                      </c:pt>
                      <c:pt idx="31">
                        <c:v>-32.510883331298828</c:v>
                      </c:pt>
                      <c:pt idx="32">
                        <c:v>-32.726398468017578</c:v>
                      </c:pt>
                      <c:pt idx="33">
                        <c:v>-32.941909790039063</c:v>
                      </c:pt>
                      <c:pt idx="34">
                        <c:v>-33.157424926757813</c:v>
                      </c:pt>
                      <c:pt idx="35">
                        <c:v>-33.372940063476563</c:v>
                      </c:pt>
                      <c:pt idx="36">
                        <c:v>-33.588451385498047</c:v>
                      </c:pt>
                      <c:pt idx="37">
                        <c:v>-33.803966522216797</c:v>
                      </c:pt>
                      <c:pt idx="38">
                        <c:v>-34.019481658935547</c:v>
                      </c:pt>
                      <c:pt idx="39">
                        <c:v>-34.234992980957031</c:v>
                      </c:pt>
                      <c:pt idx="40">
                        <c:v>-34.450508117675781</c:v>
                      </c:pt>
                      <c:pt idx="41">
                        <c:v>-34.658134460449219</c:v>
                      </c:pt>
                      <c:pt idx="42">
                        <c:v>-34.861766815185547</c:v>
                      </c:pt>
                      <c:pt idx="43">
                        <c:v>-35.065395355224609</c:v>
                      </c:pt>
                      <c:pt idx="44">
                        <c:v>-35.269027709960938</c:v>
                      </c:pt>
                      <c:pt idx="45">
                        <c:v>-35.47265625</c:v>
                      </c:pt>
                      <c:pt idx="46">
                        <c:v>-35.676288604736328</c:v>
                      </c:pt>
                      <c:pt idx="47">
                        <c:v>-35.879917144775391</c:v>
                      </c:pt>
                      <c:pt idx="48">
                        <c:v>-36.083549499511719</c:v>
                      </c:pt>
                      <c:pt idx="49">
                        <c:v>-36.287178039550781</c:v>
                      </c:pt>
                      <c:pt idx="50">
                        <c:v>-36.490810394287109</c:v>
                      </c:pt>
                      <c:pt idx="51">
                        <c:v>-36.686702728271484</c:v>
                      </c:pt>
                      <c:pt idx="52">
                        <c:v>-36.879787445068359</c:v>
                      </c:pt>
                      <c:pt idx="53">
                        <c:v>-37.0728759765625</c:v>
                      </c:pt>
                      <c:pt idx="54">
                        <c:v>-37.265964508056641</c:v>
                      </c:pt>
                      <c:pt idx="55">
                        <c:v>-37.459053039550781</c:v>
                      </c:pt>
                      <c:pt idx="56">
                        <c:v>-37.652141571044922</c:v>
                      </c:pt>
                      <c:pt idx="57">
                        <c:v>-37.845226287841797</c:v>
                      </c:pt>
                      <c:pt idx="58">
                        <c:v>-38.038314819335938</c:v>
                      </c:pt>
                      <c:pt idx="59">
                        <c:v>-38.231399536132813</c:v>
                      </c:pt>
                      <c:pt idx="60">
                        <c:v>-38.424488067626953</c:v>
                      </c:pt>
                      <c:pt idx="61">
                        <c:v>-38.610939025878906</c:v>
                      </c:pt>
                      <c:pt idx="62">
                        <c:v>-38.795997619628906</c:v>
                      </c:pt>
                      <c:pt idx="63">
                        <c:v>-38.981269836425781</c:v>
                      </c:pt>
                      <c:pt idx="64">
                        <c:v>-39.167049407958984</c:v>
                      </c:pt>
                      <c:pt idx="65">
                        <c:v>-39.352828979492188</c:v>
                      </c:pt>
                      <c:pt idx="66">
                        <c:v>-39.534000396728516</c:v>
                      </c:pt>
                      <c:pt idx="67">
                        <c:v>-39.714313507080078</c:v>
                      </c:pt>
                      <c:pt idx="68">
                        <c:v>-39.896217346191406</c:v>
                      </c:pt>
                      <c:pt idx="69">
                        <c:v>-40.081584930419922</c:v>
                      </c:pt>
                      <c:pt idx="70">
                        <c:v>-40.266956329345703</c:v>
                      </c:pt>
                      <c:pt idx="71">
                        <c:v>-40.446609497070313</c:v>
                      </c:pt>
                      <c:pt idx="72">
                        <c:v>-40.625331878662109</c:v>
                      </c:pt>
                      <c:pt idx="73">
                        <c:v>-40.804050445556641</c:v>
                      </c:pt>
                      <c:pt idx="74">
                        <c:v>-40.982772827148438</c:v>
                      </c:pt>
                      <c:pt idx="75">
                        <c:v>-41.161491394042969</c:v>
                      </c:pt>
                      <c:pt idx="76">
                        <c:v>-41.340213775634766</c:v>
                      </c:pt>
                      <c:pt idx="77">
                        <c:v>-41.518932342529297</c:v>
                      </c:pt>
                      <c:pt idx="78">
                        <c:v>-41.697650909423828</c:v>
                      </c:pt>
                      <c:pt idx="79">
                        <c:v>-41.876373291015625</c:v>
                      </c:pt>
                      <c:pt idx="80">
                        <c:v>-42.055091857910156</c:v>
                      </c:pt>
                      <c:pt idx="81">
                        <c:v>-42.229225158691406</c:v>
                      </c:pt>
                      <c:pt idx="82">
                        <c:v>-42.4031982421875</c:v>
                      </c:pt>
                      <c:pt idx="83">
                        <c:v>-42.577175140380859</c:v>
                      </c:pt>
                      <c:pt idx="84">
                        <c:v>-42.751148223876953</c:v>
                      </c:pt>
                      <c:pt idx="85">
                        <c:v>-42.925125122070313</c:v>
                      </c:pt>
                      <c:pt idx="86">
                        <c:v>-43.099098205566406</c:v>
                      </c:pt>
                      <c:pt idx="87">
                        <c:v>-43.2730712890625</c:v>
                      </c:pt>
                      <c:pt idx="88">
                        <c:v>-43.447048187255859</c:v>
                      </c:pt>
                      <c:pt idx="89">
                        <c:v>-43.621021270751953</c:v>
                      </c:pt>
                      <c:pt idx="90">
                        <c:v>-43.794998168945313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AC3-42A3-9B4F-1399491F3B7E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Answ!$C$10:$CO$10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-184.06538391113281</c:v>
                      </c:pt>
                      <c:pt idx="1">
                        <c:v>-186.67770385742188</c:v>
                      </c:pt>
                      <c:pt idx="2">
                        <c:v>-180.03219604492188</c:v>
                      </c:pt>
                      <c:pt idx="3">
                        <c:v>-173.38667297363281</c:v>
                      </c:pt>
                      <c:pt idx="4">
                        <c:v>-167.92094421386719</c:v>
                      </c:pt>
                      <c:pt idx="5">
                        <c:v>-162.56730651855469</c:v>
                      </c:pt>
                      <c:pt idx="6">
                        <c:v>-157.60734558105469</c:v>
                      </c:pt>
                      <c:pt idx="7">
                        <c:v>-153.17147827148438</c:v>
                      </c:pt>
                      <c:pt idx="8">
                        <c:v>-148.73562622070313</c:v>
                      </c:pt>
                      <c:pt idx="9">
                        <c:v>-144.99560546875</c:v>
                      </c:pt>
                      <c:pt idx="10">
                        <c:v>-141.29637145996094</c:v>
                      </c:pt>
                      <c:pt idx="11">
                        <c:v>-138.77568054199219</c:v>
                      </c:pt>
                      <c:pt idx="12">
                        <c:v>-137.63668823242188</c:v>
                      </c:pt>
                      <c:pt idx="13">
                        <c:v>-136.4976806640625</c:v>
                      </c:pt>
                      <c:pt idx="14">
                        <c:v>-135.35868835449219</c:v>
                      </c:pt>
                      <c:pt idx="15">
                        <c:v>-134.21968078613281</c:v>
                      </c:pt>
                      <c:pt idx="16">
                        <c:v>-133.08067321777344</c:v>
                      </c:pt>
                      <c:pt idx="17">
                        <c:v>-131.94168090820313</c:v>
                      </c:pt>
                      <c:pt idx="18">
                        <c:v>-130.80267333984375</c:v>
                      </c:pt>
                      <c:pt idx="19">
                        <c:v>-129.66366577148438</c:v>
                      </c:pt>
                      <c:pt idx="20">
                        <c:v>-128.52467346191406</c:v>
                      </c:pt>
                      <c:pt idx="21">
                        <c:v>-128.85923767089844</c:v>
                      </c:pt>
                      <c:pt idx="22">
                        <c:v>-130.49752807617188</c:v>
                      </c:pt>
                      <c:pt idx="23">
                        <c:v>-132.13507080078125</c:v>
                      </c:pt>
                      <c:pt idx="24">
                        <c:v>-133.75726318359375</c:v>
                      </c:pt>
                      <c:pt idx="25">
                        <c:v>-135.37945556640625</c:v>
                      </c:pt>
                      <c:pt idx="26">
                        <c:v>-136.98127746582031</c:v>
                      </c:pt>
                      <c:pt idx="27">
                        <c:v>-138.56724548339844</c:v>
                      </c:pt>
                      <c:pt idx="28">
                        <c:v>-140.150390625</c:v>
                      </c:pt>
                      <c:pt idx="29">
                        <c:v>-141.70013427734375</c:v>
                      </c:pt>
                      <c:pt idx="30">
                        <c:v>-143.24986267089844</c:v>
                      </c:pt>
                      <c:pt idx="31">
                        <c:v>-144.74411010742188</c:v>
                      </c:pt>
                      <c:pt idx="32">
                        <c:v>-146.20034790039063</c:v>
                      </c:pt>
                      <c:pt idx="33">
                        <c:v>-147.65657043457031</c:v>
                      </c:pt>
                      <c:pt idx="34">
                        <c:v>-149.11279296875</c:v>
                      </c:pt>
                      <c:pt idx="35">
                        <c:v>-150.56903076171875</c:v>
                      </c:pt>
                      <c:pt idx="36">
                        <c:v>-152.02525329589844</c:v>
                      </c:pt>
                      <c:pt idx="37">
                        <c:v>-153.48149108886719</c:v>
                      </c:pt>
                      <c:pt idx="38">
                        <c:v>-154.93771362304688</c:v>
                      </c:pt>
                      <c:pt idx="39">
                        <c:v>-156.39395141601563</c:v>
                      </c:pt>
                      <c:pt idx="40">
                        <c:v>-157.85017395019531</c:v>
                      </c:pt>
                      <c:pt idx="41">
                        <c:v>-159.18878173828125</c:v>
                      </c:pt>
                      <c:pt idx="42">
                        <c:v>-160.46775817871094</c:v>
                      </c:pt>
                      <c:pt idx="43">
                        <c:v>-161.74674987792969</c:v>
                      </c:pt>
                      <c:pt idx="44">
                        <c:v>-163.02572631835938</c:v>
                      </c:pt>
                      <c:pt idx="45">
                        <c:v>-164.30471801757813</c:v>
                      </c:pt>
                      <c:pt idx="46">
                        <c:v>-165.58369445800781</c:v>
                      </c:pt>
                      <c:pt idx="47">
                        <c:v>-166.86268615722656</c:v>
                      </c:pt>
                      <c:pt idx="48">
                        <c:v>-168.14166259765625</c:v>
                      </c:pt>
                      <c:pt idx="49">
                        <c:v>-169.420654296875</c:v>
                      </c:pt>
                      <c:pt idx="50">
                        <c:v>-170.69963073730469</c:v>
                      </c:pt>
                      <c:pt idx="51">
                        <c:v>-171.83184814453125</c:v>
                      </c:pt>
                      <c:pt idx="52">
                        <c:v>-172.91082763671875</c:v>
                      </c:pt>
                      <c:pt idx="53">
                        <c:v>-173.98982238769531</c:v>
                      </c:pt>
                      <c:pt idx="54">
                        <c:v>-175.06880187988281</c:v>
                      </c:pt>
                      <c:pt idx="55">
                        <c:v>-176.14779663085938</c:v>
                      </c:pt>
                      <c:pt idx="56">
                        <c:v>-177.22679138183594</c:v>
                      </c:pt>
                      <c:pt idx="57">
                        <c:v>-178.30577087402344</c:v>
                      </c:pt>
                      <c:pt idx="58">
                        <c:v>-179.384765625</c:v>
                      </c:pt>
                      <c:pt idx="59">
                        <c:v>-180.4637451171875</c:v>
                      </c:pt>
                      <c:pt idx="60">
                        <c:v>-181.542724609375</c:v>
                      </c:pt>
                      <c:pt idx="61">
                        <c:v>-182.49470520019531</c:v>
                      </c:pt>
                      <c:pt idx="62">
                        <c:v>-183.41999816894531</c:v>
                      </c:pt>
                      <c:pt idx="63">
                        <c:v>-184.33546447753906</c:v>
                      </c:pt>
                      <c:pt idx="64">
                        <c:v>-185.22767639160156</c:v>
                      </c:pt>
                      <c:pt idx="65">
                        <c:v>-186.11990356445313</c:v>
                      </c:pt>
                      <c:pt idx="66">
                        <c:v>-186.94999694824219</c:v>
                      </c:pt>
                      <c:pt idx="67">
                        <c:v>-187.76853942871094</c:v>
                      </c:pt>
                      <c:pt idx="68">
                        <c:v>-188.57693481445313</c:v>
                      </c:pt>
                      <c:pt idx="69">
                        <c:v>-189.36323547363281</c:v>
                      </c:pt>
                      <c:pt idx="70">
                        <c:v>-190.14952087402344</c:v>
                      </c:pt>
                      <c:pt idx="71">
                        <c:v>-190.80561828613281</c:v>
                      </c:pt>
                      <c:pt idx="72">
                        <c:v>-191.44044494628906</c:v>
                      </c:pt>
                      <c:pt idx="73">
                        <c:v>-192.07527160644531</c:v>
                      </c:pt>
                      <c:pt idx="74">
                        <c:v>-192.7100830078125</c:v>
                      </c:pt>
                      <c:pt idx="75">
                        <c:v>-193.34490966796875</c:v>
                      </c:pt>
                      <c:pt idx="76">
                        <c:v>-193.979736328125</c:v>
                      </c:pt>
                      <c:pt idx="77">
                        <c:v>-194.61454772949219</c:v>
                      </c:pt>
                      <c:pt idx="78">
                        <c:v>-195.24935913085938</c:v>
                      </c:pt>
                      <c:pt idx="79">
                        <c:v>-195.88418579101563</c:v>
                      </c:pt>
                      <c:pt idx="80">
                        <c:v>-196.51901245117188</c:v>
                      </c:pt>
                      <c:pt idx="81">
                        <c:v>-196.92805480957031</c:v>
                      </c:pt>
                      <c:pt idx="82">
                        <c:v>-197.32937622070313</c:v>
                      </c:pt>
                      <c:pt idx="83">
                        <c:v>-197.730712890625</c:v>
                      </c:pt>
                      <c:pt idx="84">
                        <c:v>-198.13203430175781</c:v>
                      </c:pt>
                      <c:pt idx="85">
                        <c:v>-198.53335571289063</c:v>
                      </c:pt>
                      <c:pt idx="86">
                        <c:v>-198.9346923828125</c:v>
                      </c:pt>
                      <c:pt idx="87">
                        <c:v>-199.33601379394531</c:v>
                      </c:pt>
                      <c:pt idx="88">
                        <c:v>-199.73733520507813</c:v>
                      </c:pt>
                      <c:pt idx="89">
                        <c:v>-200.138671875</c:v>
                      </c:pt>
                      <c:pt idx="90">
                        <c:v>-200.53999328613281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AC3-42A3-9B4F-1399491F3B7E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Answ!$B$11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Answ!$C$11:$CO$11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-20.811534881591797</c:v>
                      </c:pt>
                      <c:pt idx="1">
                        <c:v>-20.658218383789063</c:v>
                      </c:pt>
                      <c:pt idx="2">
                        <c:v>-18.756618499755859</c:v>
                      </c:pt>
                      <c:pt idx="3">
                        <c:v>-16.855014801025391</c:v>
                      </c:pt>
                      <c:pt idx="4">
                        <c:v>-15.524714469909668</c:v>
                      </c:pt>
                      <c:pt idx="5">
                        <c:v>-14.248698234558105</c:v>
                      </c:pt>
                      <c:pt idx="6">
                        <c:v>-13.109082221984863</c:v>
                      </c:pt>
                      <c:pt idx="7">
                        <c:v>-12.151063919067383</c:v>
                      </c:pt>
                      <c:pt idx="8">
                        <c:v>-11.193047523498535</c:v>
                      </c:pt>
                      <c:pt idx="9">
                        <c:v>-10.396632194519043</c:v>
                      </c:pt>
                      <c:pt idx="10">
                        <c:v>-9.6096887588500977</c:v>
                      </c:pt>
                      <c:pt idx="11">
                        <c:v>-9.0767526626586914</c:v>
                      </c:pt>
                      <c:pt idx="12">
                        <c:v>-8.8416004180908203</c:v>
                      </c:pt>
                      <c:pt idx="13">
                        <c:v>-8.6064491271972656</c:v>
                      </c:pt>
                      <c:pt idx="14">
                        <c:v>-8.3712968826293945</c:v>
                      </c:pt>
                      <c:pt idx="15">
                        <c:v>-8.1361455917358398</c:v>
                      </c:pt>
                      <c:pt idx="16">
                        <c:v>-7.9009933471679688</c:v>
                      </c:pt>
                      <c:pt idx="17">
                        <c:v>-7.6658415794372559</c:v>
                      </c:pt>
                      <c:pt idx="18">
                        <c:v>-7.4306893348693848</c:v>
                      </c:pt>
                      <c:pt idx="19">
                        <c:v>-7.1955370903015137</c:v>
                      </c:pt>
                      <c:pt idx="20">
                        <c:v>-6.9603848457336426</c:v>
                      </c:pt>
                      <c:pt idx="21">
                        <c:v>-6.8621735572814941</c:v>
                      </c:pt>
                      <c:pt idx="22">
                        <c:v>-6.8851180076599121</c:v>
                      </c:pt>
                      <c:pt idx="23">
                        <c:v>-6.9083971977233887</c:v>
                      </c:pt>
                      <c:pt idx="24">
                        <c:v>-6.9385867118835449</c:v>
                      </c:pt>
                      <c:pt idx="25">
                        <c:v>-6.9687762260437012</c:v>
                      </c:pt>
                      <c:pt idx="26">
                        <c:v>-7.0000967979431152</c:v>
                      </c:pt>
                      <c:pt idx="27">
                        <c:v>-7.0322990417480469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AC3-42A3-9B4F-1399491F3B7E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Answ!$B$12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Answ!$C$12:$CO$12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-63.572433471679688</c:v>
                      </c:pt>
                      <c:pt idx="1">
                        <c:v>-63.984081268310547</c:v>
                      </c:pt>
                      <c:pt idx="2">
                        <c:v>-60.431198120117188</c:v>
                      </c:pt>
                      <c:pt idx="3">
                        <c:v>-56.878307342529297</c:v>
                      </c:pt>
                      <c:pt idx="4">
                        <c:v>-53.882858276367188</c:v>
                      </c:pt>
                      <c:pt idx="5">
                        <c:v>-50.940372467041016</c:v>
                      </c:pt>
                      <c:pt idx="6">
                        <c:v>-48.184360504150391</c:v>
                      </c:pt>
                      <c:pt idx="7">
                        <c:v>-45.676605224609375</c:v>
                      </c:pt>
                      <c:pt idx="8">
                        <c:v>-43.168857574462891</c:v>
                      </c:pt>
                      <c:pt idx="9">
                        <c:v>-40.991912841796875</c:v>
                      </c:pt>
                      <c:pt idx="10">
                        <c:v>-38.834362030029297</c:v>
                      </c:pt>
                      <c:pt idx="11">
                        <c:v>-37.269458770751953</c:v>
                      </c:pt>
                      <c:pt idx="12">
                        <c:v>-36.399345397949219</c:v>
                      </c:pt>
                      <c:pt idx="13">
                        <c:v>-35.52923583984375</c:v>
                      </c:pt>
                      <c:pt idx="14">
                        <c:v>-34.659122467041016</c:v>
                      </c:pt>
                      <c:pt idx="15">
                        <c:v>-33.789012908935547</c:v>
                      </c:pt>
                      <c:pt idx="16">
                        <c:v>-32.918899536132813</c:v>
                      </c:pt>
                      <c:pt idx="17">
                        <c:v>-32.048786163330078</c:v>
                      </c:pt>
                      <c:pt idx="18">
                        <c:v>-31.178674697875977</c:v>
                      </c:pt>
                      <c:pt idx="19">
                        <c:v>-30.308561325073242</c:v>
                      </c:pt>
                      <c:pt idx="20">
                        <c:v>-29.438449859619141</c:v>
                      </c:pt>
                      <c:pt idx="21">
                        <c:v>-29.307643890380859</c:v>
                      </c:pt>
                      <c:pt idx="22">
                        <c:v>-29.8309326171875</c:v>
                      </c:pt>
                      <c:pt idx="23">
                        <c:v>-30.353847503662109</c:v>
                      </c:pt>
                      <c:pt idx="24">
                        <c:v>-30.869083404541016</c:v>
                      </c:pt>
                      <c:pt idx="25">
                        <c:v>-31.384317398071289</c:v>
                      </c:pt>
                      <c:pt idx="26">
                        <c:v>-31.892766952514648</c:v>
                      </c:pt>
                      <c:pt idx="27">
                        <c:v>-32.395927429199219</c:v>
                      </c:pt>
                      <c:pt idx="28">
                        <c:v>-32.898151397705078</c:v>
                      </c:pt>
                      <c:pt idx="29">
                        <c:v>-33.389236450195313</c:v>
                      </c:pt>
                      <c:pt idx="30">
                        <c:v>-33.880321502685547</c:v>
                      </c:pt>
                      <c:pt idx="31">
                        <c:v>-34.348915100097656</c:v>
                      </c:pt>
                      <c:pt idx="32">
                        <c:v>-34.802101135253906</c:v>
                      </c:pt>
                      <c:pt idx="33">
                        <c:v>-35.255283355712891</c:v>
                      </c:pt>
                      <c:pt idx="34">
                        <c:v>-35.708465576171875</c:v>
                      </c:pt>
                      <c:pt idx="35">
                        <c:v>-36.161651611328125</c:v>
                      </c:pt>
                      <c:pt idx="36">
                        <c:v>-36.614833831787109</c:v>
                      </c:pt>
                      <c:pt idx="37">
                        <c:v>-37.068016052246094</c:v>
                      </c:pt>
                      <c:pt idx="38">
                        <c:v>-37.521202087402344</c:v>
                      </c:pt>
                      <c:pt idx="39">
                        <c:v>-37.974384307861328</c:v>
                      </c:pt>
                      <c:pt idx="40">
                        <c:v>-38.427566528320313</c:v>
                      </c:pt>
                      <c:pt idx="41">
                        <c:v>-38.831962585449219</c:v>
                      </c:pt>
                      <c:pt idx="42">
                        <c:v>-39.211631774902344</c:v>
                      </c:pt>
                      <c:pt idx="43">
                        <c:v>-39.591297149658203</c:v>
                      </c:pt>
                      <c:pt idx="44">
                        <c:v>-39.970962524414063</c:v>
                      </c:pt>
                      <c:pt idx="45">
                        <c:v>-40.350631713867188</c:v>
                      </c:pt>
                      <c:pt idx="46">
                        <c:v>-40.730297088623047</c:v>
                      </c:pt>
                      <c:pt idx="47">
                        <c:v>-41.109962463378906</c:v>
                      </c:pt>
                      <c:pt idx="48">
                        <c:v>-41.489627838134766</c:v>
                      </c:pt>
                      <c:pt idx="49">
                        <c:v>-41.869297027587891</c:v>
                      </c:pt>
                      <c:pt idx="50">
                        <c:v>-42.24896240234375</c:v>
                      </c:pt>
                      <c:pt idx="51">
                        <c:v>-42.564815521240234</c:v>
                      </c:pt>
                      <c:pt idx="52">
                        <c:v>-42.857521057128906</c:v>
                      </c:pt>
                      <c:pt idx="53">
                        <c:v>-43.150234222412109</c:v>
                      </c:pt>
                      <c:pt idx="54">
                        <c:v>-43.442943572998047</c:v>
                      </c:pt>
                      <c:pt idx="55">
                        <c:v>-43.735652923583984</c:v>
                      </c:pt>
                      <c:pt idx="56">
                        <c:v>-44.028362274169922</c:v>
                      </c:pt>
                      <c:pt idx="57">
                        <c:v>-44.321071624755859</c:v>
                      </c:pt>
                      <c:pt idx="58">
                        <c:v>-44.613780975341797</c:v>
                      </c:pt>
                      <c:pt idx="59">
                        <c:v>-44.906490325927734</c:v>
                      </c:pt>
                      <c:pt idx="60">
                        <c:v>-45.199199676513672</c:v>
                      </c:pt>
                      <c:pt idx="61">
                        <c:v>-45.436275482177734</c:v>
                      </c:pt>
                      <c:pt idx="62">
                        <c:v>-45.661666870117188</c:v>
                      </c:pt>
                      <c:pt idx="63">
                        <c:v>-45.881816864013672</c:v>
                      </c:pt>
                      <c:pt idx="64">
                        <c:v>-46.089595794677734</c:v>
                      </c:pt>
                      <c:pt idx="65">
                        <c:v>-46.297374725341797</c:v>
                      </c:pt>
                      <c:pt idx="66">
                        <c:v>-46.479999542236328</c:v>
                      </c:pt>
                      <c:pt idx="67">
                        <c:v>-46.657939910888672</c:v>
                      </c:pt>
                      <c:pt idx="68">
                        <c:v>-46.828617095947266</c:v>
                      </c:pt>
                      <c:pt idx="69">
                        <c:v>-46.983432769775391</c:v>
                      </c:pt>
                      <c:pt idx="70">
                        <c:v>-47.138248443603516</c:v>
                      </c:pt>
                      <c:pt idx="71">
                        <c:v>-47.234718322753906</c:v>
                      </c:pt>
                      <c:pt idx="72">
                        <c:v>-47.3216552734375</c:v>
                      </c:pt>
                      <c:pt idx="73">
                        <c:v>-47.408588409423828</c:v>
                      </c:pt>
                      <c:pt idx="74">
                        <c:v>-47.495521545410156</c:v>
                      </c:pt>
                      <c:pt idx="75">
                        <c:v>-47.582454681396484</c:v>
                      </c:pt>
                      <c:pt idx="76">
                        <c:v>-47.669391632080078</c:v>
                      </c:pt>
                      <c:pt idx="77">
                        <c:v>-47.756324768066406</c:v>
                      </c:pt>
                      <c:pt idx="78">
                        <c:v>-47.843257904052734</c:v>
                      </c:pt>
                      <c:pt idx="79">
                        <c:v>-47.930191040039063</c:v>
                      </c:pt>
                      <c:pt idx="80">
                        <c:v>-48.017127990722656</c:v>
                      </c:pt>
                      <c:pt idx="81">
                        <c:v>-47.995746612548828</c:v>
                      </c:pt>
                      <c:pt idx="82">
                        <c:v>-47.970664978027344</c:v>
                      </c:pt>
                      <c:pt idx="83">
                        <c:v>-47.945579528808594</c:v>
                      </c:pt>
                      <c:pt idx="84">
                        <c:v>-47.920497894287109</c:v>
                      </c:pt>
                      <c:pt idx="85">
                        <c:v>-47.895416259765625</c:v>
                      </c:pt>
                      <c:pt idx="86">
                        <c:v>-47.870330810546875</c:v>
                      </c:pt>
                      <c:pt idx="87">
                        <c:v>-47.845249176025391</c:v>
                      </c:pt>
                      <c:pt idx="88">
                        <c:v>-47.820167541503906</c:v>
                      </c:pt>
                      <c:pt idx="89">
                        <c:v>-47.795082092285156</c:v>
                      </c:pt>
                      <c:pt idx="90">
                        <c:v>-47.770000457763672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AC3-42A3-9B4F-1399491F3B7E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Answ!$B$13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Answ!$C$13:$CO$13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-18.973506927490234</c:v>
                      </c:pt>
                      <c:pt idx="1">
                        <c:v>-19.569847106933594</c:v>
                      </c:pt>
                      <c:pt idx="2">
                        <c:v>-19.7232666015625</c:v>
                      </c:pt>
                      <c:pt idx="3">
                        <c:v>-19.876686096191406</c:v>
                      </c:pt>
                      <c:pt idx="4">
                        <c:v>-20.051742553710938</c:v>
                      </c:pt>
                      <c:pt idx="5">
                        <c:v>-20.228855133056641</c:v>
                      </c:pt>
                      <c:pt idx="6">
                        <c:v>-20.412874221801758</c:v>
                      </c:pt>
                      <c:pt idx="7">
                        <c:v>-20.606086730957031</c:v>
                      </c:pt>
                      <c:pt idx="8">
                        <c:v>-20.799301147460938</c:v>
                      </c:pt>
                      <c:pt idx="9">
                        <c:v>-21.003921508789063</c:v>
                      </c:pt>
                      <c:pt idx="10">
                        <c:v>-21.209211349487305</c:v>
                      </c:pt>
                      <c:pt idx="11">
                        <c:v>-21.412252426147461</c:v>
                      </c:pt>
                      <c:pt idx="12">
                        <c:v>-21.612661361694336</c:v>
                      </c:pt>
                      <c:pt idx="13">
                        <c:v>-21.813068389892578</c:v>
                      </c:pt>
                      <c:pt idx="14">
                        <c:v>-22.013477325439453</c:v>
                      </c:pt>
                      <c:pt idx="15">
                        <c:v>-22.213884353637695</c:v>
                      </c:pt>
                      <c:pt idx="16">
                        <c:v>-22.41429328918457</c:v>
                      </c:pt>
                      <c:pt idx="17">
                        <c:v>-22.614700317382813</c:v>
                      </c:pt>
                      <c:pt idx="18">
                        <c:v>-22.815107345581055</c:v>
                      </c:pt>
                      <c:pt idx="19">
                        <c:v>-23.01551628112793</c:v>
                      </c:pt>
                      <c:pt idx="20">
                        <c:v>-23.215923309326172</c:v>
                      </c:pt>
                      <c:pt idx="21">
                        <c:v>-23.414649963378906</c:v>
                      </c:pt>
                      <c:pt idx="22">
                        <c:v>-23.611888885498047</c:v>
                      </c:pt>
                      <c:pt idx="23">
                        <c:v>-23.809127807617188</c:v>
                      </c:pt>
                      <c:pt idx="24">
                        <c:v>-24.006368637084961</c:v>
                      </c:pt>
                      <c:pt idx="25">
                        <c:v>-24.203605651855469</c:v>
                      </c:pt>
                      <c:pt idx="26">
                        <c:v>-24.398582458496094</c:v>
                      </c:pt>
                      <c:pt idx="27">
                        <c:v>-24.591796875</c:v>
                      </c:pt>
                      <c:pt idx="28">
                        <c:v>-24.784698486328125</c:v>
                      </c:pt>
                      <c:pt idx="29">
                        <c:v>-24.973886489868164</c:v>
                      </c:pt>
                      <c:pt idx="30">
                        <c:v>-25.16307258605957</c:v>
                      </c:pt>
                      <c:pt idx="31">
                        <c:v>-25.348760604858398</c:v>
                      </c:pt>
                      <c:pt idx="32">
                        <c:v>-25.532049179077148</c:v>
                      </c:pt>
                      <c:pt idx="33">
                        <c:v>-25.715335845947266</c:v>
                      </c:pt>
                      <c:pt idx="34">
                        <c:v>-25.898622512817383</c:v>
                      </c:pt>
                      <c:pt idx="35">
                        <c:v>-26.081911087036133</c:v>
                      </c:pt>
                      <c:pt idx="36">
                        <c:v>-26.26519775390625</c:v>
                      </c:pt>
                      <c:pt idx="37">
                        <c:v>-26.448486328125</c:v>
                      </c:pt>
                      <c:pt idx="38">
                        <c:v>-26.631772994995117</c:v>
                      </c:pt>
                      <c:pt idx="39">
                        <c:v>-26.815059661865234</c:v>
                      </c:pt>
                      <c:pt idx="40">
                        <c:v>-26.998348236083984</c:v>
                      </c:pt>
                      <c:pt idx="41">
                        <c:v>-27.174953460693359</c:v>
                      </c:pt>
                      <c:pt idx="42">
                        <c:v>-27.348169326782227</c:v>
                      </c:pt>
                      <c:pt idx="43">
                        <c:v>-27.521387100219727</c:v>
                      </c:pt>
                      <c:pt idx="44">
                        <c:v>-27.694602966308594</c:v>
                      </c:pt>
                      <c:pt idx="45">
                        <c:v>-27.867820739746094</c:v>
                      </c:pt>
                      <c:pt idx="46">
                        <c:v>-28.041036605834961</c:v>
                      </c:pt>
                      <c:pt idx="47">
                        <c:v>-28.214254379272461</c:v>
                      </c:pt>
                      <c:pt idx="48">
                        <c:v>-28.387470245361328</c:v>
                      </c:pt>
                      <c:pt idx="49">
                        <c:v>-28.560688018798828</c:v>
                      </c:pt>
                      <c:pt idx="50">
                        <c:v>-28.733905792236328</c:v>
                      </c:pt>
                      <c:pt idx="51">
                        <c:v>-28.900741577148438</c:v>
                      </c:pt>
                      <c:pt idx="52">
                        <c:v>-29.065263748168945</c:v>
                      </c:pt>
                      <c:pt idx="53">
                        <c:v>-29.229785919189453</c:v>
                      </c:pt>
                      <c:pt idx="54">
                        <c:v>-29.394309997558594</c:v>
                      </c:pt>
                      <c:pt idx="55">
                        <c:v>-29.558832168579102</c:v>
                      </c:pt>
                      <c:pt idx="56">
                        <c:v>-29.723356246948242</c:v>
                      </c:pt>
                      <c:pt idx="57">
                        <c:v>-29.88787841796875</c:v>
                      </c:pt>
                      <c:pt idx="58">
                        <c:v>-30.052400588989258</c:v>
                      </c:pt>
                      <c:pt idx="59">
                        <c:v>-30.216922760009766</c:v>
                      </c:pt>
                      <c:pt idx="60">
                        <c:v>-30.381444931030273</c:v>
                      </c:pt>
                      <c:pt idx="61">
                        <c:v>-30.540718078613281</c:v>
                      </c:pt>
                      <c:pt idx="62">
                        <c:v>-30.698888778686523</c:v>
                      </c:pt>
                      <c:pt idx="63">
                        <c:v>-30.857273101806641</c:v>
                      </c:pt>
                      <c:pt idx="64">
                        <c:v>-31.016162872314453</c:v>
                      </c:pt>
                      <c:pt idx="65">
                        <c:v>-31.175050735473633</c:v>
                      </c:pt>
                      <c:pt idx="66">
                        <c:v>-31.330001831054688</c:v>
                      </c:pt>
                      <c:pt idx="67">
                        <c:v>-31.484216690063477</c:v>
                      </c:pt>
                      <c:pt idx="68">
                        <c:v>-31.639898300170898</c:v>
                      </c:pt>
                      <c:pt idx="69">
                        <c:v>-31.798788070678711</c:v>
                      </c:pt>
                      <c:pt idx="70">
                        <c:v>-31.957675933837891</c:v>
                      </c:pt>
                      <c:pt idx="71">
                        <c:v>-32.112064361572266</c:v>
                      </c:pt>
                      <c:pt idx="72">
                        <c:v>-32.265712738037109</c:v>
                      </c:pt>
                      <c:pt idx="73">
                        <c:v>-32.419364929199219</c:v>
                      </c:pt>
                      <c:pt idx="74">
                        <c:v>-32.573017120361328</c:v>
                      </c:pt>
                      <c:pt idx="75">
                        <c:v>-32.726665496826172</c:v>
                      </c:pt>
                      <c:pt idx="76">
                        <c:v>-32.880317687988281</c:v>
                      </c:pt>
                      <c:pt idx="77">
                        <c:v>-33.033966064453125</c:v>
                      </c:pt>
                      <c:pt idx="78">
                        <c:v>-33.187618255615234</c:v>
                      </c:pt>
                      <c:pt idx="79">
                        <c:v>-33.341270446777344</c:v>
                      </c:pt>
                      <c:pt idx="80">
                        <c:v>-33.494918823242188</c:v>
                      </c:pt>
                      <c:pt idx="81">
                        <c:v>-33.645523071289063</c:v>
                      </c:pt>
                      <c:pt idx="82">
                        <c:v>-33.7960205078125</c:v>
                      </c:pt>
                      <c:pt idx="83">
                        <c:v>-33.946517944335938</c:v>
                      </c:pt>
                      <c:pt idx="84">
                        <c:v>-34.097015380859375</c:v>
                      </c:pt>
                      <c:pt idx="85">
                        <c:v>-34.247512817382813</c:v>
                      </c:pt>
                      <c:pt idx="86">
                        <c:v>-34.39801025390625</c:v>
                      </c:pt>
                      <c:pt idx="87">
                        <c:v>-34.548507690429688</c:v>
                      </c:pt>
                      <c:pt idx="88">
                        <c:v>-34.699005126953125</c:v>
                      </c:pt>
                      <c:pt idx="89">
                        <c:v>-34.849502563476563</c:v>
                      </c:pt>
                      <c:pt idx="90">
                        <c:v>-35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AC3-42A3-9B4F-1399491F3B7E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</a:t>
                </a:r>
                <a:r>
                  <a:rPr lang="en-US" sz="1800" baseline="0"/>
                  <a:t>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46467704275819022"/>
              <c:y val="0.916695105375207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48"/>
          <c:min val="-8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2.4357143036991336E-4"/>
              <c:y val="0.104313600263522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36</xdr:row>
      <xdr:rowOff>22410</xdr:rowOff>
    </xdr:from>
    <xdr:to>
      <xdr:col>30</xdr:col>
      <xdr:colOff>784412</xdr:colOff>
      <xdr:row>45</xdr:row>
      <xdr:rowOff>17317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44823</xdr:colOff>
      <xdr:row>1</xdr:row>
      <xdr:rowOff>33617</xdr:rowOff>
    </xdr:from>
    <xdr:to>
      <xdr:col>34</xdr:col>
      <xdr:colOff>482413</xdr:colOff>
      <xdr:row>22</xdr:row>
      <xdr:rowOff>4482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114</xdr:row>
      <xdr:rowOff>44823</xdr:rowOff>
    </xdr:from>
    <xdr:to>
      <xdr:col>33</xdr:col>
      <xdr:colOff>712303</xdr:colOff>
      <xdr:row>134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896469</xdr:colOff>
      <xdr:row>1</xdr:row>
      <xdr:rowOff>56029</xdr:rowOff>
    </xdr:from>
    <xdr:to>
      <xdr:col>44</xdr:col>
      <xdr:colOff>864890</xdr:colOff>
      <xdr:row>22</xdr:row>
      <xdr:rowOff>62956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46</xdr:col>
      <xdr:colOff>788495</xdr:colOff>
      <xdr:row>16</xdr:row>
      <xdr:rowOff>12407</xdr:rowOff>
    </xdr:from>
    <xdr:to>
      <xdr:col>47</xdr:col>
      <xdr:colOff>594775</xdr:colOff>
      <xdr:row>17</xdr:row>
      <xdr:rowOff>98387</xdr:rowOff>
    </xdr:to>
    <xdr:sp macro="" textlink="">
      <xdr:nvSpPr>
        <xdr:cNvPr id="15" name="TextBox 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30439820" y="5127332"/>
          <a:ext cx="720680" cy="352680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>
              <a:solidFill>
                <a:schemeClr val="bg2">
                  <a:lumMod val="50000"/>
                </a:schemeClr>
              </a:solidFill>
            </a:rPr>
            <a:t>Ge</a:t>
          </a:r>
          <a:endParaRPr lang="ru-RU" sz="1800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36</xdr:col>
      <xdr:colOff>400932</xdr:colOff>
      <xdr:row>14</xdr:row>
      <xdr:rowOff>227959</xdr:rowOff>
    </xdr:from>
    <xdr:to>
      <xdr:col>37</xdr:col>
      <xdr:colOff>495059</xdr:colOff>
      <xdr:row>16</xdr:row>
      <xdr:rowOff>41797</xdr:rowOff>
    </xdr:to>
    <xdr:sp macro="" textlink="">
      <xdr:nvSpPr>
        <xdr:cNvPr id="16" name="TextBox 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8464814" y="4833577"/>
          <a:ext cx="1013010" cy="351720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>
              <a:solidFill>
                <a:schemeClr val="accent1">
                  <a:lumMod val="50000"/>
                </a:schemeClr>
              </a:solidFill>
            </a:rPr>
            <a:t>GeSe2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36</xdr:col>
      <xdr:colOff>245729</xdr:colOff>
      <xdr:row>1</xdr:row>
      <xdr:rowOff>44824</xdr:rowOff>
    </xdr:from>
    <xdr:to>
      <xdr:col>38</xdr:col>
      <xdr:colOff>88860</xdr:colOff>
      <xdr:row>2</xdr:row>
      <xdr:rowOff>130747</xdr:rowOff>
    </xdr:to>
    <xdr:sp macro="" textlink="">
      <xdr:nvSpPr>
        <xdr:cNvPr id="17" name="TextBox 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8309611" y="1154206"/>
          <a:ext cx="1680896" cy="354865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0</xdr:colOff>
      <xdr:row>1</xdr:row>
      <xdr:rowOff>0</xdr:rowOff>
    </xdr:from>
    <xdr:to>
      <xdr:col>65</xdr:col>
      <xdr:colOff>2039</xdr:colOff>
      <xdr:row>22</xdr:row>
      <xdr:rowOff>6927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0.8392</cdr:x>
      <cdr:y>0.0695</cdr:y>
    </cdr:from>
    <cdr:to>
      <cdr:x>0.89315</cdr:x>
      <cdr:y>0.13267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0AA828A-7F08-4225-983F-D93740610558}"/>
            </a:ext>
          </a:extLst>
        </cdr:cNvPr>
        <cdr:cNvSpPr txBox="1"/>
      </cdr:nvSpPr>
      <cdr:spPr>
        <a:xfrm xmlns:a="http://schemas.openxmlformats.org/drawingml/2006/main">
          <a:off x="7705165" y="387724"/>
          <a:ext cx="49530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Ar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0.16841</cdr:x>
      <cdr:y>0.03301</cdr:y>
    </cdr:from>
    <cdr:to>
      <cdr:x>0.35058</cdr:x>
      <cdr:y>0.09618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546225" y="184150"/>
          <a:ext cx="167266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0.27712</cdr:x>
      <cdr:y>0.7865</cdr:y>
    </cdr:from>
    <cdr:to>
      <cdr:x>0.39192</cdr:x>
      <cdr:y>0.84968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09D34E-BB58-4A22-B1F0-791DDCD662F8}"/>
            </a:ext>
          </a:extLst>
        </cdr:cNvPr>
        <cdr:cNvSpPr txBox="1"/>
      </cdr:nvSpPr>
      <cdr:spPr>
        <a:xfrm xmlns:a="http://schemas.openxmlformats.org/drawingml/2006/main">
          <a:off x="2413013" y="4419056"/>
          <a:ext cx="999625" cy="3549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50000"/>
                </a:schemeClr>
              </a:solidFill>
            </a:rPr>
            <a:t>Ge2Se3</a:t>
          </a:r>
          <a:endParaRPr lang="ru-RU" sz="1800">
            <a:solidFill>
              <a:schemeClr val="accent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0.8392</cdr:x>
      <cdr:y>0.0695</cdr:y>
    </cdr:from>
    <cdr:to>
      <cdr:x>0.89315</cdr:x>
      <cdr:y>0.13267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E0AA828A-7F08-4225-983F-D93740610558}"/>
            </a:ext>
          </a:extLst>
        </cdr:cNvPr>
        <cdr:cNvSpPr txBox="1"/>
      </cdr:nvSpPr>
      <cdr:spPr>
        <a:xfrm xmlns:a="http://schemas.openxmlformats.org/drawingml/2006/main">
          <a:off x="7705165" y="387724"/>
          <a:ext cx="49530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Ar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0.12185</cdr:x>
      <cdr:y>0.02104</cdr:y>
    </cdr:from>
    <cdr:to>
      <cdr:x>0.30402</cdr:x>
      <cdr:y>0.08421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061043" y="118229"/>
          <a:ext cx="1586251" cy="3549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0.21929</cdr:x>
      <cdr:y>0.00729</cdr:y>
    </cdr:from>
    <cdr:to>
      <cdr:x>0.405</cdr:x>
      <cdr:y>0.07097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9AD86A8-C24F-4764-A377-42840C1D170B}"/>
            </a:ext>
          </a:extLst>
        </cdr:cNvPr>
        <cdr:cNvSpPr txBox="1"/>
      </cdr:nvSpPr>
      <cdr:spPr>
        <a:xfrm xmlns:a="http://schemas.openxmlformats.org/drawingml/2006/main">
          <a:off x="1989417" y="39594"/>
          <a:ext cx="1684727" cy="34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0.57751</cdr:x>
      <cdr:y>0.55417</cdr:y>
    </cdr:from>
    <cdr:to>
      <cdr:x>0.8121</cdr:x>
      <cdr:y>0.61784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58FF3F0-C1DC-483B-9E08-5A71BE557195}"/>
            </a:ext>
          </a:extLst>
        </cdr:cNvPr>
        <cdr:cNvSpPr txBox="1"/>
      </cdr:nvSpPr>
      <cdr:spPr>
        <a:xfrm xmlns:a="http://schemas.openxmlformats.org/drawingml/2006/main">
          <a:off x="5239124" y="3009153"/>
          <a:ext cx="2128185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B050"/>
              </a:solidFill>
            </a:rPr>
            <a:t>Энергия</a:t>
          </a:r>
          <a:r>
            <a:rPr lang="ru-RU" sz="1800" baseline="0">
              <a:solidFill>
                <a:srgbClr val="00B050"/>
              </a:solidFill>
            </a:rPr>
            <a:t> Гиббса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0.3527</cdr:x>
      <cdr:y>0.18064</cdr:y>
    </cdr:from>
    <cdr:to>
      <cdr:x>0.74484</cdr:x>
      <cdr:y>0.24431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7B4B4E2-B50F-45A4-BCF0-B18F73D240E5}"/>
            </a:ext>
          </a:extLst>
        </cdr:cNvPr>
        <cdr:cNvSpPr txBox="1"/>
      </cdr:nvSpPr>
      <cdr:spPr>
        <a:xfrm xmlns:a="http://schemas.openxmlformats.org/drawingml/2006/main">
          <a:off x="3199654" y="980887"/>
          <a:ext cx="355749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chemeClr val="accent4">
                  <a:lumMod val="75000"/>
                </a:schemeClr>
              </a:solidFill>
            </a:rPr>
            <a:t>Раствор + газовая ф. без </a:t>
          </a:r>
          <a:r>
            <a:rPr lang="en-US" sz="1800">
              <a:solidFill>
                <a:schemeClr val="accent4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0.27982</cdr:x>
      <cdr:y>0.09603</cdr:y>
    </cdr:from>
    <cdr:to>
      <cdr:x>0.67197</cdr:x>
      <cdr:y>0.15969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475B31D-6F76-4227-B5CE-AE03DC824A73}"/>
            </a:ext>
          </a:extLst>
        </cdr:cNvPr>
        <cdr:cNvSpPr txBox="1"/>
      </cdr:nvSpPr>
      <cdr:spPr>
        <a:xfrm xmlns:a="http://schemas.openxmlformats.org/drawingml/2006/main">
          <a:off x="2538506" y="521447"/>
          <a:ext cx="355749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70C0"/>
              </a:solidFill>
            </a:rPr>
            <a:t>Раствор 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0.32402</cdr:x>
      <cdr:y>0.82516</cdr:y>
    </cdr:from>
    <cdr:to>
      <cdr:x>0.44877</cdr:x>
      <cdr:y>0.88793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3259788" y="4627182"/>
          <a:ext cx="1255062" cy="351990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Ga2Se3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0.51004</cdr:x>
      <cdr:y>0.68446</cdr:y>
    </cdr:from>
    <cdr:to>
      <cdr:x>0.61024</cdr:x>
      <cdr:y>0.74722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4670585" y="3870427"/>
          <a:ext cx="917556" cy="354888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3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3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0.27671</cdr:x>
      <cdr:y>0.12392</cdr:y>
    </cdr:from>
    <cdr:to>
      <cdr:x>0.35703</cdr:x>
      <cdr:y>0.18668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2533906" y="700751"/>
          <a:ext cx="735510" cy="354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0.25886</cdr:x>
      <cdr:y>0.66096</cdr:y>
    </cdr:from>
    <cdr:to>
      <cdr:x>0.36948</cdr:x>
      <cdr:y>0.72316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10000000}"/>
            </a:ext>
          </a:extLst>
        </cdr:cNvPr>
        <cdr:cNvSpPr txBox="1"/>
      </cdr:nvSpPr>
      <cdr:spPr>
        <a:xfrm xmlns:a="http://schemas.openxmlformats.org/drawingml/2006/main">
          <a:off x="2370418" y="3737536"/>
          <a:ext cx="1013010" cy="351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GeSe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0.51584</cdr:x>
      <cdr:y>0.77986</cdr:y>
    </cdr:from>
    <cdr:to>
      <cdr:x>0.61604</cdr:x>
      <cdr:y>0.84262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84E4F0C4-F023-4DDE-A536-E134CF1609B4}"/>
            </a:ext>
          </a:extLst>
        </cdr:cNvPr>
        <cdr:cNvSpPr txBox="1"/>
      </cdr:nvSpPr>
      <cdr:spPr>
        <a:xfrm xmlns:a="http://schemas.openxmlformats.org/drawingml/2006/main">
          <a:off x="4723653" y="4409888"/>
          <a:ext cx="917556" cy="354888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0.6213</cdr:x>
      <cdr:y>0.71645</cdr:y>
    </cdr:from>
    <cdr:to>
      <cdr:x>0.7215</cdr:x>
      <cdr:y>0.77922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6295088" y="4051281"/>
          <a:ext cx="1015243" cy="354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25000"/>
                </a:schemeClr>
              </a:solidFill>
            </a:rPr>
            <a:t>Ge</a:t>
          </a:r>
          <a:endParaRPr lang="ru-RU" sz="1800">
            <a:solidFill>
              <a:schemeClr val="bg2">
                <a:lumMod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0.567</cdr:x>
      <cdr:y>0.46874</cdr:y>
    </cdr:from>
    <cdr:to>
      <cdr:x>0.6672</cdr:x>
      <cdr:y>0.5315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5732182" y="2650565"/>
          <a:ext cx="1013011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0.48719</cdr:x>
      <cdr:y>0.08429</cdr:y>
    </cdr:from>
    <cdr:to>
      <cdr:x>0.56751</cdr:x>
      <cdr:y>0.14705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4925358" y="476624"/>
          <a:ext cx="812053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0.17046</cdr:x>
      <cdr:y>0.00198</cdr:y>
    </cdr:from>
    <cdr:to>
      <cdr:x>0.33732</cdr:x>
      <cdr:y>0.06456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11000000}"/>
            </a:ext>
          </a:extLst>
        </cdr:cNvPr>
        <cdr:cNvSpPr txBox="1"/>
      </cdr:nvSpPr>
      <cdr:spPr>
        <a:xfrm xmlns:a="http://schemas.openxmlformats.org/drawingml/2006/main">
          <a:off x="1727176" y="11206"/>
          <a:ext cx="169065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0.26574</cdr:x>
      <cdr:y>0.72982</cdr:y>
    </cdr:from>
    <cdr:to>
      <cdr:x>0.33738</cdr:x>
      <cdr:y>0.79271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F000000}"/>
            </a:ext>
          </a:extLst>
        </cdr:cNvPr>
        <cdr:cNvSpPr txBox="1"/>
      </cdr:nvSpPr>
      <cdr:spPr>
        <a:xfrm xmlns:a="http://schemas.openxmlformats.org/drawingml/2006/main">
          <a:off x="2692557" y="4126924"/>
          <a:ext cx="725867" cy="355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GeSe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0.36998</cdr:x>
      <cdr:y>0.7105</cdr:y>
    </cdr:from>
    <cdr:to>
      <cdr:x>0.49446</cdr:x>
      <cdr:y>0.77327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4BFA27EF-5F04-45A6-8CD2-B552FA602984}"/>
            </a:ext>
          </a:extLst>
        </cdr:cNvPr>
        <cdr:cNvSpPr txBox="1"/>
      </cdr:nvSpPr>
      <cdr:spPr>
        <a:xfrm xmlns:a="http://schemas.openxmlformats.org/drawingml/2006/main">
          <a:off x="3748741" y="4017683"/>
          <a:ext cx="1261191" cy="354945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Ga2Se2</a:t>
          </a:r>
          <a:endParaRPr lang="ru-RU" sz="1800">
            <a:solidFill>
              <a:srgbClr val="FF0000"/>
            </a:solidFill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265920</xdr:colOff>
      <xdr:row>34</xdr:row>
      <xdr:rowOff>244928</xdr:rowOff>
    </xdr:from>
    <xdr:to>
      <xdr:col>24</xdr:col>
      <xdr:colOff>460241</xdr:colOff>
      <xdr:row>43</xdr:row>
      <xdr:rowOff>262246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299357</xdr:colOff>
      <xdr:row>0</xdr:row>
      <xdr:rowOff>1072243</xdr:rowOff>
    </xdr:from>
    <xdr:to>
      <xdr:col>27</xdr:col>
      <xdr:colOff>573974</xdr:colOff>
      <xdr:row>21</xdr:row>
      <xdr:rowOff>195943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1</xdr:row>
      <xdr:rowOff>0</xdr:rowOff>
    </xdr:from>
    <xdr:to>
      <xdr:col>37</xdr:col>
      <xdr:colOff>760268</xdr:colOff>
      <xdr:row>21</xdr:row>
      <xdr:rowOff>238125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842282</xdr:colOff>
      <xdr:row>0</xdr:row>
      <xdr:rowOff>1092654</xdr:rowOff>
    </xdr:from>
    <xdr:to>
      <xdr:col>47</xdr:col>
      <xdr:colOff>397330</xdr:colOff>
      <xdr:row>21</xdr:row>
      <xdr:rowOff>255938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139782</xdr:colOff>
      <xdr:row>112</xdr:row>
      <xdr:rowOff>17319</xdr:rowOff>
    </xdr:from>
    <xdr:to>
      <xdr:col>30</xdr:col>
      <xdr:colOff>103910</xdr:colOff>
      <xdr:row>135</xdr:row>
      <xdr:rowOff>173182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0.10579</cdr:x>
      <cdr:y>0.02621</cdr:y>
    </cdr:from>
    <cdr:to>
      <cdr:x>0.30233</cdr:x>
      <cdr:y>0.08782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902982" y="142255"/>
          <a:ext cx="1677545" cy="3343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0.65418</cdr:x>
      <cdr:y>0.76406</cdr:y>
    </cdr:from>
    <cdr:to>
      <cdr:x>0.85072</cdr:x>
      <cdr:y>0.82566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5589637" y="4287839"/>
          <a:ext cx="1679348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Se5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0.73021</cdr:x>
      <cdr:y>0.68153</cdr:y>
    </cdr:from>
    <cdr:to>
      <cdr:x>0.85103</cdr:x>
      <cdr:y>0.74314</cdr:y>
    </cdr:to>
    <cdr:sp macro="" textlink="">
      <cdr:nvSpPr>
        <cdr:cNvPr id="19" name="TextBox 1">
          <a:extLst xmlns:a="http://schemas.openxmlformats.org/drawingml/2006/main">
            <a:ext uri="{FF2B5EF4-FFF2-40B4-BE49-F238E27FC236}">
              <a16:creationId xmlns:a16="http://schemas.microsoft.com/office/drawing/2014/main" id="{59D20753-226E-481D-AFC1-800B6E36A22A}"/>
            </a:ext>
          </a:extLst>
        </cdr:cNvPr>
        <cdr:cNvSpPr txBox="1"/>
      </cdr:nvSpPr>
      <cdr:spPr>
        <a:xfrm xmlns:a="http://schemas.openxmlformats.org/drawingml/2006/main">
          <a:off x="6239341" y="3824662"/>
          <a:ext cx="1032354" cy="3457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0.76867</cdr:x>
      <cdr:y>0.33817</cdr:y>
    </cdr:from>
    <cdr:to>
      <cdr:x>0.82791</cdr:x>
      <cdr:y>0.39977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D6815BC0-FBFC-42A5-919D-28C694684411}"/>
            </a:ext>
          </a:extLst>
        </cdr:cNvPr>
        <cdr:cNvSpPr txBox="1"/>
      </cdr:nvSpPr>
      <cdr:spPr>
        <a:xfrm xmlns:a="http://schemas.openxmlformats.org/drawingml/2006/main">
          <a:off x="6567947" y="1897787"/>
          <a:ext cx="506168" cy="345693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Ar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0.63264</cdr:x>
      <cdr:y>0.26409</cdr:y>
    </cdr:from>
    <cdr:to>
      <cdr:x>0.72037</cdr:x>
      <cdr:y>0.32569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AF1B07FD-068F-4D59-A77F-C0AACE442BB3}"/>
            </a:ext>
          </a:extLst>
        </cdr:cNvPr>
        <cdr:cNvSpPr txBox="1"/>
      </cdr:nvSpPr>
      <cdr:spPr>
        <a:xfrm xmlns:a="http://schemas.openxmlformats.org/drawingml/2006/main">
          <a:off x="5405628" y="1482025"/>
          <a:ext cx="74960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Se2</a:t>
          </a:r>
          <a:endParaRPr lang="ru-RU" sz="1800">
            <a:solidFill>
              <a:srgbClr val="FF0000"/>
            </a:solidFill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0.10008</cdr:x>
      <cdr:y>0.02302</cdr:y>
    </cdr:from>
    <cdr:to>
      <cdr:x>0.29662</cdr:x>
      <cdr:y>0.08463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857784" y="125096"/>
          <a:ext cx="1684499" cy="3347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0.59505</cdr:x>
      <cdr:y>0.20345</cdr:y>
    </cdr:from>
    <cdr:to>
      <cdr:x>0.79159</cdr:x>
      <cdr:y>0.26505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5106736" y="1142772"/>
          <a:ext cx="1686702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Se5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0.17268</cdr:x>
      <cdr:y>0.75841</cdr:y>
    </cdr:from>
    <cdr:to>
      <cdr:x>0.36922</cdr:x>
      <cdr:y>0.82001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481929" y="4259951"/>
          <a:ext cx="1686701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Se7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0.7521</cdr:x>
      <cdr:y>0.75156</cdr:y>
    </cdr:from>
    <cdr:to>
      <cdr:x>0.94864</cdr:x>
      <cdr:y>0.81317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6454519" y="4221502"/>
          <a:ext cx="1686701" cy="346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Se4</a:t>
          </a:r>
          <a:endParaRPr lang="ru-RU" sz="1800">
            <a:solidFill>
              <a:srgbClr val="7030A0"/>
            </a:solidFill>
          </a:endParaRPr>
        </a:p>
      </cdr:txBody>
    </cdr:sp>
  </cdr:relSizeAnchor>
  <cdr:relSizeAnchor xmlns:cdr="http://schemas.openxmlformats.org/drawingml/2006/chartDrawing">
    <cdr:from>
      <cdr:x>0.58064</cdr:x>
      <cdr:y>0.60934</cdr:y>
    </cdr:from>
    <cdr:to>
      <cdr:x>0.6512</cdr:x>
      <cdr:y>0.67095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4983000" y="3422654"/>
          <a:ext cx="605545" cy="3460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Se3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0.35742</cdr:x>
      <cdr:y>0.68233</cdr:y>
    </cdr:from>
    <cdr:to>
      <cdr:x>0.42394</cdr:x>
      <cdr:y>0.74394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3067409" y="3832640"/>
          <a:ext cx="570873" cy="346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Se6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0.15347</cdr:x>
      <cdr:y>0.17862</cdr:y>
    </cdr:from>
    <cdr:to>
      <cdr:x>0.34978</cdr:x>
      <cdr:y>0.24016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176984C2-B813-4F11-8E94-36DD8D1E1CD0}"/>
            </a:ext>
          </a:extLst>
        </cdr:cNvPr>
        <cdr:cNvSpPr txBox="1"/>
      </cdr:nvSpPr>
      <cdr:spPr>
        <a:xfrm xmlns:a="http://schemas.openxmlformats.org/drawingml/2006/main">
          <a:off x="1317065" y="1003300"/>
          <a:ext cx="1684728" cy="3456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Se2</a:t>
          </a:r>
          <a:endParaRPr lang="ru-RU" sz="1800">
            <a:solidFill>
              <a:srgbClr val="FF0000"/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0.3282</cdr:x>
      <cdr:y>0.60026</cdr:y>
    </cdr:from>
    <cdr:to>
      <cdr:x>0.5213</cdr:x>
      <cdr:y>0.66155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2869779" y="3392365"/>
          <a:ext cx="1688441" cy="346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Ga[l]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0.59141</cdr:x>
      <cdr:y>0.38628</cdr:y>
    </cdr:from>
    <cdr:to>
      <cdr:x>0.78451</cdr:x>
      <cdr:y>0.44757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5171248" y="2183059"/>
          <a:ext cx="1688441" cy="346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Se[l]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0.52731</cdr:x>
      <cdr:y>0.7618</cdr:y>
    </cdr:from>
    <cdr:to>
      <cdr:x>0.61238</cdr:x>
      <cdr:y>0.82309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4610706" y="4305329"/>
          <a:ext cx="743841" cy="346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Ge[l]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0.11115</cdr:x>
      <cdr:y>0</cdr:y>
    </cdr:from>
    <cdr:to>
      <cdr:x>0.30513</cdr:x>
      <cdr:y>0.06318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970789" y="0"/>
          <a:ext cx="1694160" cy="3454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0.23047</cdr:x>
      <cdr:y>0.0141</cdr:y>
    </cdr:from>
    <cdr:to>
      <cdr:x>0.4024</cdr:x>
      <cdr:y>0.07186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B4AC295-671B-46BE-8E4C-4FEC78A8AFC4}"/>
            </a:ext>
          </a:extLst>
        </cdr:cNvPr>
        <cdr:cNvSpPr txBox="1"/>
      </cdr:nvSpPr>
      <cdr:spPr>
        <a:xfrm xmlns:a="http://schemas.openxmlformats.org/drawingml/2006/main">
          <a:off x="2258359" y="84417"/>
          <a:ext cx="1684727" cy="34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0.65245</cdr:x>
      <cdr:y>0.10021</cdr:y>
    </cdr:from>
    <cdr:to>
      <cdr:x>0.9028</cdr:x>
      <cdr:y>0.15796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6D6CE2F-324A-4369-B6AC-D699CFDF23C2}"/>
            </a:ext>
          </a:extLst>
        </cdr:cNvPr>
        <cdr:cNvSpPr txBox="1"/>
      </cdr:nvSpPr>
      <cdr:spPr>
        <a:xfrm xmlns:a="http://schemas.openxmlformats.org/drawingml/2006/main">
          <a:off x="6393329" y="599888"/>
          <a:ext cx="2453156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70C0"/>
              </a:solidFill>
            </a:rPr>
            <a:t>Раствор жидкий</a:t>
          </a:r>
        </a:p>
      </cdr:txBody>
    </cdr:sp>
  </cdr:relSizeAnchor>
  <cdr:relSizeAnchor xmlns:cdr="http://schemas.openxmlformats.org/drawingml/2006/chartDrawing">
    <cdr:from>
      <cdr:x>0.62272</cdr:x>
      <cdr:y>0.35105</cdr:y>
    </cdr:from>
    <cdr:to>
      <cdr:x>0.8399</cdr:x>
      <cdr:y>0.4088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9010BEB-85B3-4C2C-BB9A-8F53750A4D1A}"/>
            </a:ext>
          </a:extLst>
        </cdr:cNvPr>
        <cdr:cNvSpPr txBox="1"/>
      </cdr:nvSpPr>
      <cdr:spPr>
        <a:xfrm xmlns:a="http://schemas.openxmlformats.org/drawingml/2006/main">
          <a:off x="6101975" y="2101476"/>
          <a:ext cx="2128185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B050"/>
              </a:solidFill>
            </a:rPr>
            <a:t>Энергия</a:t>
          </a:r>
          <a:r>
            <a:rPr lang="ru-RU" sz="1800" baseline="0">
              <a:solidFill>
                <a:srgbClr val="00B050"/>
              </a:solidFill>
            </a:rPr>
            <a:t> Гиббса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0.51604</cdr:x>
      <cdr:y>0.60118</cdr:y>
    </cdr:from>
    <cdr:to>
      <cdr:x>0.87909</cdr:x>
      <cdr:y>0.65892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DB4C5C-C8A7-4841-BF86-4E9E78FAD4BC}"/>
            </a:ext>
          </a:extLst>
        </cdr:cNvPr>
        <cdr:cNvSpPr txBox="1"/>
      </cdr:nvSpPr>
      <cdr:spPr>
        <a:xfrm xmlns:a="http://schemas.openxmlformats.org/drawingml/2006/main">
          <a:off x="5671662" y="3812403"/>
          <a:ext cx="3990179" cy="3661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chemeClr val="accent4">
                  <a:lumMod val="75000"/>
                </a:schemeClr>
              </a:solidFill>
            </a:rPr>
            <a:t>Раствор + газовая ф. без </a:t>
          </a:r>
          <a:r>
            <a:rPr lang="en-US" sz="1800">
              <a:solidFill>
                <a:schemeClr val="accent4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35</xdr:row>
      <xdr:rowOff>0</xdr:rowOff>
    </xdr:from>
    <xdr:to>
      <xdr:col>34</xdr:col>
      <xdr:colOff>299357</xdr:colOff>
      <xdr:row>44</xdr:row>
      <xdr:rowOff>13607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30816</xdr:colOff>
      <xdr:row>0</xdr:row>
      <xdr:rowOff>1111783</xdr:rowOff>
    </xdr:from>
    <xdr:to>
      <xdr:col>36</xdr:col>
      <xdr:colOff>345222</xdr:colOff>
      <xdr:row>22</xdr:row>
      <xdr:rowOff>10405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113</xdr:row>
      <xdr:rowOff>190500</xdr:rowOff>
    </xdr:from>
    <xdr:to>
      <xdr:col>35</xdr:col>
      <xdr:colOff>687560</xdr:colOff>
      <xdr:row>123</xdr:row>
      <xdr:rowOff>145676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1</xdr:row>
      <xdr:rowOff>0</xdr:rowOff>
    </xdr:from>
    <xdr:to>
      <xdr:col>47</xdr:col>
      <xdr:colOff>177051</xdr:colOff>
      <xdr:row>21</xdr:row>
      <xdr:rowOff>237107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0.11198</cdr:x>
      <cdr:y>0.02086</cdr:y>
    </cdr:from>
    <cdr:to>
      <cdr:x>0.30884</cdr:x>
      <cdr:y>0.08339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961268" y="117958"/>
          <a:ext cx="1689914" cy="3536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0.79953</cdr:x>
      <cdr:y>0.06799</cdr:y>
    </cdr:from>
    <cdr:to>
      <cdr:x>0.86525</cdr:x>
      <cdr:y>0.12914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85FEC585-228C-42DF-B996-3F2D8FAB7B53}"/>
            </a:ext>
          </a:extLst>
        </cdr:cNvPr>
        <cdr:cNvSpPr txBox="1"/>
      </cdr:nvSpPr>
      <cdr:spPr>
        <a:xfrm xmlns:a="http://schemas.openxmlformats.org/drawingml/2006/main">
          <a:off x="6811571" y="389544"/>
          <a:ext cx="559899" cy="3503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0.28145</cdr:x>
      <cdr:y>0.67511</cdr:y>
    </cdr:from>
    <cdr:to>
      <cdr:x>0.47675</cdr:x>
      <cdr:y>0.73695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3DA50D82-0440-496A-B6E1-80F8F5E289B1}"/>
            </a:ext>
          </a:extLst>
        </cdr:cNvPr>
        <cdr:cNvSpPr txBox="1"/>
      </cdr:nvSpPr>
      <cdr:spPr>
        <a:xfrm xmlns:a="http://schemas.openxmlformats.org/drawingml/2006/main">
          <a:off x="2397817" y="3868001"/>
          <a:ext cx="1663861" cy="3543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Ga2Se3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0.15893</cdr:x>
      <cdr:y>0.80502</cdr:y>
    </cdr:from>
    <cdr:to>
      <cdr:x>0.23047</cdr:x>
      <cdr:y>0.86617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1361888" y="4555565"/>
          <a:ext cx="613066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0.30017</cdr:x>
      <cdr:y>0.10081</cdr:y>
    </cdr:from>
    <cdr:to>
      <cdr:x>0.40226</cdr:x>
      <cdr:y>0.16242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2684182" y="566270"/>
          <a:ext cx="912906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0.52959</cdr:x>
      <cdr:y>0.68329</cdr:y>
    </cdr:from>
    <cdr:to>
      <cdr:x>0.59815</cdr:x>
      <cdr:y>0.74489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4699444" y="3784059"/>
          <a:ext cx="608387" cy="341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0.46483</cdr:x>
      <cdr:y>0.768</cdr:y>
    </cdr:from>
    <cdr:to>
      <cdr:x>0.58196</cdr:x>
      <cdr:y>0.82961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4123953" y="4362214"/>
          <a:ext cx="1039179" cy="349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0.1461</cdr:x>
      <cdr:y>0.77884</cdr:y>
    </cdr:from>
    <cdr:to>
      <cdr:x>0.24819</cdr:x>
      <cdr:y>0.84045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300573" y="4343737"/>
          <a:ext cx="908800" cy="3436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GeSe2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0.79891</cdr:x>
      <cdr:y>0.68735</cdr:y>
    </cdr:from>
    <cdr:to>
      <cdr:x>0.8985</cdr:x>
      <cdr:y>0.74896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7144123" y="3860800"/>
          <a:ext cx="890494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Ge[l]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0.14667</cdr:x>
      <cdr:y>0.62466</cdr:y>
    </cdr:from>
    <cdr:to>
      <cdr:x>0.2663</cdr:x>
      <cdr:y>0.68627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301221" y="3548033"/>
          <a:ext cx="1061360" cy="349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50000"/>
                </a:schemeClr>
              </a:solidFill>
            </a:rPr>
            <a:t>GeSe</a:t>
          </a:r>
          <a:endParaRPr lang="ru-RU" sz="1800">
            <a:solidFill>
              <a:schemeClr val="bg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0.10059</cdr:x>
      <cdr:y>0</cdr:y>
    </cdr:from>
    <cdr:to>
      <cdr:x>0.28924</cdr:x>
      <cdr:y>0.063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A85DC97C-8793-4D7F-A422-08E84F1ED040}"/>
            </a:ext>
          </a:extLst>
        </cdr:cNvPr>
        <cdr:cNvSpPr txBox="1"/>
      </cdr:nvSpPr>
      <cdr:spPr>
        <a:xfrm xmlns:a="http://schemas.openxmlformats.org/drawingml/2006/main">
          <a:off x="899274" y="0"/>
          <a:ext cx="1686540" cy="3538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685800</xdr:colOff>
          <xdr:row>0</xdr:row>
          <xdr:rowOff>9525</xdr:rowOff>
        </xdr:from>
        <xdr:to>
          <xdr:col>18</xdr:col>
          <xdr:colOff>666750</xdr:colOff>
          <xdr:row>0</xdr:row>
          <xdr:rowOff>390525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16</xdr:row>
      <xdr:rowOff>0</xdr:rowOff>
    </xdr:from>
    <xdr:to>
      <xdr:col>97</xdr:col>
      <xdr:colOff>640774</xdr:colOff>
      <xdr:row>34</xdr:row>
      <xdr:rowOff>138546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627686F-FF0B-4F41-8902-7FFB2613B7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97</xdr:col>
      <xdr:colOff>720436</xdr:colOff>
      <xdr:row>15</xdr:row>
      <xdr:rowOff>200024</xdr:rowOff>
    </xdr:from>
    <xdr:to>
      <xdr:col>107</xdr:col>
      <xdr:colOff>259773</xdr:colOff>
      <xdr:row>34</xdr:row>
      <xdr:rowOff>103909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806E941-D540-42AF-BAF5-8C3E18C54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34637</xdr:colOff>
      <xdr:row>34</xdr:row>
      <xdr:rowOff>184007</xdr:rowOff>
    </xdr:from>
    <xdr:to>
      <xdr:col>97</xdr:col>
      <xdr:colOff>697305</xdr:colOff>
      <xdr:row>53</xdr:row>
      <xdr:rowOff>49295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A9DDBEB6-0B07-4C03-9148-B2460C7A14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97</xdr:col>
      <xdr:colOff>819149</xdr:colOff>
      <xdr:row>34</xdr:row>
      <xdr:rowOff>201323</xdr:rowOff>
    </xdr:from>
    <xdr:to>
      <xdr:col>107</xdr:col>
      <xdr:colOff>346364</xdr:colOff>
      <xdr:row>53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B781F2BA-372A-4DB6-A311-DC651F7CAA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123825</xdr:rowOff>
        </xdr:from>
        <xdr:to>
          <xdr:col>0</xdr:col>
          <xdr:colOff>885825</xdr:colOff>
          <xdr:row>26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0000"/>
  </sheetPr>
  <dimension ref="A1:Z141"/>
  <sheetViews>
    <sheetView topLeftCell="E2" zoomScale="70" zoomScaleNormal="70" zoomScaleSheetLayoutView="25" workbookViewId="0">
      <selection activeCell="AB151" sqref="AB151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7" width="8.6328125" customWidth="1"/>
    <col min="8" max="23" width="8.6328125" hidden="1" customWidth="1"/>
    <col min="24" max="24" width="8.6328125" customWidth="1"/>
    <col min="25" max="25" width="3.6328125" customWidth="1"/>
    <col min="65" max="65" width="9" customWidth="1"/>
  </cols>
  <sheetData>
    <row r="1" spans="1:25" s="24" customFormat="1" ht="87.95" customHeight="1" x14ac:dyDescent="0.35">
      <c r="A1" s="85" t="s">
        <v>36</v>
      </c>
      <c r="B1" s="85"/>
      <c r="C1" s="85"/>
      <c r="D1" s="85"/>
      <c r="E1" s="85"/>
      <c r="F1" s="85"/>
      <c r="G1" s="85"/>
      <c r="H1"/>
      <c r="I1" s="86" t="s">
        <v>39</v>
      </c>
      <c r="J1" s="86"/>
      <c r="K1" s="86"/>
      <c r="L1" s="86"/>
      <c r="M1" s="86"/>
      <c r="N1" s="86"/>
      <c r="O1" s="86"/>
      <c r="P1" s="86"/>
      <c r="Q1" s="86"/>
      <c r="R1" s="86"/>
      <c r="S1" s="86"/>
    </row>
    <row r="2" spans="1:25" ht="21" customHeight="1" thickBot="1" x14ac:dyDescent="0.45">
      <c r="A2" s="64">
        <v>300</v>
      </c>
      <c r="B2" s="2">
        <v>8.3145000000000007</v>
      </c>
      <c r="C2" s="47"/>
      <c r="D2" s="47"/>
      <c r="E2" s="71" t="s">
        <v>10</v>
      </c>
      <c r="F2" s="72"/>
      <c r="G2" s="71"/>
      <c r="H2" s="71"/>
      <c r="I2" s="71"/>
      <c r="J2" s="71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32"/>
    </row>
    <row r="3" spans="1:25" ht="21" customHeight="1" outlineLevel="1" thickTop="1" thickBot="1" x14ac:dyDescent="0.4">
      <c r="A3" s="7" t="s">
        <v>2</v>
      </c>
      <c r="B3" s="7" t="s">
        <v>7</v>
      </c>
      <c r="C3" s="7" t="s">
        <v>8</v>
      </c>
      <c r="D3" s="8" t="s">
        <v>9</v>
      </c>
      <c r="E3" s="68"/>
      <c r="F3" s="68">
        <v>298.2</v>
      </c>
      <c r="G3" s="68">
        <v>331.5</v>
      </c>
      <c r="H3" s="68">
        <v>364.9</v>
      </c>
      <c r="I3" s="68">
        <v>398.3</v>
      </c>
      <c r="J3" s="68">
        <v>431.7</v>
      </c>
      <c r="K3" s="68">
        <v>565.20000000000005</v>
      </c>
      <c r="L3" s="68">
        <v>598.6</v>
      </c>
      <c r="M3" s="68">
        <v>632</v>
      </c>
      <c r="N3" s="68">
        <v>665.4</v>
      </c>
      <c r="O3" s="68">
        <v>698.8</v>
      </c>
      <c r="P3" s="68">
        <v>832.3</v>
      </c>
      <c r="Q3" s="68">
        <v>965.8</v>
      </c>
      <c r="R3" s="68">
        <v>1099</v>
      </c>
      <c r="S3" s="68">
        <v>1133</v>
      </c>
      <c r="T3" s="68">
        <v>1166</v>
      </c>
      <c r="U3" s="68">
        <v>1200</v>
      </c>
      <c r="V3" s="68">
        <v>1233</v>
      </c>
      <c r="W3" s="68">
        <v>1366</v>
      </c>
      <c r="X3" s="68">
        <v>1500</v>
      </c>
    </row>
    <row r="4" spans="1:25" ht="21" customHeight="1" outlineLevel="1" thickTop="1" thickBot="1" x14ac:dyDescent="0.4">
      <c r="A4" s="5">
        <f>IF( ISNUMBER( FIND(A$3,$E4,1)),   IF( ISNUMBER( VALUE(MID($E4,FIND(A$3,$E4,1)+2,1)) ), VALUE( MID($E4,FIND(A$3,$E4,1)+2,1) ),1),0)</f>
        <v>0</v>
      </c>
      <c r="B4" s="5">
        <f>IF( ISNUMBER( FIND(B$3,$E4,1)),   IF( ISNUMBER( VALUE(MID($E4,FIND(B$3,$E4,1)+2,1)) ), VALUE( MID($E4,FIND(B$3,$E4,1)+2,1) ),1),0)</f>
        <v>1</v>
      </c>
      <c r="C4" s="5">
        <f>IF( ISNUMBER( FIND(C$3,$E4,1)),   IF( ISNUMBER( VALUE(MID($E4,FIND(C$3,$E4,1)+2,1)) ), VALUE( MID($E4,FIND(C$3,$E4,1)+2,1) ),1),0)</f>
        <v>0</v>
      </c>
      <c r="D4" s="5">
        <f>IF( ISNUMBER( FIND(D$3,$E4,1)),   IF( ISNUMBER( VALUE(MID($E4,FIND(D$3,$E4,1)+2,1)) ), VALUE( MID($E4,FIND(D$3,$E4,1)+2,1) ),1),0)</f>
        <v>0</v>
      </c>
      <c r="E4" s="68" t="s">
        <v>0</v>
      </c>
      <c r="F4" s="84">
        <v>3.5994999999999999E-8</v>
      </c>
      <c r="G4" s="84">
        <v>4.9854999999999999E-8</v>
      </c>
      <c r="H4" s="84">
        <v>7.8368000000000004E-8</v>
      </c>
      <c r="I4" s="84">
        <v>9.2201000000000006E-8</v>
      </c>
      <c r="J4" s="84">
        <v>9.1532000000000002E-8</v>
      </c>
      <c r="K4" s="84">
        <v>1.1143E-7</v>
      </c>
      <c r="L4" s="84">
        <v>1.2272E-7</v>
      </c>
      <c r="M4" s="84">
        <v>1.2407E-7</v>
      </c>
      <c r="N4" s="84">
        <v>1.2499999999999999E-7</v>
      </c>
      <c r="O4" s="84">
        <v>1.2436999999999999E-7</v>
      </c>
      <c r="P4" s="84">
        <v>1.1789000000000001E-7</v>
      </c>
      <c r="Q4" s="84">
        <v>1.1532E-7</v>
      </c>
      <c r="R4" s="84">
        <v>1.1542E-7</v>
      </c>
      <c r="S4" s="84">
        <v>1.1574E-7</v>
      </c>
      <c r="T4" s="84">
        <v>1.1608E-7</v>
      </c>
      <c r="U4" s="84">
        <v>1.1643E-7</v>
      </c>
      <c r="V4" s="84">
        <v>1.168E-7</v>
      </c>
      <c r="W4" s="84">
        <v>1.1842E-7</v>
      </c>
      <c r="X4" s="84">
        <v>1.2032999999999999E-7</v>
      </c>
    </row>
    <row r="5" spans="1:25" ht="21" customHeight="1" outlineLevel="1" thickTop="1" thickBot="1" x14ac:dyDescent="0.4">
      <c r="A5" s="5">
        <f t="shared" ref="A5:B13" si="0">IF( ISNUMBER( FIND(A$3,$E5,1)),   IF( ISNUMBER( VALUE(MID($E5,FIND(A$3,$E5,1)+2,1)) ), VALUE( MID($E5,FIND(A$3,$E5,1)+2,1) ),1),0)</f>
        <v>0</v>
      </c>
      <c r="B5" s="5">
        <f t="shared" si="0"/>
        <v>3</v>
      </c>
      <c r="C5" s="5">
        <f t="shared" ref="C5:D20" si="1">IF( ISNUMBER( FIND(C$3,$E5,1)),   IF( ISNUMBER( VALUE(MID($E5,FIND(C$3,$E5,1)+2,1)) ), VALUE( MID($E5,FIND(C$3,$E5,1)+2,1) ),1),0)</f>
        <v>0</v>
      </c>
      <c r="D5" s="5">
        <f t="shared" si="1"/>
        <v>2</v>
      </c>
      <c r="E5" s="68" t="s">
        <v>67</v>
      </c>
      <c r="F5" s="84">
        <v>1.4031E-2</v>
      </c>
      <c r="G5" s="84">
        <v>1.3042E-2</v>
      </c>
      <c r="H5" s="84">
        <v>1.2111E-2</v>
      </c>
      <c r="I5" s="84">
        <v>1.1827000000000001E-2</v>
      </c>
      <c r="J5" s="84">
        <v>1.1691E-2</v>
      </c>
      <c r="K5" s="84">
        <v>8.6454999999999996E-9</v>
      </c>
      <c r="L5" s="84">
        <v>1.6989E-12</v>
      </c>
      <c r="M5" s="84">
        <v>5.993E-16</v>
      </c>
      <c r="N5" s="84">
        <v>3.5301E-19</v>
      </c>
      <c r="O5" s="84">
        <v>3.2807999999999999E-22</v>
      </c>
      <c r="P5" s="84">
        <v>1.0592E-32</v>
      </c>
      <c r="Q5" s="84">
        <v>0</v>
      </c>
      <c r="R5" s="84">
        <v>0</v>
      </c>
      <c r="S5" s="84">
        <v>0</v>
      </c>
      <c r="T5" s="84">
        <v>0</v>
      </c>
      <c r="U5" s="84">
        <v>0</v>
      </c>
      <c r="V5" s="84">
        <v>0</v>
      </c>
      <c r="W5" s="84">
        <v>0</v>
      </c>
      <c r="X5" s="84">
        <v>0</v>
      </c>
    </row>
    <row r="6" spans="1:25" ht="21" customHeight="1" outlineLevel="1" thickTop="1" thickBot="1" x14ac:dyDescent="0.4">
      <c r="A6" s="5">
        <f t="shared" si="0"/>
        <v>0</v>
      </c>
      <c r="B6" s="5">
        <f t="shared" si="0"/>
        <v>0</v>
      </c>
      <c r="C6" s="5">
        <f t="shared" si="1"/>
        <v>1</v>
      </c>
      <c r="D6" s="5">
        <f t="shared" si="1"/>
        <v>0</v>
      </c>
      <c r="E6" s="68" t="s">
        <v>8</v>
      </c>
      <c r="F6" s="84">
        <v>0</v>
      </c>
      <c r="G6" s="84">
        <v>0</v>
      </c>
      <c r="H6" s="84">
        <v>0</v>
      </c>
      <c r="I6" s="84">
        <v>0</v>
      </c>
      <c r="J6" s="84">
        <v>0</v>
      </c>
      <c r="K6" s="84">
        <v>1.0016E-29</v>
      </c>
      <c r="L6" s="84">
        <v>8.6551000000000002E-28</v>
      </c>
      <c r="M6" s="84">
        <v>4.6019999999999999E-26</v>
      </c>
      <c r="N6" s="84">
        <v>1.6368E-24</v>
      </c>
      <c r="O6" s="84">
        <v>4.1361000000000001E-23</v>
      </c>
      <c r="P6" s="84">
        <v>1.2665E-18</v>
      </c>
      <c r="Q6" s="84">
        <v>2.2310000000000002E-15</v>
      </c>
      <c r="R6" s="84">
        <v>6.3804999999999999E-13</v>
      </c>
      <c r="S6" s="84">
        <v>2.1290999999999999E-12</v>
      </c>
      <c r="T6" s="84">
        <v>6.6288000000000002E-12</v>
      </c>
      <c r="U6" s="84">
        <v>1.9369000000000001E-11</v>
      </c>
      <c r="V6" s="84">
        <v>5.3384000000000003E-11</v>
      </c>
      <c r="W6" s="84">
        <v>1.8718000000000001E-9</v>
      </c>
      <c r="X6" s="84">
        <v>3.4675999999999999E-8</v>
      </c>
    </row>
    <row r="7" spans="1:25" ht="21" customHeight="1" outlineLevel="1" thickTop="1" thickBot="1" x14ac:dyDescent="0.4">
      <c r="A7" s="5">
        <f t="shared" si="0"/>
        <v>1</v>
      </c>
      <c r="B7" s="5">
        <f t="shared" si="0"/>
        <v>0</v>
      </c>
      <c r="C7" s="5">
        <f t="shared" si="1"/>
        <v>0</v>
      </c>
      <c r="D7" s="5">
        <f t="shared" si="1"/>
        <v>0</v>
      </c>
      <c r="E7" s="68" t="s">
        <v>2</v>
      </c>
      <c r="F7" s="84">
        <v>0.2</v>
      </c>
      <c r="G7" s="84">
        <v>0.2</v>
      </c>
      <c r="H7" s="84">
        <v>0.2</v>
      </c>
      <c r="I7" s="84">
        <v>0.2</v>
      </c>
      <c r="J7" s="84">
        <v>0.2</v>
      </c>
      <c r="K7" s="84">
        <v>0.2</v>
      </c>
      <c r="L7" s="84">
        <v>0.2</v>
      </c>
      <c r="M7" s="84">
        <v>0.2</v>
      </c>
      <c r="N7" s="84">
        <v>0.2</v>
      </c>
      <c r="O7" s="84">
        <v>0.2</v>
      </c>
      <c r="P7" s="84">
        <v>0.2</v>
      </c>
      <c r="Q7" s="84">
        <v>0.2</v>
      </c>
      <c r="R7" s="84">
        <v>0.2</v>
      </c>
      <c r="S7" s="84">
        <v>0.2</v>
      </c>
      <c r="T7" s="84">
        <v>0.2</v>
      </c>
      <c r="U7" s="84">
        <v>0.2</v>
      </c>
      <c r="V7" s="84">
        <v>0.2</v>
      </c>
      <c r="W7" s="84">
        <v>0.2</v>
      </c>
      <c r="X7" s="84">
        <v>0.2</v>
      </c>
    </row>
    <row r="8" spans="1:25" ht="21" customHeight="1" outlineLevel="1" thickTop="1" thickBot="1" x14ac:dyDescent="0.4">
      <c r="A8" s="5">
        <f t="shared" si="0"/>
        <v>0</v>
      </c>
      <c r="B8" s="5">
        <f t="shared" si="0"/>
        <v>2</v>
      </c>
      <c r="C8" s="5">
        <f t="shared" si="1"/>
        <v>1</v>
      </c>
      <c r="D8" s="5">
        <f t="shared" si="1"/>
        <v>0</v>
      </c>
      <c r="E8" s="68" t="s">
        <v>61</v>
      </c>
      <c r="F8" s="84">
        <v>0.10983999999999999</v>
      </c>
      <c r="G8" s="84">
        <v>6.6614000000000007E-2</v>
      </c>
      <c r="H8" s="84">
        <v>1.9526999999999999E-2</v>
      </c>
      <c r="I8" s="84">
        <v>4.2795000000000003E-3</v>
      </c>
      <c r="J8" s="84">
        <v>9.6991000000000004E-4</v>
      </c>
      <c r="K8" s="84">
        <v>4.4163999999999998E-7</v>
      </c>
      <c r="L8" s="84">
        <v>5.2524000000000001E-8</v>
      </c>
      <c r="M8" s="84">
        <v>7.1420000000000004E-9</v>
      </c>
      <c r="N8" s="84">
        <v>1.1053999999999999E-9</v>
      </c>
      <c r="O8" s="84">
        <v>1.9218E-10</v>
      </c>
      <c r="P8" s="84">
        <v>4.3892000000000001E-13</v>
      </c>
      <c r="Q8" s="84">
        <v>2.8443999999999998E-15</v>
      </c>
      <c r="R8" s="84">
        <v>3.6466000000000003E-17</v>
      </c>
      <c r="S8" s="84">
        <v>1.3281E-17</v>
      </c>
      <c r="T8" s="84">
        <v>4.9658000000000002E-18</v>
      </c>
      <c r="U8" s="84">
        <v>1.9018999999999999E-18</v>
      </c>
      <c r="V8" s="84">
        <v>7.4456999999999998E-19</v>
      </c>
      <c r="W8" s="84">
        <v>2.1060999999999999E-20</v>
      </c>
      <c r="X8" s="84">
        <v>7.5076000000000004E-22</v>
      </c>
    </row>
    <row r="9" spans="1:25" ht="21" customHeight="1" outlineLevel="1" thickTop="1" thickBot="1" x14ac:dyDescent="0.4">
      <c r="A9" s="5">
        <f t="shared" si="0"/>
        <v>0</v>
      </c>
      <c r="B9" s="5">
        <f t="shared" si="0"/>
        <v>1</v>
      </c>
      <c r="C9" s="5">
        <f t="shared" si="1"/>
        <v>1</v>
      </c>
      <c r="D9" s="5">
        <f t="shared" si="1"/>
        <v>0</v>
      </c>
      <c r="E9" s="68" t="s">
        <v>4</v>
      </c>
      <c r="F9" s="84">
        <v>1.0159E-2</v>
      </c>
      <c r="G9" s="84">
        <v>5.3384000000000001E-2</v>
      </c>
      <c r="H9" s="84">
        <v>0.10041</v>
      </c>
      <c r="I9" s="84">
        <v>0.11502999999999999</v>
      </c>
      <c r="J9" s="84">
        <v>0.11377</v>
      </c>
      <c r="K9" s="84">
        <v>5.1475000000000002E-3</v>
      </c>
      <c r="L9" s="84">
        <v>1.5674E-3</v>
      </c>
      <c r="M9" s="84">
        <v>5.1270999999999999E-4</v>
      </c>
      <c r="N9" s="84">
        <v>1.8076999999999999E-4</v>
      </c>
      <c r="O9" s="84">
        <v>6.8257999999999996E-5</v>
      </c>
      <c r="P9" s="84">
        <v>2.3856999999999999E-6</v>
      </c>
      <c r="Q9" s="84">
        <v>1.5417999999999999E-7</v>
      </c>
      <c r="R9" s="84">
        <v>1.4864E-8</v>
      </c>
      <c r="S9" s="84">
        <v>8.6748999999999995E-9</v>
      </c>
      <c r="T9" s="84">
        <v>5.1410000000000003E-9</v>
      </c>
      <c r="U9" s="84">
        <v>3.0897000000000002E-9</v>
      </c>
      <c r="V9" s="84">
        <v>1.8809E-9</v>
      </c>
      <c r="W9" s="84">
        <v>2.8795000000000002E-10</v>
      </c>
      <c r="X9" s="84">
        <v>5.0483999999999999E-11</v>
      </c>
    </row>
    <row r="10" spans="1:25" ht="21" customHeight="1" outlineLevel="1" thickTop="1" thickBot="1" x14ac:dyDescent="0.4">
      <c r="A10" s="5">
        <f t="shared" si="0"/>
        <v>0</v>
      </c>
      <c r="B10" s="5">
        <f t="shared" si="0"/>
        <v>3</v>
      </c>
      <c r="C10" s="5">
        <f t="shared" si="1"/>
        <v>0</v>
      </c>
      <c r="D10" s="5">
        <f t="shared" si="1"/>
        <v>2</v>
      </c>
      <c r="E10" s="68" t="s">
        <v>6</v>
      </c>
      <c r="F10" s="84">
        <v>2.5968999999999999E-2</v>
      </c>
      <c r="G10" s="84">
        <v>2.6957999999999999E-2</v>
      </c>
      <c r="H10" s="84">
        <v>2.7889000000000001E-2</v>
      </c>
      <c r="I10" s="84">
        <v>2.8173E-2</v>
      </c>
      <c r="J10" s="84">
        <v>2.8309000000000001E-2</v>
      </c>
      <c r="K10" s="84">
        <v>3.4358999999999997E-8</v>
      </c>
      <c r="L10" s="84">
        <v>6.7823000000000003E-12</v>
      </c>
      <c r="M10" s="84">
        <v>2.3956000000000001E-15</v>
      </c>
      <c r="N10" s="84">
        <v>1.4117E-18</v>
      </c>
      <c r="O10" s="84">
        <v>1.3121999999999999E-21</v>
      </c>
      <c r="P10" s="84">
        <v>4.2368000000000001E-32</v>
      </c>
      <c r="Q10" s="84">
        <v>0</v>
      </c>
      <c r="R10" s="84">
        <v>0</v>
      </c>
      <c r="S10" s="84">
        <v>0</v>
      </c>
      <c r="T10" s="84">
        <v>0</v>
      </c>
      <c r="U10" s="84">
        <v>0</v>
      </c>
      <c r="V10" s="84">
        <v>0</v>
      </c>
      <c r="W10" s="84">
        <v>0</v>
      </c>
      <c r="X10" s="84">
        <v>0</v>
      </c>
    </row>
    <row r="11" spans="1:25" ht="21" customHeight="1" outlineLevel="1" thickTop="1" thickBot="1" x14ac:dyDescent="0.4">
      <c r="A11" s="5">
        <f t="shared" si="0"/>
        <v>0</v>
      </c>
      <c r="B11" s="5">
        <f t="shared" si="0"/>
        <v>0</v>
      </c>
      <c r="C11" s="5">
        <f t="shared" si="1"/>
        <v>1</v>
      </c>
      <c r="D11" s="5">
        <f t="shared" si="1"/>
        <v>0</v>
      </c>
      <c r="E11" s="68" t="s">
        <v>3</v>
      </c>
      <c r="F11" s="84">
        <v>8.5071000000000001E-9</v>
      </c>
      <c r="G11" s="84">
        <v>1.0655E-6</v>
      </c>
      <c r="H11" s="84">
        <v>2.9221999999999999E-5</v>
      </c>
      <c r="I11" s="84">
        <v>3.4483000000000002E-4</v>
      </c>
      <c r="J11" s="84">
        <v>2.6305E-3</v>
      </c>
      <c r="K11" s="84">
        <v>5.7425999999999998E-2</v>
      </c>
      <c r="L11" s="84">
        <v>5.9215999999999998E-2</v>
      </c>
      <c r="M11" s="84">
        <v>5.9743999999999998E-2</v>
      </c>
      <c r="N11" s="84">
        <v>5.9909999999999998E-2</v>
      </c>
      <c r="O11" s="84">
        <v>5.9965999999999998E-2</v>
      </c>
      <c r="P11" s="84">
        <v>5.9998999999999997E-2</v>
      </c>
      <c r="Q11" s="84">
        <v>0.06</v>
      </c>
      <c r="R11" s="84">
        <v>0.06</v>
      </c>
      <c r="S11" s="84">
        <v>0.06</v>
      </c>
      <c r="T11" s="84">
        <v>0.06</v>
      </c>
      <c r="U11" s="84">
        <v>0.06</v>
      </c>
      <c r="V11" s="84">
        <v>0.06</v>
      </c>
      <c r="W11" s="84">
        <v>0.06</v>
      </c>
      <c r="X11" s="84">
        <v>0.06</v>
      </c>
    </row>
    <row r="12" spans="1:25" ht="21" customHeight="1" outlineLevel="1" thickTop="1" thickBot="1" x14ac:dyDescent="0.4">
      <c r="A12" s="5">
        <f t="shared" si="0"/>
        <v>0</v>
      </c>
      <c r="B12" s="5">
        <f t="shared" si="0"/>
        <v>0</v>
      </c>
      <c r="C12" s="5">
        <f t="shared" si="1"/>
        <v>0</v>
      </c>
      <c r="D12" s="5">
        <f t="shared" si="1"/>
        <v>1</v>
      </c>
      <c r="E12" s="68" t="s">
        <v>5</v>
      </c>
      <c r="F12" s="84">
        <v>1.6756E-22</v>
      </c>
      <c r="G12" s="84">
        <v>4.4808999999999998E-18</v>
      </c>
      <c r="H12" s="84">
        <v>2.7254E-14</v>
      </c>
      <c r="I12" s="84">
        <v>5.3873999999999999E-11</v>
      </c>
      <c r="J12" s="84">
        <v>4.4460000000000002E-8</v>
      </c>
      <c r="K12" s="84">
        <v>0.08</v>
      </c>
      <c r="L12" s="84">
        <v>0.08</v>
      </c>
      <c r="M12" s="84">
        <v>0.08</v>
      </c>
      <c r="N12" s="84">
        <v>0.08</v>
      </c>
      <c r="O12" s="84">
        <v>0.08</v>
      </c>
      <c r="P12" s="84">
        <v>0.08</v>
      </c>
      <c r="Q12" s="84">
        <v>0.08</v>
      </c>
      <c r="R12" s="84">
        <v>0.08</v>
      </c>
      <c r="S12" s="84">
        <v>0.08</v>
      </c>
      <c r="T12" s="84">
        <v>0.08</v>
      </c>
      <c r="U12" s="84">
        <v>0.08</v>
      </c>
      <c r="V12" s="84">
        <v>0.08</v>
      </c>
      <c r="W12" s="84">
        <v>0.08</v>
      </c>
      <c r="X12" s="84">
        <v>0.08</v>
      </c>
    </row>
    <row r="13" spans="1:25" ht="21" customHeight="1" outlineLevel="1" thickTop="1" thickBot="1" x14ac:dyDescent="0.4">
      <c r="A13" s="5">
        <f t="shared" si="0"/>
        <v>0</v>
      </c>
      <c r="B13" s="5">
        <f t="shared" si="0"/>
        <v>1</v>
      </c>
      <c r="C13" s="5">
        <f t="shared" si="1"/>
        <v>0</v>
      </c>
      <c r="D13" s="5">
        <f t="shared" si="1"/>
        <v>0</v>
      </c>
      <c r="E13" s="68" t="s">
        <v>40</v>
      </c>
      <c r="F13" s="84">
        <v>2.1579999999999999E-7</v>
      </c>
      <c r="G13" s="84">
        <v>1.6581E-7</v>
      </c>
      <c r="H13" s="84">
        <v>1.2426999999999999E-7</v>
      </c>
      <c r="I13" s="84">
        <v>8.3587000000000006E-8</v>
      </c>
      <c r="J13" s="84">
        <v>5.4971999999999998E-8</v>
      </c>
      <c r="K13" s="84">
        <v>1.9907999999999999E-8</v>
      </c>
      <c r="L13" s="84">
        <v>1.4467999999999999E-8</v>
      </c>
      <c r="M13" s="84">
        <v>1.0487E-8</v>
      </c>
      <c r="N13" s="84">
        <v>7.6083000000000007E-9</v>
      </c>
      <c r="O13" s="84">
        <v>5.5303999999999998E-9</v>
      </c>
      <c r="P13" s="84">
        <v>1.5813999999999999E-9</v>
      </c>
      <c r="Q13" s="84">
        <v>4.6943999999999998E-10</v>
      </c>
      <c r="R13" s="84">
        <v>1.4369E-10</v>
      </c>
      <c r="S13" s="84">
        <v>1.0727E-10</v>
      </c>
      <c r="T13" s="84">
        <v>8.0176000000000006E-11</v>
      </c>
      <c r="U13" s="84">
        <v>5.9982E-11</v>
      </c>
      <c r="V13" s="84">
        <v>4.4910000000000003E-11</v>
      </c>
      <c r="W13" s="84">
        <v>1.4188000000000001E-11</v>
      </c>
      <c r="X13" s="84">
        <v>4.4923999999999997E-12</v>
      </c>
    </row>
    <row r="14" spans="1:25" ht="21" customHeight="1" outlineLevel="1" thickTop="1" thickBot="1" x14ac:dyDescent="0.4">
      <c r="A14" s="5">
        <f t="shared" ref="A14:B20" si="2">IF( ISNUMBER( FIND(A$3,$E14,1)),   IF( ISNUMBER( VALUE(MID($E14,FIND(A$3,$E14,1)+2,1)) ), VALUE( MID($E14,FIND(A$3,$E14,1)+2,1) ),1),0)</f>
        <v>0</v>
      </c>
      <c r="B14" s="5">
        <f t="shared" si="2"/>
        <v>1</v>
      </c>
      <c r="C14" s="5">
        <f t="shared" si="1"/>
        <v>0</v>
      </c>
      <c r="D14" s="5">
        <f t="shared" si="1"/>
        <v>0</v>
      </c>
      <c r="E14" s="68" t="s">
        <v>60</v>
      </c>
      <c r="F14" s="84">
        <v>5.9804999999999999E-8</v>
      </c>
      <c r="G14" s="84">
        <v>5.6418000000000003E-8</v>
      </c>
      <c r="H14" s="84">
        <v>5.0087999999999998E-8</v>
      </c>
      <c r="I14" s="84">
        <v>3.8835999999999998E-8</v>
      </c>
      <c r="J14" s="84">
        <v>2.8816999999999999E-8</v>
      </c>
      <c r="K14" s="84">
        <v>1.2054E-8</v>
      </c>
      <c r="L14" s="84">
        <v>8.5872000000000003E-9</v>
      </c>
      <c r="M14" s="84">
        <v>6.0987E-9</v>
      </c>
      <c r="N14" s="84">
        <v>4.3344999999999999E-9</v>
      </c>
      <c r="O14" s="84">
        <v>3.0867000000000001E-9</v>
      </c>
      <c r="P14" s="84">
        <v>8.1506999999999996E-10</v>
      </c>
      <c r="Q14" s="84">
        <v>2.2442999999999999E-10</v>
      </c>
      <c r="R14" s="84">
        <v>6.3919999999999997E-11</v>
      </c>
      <c r="S14" s="84">
        <v>4.6885999999999997E-11</v>
      </c>
      <c r="T14" s="84">
        <v>3.4435999999999997E-11</v>
      </c>
      <c r="U14" s="84">
        <v>2.5322000000000001E-11</v>
      </c>
      <c r="V14" s="84">
        <v>1.8639000000000001E-11</v>
      </c>
      <c r="W14" s="84">
        <v>5.5112000000000002E-12</v>
      </c>
      <c r="X14" s="84">
        <v>1.6387000000000001E-12</v>
      </c>
    </row>
    <row r="15" spans="1:25" ht="21" customHeight="1" outlineLevel="1" thickTop="1" thickBot="1" x14ac:dyDescent="0.4">
      <c r="A15" s="5">
        <f t="shared" si="2"/>
        <v>0</v>
      </c>
      <c r="B15" s="5">
        <f t="shared" si="2"/>
        <v>1</v>
      </c>
      <c r="C15" s="5">
        <f t="shared" si="1"/>
        <v>0</v>
      </c>
      <c r="D15" s="5">
        <f t="shared" si="1"/>
        <v>0</v>
      </c>
      <c r="E15" s="68" t="s">
        <v>86</v>
      </c>
      <c r="F15" s="84">
        <v>0.25015999999999999</v>
      </c>
      <c r="G15" s="84">
        <v>0.29338999999999998</v>
      </c>
      <c r="H15" s="84">
        <v>0.34053</v>
      </c>
      <c r="I15" s="84">
        <v>0.35641</v>
      </c>
      <c r="J15" s="84">
        <v>0.36429</v>
      </c>
      <c r="K15" s="84">
        <v>0.59484999999999999</v>
      </c>
      <c r="L15" s="84">
        <v>0.59843000000000002</v>
      </c>
      <c r="M15" s="84">
        <v>0.59948999999999997</v>
      </c>
      <c r="N15" s="84">
        <v>0.59982000000000002</v>
      </c>
      <c r="O15" s="84">
        <v>0.59992999999999996</v>
      </c>
      <c r="P15" s="84">
        <v>0.6</v>
      </c>
      <c r="Q15" s="84">
        <v>0.6</v>
      </c>
      <c r="R15" s="84">
        <v>0.6</v>
      </c>
      <c r="S15" s="84">
        <v>0.6</v>
      </c>
      <c r="T15" s="84">
        <v>0.6</v>
      </c>
      <c r="U15" s="84">
        <v>0.6</v>
      </c>
      <c r="V15" s="84">
        <v>0.6</v>
      </c>
      <c r="W15" s="84">
        <v>0.6</v>
      </c>
      <c r="X15" s="84">
        <v>0.6</v>
      </c>
    </row>
    <row r="16" spans="1:25" ht="21" customHeight="1" outlineLevel="1" thickTop="1" thickBot="1" x14ac:dyDescent="0.4">
      <c r="A16" s="5">
        <f t="shared" si="2"/>
        <v>0</v>
      </c>
      <c r="B16" s="5">
        <f t="shared" si="2"/>
        <v>1</v>
      </c>
      <c r="C16" s="5">
        <f t="shared" si="1"/>
        <v>0</v>
      </c>
      <c r="D16" s="5">
        <f t="shared" si="1"/>
        <v>0</v>
      </c>
      <c r="E16" s="68" t="s">
        <v>41</v>
      </c>
      <c r="F16" s="84">
        <v>1.0007000000000001E-9</v>
      </c>
      <c r="G16" s="84">
        <v>1.5073E-9</v>
      </c>
      <c r="H16" s="84">
        <v>1.9908000000000002E-9</v>
      </c>
      <c r="I16" s="84">
        <v>2.1753000000000001E-9</v>
      </c>
      <c r="J16" s="84">
        <v>2.1798999999999999E-9</v>
      </c>
      <c r="K16" s="84">
        <v>2.2788E-9</v>
      </c>
      <c r="L16" s="84">
        <v>1.9422000000000002E-9</v>
      </c>
      <c r="M16" s="84">
        <v>1.6271000000000001E-9</v>
      </c>
      <c r="N16" s="84">
        <v>1.3473999999999999E-9</v>
      </c>
      <c r="O16" s="84">
        <v>1.1060999999999999E-9</v>
      </c>
      <c r="P16" s="84">
        <v>4.7395999999999998E-10</v>
      </c>
      <c r="Q16" s="84">
        <v>1.9203999999999999E-10</v>
      </c>
      <c r="R16" s="84">
        <v>7.5294999999999997E-11</v>
      </c>
      <c r="S16" s="84">
        <v>5.9345000000000003E-11</v>
      </c>
      <c r="T16" s="84">
        <v>4.6707E-11</v>
      </c>
      <c r="U16" s="84">
        <v>3.6707999999999997E-11</v>
      </c>
      <c r="V16" s="84">
        <v>2.8811000000000001E-11</v>
      </c>
      <c r="W16" s="84">
        <v>1.0783999999999999E-11</v>
      </c>
      <c r="X16" s="84">
        <v>3.9473000000000004E-12</v>
      </c>
    </row>
    <row r="17" spans="1:24" ht="21" customHeight="1" outlineLevel="1" thickTop="1" thickBot="1" x14ac:dyDescent="0.4">
      <c r="A17" s="5">
        <f t="shared" si="2"/>
        <v>0</v>
      </c>
      <c r="B17" s="5">
        <f t="shared" si="2"/>
        <v>0</v>
      </c>
      <c r="C17" s="5">
        <f t="shared" si="1"/>
        <v>1</v>
      </c>
      <c r="D17" s="5">
        <f t="shared" si="1"/>
        <v>0</v>
      </c>
      <c r="E17" s="68" t="s">
        <v>66</v>
      </c>
      <c r="F17" s="84">
        <v>8.5071000000000001E-9</v>
      </c>
      <c r="G17" s="84">
        <v>1.0655E-6</v>
      </c>
      <c r="H17" s="84">
        <v>2.9221999999999999E-5</v>
      </c>
      <c r="I17" s="84">
        <v>3.4483000000000002E-4</v>
      </c>
      <c r="J17" s="84">
        <v>2.6305E-3</v>
      </c>
      <c r="K17" s="84">
        <v>5.7425999999999998E-2</v>
      </c>
      <c r="L17" s="84">
        <v>5.9215999999999998E-2</v>
      </c>
      <c r="M17" s="84">
        <v>5.9743999999999998E-2</v>
      </c>
      <c r="N17" s="84">
        <v>5.9909999999999998E-2</v>
      </c>
      <c r="O17" s="84">
        <v>5.9965999999999998E-2</v>
      </c>
      <c r="P17" s="84">
        <v>5.9998999999999997E-2</v>
      </c>
      <c r="Q17" s="84">
        <v>0.06</v>
      </c>
      <c r="R17" s="84">
        <v>0.06</v>
      </c>
      <c r="S17" s="84">
        <v>0.06</v>
      </c>
      <c r="T17" s="84">
        <v>0.06</v>
      </c>
      <c r="U17" s="84">
        <v>0.06</v>
      </c>
      <c r="V17" s="84">
        <v>0.06</v>
      </c>
      <c r="W17" s="84">
        <v>0.06</v>
      </c>
      <c r="X17" s="84">
        <v>0.06</v>
      </c>
    </row>
    <row r="18" spans="1:24" ht="21" customHeight="1" outlineLevel="1" thickTop="1" thickBot="1" x14ac:dyDescent="0.4">
      <c r="A18" s="5">
        <f t="shared" si="2"/>
        <v>1</v>
      </c>
      <c r="B18" s="5">
        <f t="shared" si="2"/>
        <v>0</v>
      </c>
      <c r="C18" s="5">
        <f t="shared" si="1"/>
        <v>0</v>
      </c>
      <c r="D18" s="5">
        <f t="shared" si="1"/>
        <v>0</v>
      </c>
      <c r="E18" s="68" t="s">
        <v>74</v>
      </c>
      <c r="F18" s="84">
        <v>-18.68</v>
      </c>
      <c r="G18" s="84">
        <v>-18.690000000000001</v>
      </c>
      <c r="H18" s="84">
        <v>-18.72</v>
      </c>
      <c r="I18" s="84">
        <v>-18.760000000000002</v>
      </c>
      <c r="J18" s="84">
        <v>-18.82</v>
      </c>
      <c r="K18" s="84">
        <v>-19.03</v>
      </c>
      <c r="L18" s="84">
        <v>-19.100000000000001</v>
      </c>
      <c r="M18" s="84">
        <v>-19.170000000000002</v>
      </c>
      <c r="N18" s="84">
        <v>-19.239999999999998</v>
      </c>
      <c r="O18" s="84">
        <v>-19.309999999999999</v>
      </c>
      <c r="P18" s="84">
        <v>-19.57</v>
      </c>
      <c r="Q18" s="84">
        <v>-19.82</v>
      </c>
      <c r="R18" s="84">
        <v>-20.05</v>
      </c>
      <c r="S18" s="84">
        <v>-20.11</v>
      </c>
      <c r="T18" s="84">
        <v>-20.16</v>
      </c>
      <c r="U18" s="84">
        <v>-20.21</v>
      </c>
      <c r="V18" s="84">
        <v>-20.260000000000002</v>
      </c>
      <c r="W18" s="84">
        <v>-20.46</v>
      </c>
      <c r="X18" s="84">
        <v>-20.65</v>
      </c>
    </row>
    <row r="19" spans="1:24" ht="21" customHeight="1" outlineLevel="1" thickTop="1" thickBot="1" x14ac:dyDescent="0.4">
      <c r="A19" s="5">
        <f t="shared" si="2"/>
        <v>0</v>
      </c>
      <c r="B19" s="5">
        <f t="shared" si="2"/>
        <v>0</v>
      </c>
      <c r="C19" s="5">
        <f t="shared" si="1"/>
        <v>0</v>
      </c>
      <c r="D19" s="5">
        <f t="shared" si="1"/>
        <v>1</v>
      </c>
      <c r="E19" s="68" t="s">
        <v>75</v>
      </c>
      <c r="F19" s="84">
        <v>-65.37</v>
      </c>
      <c r="G19" s="84">
        <v>-56.57</v>
      </c>
      <c r="H19" s="84">
        <v>-49.26</v>
      </c>
      <c r="I19" s="84">
        <v>-43.03</v>
      </c>
      <c r="J19" s="84">
        <v>-37.67</v>
      </c>
      <c r="K19" s="84">
        <v>-29.03</v>
      </c>
      <c r="L19" s="84">
        <v>-30.33</v>
      </c>
      <c r="M19" s="84">
        <v>-31.61</v>
      </c>
      <c r="N19" s="84">
        <v>-32.86</v>
      </c>
      <c r="O19" s="84">
        <v>-34.08</v>
      </c>
      <c r="P19" s="84">
        <v>-38.58</v>
      </c>
      <c r="Q19" s="84">
        <v>-42.35</v>
      </c>
      <c r="R19" s="84">
        <v>-45.25</v>
      </c>
      <c r="S19" s="84">
        <v>-45.82</v>
      </c>
      <c r="T19" s="84">
        <v>-46.33</v>
      </c>
      <c r="U19" s="84">
        <v>-46.78</v>
      </c>
      <c r="V19" s="84">
        <v>-47.16</v>
      </c>
      <c r="W19" s="84">
        <v>-48.02</v>
      </c>
      <c r="X19" s="84">
        <v>-47.77</v>
      </c>
    </row>
    <row r="20" spans="1:24" ht="21" customHeight="1" outlineLevel="1" thickTop="1" thickBot="1" x14ac:dyDescent="0.4">
      <c r="A20" s="5">
        <f t="shared" si="2"/>
        <v>0</v>
      </c>
      <c r="B20" s="5">
        <f t="shared" si="2"/>
        <v>0</v>
      </c>
      <c r="C20" s="5">
        <f t="shared" si="1"/>
        <v>1</v>
      </c>
      <c r="D20" s="5">
        <f t="shared" si="1"/>
        <v>0</v>
      </c>
      <c r="E20" s="68" t="s">
        <v>76</v>
      </c>
      <c r="F20" s="84">
        <v>-21.4</v>
      </c>
      <c r="G20" s="84">
        <v>-16.690000000000001</v>
      </c>
      <c r="H20" s="84">
        <v>-13.52</v>
      </c>
      <c r="I20" s="84">
        <v>-11.14</v>
      </c>
      <c r="J20" s="84">
        <v>-9.1850000000000005</v>
      </c>
      <c r="K20" s="84">
        <v>-6.85</v>
      </c>
      <c r="L20" s="84">
        <v>-6.907</v>
      </c>
      <c r="M20" s="84">
        <v>-6.9820000000000002</v>
      </c>
      <c r="N20" s="84">
        <v>-7.0620000000000003</v>
      </c>
      <c r="O20" s="84">
        <v>-7.1429999999999998</v>
      </c>
      <c r="P20" s="84">
        <v>-7.4630000000000001</v>
      </c>
      <c r="Q20" s="84">
        <v>-7.7649999999999997</v>
      </c>
      <c r="R20" s="84">
        <v>-8.048</v>
      </c>
      <c r="S20" s="84">
        <v>-8.1159999999999997</v>
      </c>
      <c r="T20" s="84">
        <v>-8.1820000000000004</v>
      </c>
      <c r="U20" s="84">
        <v>-8.2479999999999993</v>
      </c>
      <c r="V20" s="84">
        <v>-8.3130000000000006</v>
      </c>
      <c r="W20" s="84">
        <v>-8.5609999999999999</v>
      </c>
      <c r="X20" s="84">
        <v>-8.7949999999999999</v>
      </c>
    </row>
    <row r="21" spans="1:24" ht="21" customHeight="1" outlineLevel="1" thickTop="1" thickBot="1" x14ac:dyDescent="0.4">
      <c r="A21" s="5">
        <f t="shared" ref="A21:D32" si="3">IF( ISNUMBER( FIND(A$3,$E21,1)),   IF( ISNUMBER( VALUE(MID($E21,FIND(A$3,$E21,1)+2,1)) ), VALUE( MID($E21,FIND(A$3,$E21,1)+2,1) ),1),0)</f>
        <v>0</v>
      </c>
      <c r="B21" s="5">
        <f t="shared" si="3"/>
        <v>1</v>
      </c>
      <c r="C21" s="5">
        <f t="shared" si="3"/>
        <v>0</v>
      </c>
      <c r="D21" s="5">
        <f t="shared" si="3"/>
        <v>0</v>
      </c>
      <c r="E21" s="68" t="s">
        <v>77</v>
      </c>
      <c r="F21" s="84">
        <v>-19.510000000000002</v>
      </c>
      <c r="G21" s="84">
        <v>-19.89</v>
      </c>
      <c r="H21" s="84">
        <v>-20.329999999999998</v>
      </c>
      <c r="I21" s="84">
        <v>-20.81</v>
      </c>
      <c r="J21" s="84">
        <v>-21.32</v>
      </c>
      <c r="K21" s="84">
        <v>-23.31</v>
      </c>
      <c r="L21" s="84">
        <v>-23.8</v>
      </c>
      <c r="M21" s="84">
        <v>-24.29</v>
      </c>
      <c r="N21" s="84">
        <v>-24.77</v>
      </c>
      <c r="O21" s="84">
        <v>-25.24</v>
      </c>
      <c r="P21" s="84">
        <v>-27.06</v>
      </c>
      <c r="Q21" s="84">
        <v>-28.78</v>
      </c>
      <c r="R21" s="84">
        <v>-30.41</v>
      </c>
      <c r="S21" s="84">
        <v>-30.81</v>
      </c>
      <c r="T21" s="84">
        <v>-31.2</v>
      </c>
      <c r="U21" s="84">
        <v>-31.59</v>
      </c>
      <c r="V21" s="84">
        <v>-31.98</v>
      </c>
      <c r="W21" s="84">
        <v>-33.5</v>
      </c>
      <c r="X21" s="84">
        <v>-35</v>
      </c>
    </row>
    <row r="22" spans="1:24" ht="21" customHeight="1" outlineLevel="1" thickTop="1" thickBot="1" x14ac:dyDescent="0.4">
      <c r="A22" s="5">
        <f t="shared" si="3"/>
        <v>0</v>
      </c>
      <c r="B22" s="5">
        <f t="shared" si="3"/>
        <v>0</v>
      </c>
      <c r="C22" s="5">
        <f t="shared" si="3"/>
        <v>0</v>
      </c>
      <c r="D22" s="5">
        <f t="shared" si="3"/>
        <v>0</v>
      </c>
      <c r="E22" s="44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</row>
    <row r="23" spans="1:24" ht="21" customHeight="1" outlineLevel="1" thickBot="1" x14ac:dyDescent="0.4">
      <c r="A23" s="5">
        <f t="shared" si="3"/>
        <v>0</v>
      </c>
      <c r="B23" s="5">
        <f t="shared" si="3"/>
        <v>0</v>
      </c>
      <c r="C23" s="5">
        <f t="shared" si="3"/>
        <v>0</v>
      </c>
      <c r="D23" s="5">
        <f t="shared" si="3"/>
        <v>0</v>
      </c>
      <c r="E23" s="44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</row>
    <row r="24" spans="1:24" ht="21" customHeight="1" outlineLevel="1" thickBot="1" x14ac:dyDescent="0.4">
      <c r="A24" s="5">
        <f t="shared" si="3"/>
        <v>0</v>
      </c>
      <c r="B24" s="5">
        <f t="shared" si="3"/>
        <v>0</v>
      </c>
      <c r="C24" s="5">
        <f t="shared" si="3"/>
        <v>0</v>
      </c>
      <c r="D24" s="5">
        <f t="shared" si="3"/>
        <v>0</v>
      </c>
      <c r="E24" s="44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</row>
    <row r="25" spans="1:24" ht="21" customHeight="1" outlineLevel="1" thickBot="1" x14ac:dyDescent="0.4">
      <c r="A25" s="5">
        <f t="shared" si="3"/>
        <v>0</v>
      </c>
      <c r="B25" s="5">
        <f t="shared" si="3"/>
        <v>0</v>
      </c>
      <c r="C25" s="5">
        <f t="shared" si="3"/>
        <v>0</v>
      </c>
      <c r="D25" s="5">
        <f t="shared" si="3"/>
        <v>0</v>
      </c>
      <c r="E25" s="44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</row>
    <row r="26" spans="1:24" ht="21" customHeight="1" outlineLevel="1" thickBot="1" x14ac:dyDescent="0.4">
      <c r="A26" s="5">
        <f t="shared" si="3"/>
        <v>0</v>
      </c>
      <c r="B26" s="5">
        <f t="shared" si="3"/>
        <v>0</v>
      </c>
      <c r="C26" s="5">
        <f t="shared" si="3"/>
        <v>0</v>
      </c>
      <c r="D26" s="5">
        <f t="shared" si="3"/>
        <v>0</v>
      </c>
      <c r="E26" s="44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</row>
    <row r="27" spans="1:24" ht="21" customHeight="1" outlineLevel="1" thickBot="1" x14ac:dyDescent="0.4">
      <c r="A27" s="5">
        <f t="shared" si="3"/>
        <v>0</v>
      </c>
      <c r="B27" s="5">
        <f t="shared" si="3"/>
        <v>0</v>
      </c>
      <c r="C27" s="5">
        <f t="shared" si="3"/>
        <v>0</v>
      </c>
      <c r="D27" s="5">
        <f t="shared" si="3"/>
        <v>0</v>
      </c>
      <c r="E27" s="44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</row>
    <row r="28" spans="1:24" ht="21" customHeight="1" outlineLevel="1" thickBot="1" x14ac:dyDescent="0.4">
      <c r="A28" s="5">
        <f t="shared" si="3"/>
        <v>0</v>
      </c>
      <c r="B28" s="5">
        <f t="shared" si="3"/>
        <v>0</v>
      </c>
      <c r="C28" s="5">
        <f t="shared" si="3"/>
        <v>0</v>
      </c>
      <c r="D28" s="5">
        <f t="shared" si="3"/>
        <v>0</v>
      </c>
      <c r="E28" s="44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</row>
    <row r="29" spans="1:24" ht="21" customHeight="1" outlineLevel="1" thickBot="1" x14ac:dyDescent="0.4">
      <c r="A29" s="5">
        <f t="shared" si="3"/>
        <v>0</v>
      </c>
      <c r="B29" s="5">
        <f t="shared" si="3"/>
        <v>0</v>
      </c>
      <c r="C29" s="5">
        <f t="shared" si="3"/>
        <v>0</v>
      </c>
      <c r="D29" s="5">
        <f t="shared" si="3"/>
        <v>0</v>
      </c>
      <c r="E29" s="33"/>
    </row>
    <row r="30" spans="1:24" ht="21" customHeight="1" outlineLevel="1" thickBot="1" x14ac:dyDescent="0.4">
      <c r="A30" s="5">
        <f t="shared" si="3"/>
        <v>0</v>
      </c>
      <c r="B30" s="5">
        <f t="shared" si="3"/>
        <v>0</v>
      </c>
      <c r="C30" s="5">
        <f t="shared" si="3"/>
        <v>0</v>
      </c>
      <c r="D30" s="5">
        <f t="shared" si="3"/>
        <v>0</v>
      </c>
      <c r="E30" s="33"/>
    </row>
    <row r="31" spans="1:24" ht="21" customHeight="1" outlineLevel="1" thickBot="1" x14ac:dyDescent="0.4">
      <c r="A31" s="5">
        <f t="shared" si="3"/>
        <v>0</v>
      </c>
      <c r="B31" s="5">
        <f t="shared" si="3"/>
        <v>0</v>
      </c>
      <c r="C31" s="5">
        <f t="shared" si="3"/>
        <v>0</v>
      </c>
      <c r="D31" s="5">
        <f t="shared" si="3"/>
        <v>0</v>
      </c>
      <c r="E31" s="33"/>
    </row>
    <row r="32" spans="1:24" ht="21" customHeight="1" outlineLevel="1" thickBot="1" x14ac:dyDescent="0.4">
      <c r="A32" s="5">
        <f t="shared" si="3"/>
        <v>0</v>
      </c>
      <c r="B32" s="5">
        <f t="shared" si="3"/>
        <v>0</v>
      </c>
      <c r="C32" s="5">
        <f t="shared" si="3"/>
        <v>0</v>
      </c>
      <c r="D32" s="5">
        <f t="shared" si="3"/>
        <v>0</v>
      </c>
      <c r="E32" s="33"/>
    </row>
    <row r="33" spans="1:26" ht="21" customHeight="1" outlineLevel="1" thickBot="1" x14ac:dyDescent="0.4">
      <c r="A33" s="5"/>
      <c r="B33" s="5"/>
      <c r="C33" s="5"/>
      <c r="D33" s="5"/>
      <c r="E33" s="33">
        <v>1</v>
      </c>
    </row>
    <row r="34" spans="1:26" ht="21" customHeight="1" outlineLevel="1" x14ac:dyDescent="0.35">
      <c r="E34">
        <f>$A$2</f>
        <v>300</v>
      </c>
      <c r="F34">
        <f>MIN(F4:X20)</f>
        <v>-65.37</v>
      </c>
    </row>
    <row r="35" spans="1:26" ht="21" customHeight="1" thickBot="1" x14ac:dyDescent="0.4">
      <c r="A35" s="32"/>
      <c r="B35" s="32"/>
      <c r="C35" s="32"/>
      <c r="D35" s="32"/>
      <c r="E35" s="32">
        <f>$A$2</f>
        <v>300</v>
      </c>
      <c r="F35" s="32">
        <f>MAX(F4:X20)</f>
        <v>0.6</v>
      </c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</row>
    <row r="36" spans="1:26" ht="21" customHeight="1" thickTop="1" thickBot="1" x14ac:dyDescent="0.45">
      <c r="A36" s="35" t="s">
        <v>11</v>
      </c>
      <c r="B36" s="36"/>
      <c r="C36" s="36"/>
      <c r="D36" s="36"/>
      <c r="E36" s="71" t="s">
        <v>72</v>
      </c>
      <c r="F36" s="72"/>
      <c r="G36" s="71"/>
      <c r="H36" s="71"/>
      <c r="I36" s="71"/>
      <c r="J36" s="71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Z36" s="32"/>
    </row>
    <row r="37" spans="1:26" ht="21" hidden="1" customHeight="1" outlineLevel="1" thickTop="1" thickBot="1" x14ac:dyDescent="0.4">
      <c r="A37" s="29" t="s">
        <v>2</v>
      </c>
      <c r="B37" s="29" t="s">
        <v>8</v>
      </c>
      <c r="C37" s="29" t="s">
        <v>9</v>
      </c>
      <c r="D37" s="29" t="s">
        <v>7</v>
      </c>
      <c r="E37" s="29" t="s">
        <v>13</v>
      </c>
      <c r="F37" s="29">
        <f>F$3</f>
        <v>298.2</v>
      </c>
      <c r="G37" s="29">
        <f>G$3</f>
        <v>331.5</v>
      </c>
      <c r="H37" s="29">
        <f t="shared" ref="H37:X37" si="4">H$3</f>
        <v>364.9</v>
      </c>
      <c r="I37" s="29">
        <f t="shared" si="4"/>
        <v>398.3</v>
      </c>
      <c r="J37" s="29">
        <f t="shared" si="4"/>
        <v>431.7</v>
      </c>
      <c r="K37" s="29">
        <f t="shared" si="4"/>
        <v>565.20000000000005</v>
      </c>
      <c r="L37" s="29">
        <f t="shared" si="4"/>
        <v>598.6</v>
      </c>
      <c r="M37" s="29">
        <f t="shared" si="4"/>
        <v>632</v>
      </c>
      <c r="N37" s="29">
        <f t="shared" si="4"/>
        <v>665.4</v>
      </c>
      <c r="O37" s="29">
        <f t="shared" si="4"/>
        <v>698.8</v>
      </c>
      <c r="P37" s="29">
        <f t="shared" si="4"/>
        <v>832.3</v>
      </c>
      <c r="Q37" s="29">
        <f t="shared" si="4"/>
        <v>965.8</v>
      </c>
      <c r="R37" s="29">
        <f t="shared" si="4"/>
        <v>1099</v>
      </c>
      <c r="S37" s="29">
        <f t="shared" si="4"/>
        <v>1133</v>
      </c>
      <c r="T37" s="29">
        <f t="shared" si="4"/>
        <v>1166</v>
      </c>
      <c r="U37" s="29">
        <f t="shared" si="4"/>
        <v>1200</v>
      </c>
      <c r="V37" s="29">
        <f t="shared" si="4"/>
        <v>1233</v>
      </c>
      <c r="W37" s="29">
        <f t="shared" si="4"/>
        <v>1366</v>
      </c>
      <c r="X37" s="29">
        <f t="shared" si="4"/>
        <v>1500</v>
      </c>
    </row>
    <row r="38" spans="1:26" ht="21" hidden="1" customHeight="1" outlineLevel="1" thickTop="1" x14ac:dyDescent="0.35">
      <c r="A38" s="15">
        <f>A43/$B43</f>
        <v>1.6666666666666667</v>
      </c>
      <c r="B38" s="15">
        <f>B43/$B43</f>
        <v>1</v>
      </c>
      <c r="C38" s="15">
        <f>C43/$B43</f>
        <v>0.66666666666666674</v>
      </c>
      <c r="D38" s="15">
        <f>D43/$B43</f>
        <v>5</v>
      </c>
      <c r="E38" s="15">
        <f>SUM(A38:D38)</f>
        <v>8.3333333333333339</v>
      </c>
      <c r="F38" s="4">
        <f t="shared" ref="F38:X38" si="5">($B$38*H.Ge+$C$38*H.Ga+$D$38*H.Se)*F$37*$B$2/1000</f>
        <v>-402.97426526700008</v>
      </c>
      <c r="G38" s="4">
        <f t="shared" si="5"/>
        <v>-424.0592885100001</v>
      </c>
      <c r="H38" s="4">
        <f t="shared" si="5"/>
        <v>-449.05657501049996</v>
      </c>
      <c r="I38" s="4">
        <f t="shared" si="5"/>
        <v>-476.47137167350007</v>
      </c>
      <c r="J38" s="4">
        <f t="shared" si="5"/>
        <v>-505.73620140225006</v>
      </c>
      <c r="K38" s="4">
        <f t="shared" si="5"/>
        <v>-670.84864786800006</v>
      </c>
      <c r="L38" s="4">
        <f t="shared" si="5"/>
        <v>-727.28280278190016</v>
      </c>
      <c r="M38" s="4">
        <f t="shared" si="5"/>
        <v>-785.61524340799997</v>
      </c>
      <c r="N38" s="4">
        <f t="shared" si="5"/>
        <v>-845.46442898160012</v>
      </c>
      <c r="O38" s="4">
        <f t="shared" si="5"/>
        <v>-906.75296647379992</v>
      </c>
      <c r="P38" s="4">
        <f t="shared" si="5"/>
        <v>-1165.9290392830501</v>
      </c>
      <c r="Q38" s="4">
        <f t="shared" si="5"/>
        <v>-1444.6095400165</v>
      </c>
      <c r="R38" s="4">
        <f t="shared" si="5"/>
        <v>-1738.5691725290005</v>
      </c>
      <c r="S38" s="4">
        <f t="shared" si="5"/>
        <v>-1815.4166261109999</v>
      </c>
      <c r="T38" s="4">
        <f t="shared" si="5"/>
        <v>-1891.1335682140002</v>
      </c>
      <c r="U38" s="4">
        <f t="shared" si="5"/>
        <v>-1969.3857731999999</v>
      </c>
      <c r="V38" s="4">
        <f t="shared" si="5"/>
        <v>-2046.7983328605005</v>
      </c>
      <c r="W38" s="4">
        <f t="shared" si="5"/>
        <v>-2363.2265047870001</v>
      </c>
      <c r="X38" s="4">
        <f t="shared" si="5"/>
        <v>-2689.4289562500003</v>
      </c>
    </row>
    <row r="39" spans="1:26" ht="21" hidden="1" customHeight="1" outlineLevel="1" x14ac:dyDescent="0.35"/>
    <row r="40" spans="1:26" ht="21" hidden="1" customHeight="1" outlineLevel="1" x14ac:dyDescent="0.35"/>
    <row r="41" spans="1:26" ht="21" hidden="1" customHeight="1" outlineLevel="1" thickBot="1" x14ac:dyDescent="0.4">
      <c r="A41" s="11" t="s">
        <v>12</v>
      </c>
      <c r="B41" s="11"/>
      <c r="C41" s="11"/>
      <c r="D41" s="11"/>
    </row>
    <row r="42" spans="1:26" ht="21" hidden="1" customHeight="1" outlineLevel="1" thickTop="1" thickBot="1" x14ac:dyDescent="0.4">
      <c r="A42" s="3" t="s">
        <v>2</v>
      </c>
      <c r="B42" s="3" t="s">
        <v>8</v>
      </c>
      <c r="C42" s="3" t="s">
        <v>9</v>
      </c>
      <c r="D42" s="3" t="s">
        <v>7</v>
      </c>
    </row>
    <row r="43" spans="1:26" ht="21" hidden="1" customHeight="1" outlineLevel="1" thickTop="1" x14ac:dyDescent="0.35">
      <c r="A43" s="65">
        <v>0.25</v>
      </c>
      <c r="B43" s="65">
        <v>0.15</v>
      </c>
      <c r="C43" s="65">
        <v>0.1</v>
      </c>
      <c r="D43" s="65">
        <v>0.75</v>
      </c>
      <c r="W43" s="1"/>
    </row>
    <row r="44" spans="1:26" ht="21" hidden="1" customHeight="1" outlineLevel="1" x14ac:dyDescent="0.35"/>
    <row r="45" spans="1:26" ht="21" customHeight="1" collapsed="1" thickBot="1" x14ac:dyDescent="0.4">
      <c r="W45" s="1"/>
    </row>
    <row r="46" spans="1:26" ht="21" customHeight="1" thickBot="1" x14ac:dyDescent="0.45">
      <c r="A46" s="47"/>
      <c r="B46" s="47"/>
      <c r="C46" s="47"/>
      <c r="D46" s="47"/>
      <c r="E46" s="71" t="s">
        <v>73</v>
      </c>
      <c r="F46" s="72"/>
      <c r="G46" s="71"/>
      <c r="H46" s="71"/>
      <c r="I46" s="71"/>
      <c r="J46" s="71"/>
      <c r="K46" s="71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</row>
    <row r="47" spans="1:26" ht="21" hidden="1" customHeight="1" outlineLevel="1" thickTop="1" thickBot="1" x14ac:dyDescent="0.4">
      <c r="A47" s="21" t="str">
        <f t="shared" ref="A47:X47" si="6">A3</f>
        <v>Ar</v>
      </c>
      <c r="B47" s="21" t="str">
        <f t="shared" si="6"/>
        <v>Se</v>
      </c>
      <c r="C47" s="21" t="str">
        <f t="shared" si="6"/>
        <v>Ge</v>
      </c>
      <c r="D47" s="21" t="str">
        <f t="shared" si="6"/>
        <v>Ga</v>
      </c>
      <c r="E47" s="29">
        <f t="shared" si="6"/>
        <v>0</v>
      </c>
      <c r="F47" s="29">
        <f t="shared" si="6"/>
        <v>298.2</v>
      </c>
      <c r="G47" s="29">
        <f t="shared" si="6"/>
        <v>331.5</v>
      </c>
      <c r="H47" s="29">
        <f t="shared" si="6"/>
        <v>364.9</v>
      </c>
      <c r="I47" s="29">
        <f t="shared" si="6"/>
        <v>398.3</v>
      </c>
      <c r="J47" s="29">
        <f t="shared" si="6"/>
        <v>431.7</v>
      </c>
      <c r="K47" s="29">
        <f t="shared" si="6"/>
        <v>565.20000000000005</v>
      </c>
      <c r="L47" s="29">
        <f t="shared" si="6"/>
        <v>598.6</v>
      </c>
      <c r="M47" s="29">
        <f t="shared" si="6"/>
        <v>632</v>
      </c>
      <c r="N47" s="29">
        <f t="shared" si="6"/>
        <v>665.4</v>
      </c>
      <c r="O47" s="29">
        <f t="shared" si="6"/>
        <v>698.8</v>
      </c>
      <c r="P47" s="29">
        <f t="shared" si="6"/>
        <v>832.3</v>
      </c>
      <c r="Q47" s="29">
        <f t="shared" si="6"/>
        <v>965.8</v>
      </c>
      <c r="R47" s="29">
        <f t="shared" si="6"/>
        <v>1099</v>
      </c>
      <c r="S47" s="29">
        <f t="shared" si="6"/>
        <v>1133</v>
      </c>
      <c r="T47" s="29">
        <f t="shared" si="6"/>
        <v>1166</v>
      </c>
      <c r="U47" s="29">
        <f t="shared" si="6"/>
        <v>1200</v>
      </c>
      <c r="V47" s="29">
        <f t="shared" si="6"/>
        <v>1233</v>
      </c>
      <c r="W47" s="29">
        <f t="shared" si="6"/>
        <v>1366</v>
      </c>
      <c r="X47" s="29">
        <f t="shared" si="6"/>
        <v>1500</v>
      </c>
    </row>
    <row r="48" spans="1:26" ht="21" hidden="1" customHeight="1" outlineLevel="1" thickTop="1" thickBot="1" x14ac:dyDescent="0.4">
      <c r="A48" s="5">
        <f t="shared" ref="A48:E57" si="7">A4</f>
        <v>0</v>
      </c>
      <c r="B48" s="5">
        <f t="shared" si="7"/>
        <v>1</v>
      </c>
      <c r="C48" s="5">
        <f t="shared" si="7"/>
        <v>0</v>
      </c>
      <c r="D48" s="5">
        <f t="shared" si="7"/>
        <v>0</v>
      </c>
      <c r="E48" s="34" t="str">
        <f t="shared" si="7"/>
        <v>*Se[m]</v>
      </c>
      <c r="F48" s="37">
        <f t="shared" ref="F48:O57" si="8">$A48*H.Ar + $B48*H.Se + $C48*H.Ge + $D48*H.Ga</f>
        <v>-19.510000000000002</v>
      </c>
      <c r="G48" s="37">
        <f t="shared" si="8"/>
        <v>-19.89</v>
      </c>
      <c r="H48" s="37">
        <f t="shared" si="8"/>
        <v>-20.329999999999998</v>
      </c>
      <c r="I48" s="37">
        <f t="shared" si="8"/>
        <v>-20.81</v>
      </c>
      <c r="J48" s="37">
        <f t="shared" si="8"/>
        <v>-21.32</v>
      </c>
      <c r="K48" s="37">
        <f t="shared" si="8"/>
        <v>-23.31</v>
      </c>
      <c r="L48" s="37">
        <f t="shared" si="8"/>
        <v>-23.8</v>
      </c>
      <c r="M48" s="37">
        <f t="shared" si="8"/>
        <v>-24.29</v>
      </c>
      <c r="N48" s="37">
        <f t="shared" si="8"/>
        <v>-24.77</v>
      </c>
      <c r="O48" s="37">
        <f t="shared" si="8"/>
        <v>-25.24</v>
      </c>
      <c r="P48" s="37">
        <f t="shared" ref="P48:X57" si="9">$A48*H.Ar + $B48*H.Se + $C48*H.Ge + $D48*H.Ga</f>
        <v>-27.06</v>
      </c>
      <c r="Q48" s="37">
        <f t="shared" si="9"/>
        <v>-28.78</v>
      </c>
      <c r="R48" s="37">
        <f t="shared" si="9"/>
        <v>-30.41</v>
      </c>
      <c r="S48" s="37">
        <f t="shared" si="9"/>
        <v>-30.81</v>
      </c>
      <c r="T48" s="37">
        <f t="shared" si="9"/>
        <v>-31.2</v>
      </c>
      <c r="U48" s="37">
        <f t="shared" si="9"/>
        <v>-31.59</v>
      </c>
      <c r="V48" s="37">
        <f t="shared" si="9"/>
        <v>-31.98</v>
      </c>
      <c r="W48" s="37">
        <f t="shared" si="9"/>
        <v>-33.5</v>
      </c>
      <c r="X48" s="37">
        <f t="shared" si="9"/>
        <v>-35</v>
      </c>
    </row>
    <row r="49" spans="1:24" ht="21" hidden="1" customHeight="1" outlineLevel="1" thickBot="1" x14ac:dyDescent="0.4">
      <c r="A49" s="5">
        <f t="shared" si="7"/>
        <v>0</v>
      </c>
      <c r="B49" s="5">
        <f t="shared" si="7"/>
        <v>3</v>
      </c>
      <c r="C49" s="5">
        <f t="shared" si="7"/>
        <v>0</v>
      </c>
      <c r="D49" s="5">
        <f t="shared" si="7"/>
        <v>2</v>
      </c>
      <c r="E49" s="34" t="str">
        <f t="shared" si="7"/>
        <v>Ga2Se3</v>
      </c>
      <c r="F49" s="37">
        <f t="shared" si="8"/>
        <v>-189.27</v>
      </c>
      <c r="G49" s="37">
        <f t="shared" si="8"/>
        <v>-172.81</v>
      </c>
      <c r="H49" s="37">
        <f t="shared" si="8"/>
        <v>-159.51</v>
      </c>
      <c r="I49" s="37">
        <f t="shared" si="8"/>
        <v>-148.49</v>
      </c>
      <c r="J49" s="37">
        <f t="shared" si="8"/>
        <v>-139.30000000000001</v>
      </c>
      <c r="K49" s="37">
        <f t="shared" si="8"/>
        <v>-127.99</v>
      </c>
      <c r="L49" s="37">
        <f t="shared" si="8"/>
        <v>-132.06</v>
      </c>
      <c r="M49" s="37">
        <f t="shared" si="8"/>
        <v>-136.09</v>
      </c>
      <c r="N49" s="37">
        <f t="shared" si="8"/>
        <v>-140.03</v>
      </c>
      <c r="O49" s="37">
        <f t="shared" si="8"/>
        <v>-143.88</v>
      </c>
      <c r="P49" s="37">
        <f t="shared" si="9"/>
        <v>-158.33999999999997</v>
      </c>
      <c r="Q49" s="37">
        <f t="shared" si="9"/>
        <v>-171.04000000000002</v>
      </c>
      <c r="R49" s="37">
        <f t="shared" si="9"/>
        <v>-181.73000000000002</v>
      </c>
      <c r="S49" s="37">
        <f t="shared" si="9"/>
        <v>-184.07</v>
      </c>
      <c r="T49" s="37">
        <f t="shared" si="9"/>
        <v>-186.26</v>
      </c>
      <c r="U49" s="37">
        <f t="shared" si="9"/>
        <v>-188.32999999999998</v>
      </c>
      <c r="V49" s="37">
        <f t="shared" si="9"/>
        <v>-190.26</v>
      </c>
      <c r="W49" s="37">
        <f t="shared" si="9"/>
        <v>-196.54000000000002</v>
      </c>
      <c r="X49" s="37">
        <f t="shared" si="9"/>
        <v>-200.54000000000002</v>
      </c>
    </row>
    <row r="50" spans="1:24" ht="21" hidden="1" customHeight="1" outlineLevel="1" thickBot="1" x14ac:dyDescent="0.4">
      <c r="A50" s="5">
        <f t="shared" si="7"/>
        <v>0</v>
      </c>
      <c r="B50" s="5">
        <f t="shared" si="7"/>
        <v>0</v>
      </c>
      <c r="C50" s="5">
        <f t="shared" si="7"/>
        <v>1</v>
      </c>
      <c r="D50" s="5">
        <f t="shared" si="7"/>
        <v>0</v>
      </c>
      <c r="E50" s="34" t="str">
        <f t="shared" si="7"/>
        <v>Ge</v>
      </c>
      <c r="F50" s="37">
        <f t="shared" si="8"/>
        <v>-21.4</v>
      </c>
      <c r="G50" s="37">
        <f t="shared" si="8"/>
        <v>-16.690000000000001</v>
      </c>
      <c r="H50" s="37">
        <f t="shared" si="8"/>
        <v>-13.52</v>
      </c>
      <c r="I50" s="37">
        <f t="shared" si="8"/>
        <v>-11.14</v>
      </c>
      <c r="J50" s="37">
        <f t="shared" si="8"/>
        <v>-9.1850000000000005</v>
      </c>
      <c r="K50" s="37">
        <f t="shared" si="8"/>
        <v>-6.85</v>
      </c>
      <c r="L50" s="37">
        <f t="shared" si="8"/>
        <v>-6.907</v>
      </c>
      <c r="M50" s="37">
        <f t="shared" si="8"/>
        <v>-6.9820000000000002</v>
      </c>
      <c r="N50" s="37">
        <f t="shared" si="8"/>
        <v>-7.0620000000000003</v>
      </c>
      <c r="O50" s="37">
        <f t="shared" si="8"/>
        <v>-7.1429999999999998</v>
      </c>
      <c r="P50" s="37">
        <f t="shared" si="9"/>
        <v>-7.4630000000000001</v>
      </c>
      <c r="Q50" s="37">
        <f t="shared" si="9"/>
        <v>-7.7649999999999997</v>
      </c>
      <c r="R50" s="37">
        <f t="shared" si="9"/>
        <v>-8.048</v>
      </c>
      <c r="S50" s="37">
        <f t="shared" si="9"/>
        <v>-8.1159999999999997</v>
      </c>
      <c r="T50" s="37">
        <f t="shared" si="9"/>
        <v>-8.1820000000000004</v>
      </c>
      <c r="U50" s="37">
        <f t="shared" si="9"/>
        <v>-8.2479999999999993</v>
      </c>
      <c r="V50" s="37">
        <f t="shared" si="9"/>
        <v>-8.3130000000000006</v>
      </c>
      <c r="W50" s="37">
        <f t="shared" si="9"/>
        <v>-8.5609999999999999</v>
      </c>
      <c r="X50" s="37">
        <f t="shared" si="9"/>
        <v>-8.7949999999999999</v>
      </c>
    </row>
    <row r="51" spans="1:24" ht="21" hidden="1" customHeight="1" outlineLevel="1" thickBot="1" x14ac:dyDescent="0.4">
      <c r="A51" s="5">
        <f t="shared" si="7"/>
        <v>1</v>
      </c>
      <c r="B51" s="5">
        <f t="shared" si="7"/>
        <v>0</v>
      </c>
      <c r="C51" s="5">
        <f t="shared" si="7"/>
        <v>0</v>
      </c>
      <c r="D51" s="5">
        <f t="shared" si="7"/>
        <v>0</v>
      </c>
      <c r="E51" s="34" t="str">
        <f t="shared" si="7"/>
        <v>Ar</v>
      </c>
      <c r="F51" s="37">
        <f t="shared" si="8"/>
        <v>-18.68</v>
      </c>
      <c r="G51" s="37">
        <f t="shared" si="8"/>
        <v>-18.690000000000001</v>
      </c>
      <c r="H51" s="37">
        <f t="shared" si="8"/>
        <v>-18.72</v>
      </c>
      <c r="I51" s="37">
        <f t="shared" si="8"/>
        <v>-18.760000000000002</v>
      </c>
      <c r="J51" s="37">
        <f t="shared" si="8"/>
        <v>-18.82</v>
      </c>
      <c r="K51" s="37">
        <f t="shared" si="8"/>
        <v>-19.03</v>
      </c>
      <c r="L51" s="37">
        <f t="shared" si="8"/>
        <v>-19.100000000000001</v>
      </c>
      <c r="M51" s="37">
        <f t="shared" si="8"/>
        <v>-19.170000000000002</v>
      </c>
      <c r="N51" s="37">
        <f t="shared" si="8"/>
        <v>-19.239999999999998</v>
      </c>
      <c r="O51" s="37">
        <f t="shared" si="8"/>
        <v>-19.309999999999999</v>
      </c>
      <c r="P51" s="37">
        <f t="shared" si="9"/>
        <v>-19.57</v>
      </c>
      <c r="Q51" s="37">
        <f t="shared" si="9"/>
        <v>-19.82</v>
      </c>
      <c r="R51" s="37">
        <f t="shared" si="9"/>
        <v>-20.05</v>
      </c>
      <c r="S51" s="37">
        <f t="shared" si="9"/>
        <v>-20.11</v>
      </c>
      <c r="T51" s="37">
        <f t="shared" si="9"/>
        <v>-20.16</v>
      </c>
      <c r="U51" s="37">
        <f t="shared" si="9"/>
        <v>-20.21</v>
      </c>
      <c r="V51" s="37">
        <f t="shared" si="9"/>
        <v>-20.260000000000002</v>
      </c>
      <c r="W51" s="37">
        <f t="shared" si="9"/>
        <v>-20.46</v>
      </c>
      <c r="X51" s="37">
        <f t="shared" si="9"/>
        <v>-20.65</v>
      </c>
    </row>
    <row r="52" spans="1:24" ht="21" hidden="1" customHeight="1" outlineLevel="1" thickBot="1" x14ac:dyDescent="0.4">
      <c r="A52" s="5">
        <f t="shared" si="7"/>
        <v>0</v>
      </c>
      <c r="B52" s="5">
        <f t="shared" si="7"/>
        <v>2</v>
      </c>
      <c r="C52" s="5">
        <f t="shared" si="7"/>
        <v>1</v>
      </c>
      <c r="D52" s="5">
        <f t="shared" si="7"/>
        <v>0</v>
      </c>
      <c r="E52" s="34" t="str">
        <f t="shared" si="7"/>
        <v>(l)GeSe2</v>
      </c>
      <c r="F52" s="37">
        <f t="shared" si="8"/>
        <v>-60.42</v>
      </c>
      <c r="G52" s="37">
        <f t="shared" si="8"/>
        <v>-56.47</v>
      </c>
      <c r="H52" s="37">
        <f t="shared" si="8"/>
        <v>-54.179999999999993</v>
      </c>
      <c r="I52" s="37">
        <f t="shared" si="8"/>
        <v>-52.76</v>
      </c>
      <c r="J52" s="37">
        <f t="shared" si="8"/>
        <v>-51.825000000000003</v>
      </c>
      <c r="K52" s="37">
        <f t="shared" si="8"/>
        <v>-53.47</v>
      </c>
      <c r="L52" s="37">
        <f t="shared" si="8"/>
        <v>-54.507000000000005</v>
      </c>
      <c r="M52" s="37">
        <f t="shared" si="8"/>
        <v>-55.561999999999998</v>
      </c>
      <c r="N52" s="37">
        <f t="shared" si="8"/>
        <v>-56.601999999999997</v>
      </c>
      <c r="O52" s="37">
        <f t="shared" si="8"/>
        <v>-57.622999999999998</v>
      </c>
      <c r="P52" s="37">
        <f t="shared" si="9"/>
        <v>-61.582999999999998</v>
      </c>
      <c r="Q52" s="37">
        <f t="shared" si="9"/>
        <v>-65.325000000000003</v>
      </c>
      <c r="R52" s="37">
        <f t="shared" si="9"/>
        <v>-68.867999999999995</v>
      </c>
      <c r="S52" s="37">
        <f t="shared" si="9"/>
        <v>-69.73599999999999</v>
      </c>
      <c r="T52" s="37">
        <f t="shared" si="9"/>
        <v>-70.581999999999994</v>
      </c>
      <c r="U52" s="37">
        <f t="shared" si="9"/>
        <v>-71.427999999999997</v>
      </c>
      <c r="V52" s="37">
        <f t="shared" si="9"/>
        <v>-72.272999999999996</v>
      </c>
      <c r="W52" s="37">
        <f t="shared" si="9"/>
        <v>-75.561000000000007</v>
      </c>
      <c r="X52" s="37">
        <f t="shared" si="9"/>
        <v>-78.795000000000002</v>
      </c>
    </row>
    <row r="53" spans="1:24" ht="21" hidden="1" customHeight="1" outlineLevel="1" thickBot="1" x14ac:dyDescent="0.4">
      <c r="A53" s="5">
        <f t="shared" si="7"/>
        <v>0</v>
      </c>
      <c r="B53" s="5">
        <f t="shared" si="7"/>
        <v>1</v>
      </c>
      <c r="C53" s="5">
        <f t="shared" si="7"/>
        <v>1</v>
      </c>
      <c r="D53" s="5">
        <f t="shared" si="7"/>
        <v>0</v>
      </c>
      <c r="E53" s="34" t="str">
        <f t="shared" si="7"/>
        <v>(l)GeSe</v>
      </c>
      <c r="F53" s="37">
        <f t="shared" si="8"/>
        <v>-40.909999999999997</v>
      </c>
      <c r="G53" s="37">
        <f t="shared" si="8"/>
        <v>-36.58</v>
      </c>
      <c r="H53" s="37">
        <f t="shared" si="8"/>
        <v>-33.849999999999994</v>
      </c>
      <c r="I53" s="37">
        <f t="shared" si="8"/>
        <v>-31.95</v>
      </c>
      <c r="J53" s="37">
        <f t="shared" si="8"/>
        <v>-30.505000000000003</v>
      </c>
      <c r="K53" s="37">
        <f t="shared" si="8"/>
        <v>-30.159999999999997</v>
      </c>
      <c r="L53" s="37">
        <f t="shared" si="8"/>
        <v>-30.707000000000001</v>
      </c>
      <c r="M53" s="37">
        <f t="shared" si="8"/>
        <v>-31.271999999999998</v>
      </c>
      <c r="N53" s="37">
        <f t="shared" si="8"/>
        <v>-31.832000000000001</v>
      </c>
      <c r="O53" s="37">
        <f t="shared" si="8"/>
        <v>-32.382999999999996</v>
      </c>
      <c r="P53" s="37">
        <f t="shared" si="9"/>
        <v>-34.522999999999996</v>
      </c>
      <c r="Q53" s="37">
        <f t="shared" si="9"/>
        <v>-36.545000000000002</v>
      </c>
      <c r="R53" s="37">
        <f t="shared" si="9"/>
        <v>-38.457999999999998</v>
      </c>
      <c r="S53" s="37">
        <f t="shared" si="9"/>
        <v>-38.926000000000002</v>
      </c>
      <c r="T53" s="37">
        <f t="shared" si="9"/>
        <v>-39.381999999999998</v>
      </c>
      <c r="U53" s="37">
        <f t="shared" si="9"/>
        <v>-39.838000000000001</v>
      </c>
      <c r="V53" s="37">
        <f t="shared" si="9"/>
        <v>-40.292999999999999</v>
      </c>
      <c r="W53" s="37">
        <f t="shared" si="9"/>
        <v>-42.061</v>
      </c>
      <c r="X53" s="37">
        <f t="shared" si="9"/>
        <v>-43.795000000000002</v>
      </c>
    </row>
    <row r="54" spans="1:24" ht="21" hidden="1" customHeight="1" outlineLevel="1" thickBot="1" x14ac:dyDescent="0.4">
      <c r="A54" s="5">
        <f t="shared" si="7"/>
        <v>0</v>
      </c>
      <c r="B54" s="5">
        <f t="shared" si="7"/>
        <v>3</v>
      </c>
      <c r="C54" s="5">
        <f t="shared" si="7"/>
        <v>0</v>
      </c>
      <c r="D54" s="5">
        <f t="shared" si="7"/>
        <v>2</v>
      </c>
      <c r="E54" s="34" t="str">
        <f t="shared" si="7"/>
        <v>(l)Ga2Se3</v>
      </c>
      <c r="F54" s="37">
        <f t="shared" si="8"/>
        <v>-189.27</v>
      </c>
      <c r="G54" s="37">
        <f t="shared" si="8"/>
        <v>-172.81</v>
      </c>
      <c r="H54" s="37">
        <f t="shared" si="8"/>
        <v>-159.51</v>
      </c>
      <c r="I54" s="37">
        <f t="shared" si="8"/>
        <v>-148.49</v>
      </c>
      <c r="J54" s="37">
        <f t="shared" si="8"/>
        <v>-139.30000000000001</v>
      </c>
      <c r="K54" s="37">
        <f t="shared" si="8"/>
        <v>-127.99</v>
      </c>
      <c r="L54" s="37">
        <f t="shared" si="8"/>
        <v>-132.06</v>
      </c>
      <c r="M54" s="37">
        <f t="shared" si="8"/>
        <v>-136.09</v>
      </c>
      <c r="N54" s="37">
        <f t="shared" si="8"/>
        <v>-140.03</v>
      </c>
      <c r="O54" s="37">
        <f t="shared" si="8"/>
        <v>-143.88</v>
      </c>
      <c r="P54" s="37">
        <f t="shared" si="9"/>
        <v>-158.33999999999997</v>
      </c>
      <c r="Q54" s="37">
        <f t="shared" si="9"/>
        <v>-171.04000000000002</v>
      </c>
      <c r="R54" s="37">
        <f t="shared" si="9"/>
        <v>-181.73000000000002</v>
      </c>
      <c r="S54" s="37">
        <f t="shared" si="9"/>
        <v>-184.07</v>
      </c>
      <c r="T54" s="37">
        <f t="shared" si="9"/>
        <v>-186.26</v>
      </c>
      <c r="U54" s="37">
        <f t="shared" si="9"/>
        <v>-188.32999999999998</v>
      </c>
      <c r="V54" s="37">
        <f t="shared" si="9"/>
        <v>-190.26</v>
      </c>
      <c r="W54" s="37">
        <f t="shared" si="9"/>
        <v>-196.54000000000002</v>
      </c>
      <c r="X54" s="37">
        <f t="shared" si="9"/>
        <v>-200.54000000000002</v>
      </c>
    </row>
    <row r="55" spans="1:24" ht="21" hidden="1" customHeight="1" outlineLevel="1" thickBot="1" x14ac:dyDescent="0.4">
      <c r="A55" s="5">
        <f t="shared" si="7"/>
        <v>0</v>
      </c>
      <c r="B55" s="5">
        <f t="shared" si="7"/>
        <v>0</v>
      </c>
      <c r="C55" s="5">
        <f t="shared" si="7"/>
        <v>1</v>
      </c>
      <c r="D55" s="5">
        <f t="shared" si="7"/>
        <v>0</v>
      </c>
      <c r="E55" s="34" t="str">
        <f t="shared" si="7"/>
        <v>(l)Ge</v>
      </c>
      <c r="F55" s="37">
        <f t="shared" si="8"/>
        <v>-21.4</v>
      </c>
      <c r="G55" s="37">
        <f t="shared" si="8"/>
        <v>-16.690000000000001</v>
      </c>
      <c r="H55" s="37">
        <f t="shared" si="8"/>
        <v>-13.52</v>
      </c>
      <c r="I55" s="37">
        <f t="shared" si="8"/>
        <v>-11.14</v>
      </c>
      <c r="J55" s="37">
        <f t="shared" si="8"/>
        <v>-9.1850000000000005</v>
      </c>
      <c r="K55" s="37">
        <f t="shared" si="8"/>
        <v>-6.85</v>
      </c>
      <c r="L55" s="37">
        <f t="shared" si="8"/>
        <v>-6.907</v>
      </c>
      <c r="M55" s="37">
        <f t="shared" si="8"/>
        <v>-6.9820000000000002</v>
      </c>
      <c r="N55" s="37">
        <f t="shared" si="8"/>
        <v>-7.0620000000000003</v>
      </c>
      <c r="O55" s="37">
        <f t="shared" si="8"/>
        <v>-7.1429999999999998</v>
      </c>
      <c r="P55" s="37">
        <f t="shared" si="9"/>
        <v>-7.4630000000000001</v>
      </c>
      <c r="Q55" s="37">
        <f t="shared" si="9"/>
        <v>-7.7649999999999997</v>
      </c>
      <c r="R55" s="37">
        <f t="shared" si="9"/>
        <v>-8.048</v>
      </c>
      <c r="S55" s="37">
        <f t="shared" si="9"/>
        <v>-8.1159999999999997</v>
      </c>
      <c r="T55" s="37">
        <f t="shared" si="9"/>
        <v>-8.1820000000000004</v>
      </c>
      <c r="U55" s="37">
        <f t="shared" si="9"/>
        <v>-8.2479999999999993</v>
      </c>
      <c r="V55" s="37">
        <f t="shared" si="9"/>
        <v>-8.3130000000000006</v>
      </c>
      <c r="W55" s="37">
        <f t="shared" si="9"/>
        <v>-8.5609999999999999</v>
      </c>
      <c r="X55" s="37">
        <f t="shared" si="9"/>
        <v>-8.7949999999999999</v>
      </c>
    </row>
    <row r="56" spans="1:24" ht="21" hidden="1" customHeight="1" outlineLevel="1" thickBot="1" x14ac:dyDescent="0.4">
      <c r="A56" s="5">
        <f t="shared" si="7"/>
        <v>0</v>
      </c>
      <c r="B56" s="5">
        <f t="shared" si="7"/>
        <v>0</v>
      </c>
      <c r="C56" s="5">
        <f t="shared" si="7"/>
        <v>0</v>
      </c>
      <c r="D56" s="5">
        <f t="shared" si="7"/>
        <v>1</v>
      </c>
      <c r="E56" s="34" t="str">
        <f t="shared" si="7"/>
        <v>(l)Ga</v>
      </c>
      <c r="F56" s="37">
        <f t="shared" si="8"/>
        <v>-65.37</v>
      </c>
      <c r="G56" s="37">
        <f t="shared" si="8"/>
        <v>-56.57</v>
      </c>
      <c r="H56" s="37">
        <f t="shared" si="8"/>
        <v>-49.26</v>
      </c>
      <c r="I56" s="37">
        <f t="shared" si="8"/>
        <v>-43.03</v>
      </c>
      <c r="J56" s="37">
        <f t="shared" si="8"/>
        <v>-37.67</v>
      </c>
      <c r="K56" s="37">
        <f t="shared" si="8"/>
        <v>-29.03</v>
      </c>
      <c r="L56" s="37">
        <f t="shared" si="8"/>
        <v>-30.33</v>
      </c>
      <c r="M56" s="37">
        <f t="shared" si="8"/>
        <v>-31.61</v>
      </c>
      <c r="N56" s="37">
        <f t="shared" si="8"/>
        <v>-32.86</v>
      </c>
      <c r="O56" s="37">
        <f t="shared" si="8"/>
        <v>-34.08</v>
      </c>
      <c r="P56" s="37">
        <f t="shared" si="9"/>
        <v>-38.58</v>
      </c>
      <c r="Q56" s="37">
        <f t="shared" si="9"/>
        <v>-42.35</v>
      </c>
      <c r="R56" s="37">
        <f t="shared" si="9"/>
        <v>-45.25</v>
      </c>
      <c r="S56" s="37">
        <f t="shared" si="9"/>
        <v>-45.82</v>
      </c>
      <c r="T56" s="37">
        <f t="shared" si="9"/>
        <v>-46.33</v>
      </c>
      <c r="U56" s="37">
        <f t="shared" si="9"/>
        <v>-46.78</v>
      </c>
      <c r="V56" s="37">
        <f t="shared" si="9"/>
        <v>-47.16</v>
      </c>
      <c r="W56" s="37">
        <f t="shared" si="9"/>
        <v>-48.02</v>
      </c>
      <c r="X56" s="37">
        <f t="shared" si="9"/>
        <v>-47.77</v>
      </c>
    </row>
    <row r="57" spans="1:24" ht="21" hidden="1" customHeight="1" outlineLevel="1" thickBot="1" x14ac:dyDescent="0.4">
      <c r="A57" s="5">
        <f t="shared" si="7"/>
        <v>0</v>
      </c>
      <c r="B57" s="5">
        <f t="shared" si="7"/>
        <v>1</v>
      </c>
      <c r="C57" s="5">
        <f t="shared" si="7"/>
        <v>0</v>
      </c>
      <c r="D57" s="5">
        <f t="shared" si="7"/>
        <v>0</v>
      </c>
      <c r="E57" s="34" t="str">
        <f t="shared" si="7"/>
        <v>(l)Se</v>
      </c>
      <c r="F57" s="37">
        <f t="shared" si="8"/>
        <v>-19.510000000000002</v>
      </c>
      <c r="G57" s="37">
        <f t="shared" si="8"/>
        <v>-19.89</v>
      </c>
      <c r="H57" s="37">
        <f t="shared" si="8"/>
        <v>-20.329999999999998</v>
      </c>
      <c r="I57" s="37">
        <f t="shared" si="8"/>
        <v>-20.81</v>
      </c>
      <c r="J57" s="37">
        <f t="shared" si="8"/>
        <v>-21.32</v>
      </c>
      <c r="K57" s="37">
        <f t="shared" si="8"/>
        <v>-23.31</v>
      </c>
      <c r="L57" s="37">
        <f t="shared" si="8"/>
        <v>-23.8</v>
      </c>
      <c r="M57" s="37">
        <f t="shared" si="8"/>
        <v>-24.29</v>
      </c>
      <c r="N57" s="37">
        <f t="shared" si="8"/>
        <v>-24.77</v>
      </c>
      <c r="O57" s="37">
        <f t="shared" si="8"/>
        <v>-25.24</v>
      </c>
      <c r="P57" s="37">
        <f t="shared" si="9"/>
        <v>-27.06</v>
      </c>
      <c r="Q57" s="37">
        <f t="shared" si="9"/>
        <v>-28.78</v>
      </c>
      <c r="R57" s="37">
        <f t="shared" si="9"/>
        <v>-30.41</v>
      </c>
      <c r="S57" s="37">
        <f t="shared" si="9"/>
        <v>-30.81</v>
      </c>
      <c r="T57" s="37">
        <f t="shared" si="9"/>
        <v>-31.2</v>
      </c>
      <c r="U57" s="37">
        <f t="shared" si="9"/>
        <v>-31.59</v>
      </c>
      <c r="V57" s="37">
        <f t="shared" si="9"/>
        <v>-31.98</v>
      </c>
      <c r="W57" s="37">
        <f t="shared" si="9"/>
        <v>-33.5</v>
      </c>
      <c r="X57" s="37">
        <f t="shared" si="9"/>
        <v>-35</v>
      </c>
    </row>
    <row r="58" spans="1:24" ht="21" hidden="1" customHeight="1" outlineLevel="1" thickBot="1" x14ac:dyDescent="0.4">
      <c r="A58" s="5">
        <f t="shared" ref="A58:E67" si="10">A14</f>
        <v>0</v>
      </c>
      <c r="B58" s="5">
        <f t="shared" si="10"/>
        <v>1</v>
      </c>
      <c r="C58" s="5">
        <f t="shared" si="10"/>
        <v>0</v>
      </c>
      <c r="D58" s="5">
        <f t="shared" si="10"/>
        <v>0</v>
      </c>
      <c r="E58" s="34" t="str">
        <f t="shared" si="10"/>
        <v>(l)Se[a]</v>
      </c>
      <c r="F58" s="37">
        <f t="shared" ref="F58:O67" si="11">$A58*H.Ar + $B58*H.Se + $C58*H.Ge + $D58*H.Ga</f>
        <v>-19.510000000000002</v>
      </c>
      <c r="G58" s="37">
        <f t="shared" si="11"/>
        <v>-19.89</v>
      </c>
      <c r="H58" s="37">
        <f t="shared" si="11"/>
        <v>-20.329999999999998</v>
      </c>
      <c r="I58" s="37">
        <f t="shared" si="11"/>
        <v>-20.81</v>
      </c>
      <c r="J58" s="37">
        <f t="shared" si="11"/>
        <v>-21.32</v>
      </c>
      <c r="K58" s="37">
        <f t="shared" si="11"/>
        <v>-23.31</v>
      </c>
      <c r="L58" s="37">
        <f t="shared" si="11"/>
        <v>-23.8</v>
      </c>
      <c r="M58" s="37">
        <f t="shared" si="11"/>
        <v>-24.29</v>
      </c>
      <c r="N58" s="37">
        <f t="shared" si="11"/>
        <v>-24.77</v>
      </c>
      <c r="O58" s="37">
        <f t="shared" si="11"/>
        <v>-25.24</v>
      </c>
      <c r="P58" s="37">
        <f t="shared" ref="P58:X67" si="12">$A58*H.Ar + $B58*H.Se + $C58*H.Ge + $D58*H.Ga</f>
        <v>-27.06</v>
      </c>
      <c r="Q58" s="37">
        <f t="shared" si="12"/>
        <v>-28.78</v>
      </c>
      <c r="R58" s="37">
        <f t="shared" si="12"/>
        <v>-30.41</v>
      </c>
      <c r="S58" s="37">
        <f t="shared" si="12"/>
        <v>-30.81</v>
      </c>
      <c r="T58" s="37">
        <f t="shared" si="12"/>
        <v>-31.2</v>
      </c>
      <c r="U58" s="37">
        <f t="shared" si="12"/>
        <v>-31.59</v>
      </c>
      <c r="V58" s="37">
        <f t="shared" si="12"/>
        <v>-31.98</v>
      </c>
      <c r="W58" s="37">
        <f t="shared" si="12"/>
        <v>-33.5</v>
      </c>
      <c r="X58" s="37">
        <f t="shared" si="12"/>
        <v>-35</v>
      </c>
    </row>
    <row r="59" spans="1:24" ht="21" hidden="1" customHeight="1" outlineLevel="1" thickBot="1" x14ac:dyDescent="0.4">
      <c r="A59" s="5">
        <f t="shared" si="10"/>
        <v>0</v>
      </c>
      <c r="B59" s="5">
        <f t="shared" si="10"/>
        <v>1</v>
      </c>
      <c r="C59" s="5">
        <f t="shared" si="10"/>
        <v>0</v>
      </c>
      <c r="D59" s="5">
        <f t="shared" si="10"/>
        <v>0</v>
      </c>
      <c r="E59" s="34" t="str">
        <f t="shared" si="10"/>
        <v>(l)Se[m]</v>
      </c>
      <c r="F59" s="37">
        <f t="shared" si="11"/>
        <v>-19.510000000000002</v>
      </c>
      <c r="G59" s="37">
        <f t="shared" si="11"/>
        <v>-19.89</v>
      </c>
      <c r="H59" s="37">
        <f t="shared" si="11"/>
        <v>-20.329999999999998</v>
      </c>
      <c r="I59" s="37">
        <f t="shared" si="11"/>
        <v>-20.81</v>
      </c>
      <c r="J59" s="37">
        <f t="shared" si="11"/>
        <v>-21.32</v>
      </c>
      <c r="K59" s="37">
        <f t="shared" si="11"/>
        <v>-23.31</v>
      </c>
      <c r="L59" s="37">
        <f t="shared" si="11"/>
        <v>-23.8</v>
      </c>
      <c r="M59" s="37">
        <f t="shared" si="11"/>
        <v>-24.29</v>
      </c>
      <c r="N59" s="37">
        <f t="shared" si="11"/>
        <v>-24.77</v>
      </c>
      <c r="O59" s="37">
        <f t="shared" si="11"/>
        <v>-25.24</v>
      </c>
      <c r="P59" s="37">
        <f t="shared" si="12"/>
        <v>-27.06</v>
      </c>
      <c r="Q59" s="37">
        <f t="shared" si="12"/>
        <v>-28.78</v>
      </c>
      <c r="R59" s="37">
        <f t="shared" si="12"/>
        <v>-30.41</v>
      </c>
      <c r="S59" s="37">
        <f t="shared" si="12"/>
        <v>-30.81</v>
      </c>
      <c r="T59" s="37">
        <f t="shared" si="12"/>
        <v>-31.2</v>
      </c>
      <c r="U59" s="37">
        <f t="shared" si="12"/>
        <v>-31.59</v>
      </c>
      <c r="V59" s="37">
        <f t="shared" si="12"/>
        <v>-31.98</v>
      </c>
      <c r="W59" s="37">
        <f t="shared" si="12"/>
        <v>-33.5</v>
      </c>
      <c r="X59" s="37">
        <f t="shared" si="12"/>
        <v>-35</v>
      </c>
    </row>
    <row r="60" spans="1:24" ht="21" hidden="1" customHeight="1" outlineLevel="1" thickBot="1" x14ac:dyDescent="0.4">
      <c r="A60" s="5">
        <f t="shared" si="10"/>
        <v>0</v>
      </c>
      <c r="B60" s="5">
        <f t="shared" si="10"/>
        <v>1</v>
      </c>
      <c r="C60" s="5">
        <f t="shared" si="10"/>
        <v>0</v>
      </c>
      <c r="D60" s="5">
        <f t="shared" si="10"/>
        <v>0</v>
      </c>
      <c r="E60" s="34" t="str">
        <f t="shared" si="10"/>
        <v>(l)Se[r]</v>
      </c>
      <c r="F60" s="37">
        <f t="shared" si="11"/>
        <v>-19.510000000000002</v>
      </c>
      <c r="G60" s="37">
        <f t="shared" si="11"/>
        <v>-19.89</v>
      </c>
      <c r="H60" s="37">
        <f t="shared" si="11"/>
        <v>-20.329999999999998</v>
      </c>
      <c r="I60" s="37">
        <f t="shared" si="11"/>
        <v>-20.81</v>
      </c>
      <c r="J60" s="37">
        <f t="shared" si="11"/>
        <v>-21.32</v>
      </c>
      <c r="K60" s="37">
        <f t="shared" si="11"/>
        <v>-23.31</v>
      </c>
      <c r="L60" s="37">
        <f t="shared" si="11"/>
        <v>-23.8</v>
      </c>
      <c r="M60" s="37">
        <f t="shared" si="11"/>
        <v>-24.29</v>
      </c>
      <c r="N60" s="37">
        <f t="shared" si="11"/>
        <v>-24.77</v>
      </c>
      <c r="O60" s="37">
        <f t="shared" si="11"/>
        <v>-25.24</v>
      </c>
      <c r="P60" s="37">
        <f t="shared" si="12"/>
        <v>-27.06</v>
      </c>
      <c r="Q60" s="37">
        <f t="shared" si="12"/>
        <v>-28.78</v>
      </c>
      <c r="R60" s="37">
        <f t="shared" si="12"/>
        <v>-30.41</v>
      </c>
      <c r="S60" s="37">
        <f t="shared" si="12"/>
        <v>-30.81</v>
      </c>
      <c r="T60" s="37">
        <f t="shared" si="12"/>
        <v>-31.2</v>
      </c>
      <c r="U60" s="37">
        <f t="shared" si="12"/>
        <v>-31.59</v>
      </c>
      <c r="V60" s="37">
        <f t="shared" si="12"/>
        <v>-31.98</v>
      </c>
      <c r="W60" s="37">
        <f t="shared" si="12"/>
        <v>-33.5</v>
      </c>
      <c r="X60" s="37">
        <f t="shared" si="12"/>
        <v>-35</v>
      </c>
    </row>
    <row r="61" spans="1:24" ht="21" hidden="1" customHeight="1" outlineLevel="1" thickBot="1" x14ac:dyDescent="0.4">
      <c r="A61" s="5">
        <f t="shared" si="10"/>
        <v>0</v>
      </c>
      <c r="B61" s="5">
        <f t="shared" si="10"/>
        <v>0</v>
      </c>
      <c r="C61" s="5">
        <f t="shared" si="10"/>
        <v>1</v>
      </c>
      <c r="D61" s="5">
        <f t="shared" si="10"/>
        <v>0</v>
      </c>
      <c r="E61" s="34" t="str">
        <f t="shared" si="10"/>
        <v>(l)Ge[c]</v>
      </c>
      <c r="F61" s="37">
        <f t="shared" si="11"/>
        <v>-21.4</v>
      </c>
      <c r="G61" s="37">
        <f t="shared" si="11"/>
        <v>-16.690000000000001</v>
      </c>
      <c r="H61" s="37">
        <f t="shared" si="11"/>
        <v>-13.52</v>
      </c>
      <c r="I61" s="37">
        <f t="shared" si="11"/>
        <v>-11.14</v>
      </c>
      <c r="J61" s="37">
        <f t="shared" si="11"/>
        <v>-9.1850000000000005</v>
      </c>
      <c r="K61" s="37">
        <f t="shared" si="11"/>
        <v>-6.85</v>
      </c>
      <c r="L61" s="37">
        <f t="shared" si="11"/>
        <v>-6.907</v>
      </c>
      <c r="M61" s="37">
        <f t="shared" si="11"/>
        <v>-6.9820000000000002</v>
      </c>
      <c r="N61" s="37">
        <f t="shared" si="11"/>
        <v>-7.0620000000000003</v>
      </c>
      <c r="O61" s="37">
        <f t="shared" si="11"/>
        <v>-7.1429999999999998</v>
      </c>
      <c r="P61" s="37">
        <f t="shared" si="12"/>
        <v>-7.4630000000000001</v>
      </c>
      <c r="Q61" s="37">
        <f t="shared" si="12"/>
        <v>-7.7649999999999997</v>
      </c>
      <c r="R61" s="37">
        <f t="shared" si="12"/>
        <v>-8.048</v>
      </c>
      <c r="S61" s="37">
        <f t="shared" si="12"/>
        <v>-8.1159999999999997</v>
      </c>
      <c r="T61" s="37">
        <f t="shared" si="12"/>
        <v>-8.1820000000000004</v>
      </c>
      <c r="U61" s="37">
        <f t="shared" si="12"/>
        <v>-8.2479999999999993</v>
      </c>
      <c r="V61" s="37">
        <f t="shared" si="12"/>
        <v>-8.3130000000000006</v>
      </c>
      <c r="W61" s="37">
        <f t="shared" si="12"/>
        <v>-8.5609999999999999</v>
      </c>
      <c r="X61" s="37">
        <f t="shared" si="12"/>
        <v>-8.7949999999999999</v>
      </c>
    </row>
    <row r="62" spans="1:24" ht="21" hidden="1" customHeight="1" outlineLevel="1" thickBot="1" x14ac:dyDescent="0.4">
      <c r="A62" s="5">
        <f t="shared" si="10"/>
        <v>1</v>
      </c>
      <c r="B62" s="5">
        <f t="shared" si="10"/>
        <v>0</v>
      </c>
      <c r="C62" s="5">
        <f t="shared" si="10"/>
        <v>0</v>
      </c>
      <c r="D62" s="5">
        <f t="shared" si="10"/>
        <v>0</v>
      </c>
      <c r="E62" s="34" t="str">
        <f t="shared" si="10"/>
        <v>H (Ar)</v>
      </c>
      <c r="F62" s="37">
        <f t="shared" si="11"/>
        <v>-18.68</v>
      </c>
      <c r="G62" s="37">
        <f t="shared" si="11"/>
        <v>-18.690000000000001</v>
      </c>
      <c r="H62" s="37">
        <f t="shared" si="11"/>
        <v>-18.72</v>
      </c>
      <c r="I62" s="37">
        <f t="shared" si="11"/>
        <v>-18.760000000000002</v>
      </c>
      <c r="J62" s="37">
        <f t="shared" si="11"/>
        <v>-18.82</v>
      </c>
      <c r="K62" s="37">
        <f t="shared" si="11"/>
        <v>-19.03</v>
      </c>
      <c r="L62" s="37">
        <f t="shared" si="11"/>
        <v>-19.100000000000001</v>
      </c>
      <c r="M62" s="37">
        <f t="shared" si="11"/>
        <v>-19.170000000000002</v>
      </c>
      <c r="N62" s="37">
        <f t="shared" si="11"/>
        <v>-19.239999999999998</v>
      </c>
      <c r="O62" s="37">
        <f t="shared" si="11"/>
        <v>-19.309999999999999</v>
      </c>
      <c r="P62" s="37">
        <f t="shared" si="12"/>
        <v>-19.57</v>
      </c>
      <c r="Q62" s="37">
        <f t="shared" si="12"/>
        <v>-19.82</v>
      </c>
      <c r="R62" s="37">
        <f t="shared" si="12"/>
        <v>-20.05</v>
      </c>
      <c r="S62" s="37">
        <f t="shared" si="12"/>
        <v>-20.11</v>
      </c>
      <c r="T62" s="37">
        <f t="shared" si="12"/>
        <v>-20.16</v>
      </c>
      <c r="U62" s="37">
        <f t="shared" si="12"/>
        <v>-20.21</v>
      </c>
      <c r="V62" s="37">
        <f t="shared" si="12"/>
        <v>-20.260000000000002</v>
      </c>
      <c r="W62" s="37">
        <f t="shared" si="12"/>
        <v>-20.46</v>
      </c>
      <c r="X62" s="37">
        <f t="shared" si="12"/>
        <v>-20.65</v>
      </c>
    </row>
    <row r="63" spans="1:24" ht="21" hidden="1" customHeight="1" outlineLevel="1" thickBot="1" x14ac:dyDescent="0.4">
      <c r="A63" s="5">
        <f t="shared" si="10"/>
        <v>0</v>
      </c>
      <c r="B63" s="5">
        <f t="shared" si="10"/>
        <v>0</v>
      </c>
      <c r="C63" s="5">
        <f t="shared" si="10"/>
        <v>0</v>
      </c>
      <c r="D63" s="5">
        <f t="shared" si="10"/>
        <v>1</v>
      </c>
      <c r="E63" s="34" t="str">
        <f t="shared" si="10"/>
        <v>H (Ga)</v>
      </c>
      <c r="F63" s="37">
        <f t="shared" si="11"/>
        <v>-65.37</v>
      </c>
      <c r="G63" s="37">
        <f t="shared" si="11"/>
        <v>-56.57</v>
      </c>
      <c r="H63" s="37">
        <f t="shared" si="11"/>
        <v>-49.26</v>
      </c>
      <c r="I63" s="37">
        <f t="shared" si="11"/>
        <v>-43.03</v>
      </c>
      <c r="J63" s="37">
        <f t="shared" si="11"/>
        <v>-37.67</v>
      </c>
      <c r="K63" s="37">
        <f t="shared" si="11"/>
        <v>-29.03</v>
      </c>
      <c r="L63" s="37">
        <f t="shared" si="11"/>
        <v>-30.33</v>
      </c>
      <c r="M63" s="37">
        <f t="shared" si="11"/>
        <v>-31.61</v>
      </c>
      <c r="N63" s="37">
        <f t="shared" si="11"/>
        <v>-32.86</v>
      </c>
      <c r="O63" s="37">
        <f t="shared" si="11"/>
        <v>-34.08</v>
      </c>
      <c r="P63" s="37">
        <f t="shared" si="12"/>
        <v>-38.58</v>
      </c>
      <c r="Q63" s="37">
        <f t="shared" si="12"/>
        <v>-42.35</v>
      </c>
      <c r="R63" s="37">
        <f t="shared" si="12"/>
        <v>-45.25</v>
      </c>
      <c r="S63" s="37">
        <f t="shared" si="12"/>
        <v>-45.82</v>
      </c>
      <c r="T63" s="37">
        <f t="shared" si="12"/>
        <v>-46.33</v>
      </c>
      <c r="U63" s="37">
        <f t="shared" si="12"/>
        <v>-46.78</v>
      </c>
      <c r="V63" s="37">
        <f t="shared" si="12"/>
        <v>-47.16</v>
      </c>
      <c r="W63" s="37">
        <f t="shared" si="12"/>
        <v>-48.02</v>
      </c>
      <c r="X63" s="37">
        <f t="shared" si="12"/>
        <v>-47.77</v>
      </c>
    </row>
    <row r="64" spans="1:24" ht="21" hidden="1" customHeight="1" outlineLevel="1" thickBot="1" x14ac:dyDescent="0.4">
      <c r="A64" s="5">
        <f t="shared" si="10"/>
        <v>0</v>
      </c>
      <c r="B64" s="5">
        <f t="shared" si="10"/>
        <v>0</v>
      </c>
      <c r="C64" s="5">
        <f t="shared" si="10"/>
        <v>1</v>
      </c>
      <c r="D64" s="5">
        <f t="shared" si="10"/>
        <v>0</v>
      </c>
      <c r="E64" s="34" t="str">
        <f t="shared" si="10"/>
        <v>H (Ge)</v>
      </c>
      <c r="F64" s="37">
        <f t="shared" si="11"/>
        <v>-21.4</v>
      </c>
      <c r="G64" s="37">
        <f t="shared" si="11"/>
        <v>-16.690000000000001</v>
      </c>
      <c r="H64" s="37">
        <f t="shared" si="11"/>
        <v>-13.52</v>
      </c>
      <c r="I64" s="37">
        <f t="shared" si="11"/>
        <v>-11.14</v>
      </c>
      <c r="J64" s="37">
        <f t="shared" si="11"/>
        <v>-9.1850000000000005</v>
      </c>
      <c r="K64" s="37">
        <f t="shared" si="11"/>
        <v>-6.85</v>
      </c>
      <c r="L64" s="37">
        <f t="shared" si="11"/>
        <v>-6.907</v>
      </c>
      <c r="M64" s="37">
        <f t="shared" si="11"/>
        <v>-6.9820000000000002</v>
      </c>
      <c r="N64" s="37">
        <f t="shared" si="11"/>
        <v>-7.0620000000000003</v>
      </c>
      <c r="O64" s="37">
        <f t="shared" si="11"/>
        <v>-7.1429999999999998</v>
      </c>
      <c r="P64" s="37">
        <f t="shared" si="12"/>
        <v>-7.4630000000000001</v>
      </c>
      <c r="Q64" s="37">
        <f t="shared" si="12"/>
        <v>-7.7649999999999997</v>
      </c>
      <c r="R64" s="37">
        <f t="shared" si="12"/>
        <v>-8.048</v>
      </c>
      <c r="S64" s="37">
        <f t="shared" si="12"/>
        <v>-8.1159999999999997</v>
      </c>
      <c r="T64" s="37">
        <f t="shared" si="12"/>
        <v>-8.1820000000000004</v>
      </c>
      <c r="U64" s="37">
        <f t="shared" si="12"/>
        <v>-8.2479999999999993</v>
      </c>
      <c r="V64" s="37">
        <f t="shared" si="12"/>
        <v>-8.3130000000000006</v>
      </c>
      <c r="W64" s="37">
        <f t="shared" si="12"/>
        <v>-8.5609999999999999</v>
      </c>
      <c r="X64" s="37">
        <f t="shared" si="12"/>
        <v>-8.7949999999999999</v>
      </c>
    </row>
    <row r="65" spans="1:24" ht="21" hidden="1" customHeight="1" outlineLevel="1" thickBot="1" x14ac:dyDescent="0.4">
      <c r="A65" s="5">
        <f t="shared" si="10"/>
        <v>0</v>
      </c>
      <c r="B65" s="5">
        <f t="shared" si="10"/>
        <v>1</v>
      </c>
      <c r="C65" s="5">
        <f t="shared" si="10"/>
        <v>0</v>
      </c>
      <c r="D65" s="5">
        <f t="shared" si="10"/>
        <v>0</v>
      </c>
      <c r="E65" s="34" t="str">
        <f t="shared" si="10"/>
        <v>H (Se)</v>
      </c>
      <c r="F65" s="37">
        <f t="shared" si="11"/>
        <v>-19.510000000000002</v>
      </c>
      <c r="G65" s="37">
        <f t="shared" si="11"/>
        <v>-19.89</v>
      </c>
      <c r="H65" s="37">
        <f t="shared" si="11"/>
        <v>-20.329999999999998</v>
      </c>
      <c r="I65" s="37">
        <f t="shared" si="11"/>
        <v>-20.81</v>
      </c>
      <c r="J65" s="37">
        <f t="shared" si="11"/>
        <v>-21.32</v>
      </c>
      <c r="K65" s="37">
        <f t="shared" si="11"/>
        <v>-23.31</v>
      </c>
      <c r="L65" s="37">
        <f t="shared" si="11"/>
        <v>-23.8</v>
      </c>
      <c r="M65" s="37">
        <f t="shared" si="11"/>
        <v>-24.29</v>
      </c>
      <c r="N65" s="37">
        <f t="shared" si="11"/>
        <v>-24.77</v>
      </c>
      <c r="O65" s="37">
        <f t="shared" si="11"/>
        <v>-25.24</v>
      </c>
      <c r="P65" s="37">
        <f t="shared" si="12"/>
        <v>-27.06</v>
      </c>
      <c r="Q65" s="37">
        <f t="shared" si="12"/>
        <v>-28.78</v>
      </c>
      <c r="R65" s="37">
        <f t="shared" si="12"/>
        <v>-30.41</v>
      </c>
      <c r="S65" s="37">
        <f t="shared" si="12"/>
        <v>-30.81</v>
      </c>
      <c r="T65" s="37">
        <f t="shared" si="12"/>
        <v>-31.2</v>
      </c>
      <c r="U65" s="37">
        <f t="shared" si="12"/>
        <v>-31.59</v>
      </c>
      <c r="V65" s="37">
        <f t="shared" si="12"/>
        <v>-31.98</v>
      </c>
      <c r="W65" s="37">
        <f t="shared" si="12"/>
        <v>-33.5</v>
      </c>
      <c r="X65" s="37">
        <f t="shared" si="12"/>
        <v>-35</v>
      </c>
    </row>
    <row r="66" spans="1:24" ht="21" hidden="1" customHeight="1" outlineLevel="1" thickBot="1" x14ac:dyDescent="0.4">
      <c r="A66" s="5">
        <f t="shared" si="10"/>
        <v>0</v>
      </c>
      <c r="B66" s="5">
        <f t="shared" si="10"/>
        <v>0</v>
      </c>
      <c r="C66" s="5">
        <f t="shared" si="10"/>
        <v>0</v>
      </c>
      <c r="D66" s="5">
        <f t="shared" si="10"/>
        <v>0</v>
      </c>
      <c r="E66" s="34">
        <f t="shared" si="10"/>
        <v>0</v>
      </c>
      <c r="F66" s="37">
        <f t="shared" si="11"/>
        <v>0</v>
      </c>
      <c r="G66" s="37">
        <f t="shared" si="11"/>
        <v>0</v>
      </c>
      <c r="H66" s="37">
        <f t="shared" si="11"/>
        <v>0</v>
      </c>
      <c r="I66" s="37">
        <f t="shared" si="11"/>
        <v>0</v>
      </c>
      <c r="J66" s="37">
        <f t="shared" si="11"/>
        <v>0</v>
      </c>
      <c r="K66" s="37">
        <f t="shared" si="11"/>
        <v>0</v>
      </c>
      <c r="L66" s="37">
        <f t="shared" si="11"/>
        <v>0</v>
      </c>
      <c r="M66" s="37">
        <f t="shared" si="11"/>
        <v>0</v>
      </c>
      <c r="N66" s="37">
        <f t="shared" si="11"/>
        <v>0</v>
      </c>
      <c r="O66" s="37">
        <f t="shared" si="11"/>
        <v>0</v>
      </c>
      <c r="P66" s="37">
        <f t="shared" si="12"/>
        <v>0</v>
      </c>
      <c r="Q66" s="37">
        <f t="shared" si="12"/>
        <v>0</v>
      </c>
      <c r="R66" s="37">
        <f t="shared" si="12"/>
        <v>0</v>
      </c>
      <c r="S66" s="37">
        <f t="shared" si="12"/>
        <v>0</v>
      </c>
      <c r="T66" s="37">
        <f t="shared" si="12"/>
        <v>0</v>
      </c>
      <c r="U66" s="37">
        <f t="shared" si="12"/>
        <v>0</v>
      </c>
      <c r="V66" s="37">
        <f t="shared" si="12"/>
        <v>0</v>
      </c>
      <c r="W66" s="37">
        <f t="shared" si="12"/>
        <v>0</v>
      </c>
      <c r="X66" s="37">
        <f t="shared" si="12"/>
        <v>0</v>
      </c>
    </row>
    <row r="67" spans="1:24" ht="21" hidden="1" customHeight="1" outlineLevel="1" thickBot="1" x14ac:dyDescent="0.4">
      <c r="A67" s="5">
        <f t="shared" si="10"/>
        <v>0</v>
      </c>
      <c r="B67" s="5">
        <f t="shared" si="10"/>
        <v>0</v>
      </c>
      <c r="C67" s="5">
        <f t="shared" si="10"/>
        <v>0</v>
      </c>
      <c r="D67" s="5">
        <f t="shared" si="10"/>
        <v>0</v>
      </c>
      <c r="E67" s="34">
        <f t="shared" si="10"/>
        <v>0</v>
      </c>
      <c r="F67" s="37">
        <f t="shared" si="11"/>
        <v>0</v>
      </c>
      <c r="G67" s="37">
        <f t="shared" si="11"/>
        <v>0</v>
      </c>
      <c r="H67" s="37">
        <f t="shared" si="11"/>
        <v>0</v>
      </c>
      <c r="I67" s="37">
        <f t="shared" si="11"/>
        <v>0</v>
      </c>
      <c r="J67" s="37">
        <f t="shared" si="11"/>
        <v>0</v>
      </c>
      <c r="K67" s="37">
        <f t="shared" si="11"/>
        <v>0</v>
      </c>
      <c r="L67" s="37">
        <f t="shared" si="11"/>
        <v>0</v>
      </c>
      <c r="M67" s="37">
        <f t="shared" si="11"/>
        <v>0</v>
      </c>
      <c r="N67" s="37">
        <f t="shared" si="11"/>
        <v>0</v>
      </c>
      <c r="O67" s="37">
        <f t="shared" si="11"/>
        <v>0</v>
      </c>
      <c r="P67" s="37">
        <f t="shared" si="12"/>
        <v>0</v>
      </c>
      <c r="Q67" s="37">
        <f t="shared" si="12"/>
        <v>0</v>
      </c>
      <c r="R67" s="37">
        <f t="shared" si="12"/>
        <v>0</v>
      </c>
      <c r="S67" s="37">
        <f t="shared" si="12"/>
        <v>0</v>
      </c>
      <c r="T67" s="37">
        <f t="shared" si="12"/>
        <v>0</v>
      </c>
      <c r="U67" s="37">
        <f t="shared" si="12"/>
        <v>0</v>
      </c>
      <c r="V67" s="37">
        <f t="shared" si="12"/>
        <v>0</v>
      </c>
      <c r="W67" s="37">
        <f t="shared" si="12"/>
        <v>0</v>
      </c>
      <c r="X67" s="37">
        <f t="shared" si="12"/>
        <v>0</v>
      </c>
    </row>
    <row r="68" spans="1:24" ht="21" hidden="1" customHeight="1" outlineLevel="1" thickBot="1" x14ac:dyDescent="0.4">
      <c r="A68" s="5">
        <f t="shared" ref="A68:E77" si="13">A24</f>
        <v>0</v>
      </c>
      <c r="B68" s="5">
        <f t="shared" si="13"/>
        <v>0</v>
      </c>
      <c r="C68" s="5">
        <f t="shared" si="13"/>
        <v>0</v>
      </c>
      <c r="D68" s="5">
        <f t="shared" si="13"/>
        <v>0</v>
      </c>
      <c r="E68" s="34">
        <f t="shared" si="13"/>
        <v>0</v>
      </c>
      <c r="F68" s="37">
        <f t="shared" ref="F68:O76" si="14">$A68*H.Ar + $B68*H.Se + $C68*H.Ge + $D68*H.Ga</f>
        <v>0</v>
      </c>
      <c r="G68" s="37">
        <f t="shared" si="14"/>
        <v>0</v>
      </c>
      <c r="H68" s="37">
        <f t="shared" si="14"/>
        <v>0</v>
      </c>
      <c r="I68" s="37">
        <f t="shared" si="14"/>
        <v>0</v>
      </c>
      <c r="J68" s="37">
        <f t="shared" si="14"/>
        <v>0</v>
      </c>
      <c r="K68" s="37">
        <f t="shared" si="14"/>
        <v>0</v>
      </c>
      <c r="L68" s="37">
        <f t="shared" si="14"/>
        <v>0</v>
      </c>
      <c r="M68" s="37">
        <f t="shared" si="14"/>
        <v>0</v>
      </c>
      <c r="N68" s="37">
        <f t="shared" si="14"/>
        <v>0</v>
      </c>
      <c r="O68" s="37">
        <f t="shared" si="14"/>
        <v>0</v>
      </c>
      <c r="P68" s="37">
        <f t="shared" ref="P68:X76" si="15">$A68*H.Ar + $B68*H.Se + $C68*H.Ge + $D68*H.Ga</f>
        <v>0</v>
      </c>
      <c r="Q68" s="37">
        <f t="shared" si="15"/>
        <v>0</v>
      </c>
      <c r="R68" s="37">
        <f t="shared" si="15"/>
        <v>0</v>
      </c>
      <c r="S68" s="37">
        <f t="shared" si="15"/>
        <v>0</v>
      </c>
      <c r="T68" s="37">
        <f t="shared" si="15"/>
        <v>0</v>
      </c>
      <c r="U68" s="37">
        <f t="shared" si="15"/>
        <v>0</v>
      </c>
      <c r="V68" s="37">
        <f t="shared" si="15"/>
        <v>0</v>
      </c>
      <c r="W68" s="37">
        <f t="shared" si="15"/>
        <v>0</v>
      </c>
      <c r="X68" s="37">
        <f t="shared" si="15"/>
        <v>0</v>
      </c>
    </row>
    <row r="69" spans="1:24" ht="21" hidden="1" customHeight="1" outlineLevel="1" thickBot="1" x14ac:dyDescent="0.4">
      <c r="A69" s="5">
        <f t="shared" si="13"/>
        <v>0</v>
      </c>
      <c r="B69" s="5">
        <f t="shared" si="13"/>
        <v>0</v>
      </c>
      <c r="C69" s="5">
        <f t="shared" si="13"/>
        <v>0</v>
      </c>
      <c r="D69" s="5">
        <f t="shared" si="13"/>
        <v>0</v>
      </c>
      <c r="E69" s="34">
        <f t="shared" si="13"/>
        <v>0</v>
      </c>
      <c r="F69" s="37">
        <f t="shared" si="14"/>
        <v>0</v>
      </c>
      <c r="G69" s="37">
        <f t="shared" si="14"/>
        <v>0</v>
      </c>
      <c r="H69" s="37">
        <f t="shared" si="14"/>
        <v>0</v>
      </c>
      <c r="I69" s="37">
        <f t="shared" si="14"/>
        <v>0</v>
      </c>
      <c r="J69" s="37">
        <f t="shared" si="14"/>
        <v>0</v>
      </c>
      <c r="K69" s="37">
        <f t="shared" si="14"/>
        <v>0</v>
      </c>
      <c r="L69" s="37">
        <f t="shared" si="14"/>
        <v>0</v>
      </c>
      <c r="M69" s="37">
        <f t="shared" si="14"/>
        <v>0</v>
      </c>
      <c r="N69" s="37">
        <f t="shared" si="14"/>
        <v>0</v>
      </c>
      <c r="O69" s="37">
        <f t="shared" si="14"/>
        <v>0</v>
      </c>
      <c r="P69" s="37">
        <f t="shared" si="15"/>
        <v>0</v>
      </c>
      <c r="Q69" s="37">
        <f t="shared" si="15"/>
        <v>0</v>
      </c>
      <c r="R69" s="37">
        <f t="shared" si="15"/>
        <v>0</v>
      </c>
      <c r="S69" s="37">
        <f t="shared" si="15"/>
        <v>0</v>
      </c>
      <c r="T69" s="37">
        <f t="shared" si="15"/>
        <v>0</v>
      </c>
      <c r="U69" s="37">
        <f t="shared" si="15"/>
        <v>0</v>
      </c>
      <c r="V69" s="37">
        <f t="shared" si="15"/>
        <v>0</v>
      </c>
      <c r="W69" s="37">
        <f t="shared" si="15"/>
        <v>0</v>
      </c>
      <c r="X69" s="37">
        <f t="shared" si="15"/>
        <v>0</v>
      </c>
    </row>
    <row r="70" spans="1:24" ht="21" hidden="1" customHeight="1" outlineLevel="1" thickBot="1" x14ac:dyDescent="0.4">
      <c r="A70" s="5">
        <f t="shared" si="13"/>
        <v>0</v>
      </c>
      <c r="B70" s="5">
        <f t="shared" si="13"/>
        <v>0</v>
      </c>
      <c r="C70" s="5">
        <f t="shared" si="13"/>
        <v>0</v>
      </c>
      <c r="D70" s="5">
        <f t="shared" si="13"/>
        <v>0</v>
      </c>
      <c r="E70" s="34">
        <f t="shared" si="13"/>
        <v>0</v>
      </c>
      <c r="F70" s="37">
        <f t="shared" si="14"/>
        <v>0</v>
      </c>
      <c r="G70" s="37">
        <f t="shared" si="14"/>
        <v>0</v>
      </c>
      <c r="H70" s="37">
        <f t="shared" si="14"/>
        <v>0</v>
      </c>
      <c r="I70" s="37">
        <f t="shared" si="14"/>
        <v>0</v>
      </c>
      <c r="J70" s="37">
        <f t="shared" si="14"/>
        <v>0</v>
      </c>
      <c r="K70" s="37">
        <f t="shared" si="14"/>
        <v>0</v>
      </c>
      <c r="L70" s="37">
        <f t="shared" si="14"/>
        <v>0</v>
      </c>
      <c r="M70" s="37">
        <f t="shared" si="14"/>
        <v>0</v>
      </c>
      <c r="N70" s="37">
        <f t="shared" si="14"/>
        <v>0</v>
      </c>
      <c r="O70" s="37">
        <f t="shared" si="14"/>
        <v>0</v>
      </c>
      <c r="P70" s="37">
        <f t="shared" si="15"/>
        <v>0</v>
      </c>
      <c r="Q70" s="37">
        <f t="shared" si="15"/>
        <v>0</v>
      </c>
      <c r="R70" s="37">
        <f t="shared" si="15"/>
        <v>0</v>
      </c>
      <c r="S70" s="37">
        <f t="shared" si="15"/>
        <v>0</v>
      </c>
      <c r="T70" s="37">
        <f t="shared" si="15"/>
        <v>0</v>
      </c>
      <c r="U70" s="37">
        <f t="shared" si="15"/>
        <v>0</v>
      </c>
      <c r="V70" s="37">
        <f t="shared" si="15"/>
        <v>0</v>
      </c>
      <c r="W70" s="37">
        <f t="shared" si="15"/>
        <v>0</v>
      </c>
      <c r="X70" s="37">
        <f t="shared" si="15"/>
        <v>0</v>
      </c>
    </row>
    <row r="71" spans="1:24" ht="21" hidden="1" customHeight="1" outlineLevel="1" thickBot="1" x14ac:dyDescent="0.4">
      <c r="A71" s="5">
        <f t="shared" si="13"/>
        <v>0</v>
      </c>
      <c r="B71" s="5">
        <f t="shared" si="13"/>
        <v>0</v>
      </c>
      <c r="C71" s="5">
        <f t="shared" si="13"/>
        <v>0</v>
      </c>
      <c r="D71" s="5">
        <f t="shared" si="13"/>
        <v>0</v>
      </c>
      <c r="E71" s="34">
        <f t="shared" si="13"/>
        <v>0</v>
      </c>
      <c r="F71" s="37">
        <f t="shared" si="14"/>
        <v>0</v>
      </c>
      <c r="G71" s="37">
        <f t="shared" si="14"/>
        <v>0</v>
      </c>
      <c r="H71" s="37">
        <f t="shared" si="14"/>
        <v>0</v>
      </c>
      <c r="I71" s="37">
        <f t="shared" si="14"/>
        <v>0</v>
      </c>
      <c r="J71" s="37">
        <f t="shared" si="14"/>
        <v>0</v>
      </c>
      <c r="K71" s="37">
        <f t="shared" si="14"/>
        <v>0</v>
      </c>
      <c r="L71" s="37">
        <f t="shared" si="14"/>
        <v>0</v>
      </c>
      <c r="M71" s="37">
        <f t="shared" si="14"/>
        <v>0</v>
      </c>
      <c r="N71" s="37">
        <f t="shared" si="14"/>
        <v>0</v>
      </c>
      <c r="O71" s="37">
        <f t="shared" si="14"/>
        <v>0</v>
      </c>
      <c r="P71" s="37">
        <f t="shared" si="15"/>
        <v>0</v>
      </c>
      <c r="Q71" s="37">
        <f t="shared" si="15"/>
        <v>0</v>
      </c>
      <c r="R71" s="37">
        <f t="shared" si="15"/>
        <v>0</v>
      </c>
      <c r="S71" s="37">
        <f t="shared" si="15"/>
        <v>0</v>
      </c>
      <c r="T71" s="37">
        <f t="shared" si="15"/>
        <v>0</v>
      </c>
      <c r="U71" s="37">
        <f t="shared" si="15"/>
        <v>0</v>
      </c>
      <c r="V71" s="37">
        <f t="shared" si="15"/>
        <v>0</v>
      </c>
      <c r="W71" s="37">
        <f t="shared" si="15"/>
        <v>0</v>
      </c>
      <c r="X71" s="37">
        <f t="shared" si="15"/>
        <v>0</v>
      </c>
    </row>
    <row r="72" spans="1:24" ht="21" hidden="1" customHeight="1" outlineLevel="1" thickBot="1" x14ac:dyDescent="0.4">
      <c r="A72" s="5">
        <f t="shared" si="13"/>
        <v>0</v>
      </c>
      <c r="B72" s="5">
        <f t="shared" si="13"/>
        <v>0</v>
      </c>
      <c r="C72" s="5">
        <f t="shared" si="13"/>
        <v>0</v>
      </c>
      <c r="D72" s="5">
        <f t="shared" si="13"/>
        <v>0</v>
      </c>
      <c r="E72" s="34">
        <f t="shared" si="13"/>
        <v>0</v>
      </c>
      <c r="F72" s="37">
        <f t="shared" si="14"/>
        <v>0</v>
      </c>
      <c r="G72" s="37">
        <f t="shared" si="14"/>
        <v>0</v>
      </c>
      <c r="H72" s="37">
        <f t="shared" si="14"/>
        <v>0</v>
      </c>
      <c r="I72" s="37">
        <f t="shared" si="14"/>
        <v>0</v>
      </c>
      <c r="J72" s="37">
        <f t="shared" si="14"/>
        <v>0</v>
      </c>
      <c r="K72" s="37">
        <f t="shared" si="14"/>
        <v>0</v>
      </c>
      <c r="L72" s="37">
        <f t="shared" si="14"/>
        <v>0</v>
      </c>
      <c r="M72" s="37">
        <f t="shared" si="14"/>
        <v>0</v>
      </c>
      <c r="N72" s="37">
        <f t="shared" si="14"/>
        <v>0</v>
      </c>
      <c r="O72" s="37">
        <f t="shared" si="14"/>
        <v>0</v>
      </c>
      <c r="P72" s="37">
        <f t="shared" si="15"/>
        <v>0</v>
      </c>
      <c r="Q72" s="37">
        <f t="shared" si="15"/>
        <v>0</v>
      </c>
      <c r="R72" s="37">
        <f t="shared" si="15"/>
        <v>0</v>
      </c>
      <c r="S72" s="37">
        <f t="shared" si="15"/>
        <v>0</v>
      </c>
      <c r="T72" s="37">
        <f t="shared" si="15"/>
        <v>0</v>
      </c>
      <c r="U72" s="37">
        <f t="shared" si="15"/>
        <v>0</v>
      </c>
      <c r="V72" s="37">
        <f t="shared" si="15"/>
        <v>0</v>
      </c>
      <c r="W72" s="37">
        <f t="shared" si="15"/>
        <v>0</v>
      </c>
      <c r="X72" s="37">
        <f t="shared" si="15"/>
        <v>0</v>
      </c>
    </row>
    <row r="73" spans="1:24" ht="21" hidden="1" customHeight="1" outlineLevel="1" thickBot="1" x14ac:dyDescent="0.4">
      <c r="A73" s="5">
        <f t="shared" si="13"/>
        <v>0</v>
      </c>
      <c r="B73" s="5">
        <f t="shared" si="13"/>
        <v>0</v>
      </c>
      <c r="C73" s="5">
        <f t="shared" si="13"/>
        <v>0</v>
      </c>
      <c r="D73" s="5">
        <f t="shared" si="13"/>
        <v>0</v>
      </c>
      <c r="E73" s="34">
        <f t="shared" si="13"/>
        <v>0</v>
      </c>
      <c r="F73" s="37">
        <f t="shared" si="14"/>
        <v>0</v>
      </c>
      <c r="G73" s="37">
        <f t="shared" si="14"/>
        <v>0</v>
      </c>
      <c r="H73" s="37">
        <f t="shared" si="14"/>
        <v>0</v>
      </c>
      <c r="I73" s="37">
        <f t="shared" si="14"/>
        <v>0</v>
      </c>
      <c r="J73" s="37">
        <f t="shared" si="14"/>
        <v>0</v>
      </c>
      <c r="K73" s="37">
        <f t="shared" si="14"/>
        <v>0</v>
      </c>
      <c r="L73" s="37">
        <f t="shared" si="14"/>
        <v>0</v>
      </c>
      <c r="M73" s="37">
        <f t="shared" si="14"/>
        <v>0</v>
      </c>
      <c r="N73" s="37">
        <f t="shared" si="14"/>
        <v>0</v>
      </c>
      <c r="O73" s="37">
        <f t="shared" si="14"/>
        <v>0</v>
      </c>
      <c r="P73" s="37">
        <f t="shared" si="15"/>
        <v>0</v>
      </c>
      <c r="Q73" s="37">
        <f t="shared" si="15"/>
        <v>0</v>
      </c>
      <c r="R73" s="37">
        <f t="shared" si="15"/>
        <v>0</v>
      </c>
      <c r="S73" s="37">
        <f t="shared" si="15"/>
        <v>0</v>
      </c>
      <c r="T73" s="37">
        <f t="shared" si="15"/>
        <v>0</v>
      </c>
      <c r="U73" s="37">
        <f t="shared" si="15"/>
        <v>0</v>
      </c>
      <c r="V73" s="37">
        <f t="shared" si="15"/>
        <v>0</v>
      </c>
      <c r="W73" s="37">
        <f t="shared" si="15"/>
        <v>0</v>
      </c>
      <c r="X73" s="37">
        <f t="shared" si="15"/>
        <v>0</v>
      </c>
    </row>
    <row r="74" spans="1:24" ht="21" hidden="1" customHeight="1" outlineLevel="1" thickBot="1" x14ac:dyDescent="0.4">
      <c r="A74" s="5">
        <f t="shared" si="13"/>
        <v>0</v>
      </c>
      <c r="B74" s="5">
        <f t="shared" si="13"/>
        <v>0</v>
      </c>
      <c r="C74" s="5">
        <f t="shared" si="13"/>
        <v>0</v>
      </c>
      <c r="D74" s="5">
        <f t="shared" si="13"/>
        <v>0</v>
      </c>
      <c r="E74" s="34">
        <f t="shared" si="13"/>
        <v>0</v>
      </c>
      <c r="F74" s="37">
        <f t="shared" si="14"/>
        <v>0</v>
      </c>
      <c r="G74" s="37">
        <f t="shared" si="14"/>
        <v>0</v>
      </c>
      <c r="H74" s="37">
        <f t="shared" si="14"/>
        <v>0</v>
      </c>
      <c r="I74" s="37">
        <f t="shared" si="14"/>
        <v>0</v>
      </c>
      <c r="J74" s="37">
        <f t="shared" si="14"/>
        <v>0</v>
      </c>
      <c r="K74" s="37">
        <f t="shared" si="14"/>
        <v>0</v>
      </c>
      <c r="L74" s="37">
        <f t="shared" si="14"/>
        <v>0</v>
      </c>
      <c r="M74" s="37">
        <f t="shared" si="14"/>
        <v>0</v>
      </c>
      <c r="N74" s="37">
        <f t="shared" si="14"/>
        <v>0</v>
      </c>
      <c r="O74" s="37">
        <f t="shared" si="14"/>
        <v>0</v>
      </c>
      <c r="P74" s="37">
        <f t="shared" si="15"/>
        <v>0</v>
      </c>
      <c r="Q74" s="37">
        <f t="shared" si="15"/>
        <v>0</v>
      </c>
      <c r="R74" s="37">
        <f t="shared" si="15"/>
        <v>0</v>
      </c>
      <c r="S74" s="37">
        <f t="shared" si="15"/>
        <v>0</v>
      </c>
      <c r="T74" s="37">
        <f t="shared" si="15"/>
        <v>0</v>
      </c>
      <c r="U74" s="37">
        <f t="shared" si="15"/>
        <v>0</v>
      </c>
      <c r="V74" s="37">
        <f t="shared" si="15"/>
        <v>0</v>
      </c>
      <c r="W74" s="37">
        <f t="shared" si="15"/>
        <v>0</v>
      </c>
      <c r="X74" s="37">
        <f t="shared" si="15"/>
        <v>0</v>
      </c>
    </row>
    <row r="75" spans="1:24" ht="21" hidden="1" customHeight="1" outlineLevel="1" thickBot="1" x14ac:dyDescent="0.4">
      <c r="A75" s="5">
        <f t="shared" si="13"/>
        <v>0</v>
      </c>
      <c r="B75" s="5">
        <f t="shared" si="13"/>
        <v>0</v>
      </c>
      <c r="C75" s="5">
        <f t="shared" si="13"/>
        <v>0</v>
      </c>
      <c r="D75" s="5">
        <f t="shared" si="13"/>
        <v>0</v>
      </c>
      <c r="E75" s="34">
        <f t="shared" si="13"/>
        <v>0</v>
      </c>
      <c r="F75" s="37">
        <f t="shared" si="14"/>
        <v>0</v>
      </c>
      <c r="G75" s="37">
        <f t="shared" si="14"/>
        <v>0</v>
      </c>
      <c r="H75" s="37">
        <f t="shared" si="14"/>
        <v>0</v>
      </c>
      <c r="I75" s="37">
        <f t="shared" si="14"/>
        <v>0</v>
      </c>
      <c r="J75" s="37">
        <f t="shared" si="14"/>
        <v>0</v>
      </c>
      <c r="K75" s="37">
        <f t="shared" si="14"/>
        <v>0</v>
      </c>
      <c r="L75" s="37">
        <f t="shared" si="14"/>
        <v>0</v>
      </c>
      <c r="M75" s="37">
        <f t="shared" si="14"/>
        <v>0</v>
      </c>
      <c r="N75" s="37">
        <f t="shared" si="14"/>
        <v>0</v>
      </c>
      <c r="O75" s="37">
        <f t="shared" si="14"/>
        <v>0</v>
      </c>
      <c r="P75" s="37">
        <f t="shared" si="15"/>
        <v>0</v>
      </c>
      <c r="Q75" s="37">
        <f t="shared" si="15"/>
        <v>0</v>
      </c>
      <c r="R75" s="37">
        <f t="shared" si="15"/>
        <v>0</v>
      </c>
      <c r="S75" s="37">
        <f t="shared" si="15"/>
        <v>0</v>
      </c>
      <c r="T75" s="37">
        <f t="shared" si="15"/>
        <v>0</v>
      </c>
      <c r="U75" s="37">
        <f t="shared" si="15"/>
        <v>0</v>
      </c>
      <c r="V75" s="37">
        <f t="shared" si="15"/>
        <v>0</v>
      </c>
      <c r="W75" s="37">
        <f t="shared" si="15"/>
        <v>0</v>
      </c>
      <c r="X75" s="37">
        <f t="shared" si="15"/>
        <v>0</v>
      </c>
    </row>
    <row r="76" spans="1:24" ht="21" hidden="1" customHeight="1" outlineLevel="1" thickBot="1" x14ac:dyDescent="0.4">
      <c r="A76" s="5">
        <f t="shared" si="13"/>
        <v>0</v>
      </c>
      <c r="B76" s="5">
        <f t="shared" si="13"/>
        <v>0</v>
      </c>
      <c r="C76" s="5">
        <f t="shared" si="13"/>
        <v>0</v>
      </c>
      <c r="D76" s="5">
        <f t="shared" si="13"/>
        <v>0</v>
      </c>
      <c r="E76" s="34">
        <f t="shared" si="13"/>
        <v>0</v>
      </c>
      <c r="F76" s="37">
        <f t="shared" si="14"/>
        <v>0</v>
      </c>
      <c r="G76" s="37">
        <f t="shared" si="14"/>
        <v>0</v>
      </c>
      <c r="H76" s="37">
        <f t="shared" si="14"/>
        <v>0</v>
      </c>
      <c r="I76" s="37">
        <f t="shared" si="14"/>
        <v>0</v>
      </c>
      <c r="J76" s="37">
        <f t="shared" si="14"/>
        <v>0</v>
      </c>
      <c r="K76" s="37">
        <f t="shared" si="14"/>
        <v>0</v>
      </c>
      <c r="L76" s="37">
        <f t="shared" si="14"/>
        <v>0</v>
      </c>
      <c r="M76" s="37">
        <f t="shared" si="14"/>
        <v>0</v>
      </c>
      <c r="N76" s="37">
        <f t="shared" si="14"/>
        <v>0</v>
      </c>
      <c r="O76" s="37">
        <f t="shared" si="14"/>
        <v>0</v>
      </c>
      <c r="P76" s="37">
        <f t="shared" si="15"/>
        <v>0</v>
      </c>
      <c r="Q76" s="37">
        <f t="shared" si="15"/>
        <v>0</v>
      </c>
      <c r="R76" s="37">
        <f t="shared" si="15"/>
        <v>0</v>
      </c>
      <c r="S76" s="37">
        <f t="shared" si="15"/>
        <v>0</v>
      </c>
      <c r="T76" s="37">
        <f t="shared" si="15"/>
        <v>0</v>
      </c>
      <c r="U76" s="37">
        <f t="shared" si="15"/>
        <v>0</v>
      </c>
      <c r="V76" s="37">
        <f t="shared" si="15"/>
        <v>0</v>
      </c>
      <c r="W76" s="37">
        <f t="shared" si="15"/>
        <v>0</v>
      </c>
      <c r="X76" s="37">
        <f t="shared" si="15"/>
        <v>0</v>
      </c>
    </row>
    <row r="77" spans="1:24" ht="21" hidden="1" customHeight="1" outlineLevel="1" thickBot="1" x14ac:dyDescent="0.4">
      <c r="A77" s="5">
        <f t="shared" si="13"/>
        <v>0</v>
      </c>
      <c r="B77" s="5">
        <f t="shared" si="13"/>
        <v>0</v>
      </c>
      <c r="C77" s="5">
        <f t="shared" si="13"/>
        <v>0</v>
      </c>
      <c r="D77" s="5">
        <f t="shared" si="13"/>
        <v>0</v>
      </c>
      <c r="E77" s="34">
        <f t="shared" si="13"/>
        <v>1</v>
      </c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</row>
    <row r="78" spans="1:24" ht="21" hidden="1" customHeight="1" outlineLevel="1" x14ac:dyDescent="0.35"/>
    <row r="79" spans="1:24" ht="21" customHeight="1" collapsed="1" thickBot="1" x14ac:dyDescent="0.4">
      <c r="W79" s="1"/>
    </row>
    <row r="80" spans="1:24" ht="21" customHeight="1" thickBot="1" x14ac:dyDescent="0.45">
      <c r="A80" s="37"/>
      <c r="B80" s="37"/>
      <c r="C80" s="2">
        <f>E38</f>
        <v>8.3333333333333339</v>
      </c>
      <c r="D80" s="37"/>
      <c r="E80" s="71" t="s">
        <v>70</v>
      </c>
      <c r="F80" s="72"/>
      <c r="G80" s="71"/>
      <c r="H80" s="71"/>
      <c r="I80" s="71"/>
      <c r="J80" s="71"/>
      <c r="K80" s="71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</row>
    <row r="81" spans="1:24" ht="21" hidden="1" customHeight="1" outlineLevel="1" thickTop="1" thickBot="1" x14ac:dyDescent="0.4">
      <c r="A81" s="21" t="str">
        <f t="shared" ref="A81:X81" si="16">A3</f>
        <v>Ar</v>
      </c>
      <c r="B81" s="21" t="str">
        <f t="shared" si="16"/>
        <v>Se</v>
      </c>
      <c r="C81" s="21" t="str">
        <f t="shared" si="16"/>
        <v>Ge</v>
      </c>
      <c r="D81" s="21" t="str">
        <f t="shared" si="16"/>
        <v>Ga</v>
      </c>
      <c r="E81" s="29">
        <f t="shared" si="16"/>
        <v>0</v>
      </c>
      <c r="F81" s="29">
        <f t="shared" si="16"/>
        <v>298.2</v>
      </c>
      <c r="G81" s="29">
        <f t="shared" si="16"/>
        <v>331.5</v>
      </c>
      <c r="H81" s="29">
        <f t="shared" si="16"/>
        <v>364.9</v>
      </c>
      <c r="I81" s="29">
        <f t="shared" si="16"/>
        <v>398.3</v>
      </c>
      <c r="J81" s="29">
        <f t="shared" si="16"/>
        <v>431.7</v>
      </c>
      <c r="K81" s="29">
        <f t="shared" si="16"/>
        <v>565.20000000000005</v>
      </c>
      <c r="L81" s="29">
        <f t="shared" si="16"/>
        <v>598.6</v>
      </c>
      <c r="M81" s="29">
        <f t="shared" si="16"/>
        <v>632</v>
      </c>
      <c r="N81" s="29">
        <f t="shared" si="16"/>
        <v>665.4</v>
      </c>
      <c r="O81" s="29">
        <f t="shared" si="16"/>
        <v>698.8</v>
      </c>
      <c r="P81" s="29">
        <f t="shared" si="16"/>
        <v>832.3</v>
      </c>
      <c r="Q81" s="29">
        <f t="shared" si="16"/>
        <v>965.8</v>
      </c>
      <c r="R81" s="29">
        <f t="shared" si="16"/>
        <v>1099</v>
      </c>
      <c r="S81" s="29">
        <f t="shared" si="16"/>
        <v>1133</v>
      </c>
      <c r="T81" s="29">
        <f t="shared" si="16"/>
        <v>1166</v>
      </c>
      <c r="U81" s="29">
        <f t="shared" si="16"/>
        <v>1200</v>
      </c>
      <c r="V81" s="29">
        <f t="shared" si="16"/>
        <v>1233</v>
      </c>
      <c r="W81" s="29">
        <f t="shared" si="16"/>
        <v>1366</v>
      </c>
      <c r="X81" s="29">
        <f t="shared" si="16"/>
        <v>1500</v>
      </c>
    </row>
    <row r="82" spans="1:24" ht="21" hidden="1" customHeight="1" outlineLevel="1" thickTop="1" thickBot="1" x14ac:dyDescent="0.4">
      <c r="A82" s="5">
        <f t="shared" ref="A82:E91" si="17">A4</f>
        <v>0</v>
      </c>
      <c r="B82" s="5">
        <f t="shared" si="17"/>
        <v>1</v>
      </c>
      <c r="C82" s="5">
        <f t="shared" si="17"/>
        <v>0</v>
      </c>
      <c r="D82" s="5">
        <f t="shared" si="17"/>
        <v>0</v>
      </c>
      <c r="E82" s="34" t="str">
        <f t="shared" si="17"/>
        <v>*Se[m]</v>
      </c>
      <c r="F82" s="37">
        <f>F4*$C$80</f>
        <v>2.9995833333333333E-7</v>
      </c>
      <c r="G82" s="37">
        <f t="shared" ref="G82:X82" si="18">G4*$C$80</f>
        <v>4.1545833333333333E-7</v>
      </c>
      <c r="H82" s="37">
        <f t="shared" si="18"/>
        <v>6.5306666666666674E-7</v>
      </c>
      <c r="I82" s="37">
        <f t="shared" si="18"/>
        <v>7.6834166666666678E-7</v>
      </c>
      <c r="J82" s="37">
        <f t="shared" si="18"/>
        <v>7.6276666666666673E-7</v>
      </c>
      <c r="K82" s="37">
        <f t="shared" si="18"/>
        <v>9.2858333333333339E-7</v>
      </c>
      <c r="L82" s="37">
        <f t="shared" si="18"/>
        <v>1.0226666666666668E-6</v>
      </c>
      <c r="M82" s="37">
        <f t="shared" si="18"/>
        <v>1.0339166666666667E-6</v>
      </c>
      <c r="N82" s="37">
        <f t="shared" si="18"/>
        <v>1.0416666666666667E-6</v>
      </c>
      <c r="O82" s="37">
        <f t="shared" si="18"/>
        <v>1.0364166666666666E-6</v>
      </c>
      <c r="P82" s="37">
        <f t="shared" si="18"/>
        <v>9.8241666666666682E-7</v>
      </c>
      <c r="Q82" s="37">
        <f t="shared" si="18"/>
        <v>9.6099999999999999E-7</v>
      </c>
      <c r="R82" s="37">
        <f t="shared" si="18"/>
        <v>9.6183333333333346E-7</v>
      </c>
      <c r="S82" s="37">
        <f t="shared" si="18"/>
        <v>9.6450000000000004E-7</v>
      </c>
      <c r="T82" s="37">
        <f t="shared" si="18"/>
        <v>9.6733333333333345E-7</v>
      </c>
      <c r="U82" s="37">
        <f t="shared" si="18"/>
        <v>9.7025000000000015E-7</v>
      </c>
      <c r="V82" s="37">
        <f t="shared" si="18"/>
        <v>9.7333333333333347E-7</v>
      </c>
      <c r="W82" s="37">
        <f t="shared" si="18"/>
        <v>9.8683333333333343E-7</v>
      </c>
      <c r="X82" s="37">
        <f t="shared" si="18"/>
        <v>1.0027500000000001E-6</v>
      </c>
    </row>
    <row r="83" spans="1:24" ht="21" hidden="1" customHeight="1" outlineLevel="1" thickBot="1" x14ac:dyDescent="0.4">
      <c r="A83" s="5">
        <f t="shared" si="17"/>
        <v>0</v>
      </c>
      <c r="B83" s="5">
        <f t="shared" si="17"/>
        <v>3</v>
      </c>
      <c r="C83" s="5">
        <f t="shared" si="17"/>
        <v>0</v>
      </c>
      <c r="D83" s="5">
        <f t="shared" si="17"/>
        <v>2</v>
      </c>
      <c r="E83" s="34" t="str">
        <f t="shared" si="17"/>
        <v>Ga2Se3</v>
      </c>
      <c r="F83" s="37">
        <f t="shared" ref="F83:X83" si="19">F5*$C$80</f>
        <v>0.11692500000000002</v>
      </c>
      <c r="G83" s="37">
        <f t="shared" si="19"/>
        <v>0.10868333333333334</v>
      </c>
      <c r="H83" s="37">
        <f t="shared" si="19"/>
        <v>0.10092500000000001</v>
      </c>
      <c r="I83" s="37">
        <f t="shared" si="19"/>
        <v>9.8558333333333345E-2</v>
      </c>
      <c r="J83" s="37">
        <f t="shared" si="19"/>
        <v>9.7425000000000012E-2</v>
      </c>
      <c r="K83" s="37">
        <f t="shared" si="19"/>
        <v>7.2045833333333337E-8</v>
      </c>
      <c r="L83" s="37">
        <f t="shared" si="19"/>
        <v>1.4157500000000001E-11</v>
      </c>
      <c r="M83" s="37">
        <f t="shared" si="19"/>
        <v>4.9941666666666669E-15</v>
      </c>
      <c r="N83" s="37">
        <f t="shared" si="19"/>
        <v>2.9417500000000002E-18</v>
      </c>
      <c r="O83" s="37">
        <f t="shared" si="19"/>
        <v>2.734E-21</v>
      </c>
      <c r="P83" s="37">
        <f t="shared" si="19"/>
        <v>8.8266666666666669E-32</v>
      </c>
      <c r="Q83" s="37">
        <f t="shared" si="19"/>
        <v>0</v>
      </c>
      <c r="R83" s="37">
        <f t="shared" si="19"/>
        <v>0</v>
      </c>
      <c r="S83" s="37">
        <f t="shared" si="19"/>
        <v>0</v>
      </c>
      <c r="T83" s="37">
        <f t="shared" si="19"/>
        <v>0</v>
      </c>
      <c r="U83" s="37">
        <f t="shared" si="19"/>
        <v>0</v>
      </c>
      <c r="V83" s="37">
        <f t="shared" si="19"/>
        <v>0</v>
      </c>
      <c r="W83" s="37">
        <f t="shared" si="19"/>
        <v>0</v>
      </c>
      <c r="X83" s="37">
        <f t="shared" si="19"/>
        <v>0</v>
      </c>
    </row>
    <row r="84" spans="1:24" ht="21" hidden="1" customHeight="1" outlineLevel="1" thickBot="1" x14ac:dyDescent="0.4">
      <c r="A84" s="5">
        <f t="shared" si="17"/>
        <v>0</v>
      </c>
      <c r="B84" s="5">
        <f t="shared" si="17"/>
        <v>0</v>
      </c>
      <c r="C84" s="5">
        <f t="shared" si="17"/>
        <v>1</v>
      </c>
      <c r="D84" s="5">
        <f t="shared" si="17"/>
        <v>0</v>
      </c>
      <c r="E84" s="34" t="str">
        <f t="shared" si="17"/>
        <v>Ge</v>
      </c>
      <c r="F84" s="37">
        <f t="shared" ref="F84:X84" si="20">F6*$C$80</f>
        <v>0</v>
      </c>
      <c r="G84" s="37">
        <f t="shared" si="20"/>
        <v>0</v>
      </c>
      <c r="H84" s="37">
        <f t="shared" si="20"/>
        <v>0</v>
      </c>
      <c r="I84" s="37">
        <f t="shared" si="20"/>
        <v>0</v>
      </c>
      <c r="J84" s="37">
        <f t="shared" si="20"/>
        <v>0</v>
      </c>
      <c r="K84" s="37">
        <f t="shared" si="20"/>
        <v>8.346666666666667E-29</v>
      </c>
      <c r="L84" s="37">
        <f t="shared" si="20"/>
        <v>7.2125833333333347E-27</v>
      </c>
      <c r="M84" s="37">
        <f t="shared" si="20"/>
        <v>3.8350000000000002E-25</v>
      </c>
      <c r="N84" s="37">
        <f t="shared" si="20"/>
        <v>1.3640000000000001E-23</v>
      </c>
      <c r="O84" s="37">
        <f t="shared" si="20"/>
        <v>3.4467500000000004E-22</v>
      </c>
      <c r="P84" s="37">
        <f t="shared" si="20"/>
        <v>1.0554166666666667E-17</v>
      </c>
      <c r="Q84" s="37">
        <f t="shared" si="20"/>
        <v>1.8591666666666669E-14</v>
      </c>
      <c r="R84" s="37">
        <f t="shared" si="20"/>
        <v>5.3170833333333338E-12</v>
      </c>
      <c r="S84" s="37">
        <f t="shared" si="20"/>
        <v>1.77425E-11</v>
      </c>
      <c r="T84" s="37">
        <f t="shared" si="20"/>
        <v>5.5240000000000008E-11</v>
      </c>
      <c r="U84" s="37">
        <f t="shared" si="20"/>
        <v>1.6140833333333334E-10</v>
      </c>
      <c r="V84" s="37">
        <f t="shared" si="20"/>
        <v>4.4486666666666674E-10</v>
      </c>
      <c r="W84" s="37">
        <f t="shared" si="20"/>
        <v>1.5598333333333334E-8</v>
      </c>
      <c r="X84" s="37">
        <f t="shared" si="20"/>
        <v>2.8896666666666665E-7</v>
      </c>
    </row>
    <row r="85" spans="1:24" ht="21" hidden="1" customHeight="1" outlineLevel="1" thickBot="1" x14ac:dyDescent="0.4">
      <c r="A85" s="5">
        <f t="shared" si="17"/>
        <v>1</v>
      </c>
      <c r="B85" s="5">
        <f t="shared" si="17"/>
        <v>0</v>
      </c>
      <c r="C85" s="5">
        <f t="shared" si="17"/>
        <v>0</v>
      </c>
      <c r="D85" s="5">
        <f t="shared" si="17"/>
        <v>0</v>
      </c>
      <c r="E85" s="34" t="str">
        <f t="shared" si="17"/>
        <v>Ar</v>
      </c>
      <c r="F85" s="37">
        <f t="shared" ref="F85:X85" si="21">F7*$C$80</f>
        <v>1.666666666666667</v>
      </c>
      <c r="G85" s="37">
        <f t="shared" si="21"/>
        <v>1.666666666666667</v>
      </c>
      <c r="H85" s="37">
        <f t="shared" si="21"/>
        <v>1.666666666666667</v>
      </c>
      <c r="I85" s="37">
        <f t="shared" si="21"/>
        <v>1.666666666666667</v>
      </c>
      <c r="J85" s="37">
        <f t="shared" si="21"/>
        <v>1.666666666666667</v>
      </c>
      <c r="K85" s="37">
        <f t="shared" si="21"/>
        <v>1.666666666666667</v>
      </c>
      <c r="L85" s="37">
        <f t="shared" si="21"/>
        <v>1.666666666666667</v>
      </c>
      <c r="M85" s="37">
        <f t="shared" si="21"/>
        <v>1.666666666666667</v>
      </c>
      <c r="N85" s="37">
        <f t="shared" si="21"/>
        <v>1.666666666666667</v>
      </c>
      <c r="O85" s="37">
        <f t="shared" si="21"/>
        <v>1.666666666666667</v>
      </c>
      <c r="P85" s="37">
        <f t="shared" si="21"/>
        <v>1.666666666666667</v>
      </c>
      <c r="Q85" s="37">
        <f t="shared" si="21"/>
        <v>1.666666666666667</v>
      </c>
      <c r="R85" s="37">
        <f t="shared" si="21"/>
        <v>1.666666666666667</v>
      </c>
      <c r="S85" s="37">
        <f t="shared" si="21"/>
        <v>1.666666666666667</v>
      </c>
      <c r="T85" s="37">
        <f t="shared" si="21"/>
        <v>1.666666666666667</v>
      </c>
      <c r="U85" s="37">
        <f t="shared" si="21"/>
        <v>1.666666666666667</v>
      </c>
      <c r="V85" s="37">
        <f t="shared" si="21"/>
        <v>1.666666666666667</v>
      </c>
      <c r="W85" s="37">
        <f t="shared" si="21"/>
        <v>1.666666666666667</v>
      </c>
      <c r="X85" s="37">
        <f t="shared" si="21"/>
        <v>1.666666666666667</v>
      </c>
    </row>
    <row r="86" spans="1:24" ht="21" hidden="1" customHeight="1" outlineLevel="1" thickBot="1" x14ac:dyDescent="0.4">
      <c r="A86" s="5">
        <f t="shared" si="17"/>
        <v>0</v>
      </c>
      <c r="B86" s="5">
        <f t="shared" si="17"/>
        <v>2</v>
      </c>
      <c r="C86" s="5">
        <f t="shared" si="17"/>
        <v>1</v>
      </c>
      <c r="D86" s="5">
        <f t="shared" si="17"/>
        <v>0</v>
      </c>
      <c r="E86" s="34" t="str">
        <f t="shared" si="17"/>
        <v>(l)GeSe2</v>
      </c>
      <c r="F86" s="37">
        <f t="shared" ref="F86:X86" si="22">F8*$C$80</f>
        <v>0.91533333333333333</v>
      </c>
      <c r="G86" s="37">
        <f t="shared" si="22"/>
        <v>0.55511666666666681</v>
      </c>
      <c r="H86" s="37">
        <f t="shared" si="22"/>
        <v>0.16272500000000001</v>
      </c>
      <c r="I86" s="37">
        <f t="shared" si="22"/>
        <v>3.5662500000000007E-2</v>
      </c>
      <c r="J86" s="37">
        <f t="shared" si="22"/>
        <v>8.082583333333334E-3</v>
      </c>
      <c r="K86" s="37">
        <f t="shared" si="22"/>
        <v>3.6803333333333336E-6</v>
      </c>
      <c r="L86" s="37">
        <f t="shared" si="22"/>
        <v>4.3770000000000006E-7</v>
      </c>
      <c r="M86" s="37">
        <f t="shared" si="22"/>
        <v>5.9516666666666674E-8</v>
      </c>
      <c r="N86" s="37">
        <f t="shared" si="22"/>
        <v>9.2116666666666674E-9</v>
      </c>
      <c r="O86" s="37">
        <f t="shared" si="22"/>
        <v>1.6015000000000001E-9</v>
      </c>
      <c r="P86" s="37">
        <f t="shared" si="22"/>
        <v>3.6576666666666673E-12</v>
      </c>
      <c r="Q86" s="37">
        <f t="shared" si="22"/>
        <v>2.3703333333333332E-14</v>
      </c>
      <c r="R86" s="37">
        <f t="shared" si="22"/>
        <v>3.0388333333333339E-16</v>
      </c>
      <c r="S86" s="37">
        <f t="shared" si="22"/>
        <v>1.1067500000000001E-16</v>
      </c>
      <c r="T86" s="37">
        <f t="shared" si="22"/>
        <v>4.1381666666666669E-17</v>
      </c>
      <c r="U86" s="37">
        <f t="shared" si="22"/>
        <v>1.5849166666666667E-17</v>
      </c>
      <c r="V86" s="37">
        <f t="shared" si="22"/>
        <v>6.2047500000000001E-18</v>
      </c>
      <c r="W86" s="37">
        <f t="shared" si="22"/>
        <v>1.7550833333333335E-19</v>
      </c>
      <c r="X86" s="37">
        <f t="shared" si="22"/>
        <v>6.2563333333333343E-21</v>
      </c>
    </row>
    <row r="87" spans="1:24" ht="21" hidden="1" customHeight="1" outlineLevel="1" thickBot="1" x14ac:dyDescent="0.4">
      <c r="A87" s="5">
        <f t="shared" si="17"/>
        <v>0</v>
      </c>
      <c r="B87" s="5">
        <f t="shared" si="17"/>
        <v>1</v>
      </c>
      <c r="C87" s="5">
        <f t="shared" si="17"/>
        <v>1</v>
      </c>
      <c r="D87" s="5">
        <f t="shared" si="17"/>
        <v>0</v>
      </c>
      <c r="E87" s="34" t="str">
        <f t="shared" si="17"/>
        <v>(l)GeSe</v>
      </c>
      <c r="F87" s="37">
        <f t="shared" ref="F87:X87" si="23">F9*$C$80</f>
        <v>8.4658333333333335E-2</v>
      </c>
      <c r="G87" s="37">
        <f t="shared" si="23"/>
        <v>0.44486666666666669</v>
      </c>
      <c r="H87" s="37">
        <f t="shared" si="23"/>
        <v>0.8367500000000001</v>
      </c>
      <c r="I87" s="37">
        <f t="shared" si="23"/>
        <v>0.95858333333333334</v>
      </c>
      <c r="J87" s="37">
        <f t="shared" si="23"/>
        <v>0.94808333333333339</v>
      </c>
      <c r="K87" s="37">
        <f t="shared" si="23"/>
        <v>4.2895833333333334E-2</v>
      </c>
      <c r="L87" s="37">
        <f t="shared" si="23"/>
        <v>1.3061666666666668E-2</v>
      </c>
      <c r="M87" s="37">
        <f t="shared" si="23"/>
        <v>4.272583333333334E-3</v>
      </c>
      <c r="N87" s="37">
        <f t="shared" si="23"/>
        <v>1.5064166666666668E-3</v>
      </c>
      <c r="O87" s="37">
        <f t="shared" si="23"/>
        <v>5.6881666666666662E-4</v>
      </c>
      <c r="P87" s="37">
        <f t="shared" si="23"/>
        <v>1.9880833333333335E-5</v>
      </c>
      <c r="Q87" s="37">
        <f t="shared" si="23"/>
        <v>1.2848333333333334E-6</v>
      </c>
      <c r="R87" s="37">
        <f t="shared" si="23"/>
        <v>1.2386666666666666E-7</v>
      </c>
      <c r="S87" s="37">
        <f t="shared" si="23"/>
        <v>7.2290833333333337E-8</v>
      </c>
      <c r="T87" s="37">
        <f t="shared" si="23"/>
        <v>4.2841666666666671E-8</v>
      </c>
      <c r="U87" s="37">
        <f t="shared" si="23"/>
        <v>2.5747500000000003E-8</v>
      </c>
      <c r="V87" s="37">
        <f t="shared" si="23"/>
        <v>1.5674166666666667E-8</v>
      </c>
      <c r="W87" s="37">
        <f t="shared" si="23"/>
        <v>2.3995833333333338E-9</v>
      </c>
      <c r="X87" s="37">
        <f t="shared" si="23"/>
        <v>4.2070000000000001E-10</v>
      </c>
    </row>
    <row r="88" spans="1:24" ht="21" hidden="1" customHeight="1" outlineLevel="1" thickBot="1" x14ac:dyDescent="0.4">
      <c r="A88" s="5">
        <f t="shared" si="17"/>
        <v>0</v>
      </c>
      <c r="B88" s="5">
        <f t="shared" si="17"/>
        <v>3</v>
      </c>
      <c r="C88" s="5">
        <f t="shared" si="17"/>
        <v>0</v>
      </c>
      <c r="D88" s="5">
        <f t="shared" si="17"/>
        <v>2</v>
      </c>
      <c r="E88" s="34" t="str">
        <f t="shared" si="17"/>
        <v>(l)Ga2Se3</v>
      </c>
      <c r="F88" s="37">
        <f t="shared" ref="F88:X88" si="24">F10*$C$80</f>
        <v>0.21640833333333334</v>
      </c>
      <c r="G88" s="37">
        <f t="shared" si="24"/>
        <v>0.22465000000000002</v>
      </c>
      <c r="H88" s="37">
        <f t="shared" si="24"/>
        <v>0.23240833333333336</v>
      </c>
      <c r="I88" s="37">
        <f t="shared" si="24"/>
        <v>0.23477500000000001</v>
      </c>
      <c r="J88" s="37">
        <f t="shared" si="24"/>
        <v>0.23590833333333336</v>
      </c>
      <c r="K88" s="37">
        <f t="shared" si="24"/>
        <v>2.8632500000000002E-7</v>
      </c>
      <c r="L88" s="37">
        <f t="shared" si="24"/>
        <v>5.6519166666666673E-11</v>
      </c>
      <c r="M88" s="37">
        <f t="shared" si="24"/>
        <v>1.9963333333333337E-14</v>
      </c>
      <c r="N88" s="37">
        <f t="shared" si="24"/>
        <v>1.1764166666666667E-17</v>
      </c>
      <c r="O88" s="37">
        <f t="shared" si="24"/>
        <v>1.0935000000000001E-20</v>
      </c>
      <c r="P88" s="37">
        <f t="shared" si="24"/>
        <v>3.5306666666666668E-31</v>
      </c>
      <c r="Q88" s="37">
        <f t="shared" si="24"/>
        <v>0</v>
      </c>
      <c r="R88" s="37">
        <f t="shared" si="24"/>
        <v>0</v>
      </c>
      <c r="S88" s="37">
        <f t="shared" si="24"/>
        <v>0</v>
      </c>
      <c r="T88" s="37">
        <f t="shared" si="24"/>
        <v>0</v>
      </c>
      <c r="U88" s="37">
        <f t="shared" si="24"/>
        <v>0</v>
      </c>
      <c r="V88" s="37">
        <f t="shared" si="24"/>
        <v>0</v>
      </c>
      <c r="W88" s="37">
        <f t="shared" si="24"/>
        <v>0</v>
      </c>
      <c r="X88" s="37">
        <f t="shared" si="24"/>
        <v>0</v>
      </c>
    </row>
    <row r="89" spans="1:24" ht="21" hidden="1" customHeight="1" outlineLevel="1" thickBot="1" x14ac:dyDescent="0.4">
      <c r="A89" s="5">
        <f t="shared" si="17"/>
        <v>0</v>
      </c>
      <c r="B89" s="5">
        <f t="shared" si="17"/>
        <v>0</v>
      </c>
      <c r="C89" s="5">
        <f t="shared" si="17"/>
        <v>1</v>
      </c>
      <c r="D89" s="5">
        <f t="shared" si="17"/>
        <v>0</v>
      </c>
      <c r="E89" s="34" t="str">
        <f t="shared" si="17"/>
        <v>(l)Ge</v>
      </c>
      <c r="F89" s="37">
        <f t="shared" ref="F89:X89" si="25">F11*$C$80</f>
        <v>7.0892500000000011E-8</v>
      </c>
      <c r="G89" s="37">
        <f t="shared" si="25"/>
        <v>8.8791666666666679E-6</v>
      </c>
      <c r="H89" s="37">
        <f t="shared" si="25"/>
        <v>2.4351666666666669E-4</v>
      </c>
      <c r="I89" s="37">
        <f t="shared" si="25"/>
        <v>2.8735833333333339E-3</v>
      </c>
      <c r="J89" s="37">
        <f t="shared" si="25"/>
        <v>2.1920833333333334E-2</v>
      </c>
      <c r="K89" s="37">
        <f t="shared" si="25"/>
        <v>0.47855000000000003</v>
      </c>
      <c r="L89" s="37">
        <f t="shared" si="25"/>
        <v>0.49346666666666666</v>
      </c>
      <c r="M89" s="37">
        <f t="shared" si="25"/>
        <v>0.49786666666666668</v>
      </c>
      <c r="N89" s="37">
        <f t="shared" si="25"/>
        <v>0.49925000000000003</v>
      </c>
      <c r="O89" s="37">
        <f t="shared" si="25"/>
        <v>0.4997166666666667</v>
      </c>
      <c r="P89" s="37">
        <f t="shared" si="25"/>
        <v>0.49999166666666667</v>
      </c>
      <c r="Q89" s="37">
        <f t="shared" si="25"/>
        <v>0.5</v>
      </c>
      <c r="R89" s="37">
        <f t="shared" si="25"/>
        <v>0.5</v>
      </c>
      <c r="S89" s="37">
        <f t="shared" si="25"/>
        <v>0.5</v>
      </c>
      <c r="T89" s="37">
        <f t="shared" si="25"/>
        <v>0.5</v>
      </c>
      <c r="U89" s="37">
        <f t="shared" si="25"/>
        <v>0.5</v>
      </c>
      <c r="V89" s="37">
        <f t="shared" si="25"/>
        <v>0.5</v>
      </c>
      <c r="W89" s="37">
        <f t="shared" si="25"/>
        <v>0.5</v>
      </c>
      <c r="X89" s="37">
        <f t="shared" si="25"/>
        <v>0.5</v>
      </c>
    </row>
    <row r="90" spans="1:24" ht="21" hidden="1" customHeight="1" outlineLevel="1" thickBot="1" x14ac:dyDescent="0.4">
      <c r="A90" s="5">
        <f t="shared" si="17"/>
        <v>0</v>
      </c>
      <c r="B90" s="5">
        <f t="shared" si="17"/>
        <v>0</v>
      </c>
      <c r="C90" s="5">
        <f t="shared" si="17"/>
        <v>0</v>
      </c>
      <c r="D90" s="5">
        <f t="shared" si="17"/>
        <v>1</v>
      </c>
      <c r="E90" s="34" t="str">
        <f t="shared" si="17"/>
        <v>(l)Ga</v>
      </c>
      <c r="F90" s="37">
        <f t="shared" ref="F90:X90" si="26">F12*$C$80</f>
        <v>1.3963333333333335E-21</v>
      </c>
      <c r="G90" s="37">
        <f t="shared" si="26"/>
        <v>3.7340833333333331E-17</v>
      </c>
      <c r="H90" s="37">
        <f t="shared" si="26"/>
        <v>2.2711666666666668E-13</v>
      </c>
      <c r="I90" s="37">
        <f t="shared" si="26"/>
        <v>4.4895000000000004E-10</v>
      </c>
      <c r="J90" s="37">
        <f t="shared" si="26"/>
        <v>3.7050000000000004E-7</v>
      </c>
      <c r="K90" s="37">
        <f t="shared" si="26"/>
        <v>0.66666666666666674</v>
      </c>
      <c r="L90" s="37">
        <f t="shared" si="26"/>
        <v>0.66666666666666674</v>
      </c>
      <c r="M90" s="37">
        <f t="shared" si="26"/>
        <v>0.66666666666666674</v>
      </c>
      <c r="N90" s="37">
        <f t="shared" si="26"/>
        <v>0.66666666666666674</v>
      </c>
      <c r="O90" s="37">
        <f t="shared" si="26"/>
        <v>0.66666666666666674</v>
      </c>
      <c r="P90" s="37">
        <f t="shared" si="26"/>
        <v>0.66666666666666674</v>
      </c>
      <c r="Q90" s="37">
        <f t="shared" si="26"/>
        <v>0.66666666666666674</v>
      </c>
      <c r="R90" s="37">
        <f t="shared" si="26"/>
        <v>0.66666666666666674</v>
      </c>
      <c r="S90" s="37">
        <f t="shared" si="26"/>
        <v>0.66666666666666674</v>
      </c>
      <c r="T90" s="37">
        <f t="shared" si="26"/>
        <v>0.66666666666666674</v>
      </c>
      <c r="U90" s="37">
        <f t="shared" si="26"/>
        <v>0.66666666666666674</v>
      </c>
      <c r="V90" s="37">
        <f t="shared" si="26"/>
        <v>0.66666666666666674</v>
      </c>
      <c r="W90" s="37">
        <f t="shared" si="26"/>
        <v>0.66666666666666674</v>
      </c>
      <c r="X90" s="37">
        <f t="shared" si="26"/>
        <v>0.66666666666666674</v>
      </c>
    </row>
    <row r="91" spans="1:24" ht="21" hidden="1" customHeight="1" outlineLevel="1" thickBot="1" x14ac:dyDescent="0.4">
      <c r="A91" s="5">
        <f t="shared" si="17"/>
        <v>0</v>
      </c>
      <c r="B91" s="5">
        <f t="shared" si="17"/>
        <v>1</v>
      </c>
      <c r="C91" s="5">
        <f t="shared" si="17"/>
        <v>0</v>
      </c>
      <c r="D91" s="5">
        <f t="shared" si="17"/>
        <v>0</v>
      </c>
      <c r="E91" s="34" t="str">
        <f t="shared" si="17"/>
        <v>(l)Se</v>
      </c>
      <c r="F91" s="37">
        <f t="shared" ref="F91:X91" si="27">F13*$C$80</f>
        <v>1.7983333333333334E-6</v>
      </c>
      <c r="G91" s="37">
        <f t="shared" si="27"/>
        <v>1.3817500000000002E-6</v>
      </c>
      <c r="H91" s="37">
        <f t="shared" si="27"/>
        <v>1.0355833333333334E-6</v>
      </c>
      <c r="I91" s="37">
        <f t="shared" si="27"/>
        <v>6.9655833333333348E-7</v>
      </c>
      <c r="J91" s="37">
        <f t="shared" si="27"/>
        <v>4.5810000000000001E-7</v>
      </c>
      <c r="K91" s="37">
        <f t="shared" si="27"/>
        <v>1.659E-7</v>
      </c>
      <c r="L91" s="37">
        <f t="shared" si="27"/>
        <v>1.2056666666666668E-7</v>
      </c>
      <c r="M91" s="37">
        <f t="shared" si="27"/>
        <v>8.7391666666666677E-8</v>
      </c>
      <c r="N91" s="37">
        <f t="shared" si="27"/>
        <v>6.3402500000000015E-8</v>
      </c>
      <c r="O91" s="37">
        <f t="shared" si="27"/>
        <v>4.6086666666666672E-8</v>
      </c>
      <c r="P91" s="37">
        <f t="shared" si="27"/>
        <v>1.3178333333333333E-8</v>
      </c>
      <c r="Q91" s="37">
        <f t="shared" si="27"/>
        <v>3.9120000000000006E-9</v>
      </c>
      <c r="R91" s="37">
        <f t="shared" si="27"/>
        <v>1.1974166666666667E-9</v>
      </c>
      <c r="S91" s="37">
        <f t="shared" si="27"/>
        <v>8.9391666666666666E-10</v>
      </c>
      <c r="T91" s="37">
        <f t="shared" si="27"/>
        <v>6.6813333333333345E-10</v>
      </c>
      <c r="U91" s="37">
        <f t="shared" si="27"/>
        <v>4.9985000000000009E-10</v>
      </c>
      <c r="V91" s="37">
        <f t="shared" si="27"/>
        <v>3.7425000000000008E-10</v>
      </c>
      <c r="W91" s="37">
        <f t="shared" si="27"/>
        <v>1.1823333333333333E-10</v>
      </c>
      <c r="X91" s="37">
        <f t="shared" si="27"/>
        <v>3.7436666666666664E-11</v>
      </c>
    </row>
    <row r="92" spans="1:24" ht="21" hidden="1" customHeight="1" outlineLevel="1" thickBot="1" x14ac:dyDescent="0.4">
      <c r="A92" s="5">
        <f t="shared" ref="A92:E101" si="28">A14</f>
        <v>0</v>
      </c>
      <c r="B92" s="5">
        <f t="shared" si="28"/>
        <v>1</v>
      </c>
      <c r="C92" s="5">
        <f t="shared" si="28"/>
        <v>0</v>
      </c>
      <c r="D92" s="5">
        <f t="shared" si="28"/>
        <v>0</v>
      </c>
      <c r="E92" s="34" t="str">
        <f t="shared" si="28"/>
        <v>(l)Se[a]</v>
      </c>
      <c r="F92" s="37">
        <f t="shared" ref="F92:X92" si="29">F14*$C$80</f>
        <v>4.9837500000000001E-7</v>
      </c>
      <c r="G92" s="37">
        <f t="shared" si="29"/>
        <v>4.7015000000000006E-7</v>
      </c>
      <c r="H92" s="37">
        <f t="shared" si="29"/>
        <v>4.1740000000000002E-7</v>
      </c>
      <c r="I92" s="37">
        <f t="shared" si="29"/>
        <v>3.2363333333333331E-7</v>
      </c>
      <c r="J92" s="37">
        <f t="shared" si="29"/>
        <v>2.4014166666666669E-7</v>
      </c>
      <c r="K92" s="37">
        <f t="shared" si="29"/>
        <v>1.0045E-7</v>
      </c>
      <c r="L92" s="37">
        <f t="shared" si="29"/>
        <v>7.1560000000000013E-8</v>
      </c>
      <c r="M92" s="37">
        <f t="shared" si="29"/>
        <v>5.0822500000000004E-8</v>
      </c>
      <c r="N92" s="37">
        <f t="shared" si="29"/>
        <v>3.6120833333333332E-8</v>
      </c>
      <c r="O92" s="37">
        <f t="shared" si="29"/>
        <v>2.5722500000000004E-8</v>
      </c>
      <c r="P92" s="37">
        <f t="shared" si="29"/>
        <v>6.79225E-9</v>
      </c>
      <c r="Q92" s="37">
        <f t="shared" si="29"/>
        <v>1.8702500000000002E-9</v>
      </c>
      <c r="R92" s="37">
        <f t="shared" si="29"/>
        <v>5.3266666666666669E-10</v>
      </c>
      <c r="S92" s="37">
        <f t="shared" si="29"/>
        <v>3.9071666666666668E-10</v>
      </c>
      <c r="T92" s="37">
        <f t="shared" si="29"/>
        <v>2.8696666666666665E-10</v>
      </c>
      <c r="U92" s="37">
        <f t="shared" si="29"/>
        <v>2.1101666666666669E-10</v>
      </c>
      <c r="V92" s="37">
        <f t="shared" si="29"/>
        <v>1.5532500000000003E-10</v>
      </c>
      <c r="W92" s="37">
        <f t="shared" si="29"/>
        <v>4.5926666666666671E-11</v>
      </c>
      <c r="X92" s="37">
        <f t="shared" si="29"/>
        <v>1.3655833333333335E-11</v>
      </c>
    </row>
    <row r="93" spans="1:24" ht="21" hidden="1" customHeight="1" outlineLevel="1" thickBot="1" x14ac:dyDescent="0.4">
      <c r="A93" s="5">
        <f t="shared" si="28"/>
        <v>0</v>
      </c>
      <c r="B93" s="5">
        <f t="shared" si="28"/>
        <v>1</v>
      </c>
      <c r="C93" s="5">
        <f t="shared" si="28"/>
        <v>0</v>
      </c>
      <c r="D93" s="5">
        <f t="shared" si="28"/>
        <v>0</v>
      </c>
      <c r="E93" s="34" t="str">
        <f t="shared" si="28"/>
        <v>(l)Se[m]</v>
      </c>
      <c r="F93" s="37">
        <f t="shared" ref="F93:X93" si="30">F15*$C$80</f>
        <v>2.0846666666666667</v>
      </c>
      <c r="G93" s="37">
        <f t="shared" si="30"/>
        <v>2.4449166666666668</v>
      </c>
      <c r="H93" s="37">
        <f t="shared" si="30"/>
        <v>2.8377500000000002</v>
      </c>
      <c r="I93" s="37">
        <f t="shared" si="30"/>
        <v>2.9700833333333336</v>
      </c>
      <c r="J93" s="37">
        <f t="shared" si="30"/>
        <v>3.0357500000000002</v>
      </c>
      <c r="K93" s="37">
        <f t="shared" si="30"/>
        <v>4.9570833333333333</v>
      </c>
      <c r="L93" s="37">
        <f t="shared" si="30"/>
        <v>4.9869166666666676</v>
      </c>
      <c r="M93" s="37">
        <f t="shared" si="30"/>
        <v>4.9957500000000001</v>
      </c>
      <c r="N93" s="37">
        <f t="shared" si="30"/>
        <v>4.9985000000000008</v>
      </c>
      <c r="O93" s="37">
        <f t="shared" si="30"/>
        <v>4.9994166666666668</v>
      </c>
      <c r="P93" s="37">
        <f t="shared" si="30"/>
        <v>5</v>
      </c>
      <c r="Q93" s="37">
        <f t="shared" si="30"/>
        <v>5</v>
      </c>
      <c r="R93" s="37">
        <f t="shared" si="30"/>
        <v>5</v>
      </c>
      <c r="S93" s="37">
        <f t="shared" si="30"/>
        <v>5</v>
      </c>
      <c r="T93" s="37">
        <f t="shared" si="30"/>
        <v>5</v>
      </c>
      <c r="U93" s="37">
        <f t="shared" si="30"/>
        <v>5</v>
      </c>
      <c r="V93" s="37">
        <f t="shared" si="30"/>
        <v>5</v>
      </c>
      <c r="W93" s="37">
        <f t="shared" si="30"/>
        <v>5</v>
      </c>
      <c r="X93" s="37">
        <f t="shared" si="30"/>
        <v>5</v>
      </c>
    </row>
    <row r="94" spans="1:24" ht="21" hidden="1" customHeight="1" outlineLevel="1" thickBot="1" x14ac:dyDescent="0.4">
      <c r="A94" s="5">
        <f t="shared" si="28"/>
        <v>0</v>
      </c>
      <c r="B94" s="5">
        <f t="shared" si="28"/>
        <v>1</v>
      </c>
      <c r="C94" s="5">
        <f t="shared" si="28"/>
        <v>0</v>
      </c>
      <c r="D94" s="5">
        <f t="shared" si="28"/>
        <v>0</v>
      </c>
      <c r="E94" s="34" t="str">
        <f t="shared" si="28"/>
        <v>(l)Se[r]</v>
      </c>
      <c r="F94" s="37">
        <f t="shared" ref="F94:X94" si="31">F16*$C$80</f>
        <v>8.3391666666666674E-9</v>
      </c>
      <c r="G94" s="37">
        <f t="shared" si="31"/>
        <v>1.2560833333333334E-8</v>
      </c>
      <c r="H94" s="37">
        <f t="shared" si="31"/>
        <v>1.6590000000000002E-8</v>
      </c>
      <c r="I94" s="37">
        <f t="shared" si="31"/>
        <v>1.8127500000000001E-8</v>
      </c>
      <c r="J94" s="37">
        <f t="shared" si="31"/>
        <v>1.8165833333333334E-8</v>
      </c>
      <c r="K94" s="37">
        <f t="shared" si="31"/>
        <v>1.899E-8</v>
      </c>
      <c r="L94" s="37">
        <f t="shared" si="31"/>
        <v>1.6185000000000002E-8</v>
      </c>
      <c r="M94" s="37">
        <f t="shared" si="31"/>
        <v>1.3559166666666669E-8</v>
      </c>
      <c r="N94" s="37">
        <f t="shared" si="31"/>
        <v>1.1228333333333334E-8</v>
      </c>
      <c r="O94" s="37">
        <f t="shared" si="31"/>
        <v>9.2174999999999997E-9</v>
      </c>
      <c r="P94" s="37">
        <f t="shared" si="31"/>
        <v>3.9496666666666672E-9</v>
      </c>
      <c r="Q94" s="37">
        <f t="shared" si="31"/>
        <v>1.6003333333333333E-9</v>
      </c>
      <c r="R94" s="37">
        <f t="shared" si="31"/>
        <v>6.2745833333333338E-10</v>
      </c>
      <c r="S94" s="37">
        <f t="shared" si="31"/>
        <v>4.9454166666666668E-10</v>
      </c>
      <c r="T94" s="37">
        <f t="shared" si="31"/>
        <v>3.8922500000000002E-10</v>
      </c>
      <c r="U94" s="37">
        <f t="shared" si="31"/>
        <v>3.059E-10</v>
      </c>
      <c r="V94" s="37">
        <f t="shared" si="31"/>
        <v>2.4009166666666669E-10</v>
      </c>
      <c r="W94" s="37">
        <f t="shared" si="31"/>
        <v>8.9866666666666664E-11</v>
      </c>
      <c r="X94" s="37">
        <f t="shared" si="31"/>
        <v>3.289416666666667E-11</v>
      </c>
    </row>
    <row r="95" spans="1:24" ht="21" hidden="1" customHeight="1" outlineLevel="1" thickBot="1" x14ac:dyDescent="0.4">
      <c r="A95" s="5">
        <f t="shared" si="28"/>
        <v>0</v>
      </c>
      <c r="B95" s="5">
        <f t="shared" si="28"/>
        <v>0</v>
      </c>
      <c r="C95" s="5">
        <f t="shared" si="28"/>
        <v>1</v>
      </c>
      <c r="D95" s="5">
        <f t="shared" si="28"/>
        <v>0</v>
      </c>
      <c r="E95" s="34" t="str">
        <f t="shared" si="28"/>
        <v>(l)Ge[c]</v>
      </c>
      <c r="F95" s="37">
        <f t="shared" ref="F95:X95" si="32">F17*$C$80</f>
        <v>7.0892500000000011E-8</v>
      </c>
      <c r="G95" s="37">
        <f t="shared" si="32"/>
        <v>8.8791666666666679E-6</v>
      </c>
      <c r="H95" s="37">
        <f t="shared" si="32"/>
        <v>2.4351666666666669E-4</v>
      </c>
      <c r="I95" s="37">
        <f t="shared" si="32"/>
        <v>2.8735833333333339E-3</v>
      </c>
      <c r="J95" s="37">
        <f t="shared" si="32"/>
        <v>2.1920833333333334E-2</v>
      </c>
      <c r="K95" s="37">
        <f t="shared" si="32"/>
        <v>0.47855000000000003</v>
      </c>
      <c r="L95" s="37">
        <f t="shared" si="32"/>
        <v>0.49346666666666666</v>
      </c>
      <c r="M95" s="37">
        <f t="shared" si="32"/>
        <v>0.49786666666666668</v>
      </c>
      <c r="N95" s="37">
        <f t="shared" si="32"/>
        <v>0.49925000000000003</v>
      </c>
      <c r="O95" s="37">
        <f t="shared" si="32"/>
        <v>0.4997166666666667</v>
      </c>
      <c r="P95" s="37">
        <f t="shared" si="32"/>
        <v>0.49999166666666667</v>
      </c>
      <c r="Q95" s="37">
        <f t="shared" si="32"/>
        <v>0.5</v>
      </c>
      <c r="R95" s="37">
        <f t="shared" si="32"/>
        <v>0.5</v>
      </c>
      <c r="S95" s="37">
        <f t="shared" si="32"/>
        <v>0.5</v>
      </c>
      <c r="T95" s="37">
        <f t="shared" si="32"/>
        <v>0.5</v>
      </c>
      <c r="U95" s="37">
        <f t="shared" si="32"/>
        <v>0.5</v>
      </c>
      <c r="V95" s="37">
        <f t="shared" si="32"/>
        <v>0.5</v>
      </c>
      <c r="W95" s="37">
        <f t="shared" si="32"/>
        <v>0.5</v>
      </c>
      <c r="X95" s="37">
        <f t="shared" si="32"/>
        <v>0.5</v>
      </c>
    </row>
    <row r="96" spans="1:24" ht="21" hidden="1" customHeight="1" outlineLevel="1" thickBot="1" x14ac:dyDescent="0.4">
      <c r="A96" s="5">
        <f t="shared" si="28"/>
        <v>1</v>
      </c>
      <c r="B96" s="5">
        <f t="shared" si="28"/>
        <v>0</v>
      </c>
      <c r="C96" s="5">
        <f t="shared" si="28"/>
        <v>0</v>
      </c>
      <c r="D96" s="5">
        <f t="shared" si="28"/>
        <v>0</v>
      </c>
      <c r="E96" s="34" t="str">
        <f t="shared" si="28"/>
        <v>H (Ar)</v>
      </c>
      <c r="F96" s="37">
        <f t="shared" ref="F96:X96" si="33">F18*$C$80</f>
        <v>-155.66666666666669</v>
      </c>
      <c r="G96" s="37">
        <f t="shared" si="33"/>
        <v>-155.75000000000003</v>
      </c>
      <c r="H96" s="37">
        <f t="shared" si="33"/>
        <v>-156</v>
      </c>
      <c r="I96" s="37">
        <f t="shared" si="33"/>
        <v>-156.33333333333337</v>
      </c>
      <c r="J96" s="37">
        <f t="shared" si="33"/>
        <v>-156.83333333333334</v>
      </c>
      <c r="K96" s="37">
        <f t="shared" si="33"/>
        <v>-158.58333333333334</v>
      </c>
      <c r="L96" s="37">
        <f t="shared" si="33"/>
        <v>-159.16666666666669</v>
      </c>
      <c r="M96" s="37">
        <f t="shared" si="33"/>
        <v>-159.75000000000003</v>
      </c>
      <c r="N96" s="37">
        <f t="shared" si="33"/>
        <v>-160.33333333333334</v>
      </c>
      <c r="O96" s="37">
        <f t="shared" si="33"/>
        <v>-160.91666666666666</v>
      </c>
      <c r="P96" s="37">
        <f t="shared" si="33"/>
        <v>-163.08333333333334</v>
      </c>
      <c r="Q96" s="37">
        <f t="shared" si="33"/>
        <v>-165.16666666666669</v>
      </c>
      <c r="R96" s="37">
        <f t="shared" si="33"/>
        <v>-167.08333333333334</v>
      </c>
      <c r="S96" s="37">
        <f t="shared" si="33"/>
        <v>-167.58333333333334</v>
      </c>
      <c r="T96" s="37">
        <f t="shared" si="33"/>
        <v>-168</v>
      </c>
      <c r="U96" s="37">
        <f t="shared" si="33"/>
        <v>-168.41666666666669</v>
      </c>
      <c r="V96" s="37">
        <f t="shared" si="33"/>
        <v>-168.83333333333337</v>
      </c>
      <c r="W96" s="37">
        <f t="shared" si="33"/>
        <v>-170.50000000000003</v>
      </c>
      <c r="X96" s="37">
        <f t="shared" si="33"/>
        <v>-172.08333333333334</v>
      </c>
    </row>
    <row r="97" spans="1:24" ht="21" hidden="1" customHeight="1" outlineLevel="1" thickBot="1" x14ac:dyDescent="0.4">
      <c r="A97" s="5">
        <f t="shared" si="28"/>
        <v>0</v>
      </c>
      <c r="B97" s="5">
        <f t="shared" si="28"/>
        <v>0</v>
      </c>
      <c r="C97" s="5">
        <f t="shared" si="28"/>
        <v>0</v>
      </c>
      <c r="D97" s="5">
        <f t="shared" si="28"/>
        <v>1</v>
      </c>
      <c r="E97" s="34" t="str">
        <f t="shared" si="28"/>
        <v>H (Ga)</v>
      </c>
      <c r="F97" s="37">
        <f t="shared" ref="F97:X97" si="34">F19*$C$80</f>
        <v>-544.75000000000011</v>
      </c>
      <c r="G97" s="37">
        <f t="shared" si="34"/>
        <v>-471.41666666666669</v>
      </c>
      <c r="H97" s="37">
        <f t="shared" si="34"/>
        <v>-410.5</v>
      </c>
      <c r="I97" s="37">
        <f t="shared" si="34"/>
        <v>-358.58333333333337</v>
      </c>
      <c r="J97" s="37">
        <f t="shared" si="34"/>
        <v>-313.91666666666669</v>
      </c>
      <c r="K97" s="37">
        <f t="shared" si="34"/>
        <v>-241.91666666666669</v>
      </c>
      <c r="L97" s="37">
        <f t="shared" si="34"/>
        <v>-252.75</v>
      </c>
      <c r="M97" s="37">
        <f t="shared" si="34"/>
        <v>-263.41666666666669</v>
      </c>
      <c r="N97" s="37">
        <f t="shared" si="34"/>
        <v>-273.83333333333337</v>
      </c>
      <c r="O97" s="37">
        <f t="shared" si="34"/>
        <v>-284</v>
      </c>
      <c r="P97" s="37">
        <f t="shared" si="34"/>
        <v>-321.5</v>
      </c>
      <c r="Q97" s="37">
        <f t="shared" si="34"/>
        <v>-352.91666666666669</v>
      </c>
      <c r="R97" s="37">
        <f t="shared" si="34"/>
        <v>-377.08333333333337</v>
      </c>
      <c r="S97" s="37">
        <f t="shared" si="34"/>
        <v>-381.83333333333337</v>
      </c>
      <c r="T97" s="37">
        <f t="shared" si="34"/>
        <v>-386.08333333333337</v>
      </c>
      <c r="U97" s="37">
        <f t="shared" si="34"/>
        <v>-389.83333333333337</v>
      </c>
      <c r="V97" s="37">
        <f t="shared" si="34"/>
        <v>-393</v>
      </c>
      <c r="W97" s="37">
        <f t="shared" si="34"/>
        <v>-400.16666666666674</v>
      </c>
      <c r="X97" s="37">
        <f t="shared" si="34"/>
        <v>-398.08333333333337</v>
      </c>
    </row>
    <row r="98" spans="1:24" ht="21" hidden="1" customHeight="1" outlineLevel="1" thickBot="1" x14ac:dyDescent="0.4">
      <c r="A98" s="5">
        <f t="shared" si="28"/>
        <v>0</v>
      </c>
      <c r="B98" s="5">
        <f t="shared" si="28"/>
        <v>0</v>
      </c>
      <c r="C98" s="5">
        <f t="shared" si="28"/>
        <v>1</v>
      </c>
      <c r="D98" s="5">
        <f t="shared" si="28"/>
        <v>0</v>
      </c>
      <c r="E98" s="34" t="str">
        <f t="shared" si="28"/>
        <v>H (Ge)</v>
      </c>
      <c r="F98" s="37">
        <f t="shared" ref="F98:X98" si="35">F20*$C$80</f>
        <v>-178.33333333333334</v>
      </c>
      <c r="G98" s="37">
        <f t="shared" si="35"/>
        <v>-139.08333333333334</v>
      </c>
      <c r="H98" s="37">
        <f t="shared" si="35"/>
        <v>-112.66666666666667</v>
      </c>
      <c r="I98" s="37">
        <f t="shared" si="35"/>
        <v>-92.833333333333343</v>
      </c>
      <c r="J98" s="37">
        <f t="shared" si="35"/>
        <v>-76.541666666666671</v>
      </c>
      <c r="K98" s="37">
        <f t="shared" si="35"/>
        <v>-57.083333333333336</v>
      </c>
      <c r="L98" s="37">
        <f t="shared" si="35"/>
        <v>-57.558333333333337</v>
      </c>
      <c r="M98" s="37">
        <f t="shared" si="35"/>
        <v>-58.183333333333337</v>
      </c>
      <c r="N98" s="37">
        <f t="shared" si="35"/>
        <v>-58.850000000000009</v>
      </c>
      <c r="O98" s="37">
        <f t="shared" si="35"/>
        <v>-59.525000000000006</v>
      </c>
      <c r="P98" s="37">
        <f t="shared" si="35"/>
        <v>-62.19166666666667</v>
      </c>
      <c r="Q98" s="37">
        <f t="shared" si="35"/>
        <v>-64.708333333333329</v>
      </c>
      <c r="R98" s="37">
        <f t="shared" si="35"/>
        <v>-67.066666666666677</v>
      </c>
      <c r="S98" s="37">
        <f t="shared" si="35"/>
        <v>-67.63333333333334</v>
      </c>
      <c r="T98" s="37">
        <f t="shared" si="35"/>
        <v>-68.183333333333337</v>
      </c>
      <c r="U98" s="37">
        <f t="shared" si="35"/>
        <v>-68.733333333333334</v>
      </c>
      <c r="V98" s="37">
        <f t="shared" si="35"/>
        <v>-69.275000000000006</v>
      </c>
      <c r="W98" s="37">
        <f t="shared" si="35"/>
        <v>-71.341666666666669</v>
      </c>
      <c r="X98" s="37">
        <f t="shared" si="35"/>
        <v>-73.291666666666671</v>
      </c>
    </row>
    <row r="99" spans="1:24" ht="21" hidden="1" customHeight="1" outlineLevel="1" thickBot="1" x14ac:dyDescent="0.4">
      <c r="A99" s="5">
        <f t="shared" si="28"/>
        <v>0</v>
      </c>
      <c r="B99" s="5">
        <f t="shared" si="28"/>
        <v>1</v>
      </c>
      <c r="C99" s="5">
        <f t="shared" si="28"/>
        <v>0</v>
      </c>
      <c r="D99" s="5">
        <f t="shared" si="28"/>
        <v>0</v>
      </c>
      <c r="E99" s="34" t="str">
        <f t="shared" si="28"/>
        <v>H (Se)</v>
      </c>
      <c r="F99" s="37">
        <f t="shared" ref="F99:X99" si="36">F21*$C$80</f>
        <v>-162.58333333333337</v>
      </c>
      <c r="G99" s="37">
        <f t="shared" si="36"/>
        <v>-165.75000000000003</v>
      </c>
      <c r="H99" s="37">
        <f t="shared" si="36"/>
        <v>-169.41666666666666</v>
      </c>
      <c r="I99" s="37">
        <f t="shared" si="36"/>
        <v>-173.41666666666666</v>
      </c>
      <c r="J99" s="37">
        <f t="shared" si="36"/>
        <v>-177.66666666666669</v>
      </c>
      <c r="K99" s="37">
        <f t="shared" si="36"/>
        <v>-194.25</v>
      </c>
      <c r="L99" s="37">
        <f t="shared" si="36"/>
        <v>-198.33333333333334</v>
      </c>
      <c r="M99" s="37">
        <f t="shared" si="36"/>
        <v>-202.41666666666669</v>
      </c>
      <c r="N99" s="37">
        <f t="shared" si="36"/>
        <v>-206.41666666666669</v>
      </c>
      <c r="O99" s="37">
        <f t="shared" si="36"/>
        <v>-210.33333333333334</v>
      </c>
      <c r="P99" s="37">
        <f t="shared" si="36"/>
        <v>-225.5</v>
      </c>
      <c r="Q99" s="37">
        <f t="shared" si="36"/>
        <v>-239.83333333333337</v>
      </c>
      <c r="R99" s="37">
        <f t="shared" si="36"/>
        <v>-253.41666666666669</v>
      </c>
      <c r="S99" s="37">
        <f t="shared" si="36"/>
        <v>-256.75</v>
      </c>
      <c r="T99" s="37">
        <f t="shared" si="36"/>
        <v>-260</v>
      </c>
      <c r="U99" s="37">
        <f t="shared" si="36"/>
        <v>-263.25</v>
      </c>
      <c r="V99" s="37">
        <f t="shared" si="36"/>
        <v>-266.5</v>
      </c>
      <c r="W99" s="37">
        <f t="shared" si="36"/>
        <v>-279.16666666666669</v>
      </c>
      <c r="X99" s="37">
        <f t="shared" si="36"/>
        <v>-291.66666666666669</v>
      </c>
    </row>
    <row r="100" spans="1:24" ht="21" hidden="1" customHeight="1" outlineLevel="1" thickBot="1" x14ac:dyDescent="0.4">
      <c r="A100" s="5">
        <f t="shared" si="28"/>
        <v>0</v>
      </c>
      <c r="B100" s="5">
        <f t="shared" si="28"/>
        <v>0</v>
      </c>
      <c r="C100" s="5">
        <f t="shared" si="28"/>
        <v>0</v>
      </c>
      <c r="D100" s="5">
        <f t="shared" si="28"/>
        <v>0</v>
      </c>
      <c r="E100" s="34">
        <f t="shared" si="28"/>
        <v>0</v>
      </c>
      <c r="F100" s="37">
        <f t="shared" ref="F100:X100" si="37">F22*$C$80</f>
        <v>0</v>
      </c>
      <c r="G100" s="37">
        <f t="shared" si="37"/>
        <v>0</v>
      </c>
      <c r="H100" s="37">
        <f t="shared" si="37"/>
        <v>0</v>
      </c>
      <c r="I100" s="37">
        <f t="shared" si="37"/>
        <v>0</v>
      </c>
      <c r="J100" s="37">
        <f t="shared" si="37"/>
        <v>0</v>
      </c>
      <c r="K100" s="37">
        <f t="shared" si="37"/>
        <v>0</v>
      </c>
      <c r="L100" s="37">
        <f t="shared" si="37"/>
        <v>0</v>
      </c>
      <c r="M100" s="37">
        <f t="shared" si="37"/>
        <v>0</v>
      </c>
      <c r="N100" s="37">
        <f t="shared" si="37"/>
        <v>0</v>
      </c>
      <c r="O100" s="37">
        <f t="shared" si="37"/>
        <v>0</v>
      </c>
      <c r="P100" s="37">
        <f t="shared" si="37"/>
        <v>0</v>
      </c>
      <c r="Q100" s="37">
        <f t="shared" si="37"/>
        <v>0</v>
      </c>
      <c r="R100" s="37">
        <f t="shared" si="37"/>
        <v>0</v>
      </c>
      <c r="S100" s="37">
        <f t="shared" si="37"/>
        <v>0</v>
      </c>
      <c r="T100" s="37">
        <f t="shared" si="37"/>
        <v>0</v>
      </c>
      <c r="U100" s="37">
        <f t="shared" si="37"/>
        <v>0</v>
      </c>
      <c r="V100" s="37">
        <f t="shared" si="37"/>
        <v>0</v>
      </c>
      <c r="W100" s="37">
        <f t="shared" si="37"/>
        <v>0</v>
      </c>
      <c r="X100" s="37">
        <f t="shared" si="37"/>
        <v>0</v>
      </c>
    </row>
    <row r="101" spans="1:24" ht="21" hidden="1" customHeight="1" outlineLevel="1" thickBot="1" x14ac:dyDescent="0.4">
      <c r="A101" s="5">
        <f t="shared" si="28"/>
        <v>0</v>
      </c>
      <c r="B101" s="5">
        <f t="shared" si="28"/>
        <v>0</v>
      </c>
      <c r="C101" s="5">
        <f t="shared" si="28"/>
        <v>0</v>
      </c>
      <c r="D101" s="5">
        <f t="shared" si="28"/>
        <v>0</v>
      </c>
      <c r="E101" s="34">
        <f t="shared" si="28"/>
        <v>0</v>
      </c>
      <c r="F101" s="37">
        <f t="shared" ref="F101:X101" si="38">F23*$C$80</f>
        <v>0</v>
      </c>
      <c r="G101" s="37">
        <f t="shared" si="38"/>
        <v>0</v>
      </c>
      <c r="H101" s="37">
        <f t="shared" si="38"/>
        <v>0</v>
      </c>
      <c r="I101" s="37">
        <f t="shared" si="38"/>
        <v>0</v>
      </c>
      <c r="J101" s="37">
        <f t="shared" si="38"/>
        <v>0</v>
      </c>
      <c r="K101" s="37">
        <f t="shared" si="38"/>
        <v>0</v>
      </c>
      <c r="L101" s="37">
        <f t="shared" si="38"/>
        <v>0</v>
      </c>
      <c r="M101" s="37">
        <f t="shared" si="38"/>
        <v>0</v>
      </c>
      <c r="N101" s="37">
        <f t="shared" si="38"/>
        <v>0</v>
      </c>
      <c r="O101" s="37">
        <f t="shared" si="38"/>
        <v>0</v>
      </c>
      <c r="P101" s="37">
        <f t="shared" si="38"/>
        <v>0</v>
      </c>
      <c r="Q101" s="37">
        <f t="shared" si="38"/>
        <v>0</v>
      </c>
      <c r="R101" s="37">
        <f t="shared" si="38"/>
        <v>0</v>
      </c>
      <c r="S101" s="37">
        <f t="shared" si="38"/>
        <v>0</v>
      </c>
      <c r="T101" s="37">
        <f t="shared" si="38"/>
        <v>0</v>
      </c>
      <c r="U101" s="37">
        <f t="shared" si="38"/>
        <v>0</v>
      </c>
      <c r="V101" s="37">
        <f t="shared" si="38"/>
        <v>0</v>
      </c>
      <c r="W101" s="37">
        <f t="shared" si="38"/>
        <v>0</v>
      </c>
      <c r="X101" s="37">
        <f t="shared" si="38"/>
        <v>0</v>
      </c>
    </row>
    <row r="102" spans="1:24" ht="21" hidden="1" customHeight="1" outlineLevel="1" thickBot="1" x14ac:dyDescent="0.4">
      <c r="A102" s="5">
        <f t="shared" ref="A102:E111" si="39">A24</f>
        <v>0</v>
      </c>
      <c r="B102" s="5">
        <f t="shared" si="39"/>
        <v>0</v>
      </c>
      <c r="C102" s="5">
        <f t="shared" si="39"/>
        <v>0</v>
      </c>
      <c r="D102" s="5">
        <f t="shared" si="39"/>
        <v>0</v>
      </c>
      <c r="E102" s="34">
        <f t="shared" si="39"/>
        <v>0</v>
      </c>
      <c r="F102" s="37">
        <f t="shared" ref="F102:X102" si="40">F24*$C$80</f>
        <v>0</v>
      </c>
      <c r="G102" s="37">
        <f t="shared" si="40"/>
        <v>0</v>
      </c>
      <c r="H102" s="37">
        <f t="shared" si="40"/>
        <v>0</v>
      </c>
      <c r="I102" s="37">
        <f t="shared" si="40"/>
        <v>0</v>
      </c>
      <c r="J102" s="37">
        <f t="shared" si="40"/>
        <v>0</v>
      </c>
      <c r="K102" s="37">
        <f t="shared" si="40"/>
        <v>0</v>
      </c>
      <c r="L102" s="37">
        <f t="shared" si="40"/>
        <v>0</v>
      </c>
      <c r="M102" s="37">
        <f t="shared" si="40"/>
        <v>0</v>
      </c>
      <c r="N102" s="37">
        <f t="shared" si="40"/>
        <v>0</v>
      </c>
      <c r="O102" s="37">
        <f t="shared" si="40"/>
        <v>0</v>
      </c>
      <c r="P102" s="37">
        <f t="shared" si="40"/>
        <v>0</v>
      </c>
      <c r="Q102" s="37">
        <f t="shared" si="40"/>
        <v>0</v>
      </c>
      <c r="R102" s="37">
        <f t="shared" si="40"/>
        <v>0</v>
      </c>
      <c r="S102" s="37">
        <f t="shared" si="40"/>
        <v>0</v>
      </c>
      <c r="T102" s="37">
        <f t="shared" si="40"/>
        <v>0</v>
      </c>
      <c r="U102" s="37">
        <f t="shared" si="40"/>
        <v>0</v>
      </c>
      <c r="V102" s="37">
        <f t="shared" si="40"/>
        <v>0</v>
      </c>
      <c r="W102" s="37">
        <f t="shared" si="40"/>
        <v>0</v>
      </c>
      <c r="X102" s="37">
        <f t="shared" si="40"/>
        <v>0</v>
      </c>
    </row>
    <row r="103" spans="1:24" ht="21" hidden="1" customHeight="1" outlineLevel="1" thickBot="1" x14ac:dyDescent="0.4">
      <c r="A103" s="5">
        <f t="shared" si="39"/>
        <v>0</v>
      </c>
      <c r="B103" s="5">
        <f t="shared" si="39"/>
        <v>0</v>
      </c>
      <c r="C103" s="5">
        <f t="shared" si="39"/>
        <v>0</v>
      </c>
      <c r="D103" s="5">
        <f t="shared" si="39"/>
        <v>0</v>
      </c>
      <c r="E103" s="34">
        <f t="shared" si="39"/>
        <v>0</v>
      </c>
      <c r="F103" s="37">
        <f t="shared" ref="F103:X103" si="41">F25*$C$80</f>
        <v>0</v>
      </c>
      <c r="G103" s="37">
        <f t="shared" si="41"/>
        <v>0</v>
      </c>
      <c r="H103" s="37">
        <f t="shared" si="41"/>
        <v>0</v>
      </c>
      <c r="I103" s="37">
        <f t="shared" si="41"/>
        <v>0</v>
      </c>
      <c r="J103" s="37">
        <f t="shared" si="41"/>
        <v>0</v>
      </c>
      <c r="K103" s="37">
        <f t="shared" si="41"/>
        <v>0</v>
      </c>
      <c r="L103" s="37">
        <f t="shared" si="41"/>
        <v>0</v>
      </c>
      <c r="M103" s="37">
        <f t="shared" si="41"/>
        <v>0</v>
      </c>
      <c r="N103" s="37">
        <f t="shared" si="41"/>
        <v>0</v>
      </c>
      <c r="O103" s="37">
        <f t="shared" si="41"/>
        <v>0</v>
      </c>
      <c r="P103" s="37">
        <f t="shared" si="41"/>
        <v>0</v>
      </c>
      <c r="Q103" s="37">
        <f t="shared" si="41"/>
        <v>0</v>
      </c>
      <c r="R103" s="37">
        <f t="shared" si="41"/>
        <v>0</v>
      </c>
      <c r="S103" s="37">
        <f t="shared" si="41"/>
        <v>0</v>
      </c>
      <c r="T103" s="37">
        <f t="shared" si="41"/>
        <v>0</v>
      </c>
      <c r="U103" s="37">
        <f t="shared" si="41"/>
        <v>0</v>
      </c>
      <c r="V103" s="37">
        <f t="shared" si="41"/>
        <v>0</v>
      </c>
      <c r="W103" s="37">
        <f t="shared" si="41"/>
        <v>0</v>
      </c>
      <c r="X103" s="37">
        <f t="shared" si="41"/>
        <v>0</v>
      </c>
    </row>
    <row r="104" spans="1:24" ht="21" hidden="1" customHeight="1" outlineLevel="1" thickBot="1" x14ac:dyDescent="0.4">
      <c r="A104" s="5">
        <f t="shared" si="39"/>
        <v>0</v>
      </c>
      <c r="B104" s="5">
        <f t="shared" si="39"/>
        <v>0</v>
      </c>
      <c r="C104" s="5">
        <f t="shared" si="39"/>
        <v>0</v>
      </c>
      <c r="D104" s="5">
        <f t="shared" si="39"/>
        <v>0</v>
      </c>
      <c r="E104" s="34">
        <f t="shared" si="39"/>
        <v>0</v>
      </c>
      <c r="F104" s="37">
        <f t="shared" ref="F104:X104" si="42">F26*$C$80</f>
        <v>0</v>
      </c>
      <c r="G104" s="37">
        <f t="shared" si="42"/>
        <v>0</v>
      </c>
      <c r="H104" s="37">
        <f t="shared" si="42"/>
        <v>0</v>
      </c>
      <c r="I104" s="37">
        <f t="shared" si="42"/>
        <v>0</v>
      </c>
      <c r="J104" s="37">
        <f t="shared" si="42"/>
        <v>0</v>
      </c>
      <c r="K104" s="37">
        <f t="shared" si="42"/>
        <v>0</v>
      </c>
      <c r="L104" s="37">
        <f t="shared" si="42"/>
        <v>0</v>
      </c>
      <c r="M104" s="37">
        <f t="shared" si="42"/>
        <v>0</v>
      </c>
      <c r="N104" s="37">
        <f t="shared" si="42"/>
        <v>0</v>
      </c>
      <c r="O104" s="37">
        <f t="shared" si="42"/>
        <v>0</v>
      </c>
      <c r="P104" s="37">
        <f t="shared" si="42"/>
        <v>0</v>
      </c>
      <c r="Q104" s="37">
        <f t="shared" si="42"/>
        <v>0</v>
      </c>
      <c r="R104" s="37">
        <f t="shared" si="42"/>
        <v>0</v>
      </c>
      <c r="S104" s="37">
        <f t="shared" si="42"/>
        <v>0</v>
      </c>
      <c r="T104" s="37">
        <f t="shared" si="42"/>
        <v>0</v>
      </c>
      <c r="U104" s="37">
        <f t="shared" si="42"/>
        <v>0</v>
      </c>
      <c r="V104" s="37">
        <f t="shared" si="42"/>
        <v>0</v>
      </c>
      <c r="W104" s="37">
        <f t="shared" si="42"/>
        <v>0</v>
      </c>
      <c r="X104" s="37">
        <f t="shared" si="42"/>
        <v>0</v>
      </c>
    </row>
    <row r="105" spans="1:24" ht="21" hidden="1" customHeight="1" outlineLevel="1" thickBot="1" x14ac:dyDescent="0.4">
      <c r="A105" s="5">
        <f t="shared" si="39"/>
        <v>0</v>
      </c>
      <c r="B105" s="5">
        <f t="shared" si="39"/>
        <v>0</v>
      </c>
      <c r="C105" s="5">
        <f t="shared" si="39"/>
        <v>0</v>
      </c>
      <c r="D105" s="5">
        <f t="shared" si="39"/>
        <v>0</v>
      </c>
      <c r="E105" s="34">
        <f t="shared" si="39"/>
        <v>0</v>
      </c>
      <c r="F105" s="37">
        <f t="shared" ref="F105:X105" si="43">F27*$C$80</f>
        <v>0</v>
      </c>
      <c r="G105" s="37">
        <f t="shared" si="43"/>
        <v>0</v>
      </c>
      <c r="H105" s="37">
        <f t="shared" si="43"/>
        <v>0</v>
      </c>
      <c r="I105" s="37">
        <f t="shared" si="43"/>
        <v>0</v>
      </c>
      <c r="J105" s="37">
        <f t="shared" si="43"/>
        <v>0</v>
      </c>
      <c r="K105" s="37">
        <f t="shared" si="43"/>
        <v>0</v>
      </c>
      <c r="L105" s="37">
        <f t="shared" si="43"/>
        <v>0</v>
      </c>
      <c r="M105" s="37">
        <f t="shared" si="43"/>
        <v>0</v>
      </c>
      <c r="N105" s="37">
        <f t="shared" si="43"/>
        <v>0</v>
      </c>
      <c r="O105" s="37">
        <f t="shared" si="43"/>
        <v>0</v>
      </c>
      <c r="P105" s="37">
        <f t="shared" si="43"/>
        <v>0</v>
      </c>
      <c r="Q105" s="37">
        <f t="shared" si="43"/>
        <v>0</v>
      </c>
      <c r="R105" s="37">
        <f t="shared" si="43"/>
        <v>0</v>
      </c>
      <c r="S105" s="37">
        <f t="shared" si="43"/>
        <v>0</v>
      </c>
      <c r="T105" s="37">
        <f t="shared" si="43"/>
        <v>0</v>
      </c>
      <c r="U105" s="37">
        <f t="shared" si="43"/>
        <v>0</v>
      </c>
      <c r="V105" s="37">
        <f t="shared" si="43"/>
        <v>0</v>
      </c>
      <c r="W105" s="37">
        <f t="shared" si="43"/>
        <v>0</v>
      </c>
      <c r="X105" s="37">
        <f t="shared" si="43"/>
        <v>0</v>
      </c>
    </row>
    <row r="106" spans="1:24" ht="21" hidden="1" customHeight="1" outlineLevel="1" thickBot="1" x14ac:dyDescent="0.4">
      <c r="A106" s="5">
        <f t="shared" si="39"/>
        <v>0</v>
      </c>
      <c r="B106" s="5">
        <f t="shared" si="39"/>
        <v>0</v>
      </c>
      <c r="C106" s="5">
        <f t="shared" si="39"/>
        <v>0</v>
      </c>
      <c r="D106" s="5">
        <f t="shared" si="39"/>
        <v>0</v>
      </c>
      <c r="E106" s="34">
        <f t="shared" si="39"/>
        <v>0</v>
      </c>
      <c r="F106" s="37">
        <f t="shared" ref="F106:X106" si="44">F28*$C$80</f>
        <v>0</v>
      </c>
      <c r="G106" s="37">
        <f t="shared" si="44"/>
        <v>0</v>
      </c>
      <c r="H106" s="37">
        <f t="shared" si="44"/>
        <v>0</v>
      </c>
      <c r="I106" s="37">
        <f t="shared" si="44"/>
        <v>0</v>
      </c>
      <c r="J106" s="37">
        <f t="shared" si="44"/>
        <v>0</v>
      </c>
      <c r="K106" s="37">
        <f t="shared" si="44"/>
        <v>0</v>
      </c>
      <c r="L106" s="37">
        <f t="shared" si="44"/>
        <v>0</v>
      </c>
      <c r="M106" s="37">
        <f t="shared" si="44"/>
        <v>0</v>
      </c>
      <c r="N106" s="37">
        <f t="shared" si="44"/>
        <v>0</v>
      </c>
      <c r="O106" s="37">
        <f t="shared" si="44"/>
        <v>0</v>
      </c>
      <c r="P106" s="37">
        <f t="shared" si="44"/>
        <v>0</v>
      </c>
      <c r="Q106" s="37">
        <f t="shared" si="44"/>
        <v>0</v>
      </c>
      <c r="R106" s="37">
        <f t="shared" si="44"/>
        <v>0</v>
      </c>
      <c r="S106" s="37">
        <f t="shared" si="44"/>
        <v>0</v>
      </c>
      <c r="T106" s="37">
        <f t="shared" si="44"/>
        <v>0</v>
      </c>
      <c r="U106" s="37">
        <f t="shared" si="44"/>
        <v>0</v>
      </c>
      <c r="V106" s="37">
        <f t="shared" si="44"/>
        <v>0</v>
      </c>
      <c r="W106" s="37">
        <f t="shared" si="44"/>
        <v>0</v>
      </c>
      <c r="X106" s="37">
        <f t="shared" si="44"/>
        <v>0</v>
      </c>
    </row>
    <row r="107" spans="1:24" ht="21" hidden="1" customHeight="1" outlineLevel="1" thickBot="1" x14ac:dyDescent="0.4">
      <c r="A107" s="5">
        <f t="shared" si="39"/>
        <v>0</v>
      </c>
      <c r="B107" s="5">
        <f t="shared" si="39"/>
        <v>0</v>
      </c>
      <c r="C107" s="5">
        <f t="shared" si="39"/>
        <v>0</v>
      </c>
      <c r="D107" s="5">
        <f t="shared" si="39"/>
        <v>0</v>
      </c>
      <c r="E107" s="34">
        <f t="shared" si="39"/>
        <v>0</v>
      </c>
      <c r="F107" s="37">
        <f t="shared" ref="F107:X107" si="45">F29*$C$80</f>
        <v>0</v>
      </c>
      <c r="G107" s="37">
        <f t="shared" si="45"/>
        <v>0</v>
      </c>
      <c r="H107" s="37">
        <f t="shared" si="45"/>
        <v>0</v>
      </c>
      <c r="I107" s="37">
        <f t="shared" si="45"/>
        <v>0</v>
      </c>
      <c r="J107" s="37">
        <f t="shared" si="45"/>
        <v>0</v>
      </c>
      <c r="K107" s="37">
        <f t="shared" si="45"/>
        <v>0</v>
      </c>
      <c r="L107" s="37">
        <f t="shared" si="45"/>
        <v>0</v>
      </c>
      <c r="M107" s="37">
        <f t="shared" si="45"/>
        <v>0</v>
      </c>
      <c r="N107" s="37">
        <f t="shared" si="45"/>
        <v>0</v>
      </c>
      <c r="O107" s="37">
        <f t="shared" si="45"/>
        <v>0</v>
      </c>
      <c r="P107" s="37">
        <f t="shared" si="45"/>
        <v>0</v>
      </c>
      <c r="Q107" s="37">
        <f t="shared" si="45"/>
        <v>0</v>
      </c>
      <c r="R107" s="37">
        <f t="shared" si="45"/>
        <v>0</v>
      </c>
      <c r="S107" s="37">
        <f t="shared" si="45"/>
        <v>0</v>
      </c>
      <c r="T107" s="37">
        <f t="shared" si="45"/>
        <v>0</v>
      </c>
      <c r="U107" s="37">
        <f t="shared" si="45"/>
        <v>0</v>
      </c>
      <c r="V107" s="37">
        <f t="shared" si="45"/>
        <v>0</v>
      </c>
      <c r="W107" s="37">
        <f t="shared" si="45"/>
        <v>0</v>
      </c>
      <c r="X107" s="37">
        <f t="shared" si="45"/>
        <v>0</v>
      </c>
    </row>
    <row r="108" spans="1:24" ht="21" hidden="1" customHeight="1" outlineLevel="1" thickBot="1" x14ac:dyDescent="0.4">
      <c r="A108" s="5">
        <f t="shared" si="39"/>
        <v>0</v>
      </c>
      <c r="B108" s="5">
        <f t="shared" si="39"/>
        <v>0</v>
      </c>
      <c r="C108" s="5">
        <f t="shared" si="39"/>
        <v>0</v>
      </c>
      <c r="D108" s="5">
        <f t="shared" si="39"/>
        <v>0</v>
      </c>
      <c r="E108" s="34">
        <f t="shared" si="39"/>
        <v>0</v>
      </c>
      <c r="F108" s="37">
        <f t="shared" ref="F108:X108" si="46">F30*$C$80</f>
        <v>0</v>
      </c>
      <c r="G108" s="37">
        <f t="shared" si="46"/>
        <v>0</v>
      </c>
      <c r="H108" s="37">
        <f t="shared" si="46"/>
        <v>0</v>
      </c>
      <c r="I108" s="37">
        <f t="shared" si="46"/>
        <v>0</v>
      </c>
      <c r="J108" s="37">
        <f t="shared" si="46"/>
        <v>0</v>
      </c>
      <c r="K108" s="37">
        <f t="shared" si="46"/>
        <v>0</v>
      </c>
      <c r="L108" s="37">
        <f t="shared" si="46"/>
        <v>0</v>
      </c>
      <c r="M108" s="37">
        <f t="shared" si="46"/>
        <v>0</v>
      </c>
      <c r="N108" s="37">
        <f t="shared" si="46"/>
        <v>0</v>
      </c>
      <c r="O108" s="37">
        <f t="shared" si="46"/>
        <v>0</v>
      </c>
      <c r="P108" s="37">
        <f t="shared" si="46"/>
        <v>0</v>
      </c>
      <c r="Q108" s="37">
        <f t="shared" si="46"/>
        <v>0</v>
      </c>
      <c r="R108" s="37">
        <f t="shared" si="46"/>
        <v>0</v>
      </c>
      <c r="S108" s="37">
        <f t="shared" si="46"/>
        <v>0</v>
      </c>
      <c r="T108" s="37">
        <f t="shared" si="46"/>
        <v>0</v>
      </c>
      <c r="U108" s="37">
        <f t="shared" si="46"/>
        <v>0</v>
      </c>
      <c r="V108" s="37">
        <f t="shared" si="46"/>
        <v>0</v>
      </c>
      <c r="W108" s="37">
        <f t="shared" si="46"/>
        <v>0</v>
      </c>
      <c r="X108" s="37">
        <f t="shared" si="46"/>
        <v>0</v>
      </c>
    </row>
    <row r="109" spans="1:24" ht="21" hidden="1" customHeight="1" outlineLevel="1" thickBot="1" x14ac:dyDescent="0.4">
      <c r="A109" s="5">
        <f t="shared" si="39"/>
        <v>0</v>
      </c>
      <c r="B109" s="5">
        <f t="shared" si="39"/>
        <v>0</v>
      </c>
      <c r="C109" s="5">
        <f t="shared" si="39"/>
        <v>0</v>
      </c>
      <c r="D109" s="5">
        <f t="shared" si="39"/>
        <v>0</v>
      </c>
      <c r="E109" s="34">
        <f t="shared" si="39"/>
        <v>0</v>
      </c>
      <c r="F109" s="37">
        <f t="shared" ref="F109:X109" si="47">F31*$C$80</f>
        <v>0</v>
      </c>
      <c r="G109" s="37">
        <f t="shared" si="47"/>
        <v>0</v>
      </c>
      <c r="H109" s="37">
        <f t="shared" si="47"/>
        <v>0</v>
      </c>
      <c r="I109" s="37">
        <f t="shared" si="47"/>
        <v>0</v>
      </c>
      <c r="J109" s="37">
        <f t="shared" si="47"/>
        <v>0</v>
      </c>
      <c r="K109" s="37">
        <f t="shared" si="47"/>
        <v>0</v>
      </c>
      <c r="L109" s="37">
        <f t="shared" si="47"/>
        <v>0</v>
      </c>
      <c r="M109" s="37">
        <f t="shared" si="47"/>
        <v>0</v>
      </c>
      <c r="N109" s="37">
        <f t="shared" si="47"/>
        <v>0</v>
      </c>
      <c r="O109" s="37">
        <f t="shared" si="47"/>
        <v>0</v>
      </c>
      <c r="P109" s="37">
        <f t="shared" si="47"/>
        <v>0</v>
      </c>
      <c r="Q109" s="37">
        <f t="shared" si="47"/>
        <v>0</v>
      </c>
      <c r="R109" s="37">
        <f t="shared" si="47"/>
        <v>0</v>
      </c>
      <c r="S109" s="37">
        <f t="shared" si="47"/>
        <v>0</v>
      </c>
      <c r="T109" s="37">
        <f t="shared" si="47"/>
        <v>0</v>
      </c>
      <c r="U109" s="37">
        <f t="shared" si="47"/>
        <v>0</v>
      </c>
      <c r="V109" s="37">
        <f t="shared" si="47"/>
        <v>0</v>
      </c>
      <c r="W109" s="37">
        <f t="shared" si="47"/>
        <v>0</v>
      </c>
      <c r="X109" s="37">
        <f t="shared" si="47"/>
        <v>0</v>
      </c>
    </row>
    <row r="110" spans="1:24" ht="21" hidden="1" customHeight="1" outlineLevel="1" thickBot="1" x14ac:dyDescent="0.4">
      <c r="A110" s="5">
        <f t="shared" si="39"/>
        <v>0</v>
      </c>
      <c r="B110" s="5">
        <f t="shared" si="39"/>
        <v>0</v>
      </c>
      <c r="C110" s="5">
        <f t="shared" si="39"/>
        <v>0</v>
      </c>
      <c r="D110" s="5">
        <f t="shared" si="39"/>
        <v>0</v>
      </c>
      <c r="E110" s="34">
        <f t="shared" si="39"/>
        <v>0</v>
      </c>
      <c r="F110" s="37">
        <f t="shared" ref="F110:X110" si="48">F32*$C$80</f>
        <v>0</v>
      </c>
      <c r="G110" s="37">
        <f t="shared" si="48"/>
        <v>0</v>
      </c>
      <c r="H110" s="37">
        <f t="shared" si="48"/>
        <v>0</v>
      </c>
      <c r="I110" s="37">
        <f t="shared" si="48"/>
        <v>0</v>
      </c>
      <c r="J110" s="37">
        <f t="shared" si="48"/>
        <v>0</v>
      </c>
      <c r="K110" s="37">
        <f t="shared" si="48"/>
        <v>0</v>
      </c>
      <c r="L110" s="37">
        <f t="shared" si="48"/>
        <v>0</v>
      </c>
      <c r="M110" s="37">
        <f t="shared" si="48"/>
        <v>0</v>
      </c>
      <c r="N110" s="37">
        <f t="shared" si="48"/>
        <v>0</v>
      </c>
      <c r="O110" s="37">
        <f t="shared" si="48"/>
        <v>0</v>
      </c>
      <c r="P110" s="37">
        <f t="shared" si="48"/>
        <v>0</v>
      </c>
      <c r="Q110" s="37">
        <f t="shared" si="48"/>
        <v>0</v>
      </c>
      <c r="R110" s="37">
        <f t="shared" si="48"/>
        <v>0</v>
      </c>
      <c r="S110" s="37">
        <f t="shared" si="48"/>
        <v>0</v>
      </c>
      <c r="T110" s="37">
        <f t="shared" si="48"/>
        <v>0</v>
      </c>
      <c r="U110" s="37">
        <f t="shared" si="48"/>
        <v>0</v>
      </c>
      <c r="V110" s="37">
        <f t="shared" si="48"/>
        <v>0</v>
      </c>
      <c r="W110" s="37">
        <f t="shared" si="48"/>
        <v>0</v>
      </c>
      <c r="X110" s="37">
        <f t="shared" si="48"/>
        <v>0</v>
      </c>
    </row>
    <row r="111" spans="1:24" ht="21" hidden="1" customHeight="1" outlineLevel="1" thickBot="1" x14ac:dyDescent="0.4">
      <c r="A111" s="5">
        <f t="shared" si="39"/>
        <v>0</v>
      </c>
      <c r="B111" s="5">
        <f t="shared" si="39"/>
        <v>0</v>
      </c>
      <c r="C111" s="5">
        <f t="shared" si="39"/>
        <v>0</v>
      </c>
      <c r="D111" s="5">
        <f t="shared" si="39"/>
        <v>0</v>
      </c>
      <c r="E111" s="34">
        <f t="shared" si="39"/>
        <v>1</v>
      </c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</row>
    <row r="112" spans="1:24" ht="21" hidden="1" customHeight="1" outlineLevel="1" x14ac:dyDescent="0.35"/>
    <row r="113" spans="1:24" ht="21" customHeight="1" collapsed="1" thickBot="1" x14ac:dyDescent="0.4"/>
    <row r="114" spans="1:24" ht="21" customHeight="1" thickTop="1" thickBot="1" x14ac:dyDescent="0.45">
      <c r="A114" s="47"/>
      <c r="B114" s="47"/>
      <c r="C114" s="47"/>
      <c r="D114" s="47"/>
      <c r="E114" s="71" t="s">
        <v>71</v>
      </c>
      <c r="F114" s="72"/>
      <c r="G114" s="71"/>
      <c r="H114" s="71"/>
      <c r="I114" s="71"/>
      <c r="J114" s="71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</row>
    <row r="115" spans="1:24" ht="21" hidden="1" customHeight="1" outlineLevel="1" thickTop="1" thickBot="1" x14ac:dyDescent="0.4">
      <c r="D115" s="17" t="s">
        <v>14</v>
      </c>
      <c r="E115" s="17"/>
      <c r="F115" s="6">
        <f t="shared" ref="F115:X115" si="49">F3</f>
        <v>298.2</v>
      </c>
      <c r="G115" s="6">
        <f t="shared" si="49"/>
        <v>331.5</v>
      </c>
      <c r="H115" s="6">
        <f t="shared" si="49"/>
        <v>364.9</v>
      </c>
      <c r="I115" s="6">
        <f t="shared" si="49"/>
        <v>398.3</v>
      </c>
      <c r="J115" s="6">
        <f t="shared" si="49"/>
        <v>431.7</v>
      </c>
      <c r="K115" s="6">
        <f t="shared" si="49"/>
        <v>565.20000000000005</v>
      </c>
      <c r="L115" s="6">
        <f t="shared" si="49"/>
        <v>598.6</v>
      </c>
      <c r="M115" s="6">
        <f t="shared" si="49"/>
        <v>632</v>
      </c>
      <c r="N115" s="6">
        <f t="shared" si="49"/>
        <v>665.4</v>
      </c>
      <c r="O115" s="6">
        <f t="shared" si="49"/>
        <v>698.8</v>
      </c>
      <c r="P115" s="6">
        <f t="shared" si="49"/>
        <v>832.3</v>
      </c>
      <c r="Q115" s="6">
        <f t="shared" si="49"/>
        <v>965.8</v>
      </c>
      <c r="R115" s="6">
        <f t="shared" si="49"/>
        <v>1099</v>
      </c>
      <c r="S115" s="6">
        <f t="shared" si="49"/>
        <v>1133</v>
      </c>
      <c r="T115" s="6">
        <f t="shared" si="49"/>
        <v>1166</v>
      </c>
      <c r="U115" s="6">
        <f t="shared" si="49"/>
        <v>1200</v>
      </c>
      <c r="V115" s="6">
        <f t="shared" si="49"/>
        <v>1233</v>
      </c>
      <c r="W115" s="6">
        <f t="shared" si="49"/>
        <v>1366</v>
      </c>
      <c r="X115" s="6">
        <f t="shared" si="49"/>
        <v>1500</v>
      </c>
    </row>
    <row r="116" spans="1:24" ht="21" hidden="1" customHeight="1" outlineLevel="1" thickTop="1" x14ac:dyDescent="0.35">
      <c r="E116" s="41" t="s">
        <v>43</v>
      </c>
      <c r="F116" s="69">
        <f>F$115*$B$2*SUMPRODUCT(F$86:F$95,F$52:F$61)/1000</f>
        <v>-348.10379458441037</v>
      </c>
      <c r="G116" s="69">
        <f t="shared" ref="G116:X116" si="50">G$115*$B$2*SUMPRODUCT(G$86:G$95,G$52:G$61)/1000</f>
        <v>-372.29353428130236</v>
      </c>
      <c r="H116" s="69">
        <f t="shared" si="50"/>
        <v>-400.20966047141104</v>
      </c>
      <c r="I116" s="69">
        <f t="shared" si="50"/>
        <v>-428.00463038268879</v>
      </c>
      <c r="J116" s="69">
        <f t="shared" si="50"/>
        <v>-457.02402023902823</v>
      </c>
      <c r="K116" s="69">
        <f t="shared" si="50"/>
        <v>-670.84735986288615</v>
      </c>
      <c r="L116" s="69">
        <f t="shared" si="50"/>
        <v>-727.28020784912746</v>
      </c>
      <c r="M116" s="69">
        <f t="shared" si="50"/>
        <v>-785.61837972847718</v>
      </c>
      <c r="N116" s="69">
        <f t="shared" si="50"/>
        <v>-845.46557707970317</v>
      </c>
      <c r="O116" s="69">
        <f t="shared" si="50"/>
        <v>-906.75093927076273</v>
      </c>
      <c r="P116" s="69">
        <f t="shared" si="50"/>
        <v>-1165.932932634606</v>
      </c>
      <c r="Q116" s="69">
        <f t="shared" si="50"/>
        <v>-1444.6099187719499</v>
      </c>
      <c r="R116" s="69">
        <f t="shared" si="50"/>
        <v>-1738.5692167127308</v>
      </c>
      <c r="S116" s="69">
        <f t="shared" si="50"/>
        <v>-1815.4166531361268</v>
      </c>
      <c r="T116" s="69">
        <f t="shared" si="50"/>
        <v>-1891.1335849774423</v>
      </c>
      <c r="U116" s="69">
        <f t="shared" si="50"/>
        <v>-1969.3857837545786</v>
      </c>
      <c r="V116" s="69">
        <f t="shared" si="50"/>
        <v>-2046.7983395874417</v>
      </c>
      <c r="W116" s="69">
        <f t="shared" si="50"/>
        <v>-2363.2265060299624</v>
      </c>
      <c r="X116" s="69">
        <f t="shared" si="50"/>
        <v>-2689.4289565164481</v>
      </c>
    </row>
    <row r="117" spans="1:24" ht="21" hidden="1" customHeight="1" outlineLevel="1" x14ac:dyDescent="0.35">
      <c r="D117" s="40"/>
      <c r="E117" s="41" t="s">
        <v>46</v>
      </c>
      <c r="F117" s="69">
        <f>F$115*$B$2*SUMPRODUCT(F$87:F$92,F$53:F$58)/1000</f>
        <v>-110.14173047643166</v>
      </c>
      <c r="G117" s="69">
        <f t="shared" ref="G117:X117" si="51">G$115*$B$2*SUMPRODUCT(G$87:G$92,G$53:G$58)/1000</f>
        <v>-151.85644576532553</v>
      </c>
      <c r="H117" s="69">
        <f t="shared" si="51"/>
        <v>-198.4172985512553</v>
      </c>
      <c r="I117" s="69">
        <f t="shared" si="51"/>
        <v>-216.98200340274252</v>
      </c>
      <c r="J117" s="69">
        <f t="shared" si="51"/>
        <v>-222.4859457186032</v>
      </c>
      <c r="K117" s="69">
        <f t="shared" si="51"/>
        <v>-112.43293333117164</v>
      </c>
      <c r="L117" s="69">
        <f t="shared" si="51"/>
        <v>-119.59607412512383</v>
      </c>
      <c r="M117" s="69">
        <f t="shared" si="51"/>
        <v>-129.70362348110643</v>
      </c>
      <c r="N117" s="69">
        <f t="shared" si="51"/>
        <v>-140.96908971209621</v>
      </c>
      <c r="O117" s="69">
        <f t="shared" si="51"/>
        <v>-152.85342784767661</v>
      </c>
      <c r="P117" s="69">
        <f t="shared" si="51"/>
        <v>-203.81336663159112</v>
      </c>
      <c r="Q117" s="69">
        <f t="shared" si="51"/>
        <v>-257.89514794383814</v>
      </c>
      <c r="R117" s="69">
        <f t="shared" si="51"/>
        <v>-312.42189351137546</v>
      </c>
      <c r="S117" s="69">
        <f t="shared" si="51"/>
        <v>-325.98735451459078</v>
      </c>
      <c r="T117" s="69">
        <f t="shared" si="51"/>
        <v>-339.09824652271152</v>
      </c>
      <c r="U117" s="69">
        <f t="shared" si="51"/>
        <v>-352.30865605816291</v>
      </c>
      <c r="V117" s="69">
        <f t="shared" si="51"/>
        <v>-364.92744002347717</v>
      </c>
      <c r="W117" s="69">
        <f t="shared" si="51"/>
        <v>-412.21109673227016</v>
      </c>
      <c r="X117" s="69">
        <f t="shared" si="51"/>
        <v>-452.02818587708902</v>
      </c>
    </row>
    <row r="118" spans="1:24" ht="21" hidden="1" customHeight="1" outlineLevel="1" x14ac:dyDescent="0.35">
      <c r="B118" s="87" t="s">
        <v>47</v>
      </c>
      <c r="C118" s="87"/>
      <c r="E118" s="42" t="s">
        <v>45</v>
      </c>
      <c r="F118" s="69">
        <f>F$115*$B$2*SUMPRODUCT(F$83:F$84,F$49:F$50)/1000</f>
        <v>-54.869744443794538</v>
      </c>
      <c r="G118" s="69">
        <f t="shared" ref="G118:X118" si="52">G$115*$B$2*SUMPRODUCT(G$83:G$84,G$49:G$50)/1000</f>
        <v>-51.766820359951133</v>
      </c>
      <c r="H118" s="69">
        <f t="shared" si="52"/>
        <v>-48.842363801104092</v>
      </c>
      <c r="I118" s="69">
        <f t="shared" si="52"/>
        <v>-48.465980369707353</v>
      </c>
      <c r="J118" s="69">
        <f t="shared" si="52"/>
        <v>-48.712421304469132</v>
      </c>
      <c r="K118" s="69">
        <f t="shared" si="52"/>
        <v>-4.3333443228320779E-5</v>
      </c>
      <c r="L118" s="69">
        <f t="shared" si="52"/>
        <v>-9.3053071601251662E-9</v>
      </c>
      <c r="M118" s="69">
        <f t="shared" si="52"/>
        <v>-3.5714326256229706E-12</v>
      </c>
      <c r="N118" s="69">
        <f t="shared" si="52"/>
        <v>-2.2790081940909169E-15</v>
      </c>
      <c r="O118" s="69">
        <f t="shared" si="52"/>
        <v>-2.2998402340267764E-18</v>
      </c>
      <c r="P118" s="69">
        <f t="shared" si="52"/>
        <v>-5.4507143372261611E-16</v>
      </c>
      <c r="Q118" s="69">
        <f t="shared" si="52"/>
        <v>-1.1592660649777627E-12</v>
      </c>
      <c r="R118" s="69">
        <f t="shared" si="52"/>
        <v>-3.9101666271731005E-10</v>
      </c>
      <c r="S118" s="69">
        <f t="shared" si="52"/>
        <v>-1.3565096879857052E-9</v>
      </c>
      <c r="T118" s="69">
        <f t="shared" si="52"/>
        <v>-4.3817523993117614E-9</v>
      </c>
      <c r="U118" s="69">
        <f t="shared" si="52"/>
        <v>-1.3282872045240003E-8</v>
      </c>
      <c r="V118" s="69">
        <f t="shared" si="52"/>
        <v>-3.7912887357083108E-8</v>
      </c>
      <c r="W118" s="69">
        <f t="shared" si="52"/>
        <v>-1.5166645328986553E-6</v>
      </c>
      <c r="X118" s="69">
        <f t="shared" si="52"/>
        <v>-3.1696476619875006E-5</v>
      </c>
    </row>
    <row r="119" spans="1:24" ht="21" hidden="1" customHeight="1" outlineLevel="1" x14ac:dyDescent="0.35">
      <c r="E119" s="41" t="s">
        <v>44</v>
      </c>
      <c r="F119" s="69">
        <f>F$115*$B$2*SUMPRODUCT(F$83:F$85,F$49:F$51)/1000</f>
        <v>-132.06122986379458</v>
      </c>
      <c r="G119" s="69">
        <f t="shared" ref="G119:X119" si="53">G$115*$B$2*SUMPRODUCT(G$83:G$85,G$49:G$51)/1000</f>
        <v>-137.62421812245117</v>
      </c>
      <c r="H119" s="69">
        <f t="shared" si="53"/>
        <v>-143.50194856110409</v>
      </c>
      <c r="I119" s="69">
        <f t="shared" si="53"/>
        <v>-152.01071697970738</v>
      </c>
      <c r="J119" s="69">
        <f t="shared" si="53"/>
        <v>-161.29898265946915</v>
      </c>
      <c r="K119" s="69">
        <f t="shared" si="53"/>
        <v>-149.04793210344329</v>
      </c>
      <c r="L119" s="69">
        <f t="shared" si="53"/>
        <v>-158.43640045930539</v>
      </c>
      <c r="M119" s="69">
        <f t="shared" si="53"/>
        <v>-167.88970980000363</v>
      </c>
      <c r="N119" s="69">
        <f t="shared" si="53"/>
        <v>-177.40781682000005</v>
      </c>
      <c r="O119" s="69">
        <f t="shared" si="53"/>
        <v>-186.99072151000004</v>
      </c>
      <c r="P119" s="69">
        <f t="shared" si="53"/>
        <v>-225.71249818250007</v>
      </c>
      <c r="Q119" s="69">
        <f t="shared" si="53"/>
        <v>-265.26242677000118</v>
      </c>
      <c r="R119" s="69">
        <f t="shared" si="53"/>
        <v>-305.34931962539105</v>
      </c>
      <c r="S119" s="69">
        <f t="shared" si="53"/>
        <v>-315.73801022635661</v>
      </c>
      <c r="T119" s="69">
        <f t="shared" si="53"/>
        <v>-325.74215520438185</v>
      </c>
      <c r="U119" s="69">
        <f t="shared" si="53"/>
        <v>-336.072090013283</v>
      </c>
      <c r="V119" s="69">
        <f t="shared" si="53"/>
        <v>-346.16838738791296</v>
      </c>
      <c r="W119" s="69">
        <f t="shared" si="53"/>
        <v>-387.29440021666471</v>
      </c>
      <c r="X119" s="69">
        <f t="shared" si="53"/>
        <v>-429.23609419647676</v>
      </c>
    </row>
    <row r="120" spans="1:24" ht="21" hidden="1" customHeight="1" outlineLevel="1" x14ac:dyDescent="0.35">
      <c r="E120" s="41" t="s">
        <v>68</v>
      </c>
      <c r="F120" s="69">
        <f>F118+F116</f>
        <v>-402.97353902820493</v>
      </c>
      <c r="G120" s="69">
        <f t="shared" ref="G120:X120" si="54">G118+G116</f>
        <v>-424.06035464125347</v>
      </c>
      <c r="H120" s="69">
        <f t="shared" si="54"/>
        <v>-449.05202427251515</v>
      </c>
      <c r="I120" s="69">
        <f t="shared" si="54"/>
        <v>-476.47061075239617</v>
      </c>
      <c r="J120" s="69">
        <f t="shared" si="54"/>
        <v>-505.73644154349734</v>
      </c>
      <c r="K120" s="69">
        <f t="shared" si="54"/>
        <v>-670.84740319632942</v>
      </c>
      <c r="L120" s="69">
        <f t="shared" si="54"/>
        <v>-727.28020785843273</v>
      </c>
      <c r="M120" s="69">
        <f t="shared" si="54"/>
        <v>-785.6183797284807</v>
      </c>
      <c r="N120" s="69">
        <f t="shared" si="54"/>
        <v>-845.46557707970317</v>
      </c>
      <c r="O120" s="69">
        <f t="shared" si="54"/>
        <v>-906.75093927076273</v>
      </c>
      <c r="P120" s="69">
        <f t="shared" si="54"/>
        <v>-1165.932932634606</v>
      </c>
      <c r="Q120" s="69">
        <f t="shared" si="54"/>
        <v>-1444.609918771951</v>
      </c>
      <c r="R120" s="69">
        <f t="shared" si="54"/>
        <v>-1738.5692167131219</v>
      </c>
      <c r="S120" s="69">
        <f t="shared" si="54"/>
        <v>-1815.4166531374833</v>
      </c>
      <c r="T120" s="69">
        <f t="shared" si="54"/>
        <v>-1891.133584981824</v>
      </c>
      <c r="U120" s="69">
        <f t="shared" si="54"/>
        <v>-1969.3857837678615</v>
      </c>
      <c r="V120" s="69">
        <f t="shared" si="54"/>
        <v>-2046.7983396253546</v>
      </c>
      <c r="W120" s="69">
        <f t="shared" si="54"/>
        <v>-2363.2265075466271</v>
      </c>
      <c r="X120" s="69">
        <f t="shared" si="54"/>
        <v>-2689.4289882129247</v>
      </c>
    </row>
    <row r="121" spans="1:24" ht="21" hidden="1" customHeight="1" outlineLevel="1" x14ac:dyDescent="0.35">
      <c r="E121" s="41" t="s">
        <v>69</v>
      </c>
      <c r="F121" s="69">
        <f>F116+F119</f>
        <v>-480.16502444820492</v>
      </c>
      <c r="G121" s="69">
        <f t="shared" ref="G121:X121" si="55">G116+G119</f>
        <v>-509.91775240375352</v>
      </c>
      <c r="H121" s="69">
        <f t="shared" si="55"/>
        <v>-543.71160903251507</v>
      </c>
      <c r="I121" s="69">
        <f t="shared" si="55"/>
        <v>-580.01534736239614</v>
      </c>
      <c r="J121" s="69">
        <f t="shared" si="55"/>
        <v>-618.32300289849741</v>
      </c>
      <c r="K121" s="69">
        <f t="shared" si="55"/>
        <v>-819.89529196632941</v>
      </c>
      <c r="L121" s="69">
        <f t="shared" si="55"/>
        <v>-885.7166083084328</v>
      </c>
      <c r="M121" s="69">
        <f t="shared" si="55"/>
        <v>-953.50808952848081</v>
      </c>
      <c r="N121" s="69">
        <f t="shared" si="55"/>
        <v>-1022.8733938997032</v>
      </c>
      <c r="O121" s="69">
        <f t="shared" si="55"/>
        <v>-1093.7416607807627</v>
      </c>
      <c r="P121" s="69">
        <f t="shared" si="55"/>
        <v>-1391.645430817106</v>
      </c>
      <c r="Q121" s="69">
        <f t="shared" si="55"/>
        <v>-1709.8723455419511</v>
      </c>
      <c r="R121" s="69">
        <f t="shared" si="55"/>
        <v>-2043.9185363381218</v>
      </c>
      <c r="S121" s="69">
        <f t="shared" si="55"/>
        <v>-2131.1546633624835</v>
      </c>
      <c r="T121" s="69">
        <f t="shared" si="55"/>
        <v>-2216.8757401818243</v>
      </c>
      <c r="U121" s="69">
        <f t="shared" si="55"/>
        <v>-2305.4578737678617</v>
      </c>
      <c r="V121" s="69">
        <f t="shared" si="55"/>
        <v>-2392.9667269753545</v>
      </c>
      <c r="W121" s="69">
        <f t="shared" si="55"/>
        <v>-2750.520906246627</v>
      </c>
      <c r="X121" s="69">
        <f t="shared" si="55"/>
        <v>-3118.6650507129248</v>
      </c>
    </row>
    <row r="122" spans="1:24" ht="21" hidden="1" customHeight="1" outlineLevel="1" x14ac:dyDescent="0.35">
      <c r="E122" s="41" t="s">
        <v>62</v>
      </c>
      <c r="F122">
        <f>$A$2</f>
        <v>300</v>
      </c>
      <c r="G122" s="63">
        <f>MIN(F116:X121)</f>
        <v>-3118.6650507129248</v>
      </c>
    </row>
    <row r="123" spans="1:24" ht="21" hidden="1" customHeight="1" outlineLevel="1" x14ac:dyDescent="0.35">
      <c r="E123" s="41"/>
      <c r="F123">
        <f>$A$2</f>
        <v>300</v>
      </c>
      <c r="G123" s="63">
        <f>MAX(F116:X121)+1000000</f>
        <v>1000000</v>
      </c>
    </row>
    <row r="124" spans="1:24" ht="21" hidden="1" customHeight="1" outlineLevel="1" x14ac:dyDescent="0.35">
      <c r="E124" s="41"/>
      <c r="G124" s="63"/>
    </row>
    <row r="125" spans="1:24" ht="21" hidden="1" customHeight="1" outlineLevel="1" x14ac:dyDescent="0.35">
      <c r="E125" s="41"/>
      <c r="G125" s="63"/>
    </row>
    <row r="126" spans="1:24" ht="21" hidden="1" customHeight="1" outlineLevel="1" x14ac:dyDescent="0.35">
      <c r="E126" s="41"/>
      <c r="G126" s="63"/>
    </row>
    <row r="127" spans="1:24" ht="21" hidden="1" customHeight="1" outlineLevel="1" x14ac:dyDescent="0.35">
      <c r="E127" s="41"/>
      <c r="G127" s="63"/>
    </row>
    <row r="128" spans="1:24" ht="21" hidden="1" customHeight="1" outlineLevel="1" x14ac:dyDescent="0.35">
      <c r="E128" s="41"/>
      <c r="G128" s="63"/>
    </row>
    <row r="129" spans="1:24" ht="21" hidden="1" customHeight="1" outlineLevel="1" x14ac:dyDescent="0.35">
      <c r="E129" s="41"/>
    </row>
    <row r="130" spans="1:24" ht="21" hidden="1" customHeight="1" outlineLevel="1" x14ac:dyDescent="0.35">
      <c r="E130" s="41"/>
      <c r="G130" s="63"/>
    </row>
    <row r="131" spans="1:24" ht="21" hidden="1" customHeight="1" outlineLevel="1" x14ac:dyDescent="0.35">
      <c r="E131" s="41"/>
      <c r="G131" s="63"/>
    </row>
    <row r="132" spans="1:24" ht="21" hidden="1" customHeight="1" outlineLevel="1" x14ac:dyDescent="0.35">
      <c r="E132" s="41"/>
      <c r="G132" s="63"/>
    </row>
    <row r="133" spans="1:24" ht="21" hidden="1" customHeight="1" outlineLevel="1" x14ac:dyDescent="0.35">
      <c r="E133" s="41"/>
      <c r="G133" s="63"/>
    </row>
    <row r="134" spans="1:24" ht="21" customHeight="1" collapsed="1" thickTop="1" thickBot="1" x14ac:dyDescent="0.4"/>
    <row r="135" spans="1:24" ht="21" customHeight="1" thickBot="1" x14ac:dyDescent="0.45">
      <c r="A135" s="47"/>
      <c r="B135" s="47"/>
      <c r="C135" s="47"/>
      <c r="D135" s="47"/>
      <c r="E135" s="71" t="s">
        <v>15</v>
      </c>
      <c r="F135" s="72"/>
      <c r="G135" s="71"/>
      <c r="H135" s="71"/>
      <c r="I135" s="71"/>
      <c r="J135" s="76"/>
      <c r="K135" s="76"/>
      <c r="L135" s="76"/>
      <c r="M135" s="76"/>
      <c r="N135" s="76"/>
      <c r="O135" s="76"/>
      <c r="P135" s="76"/>
      <c r="Q135" s="76"/>
      <c r="R135" s="76"/>
      <c r="S135" s="77"/>
      <c r="T135" s="72"/>
      <c r="U135" s="72"/>
      <c r="V135" s="72"/>
      <c r="W135" s="72"/>
      <c r="X135" s="72"/>
    </row>
    <row r="136" spans="1:24" ht="21" hidden="1" customHeight="1" outlineLevel="1" thickBot="1" x14ac:dyDescent="0.4">
      <c r="A136" s="23" t="s">
        <v>16</v>
      </c>
      <c r="B136" s="19" t="s">
        <v>17</v>
      </c>
      <c r="C136">
        <v>298.14999999999998</v>
      </c>
    </row>
    <row r="137" spans="1:24" ht="21" hidden="1" customHeight="1" outlineLevel="1" x14ac:dyDescent="0.35">
      <c r="A137">
        <v>8</v>
      </c>
      <c r="B137" s="18" t="s">
        <v>18</v>
      </c>
      <c r="C137">
        <v>5</v>
      </c>
    </row>
    <row r="138" spans="1:24" ht="21" hidden="1" customHeight="1" outlineLevel="1" x14ac:dyDescent="0.35">
      <c r="B138" s="20" t="s">
        <v>19</v>
      </c>
      <c r="C138" s="4">
        <f>C137-$C$137</f>
        <v>0</v>
      </c>
      <c r="D138" s="4">
        <f>D137-$C$137</f>
        <v>-5</v>
      </c>
      <c r="E138" s="4">
        <f t="shared" ref="E138:F138" si="56">E137-$C$137</f>
        <v>-5</v>
      </c>
      <c r="F138" s="4">
        <f t="shared" si="56"/>
        <v>-5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</row>
    <row r="139" spans="1:24" ht="21" hidden="1" customHeight="1" outlineLevel="1" thickBot="1" x14ac:dyDescent="0.4">
      <c r="B139" s="19" t="s">
        <v>20</v>
      </c>
      <c r="C139" s="4">
        <f>C138+$A$137</f>
        <v>8</v>
      </c>
      <c r="D139" s="4">
        <f t="shared" ref="D139:F139" si="57">D138+$A$137</f>
        <v>3</v>
      </c>
      <c r="E139" s="4">
        <f t="shared" si="57"/>
        <v>3</v>
      </c>
      <c r="F139" s="4">
        <f t="shared" si="57"/>
        <v>3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</row>
    <row r="140" spans="1:24" ht="21" hidden="1" customHeight="1" outlineLevel="1" x14ac:dyDescent="0.35"/>
    <row r="141" spans="1:24" ht="21" customHeight="1" collapsed="1" x14ac:dyDescent="0.35"/>
  </sheetData>
  <mergeCells count="3">
    <mergeCell ref="A1:G1"/>
    <mergeCell ref="I1:S1"/>
    <mergeCell ref="B118:C118"/>
  </mergeCells>
  <conditionalFormatting sqref="A4:D33">
    <cfRule type="cellIs" dxfId="14" priority="9" operator="equal">
      <formula>0</formula>
    </cfRule>
  </conditionalFormatting>
  <conditionalFormatting sqref="A48:D78">
    <cfRule type="cellIs" dxfId="13" priority="6" operator="equal">
      <formula>0</formula>
    </cfRule>
  </conditionalFormatting>
  <conditionalFormatting sqref="A82:D111">
    <cfRule type="cellIs" dxfId="12" priority="5" operator="equal">
      <formula>0</formula>
    </cfRule>
  </conditionalFormatting>
  <conditionalFormatting sqref="F4:X21">
    <cfRule type="expression" dxfId="11" priority="1">
      <formula>NOT(ISNUMBER(F4))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00B050"/>
  </sheetPr>
  <dimension ref="A1:X144"/>
  <sheetViews>
    <sheetView topLeftCell="B1" zoomScale="55" zoomScaleNormal="55" zoomScaleSheetLayoutView="25" workbookViewId="0">
      <selection activeCell="Q2" sqref="H1:Q1048576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6" width="8.90625" customWidth="1"/>
    <col min="7" max="7" width="8.6328125" customWidth="1"/>
    <col min="8" max="17" width="8.6328125" hidden="1" customWidth="1"/>
    <col min="18" max="18" width="8.6328125" customWidth="1"/>
    <col min="19" max="19" width="8.7265625" customWidth="1"/>
    <col min="37" max="37" width="4.453125" customWidth="1"/>
  </cols>
  <sheetData>
    <row r="1" spans="1:18" ht="87.95" customHeight="1" x14ac:dyDescent="0.35">
      <c r="A1" s="88" t="s">
        <v>35</v>
      </c>
      <c r="B1" s="88"/>
      <c r="C1" s="88"/>
      <c r="D1" s="88"/>
      <c r="E1" s="88"/>
      <c r="F1" s="88"/>
      <c r="G1" s="88"/>
      <c r="H1" s="38"/>
      <c r="I1" s="86" t="str">
        <f>ALL!I1</f>
        <v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v>
      </c>
      <c r="J1" s="86"/>
      <c r="K1" s="86"/>
      <c r="L1" s="86"/>
      <c r="M1" s="86"/>
      <c r="N1" s="86"/>
      <c r="O1" s="86"/>
      <c r="P1" s="86"/>
      <c r="Q1" s="86"/>
      <c r="R1" s="86"/>
    </row>
    <row r="2" spans="1:18" ht="21" customHeight="1" x14ac:dyDescent="0.4">
      <c r="A2" s="64">
        <v>300</v>
      </c>
      <c r="B2" s="2">
        <v>8.3145000000000007</v>
      </c>
      <c r="C2" s="47"/>
      <c r="D2" s="47"/>
      <c r="E2" s="71" t="str">
        <f>ALL!E2</f>
        <v>Первоначальные данные</v>
      </c>
      <c r="F2" s="72"/>
      <c r="G2" s="71"/>
      <c r="H2" s="71"/>
      <c r="I2" s="71"/>
      <c r="J2" s="71"/>
      <c r="K2" s="73"/>
      <c r="L2" s="73"/>
      <c r="M2" s="73"/>
      <c r="N2" s="73"/>
      <c r="O2" s="73"/>
      <c r="P2" s="73"/>
      <c r="Q2" s="73"/>
      <c r="R2" s="73"/>
    </row>
    <row r="3" spans="1:18" ht="21" hidden="1" customHeight="1" outlineLevel="1" thickTop="1" thickBot="1" x14ac:dyDescent="0.4">
      <c r="A3" s="7" t="s">
        <v>2</v>
      </c>
      <c r="B3" s="7" t="s">
        <v>7</v>
      </c>
      <c r="C3" s="7" t="s">
        <v>8</v>
      </c>
      <c r="D3" s="8" t="s">
        <v>9</v>
      </c>
      <c r="E3" s="68"/>
      <c r="F3" s="68">
        <v>298.2</v>
      </c>
      <c r="G3" s="68">
        <v>431.7</v>
      </c>
      <c r="H3" s="68">
        <v>565.20000000000005</v>
      </c>
      <c r="I3" s="68">
        <v>698.8</v>
      </c>
      <c r="J3" s="68">
        <v>832.3</v>
      </c>
      <c r="K3" s="68">
        <v>965.8</v>
      </c>
      <c r="L3" s="68">
        <v>999.2</v>
      </c>
      <c r="M3" s="68">
        <v>1033</v>
      </c>
      <c r="N3" s="68">
        <v>1066</v>
      </c>
      <c r="O3" s="68">
        <v>1099</v>
      </c>
      <c r="P3" s="68">
        <v>1233</v>
      </c>
      <c r="Q3" s="68">
        <v>1366</v>
      </c>
      <c r="R3" s="68">
        <v>1500</v>
      </c>
    </row>
    <row r="4" spans="1:18" ht="21" hidden="1" customHeight="1" outlineLevel="1" thickTop="1" thickBot="1" x14ac:dyDescent="0.4">
      <c r="A4" s="5">
        <f>IF( ISNUMBER( FIND(A$3,$E4,1)),   IF( ISNUMBER( VALUE(MID($E4,FIND(A$3,$E4,1)+2,1)) ), VALUE( MID($E4,FIND(A$3,$E4,1)+2,1) ),1),0)</f>
        <v>0</v>
      </c>
      <c r="B4" s="5">
        <f t="shared" ref="B4:D19" si="0">IF( ISNUMBER( FIND(B$3,$E4,1)),   IF( ISNUMBER( VALUE(MID($E4,FIND(B$3,$E4,1)+2,1)) ), VALUE( MID($E4,FIND(B$3,$E4,1)+2,1) ),1),0)</f>
        <v>3</v>
      </c>
      <c r="C4" s="5">
        <f t="shared" si="0"/>
        <v>0</v>
      </c>
      <c r="D4" s="5">
        <f t="shared" si="0"/>
        <v>0</v>
      </c>
      <c r="E4" s="68" t="s">
        <v>31</v>
      </c>
      <c r="F4" s="37">
        <v>2.5500000000000001E-22</v>
      </c>
      <c r="G4" s="37">
        <v>1.6538E-13</v>
      </c>
      <c r="H4" s="37">
        <v>4.5345999999999996E-9</v>
      </c>
      <c r="I4" s="37">
        <v>2.1671E-6</v>
      </c>
      <c r="J4" s="37">
        <v>1.3137000000000001E-4</v>
      </c>
      <c r="K4" s="37">
        <v>1.9562E-3</v>
      </c>
      <c r="L4" s="37">
        <v>2.9272999999999999E-3</v>
      </c>
      <c r="M4" s="37">
        <v>3.8682E-3</v>
      </c>
      <c r="N4" s="37">
        <v>4.5303000000000001E-3</v>
      </c>
      <c r="O4" s="37">
        <v>4.8446000000000001E-3</v>
      </c>
      <c r="P4" s="37">
        <v>4.0956999999999999E-3</v>
      </c>
      <c r="Q4" s="37">
        <v>2.9797000000000001E-3</v>
      </c>
      <c r="R4" s="37">
        <v>2.9797000000000001E-3</v>
      </c>
    </row>
    <row r="5" spans="1:18" ht="21" hidden="1" customHeight="1" outlineLevel="1" thickTop="1" thickBot="1" x14ac:dyDescent="0.4">
      <c r="A5" s="5">
        <f t="shared" ref="A5:D27" si="1">IF( ISNUMBER( FIND(A$3,$E5,1)),   IF( ISNUMBER( VALUE(MID($E5,FIND(A$3,$E5,1)+2,1)) ), VALUE( MID($E5,FIND(A$3,$E5,1)+2,1) ),1),0)</f>
        <v>0</v>
      </c>
      <c r="B5" s="5">
        <f t="shared" si="0"/>
        <v>4</v>
      </c>
      <c r="C5" s="5">
        <f t="shared" si="0"/>
        <v>0</v>
      </c>
      <c r="D5" s="5">
        <f t="shared" si="0"/>
        <v>0</v>
      </c>
      <c r="E5" s="68" t="s">
        <v>27</v>
      </c>
      <c r="F5" s="37">
        <v>1.8647000000000001E-20</v>
      </c>
      <c r="G5" s="37">
        <v>1.4376000000000001E-12</v>
      </c>
      <c r="H5" s="37">
        <v>1.1363000000000001E-8</v>
      </c>
      <c r="I5" s="37">
        <v>2.4256999999999999E-6</v>
      </c>
      <c r="J5" s="37">
        <v>8.2272000000000001E-5</v>
      </c>
      <c r="K5" s="37">
        <v>6.8984999999999999E-4</v>
      </c>
      <c r="L5" s="37">
        <v>8.5939999999999996E-4</v>
      </c>
      <c r="M5" s="37">
        <v>9.2778999999999995E-4</v>
      </c>
      <c r="N5" s="37">
        <v>8.7343999999999996E-4</v>
      </c>
      <c r="O5" s="37">
        <v>7.4456999999999995E-4</v>
      </c>
      <c r="P5" s="37">
        <v>2.6080999999999999E-4</v>
      </c>
      <c r="Q5" s="37">
        <v>8.9968000000000003E-5</v>
      </c>
      <c r="R5" s="37">
        <v>8.9968000000000003E-5</v>
      </c>
    </row>
    <row r="6" spans="1:18" ht="21" hidden="1" customHeight="1" outlineLevel="1" thickTop="1" thickBot="1" x14ac:dyDescent="0.4">
      <c r="A6" s="5">
        <f t="shared" si="1"/>
        <v>0</v>
      </c>
      <c r="B6" s="5">
        <f t="shared" si="0"/>
        <v>5</v>
      </c>
      <c r="C6" s="5">
        <f t="shared" si="0"/>
        <v>0</v>
      </c>
      <c r="D6" s="5">
        <f t="shared" si="0"/>
        <v>0</v>
      </c>
      <c r="E6" s="68" t="s">
        <v>28</v>
      </c>
      <c r="F6" s="37">
        <v>4.1969000000000002E-17</v>
      </c>
      <c r="G6" s="37">
        <v>5.8152999999999996E-10</v>
      </c>
      <c r="H6" s="37">
        <v>1.6755000000000001E-6</v>
      </c>
      <c r="I6" s="37">
        <v>1.8579999999999999E-4</v>
      </c>
      <c r="J6" s="37">
        <v>3.9169000000000001E-3</v>
      </c>
      <c r="K6" s="37">
        <v>1.9984999999999999E-2</v>
      </c>
      <c r="L6" s="37">
        <v>2.1066999999999999E-2</v>
      </c>
      <c r="M6" s="37">
        <v>1.8866999999999998E-2</v>
      </c>
      <c r="N6" s="37">
        <v>1.4484E-2</v>
      </c>
      <c r="O6" s="37">
        <v>9.9763000000000004E-3</v>
      </c>
      <c r="P6" s="37">
        <v>1.5176E-3</v>
      </c>
      <c r="Q6" s="37">
        <v>2.5787E-4</v>
      </c>
      <c r="R6" s="37">
        <v>2.5787E-4</v>
      </c>
    </row>
    <row r="7" spans="1:18" ht="21" hidden="1" customHeight="1" outlineLevel="1" thickTop="1" thickBot="1" x14ac:dyDescent="0.4">
      <c r="A7" s="5">
        <f t="shared" si="1"/>
        <v>0</v>
      </c>
      <c r="B7" s="5">
        <f t="shared" si="0"/>
        <v>6</v>
      </c>
      <c r="C7" s="5">
        <f t="shared" si="0"/>
        <v>0</v>
      </c>
      <c r="D7" s="5">
        <f t="shared" si="0"/>
        <v>0</v>
      </c>
      <c r="E7" s="68" t="s">
        <v>29</v>
      </c>
      <c r="F7" s="37">
        <v>8.8317999999999997E-15</v>
      </c>
      <c r="G7" s="37">
        <v>6.6137E-9</v>
      </c>
      <c r="H7" s="37">
        <v>3.6586E-6</v>
      </c>
      <c r="I7" s="37">
        <v>1.4147000000000001E-4</v>
      </c>
      <c r="J7" s="37">
        <v>1.4123E-3</v>
      </c>
      <c r="K7" s="37">
        <v>3.5994999999999998E-3</v>
      </c>
      <c r="L7" s="37">
        <v>3.0814000000000002E-3</v>
      </c>
      <c r="M7" s="37">
        <v>2.2028E-3</v>
      </c>
      <c r="N7" s="37">
        <v>1.3301000000000001E-3</v>
      </c>
      <c r="O7" s="37">
        <v>7.1551999999999998E-4</v>
      </c>
      <c r="P7" s="37">
        <v>4.2027999999999998E-5</v>
      </c>
      <c r="Q7" s="37">
        <v>3.2001000000000001E-6</v>
      </c>
      <c r="R7" s="37">
        <v>3.2001000000000001E-6</v>
      </c>
    </row>
    <row r="8" spans="1:18" ht="21" hidden="1" customHeight="1" outlineLevel="1" thickTop="1" thickBot="1" x14ac:dyDescent="0.4">
      <c r="A8" s="5">
        <f t="shared" si="1"/>
        <v>0</v>
      </c>
      <c r="B8" s="5">
        <f t="shared" si="0"/>
        <v>7</v>
      </c>
      <c r="C8" s="5">
        <f t="shared" si="0"/>
        <v>0</v>
      </c>
      <c r="D8" s="5">
        <f t="shared" si="0"/>
        <v>0</v>
      </c>
      <c r="E8" s="68" t="s">
        <v>26</v>
      </c>
      <c r="F8" s="37">
        <v>1.2175E-15</v>
      </c>
      <c r="G8" s="37">
        <v>1.856E-9</v>
      </c>
      <c r="H8" s="37">
        <v>1.3314000000000001E-6</v>
      </c>
      <c r="I8" s="37">
        <v>5.8335000000000003E-5</v>
      </c>
      <c r="J8" s="37">
        <v>6.1364000000000004E-4</v>
      </c>
      <c r="K8" s="37">
        <v>1.3929000000000001E-3</v>
      </c>
      <c r="L8" s="37">
        <v>1.0922E-3</v>
      </c>
      <c r="M8" s="37">
        <v>6.9746999999999995E-4</v>
      </c>
      <c r="N8" s="37">
        <v>3.681E-4</v>
      </c>
      <c r="O8" s="37">
        <v>1.7077999999999999E-4</v>
      </c>
      <c r="P8" s="37">
        <v>5.4566999999999998E-6</v>
      </c>
      <c r="Q8" s="37">
        <v>2.4527000000000003E-7</v>
      </c>
      <c r="R8" s="37">
        <v>2.4527000000000003E-7</v>
      </c>
    </row>
    <row r="9" spans="1:18" ht="21" hidden="1" customHeight="1" outlineLevel="1" thickTop="1" thickBot="1" x14ac:dyDescent="0.4">
      <c r="A9" s="5">
        <f t="shared" si="1"/>
        <v>0</v>
      </c>
      <c r="B9" s="5">
        <f t="shared" si="0"/>
        <v>8</v>
      </c>
      <c r="C9" s="5">
        <f t="shared" si="0"/>
        <v>0</v>
      </c>
      <c r="D9" s="5">
        <f t="shared" si="0"/>
        <v>0</v>
      </c>
      <c r="E9" s="68" t="s">
        <v>30</v>
      </c>
      <c r="F9" s="37">
        <v>3.3501999999999999E-17</v>
      </c>
      <c r="G9" s="37">
        <v>8.8483999999999997E-11</v>
      </c>
      <c r="H9" s="37">
        <v>7.5701999999999999E-8</v>
      </c>
      <c r="I9" s="37">
        <v>3.5708000000000002E-6</v>
      </c>
      <c r="J9" s="37">
        <v>3.8232999999999998E-5</v>
      </c>
      <c r="K9" s="37">
        <v>7.5388000000000004E-5</v>
      </c>
      <c r="L9" s="37">
        <v>5.3866000000000002E-5</v>
      </c>
      <c r="M9" s="37">
        <v>3.0582E-5</v>
      </c>
      <c r="N9" s="37">
        <v>1.4044E-5</v>
      </c>
      <c r="O9" s="37">
        <v>5.5952000000000002E-6</v>
      </c>
      <c r="P9" s="37">
        <v>9.5831000000000006E-8</v>
      </c>
      <c r="Q9" s="37">
        <v>2.5128999999999999E-9</v>
      </c>
      <c r="R9" s="37">
        <v>2.5128999999999999E-9</v>
      </c>
    </row>
    <row r="10" spans="1:18" ht="21" hidden="1" customHeight="1" outlineLevel="1" thickTop="1" thickBot="1" x14ac:dyDescent="0.4">
      <c r="A10" s="5">
        <f t="shared" si="1"/>
        <v>0</v>
      </c>
      <c r="B10" s="5">
        <f t="shared" si="0"/>
        <v>2</v>
      </c>
      <c r="C10" s="5">
        <f t="shared" si="0"/>
        <v>0</v>
      </c>
      <c r="D10" s="5">
        <f t="shared" si="0"/>
        <v>0</v>
      </c>
      <c r="E10" s="68" t="s">
        <v>33</v>
      </c>
      <c r="F10" s="37">
        <v>9.3072999999999998E-18</v>
      </c>
      <c r="G10" s="37">
        <v>1.7489E-10</v>
      </c>
      <c r="H10" s="37">
        <v>9.0166000000000004E-7</v>
      </c>
      <c r="I10" s="37">
        <v>1.6593000000000001E-4</v>
      </c>
      <c r="J10" s="37">
        <v>5.5744999999999996E-3</v>
      </c>
      <c r="K10" s="37">
        <v>6.4226000000000005E-2</v>
      </c>
      <c r="L10" s="37">
        <v>9.7309000000000007E-2</v>
      </c>
      <c r="M10" s="37">
        <v>0.13425000000000001</v>
      </c>
      <c r="N10" s="37">
        <v>0.16864000000000001</v>
      </c>
      <c r="O10" s="37">
        <v>0.19694</v>
      </c>
      <c r="P10" s="37">
        <v>0.25024999999999997</v>
      </c>
      <c r="Q10" s="37">
        <v>0.26444000000000001</v>
      </c>
      <c r="R10" s="37">
        <v>0.26444000000000001</v>
      </c>
    </row>
    <row r="11" spans="1:18" ht="21" hidden="1" customHeight="1" outlineLevel="1" thickTop="1" thickBot="1" x14ac:dyDescent="0.4">
      <c r="A11" s="5">
        <f t="shared" si="1"/>
        <v>0</v>
      </c>
      <c r="B11" s="5">
        <f t="shared" si="0"/>
        <v>1</v>
      </c>
      <c r="C11" s="5">
        <f t="shared" si="0"/>
        <v>0</v>
      </c>
      <c r="D11" s="5">
        <f t="shared" si="0"/>
        <v>0</v>
      </c>
      <c r="E11" s="68" t="s">
        <v>7</v>
      </c>
      <c r="F11" s="37">
        <v>8.0042000000000004E-36</v>
      </c>
      <c r="G11" s="37">
        <v>3.2423999999999998E-23</v>
      </c>
      <c r="H11" s="37">
        <v>1.2645999999999999E-16</v>
      </c>
      <c r="I11" s="37">
        <v>1.4952999999999999E-12</v>
      </c>
      <c r="J11" s="37">
        <v>9.0133000000000003E-10</v>
      </c>
      <c r="K11" s="37">
        <v>1.0002E-7</v>
      </c>
      <c r="L11" s="37">
        <v>2.5967E-7</v>
      </c>
      <c r="M11" s="37">
        <v>6.1203999999999997E-7</v>
      </c>
      <c r="N11" s="37">
        <v>1.3088000000000001E-6</v>
      </c>
      <c r="O11" s="37">
        <v>2.5770999999999999E-6</v>
      </c>
      <c r="P11" s="37">
        <v>2.2167E-5</v>
      </c>
      <c r="Q11" s="37">
        <v>1.1458E-4</v>
      </c>
      <c r="R11" s="37">
        <v>1.1458E-4</v>
      </c>
    </row>
    <row r="12" spans="1:18" ht="21" hidden="1" customHeight="1" outlineLevel="1" thickTop="1" thickBot="1" x14ac:dyDescent="0.4">
      <c r="A12" s="5">
        <f t="shared" si="1"/>
        <v>0</v>
      </c>
      <c r="B12" s="5">
        <f t="shared" si="0"/>
        <v>0</v>
      </c>
      <c r="C12" s="5">
        <f t="shared" si="0"/>
        <v>0</v>
      </c>
      <c r="D12" s="5">
        <f t="shared" si="0"/>
        <v>1</v>
      </c>
      <c r="E12" s="68" t="s">
        <v>9</v>
      </c>
      <c r="F12" s="37">
        <v>0</v>
      </c>
      <c r="G12" s="37">
        <v>6.2496999999999995E-29</v>
      </c>
      <c r="H12" s="37">
        <v>2.5017E-21</v>
      </c>
      <c r="I12" s="37">
        <v>9.9454000000000001E-17</v>
      </c>
      <c r="J12" s="37">
        <v>9.5514999999999997E-14</v>
      </c>
      <c r="K12" s="37">
        <v>1.4959999999999999E-11</v>
      </c>
      <c r="L12" s="37">
        <v>4.4647000000000002E-11</v>
      </c>
      <c r="M12" s="37">
        <v>1.2533E-10</v>
      </c>
      <c r="N12" s="37">
        <v>3.3116000000000002E-10</v>
      </c>
      <c r="O12" s="37">
        <v>8.2653000000000004E-10</v>
      </c>
      <c r="P12" s="37">
        <v>1.9531999999999999E-8</v>
      </c>
      <c r="Q12" s="37">
        <v>2.4812999999999999E-7</v>
      </c>
      <c r="R12" s="37">
        <v>2.4812999999999999E-7</v>
      </c>
    </row>
    <row r="13" spans="1:18" ht="21" hidden="1" customHeight="1" outlineLevel="1" thickTop="1" thickBot="1" x14ac:dyDescent="0.4">
      <c r="A13" s="5">
        <f t="shared" si="1"/>
        <v>0</v>
      </c>
      <c r="B13" s="5">
        <f t="shared" si="0"/>
        <v>1</v>
      </c>
      <c r="C13" s="5">
        <f t="shared" si="0"/>
        <v>0</v>
      </c>
      <c r="D13" s="5">
        <f t="shared" si="0"/>
        <v>2</v>
      </c>
      <c r="E13" s="68" t="s">
        <v>34</v>
      </c>
      <c r="F13" s="37">
        <v>5.1099999999999999E-10</v>
      </c>
      <c r="G13" s="37">
        <v>9.5418000000000007E-6</v>
      </c>
      <c r="H13" s="37">
        <v>1.1914E-3</v>
      </c>
      <c r="I13" s="37">
        <v>1.23E-2</v>
      </c>
      <c r="J13" s="37">
        <v>2.6346000000000001E-2</v>
      </c>
      <c r="K13" s="37">
        <v>3.5166999999999997E-2</v>
      </c>
      <c r="L13" s="37">
        <v>3.6438999999999999E-2</v>
      </c>
      <c r="M13" s="37">
        <v>3.7315000000000001E-2</v>
      </c>
      <c r="N13" s="37">
        <v>3.7860999999999999E-2</v>
      </c>
      <c r="O13" s="37">
        <v>3.8210000000000001E-2</v>
      </c>
      <c r="P13" s="37">
        <v>3.8764E-2</v>
      </c>
      <c r="Q13" s="37">
        <v>3.8907999999999998E-2</v>
      </c>
      <c r="R13" s="37">
        <v>3.8907999999999998E-2</v>
      </c>
    </row>
    <row r="14" spans="1:18" ht="21" hidden="1" customHeight="1" outlineLevel="1" thickTop="1" thickBot="1" x14ac:dyDescent="0.4">
      <c r="A14" s="5">
        <f t="shared" si="1"/>
        <v>1</v>
      </c>
      <c r="B14" s="5">
        <f t="shared" si="0"/>
        <v>0</v>
      </c>
      <c r="C14" s="5">
        <f t="shared" si="0"/>
        <v>0</v>
      </c>
      <c r="D14" s="5">
        <f t="shared" si="0"/>
        <v>0</v>
      </c>
      <c r="E14" s="68" t="s">
        <v>2</v>
      </c>
      <c r="F14" s="37">
        <v>0.2</v>
      </c>
      <c r="G14" s="37">
        <v>0.2</v>
      </c>
      <c r="H14" s="37">
        <v>0.2</v>
      </c>
      <c r="I14" s="37">
        <v>0.2</v>
      </c>
      <c r="J14" s="37">
        <v>0.2</v>
      </c>
      <c r="K14" s="37">
        <v>0.2</v>
      </c>
      <c r="L14" s="37">
        <v>0.2</v>
      </c>
      <c r="M14" s="37">
        <v>0.2</v>
      </c>
      <c r="N14" s="37">
        <v>0.2</v>
      </c>
      <c r="O14" s="37">
        <v>0.2</v>
      </c>
      <c r="P14" s="37">
        <v>0.2</v>
      </c>
      <c r="Q14" s="37">
        <v>0.2</v>
      </c>
      <c r="R14" s="37">
        <v>0.2</v>
      </c>
    </row>
    <row r="15" spans="1:18" ht="21" hidden="1" customHeight="1" outlineLevel="1" thickTop="1" thickBot="1" x14ac:dyDescent="0.4">
      <c r="A15" s="5">
        <f t="shared" si="1"/>
        <v>0</v>
      </c>
      <c r="B15" s="5">
        <f t="shared" si="0"/>
        <v>0</v>
      </c>
      <c r="C15" s="5">
        <f t="shared" si="0"/>
        <v>0</v>
      </c>
      <c r="D15" s="5">
        <f t="shared" si="0"/>
        <v>1</v>
      </c>
      <c r="E15" s="68" t="s">
        <v>24</v>
      </c>
      <c r="F15" s="37">
        <v>0.08</v>
      </c>
      <c r="G15" s="37">
        <v>7.9980999999999997E-2</v>
      </c>
      <c r="H15" s="37">
        <v>7.7617000000000005E-2</v>
      </c>
      <c r="I15" s="37">
        <v>5.5400999999999999E-2</v>
      </c>
      <c r="J15" s="37">
        <v>2.7307000000000001E-2</v>
      </c>
      <c r="K15" s="37">
        <v>9.6652000000000005E-3</v>
      </c>
      <c r="L15" s="37">
        <v>7.1215000000000002E-3</v>
      </c>
      <c r="M15" s="37">
        <v>5.3695000000000001E-3</v>
      </c>
      <c r="N15" s="37">
        <v>4.2785999999999996E-3</v>
      </c>
      <c r="O15" s="37">
        <v>3.5799E-3</v>
      </c>
      <c r="P15" s="37">
        <v>2.4729000000000001E-3</v>
      </c>
      <c r="Q15" s="37">
        <v>2.1836999999999998E-3</v>
      </c>
      <c r="R15" s="37">
        <v>2.1836999999999998E-3</v>
      </c>
    </row>
    <row r="16" spans="1:18" ht="21" hidden="1" customHeight="1" outlineLevel="1" thickTop="1" thickBot="1" x14ac:dyDescent="0.4">
      <c r="A16" s="5">
        <f t="shared" si="1"/>
        <v>0</v>
      </c>
      <c r="B16" s="5">
        <f t="shared" si="0"/>
        <v>0</v>
      </c>
      <c r="C16" s="5">
        <f t="shared" si="0"/>
        <v>1</v>
      </c>
      <c r="D16" s="5">
        <f t="shared" si="0"/>
        <v>0</v>
      </c>
      <c r="E16" s="68" t="s">
        <v>23</v>
      </c>
      <c r="F16" s="37">
        <v>0.12</v>
      </c>
      <c r="G16" s="37">
        <v>0.12</v>
      </c>
      <c r="H16" s="37">
        <v>0.12</v>
      </c>
      <c r="I16" s="37">
        <v>0.12</v>
      </c>
      <c r="J16" s="37">
        <v>0.12</v>
      </c>
      <c r="K16" s="37">
        <v>0.12</v>
      </c>
      <c r="L16" s="37">
        <v>0.12</v>
      </c>
      <c r="M16" s="37">
        <v>0.12</v>
      </c>
      <c r="N16" s="37">
        <v>0.12</v>
      </c>
      <c r="O16" s="37">
        <v>0.12</v>
      </c>
      <c r="P16" s="37">
        <v>0.12</v>
      </c>
      <c r="Q16" s="37">
        <v>0.12</v>
      </c>
      <c r="R16" s="37">
        <v>0.12</v>
      </c>
    </row>
    <row r="17" spans="1:18" ht="21" hidden="1" customHeight="1" outlineLevel="1" thickTop="1" thickBot="1" x14ac:dyDescent="0.4">
      <c r="A17" s="5">
        <f t="shared" si="1"/>
        <v>0</v>
      </c>
      <c r="B17" s="5">
        <f t="shared" si="0"/>
        <v>1</v>
      </c>
      <c r="C17" s="5">
        <f t="shared" si="0"/>
        <v>0</v>
      </c>
      <c r="D17" s="5">
        <f t="shared" si="0"/>
        <v>0</v>
      </c>
      <c r="E17" s="68" t="s">
        <v>25</v>
      </c>
      <c r="F17" s="37">
        <v>0.6</v>
      </c>
      <c r="G17" s="37">
        <v>0.59999000000000002</v>
      </c>
      <c r="H17" s="37">
        <v>0.59877000000000002</v>
      </c>
      <c r="I17" s="37">
        <v>0.58513999999999999</v>
      </c>
      <c r="J17" s="37">
        <v>0.52912000000000003</v>
      </c>
      <c r="K17" s="37">
        <v>0.29587999999999998</v>
      </c>
      <c r="L17" s="37">
        <v>0.22481999999999999</v>
      </c>
      <c r="M17" s="37">
        <v>0.16619</v>
      </c>
      <c r="N17" s="37">
        <v>0.12469</v>
      </c>
      <c r="O17" s="37">
        <v>9.4979999999999995E-2</v>
      </c>
      <c r="P17" s="37">
        <v>3.9503999999999997E-2</v>
      </c>
      <c r="Q17" s="37">
        <v>2.1496999999999999E-2</v>
      </c>
      <c r="R17" s="37">
        <v>2.1496999999999999E-2</v>
      </c>
    </row>
    <row r="18" spans="1:18" ht="21" hidden="1" customHeight="1" outlineLevel="1" thickTop="1" thickBot="1" x14ac:dyDescent="0.4">
      <c r="A18" s="5">
        <f t="shared" si="1"/>
        <v>1</v>
      </c>
      <c r="B18" s="5">
        <f t="shared" si="0"/>
        <v>0</v>
      </c>
      <c r="C18" s="5">
        <f t="shared" si="0"/>
        <v>0</v>
      </c>
      <c r="D18" s="5">
        <f t="shared" si="0"/>
        <v>0</v>
      </c>
      <c r="E18" s="68" t="s">
        <v>74</v>
      </c>
      <c r="F18" s="37">
        <v>-18.61</v>
      </c>
      <c r="G18" s="37">
        <v>-18.760000000000002</v>
      </c>
      <c r="H18" s="37">
        <v>-19.03</v>
      </c>
      <c r="I18" s="37">
        <v>-19.37</v>
      </c>
      <c r="J18" s="37">
        <v>-19.75</v>
      </c>
      <c r="K18" s="37">
        <v>-20.309999999999999</v>
      </c>
      <c r="L18" s="37">
        <v>-20.48</v>
      </c>
      <c r="M18" s="37">
        <v>-20.63</v>
      </c>
      <c r="N18" s="37">
        <v>-20.76</v>
      </c>
      <c r="O18" s="37">
        <v>-20.87</v>
      </c>
      <c r="P18" s="37">
        <v>-21.17</v>
      </c>
      <c r="Q18" s="37">
        <v>-21.39</v>
      </c>
      <c r="R18" s="37">
        <v>-21.39</v>
      </c>
    </row>
    <row r="19" spans="1:18" ht="21" hidden="1" customHeight="1" outlineLevel="1" thickTop="1" thickBot="1" x14ac:dyDescent="0.4">
      <c r="A19" s="5">
        <f t="shared" si="1"/>
        <v>0</v>
      </c>
      <c r="B19" s="5">
        <f t="shared" si="0"/>
        <v>0</v>
      </c>
      <c r="C19" s="5">
        <f t="shared" si="0"/>
        <v>0</v>
      </c>
      <c r="D19" s="5">
        <f t="shared" si="0"/>
        <v>1</v>
      </c>
      <c r="E19" s="68" t="s">
        <v>75</v>
      </c>
      <c r="F19" s="37">
        <v>-7.1619999999999999</v>
      </c>
      <c r="G19" s="37">
        <v>-8.0640000000000001</v>
      </c>
      <c r="H19" s="37">
        <v>-8.81</v>
      </c>
      <c r="I19" s="37">
        <v>-9.6920000000000002</v>
      </c>
      <c r="J19" s="37">
        <v>-10.79</v>
      </c>
      <c r="K19" s="37">
        <v>-11.79</v>
      </c>
      <c r="L19" s="37">
        <v>-12.01</v>
      </c>
      <c r="M19" s="37">
        <v>-12.2</v>
      </c>
      <c r="N19" s="37">
        <v>-12.36</v>
      </c>
      <c r="O19" s="37">
        <v>-12.5</v>
      </c>
      <c r="P19" s="37">
        <v>-12.91</v>
      </c>
      <c r="Q19" s="37">
        <v>-13.22</v>
      </c>
      <c r="R19" s="37">
        <v>-13.22</v>
      </c>
    </row>
    <row r="20" spans="1:18" ht="21" hidden="1" customHeight="1" outlineLevel="1" thickTop="1" thickBot="1" x14ac:dyDescent="0.4">
      <c r="A20" s="5">
        <f t="shared" si="1"/>
        <v>0</v>
      </c>
      <c r="B20" s="5">
        <f t="shared" si="1"/>
        <v>0</v>
      </c>
      <c r="C20" s="5">
        <f t="shared" si="1"/>
        <v>1</v>
      </c>
      <c r="D20" s="5">
        <f t="shared" si="1"/>
        <v>0</v>
      </c>
      <c r="E20" s="68" t="s">
        <v>76</v>
      </c>
      <c r="F20" s="37">
        <v>5.367</v>
      </c>
      <c r="G20" s="37">
        <v>0.73640000000000005</v>
      </c>
      <c r="H20" s="37">
        <v>-1.948</v>
      </c>
      <c r="I20" s="37">
        <v>-3.7149999999999999</v>
      </c>
      <c r="J20" s="37">
        <v>-4.931</v>
      </c>
      <c r="K20" s="37">
        <v>-5.5069999999999997</v>
      </c>
      <c r="L20" s="37">
        <v>-5.5430000000000001</v>
      </c>
      <c r="M20" s="37">
        <v>-5.57</v>
      </c>
      <c r="N20" s="37">
        <v>-5.617</v>
      </c>
      <c r="O20" s="37">
        <v>-5.6829999999999998</v>
      </c>
      <c r="P20" s="37">
        <v>-6.0869999999999997</v>
      </c>
      <c r="Q20" s="37">
        <v>-6.5679999999999996</v>
      </c>
      <c r="R20" s="37">
        <v>-6.5679999999999996</v>
      </c>
    </row>
    <row r="21" spans="1:18" ht="21" hidden="1" customHeight="1" outlineLevel="1" thickTop="1" thickBot="1" x14ac:dyDescent="0.4">
      <c r="A21" s="5">
        <f t="shared" si="1"/>
        <v>0</v>
      </c>
      <c r="B21" s="5">
        <f t="shared" si="1"/>
        <v>1</v>
      </c>
      <c r="C21" s="5">
        <f t="shared" si="1"/>
        <v>0</v>
      </c>
      <c r="D21" s="5">
        <f t="shared" si="1"/>
        <v>0</v>
      </c>
      <c r="E21" s="68" t="s">
        <v>77</v>
      </c>
      <c r="F21" s="37">
        <v>-4.5999999999999996</v>
      </c>
      <c r="G21" s="37">
        <v>-5.3719999999999999</v>
      </c>
      <c r="H21" s="37">
        <v>-6.11</v>
      </c>
      <c r="I21" s="37">
        <v>-6.7359999999999998</v>
      </c>
      <c r="J21" s="37">
        <v>-7.2839999999999998</v>
      </c>
      <c r="K21" s="37">
        <v>-7.9009999999999998</v>
      </c>
      <c r="L21" s="37">
        <v>-8.1020000000000003</v>
      </c>
      <c r="M21" s="37">
        <v>-8.3239999999999998</v>
      </c>
      <c r="N21" s="37">
        <v>-8.5640000000000001</v>
      </c>
      <c r="O21" s="37">
        <v>-8.8140000000000001</v>
      </c>
      <c r="P21" s="37">
        <v>-9.7989999999999995</v>
      </c>
      <c r="Q21" s="37">
        <v>-10.66</v>
      </c>
      <c r="R21" s="37">
        <v>-10.66</v>
      </c>
    </row>
    <row r="22" spans="1:18" ht="21" hidden="1" customHeight="1" outlineLevel="1" thickTop="1" thickBot="1" x14ac:dyDescent="0.4">
      <c r="A22" s="5">
        <f t="shared" si="1"/>
        <v>0</v>
      </c>
      <c r="B22" s="5">
        <f t="shared" si="1"/>
        <v>0</v>
      </c>
      <c r="C22" s="5">
        <f t="shared" si="1"/>
        <v>0</v>
      </c>
      <c r="D22" s="5">
        <f t="shared" si="1"/>
        <v>0</v>
      </c>
      <c r="E22" s="68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</row>
    <row r="23" spans="1:18" ht="21" hidden="1" customHeight="1" outlineLevel="1" thickTop="1" thickBot="1" x14ac:dyDescent="0.4">
      <c r="A23" s="5">
        <f t="shared" si="1"/>
        <v>0</v>
      </c>
      <c r="B23" s="5">
        <f t="shared" si="1"/>
        <v>0</v>
      </c>
      <c r="C23" s="5">
        <f t="shared" si="1"/>
        <v>0</v>
      </c>
      <c r="D23" s="5">
        <f t="shared" si="1"/>
        <v>0</v>
      </c>
      <c r="E23" s="33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</row>
    <row r="24" spans="1:18" ht="21" hidden="1" customHeight="1" outlineLevel="1" thickBot="1" x14ac:dyDescent="0.4">
      <c r="A24" s="5">
        <f t="shared" si="1"/>
        <v>0</v>
      </c>
      <c r="B24" s="5">
        <f t="shared" si="1"/>
        <v>0</v>
      </c>
      <c r="C24" s="5">
        <f t="shared" si="1"/>
        <v>0</v>
      </c>
      <c r="D24" s="5">
        <f t="shared" si="1"/>
        <v>0</v>
      </c>
      <c r="E24" s="33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</row>
    <row r="25" spans="1:18" ht="21" hidden="1" customHeight="1" outlineLevel="1" thickBot="1" x14ac:dyDescent="0.4">
      <c r="A25" s="5">
        <f t="shared" si="1"/>
        <v>0</v>
      </c>
      <c r="B25" s="5">
        <f t="shared" si="1"/>
        <v>0</v>
      </c>
      <c r="C25" s="5">
        <f t="shared" si="1"/>
        <v>0</v>
      </c>
      <c r="D25" s="5">
        <f t="shared" si="1"/>
        <v>0</v>
      </c>
      <c r="E25" s="33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</row>
    <row r="26" spans="1:18" ht="21" hidden="1" customHeight="1" outlineLevel="1" thickBot="1" x14ac:dyDescent="0.4">
      <c r="A26" s="5">
        <f t="shared" si="1"/>
        <v>0</v>
      </c>
      <c r="B26" s="5">
        <f t="shared" si="1"/>
        <v>0</v>
      </c>
      <c r="C26" s="5">
        <f t="shared" si="1"/>
        <v>0</v>
      </c>
      <c r="D26" s="5">
        <f t="shared" si="1"/>
        <v>0</v>
      </c>
      <c r="E26" s="33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</row>
    <row r="27" spans="1:18" ht="21" hidden="1" customHeight="1" outlineLevel="1" thickBot="1" x14ac:dyDescent="0.4">
      <c r="A27" s="5">
        <f t="shared" si="1"/>
        <v>0</v>
      </c>
      <c r="B27" s="5">
        <f t="shared" si="1"/>
        <v>0</v>
      </c>
      <c r="C27" s="5">
        <f t="shared" si="1"/>
        <v>0</v>
      </c>
      <c r="D27" s="5">
        <f t="shared" si="1"/>
        <v>0</v>
      </c>
      <c r="E27" s="33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</row>
    <row r="28" spans="1:18" ht="21" hidden="1" customHeight="1" outlineLevel="1" thickBot="1" x14ac:dyDescent="0.4">
      <c r="A28" s="5">
        <f t="shared" ref="A28:D33" si="2">IF( ISNUMBER( FIND(A$3,$E28,1)),   IF( ISNUMBER( VALUE(MID($E28,FIND(A$3,$E28,1)+2,1)) ), VALUE( MID($E28,FIND(A$3,$E28,1)+2,1) ),1),0)</f>
        <v>0</v>
      </c>
      <c r="B28" s="5">
        <f t="shared" si="2"/>
        <v>0</v>
      </c>
      <c r="C28" s="5">
        <f t="shared" si="2"/>
        <v>0</v>
      </c>
      <c r="D28" s="5">
        <f t="shared" si="2"/>
        <v>0</v>
      </c>
      <c r="E28" s="33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</row>
    <row r="29" spans="1:18" ht="21" hidden="1" customHeight="1" outlineLevel="1" thickBot="1" x14ac:dyDescent="0.4">
      <c r="A29" s="5">
        <f t="shared" si="2"/>
        <v>0</v>
      </c>
      <c r="B29" s="5">
        <f t="shared" si="2"/>
        <v>0</v>
      </c>
      <c r="C29" s="5">
        <f t="shared" si="2"/>
        <v>0</v>
      </c>
      <c r="D29" s="5">
        <f t="shared" si="2"/>
        <v>0</v>
      </c>
      <c r="E29" s="33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</row>
    <row r="30" spans="1:18" ht="21" hidden="1" customHeight="1" outlineLevel="1" thickBot="1" x14ac:dyDescent="0.4">
      <c r="A30" s="5">
        <f t="shared" si="2"/>
        <v>0</v>
      </c>
      <c r="B30" s="5">
        <f t="shared" si="2"/>
        <v>0</v>
      </c>
      <c r="C30" s="5">
        <f t="shared" si="2"/>
        <v>0</v>
      </c>
      <c r="D30" s="5">
        <f t="shared" si="2"/>
        <v>0</v>
      </c>
      <c r="E30" s="33"/>
    </row>
    <row r="31" spans="1:18" ht="21" hidden="1" customHeight="1" outlineLevel="1" thickBot="1" x14ac:dyDescent="0.4">
      <c r="A31" s="5">
        <f t="shared" si="2"/>
        <v>0</v>
      </c>
      <c r="B31" s="5">
        <f t="shared" si="2"/>
        <v>0</v>
      </c>
      <c r="C31" s="5">
        <f t="shared" si="2"/>
        <v>0</v>
      </c>
      <c r="D31" s="5">
        <f t="shared" si="2"/>
        <v>0</v>
      </c>
      <c r="E31" s="33"/>
    </row>
    <row r="32" spans="1:18" ht="21" hidden="1" customHeight="1" outlineLevel="1" thickBot="1" x14ac:dyDescent="0.4">
      <c r="A32" s="5">
        <f t="shared" si="2"/>
        <v>0</v>
      </c>
      <c r="B32" s="5">
        <f t="shared" si="2"/>
        <v>0</v>
      </c>
      <c r="C32" s="5">
        <f t="shared" si="2"/>
        <v>0</v>
      </c>
      <c r="D32" s="5">
        <f t="shared" si="2"/>
        <v>0</v>
      </c>
      <c r="E32" s="33"/>
    </row>
    <row r="33" spans="1:24" ht="21" hidden="1" customHeight="1" outlineLevel="1" thickBot="1" x14ac:dyDescent="0.4">
      <c r="A33" s="5">
        <f t="shared" si="2"/>
        <v>0</v>
      </c>
      <c r="B33" s="5">
        <f t="shared" si="2"/>
        <v>0</v>
      </c>
      <c r="C33" s="5">
        <f t="shared" si="2"/>
        <v>0</v>
      </c>
      <c r="D33" s="5">
        <f t="shared" si="2"/>
        <v>0</v>
      </c>
      <c r="E33" s="33">
        <v>1</v>
      </c>
    </row>
    <row r="34" spans="1:24" ht="21" hidden="1" customHeight="1" outlineLevel="1" x14ac:dyDescent="0.35">
      <c r="E34">
        <f>$A$2</f>
        <v>300</v>
      </c>
      <c r="F34">
        <f>MIN(F4:R22)</f>
        <v>-21.39</v>
      </c>
    </row>
    <row r="35" spans="1:24" ht="21" customHeight="1" collapsed="1" thickBot="1" x14ac:dyDescent="0.4">
      <c r="E35">
        <f>$A$2</f>
        <v>300</v>
      </c>
      <c r="F35" s="66">
        <f>MAX(F4:R22)</f>
        <v>5.367</v>
      </c>
    </row>
    <row r="36" spans="1:24" ht="21" customHeight="1" thickTop="1" thickBot="1" x14ac:dyDescent="0.45">
      <c r="A36" s="9" t="s">
        <v>11</v>
      </c>
      <c r="B36" s="10"/>
      <c r="C36" s="10"/>
      <c r="D36" s="13"/>
      <c r="E36" s="71" t="str">
        <f>ALL!E36</f>
        <v>Общая энергия гиббса смесей, КДж</v>
      </c>
      <c r="F36" s="72"/>
      <c r="G36" s="71"/>
      <c r="H36" s="71"/>
      <c r="I36" s="71"/>
      <c r="J36" s="71"/>
      <c r="K36" s="74"/>
      <c r="L36" s="74"/>
      <c r="M36" s="74"/>
      <c r="N36" s="74"/>
      <c r="O36" s="74"/>
      <c r="P36" s="74"/>
      <c r="Q36" s="74"/>
      <c r="R36" s="74"/>
      <c r="S36" s="16"/>
      <c r="T36" s="16"/>
      <c r="U36" s="16"/>
      <c r="V36" s="16"/>
      <c r="W36" s="16"/>
      <c r="X36" s="16"/>
    </row>
    <row r="37" spans="1:24" ht="21" hidden="1" customHeight="1" outlineLevel="1" thickTop="1" thickBot="1" x14ac:dyDescent="0.4">
      <c r="A37" s="14" t="s">
        <v>2</v>
      </c>
      <c r="B37" s="14" t="s">
        <v>8</v>
      </c>
      <c r="C37" s="14" t="s">
        <v>9</v>
      </c>
      <c r="D37" s="14" t="s">
        <v>7</v>
      </c>
      <c r="E37" s="14" t="s">
        <v>13</v>
      </c>
      <c r="F37" s="6">
        <f>F3</f>
        <v>298.2</v>
      </c>
      <c r="G37" s="6">
        <f t="shared" ref="G37:R37" si="3">G3</f>
        <v>431.7</v>
      </c>
      <c r="H37" s="6">
        <f t="shared" si="3"/>
        <v>565.20000000000005</v>
      </c>
      <c r="I37" s="6">
        <f t="shared" si="3"/>
        <v>698.8</v>
      </c>
      <c r="J37" s="6">
        <f t="shared" si="3"/>
        <v>832.3</v>
      </c>
      <c r="K37" s="6">
        <f t="shared" si="3"/>
        <v>965.8</v>
      </c>
      <c r="L37" s="6">
        <f t="shared" si="3"/>
        <v>999.2</v>
      </c>
      <c r="M37" s="6">
        <f t="shared" si="3"/>
        <v>1033</v>
      </c>
      <c r="N37" s="6">
        <f t="shared" si="3"/>
        <v>1066</v>
      </c>
      <c r="O37" s="6">
        <f t="shared" si="3"/>
        <v>1099</v>
      </c>
      <c r="P37" s="6">
        <f t="shared" si="3"/>
        <v>1233</v>
      </c>
      <c r="Q37" s="6">
        <f t="shared" si="3"/>
        <v>1366</v>
      </c>
      <c r="R37" s="6">
        <f t="shared" si="3"/>
        <v>1500</v>
      </c>
    </row>
    <row r="38" spans="1:24" ht="21" hidden="1" customHeight="1" outlineLevel="1" thickTop="1" x14ac:dyDescent="0.35">
      <c r="A38" s="15">
        <f>A42/$B42</f>
        <v>1.6666666666666667</v>
      </c>
      <c r="B38" s="15">
        <f>B42/$B42</f>
        <v>1</v>
      </c>
      <c r="C38" s="15">
        <f>C42/$B42</f>
        <v>0.66666666666666674</v>
      </c>
      <c r="D38" s="15">
        <f>D42/$B42</f>
        <v>5</v>
      </c>
      <c r="E38" s="15">
        <f>SUM(A38:D38)</f>
        <v>8.3333333333333339</v>
      </c>
      <c r="F38" s="67">
        <f t="shared" ref="F38:R38" si="4">($B$38*H.Ge+$C$38*H.Ga+$D$38*H.Se)*F$37*$B$2/1000</f>
        <v>-55.557207969900006</v>
      </c>
      <c r="G38" s="67">
        <f t="shared" si="4"/>
        <v>-113.06370822714</v>
      </c>
      <c r="H38" s="67">
        <f t="shared" si="4"/>
        <v>-180.32053250520005</v>
      </c>
      <c r="I38" s="67">
        <f t="shared" si="4"/>
        <v>-254.8128662698</v>
      </c>
      <c r="J38" s="67">
        <f t="shared" si="4"/>
        <v>-335.93447366185001</v>
      </c>
      <c r="K38" s="67">
        <f t="shared" si="4"/>
        <v>-424.56977885519996</v>
      </c>
      <c r="L38" s="67">
        <f t="shared" si="4"/>
        <v>-449.11951522120012</v>
      </c>
      <c r="M38" s="67">
        <f t="shared" si="4"/>
        <v>-475.16538821500006</v>
      </c>
      <c r="N38" s="67">
        <f t="shared" si="4"/>
        <v>-502.34281698900008</v>
      </c>
      <c r="O38" s="67">
        <f t="shared" si="4"/>
        <v>-530.77174153149997</v>
      </c>
      <c r="P38" s="67">
        <f t="shared" si="4"/>
        <v>-652.92210362699996</v>
      </c>
      <c r="Q38" s="67">
        <f t="shared" si="4"/>
        <v>-780.05559223600005</v>
      </c>
      <c r="R38" s="67">
        <f t="shared" si="4"/>
        <v>-856.57641899999999</v>
      </c>
    </row>
    <row r="39" spans="1:24" ht="21" hidden="1" customHeight="1" outlineLevel="1" x14ac:dyDescent="0.35"/>
    <row r="40" spans="1:24" ht="21" hidden="1" customHeight="1" outlineLevel="1" thickBot="1" x14ac:dyDescent="0.4">
      <c r="A40" s="13" t="s">
        <v>12</v>
      </c>
      <c r="B40" s="13"/>
      <c r="C40" s="13"/>
      <c r="D40" s="13"/>
    </row>
    <row r="41" spans="1:24" ht="21" hidden="1" customHeight="1" outlineLevel="1" thickTop="1" thickBot="1" x14ac:dyDescent="0.4">
      <c r="A41" s="3" t="s">
        <v>2</v>
      </c>
      <c r="B41" s="3" t="s">
        <v>8</v>
      </c>
      <c r="C41" s="3" t="s">
        <v>9</v>
      </c>
      <c r="D41" s="3" t="s">
        <v>7</v>
      </c>
    </row>
    <row r="42" spans="1:24" ht="21" hidden="1" customHeight="1" outlineLevel="1" thickTop="1" x14ac:dyDescent="0.35">
      <c r="A42" s="70">
        <v>0.25</v>
      </c>
      <c r="B42" s="70">
        <v>0.15</v>
      </c>
      <c r="C42" s="70">
        <v>0.1</v>
      </c>
      <c r="D42" s="70">
        <v>0.75</v>
      </c>
    </row>
    <row r="43" spans="1:24" ht="21" hidden="1" customHeight="1" outlineLevel="1" x14ac:dyDescent="0.35"/>
    <row r="44" spans="1:24" ht="21" customHeight="1" collapsed="1" thickTop="1" thickBot="1" x14ac:dyDescent="0.4"/>
    <row r="45" spans="1:24" ht="21" customHeight="1" thickBot="1" x14ac:dyDescent="0.45">
      <c r="A45" s="47"/>
      <c r="B45" s="47"/>
      <c r="C45" s="47"/>
      <c r="D45" s="47"/>
      <c r="E45" s="71" t="str">
        <f>ALL!E46</f>
        <v>Удельная энергия Гиббса отдельных веществ из потенциалов. Дж</v>
      </c>
      <c r="F45" s="72"/>
      <c r="G45" s="71"/>
      <c r="H45" s="71"/>
      <c r="I45" s="71"/>
      <c r="J45" s="71"/>
      <c r="K45" s="71"/>
      <c r="L45" s="75"/>
      <c r="M45" s="75"/>
      <c r="N45" s="75"/>
      <c r="O45" s="75"/>
      <c r="P45" s="75"/>
      <c r="Q45" s="75"/>
      <c r="R45" s="75"/>
    </row>
    <row r="46" spans="1:24" ht="21" hidden="1" customHeight="1" outlineLevel="1" thickTop="1" thickBot="1" x14ac:dyDescent="0.4">
      <c r="A46" s="21" t="s">
        <v>2</v>
      </c>
      <c r="B46" s="21" t="s">
        <v>7</v>
      </c>
      <c r="C46" s="21" t="s">
        <v>8</v>
      </c>
      <c r="D46" s="22" t="s">
        <v>9</v>
      </c>
      <c r="E46" s="29">
        <f t="shared" ref="E46:R46" si="5">E3</f>
        <v>0</v>
      </c>
      <c r="F46" s="29">
        <f t="shared" si="5"/>
        <v>298.2</v>
      </c>
      <c r="G46" s="29">
        <f t="shared" si="5"/>
        <v>431.7</v>
      </c>
      <c r="H46" s="29">
        <f t="shared" si="5"/>
        <v>565.20000000000005</v>
      </c>
      <c r="I46" s="29">
        <f t="shared" si="5"/>
        <v>698.8</v>
      </c>
      <c r="J46" s="29">
        <f t="shared" si="5"/>
        <v>832.3</v>
      </c>
      <c r="K46" s="29">
        <f t="shared" si="5"/>
        <v>965.8</v>
      </c>
      <c r="L46" s="29">
        <f t="shared" si="5"/>
        <v>999.2</v>
      </c>
      <c r="M46" s="29">
        <f t="shared" si="5"/>
        <v>1033</v>
      </c>
      <c r="N46" s="29">
        <f t="shared" si="5"/>
        <v>1066</v>
      </c>
      <c r="O46" s="29">
        <f t="shared" si="5"/>
        <v>1099</v>
      </c>
      <c r="P46" s="29">
        <f t="shared" si="5"/>
        <v>1233</v>
      </c>
      <c r="Q46" s="29">
        <f t="shared" si="5"/>
        <v>1366</v>
      </c>
      <c r="R46" s="29">
        <f t="shared" si="5"/>
        <v>1500</v>
      </c>
    </row>
    <row r="47" spans="1:24" ht="21" hidden="1" customHeight="1" outlineLevel="1" thickTop="1" thickBot="1" x14ac:dyDescent="0.4">
      <c r="A47" s="5">
        <f t="shared" ref="A47:E56" si="6">A4</f>
        <v>0</v>
      </c>
      <c r="B47" s="5">
        <f t="shared" si="6"/>
        <v>3</v>
      </c>
      <c r="C47" s="5">
        <f t="shared" si="6"/>
        <v>0</v>
      </c>
      <c r="D47" s="5">
        <f t="shared" si="6"/>
        <v>0</v>
      </c>
      <c r="E47" s="33" t="str">
        <f t="shared" si="6"/>
        <v>Se3</v>
      </c>
      <c r="F47" s="37">
        <f t="shared" ref="F47:O56" si="7">$A47*H.Ar + $B47*H.Se + $C47*H.Ge + $D47*H.Ga</f>
        <v>-13.799999999999999</v>
      </c>
      <c r="G47" s="37">
        <f t="shared" si="7"/>
        <v>-16.116</v>
      </c>
      <c r="H47" s="37">
        <f t="shared" si="7"/>
        <v>-18.330000000000002</v>
      </c>
      <c r="I47" s="37">
        <f t="shared" si="7"/>
        <v>-20.207999999999998</v>
      </c>
      <c r="J47" s="37">
        <f t="shared" si="7"/>
        <v>-21.852</v>
      </c>
      <c r="K47" s="37">
        <f t="shared" si="7"/>
        <v>-23.702999999999999</v>
      </c>
      <c r="L47" s="37">
        <f t="shared" si="7"/>
        <v>-24.306000000000001</v>
      </c>
      <c r="M47" s="37">
        <f t="shared" si="7"/>
        <v>-24.972000000000001</v>
      </c>
      <c r="N47" s="37">
        <f t="shared" si="7"/>
        <v>-25.692</v>
      </c>
      <c r="O47" s="37">
        <f t="shared" si="7"/>
        <v>-26.442</v>
      </c>
      <c r="P47" s="37">
        <f t="shared" ref="P47:R56" si="8">$A47*H.Ar + $B47*H.Se + $C47*H.Ge + $D47*H.Ga</f>
        <v>-29.396999999999998</v>
      </c>
      <c r="Q47" s="37">
        <f t="shared" si="8"/>
        <v>-31.98</v>
      </c>
      <c r="R47" s="37">
        <f t="shared" si="8"/>
        <v>-31.98</v>
      </c>
    </row>
    <row r="48" spans="1:24" ht="21" hidden="1" customHeight="1" outlineLevel="1" thickBot="1" x14ac:dyDescent="0.4">
      <c r="A48" s="5">
        <f t="shared" si="6"/>
        <v>0</v>
      </c>
      <c r="B48" s="5">
        <f t="shared" si="6"/>
        <v>4</v>
      </c>
      <c r="C48" s="5">
        <f t="shared" si="6"/>
        <v>0</v>
      </c>
      <c r="D48" s="5">
        <f t="shared" si="6"/>
        <v>0</v>
      </c>
      <c r="E48" s="33" t="str">
        <f t="shared" si="6"/>
        <v>Se4</v>
      </c>
      <c r="F48" s="37">
        <f t="shared" si="7"/>
        <v>-18.399999999999999</v>
      </c>
      <c r="G48" s="37">
        <f t="shared" si="7"/>
        <v>-21.488</v>
      </c>
      <c r="H48" s="37">
        <f t="shared" si="7"/>
        <v>-24.44</v>
      </c>
      <c r="I48" s="37">
        <f t="shared" si="7"/>
        <v>-26.943999999999999</v>
      </c>
      <c r="J48" s="37">
        <f t="shared" si="7"/>
        <v>-29.135999999999999</v>
      </c>
      <c r="K48" s="37">
        <f t="shared" si="7"/>
        <v>-31.603999999999999</v>
      </c>
      <c r="L48" s="37">
        <f t="shared" si="7"/>
        <v>-32.408000000000001</v>
      </c>
      <c r="M48" s="37">
        <f t="shared" si="7"/>
        <v>-33.295999999999999</v>
      </c>
      <c r="N48" s="37">
        <f t="shared" si="7"/>
        <v>-34.256</v>
      </c>
      <c r="O48" s="37">
        <f t="shared" si="7"/>
        <v>-35.256</v>
      </c>
      <c r="P48" s="37">
        <f t="shared" si="8"/>
        <v>-39.195999999999998</v>
      </c>
      <c r="Q48" s="37">
        <f t="shared" si="8"/>
        <v>-42.64</v>
      </c>
      <c r="R48" s="37">
        <f t="shared" si="8"/>
        <v>-42.64</v>
      </c>
    </row>
    <row r="49" spans="1:18" ht="21" hidden="1" customHeight="1" outlineLevel="1" thickBot="1" x14ac:dyDescent="0.4">
      <c r="A49" s="5">
        <f t="shared" si="6"/>
        <v>0</v>
      </c>
      <c r="B49" s="5">
        <f t="shared" si="6"/>
        <v>5</v>
      </c>
      <c r="C49" s="5">
        <f t="shared" si="6"/>
        <v>0</v>
      </c>
      <c r="D49" s="5">
        <f t="shared" si="6"/>
        <v>0</v>
      </c>
      <c r="E49" s="33" t="str">
        <f t="shared" si="6"/>
        <v>Se5</v>
      </c>
      <c r="F49" s="37">
        <f t="shared" si="7"/>
        <v>-23</v>
      </c>
      <c r="G49" s="37">
        <f t="shared" si="7"/>
        <v>-26.86</v>
      </c>
      <c r="H49" s="37">
        <f t="shared" si="7"/>
        <v>-30.55</v>
      </c>
      <c r="I49" s="37">
        <f t="shared" si="7"/>
        <v>-33.68</v>
      </c>
      <c r="J49" s="37">
        <f t="shared" si="7"/>
        <v>-36.42</v>
      </c>
      <c r="K49" s="37">
        <f t="shared" si="7"/>
        <v>-39.504999999999995</v>
      </c>
      <c r="L49" s="37">
        <f t="shared" si="7"/>
        <v>-40.510000000000005</v>
      </c>
      <c r="M49" s="37">
        <f t="shared" si="7"/>
        <v>-41.62</v>
      </c>
      <c r="N49" s="37">
        <f t="shared" si="7"/>
        <v>-42.82</v>
      </c>
      <c r="O49" s="37">
        <f t="shared" si="7"/>
        <v>-44.07</v>
      </c>
      <c r="P49" s="37">
        <f t="shared" si="8"/>
        <v>-48.994999999999997</v>
      </c>
      <c r="Q49" s="37">
        <f t="shared" si="8"/>
        <v>-53.3</v>
      </c>
      <c r="R49" s="37">
        <f t="shared" si="8"/>
        <v>-53.3</v>
      </c>
    </row>
    <row r="50" spans="1:18" ht="21" hidden="1" customHeight="1" outlineLevel="1" thickBot="1" x14ac:dyDescent="0.4">
      <c r="A50" s="5">
        <f t="shared" si="6"/>
        <v>0</v>
      </c>
      <c r="B50" s="5">
        <f t="shared" si="6"/>
        <v>6</v>
      </c>
      <c r="C50" s="5">
        <f t="shared" si="6"/>
        <v>0</v>
      </c>
      <c r="D50" s="5">
        <f t="shared" si="6"/>
        <v>0</v>
      </c>
      <c r="E50" s="33" t="str">
        <f t="shared" si="6"/>
        <v>Se6</v>
      </c>
      <c r="F50" s="37">
        <f t="shared" si="7"/>
        <v>-27.599999999999998</v>
      </c>
      <c r="G50" s="37">
        <f t="shared" si="7"/>
        <v>-32.231999999999999</v>
      </c>
      <c r="H50" s="37">
        <f t="shared" si="7"/>
        <v>-36.660000000000004</v>
      </c>
      <c r="I50" s="37">
        <f t="shared" si="7"/>
        <v>-40.415999999999997</v>
      </c>
      <c r="J50" s="37">
        <f t="shared" si="7"/>
        <v>-43.704000000000001</v>
      </c>
      <c r="K50" s="37">
        <f t="shared" si="7"/>
        <v>-47.405999999999999</v>
      </c>
      <c r="L50" s="37">
        <f t="shared" si="7"/>
        <v>-48.612000000000002</v>
      </c>
      <c r="M50" s="37">
        <f t="shared" si="7"/>
        <v>-49.944000000000003</v>
      </c>
      <c r="N50" s="37">
        <f t="shared" si="7"/>
        <v>-51.384</v>
      </c>
      <c r="O50" s="37">
        <f t="shared" si="7"/>
        <v>-52.884</v>
      </c>
      <c r="P50" s="37">
        <f t="shared" si="8"/>
        <v>-58.793999999999997</v>
      </c>
      <c r="Q50" s="37">
        <f t="shared" si="8"/>
        <v>-63.96</v>
      </c>
      <c r="R50" s="37">
        <f t="shared" si="8"/>
        <v>-63.96</v>
      </c>
    </row>
    <row r="51" spans="1:18" ht="21" hidden="1" customHeight="1" outlineLevel="1" thickBot="1" x14ac:dyDescent="0.4">
      <c r="A51" s="5">
        <f t="shared" si="6"/>
        <v>0</v>
      </c>
      <c r="B51" s="5">
        <f t="shared" si="6"/>
        <v>7</v>
      </c>
      <c r="C51" s="5">
        <f t="shared" si="6"/>
        <v>0</v>
      </c>
      <c r="D51" s="5">
        <f t="shared" si="6"/>
        <v>0</v>
      </c>
      <c r="E51" s="33" t="str">
        <f t="shared" si="6"/>
        <v>Se7</v>
      </c>
      <c r="F51" s="37">
        <f t="shared" si="7"/>
        <v>-32.199999999999996</v>
      </c>
      <c r="G51" s="37">
        <f t="shared" si="7"/>
        <v>-37.603999999999999</v>
      </c>
      <c r="H51" s="37">
        <f t="shared" si="7"/>
        <v>-42.77</v>
      </c>
      <c r="I51" s="37">
        <f t="shared" si="7"/>
        <v>-47.152000000000001</v>
      </c>
      <c r="J51" s="37">
        <f t="shared" si="7"/>
        <v>-50.988</v>
      </c>
      <c r="K51" s="37">
        <f t="shared" si="7"/>
        <v>-55.307000000000002</v>
      </c>
      <c r="L51" s="37">
        <f t="shared" si="7"/>
        <v>-56.713999999999999</v>
      </c>
      <c r="M51" s="37">
        <f t="shared" si="7"/>
        <v>-58.268000000000001</v>
      </c>
      <c r="N51" s="37">
        <f t="shared" si="7"/>
        <v>-59.948</v>
      </c>
      <c r="O51" s="37">
        <f t="shared" si="7"/>
        <v>-61.698</v>
      </c>
      <c r="P51" s="37">
        <f t="shared" si="8"/>
        <v>-68.592999999999989</v>
      </c>
      <c r="Q51" s="37">
        <f t="shared" si="8"/>
        <v>-74.62</v>
      </c>
      <c r="R51" s="37">
        <f t="shared" si="8"/>
        <v>-74.62</v>
      </c>
    </row>
    <row r="52" spans="1:18" ht="21" hidden="1" customHeight="1" outlineLevel="1" thickBot="1" x14ac:dyDescent="0.4">
      <c r="A52" s="5">
        <f t="shared" si="6"/>
        <v>0</v>
      </c>
      <c r="B52" s="5">
        <f t="shared" si="6"/>
        <v>8</v>
      </c>
      <c r="C52" s="5">
        <f t="shared" si="6"/>
        <v>0</v>
      </c>
      <c r="D52" s="5">
        <f t="shared" si="6"/>
        <v>0</v>
      </c>
      <c r="E52" s="33" t="str">
        <f t="shared" si="6"/>
        <v>Se8</v>
      </c>
      <c r="F52" s="37">
        <f t="shared" si="7"/>
        <v>-36.799999999999997</v>
      </c>
      <c r="G52" s="37">
        <f t="shared" si="7"/>
        <v>-42.975999999999999</v>
      </c>
      <c r="H52" s="37">
        <f t="shared" si="7"/>
        <v>-48.88</v>
      </c>
      <c r="I52" s="37">
        <f t="shared" si="7"/>
        <v>-53.887999999999998</v>
      </c>
      <c r="J52" s="37">
        <f t="shared" si="7"/>
        <v>-58.271999999999998</v>
      </c>
      <c r="K52" s="37">
        <f t="shared" si="7"/>
        <v>-63.207999999999998</v>
      </c>
      <c r="L52" s="37">
        <f t="shared" si="7"/>
        <v>-64.816000000000003</v>
      </c>
      <c r="M52" s="37">
        <f t="shared" si="7"/>
        <v>-66.591999999999999</v>
      </c>
      <c r="N52" s="37">
        <f t="shared" si="7"/>
        <v>-68.512</v>
      </c>
      <c r="O52" s="37">
        <f t="shared" si="7"/>
        <v>-70.512</v>
      </c>
      <c r="P52" s="37">
        <f t="shared" si="8"/>
        <v>-78.391999999999996</v>
      </c>
      <c r="Q52" s="37">
        <f t="shared" si="8"/>
        <v>-85.28</v>
      </c>
      <c r="R52" s="37">
        <f t="shared" si="8"/>
        <v>-85.28</v>
      </c>
    </row>
    <row r="53" spans="1:18" ht="21" hidden="1" customHeight="1" outlineLevel="1" thickBot="1" x14ac:dyDescent="0.4">
      <c r="A53" s="5">
        <f t="shared" si="6"/>
        <v>0</v>
      </c>
      <c r="B53" s="5">
        <f t="shared" si="6"/>
        <v>2</v>
      </c>
      <c r="C53" s="5">
        <f t="shared" si="6"/>
        <v>0</v>
      </c>
      <c r="D53" s="5">
        <f t="shared" si="6"/>
        <v>0</v>
      </c>
      <c r="E53" s="33" t="str">
        <f t="shared" si="6"/>
        <v>Se2</v>
      </c>
      <c r="F53" s="37">
        <f t="shared" si="7"/>
        <v>-9.1999999999999993</v>
      </c>
      <c r="G53" s="37">
        <f t="shared" si="7"/>
        <v>-10.744</v>
      </c>
      <c r="H53" s="37">
        <f t="shared" si="7"/>
        <v>-12.22</v>
      </c>
      <c r="I53" s="37">
        <f t="shared" si="7"/>
        <v>-13.472</v>
      </c>
      <c r="J53" s="37">
        <f t="shared" si="7"/>
        <v>-14.568</v>
      </c>
      <c r="K53" s="37">
        <f t="shared" si="7"/>
        <v>-15.802</v>
      </c>
      <c r="L53" s="37">
        <f t="shared" si="7"/>
        <v>-16.204000000000001</v>
      </c>
      <c r="M53" s="37">
        <f t="shared" si="7"/>
        <v>-16.648</v>
      </c>
      <c r="N53" s="37">
        <f t="shared" si="7"/>
        <v>-17.128</v>
      </c>
      <c r="O53" s="37">
        <f t="shared" si="7"/>
        <v>-17.628</v>
      </c>
      <c r="P53" s="37">
        <f t="shared" si="8"/>
        <v>-19.597999999999999</v>
      </c>
      <c r="Q53" s="37">
        <f t="shared" si="8"/>
        <v>-21.32</v>
      </c>
      <c r="R53" s="37">
        <f t="shared" si="8"/>
        <v>-21.32</v>
      </c>
    </row>
    <row r="54" spans="1:18" ht="21" hidden="1" customHeight="1" outlineLevel="1" thickBot="1" x14ac:dyDescent="0.4">
      <c r="A54" s="5">
        <f t="shared" si="6"/>
        <v>0</v>
      </c>
      <c r="B54" s="5">
        <f t="shared" si="6"/>
        <v>1</v>
      </c>
      <c r="C54" s="5">
        <f t="shared" si="6"/>
        <v>0</v>
      </c>
      <c r="D54" s="5">
        <f t="shared" si="6"/>
        <v>0</v>
      </c>
      <c r="E54" s="33" t="str">
        <f t="shared" si="6"/>
        <v>Se</v>
      </c>
      <c r="F54" s="37">
        <f t="shared" si="7"/>
        <v>-4.5999999999999996</v>
      </c>
      <c r="G54" s="37">
        <f t="shared" si="7"/>
        <v>-5.3719999999999999</v>
      </c>
      <c r="H54" s="37">
        <f t="shared" si="7"/>
        <v>-6.11</v>
      </c>
      <c r="I54" s="37">
        <f t="shared" si="7"/>
        <v>-6.7359999999999998</v>
      </c>
      <c r="J54" s="37">
        <f t="shared" si="7"/>
        <v>-7.2839999999999998</v>
      </c>
      <c r="K54" s="37">
        <f t="shared" si="7"/>
        <v>-7.9009999999999998</v>
      </c>
      <c r="L54" s="37">
        <f t="shared" si="7"/>
        <v>-8.1020000000000003</v>
      </c>
      <c r="M54" s="37">
        <f t="shared" si="7"/>
        <v>-8.3239999999999998</v>
      </c>
      <c r="N54" s="37">
        <f t="shared" si="7"/>
        <v>-8.5640000000000001</v>
      </c>
      <c r="O54" s="37">
        <f t="shared" si="7"/>
        <v>-8.8140000000000001</v>
      </c>
      <c r="P54" s="37">
        <f t="shared" si="8"/>
        <v>-9.7989999999999995</v>
      </c>
      <c r="Q54" s="37">
        <f t="shared" si="8"/>
        <v>-10.66</v>
      </c>
      <c r="R54" s="37">
        <f t="shared" si="8"/>
        <v>-10.66</v>
      </c>
    </row>
    <row r="55" spans="1:18" ht="21" hidden="1" customHeight="1" outlineLevel="1" thickBot="1" x14ac:dyDescent="0.4">
      <c r="A55" s="5">
        <f t="shared" si="6"/>
        <v>0</v>
      </c>
      <c r="B55" s="5">
        <f t="shared" si="6"/>
        <v>0</v>
      </c>
      <c r="C55" s="5">
        <f t="shared" si="6"/>
        <v>0</v>
      </c>
      <c r="D55" s="5">
        <f t="shared" si="6"/>
        <v>1</v>
      </c>
      <c r="E55" s="33" t="str">
        <f t="shared" si="6"/>
        <v>Ga</v>
      </c>
      <c r="F55" s="37">
        <f t="shared" si="7"/>
        <v>-7.1619999999999999</v>
      </c>
      <c r="G55" s="37">
        <f t="shared" si="7"/>
        <v>-8.0640000000000001</v>
      </c>
      <c r="H55" s="37">
        <f t="shared" si="7"/>
        <v>-8.81</v>
      </c>
      <c r="I55" s="37">
        <f t="shared" si="7"/>
        <v>-9.6920000000000002</v>
      </c>
      <c r="J55" s="37">
        <f t="shared" si="7"/>
        <v>-10.79</v>
      </c>
      <c r="K55" s="37">
        <f t="shared" si="7"/>
        <v>-11.79</v>
      </c>
      <c r="L55" s="37">
        <f t="shared" si="7"/>
        <v>-12.01</v>
      </c>
      <c r="M55" s="37">
        <f t="shared" si="7"/>
        <v>-12.2</v>
      </c>
      <c r="N55" s="37">
        <f t="shared" si="7"/>
        <v>-12.36</v>
      </c>
      <c r="O55" s="37">
        <f t="shared" si="7"/>
        <v>-12.5</v>
      </c>
      <c r="P55" s="37">
        <f t="shared" si="8"/>
        <v>-12.91</v>
      </c>
      <c r="Q55" s="37">
        <f t="shared" si="8"/>
        <v>-13.22</v>
      </c>
      <c r="R55" s="37">
        <f t="shared" si="8"/>
        <v>-13.22</v>
      </c>
    </row>
    <row r="56" spans="1:18" ht="21" hidden="1" customHeight="1" outlineLevel="1" thickBot="1" x14ac:dyDescent="0.4">
      <c r="A56" s="5">
        <f t="shared" si="6"/>
        <v>0</v>
      </c>
      <c r="B56" s="5">
        <f t="shared" si="6"/>
        <v>1</v>
      </c>
      <c r="C56" s="5">
        <f t="shared" si="6"/>
        <v>0</v>
      </c>
      <c r="D56" s="5">
        <f t="shared" si="6"/>
        <v>2</v>
      </c>
      <c r="E56" s="33" t="str">
        <f t="shared" si="6"/>
        <v>Ga2Se</v>
      </c>
      <c r="F56" s="37">
        <f t="shared" si="7"/>
        <v>-18.923999999999999</v>
      </c>
      <c r="G56" s="37">
        <f t="shared" si="7"/>
        <v>-21.5</v>
      </c>
      <c r="H56" s="37">
        <f t="shared" si="7"/>
        <v>-23.73</v>
      </c>
      <c r="I56" s="37">
        <f t="shared" si="7"/>
        <v>-26.12</v>
      </c>
      <c r="J56" s="37">
        <f t="shared" si="7"/>
        <v>-28.863999999999997</v>
      </c>
      <c r="K56" s="37">
        <f t="shared" si="7"/>
        <v>-31.480999999999998</v>
      </c>
      <c r="L56" s="37">
        <f t="shared" si="7"/>
        <v>-32.122</v>
      </c>
      <c r="M56" s="37">
        <f t="shared" si="7"/>
        <v>-32.723999999999997</v>
      </c>
      <c r="N56" s="37">
        <f t="shared" si="7"/>
        <v>-33.283999999999999</v>
      </c>
      <c r="O56" s="37">
        <f t="shared" si="7"/>
        <v>-33.814</v>
      </c>
      <c r="P56" s="37">
        <f t="shared" si="8"/>
        <v>-35.619</v>
      </c>
      <c r="Q56" s="37">
        <f t="shared" si="8"/>
        <v>-37.1</v>
      </c>
      <c r="R56" s="37">
        <f t="shared" si="8"/>
        <v>-37.1</v>
      </c>
    </row>
    <row r="57" spans="1:18" ht="21" hidden="1" customHeight="1" outlineLevel="1" thickBot="1" x14ac:dyDescent="0.4">
      <c r="A57" s="5">
        <f t="shared" ref="A57:E66" si="9">A14</f>
        <v>1</v>
      </c>
      <c r="B57" s="5">
        <f t="shared" si="9"/>
        <v>0</v>
      </c>
      <c r="C57" s="5">
        <f t="shared" si="9"/>
        <v>0</v>
      </c>
      <c r="D57" s="5">
        <f t="shared" si="9"/>
        <v>0</v>
      </c>
      <c r="E57" s="33" t="str">
        <f t="shared" si="9"/>
        <v>Ar</v>
      </c>
      <c r="F57" s="37">
        <f t="shared" ref="F57:O66" si="10">$A57*H.Ar + $B57*H.Se + $C57*H.Ge + $D57*H.Ga</f>
        <v>-18.61</v>
      </c>
      <c r="G57" s="37">
        <f t="shared" si="10"/>
        <v>-18.760000000000002</v>
      </c>
      <c r="H57" s="37">
        <f t="shared" si="10"/>
        <v>-19.03</v>
      </c>
      <c r="I57" s="37">
        <f t="shared" si="10"/>
        <v>-19.37</v>
      </c>
      <c r="J57" s="37">
        <f t="shared" si="10"/>
        <v>-19.75</v>
      </c>
      <c r="K57" s="37">
        <f t="shared" si="10"/>
        <v>-20.309999999999999</v>
      </c>
      <c r="L57" s="37">
        <f t="shared" si="10"/>
        <v>-20.48</v>
      </c>
      <c r="M57" s="37">
        <f t="shared" si="10"/>
        <v>-20.63</v>
      </c>
      <c r="N57" s="37">
        <f t="shared" si="10"/>
        <v>-20.76</v>
      </c>
      <c r="O57" s="37">
        <f t="shared" si="10"/>
        <v>-20.87</v>
      </c>
      <c r="P57" s="37">
        <f t="shared" ref="P57:R66" si="11">$A57*H.Ar + $B57*H.Se + $C57*H.Ge + $D57*H.Ga</f>
        <v>-21.17</v>
      </c>
      <c r="Q57" s="37">
        <f t="shared" si="11"/>
        <v>-21.39</v>
      </c>
      <c r="R57" s="37">
        <f t="shared" si="11"/>
        <v>-21.39</v>
      </c>
    </row>
    <row r="58" spans="1:18" ht="21" hidden="1" customHeight="1" outlineLevel="1" thickBot="1" x14ac:dyDescent="0.4">
      <c r="A58" s="5">
        <f t="shared" si="9"/>
        <v>0</v>
      </c>
      <c r="B58" s="5">
        <f t="shared" si="9"/>
        <v>0</v>
      </c>
      <c r="C58" s="5">
        <f t="shared" si="9"/>
        <v>0</v>
      </c>
      <c r="D58" s="5">
        <f t="shared" si="9"/>
        <v>1</v>
      </c>
      <c r="E58" s="33" t="str">
        <f t="shared" si="9"/>
        <v>(l)Ga[l]</v>
      </c>
      <c r="F58" s="37">
        <f t="shared" si="10"/>
        <v>-7.1619999999999999</v>
      </c>
      <c r="G58" s="37">
        <f t="shared" si="10"/>
        <v>-8.0640000000000001</v>
      </c>
      <c r="H58" s="37">
        <f t="shared" si="10"/>
        <v>-8.81</v>
      </c>
      <c r="I58" s="37">
        <f t="shared" si="10"/>
        <v>-9.6920000000000002</v>
      </c>
      <c r="J58" s="37">
        <f t="shared" si="10"/>
        <v>-10.79</v>
      </c>
      <c r="K58" s="37">
        <f t="shared" si="10"/>
        <v>-11.79</v>
      </c>
      <c r="L58" s="37">
        <f t="shared" si="10"/>
        <v>-12.01</v>
      </c>
      <c r="M58" s="37">
        <f t="shared" si="10"/>
        <v>-12.2</v>
      </c>
      <c r="N58" s="37">
        <f t="shared" si="10"/>
        <v>-12.36</v>
      </c>
      <c r="O58" s="37">
        <f t="shared" si="10"/>
        <v>-12.5</v>
      </c>
      <c r="P58" s="37">
        <f t="shared" si="11"/>
        <v>-12.91</v>
      </c>
      <c r="Q58" s="37">
        <f t="shared" si="11"/>
        <v>-13.22</v>
      </c>
      <c r="R58" s="37">
        <f t="shared" si="11"/>
        <v>-13.22</v>
      </c>
    </row>
    <row r="59" spans="1:18" ht="21" hidden="1" customHeight="1" outlineLevel="1" thickBot="1" x14ac:dyDescent="0.4">
      <c r="A59" s="5">
        <f t="shared" si="9"/>
        <v>0</v>
      </c>
      <c r="B59" s="5">
        <f t="shared" si="9"/>
        <v>0</v>
      </c>
      <c r="C59" s="5">
        <f t="shared" si="9"/>
        <v>1</v>
      </c>
      <c r="D59" s="5">
        <f t="shared" si="9"/>
        <v>0</v>
      </c>
      <c r="E59" s="33" t="str">
        <f t="shared" si="9"/>
        <v>(l)Ge[l]</v>
      </c>
      <c r="F59" s="37">
        <f t="shared" si="10"/>
        <v>5.367</v>
      </c>
      <c r="G59" s="37">
        <f t="shared" si="10"/>
        <v>0.73640000000000005</v>
      </c>
      <c r="H59" s="37">
        <f t="shared" si="10"/>
        <v>-1.948</v>
      </c>
      <c r="I59" s="37">
        <f t="shared" si="10"/>
        <v>-3.7149999999999999</v>
      </c>
      <c r="J59" s="37">
        <f t="shared" si="10"/>
        <v>-4.931</v>
      </c>
      <c r="K59" s="37">
        <f t="shared" si="10"/>
        <v>-5.5069999999999997</v>
      </c>
      <c r="L59" s="37">
        <f t="shared" si="10"/>
        <v>-5.5430000000000001</v>
      </c>
      <c r="M59" s="37">
        <f t="shared" si="10"/>
        <v>-5.57</v>
      </c>
      <c r="N59" s="37">
        <f t="shared" si="10"/>
        <v>-5.617</v>
      </c>
      <c r="O59" s="37">
        <f t="shared" si="10"/>
        <v>-5.6829999999999998</v>
      </c>
      <c r="P59" s="37">
        <f t="shared" si="11"/>
        <v>-6.0869999999999997</v>
      </c>
      <c r="Q59" s="37">
        <f t="shared" si="11"/>
        <v>-6.5679999999999996</v>
      </c>
      <c r="R59" s="37">
        <f t="shared" si="11"/>
        <v>-6.5679999999999996</v>
      </c>
    </row>
    <row r="60" spans="1:18" ht="21" hidden="1" customHeight="1" outlineLevel="1" thickBot="1" x14ac:dyDescent="0.4">
      <c r="A60" s="5">
        <f t="shared" si="9"/>
        <v>0</v>
      </c>
      <c r="B60" s="5">
        <f t="shared" si="9"/>
        <v>1</v>
      </c>
      <c r="C60" s="5">
        <f t="shared" si="9"/>
        <v>0</v>
      </c>
      <c r="D60" s="5">
        <f t="shared" si="9"/>
        <v>0</v>
      </c>
      <c r="E60" s="33" t="str">
        <f t="shared" si="9"/>
        <v>(l)Se[l]</v>
      </c>
      <c r="F60" s="37">
        <f t="shared" si="10"/>
        <v>-4.5999999999999996</v>
      </c>
      <c r="G60" s="37">
        <f t="shared" si="10"/>
        <v>-5.3719999999999999</v>
      </c>
      <c r="H60" s="37">
        <f t="shared" si="10"/>
        <v>-6.11</v>
      </c>
      <c r="I60" s="37">
        <f t="shared" si="10"/>
        <v>-6.7359999999999998</v>
      </c>
      <c r="J60" s="37">
        <f t="shared" si="10"/>
        <v>-7.2839999999999998</v>
      </c>
      <c r="K60" s="37">
        <f t="shared" si="10"/>
        <v>-7.9009999999999998</v>
      </c>
      <c r="L60" s="37">
        <f t="shared" si="10"/>
        <v>-8.1020000000000003</v>
      </c>
      <c r="M60" s="37">
        <f t="shared" si="10"/>
        <v>-8.3239999999999998</v>
      </c>
      <c r="N60" s="37">
        <f t="shared" si="10"/>
        <v>-8.5640000000000001</v>
      </c>
      <c r="O60" s="37">
        <f t="shared" si="10"/>
        <v>-8.8140000000000001</v>
      </c>
      <c r="P60" s="37">
        <f t="shared" si="11"/>
        <v>-9.7989999999999995</v>
      </c>
      <c r="Q60" s="37">
        <f t="shared" si="11"/>
        <v>-10.66</v>
      </c>
      <c r="R60" s="37">
        <f t="shared" si="11"/>
        <v>-10.66</v>
      </c>
    </row>
    <row r="61" spans="1:18" ht="21" hidden="1" customHeight="1" outlineLevel="1" thickBot="1" x14ac:dyDescent="0.4">
      <c r="A61" s="5">
        <f t="shared" si="9"/>
        <v>1</v>
      </c>
      <c r="B61" s="5">
        <f t="shared" si="9"/>
        <v>0</v>
      </c>
      <c r="C61" s="5">
        <f t="shared" si="9"/>
        <v>0</v>
      </c>
      <c r="D61" s="5">
        <f t="shared" si="9"/>
        <v>0</v>
      </c>
      <c r="E61" s="33" t="str">
        <f t="shared" si="9"/>
        <v>H (Ar)</v>
      </c>
      <c r="F61" s="37">
        <f t="shared" si="10"/>
        <v>-18.61</v>
      </c>
      <c r="G61" s="37">
        <f t="shared" si="10"/>
        <v>-18.760000000000002</v>
      </c>
      <c r="H61" s="37">
        <f t="shared" si="10"/>
        <v>-19.03</v>
      </c>
      <c r="I61" s="37">
        <f t="shared" si="10"/>
        <v>-19.37</v>
      </c>
      <c r="J61" s="37">
        <f t="shared" si="10"/>
        <v>-19.75</v>
      </c>
      <c r="K61" s="37">
        <f t="shared" si="10"/>
        <v>-20.309999999999999</v>
      </c>
      <c r="L61" s="37">
        <f t="shared" si="10"/>
        <v>-20.48</v>
      </c>
      <c r="M61" s="37">
        <f t="shared" si="10"/>
        <v>-20.63</v>
      </c>
      <c r="N61" s="37">
        <f t="shared" si="10"/>
        <v>-20.76</v>
      </c>
      <c r="O61" s="37">
        <f t="shared" si="10"/>
        <v>-20.87</v>
      </c>
      <c r="P61" s="37">
        <f t="shared" si="11"/>
        <v>-21.17</v>
      </c>
      <c r="Q61" s="37">
        <f t="shared" si="11"/>
        <v>-21.39</v>
      </c>
      <c r="R61" s="37">
        <f t="shared" si="11"/>
        <v>-21.39</v>
      </c>
    </row>
    <row r="62" spans="1:18" ht="21" hidden="1" customHeight="1" outlineLevel="1" thickBot="1" x14ac:dyDescent="0.4">
      <c r="A62" s="5">
        <f t="shared" si="9"/>
        <v>0</v>
      </c>
      <c r="B62" s="5">
        <f t="shared" si="9"/>
        <v>0</v>
      </c>
      <c r="C62" s="5">
        <f t="shared" si="9"/>
        <v>0</v>
      </c>
      <c r="D62" s="5">
        <f t="shared" si="9"/>
        <v>1</v>
      </c>
      <c r="E62" s="33" t="str">
        <f t="shared" si="9"/>
        <v>H (Ga)</v>
      </c>
      <c r="F62" s="37">
        <f t="shared" si="10"/>
        <v>-7.1619999999999999</v>
      </c>
      <c r="G62" s="37">
        <f t="shared" si="10"/>
        <v>-8.0640000000000001</v>
      </c>
      <c r="H62" s="37">
        <f t="shared" si="10"/>
        <v>-8.81</v>
      </c>
      <c r="I62" s="37">
        <f t="shared" si="10"/>
        <v>-9.6920000000000002</v>
      </c>
      <c r="J62" s="37">
        <f t="shared" si="10"/>
        <v>-10.79</v>
      </c>
      <c r="K62" s="37">
        <f t="shared" si="10"/>
        <v>-11.79</v>
      </c>
      <c r="L62" s="37">
        <f t="shared" si="10"/>
        <v>-12.01</v>
      </c>
      <c r="M62" s="37">
        <f t="shared" si="10"/>
        <v>-12.2</v>
      </c>
      <c r="N62" s="37">
        <f t="shared" si="10"/>
        <v>-12.36</v>
      </c>
      <c r="O62" s="37">
        <f t="shared" si="10"/>
        <v>-12.5</v>
      </c>
      <c r="P62" s="37">
        <f t="shared" si="11"/>
        <v>-12.91</v>
      </c>
      <c r="Q62" s="37">
        <f t="shared" si="11"/>
        <v>-13.22</v>
      </c>
      <c r="R62" s="37">
        <f t="shared" si="11"/>
        <v>-13.22</v>
      </c>
    </row>
    <row r="63" spans="1:18" ht="21" hidden="1" customHeight="1" outlineLevel="1" thickBot="1" x14ac:dyDescent="0.4">
      <c r="A63" s="5">
        <f t="shared" si="9"/>
        <v>0</v>
      </c>
      <c r="B63" s="5">
        <f t="shared" si="9"/>
        <v>0</v>
      </c>
      <c r="C63" s="5">
        <f t="shared" si="9"/>
        <v>1</v>
      </c>
      <c r="D63" s="5">
        <f t="shared" si="9"/>
        <v>0</v>
      </c>
      <c r="E63" s="33" t="str">
        <f t="shared" si="9"/>
        <v>H (Ge)</v>
      </c>
      <c r="F63" s="37">
        <f t="shared" si="10"/>
        <v>5.367</v>
      </c>
      <c r="G63" s="37">
        <f t="shared" si="10"/>
        <v>0.73640000000000005</v>
      </c>
      <c r="H63" s="37">
        <f t="shared" si="10"/>
        <v>-1.948</v>
      </c>
      <c r="I63" s="37">
        <f t="shared" si="10"/>
        <v>-3.7149999999999999</v>
      </c>
      <c r="J63" s="37">
        <f t="shared" si="10"/>
        <v>-4.931</v>
      </c>
      <c r="K63" s="37">
        <f t="shared" si="10"/>
        <v>-5.5069999999999997</v>
      </c>
      <c r="L63" s="37">
        <f t="shared" si="10"/>
        <v>-5.5430000000000001</v>
      </c>
      <c r="M63" s="37">
        <f t="shared" si="10"/>
        <v>-5.57</v>
      </c>
      <c r="N63" s="37">
        <f t="shared" si="10"/>
        <v>-5.617</v>
      </c>
      <c r="O63" s="37">
        <f t="shared" si="10"/>
        <v>-5.6829999999999998</v>
      </c>
      <c r="P63" s="37">
        <f t="shared" si="11"/>
        <v>-6.0869999999999997</v>
      </c>
      <c r="Q63" s="37">
        <f t="shared" si="11"/>
        <v>-6.5679999999999996</v>
      </c>
      <c r="R63" s="37">
        <f t="shared" si="11"/>
        <v>-6.5679999999999996</v>
      </c>
    </row>
    <row r="64" spans="1:18" ht="21" hidden="1" customHeight="1" outlineLevel="1" thickBot="1" x14ac:dyDescent="0.4">
      <c r="A64" s="5">
        <f t="shared" si="9"/>
        <v>0</v>
      </c>
      <c r="B64" s="5">
        <f t="shared" si="9"/>
        <v>1</v>
      </c>
      <c r="C64" s="5">
        <f t="shared" si="9"/>
        <v>0</v>
      </c>
      <c r="D64" s="5">
        <f t="shared" si="9"/>
        <v>0</v>
      </c>
      <c r="E64" s="33" t="str">
        <f t="shared" si="9"/>
        <v>H (Se)</v>
      </c>
      <c r="F64" s="37">
        <f t="shared" si="10"/>
        <v>-4.5999999999999996</v>
      </c>
      <c r="G64" s="37">
        <f t="shared" si="10"/>
        <v>-5.3719999999999999</v>
      </c>
      <c r="H64" s="37">
        <f t="shared" si="10"/>
        <v>-6.11</v>
      </c>
      <c r="I64" s="37">
        <f t="shared" si="10"/>
        <v>-6.7359999999999998</v>
      </c>
      <c r="J64" s="37">
        <f t="shared" si="10"/>
        <v>-7.2839999999999998</v>
      </c>
      <c r="K64" s="37">
        <f t="shared" si="10"/>
        <v>-7.9009999999999998</v>
      </c>
      <c r="L64" s="37">
        <f t="shared" si="10"/>
        <v>-8.1020000000000003</v>
      </c>
      <c r="M64" s="37">
        <f t="shared" si="10"/>
        <v>-8.3239999999999998</v>
      </c>
      <c r="N64" s="37">
        <f t="shared" si="10"/>
        <v>-8.5640000000000001</v>
      </c>
      <c r="O64" s="37">
        <f t="shared" si="10"/>
        <v>-8.8140000000000001</v>
      </c>
      <c r="P64" s="37">
        <f t="shared" si="11"/>
        <v>-9.7989999999999995</v>
      </c>
      <c r="Q64" s="37">
        <f t="shared" si="11"/>
        <v>-10.66</v>
      </c>
      <c r="R64" s="37">
        <f t="shared" si="11"/>
        <v>-10.66</v>
      </c>
    </row>
    <row r="65" spans="1:18" ht="21" hidden="1" customHeight="1" outlineLevel="1" thickBot="1" x14ac:dyDescent="0.4">
      <c r="A65" s="5">
        <f t="shared" si="9"/>
        <v>0</v>
      </c>
      <c r="B65" s="5">
        <f t="shared" si="9"/>
        <v>0</v>
      </c>
      <c r="C65" s="5">
        <f t="shared" si="9"/>
        <v>0</v>
      </c>
      <c r="D65" s="5">
        <f t="shared" si="9"/>
        <v>0</v>
      </c>
      <c r="E65" s="33">
        <f t="shared" si="9"/>
        <v>0</v>
      </c>
      <c r="F65" s="37">
        <f t="shared" si="10"/>
        <v>0</v>
      </c>
      <c r="G65" s="37">
        <f t="shared" si="10"/>
        <v>0</v>
      </c>
      <c r="H65" s="37">
        <f t="shared" si="10"/>
        <v>0</v>
      </c>
      <c r="I65" s="37">
        <f t="shared" si="10"/>
        <v>0</v>
      </c>
      <c r="J65" s="37">
        <f t="shared" si="10"/>
        <v>0</v>
      </c>
      <c r="K65" s="37">
        <f t="shared" si="10"/>
        <v>0</v>
      </c>
      <c r="L65" s="37">
        <f t="shared" si="10"/>
        <v>0</v>
      </c>
      <c r="M65" s="37">
        <f t="shared" si="10"/>
        <v>0</v>
      </c>
      <c r="N65" s="37">
        <f t="shared" si="10"/>
        <v>0</v>
      </c>
      <c r="O65" s="37">
        <f t="shared" si="10"/>
        <v>0</v>
      </c>
      <c r="P65" s="37">
        <f t="shared" si="11"/>
        <v>0</v>
      </c>
      <c r="Q65" s="37">
        <f t="shared" si="11"/>
        <v>0</v>
      </c>
      <c r="R65" s="37">
        <f t="shared" si="11"/>
        <v>0</v>
      </c>
    </row>
    <row r="66" spans="1:18" ht="21" hidden="1" customHeight="1" outlineLevel="1" thickBot="1" x14ac:dyDescent="0.4">
      <c r="A66" s="5">
        <f t="shared" si="9"/>
        <v>0</v>
      </c>
      <c r="B66" s="5">
        <f t="shared" si="9"/>
        <v>0</v>
      </c>
      <c r="C66" s="5">
        <f t="shared" si="9"/>
        <v>0</v>
      </c>
      <c r="D66" s="5">
        <f t="shared" si="9"/>
        <v>0</v>
      </c>
      <c r="E66" s="33">
        <f t="shared" si="9"/>
        <v>0</v>
      </c>
      <c r="F66" s="37">
        <f t="shared" si="10"/>
        <v>0</v>
      </c>
      <c r="G66" s="37">
        <f t="shared" si="10"/>
        <v>0</v>
      </c>
      <c r="H66" s="37">
        <f t="shared" si="10"/>
        <v>0</v>
      </c>
      <c r="I66" s="37">
        <f t="shared" si="10"/>
        <v>0</v>
      </c>
      <c r="J66" s="37">
        <f t="shared" si="10"/>
        <v>0</v>
      </c>
      <c r="K66" s="37">
        <f t="shared" si="10"/>
        <v>0</v>
      </c>
      <c r="L66" s="37">
        <f t="shared" si="10"/>
        <v>0</v>
      </c>
      <c r="M66" s="37">
        <f t="shared" si="10"/>
        <v>0</v>
      </c>
      <c r="N66" s="37">
        <f t="shared" si="10"/>
        <v>0</v>
      </c>
      <c r="O66" s="37">
        <f t="shared" si="10"/>
        <v>0</v>
      </c>
      <c r="P66" s="37">
        <f t="shared" si="11"/>
        <v>0</v>
      </c>
      <c r="Q66" s="37">
        <f t="shared" si="11"/>
        <v>0</v>
      </c>
      <c r="R66" s="37">
        <f t="shared" si="11"/>
        <v>0</v>
      </c>
    </row>
    <row r="67" spans="1:18" ht="21" hidden="1" customHeight="1" outlineLevel="1" thickBot="1" x14ac:dyDescent="0.4">
      <c r="A67" s="5">
        <f t="shared" ref="A67:E76" si="12">A24</f>
        <v>0</v>
      </c>
      <c r="B67" s="5">
        <f t="shared" si="12"/>
        <v>0</v>
      </c>
      <c r="C67" s="5">
        <f t="shared" si="12"/>
        <v>0</v>
      </c>
      <c r="D67" s="5">
        <f t="shared" si="12"/>
        <v>0</v>
      </c>
      <c r="E67" s="33">
        <f t="shared" si="12"/>
        <v>0</v>
      </c>
      <c r="F67" s="37">
        <f t="shared" ref="F67:O75" si="13">$A67*H.Ar + $B67*H.Se + $C67*H.Ge + $D67*H.Ga</f>
        <v>0</v>
      </c>
      <c r="G67" s="37">
        <f t="shared" si="13"/>
        <v>0</v>
      </c>
      <c r="H67" s="37">
        <f t="shared" si="13"/>
        <v>0</v>
      </c>
      <c r="I67" s="37">
        <f t="shared" si="13"/>
        <v>0</v>
      </c>
      <c r="J67" s="37">
        <f t="shared" si="13"/>
        <v>0</v>
      </c>
      <c r="K67" s="37">
        <f t="shared" si="13"/>
        <v>0</v>
      </c>
      <c r="L67" s="37">
        <f t="shared" si="13"/>
        <v>0</v>
      </c>
      <c r="M67" s="37">
        <f t="shared" si="13"/>
        <v>0</v>
      </c>
      <c r="N67" s="37">
        <f t="shared" si="13"/>
        <v>0</v>
      </c>
      <c r="O67" s="37">
        <f t="shared" si="13"/>
        <v>0</v>
      </c>
      <c r="P67" s="37">
        <f t="shared" ref="P67:R75" si="14">$A67*H.Ar + $B67*H.Se + $C67*H.Ge + $D67*H.Ga</f>
        <v>0</v>
      </c>
      <c r="Q67" s="37">
        <f t="shared" si="14"/>
        <v>0</v>
      </c>
      <c r="R67" s="37">
        <f t="shared" si="14"/>
        <v>0</v>
      </c>
    </row>
    <row r="68" spans="1:18" ht="21" hidden="1" customHeight="1" outlineLevel="1" thickBot="1" x14ac:dyDescent="0.4">
      <c r="A68" s="5">
        <f t="shared" si="12"/>
        <v>0</v>
      </c>
      <c r="B68" s="5">
        <f t="shared" si="12"/>
        <v>0</v>
      </c>
      <c r="C68" s="5">
        <f t="shared" si="12"/>
        <v>0</v>
      </c>
      <c r="D68" s="5">
        <f t="shared" si="12"/>
        <v>0</v>
      </c>
      <c r="E68" s="33">
        <f t="shared" si="12"/>
        <v>0</v>
      </c>
      <c r="F68" s="37">
        <f t="shared" si="13"/>
        <v>0</v>
      </c>
      <c r="G68" s="37">
        <f t="shared" si="13"/>
        <v>0</v>
      </c>
      <c r="H68" s="37">
        <f t="shared" si="13"/>
        <v>0</v>
      </c>
      <c r="I68" s="37">
        <f t="shared" si="13"/>
        <v>0</v>
      </c>
      <c r="J68" s="37">
        <f t="shared" si="13"/>
        <v>0</v>
      </c>
      <c r="K68" s="37">
        <f t="shared" si="13"/>
        <v>0</v>
      </c>
      <c r="L68" s="37">
        <f t="shared" si="13"/>
        <v>0</v>
      </c>
      <c r="M68" s="37">
        <f t="shared" si="13"/>
        <v>0</v>
      </c>
      <c r="N68" s="37">
        <f t="shared" si="13"/>
        <v>0</v>
      </c>
      <c r="O68" s="37">
        <f t="shared" si="13"/>
        <v>0</v>
      </c>
      <c r="P68" s="37">
        <f t="shared" si="14"/>
        <v>0</v>
      </c>
      <c r="Q68" s="37">
        <f t="shared" si="14"/>
        <v>0</v>
      </c>
      <c r="R68" s="37">
        <f t="shared" si="14"/>
        <v>0</v>
      </c>
    </row>
    <row r="69" spans="1:18" ht="21" hidden="1" customHeight="1" outlineLevel="1" thickBot="1" x14ac:dyDescent="0.4">
      <c r="A69" s="5">
        <f t="shared" si="12"/>
        <v>0</v>
      </c>
      <c r="B69" s="5">
        <f t="shared" si="12"/>
        <v>0</v>
      </c>
      <c r="C69" s="5">
        <f t="shared" si="12"/>
        <v>0</v>
      </c>
      <c r="D69" s="5">
        <f t="shared" si="12"/>
        <v>0</v>
      </c>
      <c r="E69" s="33">
        <f t="shared" si="12"/>
        <v>0</v>
      </c>
      <c r="F69" s="37">
        <f t="shared" si="13"/>
        <v>0</v>
      </c>
      <c r="G69" s="37">
        <f t="shared" si="13"/>
        <v>0</v>
      </c>
      <c r="H69" s="37">
        <f t="shared" si="13"/>
        <v>0</v>
      </c>
      <c r="I69" s="37">
        <f t="shared" si="13"/>
        <v>0</v>
      </c>
      <c r="J69" s="37">
        <f t="shared" si="13"/>
        <v>0</v>
      </c>
      <c r="K69" s="37">
        <f t="shared" si="13"/>
        <v>0</v>
      </c>
      <c r="L69" s="37">
        <f t="shared" si="13"/>
        <v>0</v>
      </c>
      <c r="M69" s="37">
        <f t="shared" si="13"/>
        <v>0</v>
      </c>
      <c r="N69" s="37">
        <f t="shared" si="13"/>
        <v>0</v>
      </c>
      <c r="O69" s="37">
        <f t="shared" si="13"/>
        <v>0</v>
      </c>
      <c r="P69" s="37">
        <f t="shared" si="14"/>
        <v>0</v>
      </c>
      <c r="Q69" s="37">
        <f t="shared" si="14"/>
        <v>0</v>
      </c>
      <c r="R69" s="37">
        <f t="shared" si="14"/>
        <v>0</v>
      </c>
    </row>
    <row r="70" spans="1:18" ht="21" hidden="1" customHeight="1" outlineLevel="1" thickBot="1" x14ac:dyDescent="0.4">
      <c r="A70" s="5">
        <f t="shared" si="12"/>
        <v>0</v>
      </c>
      <c r="B70" s="5">
        <f t="shared" si="12"/>
        <v>0</v>
      </c>
      <c r="C70" s="5">
        <f t="shared" si="12"/>
        <v>0</v>
      </c>
      <c r="D70" s="5">
        <f t="shared" si="12"/>
        <v>0</v>
      </c>
      <c r="E70" s="33">
        <f t="shared" si="12"/>
        <v>0</v>
      </c>
      <c r="F70" s="37">
        <f t="shared" si="13"/>
        <v>0</v>
      </c>
      <c r="G70" s="37">
        <f t="shared" si="13"/>
        <v>0</v>
      </c>
      <c r="H70" s="37">
        <f t="shared" si="13"/>
        <v>0</v>
      </c>
      <c r="I70" s="37">
        <f t="shared" si="13"/>
        <v>0</v>
      </c>
      <c r="J70" s="37">
        <f t="shared" si="13"/>
        <v>0</v>
      </c>
      <c r="K70" s="37">
        <f t="shared" si="13"/>
        <v>0</v>
      </c>
      <c r="L70" s="37">
        <f t="shared" si="13"/>
        <v>0</v>
      </c>
      <c r="M70" s="37">
        <f t="shared" si="13"/>
        <v>0</v>
      </c>
      <c r="N70" s="37">
        <f t="shared" si="13"/>
        <v>0</v>
      </c>
      <c r="O70" s="37">
        <f t="shared" si="13"/>
        <v>0</v>
      </c>
      <c r="P70" s="37">
        <f t="shared" si="14"/>
        <v>0</v>
      </c>
      <c r="Q70" s="37">
        <f t="shared" si="14"/>
        <v>0</v>
      </c>
      <c r="R70" s="37">
        <f t="shared" si="14"/>
        <v>0</v>
      </c>
    </row>
    <row r="71" spans="1:18" ht="21" hidden="1" customHeight="1" outlineLevel="1" thickBot="1" x14ac:dyDescent="0.4">
      <c r="A71" s="5">
        <f t="shared" si="12"/>
        <v>0</v>
      </c>
      <c r="B71" s="5">
        <f t="shared" si="12"/>
        <v>0</v>
      </c>
      <c r="C71" s="5">
        <f t="shared" si="12"/>
        <v>0</v>
      </c>
      <c r="D71" s="5">
        <f t="shared" si="12"/>
        <v>0</v>
      </c>
      <c r="E71" s="33">
        <f t="shared" si="12"/>
        <v>0</v>
      </c>
      <c r="F71" s="37">
        <f t="shared" si="13"/>
        <v>0</v>
      </c>
      <c r="G71" s="37">
        <f t="shared" si="13"/>
        <v>0</v>
      </c>
      <c r="H71" s="37">
        <f t="shared" si="13"/>
        <v>0</v>
      </c>
      <c r="I71" s="37">
        <f t="shared" si="13"/>
        <v>0</v>
      </c>
      <c r="J71" s="37">
        <f t="shared" si="13"/>
        <v>0</v>
      </c>
      <c r="K71" s="37">
        <f t="shared" si="13"/>
        <v>0</v>
      </c>
      <c r="L71" s="37">
        <f t="shared" si="13"/>
        <v>0</v>
      </c>
      <c r="M71" s="37">
        <f t="shared" si="13"/>
        <v>0</v>
      </c>
      <c r="N71" s="37">
        <f t="shared" si="13"/>
        <v>0</v>
      </c>
      <c r="O71" s="37">
        <f t="shared" si="13"/>
        <v>0</v>
      </c>
      <c r="P71" s="37">
        <f t="shared" si="14"/>
        <v>0</v>
      </c>
      <c r="Q71" s="37">
        <f t="shared" si="14"/>
        <v>0</v>
      </c>
      <c r="R71" s="37">
        <f t="shared" si="14"/>
        <v>0</v>
      </c>
    </row>
    <row r="72" spans="1:18" ht="21" hidden="1" customHeight="1" outlineLevel="1" thickBot="1" x14ac:dyDescent="0.4">
      <c r="A72" s="5">
        <f t="shared" si="12"/>
        <v>0</v>
      </c>
      <c r="B72" s="5">
        <f t="shared" si="12"/>
        <v>0</v>
      </c>
      <c r="C72" s="5">
        <f t="shared" si="12"/>
        <v>0</v>
      </c>
      <c r="D72" s="5">
        <f t="shared" si="12"/>
        <v>0</v>
      </c>
      <c r="E72" s="33">
        <f t="shared" si="12"/>
        <v>0</v>
      </c>
      <c r="F72" s="37">
        <f t="shared" si="13"/>
        <v>0</v>
      </c>
      <c r="G72" s="37">
        <f t="shared" si="13"/>
        <v>0</v>
      </c>
      <c r="H72" s="37">
        <f t="shared" si="13"/>
        <v>0</v>
      </c>
      <c r="I72" s="37">
        <f t="shared" si="13"/>
        <v>0</v>
      </c>
      <c r="J72" s="37">
        <f t="shared" si="13"/>
        <v>0</v>
      </c>
      <c r="K72" s="37">
        <f t="shared" si="13"/>
        <v>0</v>
      </c>
      <c r="L72" s="37">
        <f t="shared" si="13"/>
        <v>0</v>
      </c>
      <c r="M72" s="37">
        <f t="shared" si="13"/>
        <v>0</v>
      </c>
      <c r="N72" s="37">
        <f t="shared" si="13"/>
        <v>0</v>
      </c>
      <c r="O72" s="37">
        <f t="shared" si="13"/>
        <v>0</v>
      </c>
      <c r="P72" s="37">
        <f t="shared" si="14"/>
        <v>0</v>
      </c>
      <c r="Q72" s="37">
        <f t="shared" si="14"/>
        <v>0</v>
      </c>
      <c r="R72" s="37">
        <f t="shared" si="14"/>
        <v>0</v>
      </c>
    </row>
    <row r="73" spans="1:18" ht="21" hidden="1" customHeight="1" outlineLevel="1" thickBot="1" x14ac:dyDescent="0.4">
      <c r="A73" s="5">
        <f t="shared" si="12"/>
        <v>0</v>
      </c>
      <c r="B73" s="5">
        <f t="shared" si="12"/>
        <v>0</v>
      </c>
      <c r="C73" s="5">
        <f t="shared" si="12"/>
        <v>0</v>
      </c>
      <c r="D73" s="5">
        <f t="shared" si="12"/>
        <v>0</v>
      </c>
      <c r="E73" s="33">
        <f t="shared" si="12"/>
        <v>0</v>
      </c>
      <c r="F73" s="37">
        <f t="shared" si="13"/>
        <v>0</v>
      </c>
      <c r="G73" s="37">
        <f t="shared" si="13"/>
        <v>0</v>
      </c>
      <c r="H73" s="37">
        <f t="shared" si="13"/>
        <v>0</v>
      </c>
      <c r="I73" s="37">
        <f t="shared" si="13"/>
        <v>0</v>
      </c>
      <c r="J73" s="37">
        <f t="shared" si="13"/>
        <v>0</v>
      </c>
      <c r="K73" s="37">
        <f t="shared" si="13"/>
        <v>0</v>
      </c>
      <c r="L73" s="37">
        <f t="shared" si="13"/>
        <v>0</v>
      </c>
      <c r="M73" s="37">
        <f t="shared" si="13"/>
        <v>0</v>
      </c>
      <c r="N73" s="37">
        <f t="shared" si="13"/>
        <v>0</v>
      </c>
      <c r="O73" s="37">
        <f t="shared" si="13"/>
        <v>0</v>
      </c>
      <c r="P73" s="37">
        <f t="shared" si="14"/>
        <v>0</v>
      </c>
      <c r="Q73" s="37">
        <f t="shared" si="14"/>
        <v>0</v>
      </c>
      <c r="R73" s="37">
        <f t="shared" si="14"/>
        <v>0</v>
      </c>
    </row>
    <row r="74" spans="1:18" ht="21" hidden="1" customHeight="1" outlineLevel="1" thickBot="1" x14ac:dyDescent="0.4">
      <c r="A74" s="5">
        <f t="shared" si="12"/>
        <v>0</v>
      </c>
      <c r="B74" s="5">
        <f t="shared" si="12"/>
        <v>0</v>
      </c>
      <c r="C74" s="5">
        <f t="shared" si="12"/>
        <v>0</v>
      </c>
      <c r="D74" s="5">
        <f t="shared" si="12"/>
        <v>0</v>
      </c>
      <c r="E74" s="33">
        <f t="shared" si="12"/>
        <v>0</v>
      </c>
      <c r="F74" s="37">
        <f t="shared" si="13"/>
        <v>0</v>
      </c>
      <c r="G74" s="37">
        <f t="shared" si="13"/>
        <v>0</v>
      </c>
      <c r="H74" s="37">
        <f t="shared" si="13"/>
        <v>0</v>
      </c>
      <c r="I74" s="37">
        <f t="shared" si="13"/>
        <v>0</v>
      </c>
      <c r="J74" s="37">
        <f t="shared" si="13"/>
        <v>0</v>
      </c>
      <c r="K74" s="37">
        <f t="shared" si="13"/>
        <v>0</v>
      </c>
      <c r="L74" s="37">
        <f t="shared" si="13"/>
        <v>0</v>
      </c>
      <c r="M74" s="37">
        <f t="shared" si="13"/>
        <v>0</v>
      </c>
      <c r="N74" s="37">
        <f t="shared" si="13"/>
        <v>0</v>
      </c>
      <c r="O74" s="37">
        <f t="shared" si="13"/>
        <v>0</v>
      </c>
      <c r="P74" s="37">
        <f t="shared" si="14"/>
        <v>0</v>
      </c>
      <c r="Q74" s="37">
        <f t="shared" si="14"/>
        <v>0</v>
      </c>
      <c r="R74" s="37">
        <f t="shared" si="14"/>
        <v>0</v>
      </c>
    </row>
    <row r="75" spans="1:18" ht="21" hidden="1" customHeight="1" outlineLevel="1" thickBot="1" x14ac:dyDescent="0.4">
      <c r="A75" s="5">
        <f t="shared" si="12"/>
        <v>0</v>
      </c>
      <c r="B75" s="5">
        <f t="shared" si="12"/>
        <v>0</v>
      </c>
      <c r="C75" s="5">
        <f t="shared" si="12"/>
        <v>0</v>
      </c>
      <c r="D75" s="5">
        <f t="shared" si="12"/>
        <v>0</v>
      </c>
      <c r="E75" s="33">
        <f t="shared" si="12"/>
        <v>0</v>
      </c>
      <c r="F75" s="37">
        <f t="shared" si="13"/>
        <v>0</v>
      </c>
      <c r="G75" s="37">
        <f t="shared" si="13"/>
        <v>0</v>
      </c>
      <c r="H75" s="37">
        <f t="shared" si="13"/>
        <v>0</v>
      </c>
      <c r="I75" s="37">
        <f t="shared" si="13"/>
        <v>0</v>
      </c>
      <c r="J75" s="37">
        <f t="shared" si="13"/>
        <v>0</v>
      </c>
      <c r="K75" s="37">
        <f t="shared" si="13"/>
        <v>0</v>
      </c>
      <c r="L75" s="37">
        <f t="shared" si="13"/>
        <v>0</v>
      </c>
      <c r="M75" s="37">
        <f t="shared" si="13"/>
        <v>0</v>
      </c>
      <c r="N75" s="37">
        <f t="shared" si="13"/>
        <v>0</v>
      </c>
      <c r="O75" s="37">
        <f t="shared" si="13"/>
        <v>0</v>
      </c>
      <c r="P75" s="37">
        <f t="shared" si="14"/>
        <v>0</v>
      </c>
      <c r="Q75" s="37">
        <f t="shared" si="14"/>
        <v>0</v>
      </c>
      <c r="R75" s="37">
        <f t="shared" si="14"/>
        <v>0</v>
      </c>
    </row>
    <row r="76" spans="1:18" ht="21" hidden="1" customHeight="1" outlineLevel="1" thickBot="1" x14ac:dyDescent="0.4">
      <c r="A76" s="5">
        <f t="shared" si="12"/>
        <v>0</v>
      </c>
      <c r="B76" s="5">
        <f t="shared" si="12"/>
        <v>0</v>
      </c>
      <c r="C76" s="5">
        <f t="shared" si="12"/>
        <v>0</v>
      </c>
      <c r="D76" s="5">
        <f t="shared" si="12"/>
        <v>0</v>
      </c>
      <c r="E76" s="33">
        <f t="shared" si="12"/>
        <v>1</v>
      </c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</row>
    <row r="77" spans="1:18" ht="21" hidden="1" customHeight="1" outlineLevel="1" x14ac:dyDescent="0.35"/>
    <row r="78" spans="1:18" ht="21" customHeight="1" collapsed="1" thickBot="1" x14ac:dyDescent="0.4"/>
    <row r="79" spans="1:18" ht="21" customHeight="1" thickBot="1" x14ac:dyDescent="0.45">
      <c r="A79" s="37"/>
      <c r="B79" s="37"/>
      <c r="C79" s="2">
        <f>E38</f>
        <v>8.3333333333333339</v>
      </c>
      <c r="D79" s="47"/>
      <c r="E79" s="71" t="str">
        <f>ALL!E80</f>
        <v>Относительная  концентрация в данной системе</v>
      </c>
      <c r="F79" s="72"/>
      <c r="G79" s="71"/>
      <c r="H79" s="71"/>
      <c r="I79" s="71"/>
      <c r="J79" s="71"/>
      <c r="K79" s="75"/>
      <c r="L79" s="75"/>
      <c r="M79" s="75"/>
      <c r="N79" s="75"/>
      <c r="O79" s="75"/>
      <c r="P79" s="75"/>
      <c r="Q79" s="75"/>
      <c r="R79" s="75"/>
    </row>
    <row r="80" spans="1:18" ht="21" hidden="1" customHeight="1" outlineLevel="1" thickTop="1" thickBot="1" x14ac:dyDescent="0.4">
      <c r="A80" s="21" t="s">
        <v>2</v>
      </c>
      <c r="B80" s="7" t="s">
        <v>7</v>
      </c>
      <c r="C80" s="7" t="s">
        <v>8</v>
      </c>
      <c r="D80" s="22" t="s">
        <v>9</v>
      </c>
      <c r="E80" s="29">
        <f t="shared" ref="E80:E110" si="15">E46</f>
        <v>0</v>
      </c>
      <c r="F80" s="29">
        <f t="shared" ref="F80:R80" si="16">F3</f>
        <v>298.2</v>
      </c>
      <c r="G80" s="29">
        <f t="shared" si="16"/>
        <v>431.7</v>
      </c>
      <c r="H80" s="29">
        <f t="shared" si="16"/>
        <v>565.20000000000005</v>
      </c>
      <c r="I80" s="29">
        <f t="shared" si="16"/>
        <v>698.8</v>
      </c>
      <c r="J80" s="29">
        <f t="shared" si="16"/>
        <v>832.3</v>
      </c>
      <c r="K80" s="29">
        <f t="shared" si="16"/>
        <v>965.8</v>
      </c>
      <c r="L80" s="29">
        <f t="shared" si="16"/>
        <v>999.2</v>
      </c>
      <c r="M80" s="29">
        <f t="shared" si="16"/>
        <v>1033</v>
      </c>
      <c r="N80" s="29">
        <f t="shared" si="16"/>
        <v>1066</v>
      </c>
      <c r="O80" s="29">
        <f t="shared" si="16"/>
        <v>1099</v>
      </c>
      <c r="P80" s="29">
        <f t="shared" si="16"/>
        <v>1233</v>
      </c>
      <c r="Q80" s="29">
        <f t="shared" si="16"/>
        <v>1366</v>
      </c>
      <c r="R80" s="29">
        <f t="shared" si="16"/>
        <v>1500</v>
      </c>
    </row>
    <row r="81" spans="1:18" ht="21" hidden="1" customHeight="1" outlineLevel="1" thickTop="1" thickBot="1" x14ac:dyDescent="0.4">
      <c r="A81" s="5">
        <f>A47</f>
        <v>0</v>
      </c>
      <c r="B81" s="5">
        <f t="shared" ref="B81:D81" si="17">B47</f>
        <v>3</v>
      </c>
      <c r="C81" s="5">
        <f t="shared" si="17"/>
        <v>0</v>
      </c>
      <c r="D81" s="5">
        <f t="shared" si="17"/>
        <v>0</v>
      </c>
      <c r="E81" s="33" t="str">
        <f t="shared" si="15"/>
        <v>Se3</v>
      </c>
      <c r="F81" s="37">
        <f>F4*$C$79</f>
        <v>2.1250000000000002E-21</v>
      </c>
      <c r="G81" s="37">
        <f t="shared" ref="G81:R81" si="18">G4*$C$79</f>
        <v>1.3781666666666667E-12</v>
      </c>
      <c r="H81" s="37">
        <f t="shared" si="18"/>
        <v>3.778833333333333E-8</v>
      </c>
      <c r="I81" s="37">
        <f t="shared" si="18"/>
        <v>1.8059166666666668E-5</v>
      </c>
      <c r="J81" s="37">
        <f t="shared" si="18"/>
        <v>1.0947500000000002E-3</v>
      </c>
      <c r="K81" s="37">
        <f t="shared" si="18"/>
        <v>1.6301666666666669E-2</v>
      </c>
      <c r="L81" s="37">
        <f t="shared" si="18"/>
        <v>2.4394166666666668E-2</v>
      </c>
      <c r="M81" s="37">
        <f t="shared" si="18"/>
        <v>3.2235E-2</v>
      </c>
      <c r="N81" s="37">
        <f t="shared" si="18"/>
        <v>3.7752500000000001E-2</v>
      </c>
      <c r="O81" s="37">
        <f t="shared" si="18"/>
        <v>4.0371666666666674E-2</v>
      </c>
      <c r="P81" s="37">
        <f t="shared" si="18"/>
        <v>3.4130833333333332E-2</v>
      </c>
      <c r="Q81" s="37">
        <f t="shared" si="18"/>
        <v>2.4830833333333337E-2</v>
      </c>
      <c r="R81" s="37">
        <f t="shared" si="18"/>
        <v>2.4830833333333337E-2</v>
      </c>
    </row>
    <row r="82" spans="1:18" ht="21" hidden="1" customHeight="1" outlineLevel="1" thickBot="1" x14ac:dyDescent="0.4">
      <c r="A82" s="5">
        <f t="shared" ref="A82:D82" si="19">A48</f>
        <v>0</v>
      </c>
      <c r="B82" s="5">
        <f t="shared" si="19"/>
        <v>4</v>
      </c>
      <c r="C82" s="5">
        <f t="shared" si="19"/>
        <v>0</v>
      </c>
      <c r="D82" s="5">
        <f t="shared" si="19"/>
        <v>0</v>
      </c>
      <c r="E82" s="33" t="str">
        <f t="shared" si="15"/>
        <v>Se4</v>
      </c>
      <c r="F82" s="37">
        <f t="shared" ref="F82:R82" si="20">F5*$C$79</f>
        <v>1.5539166666666668E-19</v>
      </c>
      <c r="G82" s="37">
        <f t="shared" si="20"/>
        <v>1.1980000000000002E-11</v>
      </c>
      <c r="H82" s="37">
        <f t="shared" si="20"/>
        <v>9.4691666666666682E-8</v>
      </c>
      <c r="I82" s="37">
        <f t="shared" si="20"/>
        <v>2.0214166666666667E-5</v>
      </c>
      <c r="J82" s="37">
        <f t="shared" si="20"/>
        <v>6.8560000000000008E-4</v>
      </c>
      <c r="K82" s="37">
        <f t="shared" si="20"/>
        <v>5.7487500000000004E-3</v>
      </c>
      <c r="L82" s="37">
        <f t="shared" si="20"/>
        <v>7.1616666666666669E-3</v>
      </c>
      <c r="M82" s="37">
        <f t="shared" si="20"/>
        <v>7.7315833333333334E-3</v>
      </c>
      <c r="N82" s="37">
        <f t="shared" si="20"/>
        <v>7.2786666666666668E-3</v>
      </c>
      <c r="O82" s="37">
        <f t="shared" si="20"/>
        <v>6.2047500000000002E-3</v>
      </c>
      <c r="P82" s="37">
        <f t="shared" si="20"/>
        <v>2.1734166666666668E-3</v>
      </c>
      <c r="Q82" s="37">
        <f t="shared" si="20"/>
        <v>7.4973333333333341E-4</v>
      </c>
      <c r="R82" s="37">
        <f t="shared" si="20"/>
        <v>7.4973333333333341E-4</v>
      </c>
    </row>
    <row r="83" spans="1:18" ht="21" hidden="1" customHeight="1" outlineLevel="1" thickBot="1" x14ac:dyDescent="0.4">
      <c r="A83" s="5">
        <f t="shared" ref="A83:D83" si="21">A49</f>
        <v>0</v>
      </c>
      <c r="B83" s="5">
        <f t="shared" si="21"/>
        <v>5</v>
      </c>
      <c r="C83" s="5">
        <f t="shared" si="21"/>
        <v>0</v>
      </c>
      <c r="D83" s="5">
        <f t="shared" si="21"/>
        <v>0</v>
      </c>
      <c r="E83" s="33" t="str">
        <f t="shared" si="15"/>
        <v>Se5</v>
      </c>
      <c r="F83" s="37">
        <f t="shared" ref="F83:R83" si="22">F6*$C$79</f>
        <v>3.497416666666667E-16</v>
      </c>
      <c r="G83" s="37">
        <f t="shared" si="22"/>
        <v>4.8460833333333332E-9</v>
      </c>
      <c r="H83" s="37">
        <f t="shared" si="22"/>
        <v>1.3962500000000002E-5</v>
      </c>
      <c r="I83" s="37">
        <f t="shared" si="22"/>
        <v>1.5483333333333334E-3</v>
      </c>
      <c r="J83" s="37">
        <f t="shared" si="22"/>
        <v>3.2640833333333334E-2</v>
      </c>
      <c r="K83" s="37">
        <f t="shared" si="22"/>
        <v>0.16654166666666667</v>
      </c>
      <c r="L83" s="37">
        <f t="shared" si="22"/>
        <v>0.17555833333333334</v>
      </c>
      <c r="M83" s="37">
        <f t="shared" si="22"/>
        <v>0.157225</v>
      </c>
      <c r="N83" s="37">
        <f t="shared" si="22"/>
        <v>0.12070000000000002</v>
      </c>
      <c r="O83" s="37">
        <f t="shared" si="22"/>
        <v>8.3135833333333339E-2</v>
      </c>
      <c r="P83" s="37">
        <f t="shared" si="22"/>
        <v>1.2646666666666667E-2</v>
      </c>
      <c r="Q83" s="37">
        <f t="shared" si="22"/>
        <v>2.1489166666666666E-3</v>
      </c>
      <c r="R83" s="37">
        <f t="shared" si="22"/>
        <v>2.1489166666666666E-3</v>
      </c>
    </row>
    <row r="84" spans="1:18" ht="21" hidden="1" customHeight="1" outlineLevel="1" thickBot="1" x14ac:dyDescent="0.4">
      <c r="A84" s="5">
        <f t="shared" ref="A84:D84" si="23">A50</f>
        <v>0</v>
      </c>
      <c r="B84" s="5">
        <f t="shared" si="23"/>
        <v>6</v>
      </c>
      <c r="C84" s="5">
        <f t="shared" si="23"/>
        <v>0</v>
      </c>
      <c r="D84" s="5">
        <f t="shared" si="23"/>
        <v>0</v>
      </c>
      <c r="E84" s="33" t="str">
        <f t="shared" si="15"/>
        <v>Se6</v>
      </c>
      <c r="F84" s="37">
        <f t="shared" ref="F84:R84" si="24">F7*$C$79</f>
        <v>7.359833333333334E-14</v>
      </c>
      <c r="G84" s="37">
        <f t="shared" si="24"/>
        <v>5.5114166666666671E-8</v>
      </c>
      <c r="H84" s="37">
        <f t="shared" si="24"/>
        <v>3.0488333333333334E-5</v>
      </c>
      <c r="I84" s="37">
        <f t="shared" si="24"/>
        <v>1.1789166666666669E-3</v>
      </c>
      <c r="J84" s="37">
        <f t="shared" si="24"/>
        <v>1.1769166666666667E-2</v>
      </c>
      <c r="K84" s="37">
        <f t="shared" si="24"/>
        <v>2.9995833333333333E-2</v>
      </c>
      <c r="L84" s="37">
        <f t="shared" si="24"/>
        <v>2.5678333333333338E-2</v>
      </c>
      <c r="M84" s="37">
        <f t="shared" si="24"/>
        <v>1.8356666666666667E-2</v>
      </c>
      <c r="N84" s="37">
        <f t="shared" si="24"/>
        <v>1.1084166666666668E-2</v>
      </c>
      <c r="O84" s="37">
        <f t="shared" si="24"/>
        <v>5.9626666666666673E-3</v>
      </c>
      <c r="P84" s="37">
        <f t="shared" si="24"/>
        <v>3.5023333333333335E-4</v>
      </c>
      <c r="Q84" s="37">
        <f t="shared" si="24"/>
        <v>2.6667500000000002E-5</v>
      </c>
      <c r="R84" s="37">
        <f t="shared" si="24"/>
        <v>2.6667500000000002E-5</v>
      </c>
    </row>
    <row r="85" spans="1:18" ht="21" hidden="1" customHeight="1" outlineLevel="1" thickBot="1" x14ac:dyDescent="0.4">
      <c r="A85" s="5">
        <f t="shared" ref="A85:D85" si="25">A51</f>
        <v>0</v>
      </c>
      <c r="B85" s="5">
        <f t="shared" si="25"/>
        <v>7</v>
      </c>
      <c r="C85" s="5">
        <f t="shared" si="25"/>
        <v>0</v>
      </c>
      <c r="D85" s="5">
        <f t="shared" si="25"/>
        <v>0</v>
      </c>
      <c r="E85" s="33" t="str">
        <f t="shared" si="15"/>
        <v>Se7</v>
      </c>
      <c r="F85" s="37">
        <f t="shared" ref="F85:R85" si="26">F8*$C$79</f>
        <v>1.0145833333333334E-14</v>
      </c>
      <c r="G85" s="37">
        <f t="shared" si="26"/>
        <v>1.5466666666666666E-8</v>
      </c>
      <c r="H85" s="37">
        <f t="shared" si="26"/>
        <v>1.1095000000000001E-5</v>
      </c>
      <c r="I85" s="37">
        <f t="shared" si="26"/>
        <v>4.8612500000000007E-4</v>
      </c>
      <c r="J85" s="37">
        <f t="shared" si="26"/>
        <v>5.1136666666666674E-3</v>
      </c>
      <c r="K85" s="37">
        <f t="shared" si="26"/>
        <v>1.1607500000000001E-2</v>
      </c>
      <c r="L85" s="37">
        <f t="shared" si="26"/>
        <v>9.1016666666666676E-3</v>
      </c>
      <c r="M85" s="37">
        <f t="shared" si="26"/>
        <v>5.8122499999999997E-3</v>
      </c>
      <c r="N85" s="37">
        <f t="shared" si="26"/>
        <v>3.0675000000000003E-3</v>
      </c>
      <c r="O85" s="37">
        <f t="shared" si="26"/>
        <v>1.4231666666666668E-3</v>
      </c>
      <c r="P85" s="37">
        <f t="shared" si="26"/>
        <v>4.5472500000000002E-5</v>
      </c>
      <c r="Q85" s="37">
        <f t="shared" si="26"/>
        <v>2.0439166666666672E-6</v>
      </c>
      <c r="R85" s="37">
        <f t="shared" si="26"/>
        <v>2.0439166666666672E-6</v>
      </c>
    </row>
    <row r="86" spans="1:18" ht="21" hidden="1" customHeight="1" outlineLevel="1" thickBot="1" x14ac:dyDescent="0.4">
      <c r="A86" s="5">
        <f t="shared" ref="A86:D86" si="27">A52</f>
        <v>0</v>
      </c>
      <c r="B86" s="5">
        <f t="shared" si="27"/>
        <v>8</v>
      </c>
      <c r="C86" s="5">
        <f t="shared" si="27"/>
        <v>0</v>
      </c>
      <c r="D86" s="5">
        <f t="shared" si="27"/>
        <v>0</v>
      </c>
      <c r="E86" s="33" t="str">
        <f t="shared" si="15"/>
        <v>Se8</v>
      </c>
      <c r="F86" s="37">
        <f t="shared" ref="F86:R86" si="28">F9*$C$79</f>
        <v>2.7918333333333336E-16</v>
      </c>
      <c r="G86" s="37">
        <f t="shared" si="28"/>
        <v>7.3736666666666672E-10</v>
      </c>
      <c r="H86" s="37">
        <f t="shared" si="28"/>
        <v>6.3085000000000007E-7</v>
      </c>
      <c r="I86" s="37">
        <f t="shared" si="28"/>
        <v>2.9756666666666669E-5</v>
      </c>
      <c r="J86" s="37">
        <f t="shared" si="28"/>
        <v>3.1860833333333333E-4</v>
      </c>
      <c r="K86" s="37">
        <f t="shared" si="28"/>
        <v>6.2823333333333344E-4</v>
      </c>
      <c r="L86" s="37">
        <f t="shared" si="28"/>
        <v>4.4888333333333339E-4</v>
      </c>
      <c r="M86" s="37">
        <f t="shared" si="28"/>
        <v>2.5485000000000004E-4</v>
      </c>
      <c r="N86" s="37">
        <f t="shared" si="28"/>
        <v>1.1703333333333334E-4</v>
      </c>
      <c r="O86" s="37">
        <f t="shared" si="28"/>
        <v>4.6626666666666672E-5</v>
      </c>
      <c r="P86" s="37">
        <f t="shared" si="28"/>
        <v>7.9859166666666682E-7</v>
      </c>
      <c r="Q86" s="37">
        <f t="shared" si="28"/>
        <v>2.0940833333333334E-8</v>
      </c>
      <c r="R86" s="37">
        <f t="shared" si="28"/>
        <v>2.0940833333333334E-8</v>
      </c>
    </row>
    <row r="87" spans="1:18" ht="21" hidden="1" customHeight="1" outlineLevel="1" thickBot="1" x14ac:dyDescent="0.4">
      <c r="A87" s="5">
        <f t="shared" ref="A87:D87" si="29">A53</f>
        <v>0</v>
      </c>
      <c r="B87" s="5">
        <f t="shared" si="29"/>
        <v>2</v>
      </c>
      <c r="C87" s="5">
        <f t="shared" si="29"/>
        <v>0</v>
      </c>
      <c r="D87" s="5">
        <f t="shared" si="29"/>
        <v>0</v>
      </c>
      <c r="E87" s="33" t="str">
        <f t="shared" si="15"/>
        <v>Se2</v>
      </c>
      <c r="F87" s="37">
        <f t="shared" ref="F87:R87" si="30">F10*$C$79</f>
        <v>7.7560833333333341E-17</v>
      </c>
      <c r="G87" s="37">
        <f t="shared" si="30"/>
        <v>1.4574166666666668E-9</v>
      </c>
      <c r="H87" s="37">
        <f t="shared" si="30"/>
        <v>7.5138333333333342E-6</v>
      </c>
      <c r="I87" s="37">
        <f t="shared" si="30"/>
        <v>1.3827500000000001E-3</v>
      </c>
      <c r="J87" s="37">
        <f t="shared" si="30"/>
        <v>4.6454166666666664E-2</v>
      </c>
      <c r="K87" s="37">
        <f t="shared" si="30"/>
        <v>0.53521666666666678</v>
      </c>
      <c r="L87" s="37">
        <f t="shared" si="30"/>
        <v>0.81090833333333345</v>
      </c>
      <c r="M87" s="37">
        <f t="shared" si="30"/>
        <v>1.1187500000000001</v>
      </c>
      <c r="N87" s="37">
        <f t="shared" si="30"/>
        <v>1.4053333333333335</v>
      </c>
      <c r="O87" s="37">
        <f t="shared" si="30"/>
        <v>1.6411666666666669</v>
      </c>
      <c r="P87" s="37">
        <f t="shared" si="30"/>
        <v>2.0854166666666667</v>
      </c>
      <c r="Q87" s="37">
        <f t="shared" si="30"/>
        <v>2.2036666666666669</v>
      </c>
      <c r="R87" s="37">
        <f t="shared" si="30"/>
        <v>2.2036666666666669</v>
      </c>
    </row>
    <row r="88" spans="1:18" ht="21" hidden="1" customHeight="1" outlineLevel="1" thickBot="1" x14ac:dyDescent="0.4">
      <c r="A88" s="5">
        <f t="shared" ref="A88:D88" si="31">A54</f>
        <v>0</v>
      </c>
      <c r="B88" s="5">
        <f t="shared" si="31"/>
        <v>1</v>
      </c>
      <c r="C88" s="5">
        <f t="shared" si="31"/>
        <v>0</v>
      </c>
      <c r="D88" s="5">
        <f t="shared" si="31"/>
        <v>0</v>
      </c>
      <c r="E88" s="33" t="str">
        <f t="shared" si="15"/>
        <v>Se</v>
      </c>
      <c r="F88" s="37">
        <f t="shared" ref="F88:R88" si="32">F11*$C$79</f>
        <v>6.6701666666666674E-35</v>
      </c>
      <c r="G88" s="37">
        <f t="shared" si="32"/>
        <v>2.7019999999999999E-22</v>
      </c>
      <c r="H88" s="37">
        <f t="shared" si="32"/>
        <v>1.0538333333333333E-15</v>
      </c>
      <c r="I88" s="37">
        <f t="shared" si="32"/>
        <v>1.2460833333333333E-11</v>
      </c>
      <c r="J88" s="37">
        <f t="shared" si="32"/>
        <v>7.5110833333333342E-9</v>
      </c>
      <c r="K88" s="37">
        <f t="shared" si="32"/>
        <v>8.3350000000000015E-7</v>
      </c>
      <c r="L88" s="37">
        <f t="shared" si="32"/>
        <v>2.1639166666666669E-6</v>
      </c>
      <c r="M88" s="37">
        <f t="shared" si="32"/>
        <v>5.1003333333333335E-6</v>
      </c>
      <c r="N88" s="37">
        <f t="shared" si="32"/>
        <v>1.0906666666666668E-5</v>
      </c>
      <c r="O88" s="37">
        <f t="shared" si="32"/>
        <v>2.1475833333333332E-5</v>
      </c>
      <c r="P88" s="37">
        <f t="shared" si="32"/>
        <v>1.84725E-4</v>
      </c>
      <c r="Q88" s="37">
        <f t="shared" si="32"/>
        <v>9.5483333333333347E-4</v>
      </c>
      <c r="R88" s="37">
        <f t="shared" si="32"/>
        <v>9.5483333333333347E-4</v>
      </c>
    </row>
    <row r="89" spans="1:18" ht="21" hidden="1" customHeight="1" outlineLevel="1" thickBot="1" x14ac:dyDescent="0.4">
      <c r="A89" s="5">
        <f t="shared" ref="A89:D89" si="33">A55</f>
        <v>0</v>
      </c>
      <c r="B89" s="5">
        <f t="shared" si="33"/>
        <v>0</v>
      </c>
      <c r="C89" s="5">
        <f t="shared" si="33"/>
        <v>0</v>
      </c>
      <c r="D89" s="5">
        <f t="shared" si="33"/>
        <v>1</v>
      </c>
      <c r="E89" s="33" t="str">
        <f t="shared" si="15"/>
        <v>Ga</v>
      </c>
      <c r="F89" s="37">
        <f t="shared" ref="F89:R89" si="34">F12*$C$79</f>
        <v>0</v>
      </c>
      <c r="G89" s="37">
        <f t="shared" si="34"/>
        <v>5.2080833333333335E-28</v>
      </c>
      <c r="H89" s="37">
        <f t="shared" si="34"/>
        <v>2.0847500000000002E-20</v>
      </c>
      <c r="I89" s="37">
        <f t="shared" si="34"/>
        <v>8.2878333333333335E-16</v>
      </c>
      <c r="J89" s="37">
        <f t="shared" si="34"/>
        <v>7.9595833333333335E-13</v>
      </c>
      <c r="K89" s="37">
        <f t="shared" si="34"/>
        <v>1.2466666666666668E-10</v>
      </c>
      <c r="L89" s="37">
        <f t="shared" si="34"/>
        <v>3.7205833333333336E-10</v>
      </c>
      <c r="M89" s="37">
        <f t="shared" si="34"/>
        <v>1.0444166666666667E-9</v>
      </c>
      <c r="N89" s="37">
        <f t="shared" si="34"/>
        <v>2.759666666666667E-9</v>
      </c>
      <c r="O89" s="37">
        <f t="shared" si="34"/>
        <v>6.8877500000000007E-9</v>
      </c>
      <c r="P89" s="37">
        <f t="shared" si="34"/>
        <v>1.6276666666666667E-7</v>
      </c>
      <c r="Q89" s="37">
        <f t="shared" si="34"/>
        <v>2.0677500000000002E-6</v>
      </c>
      <c r="R89" s="37">
        <f t="shared" si="34"/>
        <v>2.0677500000000002E-6</v>
      </c>
    </row>
    <row r="90" spans="1:18" ht="21" hidden="1" customHeight="1" outlineLevel="1" thickBot="1" x14ac:dyDescent="0.4">
      <c r="A90" s="5">
        <f t="shared" ref="A90:D90" si="35">A56</f>
        <v>0</v>
      </c>
      <c r="B90" s="5">
        <f t="shared" si="35"/>
        <v>1</v>
      </c>
      <c r="C90" s="5">
        <f t="shared" si="35"/>
        <v>0</v>
      </c>
      <c r="D90" s="5">
        <f t="shared" si="35"/>
        <v>2</v>
      </c>
      <c r="E90" s="33" t="str">
        <f t="shared" si="15"/>
        <v>Ga2Se</v>
      </c>
      <c r="F90" s="37">
        <f t="shared" ref="F90:R90" si="36">F13*$C$79</f>
        <v>4.2583333333333334E-9</v>
      </c>
      <c r="G90" s="37">
        <f t="shared" si="36"/>
        <v>7.9515000000000014E-5</v>
      </c>
      <c r="H90" s="37">
        <f t="shared" si="36"/>
        <v>9.9283333333333341E-3</v>
      </c>
      <c r="I90" s="37">
        <f t="shared" si="36"/>
        <v>0.10250000000000001</v>
      </c>
      <c r="J90" s="37">
        <f t="shared" si="36"/>
        <v>0.21955000000000002</v>
      </c>
      <c r="K90" s="37">
        <f t="shared" si="36"/>
        <v>0.29305833333333331</v>
      </c>
      <c r="L90" s="37">
        <f t="shared" si="36"/>
        <v>0.30365833333333336</v>
      </c>
      <c r="M90" s="37">
        <f t="shared" si="36"/>
        <v>0.31095833333333334</v>
      </c>
      <c r="N90" s="37">
        <f t="shared" si="36"/>
        <v>0.31550833333333334</v>
      </c>
      <c r="O90" s="37">
        <f t="shared" si="36"/>
        <v>0.31841666666666668</v>
      </c>
      <c r="P90" s="37">
        <f t="shared" si="36"/>
        <v>0.32303333333333334</v>
      </c>
      <c r="Q90" s="37">
        <f t="shared" si="36"/>
        <v>0.32423333333333332</v>
      </c>
      <c r="R90" s="37">
        <f t="shared" si="36"/>
        <v>0.32423333333333332</v>
      </c>
    </row>
    <row r="91" spans="1:18" ht="21" hidden="1" customHeight="1" outlineLevel="1" thickBot="1" x14ac:dyDescent="0.4">
      <c r="A91" s="5">
        <f t="shared" ref="A91:D91" si="37">A57</f>
        <v>1</v>
      </c>
      <c r="B91" s="5">
        <f t="shared" si="37"/>
        <v>0</v>
      </c>
      <c r="C91" s="5">
        <f t="shared" si="37"/>
        <v>0</v>
      </c>
      <c r="D91" s="5">
        <f t="shared" si="37"/>
        <v>0</v>
      </c>
      <c r="E91" s="33" t="str">
        <f t="shared" si="15"/>
        <v>Ar</v>
      </c>
      <c r="F91" s="37">
        <f t="shared" ref="F91:R91" si="38">F14*$C$79</f>
        <v>1.666666666666667</v>
      </c>
      <c r="G91" s="37">
        <f t="shared" si="38"/>
        <v>1.666666666666667</v>
      </c>
      <c r="H91" s="37">
        <f t="shared" si="38"/>
        <v>1.666666666666667</v>
      </c>
      <c r="I91" s="37">
        <f t="shared" si="38"/>
        <v>1.666666666666667</v>
      </c>
      <c r="J91" s="37">
        <f t="shared" si="38"/>
        <v>1.666666666666667</v>
      </c>
      <c r="K91" s="37">
        <f t="shared" si="38"/>
        <v>1.666666666666667</v>
      </c>
      <c r="L91" s="37">
        <f t="shared" si="38"/>
        <v>1.666666666666667</v>
      </c>
      <c r="M91" s="37">
        <f t="shared" si="38"/>
        <v>1.666666666666667</v>
      </c>
      <c r="N91" s="37">
        <f t="shared" si="38"/>
        <v>1.666666666666667</v>
      </c>
      <c r="O91" s="37">
        <f t="shared" si="38"/>
        <v>1.666666666666667</v>
      </c>
      <c r="P91" s="37">
        <f t="shared" si="38"/>
        <v>1.666666666666667</v>
      </c>
      <c r="Q91" s="37">
        <f t="shared" si="38"/>
        <v>1.666666666666667</v>
      </c>
      <c r="R91" s="37">
        <f t="shared" si="38"/>
        <v>1.666666666666667</v>
      </c>
    </row>
    <row r="92" spans="1:18" ht="21" hidden="1" customHeight="1" outlineLevel="1" thickBot="1" x14ac:dyDescent="0.4">
      <c r="A92" s="5">
        <f t="shared" ref="A92:D92" si="39">A58</f>
        <v>0</v>
      </c>
      <c r="B92" s="5">
        <f t="shared" si="39"/>
        <v>0</v>
      </c>
      <c r="C92" s="5">
        <f t="shared" si="39"/>
        <v>0</v>
      </c>
      <c r="D92" s="5">
        <f t="shared" si="39"/>
        <v>1</v>
      </c>
      <c r="E92" s="33" t="str">
        <f t="shared" si="15"/>
        <v>(l)Ga[l]</v>
      </c>
      <c r="F92" s="37">
        <f t="shared" ref="F92:R92" si="40">F15*$C$79</f>
        <v>0.66666666666666674</v>
      </c>
      <c r="G92" s="37">
        <f t="shared" si="40"/>
        <v>0.66650833333333337</v>
      </c>
      <c r="H92" s="37">
        <f t="shared" si="40"/>
        <v>0.64680833333333343</v>
      </c>
      <c r="I92" s="37">
        <f t="shared" si="40"/>
        <v>0.461675</v>
      </c>
      <c r="J92" s="37">
        <f t="shared" si="40"/>
        <v>0.22755833333333336</v>
      </c>
      <c r="K92" s="37">
        <f t="shared" si="40"/>
        <v>8.0543333333333342E-2</v>
      </c>
      <c r="L92" s="37">
        <f t="shared" si="40"/>
        <v>5.9345833333333341E-2</v>
      </c>
      <c r="M92" s="37">
        <f t="shared" si="40"/>
        <v>4.4745833333333339E-2</v>
      </c>
      <c r="N92" s="37">
        <f t="shared" si="40"/>
        <v>3.5654999999999999E-2</v>
      </c>
      <c r="O92" s="37">
        <f t="shared" si="40"/>
        <v>2.9832500000000001E-2</v>
      </c>
      <c r="P92" s="37">
        <f t="shared" si="40"/>
        <v>2.0607500000000001E-2</v>
      </c>
      <c r="Q92" s="37">
        <f t="shared" si="40"/>
        <v>1.8197499999999998E-2</v>
      </c>
      <c r="R92" s="37">
        <f t="shared" si="40"/>
        <v>1.8197499999999998E-2</v>
      </c>
    </row>
    <row r="93" spans="1:18" ht="21" hidden="1" customHeight="1" outlineLevel="1" thickBot="1" x14ac:dyDescent="0.4">
      <c r="A93" s="5">
        <f t="shared" ref="A93:D93" si="41">A59</f>
        <v>0</v>
      </c>
      <c r="B93" s="5">
        <f t="shared" si="41"/>
        <v>0</v>
      </c>
      <c r="C93" s="5">
        <f t="shared" si="41"/>
        <v>1</v>
      </c>
      <c r="D93" s="5">
        <f t="shared" si="41"/>
        <v>0</v>
      </c>
      <c r="E93" s="33" t="str">
        <f t="shared" si="15"/>
        <v>(l)Ge[l]</v>
      </c>
      <c r="F93" s="37">
        <f t="shared" ref="F93:R93" si="42">F16*$C$79</f>
        <v>1</v>
      </c>
      <c r="G93" s="37">
        <f t="shared" si="42"/>
        <v>1</v>
      </c>
      <c r="H93" s="37">
        <f t="shared" si="42"/>
        <v>1</v>
      </c>
      <c r="I93" s="37">
        <f t="shared" si="42"/>
        <v>1</v>
      </c>
      <c r="J93" s="37">
        <f t="shared" si="42"/>
        <v>1</v>
      </c>
      <c r="K93" s="37">
        <f t="shared" si="42"/>
        <v>1</v>
      </c>
      <c r="L93" s="37">
        <f t="shared" si="42"/>
        <v>1</v>
      </c>
      <c r="M93" s="37">
        <f t="shared" si="42"/>
        <v>1</v>
      </c>
      <c r="N93" s="37">
        <f t="shared" si="42"/>
        <v>1</v>
      </c>
      <c r="O93" s="37">
        <f t="shared" si="42"/>
        <v>1</v>
      </c>
      <c r="P93" s="37">
        <f t="shared" si="42"/>
        <v>1</v>
      </c>
      <c r="Q93" s="37">
        <f t="shared" si="42"/>
        <v>1</v>
      </c>
      <c r="R93" s="37">
        <f t="shared" si="42"/>
        <v>1</v>
      </c>
    </row>
    <row r="94" spans="1:18" ht="21" hidden="1" customHeight="1" outlineLevel="1" thickBot="1" x14ac:dyDescent="0.4">
      <c r="A94" s="5">
        <f t="shared" ref="A94:D94" si="43">A60</f>
        <v>0</v>
      </c>
      <c r="B94" s="5">
        <f t="shared" si="43"/>
        <v>1</v>
      </c>
      <c r="C94" s="5">
        <f t="shared" si="43"/>
        <v>0</v>
      </c>
      <c r="D94" s="5">
        <f t="shared" si="43"/>
        <v>0</v>
      </c>
      <c r="E94" s="33" t="str">
        <f t="shared" si="15"/>
        <v>(l)Se[l]</v>
      </c>
      <c r="F94" s="37">
        <f t="shared" ref="F94:R94" si="44">F17*$C$79</f>
        <v>5</v>
      </c>
      <c r="G94" s="37">
        <f t="shared" si="44"/>
        <v>4.9999166666666675</v>
      </c>
      <c r="H94" s="37">
        <f t="shared" si="44"/>
        <v>4.9897500000000008</v>
      </c>
      <c r="I94" s="37">
        <f t="shared" si="44"/>
        <v>4.8761666666666672</v>
      </c>
      <c r="J94" s="37">
        <f t="shared" si="44"/>
        <v>4.4093333333333335</v>
      </c>
      <c r="K94" s="37">
        <f t="shared" si="44"/>
        <v>2.4656666666666665</v>
      </c>
      <c r="L94" s="37">
        <f t="shared" si="44"/>
        <v>1.8735000000000002</v>
      </c>
      <c r="M94" s="37">
        <f t="shared" si="44"/>
        <v>1.3849166666666668</v>
      </c>
      <c r="N94" s="37">
        <f t="shared" si="44"/>
        <v>1.0390833333333334</v>
      </c>
      <c r="O94" s="37">
        <f t="shared" si="44"/>
        <v>0.79149999999999998</v>
      </c>
      <c r="P94" s="37">
        <f t="shared" si="44"/>
        <v>0.32919999999999999</v>
      </c>
      <c r="Q94" s="37">
        <f t="shared" si="44"/>
        <v>0.17914166666666667</v>
      </c>
      <c r="R94" s="37">
        <f t="shared" si="44"/>
        <v>0.17914166666666667</v>
      </c>
    </row>
    <row r="95" spans="1:18" ht="21" hidden="1" customHeight="1" outlineLevel="1" thickBot="1" x14ac:dyDescent="0.4">
      <c r="A95" s="5">
        <f t="shared" ref="A95:D95" si="45">A61</f>
        <v>1</v>
      </c>
      <c r="B95" s="5">
        <f t="shared" si="45"/>
        <v>0</v>
      </c>
      <c r="C95" s="5">
        <f t="shared" si="45"/>
        <v>0</v>
      </c>
      <c r="D95" s="5">
        <f t="shared" si="45"/>
        <v>0</v>
      </c>
      <c r="E95" s="33" t="str">
        <f t="shared" si="15"/>
        <v>H (Ar)</v>
      </c>
      <c r="F95" s="37">
        <f t="shared" ref="F95:R95" si="46">F18*$C$79</f>
        <v>-155.08333333333334</v>
      </c>
      <c r="G95" s="37">
        <f t="shared" si="46"/>
        <v>-156.33333333333337</v>
      </c>
      <c r="H95" s="37">
        <f t="shared" si="46"/>
        <v>-158.58333333333334</v>
      </c>
      <c r="I95" s="37">
        <f t="shared" si="46"/>
        <v>-161.41666666666669</v>
      </c>
      <c r="J95" s="37">
        <f t="shared" si="46"/>
        <v>-164.58333333333334</v>
      </c>
      <c r="K95" s="37">
        <f t="shared" si="46"/>
        <v>-169.25</v>
      </c>
      <c r="L95" s="37">
        <f t="shared" si="46"/>
        <v>-170.66666666666669</v>
      </c>
      <c r="M95" s="37">
        <f t="shared" si="46"/>
        <v>-171.91666666666666</v>
      </c>
      <c r="N95" s="37">
        <f t="shared" si="46"/>
        <v>-173.00000000000003</v>
      </c>
      <c r="O95" s="37">
        <f t="shared" si="46"/>
        <v>-173.91666666666669</v>
      </c>
      <c r="P95" s="37">
        <f t="shared" si="46"/>
        <v>-176.41666666666669</v>
      </c>
      <c r="Q95" s="37">
        <f t="shared" si="46"/>
        <v>-178.25000000000003</v>
      </c>
      <c r="R95" s="37">
        <f t="shared" si="46"/>
        <v>-178.25000000000003</v>
      </c>
    </row>
    <row r="96" spans="1:18" ht="21" hidden="1" customHeight="1" outlineLevel="1" thickBot="1" x14ac:dyDescent="0.4">
      <c r="A96" s="5">
        <f t="shared" ref="A96:D96" si="47">A62</f>
        <v>0</v>
      </c>
      <c r="B96" s="5">
        <f t="shared" si="47"/>
        <v>0</v>
      </c>
      <c r="C96" s="5">
        <f t="shared" si="47"/>
        <v>0</v>
      </c>
      <c r="D96" s="5">
        <f t="shared" si="47"/>
        <v>1</v>
      </c>
      <c r="E96" s="33" t="str">
        <f t="shared" si="15"/>
        <v>H (Ga)</v>
      </c>
      <c r="F96" s="37">
        <f t="shared" ref="F96:R96" si="48">F19*$C$79</f>
        <v>-59.683333333333337</v>
      </c>
      <c r="G96" s="37">
        <f t="shared" si="48"/>
        <v>-67.2</v>
      </c>
      <c r="H96" s="37">
        <f t="shared" si="48"/>
        <v>-73.416666666666671</v>
      </c>
      <c r="I96" s="37">
        <f t="shared" si="48"/>
        <v>-80.76666666666668</v>
      </c>
      <c r="J96" s="37">
        <f t="shared" si="48"/>
        <v>-89.916666666666671</v>
      </c>
      <c r="K96" s="37">
        <f t="shared" si="48"/>
        <v>-98.25</v>
      </c>
      <c r="L96" s="37">
        <f t="shared" si="48"/>
        <v>-100.08333333333334</v>
      </c>
      <c r="M96" s="37">
        <f t="shared" si="48"/>
        <v>-101.66666666666667</v>
      </c>
      <c r="N96" s="37">
        <f t="shared" si="48"/>
        <v>-103</v>
      </c>
      <c r="O96" s="37">
        <f t="shared" si="48"/>
        <v>-104.16666666666667</v>
      </c>
      <c r="P96" s="37">
        <f t="shared" si="48"/>
        <v>-107.58333333333334</v>
      </c>
      <c r="Q96" s="37">
        <f t="shared" si="48"/>
        <v>-110.16666666666669</v>
      </c>
      <c r="R96" s="37">
        <f t="shared" si="48"/>
        <v>-110.16666666666669</v>
      </c>
    </row>
    <row r="97" spans="1:18" ht="21" hidden="1" customHeight="1" outlineLevel="1" thickBot="1" x14ac:dyDescent="0.4">
      <c r="A97" s="5">
        <f t="shared" ref="A97:D97" si="49">A63</f>
        <v>0</v>
      </c>
      <c r="B97" s="5">
        <f t="shared" si="49"/>
        <v>0</v>
      </c>
      <c r="C97" s="5">
        <f t="shared" si="49"/>
        <v>1</v>
      </c>
      <c r="D97" s="5">
        <f t="shared" si="49"/>
        <v>0</v>
      </c>
      <c r="E97" s="33" t="str">
        <f t="shared" si="15"/>
        <v>H (Ge)</v>
      </c>
      <c r="F97" s="37">
        <f t="shared" ref="F97:R97" si="50">F20*$C$79</f>
        <v>44.725000000000001</v>
      </c>
      <c r="G97" s="37">
        <f t="shared" si="50"/>
        <v>6.1366666666666676</v>
      </c>
      <c r="H97" s="37">
        <f t="shared" si="50"/>
        <v>-16.233333333333334</v>
      </c>
      <c r="I97" s="37">
        <f t="shared" si="50"/>
        <v>-30.958333333333336</v>
      </c>
      <c r="J97" s="37">
        <f t="shared" si="50"/>
        <v>-41.091666666666669</v>
      </c>
      <c r="K97" s="37">
        <f t="shared" si="50"/>
        <v>-45.891666666666666</v>
      </c>
      <c r="L97" s="37">
        <f t="shared" si="50"/>
        <v>-46.19166666666667</v>
      </c>
      <c r="M97" s="37">
        <f t="shared" si="50"/>
        <v>-46.416666666666671</v>
      </c>
      <c r="N97" s="37">
        <f t="shared" si="50"/>
        <v>-46.808333333333337</v>
      </c>
      <c r="O97" s="37">
        <f t="shared" si="50"/>
        <v>-47.358333333333334</v>
      </c>
      <c r="P97" s="37">
        <f t="shared" si="50"/>
        <v>-50.725000000000001</v>
      </c>
      <c r="Q97" s="37">
        <f t="shared" si="50"/>
        <v>-54.733333333333334</v>
      </c>
      <c r="R97" s="37">
        <f t="shared" si="50"/>
        <v>-54.733333333333334</v>
      </c>
    </row>
    <row r="98" spans="1:18" ht="21" hidden="1" customHeight="1" outlineLevel="1" thickBot="1" x14ac:dyDescent="0.4">
      <c r="A98" s="5">
        <f t="shared" ref="A98:D98" si="51">A64</f>
        <v>0</v>
      </c>
      <c r="B98" s="5">
        <f t="shared" si="51"/>
        <v>1</v>
      </c>
      <c r="C98" s="5">
        <f t="shared" si="51"/>
        <v>0</v>
      </c>
      <c r="D98" s="5">
        <f t="shared" si="51"/>
        <v>0</v>
      </c>
      <c r="E98" s="33" t="str">
        <f t="shared" si="15"/>
        <v>H (Se)</v>
      </c>
      <c r="F98" s="37">
        <f t="shared" ref="F98:R98" si="52">F21*$C$79</f>
        <v>-38.333333333333336</v>
      </c>
      <c r="G98" s="37">
        <f t="shared" si="52"/>
        <v>-44.766666666666666</v>
      </c>
      <c r="H98" s="37">
        <f t="shared" si="52"/>
        <v>-50.916666666666671</v>
      </c>
      <c r="I98" s="37">
        <f t="shared" si="52"/>
        <v>-56.133333333333333</v>
      </c>
      <c r="J98" s="37">
        <f t="shared" si="52"/>
        <v>-60.7</v>
      </c>
      <c r="K98" s="37">
        <f t="shared" si="52"/>
        <v>-65.841666666666669</v>
      </c>
      <c r="L98" s="37">
        <f t="shared" si="52"/>
        <v>-67.51666666666668</v>
      </c>
      <c r="M98" s="37">
        <f t="shared" si="52"/>
        <v>-69.366666666666674</v>
      </c>
      <c r="N98" s="37">
        <f t="shared" si="52"/>
        <v>-71.366666666666674</v>
      </c>
      <c r="O98" s="37">
        <f t="shared" si="52"/>
        <v>-73.45</v>
      </c>
      <c r="P98" s="37">
        <f t="shared" si="52"/>
        <v>-81.658333333333331</v>
      </c>
      <c r="Q98" s="37">
        <f t="shared" si="52"/>
        <v>-88.833333333333343</v>
      </c>
      <c r="R98" s="37">
        <f t="shared" si="52"/>
        <v>-88.833333333333343</v>
      </c>
    </row>
    <row r="99" spans="1:18" ht="21" hidden="1" customHeight="1" outlineLevel="1" thickBot="1" x14ac:dyDescent="0.4">
      <c r="A99" s="5">
        <f t="shared" ref="A99:D99" si="53">A65</f>
        <v>0</v>
      </c>
      <c r="B99" s="5">
        <f t="shared" si="53"/>
        <v>0</v>
      </c>
      <c r="C99" s="5">
        <f t="shared" si="53"/>
        <v>0</v>
      </c>
      <c r="D99" s="5">
        <f t="shared" si="53"/>
        <v>0</v>
      </c>
      <c r="E99" s="33">
        <f t="shared" si="15"/>
        <v>0</v>
      </c>
      <c r="F99" s="37">
        <f t="shared" ref="F99:R99" si="54">F22*$C$79</f>
        <v>0</v>
      </c>
      <c r="G99" s="37">
        <f t="shared" si="54"/>
        <v>0</v>
      </c>
      <c r="H99" s="37">
        <f t="shared" si="54"/>
        <v>0</v>
      </c>
      <c r="I99" s="37">
        <f t="shared" si="54"/>
        <v>0</v>
      </c>
      <c r="J99" s="37">
        <f t="shared" si="54"/>
        <v>0</v>
      </c>
      <c r="K99" s="37">
        <f t="shared" si="54"/>
        <v>0</v>
      </c>
      <c r="L99" s="37">
        <f t="shared" si="54"/>
        <v>0</v>
      </c>
      <c r="M99" s="37">
        <f t="shared" si="54"/>
        <v>0</v>
      </c>
      <c r="N99" s="37">
        <f t="shared" si="54"/>
        <v>0</v>
      </c>
      <c r="O99" s="37">
        <f t="shared" si="54"/>
        <v>0</v>
      </c>
      <c r="P99" s="37">
        <f t="shared" si="54"/>
        <v>0</v>
      </c>
      <c r="Q99" s="37">
        <f t="shared" si="54"/>
        <v>0</v>
      </c>
      <c r="R99" s="37">
        <f t="shared" si="54"/>
        <v>0</v>
      </c>
    </row>
    <row r="100" spans="1:18" ht="21" hidden="1" customHeight="1" outlineLevel="1" thickBot="1" x14ac:dyDescent="0.4">
      <c r="A100" s="5">
        <f t="shared" ref="A100:D100" si="55">A66</f>
        <v>0</v>
      </c>
      <c r="B100" s="5">
        <f t="shared" si="55"/>
        <v>0</v>
      </c>
      <c r="C100" s="5">
        <f t="shared" si="55"/>
        <v>0</v>
      </c>
      <c r="D100" s="5">
        <f t="shared" si="55"/>
        <v>0</v>
      </c>
      <c r="E100" s="33">
        <f t="shared" si="15"/>
        <v>0</v>
      </c>
      <c r="F100" s="37">
        <f t="shared" ref="F100:R100" si="56">F23*$C$79</f>
        <v>0</v>
      </c>
      <c r="G100" s="37">
        <f t="shared" si="56"/>
        <v>0</v>
      </c>
      <c r="H100" s="37">
        <f t="shared" si="56"/>
        <v>0</v>
      </c>
      <c r="I100" s="37">
        <f t="shared" si="56"/>
        <v>0</v>
      </c>
      <c r="J100" s="37">
        <f t="shared" si="56"/>
        <v>0</v>
      </c>
      <c r="K100" s="37">
        <f t="shared" si="56"/>
        <v>0</v>
      </c>
      <c r="L100" s="37">
        <f t="shared" si="56"/>
        <v>0</v>
      </c>
      <c r="M100" s="37">
        <f t="shared" si="56"/>
        <v>0</v>
      </c>
      <c r="N100" s="37">
        <f t="shared" si="56"/>
        <v>0</v>
      </c>
      <c r="O100" s="37">
        <f t="shared" si="56"/>
        <v>0</v>
      </c>
      <c r="P100" s="37">
        <f t="shared" si="56"/>
        <v>0</v>
      </c>
      <c r="Q100" s="37">
        <f t="shared" si="56"/>
        <v>0</v>
      </c>
      <c r="R100" s="37">
        <f t="shared" si="56"/>
        <v>0</v>
      </c>
    </row>
    <row r="101" spans="1:18" ht="21" hidden="1" customHeight="1" outlineLevel="1" thickBot="1" x14ac:dyDescent="0.4">
      <c r="A101" s="5">
        <f t="shared" ref="A101:D101" si="57">A67</f>
        <v>0</v>
      </c>
      <c r="B101" s="5">
        <f t="shared" si="57"/>
        <v>0</v>
      </c>
      <c r="C101" s="5">
        <f t="shared" si="57"/>
        <v>0</v>
      </c>
      <c r="D101" s="5">
        <f t="shared" si="57"/>
        <v>0</v>
      </c>
      <c r="E101" s="33">
        <f t="shared" si="15"/>
        <v>0</v>
      </c>
      <c r="F101" s="37">
        <f t="shared" ref="F101:R101" si="58">F24*$C$79</f>
        <v>0</v>
      </c>
      <c r="G101" s="37">
        <f t="shared" si="58"/>
        <v>0</v>
      </c>
      <c r="H101" s="37">
        <f t="shared" si="58"/>
        <v>0</v>
      </c>
      <c r="I101" s="37">
        <f t="shared" si="58"/>
        <v>0</v>
      </c>
      <c r="J101" s="37">
        <f t="shared" si="58"/>
        <v>0</v>
      </c>
      <c r="K101" s="37">
        <f t="shared" si="58"/>
        <v>0</v>
      </c>
      <c r="L101" s="37">
        <f t="shared" si="58"/>
        <v>0</v>
      </c>
      <c r="M101" s="37">
        <f t="shared" si="58"/>
        <v>0</v>
      </c>
      <c r="N101" s="37">
        <f t="shared" si="58"/>
        <v>0</v>
      </c>
      <c r="O101" s="37">
        <f t="shared" si="58"/>
        <v>0</v>
      </c>
      <c r="P101" s="37">
        <f t="shared" si="58"/>
        <v>0</v>
      </c>
      <c r="Q101" s="37">
        <f t="shared" si="58"/>
        <v>0</v>
      </c>
      <c r="R101" s="37">
        <f t="shared" si="58"/>
        <v>0</v>
      </c>
    </row>
    <row r="102" spans="1:18" ht="21" hidden="1" customHeight="1" outlineLevel="1" thickBot="1" x14ac:dyDescent="0.4">
      <c r="A102" s="5">
        <f t="shared" ref="A102:D102" si="59">A68</f>
        <v>0</v>
      </c>
      <c r="B102" s="5">
        <f t="shared" si="59"/>
        <v>0</v>
      </c>
      <c r="C102" s="5">
        <f t="shared" si="59"/>
        <v>0</v>
      </c>
      <c r="D102" s="5">
        <f t="shared" si="59"/>
        <v>0</v>
      </c>
      <c r="E102" s="33">
        <f t="shared" si="15"/>
        <v>0</v>
      </c>
      <c r="F102" s="37">
        <f t="shared" ref="F102:R102" si="60">F25*$C$79</f>
        <v>0</v>
      </c>
      <c r="G102" s="37">
        <f t="shared" si="60"/>
        <v>0</v>
      </c>
      <c r="H102" s="37">
        <f t="shared" si="60"/>
        <v>0</v>
      </c>
      <c r="I102" s="37">
        <f t="shared" si="60"/>
        <v>0</v>
      </c>
      <c r="J102" s="37">
        <f t="shared" si="60"/>
        <v>0</v>
      </c>
      <c r="K102" s="37">
        <f t="shared" si="60"/>
        <v>0</v>
      </c>
      <c r="L102" s="37">
        <f t="shared" si="60"/>
        <v>0</v>
      </c>
      <c r="M102" s="37">
        <f t="shared" si="60"/>
        <v>0</v>
      </c>
      <c r="N102" s="37">
        <f t="shared" si="60"/>
        <v>0</v>
      </c>
      <c r="O102" s="37">
        <f t="shared" si="60"/>
        <v>0</v>
      </c>
      <c r="P102" s="37">
        <f t="shared" si="60"/>
        <v>0</v>
      </c>
      <c r="Q102" s="37">
        <f t="shared" si="60"/>
        <v>0</v>
      </c>
      <c r="R102" s="37">
        <f t="shared" si="60"/>
        <v>0</v>
      </c>
    </row>
    <row r="103" spans="1:18" ht="21" hidden="1" customHeight="1" outlineLevel="1" thickBot="1" x14ac:dyDescent="0.4">
      <c r="A103" s="5">
        <f t="shared" ref="A103:D103" si="61">A69</f>
        <v>0</v>
      </c>
      <c r="B103" s="5">
        <f t="shared" si="61"/>
        <v>0</v>
      </c>
      <c r="C103" s="5">
        <f t="shared" si="61"/>
        <v>0</v>
      </c>
      <c r="D103" s="5">
        <f t="shared" si="61"/>
        <v>0</v>
      </c>
      <c r="E103" s="33">
        <f t="shared" si="15"/>
        <v>0</v>
      </c>
      <c r="F103" s="37">
        <f t="shared" ref="F103:R103" si="62">F26*$C$79</f>
        <v>0</v>
      </c>
      <c r="G103" s="37">
        <f t="shared" si="62"/>
        <v>0</v>
      </c>
      <c r="H103" s="37">
        <f t="shared" si="62"/>
        <v>0</v>
      </c>
      <c r="I103" s="37">
        <f t="shared" si="62"/>
        <v>0</v>
      </c>
      <c r="J103" s="37">
        <f t="shared" si="62"/>
        <v>0</v>
      </c>
      <c r="K103" s="37">
        <f t="shared" si="62"/>
        <v>0</v>
      </c>
      <c r="L103" s="37">
        <f t="shared" si="62"/>
        <v>0</v>
      </c>
      <c r="M103" s="37">
        <f t="shared" si="62"/>
        <v>0</v>
      </c>
      <c r="N103" s="37">
        <f t="shared" si="62"/>
        <v>0</v>
      </c>
      <c r="O103" s="37">
        <f t="shared" si="62"/>
        <v>0</v>
      </c>
      <c r="P103" s="37">
        <f t="shared" si="62"/>
        <v>0</v>
      </c>
      <c r="Q103" s="37">
        <f t="shared" si="62"/>
        <v>0</v>
      </c>
      <c r="R103" s="37">
        <f t="shared" si="62"/>
        <v>0</v>
      </c>
    </row>
    <row r="104" spans="1:18" ht="21" hidden="1" customHeight="1" outlineLevel="1" thickBot="1" x14ac:dyDescent="0.4">
      <c r="A104" s="5">
        <f t="shared" ref="A104:D104" si="63">A70</f>
        <v>0</v>
      </c>
      <c r="B104" s="5">
        <f t="shared" si="63"/>
        <v>0</v>
      </c>
      <c r="C104" s="5">
        <f t="shared" si="63"/>
        <v>0</v>
      </c>
      <c r="D104" s="5">
        <f t="shared" si="63"/>
        <v>0</v>
      </c>
      <c r="E104" s="33">
        <f t="shared" si="15"/>
        <v>0</v>
      </c>
      <c r="F104" s="37">
        <f t="shared" ref="F104:R104" si="64">F27*$C$79</f>
        <v>0</v>
      </c>
      <c r="G104" s="37">
        <f t="shared" si="64"/>
        <v>0</v>
      </c>
      <c r="H104" s="37">
        <f t="shared" si="64"/>
        <v>0</v>
      </c>
      <c r="I104" s="37">
        <f t="shared" si="64"/>
        <v>0</v>
      </c>
      <c r="J104" s="37">
        <f t="shared" si="64"/>
        <v>0</v>
      </c>
      <c r="K104" s="37">
        <f t="shared" si="64"/>
        <v>0</v>
      </c>
      <c r="L104" s="37">
        <f t="shared" si="64"/>
        <v>0</v>
      </c>
      <c r="M104" s="37">
        <f t="shared" si="64"/>
        <v>0</v>
      </c>
      <c r="N104" s="37">
        <f t="shared" si="64"/>
        <v>0</v>
      </c>
      <c r="O104" s="37">
        <f t="shared" si="64"/>
        <v>0</v>
      </c>
      <c r="P104" s="37">
        <f t="shared" si="64"/>
        <v>0</v>
      </c>
      <c r="Q104" s="37">
        <f t="shared" si="64"/>
        <v>0</v>
      </c>
      <c r="R104" s="37">
        <f t="shared" si="64"/>
        <v>0</v>
      </c>
    </row>
    <row r="105" spans="1:18" ht="21" hidden="1" customHeight="1" outlineLevel="1" thickBot="1" x14ac:dyDescent="0.4">
      <c r="A105" s="5">
        <f t="shared" ref="A105:D105" si="65">A71</f>
        <v>0</v>
      </c>
      <c r="B105" s="5">
        <f t="shared" si="65"/>
        <v>0</v>
      </c>
      <c r="C105" s="5">
        <f t="shared" si="65"/>
        <v>0</v>
      </c>
      <c r="D105" s="5">
        <f t="shared" si="65"/>
        <v>0</v>
      </c>
      <c r="E105" s="33">
        <f t="shared" si="15"/>
        <v>0</v>
      </c>
      <c r="F105" s="37">
        <f t="shared" ref="F105:R105" si="66">F28*$C$79</f>
        <v>0</v>
      </c>
      <c r="G105" s="37">
        <f t="shared" si="66"/>
        <v>0</v>
      </c>
      <c r="H105" s="37">
        <f t="shared" si="66"/>
        <v>0</v>
      </c>
      <c r="I105" s="37">
        <f t="shared" si="66"/>
        <v>0</v>
      </c>
      <c r="J105" s="37">
        <f t="shared" si="66"/>
        <v>0</v>
      </c>
      <c r="K105" s="37">
        <f t="shared" si="66"/>
        <v>0</v>
      </c>
      <c r="L105" s="37">
        <f t="shared" si="66"/>
        <v>0</v>
      </c>
      <c r="M105" s="37">
        <f t="shared" si="66"/>
        <v>0</v>
      </c>
      <c r="N105" s="37">
        <f t="shared" si="66"/>
        <v>0</v>
      </c>
      <c r="O105" s="37">
        <f t="shared" si="66"/>
        <v>0</v>
      </c>
      <c r="P105" s="37">
        <f t="shared" si="66"/>
        <v>0</v>
      </c>
      <c r="Q105" s="37">
        <f t="shared" si="66"/>
        <v>0</v>
      </c>
      <c r="R105" s="37">
        <f t="shared" si="66"/>
        <v>0</v>
      </c>
    </row>
    <row r="106" spans="1:18" ht="21" hidden="1" customHeight="1" outlineLevel="1" thickBot="1" x14ac:dyDescent="0.4">
      <c r="A106" s="5">
        <f t="shared" ref="A106:D106" si="67">A72</f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33">
        <f t="shared" si="15"/>
        <v>0</v>
      </c>
      <c r="F106" s="37">
        <f t="shared" ref="F106:R106" si="68">F29*$C$79</f>
        <v>0</v>
      </c>
      <c r="G106" s="37">
        <f t="shared" si="68"/>
        <v>0</v>
      </c>
      <c r="H106" s="37">
        <f t="shared" si="68"/>
        <v>0</v>
      </c>
      <c r="I106" s="37">
        <f t="shared" si="68"/>
        <v>0</v>
      </c>
      <c r="J106" s="37">
        <f t="shared" si="68"/>
        <v>0</v>
      </c>
      <c r="K106" s="37">
        <f t="shared" si="68"/>
        <v>0</v>
      </c>
      <c r="L106" s="37">
        <f t="shared" si="68"/>
        <v>0</v>
      </c>
      <c r="M106" s="37">
        <f t="shared" si="68"/>
        <v>0</v>
      </c>
      <c r="N106" s="37">
        <f t="shared" si="68"/>
        <v>0</v>
      </c>
      <c r="O106" s="37">
        <f t="shared" si="68"/>
        <v>0</v>
      </c>
      <c r="P106" s="37">
        <f t="shared" si="68"/>
        <v>0</v>
      </c>
      <c r="Q106" s="37">
        <f t="shared" si="68"/>
        <v>0</v>
      </c>
      <c r="R106" s="37">
        <f t="shared" si="68"/>
        <v>0</v>
      </c>
    </row>
    <row r="107" spans="1:18" ht="21" hidden="1" customHeight="1" outlineLevel="1" thickBot="1" x14ac:dyDescent="0.4">
      <c r="A107" s="5">
        <f t="shared" ref="A107:D107" si="69">A73</f>
        <v>0</v>
      </c>
      <c r="B107" s="5">
        <f t="shared" si="69"/>
        <v>0</v>
      </c>
      <c r="C107" s="5">
        <f t="shared" si="69"/>
        <v>0</v>
      </c>
      <c r="D107" s="5">
        <f t="shared" si="69"/>
        <v>0</v>
      </c>
      <c r="E107" s="33">
        <f t="shared" si="15"/>
        <v>0</v>
      </c>
      <c r="F107" s="37">
        <f t="shared" ref="F107:R107" si="70">F30*$C$79</f>
        <v>0</v>
      </c>
      <c r="G107" s="37">
        <f t="shared" si="70"/>
        <v>0</v>
      </c>
      <c r="H107" s="37">
        <f t="shared" si="70"/>
        <v>0</v>
      </c>
      <c r="I107" s="37">
        <f t="shared" si="70"/>
        <v>0</v>
      </c>
      <c r="J107" s="37">
        <f t="shared" si="70"/>
        <v>0</v>
      </c>
      <c r="K107" s="37">
        <f t="shared" si="70"/>
        <v>0</v>
      </c>
      <c r="L107" s="37">
        <f t="shared" si="70"/>
        <v>0</v>
      </c>
      <c r="M107" s="37">
        <f t="shared" si="70"/>
        <v>0</v>
      </c>
      <c r="N107" s="37">
        <f t="shared" si="70"/>
        <v>0</v>
      </c>
      <c r="O107" s="37">
        <f t="shared" si="70"/>
        <v>0</v>
      </c>
      <c r="P107" s="37">
        <f t="shared" si="70"/>
        <v>0</v>
      </c>
      <c r="Q107" s="37">
        <f t="shared" si="70"/>
        <v>0</v>
      </c>
      <c r="R107" s="37">
        <f t="shared" si="70"/>
        <v>0</v>
      </c>
    </row>
    <row r="108" spans="1:18" ht="21" hidden="1" customHeight="1" outlineLevel="1" thickBot="1" x14ac:dyDescent="0.4">
      <c r="A108" s="5">
        <f t="shared" ref="A108:D108" si="71">A74</f>
        <v>0</v>
      </c>
      <c r="B108" s="5">
        <f t="shared" si="71"/>
        <v>0</v>
      </c>
      <c r="C108" s="5">
        <f t="shared" si="71"/>
        <v>0</v>
      </c>
      <c r="D108" s="5">
        <f t="shared" si="71"/>
        <v>0</v>
      </c>
      <c r="E108" s="33">
        <f t="shared" si="15"/>
        <v>0</v>
      </c>
      <c r="F108" s="37">
        <f t="shared" ref="F108:R108" si="72">F31*$C$79</f>
        <v>0</v>
      </c>
      <c r="G108" s="37">
        <f t="shared" si="72"/>
        <v>0</v>
      </c>
      <c r="H108" s="37">
        <f t="shared" si="72"/>
        <v>0</v>
      </c>
      <c r="I108" s="37">
        <f t="shared" si="72"/>
        <v>0</v>
      </c>
      <c r="J108" s="37">
        <f t="shared" si="72"/>
        <v>0</v>
      </c>
      <c r="K108" s="37">
        <f t="shared" si="72"/>
        <v>0</v>
      </c>
      <c r="L108" s="37">
        <f t="shared" si="72"/>
        <v>0</v>
      </c>
      <c r="M108" s="37">
        <f t="shared" si="72"/>
        <v>0</v>
      </c>
      <c r="N108" s="37">
        <f t="shared" si="72"/>
        <v>0</v>
      </c>
      <c r="O108" s="37">
        <f t="shared" si="72"/>
        <v>0</v>
      </c>
      <c r="P108" s="37">
        <f t="shared" si="72"/>
        <v>0</v>
      </c>
      <c r="Q108" s="37">
        <f t="shared" si="72"/>
        <v>0</v>
      </c>
      <c r="R108" s="37">
        <f t="shared" si="72"/>
        <v>0</v>
      </c>
    </row>
    <row r="109" spans="1:18" ht="21" hidden="1" customHeight="1" outlineLevel="1" thickBot="1" x14ac:dyDescent="0.4">
      <c r="A109" s="5">
        <f t="shared" ref="A109:D109" si="73">A75</f>
        <v>0</v>
      </c>
      <c r="B109" s="5">
        <f t="shared" si="73"/>
        <v>0</v>
      </c>
      <c r="C109" s="5">
        <f t="shared" si="73"/>
        <v>0</v>
      </c>
      <c r="D109" s="5">
        <f t="shared" si="73"/>
        <v>0</v>
      </c>
      <c r="E109" s="33">
        <f t="shared" si="15"/>
        <v>0</v>
      </c>
      <c r="F109" s="37">
        <f t="shared" ref="F109:R109" si="74">F32*$C$79</f>
        <v>0</v>
      </c>
      <c r="G109" s="37">
        <f t="shared" si="74"/>
        <v>0</v>
      </c>
      <c r="H109" s="37">
        <f t="shared" si="74"/>
        <v>0</v>
      </c>
      <c r="I109" s="37">
        <f t="shared" si="74"/>
        <v>0</v>
      </c>
      <c r="J109" s="37">
        <f t="shared" si="74"/>
        <v>0</v>
      </c>
      <c r="K109" s="37">
        <f t="shared" si="74"/>
        <v>0</v>
      </c>
      <c r="L109" s="37">
        <f t="shared" si="74"/>
        <v>0</v>
      </c>
      <c r="M109" s="37">
        <f t="shared" si="74"/>
        <v>0</v>
      </c>
      <c r="N109" s="37">
        <f t="shared" si="74"/>
        <v>0</v>
      </c>
      <c r="O109" s="37">
        <f t="shared" si="74"/>
        <v>0</v>
      </c>
      <c r="P109" s="37">
        <f t="shared" si="74"/>
        <v>0</v>
      </c>
      <c r="Q109" s="37">
        <f t="shared" si="74"/>
        <v>0</v>
      </c>
      <c r="R109" s="37">
        <f t="shared" si="74"/>
        <v>0</v>
      </c>
    </row>
    <row r="110" spans="1:18" ht="21" hidden="1" customHeight="1" outlineLevel="1" thickBot="1" x14ac:dyDescent="0.4">
      <c r="A110" s="5">
        <f t="shared" ref="A110:D110" si="75">A76</f>
        <v>0</v>
      </c>
      <c r="B110" s="5">
        <f t="shared" si="75"/>
        <v>0</v>
      </c>
      <c r="C110" s="5">
        <f t="shared" si="75"/>
        <v>0</v>
      </c>
      <c r="D110" s="5">
        <f t="shared" si="75"/>
        <v>0</v>
      </c>
      <c r="E110" s="33">
        <f t="shared" si="15"/>
        <v>1</v>
      </c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</row>
    <row r="111" spans="1:18" ht="21" hidden="1" customHeight="1" outlineLevel="1" x14ac:dyDescent="0.35"/>
    <row r="112" spans="1:18" ht="21" customHeight="1" collapsed="1" thickBot="1" x14ac:dyDescent="0.4"/>
    <row r="113" spans="1:18" ht="21" customHeight="1" thickTop="1" thickBot="1" x14ac:dyDescent="0.45">
      <c r="A113" s="47"/>
      <c r="B113" s="47"/>
      <c r="C113" s="47"/>
      <c r="D113" s="47"/>
      <c r="E113" s="71" t="str">
        <f>ALL!E114</f>
        <v>Энергия гиббса фаз в данной системе. КДж</v>
      </c>
      <c r="F113" s="72"/>
      <c r="G113" s="71"/>
      <c r="H113" s="71"/>
      <c r="I113" s="71"/>
      <c r="J113" s="71"/>
      <c r="K113" s="71"/>
      <c r="L113" s="74"/>
      <c r="M113" s="74"/>
      <c r="N113" s="74"/>
      <c r="O113" s="74"/>
      <c r="P113" s="74"/>
      <c r="Q113" s="74"/>
      <c r="R113" s="74"/>
    </row>
    <row r="114" spans="1:18" ht="21" hidden="1" customHeight="1" outlineLevel="1" thickTop="1" thickBot="1" x14ac:dyDescent="0.4">
      <c r="D114" s="17" t="s">
        <v>14</v>
      </c>
      <c r="E114" s="17"/>
      <c r="F114" s="6">
        <f t="shared" ref="F114:R114" si="76">F3</f>
        <v>298.2</v>
      </c>
      <c r="G114" s="6">
        <f t="shared" si="76"/>
        <v>431.7</v>
      </c>
      <c r="H114" s="6">
        <f t="shared" si="76"/>
        <v>565.20000000000005</v>
      </c>
      <c r="I114" s="6">
        <f t="shared" si="76"/>
        <v>698.8</v>
      </c>
      <c r="J114" s="6">
        <f t="shared" si="76"/>
        <v>832.3</v>
      </c>
      <c r="K114" s="6">
        <f t="shared" si="76"/>
        <v>965.8</v>
      </c>
      <c r="L114" s="6">
        <f t="shared" si="76"/>
        <v>999.2</v>
      </c>
      <c r="M114" s="6">
        <f t="shared" si="76"/>
        <v>1033</v>
      </c>
      <c r="N114" s="6">
        <f t="shared" si="76"/>
        <v>1066</v>
      </c>
      <c r="O114" s="6">
        <f t="shared" si="76"/>
        <v>1099</v>
      </c>
      <c r="P114" s="6">
        <f t="shared" si="76"/>
        <v>1233</v>
      </c>
      <c r="Q114" s="6">
        <f t="shared" si="76"/>
        <v>1366</v>
      </c>
      <c r="R114" s="6">
        <f t="shared" si="76"/>
        <v>1500</v>
      </c>
    </row>
    <row r="115" spans="1:18" ht="21" hidden="1" customHeight="1" outlineLevel="1" thickTop="1" x14ac:dyDescent="0.35">
      <c r="E115" s="41" t="s">
        <v>48</v>
      </c>
      <c r="F115" s="37">
        <f>F$114*$B$2*SUMPRODUCT(F$92:F$94,F$58:F$60)/1000</f>
        <v>-55.557207969900013</v>
      </c>
      <c r="G115" s="37">
        <f t="shared" ref="G115:R115" si="77">G$114*$B$2*SUMPRODUCT(G$92:G$94,G$58:G$60)/1000</f>
        <v>-113.05751847882424</v>
      </c>
      <c r="H115" s="37">
        <f t="shared" si="77"/>
        <v>-179.2040623905587</v>
      </c>
      <c r="I115" s="37">
        <f t="shared" si="77"/>
        <v>-238.42283088657686</v>
      </c>
      <c r="J115" s="37">
        <f t="shared" si="77"/>
        <v>-273.37350929198163</v>
      </c>
      <c r="K115" s="37">
        <f t="shared" si="77"/>
        <v>-208.28457865615607</v>
      </c>
      <c r="L115" s="37">
        <f t="shared" si="77"/>
        <v>-178.07740500601989</v>
      </c>
      <c r="M115" s="37">
        <f t="shared" si="77"/>
        <v>-151.54170416012175</v>
      </c>
      <c r="N115" s="37">
        <f t="shared" si="77"/>
        <v>-132.56246544727162</v>
      </c>
      <c r="O115" s="37">
        <f t="shared" si="77"/>
        <v>-119.08337685824738</v>
      </c>
      <c r="P115" s="37">
        <f t="shared" si="77"/>
        <v>-98.200490682992069</v>
      </c>
      <c r="Q115" s="37">
        <f t="shared" si="77"/>
        <v>-99.018129182201164</v>
      </c>
      <c r="R115" s="37">
        <f t="shared" si="77"/>
        <v>-108.73147421178753</v>
      </c>
    </row>
    <row r="116" spans="1:18" ht="21" hidden="1" customHeight="1" outlineLevel="1" x14ac:dyDescent="0.35">
      <c r="E116" s="41" t="s">
        <v>45</v>
      </c>
      <c r="F116" s="37">
        <f>F$114*$B$2*SUMPRODUCT(F$81:F$90,F$47:F$56)/1000</f>
        <v>-1.9980630137166362E-7</v>
      </c>
      <c r="G116" s="37">
        <f t="shared" ref="G116:R116" si="78">G$114*$B$2*SUMPRODUCT(G$81:G$90,G$47:G$56)/1000</f>
        <v>-6.1453897179283125E-3</v>
      </c>
      <c r="H116" s="37">
        <f t="shared" si="78"/>
        <v>-1.1172426185272666</v>
      </c>
      <c r="I116" s="37">
        <f t="shared" si="78"/>
        <v>-16.391416388529716</v>
      </c>
      <c r="J116" s="37">
        <f t="shared" si="78"/>
        <v>-62.559436035268753</v>
      </c>
      <c r="K116" s="37">
        <f t="shared" si="78"/>
        <v>-216.28589296214494</v>
      </c>
      <c r="L116" s="37">
        <f t="shared" si="78"/>
        <v>-271.03972438379202</v>
      </c>
      <c r="M116" s="37">
        <f t="shared" si="78"/>
        <v>-323.62331788908517</v>
      </c>
      <c r="N116" s="37">
        <f t="shared" si="78"/>
        <v>-369.78508752149935</v>
      </c>
      <c r="O116" s="37">
        <f t="shared" si="78"/>
        <v>-411.68793382410058</v>
      </c>
      <c r="P116" s="37">
        <f t="shared" si="78"/>
        <v>-554.72232452764013</v>
      </c>
      <c r="Q116" s="37">
        <f t="shared" si="78"/>
        <v>-681.04631671942207</v>
      </c>
      <c r="R116" s="37">
        <f t="shared" si="78"/>
        <v>-747.85466696861874</v>
      </c>
    </row>
    <row r="117" spans="1:18" ht="21" hidden="1" customHeight="1" outlineLevel="1" x14ac:dyDescent="0.35">
      <c r="E117" s="41" t="s">
        <v>44</v>
      </c>
      <c r="F117" s="37">
        <f>F$114*$B$2*SUMPRODUCT(F$81:F$91,F$47:F$57)/1000</f>
        <v>-76.902224164806327</v>
      </c>
      <c r="G117" s="37">
        <f t="shared" ref="G117:R117" si="79">G$114*$B$2*SUMPRODUCT(G$81:G$91,G$47:G$57)/1000</f>
        <v>-112.23376977971797</v>
      </c>
      <c r="H117" s="37">
        <f t="shared" si="79"/>
        <v>-150.1651313885273</v>
      </c>
      <c r="I117" s="37">
        <f t="shared" si="79"/>
        <v>-203.96315515852973</v>
      </c>
      <c r="J117" s="37">
        <f t="shared" si="79"/>
        <v>-290.34798172276879</v>
      </c>
      <c r="K117" s="37">
        <f t="shared" si="79"/>
        <v>-488.106270747145</v>
      </c>
      <c r="L117" s="37">
        <f t="shared" si="79"/>
        <v>-554.6142831037921</v>
      </c>
      <c r="M117" s="37">
        <f t="shared" si="79"/>
        <v>-618.93759031408524</v>
      </c>
      <c r="N117" s="37">
        <f t="shared" si="79"/>
        <v>-676.45377972149947</v>
      </c>
      <c r="O117" s="37">
        <f t="shared" si="79"/>
        <v>-729.52535529910062</v>
      </c>
      <c r="P117" s="37">
        <f t="shared" si="79"/>
        <v>-916.43924260264032</v>
      </c>
      <c r="Q117" s="37">
        <f t="shared" si="79"/>
        <v>-1085.9450062694223</v>
      </c>
      <c r="R117" s="37">
        <f t="shared" si="79"/>
        <v>-1192.4725544686189</v>
      </c>
    </row>
    <row r="118" spans="1:18" ht="21" hidden="1" customHeight="1" outlineLevel="1" x14ac:dyDescent="0.35">
      <c r="E118" s="43" t="s">
        <v>50</v>
      </c>
      <c r="F118" s="37">
        <f>F116+F115</f>
        <v>-55.557208169706314</v>
      </c>
      <c r="G118" s="37">
        <f t="shared" ref="G118:R118" si="80">G116+G115</f>
        <v>-113.06366386854216</v>
      </c>
      <c r="H118" s="37">
        <f t="shared" si="80"/>
        <v>-180.32130500908596</v>
      </c>
      <c r="I118" s="37">
        <f t="shared" si="80"/>
        <v>-254.81424727510657</v>
      </c>
      <c r="J118" s="37">
        <f t="shared" si="80"/>
        <v>-335.93294532725037</v>
      </c>
      <c r="K118" s="37">
        <f t="shared" si="80"/>
        <v>-424.57047161830099</v>
      </c>
      <c r="L118" s="37">
        <f t="shared" si="80"/>
        <v>-449.11712938981191</v>
      </c>
      <c r="M118" s="37">
        <f t="shared" si="80"/>
        <v>-475.16502204920693</v>
      </c>
      <c r="N118" s="37">
        <f t="shared" si="80"/>
        <v>-502.34755296877097</v>
      </c>
      <c r="O118" s="37">
        <f t="shared" si="80"/>
        <v>-530.77131068234792</v>
      </c>
      <c r="P118" s="37">
        <f t="shared" si="80"/>
        <v>-652.92281521063217</v>
      </c>
      <c r="Q118" s="37">
        <f t="shared" si="80"/>
        <v>-780.06444590162323</v>
      </c>
      <c r="R118" s="37">
        <f t="shared" si="80"/>
        <v>-856.58614118040623</v>
      </c>
    </row>
    <row r="119" spans="1:18" ht="21" hidden="1" customHeight="1" outlineLevel="1" x14ac:dyDescent="0.35">
      <c r="E119" s="41" t="s">
        <v>49</v>
      </c>
      <c r="F119" s="37">
        <f>F117+F115</f>
        <v>-132.45943213470633</v>
      </c>
      <c r="G119" s="37">
        <f t="shared" ref="G119:R119" si="81">G117+G115</f>
        <v>-225.29128825854221</v>
      </c>
      <c r="H119" s="37">
        <f t="shared" si="81"/>
        <v>-329.369193779086</v>
      </c>
      <c r="I119" s="37">
        <f t="shared" si="81"/>
        <v>-442.38598604510662</v>
      </c>
      <c r="J119" s="37">
        <f t="shared" si="81"/>
        <v>-563.72149101475043</v>
      </c>
      <c r="K119" s="37">
        <f t="shared" si="81"/>
        <v>-696.3908494033011</v>
      </c>
      <c r="L119" s="37">
        <f t="shared" si="81"/>
        <v>-732.69168810981205</v>
      </c>
      <c r="M119" s="37">
        <f t="shared" si="81"/>
        <v>-770.47929447420699</v>
      </c>
      <c r="N119" s="37">
        <f t="shared" si="81"/>
        <v>-809.01624516877109</v>
      </c>
      <c r="O119" s="37">
        <f t="shared" si="81"/>
        <v>-848.60873215734796</v>
      </c>
      <c r="P119" s="37">
        <f t="shared" si="81"/>
        <v>-1014.6397332856324</v>
      </c>
      <c r="Q119" s="37">
        <f t="shared" si="81"/>
        <v>-1184.9631354516234</v>
      </c>
      <c r="R119" s="37">
        <f t="shared" si="81"/>
        <v>-1301.2040286804065</v>
      </c>
    </row>
    <row r="120" spans="1:18" ht="21" hidden="1" customHeight="1" outlineLevel="1" x14ac:dyDescent="0.35">
      <c r="E120" s="41" t="s">
        <v>62</v>
      </c>
      <c r="F120">
        <f>$A$2</f>
        <v>300</v>
      </c>
      <c r="G120">
        <v>-10000000</v>
      </c>
    </row>
    <row r="121" spans="1:18" ht="21" hidden="1" customHeight="1" outlineLevel="1" x14ac:dyDescent="0.35">
      <c r="F121">
        <f>$F$120</f>
        <v>300</v>
      </c>
      <c r="G121">
        <v>1000000</v>
      </c>
    </row>
    <row r="122" spans="1:18" ht="21" hidden="1" customHeight="1" outlineLevel="1" x14ac:dyDescent="0.35"/>
    <row r="123" spans="1:18" ht="21" hidden="1" customHeight="1" outlineLevel="1" x14ac:dyDescent="0.35"/>
    <row r="124" spans="1:18" ht="21" hidden="1" customHeight="1" outlineLevel="1" x14ac:dyDescent="0.35"/>
    <row r="125" spans="1:18" ht="21" hidden="1" customHeight="1" outlineLevel="1" x14ac:dyDescent="0.35"/>
    <row r="126" spans="1:18" ht="21" hidden="1" customHeight="1" outlineLevel="1" x14ac:dyDescent="0.35"/>
    <row r="127" spans="1:18" ht="21" hidden="1" customHeight="1" outlineLevel="1" x14ac:dyDescent="0.35"/>
    <row r="128" spans="1:18" ht="21" hidden="1" customHeight="1" outlineLevel="1" x14ac:dyDescent="0.35"/>
    <row r="129" spans="1:18" ht="21" hidden="1" customHeight="1" outlineLevel="1" x14ac:dyDescent="0.35"/>
    <row r="130" spans="1:18" ht="21" hidden="1" customHeight="1" outlineLevel="1" x14ac:dyDescent="0.35"/>
    <row r="131" spans="1:18" ht="21" hidden="1" customHeight="1" outlineLevel="1" x14ac:dyDescent="0.35"/>
    <row r="132" spans="1:18" ht="21" hidden="1" customHeight="1" outlineLevel="1" x14ac:dyDescent="0.35"/>
    <row r="133" spans="1:18" ht="21" hidden="1" customHeight="1" outlineLevel="1" x14ac:dyDescent="0.35"/>
    <row r="134" spans="1:18" ht="21" hidden="1" customHeight="1" outlineLevel="1" x14ac:dyDescent="0.35"/>
    <row r="135" spans="1:18" ht="21" hidden="1" customHeight="1" outlineLevel="1" x14ac:dyDescent="0.35"/>
    <row r="136" spans="1:18" ht="21" hidden="1" customHeight="1" outlineLevel="1" x14ac:dyDescent="0.35"/>
    <row r="137" spans="1:18" ht="21" customHeight="1" collapsed="1" thickTop="1" thickBot="1" x14ac:dyDescent="0.4"/>
    <row r="138" spans="1:18" ht="21" customHeight="1" thickBot="1" x14ac:dyDescent="0.45">
      <c r="A138" s="47"/>
      <c r="B138" s="47"/>
      <c r="C138" s="47"/>
      <c r="D138" s="47"/>
      <c r="E138" s="71" t="s">
        <v>15</v>
      </c>
      <c r="F138" s="72"/>
      <c r="G138" s="71"/>
      <c r="H138" s="71"/>
      <c r="I138" s="71"/>
      <c r="J138" s="71"/>
      <c r="K138" s="76"/>
      <c r="L138" s="76"/>
      <c r="M138" s="76"/>
      <c r="N138" s="76"/>
      <c r="O138" s="76"/>
      <c r="P138" s="76"/>
      <c r="Q138" s="76"/>
      <c r="R138" s="76"/>
    </row>
    <row r="139" spans="1:18" ht="21" hidden="1" customHeight="1" outlineLevel="1" thickBot="1" x14ac:dyDescent="0.4">
      <c r="A139" s="23" t="s">
        <v>16</v>
      </c>
      <c r="B139" s="19" t="s">
        <v>17</v>
      </c>
      <c r="C139">
        <v>298.14999999999998</v>
      </c>
    </row>
    <row r="140" spans="1:18" ht="21" hidden="1" customHeight="1" outlineLevel="1" x14ac:dyDescent="0.35">
      <c r="A140">
        <v>8</v>
      </c>
      <c r="B140" s="18" t="s">
        <v>18</v>
      </c>
      <c r="C140">
        <v>5</v>
      </c>
    </row>
    <row r="141" spans="1:18" ht="21" hidden="1" customHeight="1" outlineLevel="1" x14ac:dyDescent="0.35">
      <c r="B141" s="20" t="s">
        <v>19</v>
      </c>
      <c r="C141" s="4">
        <f>C140-$C$140</f>
        <v>0</v>
      </c>
      <c r="D141" s="4">
        <f>D140-$C$140</f>
        <v>-5</v>
      </c>
      <c r="E141" s="4">
        <f t="shared" ref="E141:F141" si="82">E140-$C$140</f>
        <v>-5</v>
      </c>
      <c r="F141" s="4">
        <f t="shared" si="82"/>
        <v>-5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</row>
    <row r="142" spans="1:18" ht="21" hidden="1" customHeight="1" outlineLevel="1" thickBot="1" x14ac:dyDescent="0.4">
      <c r="B142" s="19" t="s">
        <v>20</v>
      </c>
      <c r="C142" s="4">
        <f>C141+$A$140</f>
        <v>8</v>
      </c>
      <c r="D142" s="4">
        <f t="shared" ref="D142:F142" si="83">D141+$A$140</f>
        <v>3</v>
      </c>
      <c r="E142" s="4">
        <f t="shared" si="83"/>
        <v>3</v>
      </c>
      <c r="F142" s="4">
        <f t="shared" si="83"/>
        <v>3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</row>
    <row r="143" spans="1:18" ht="21" hidden="1" customHeight="1" outlineLevel="1" x14ac:dyDescent="0.35"/>
    <row r="144" spans="1:18" ht="21" customHeight="1" collapsed="1" x14ac:dyDescent="0.35"/>
  </sheetData>
  <mergeCells count="2">
    <mergeCell ref="A1:G1"/>
    <mergeCell ref="I1:R1"/>
  </mergeCells>
  <conditionalFormatting sqref="A4:D33">
    <cfRule type="cellIs" dxfId="10" priority="12" operator="equal">
      <formula>0</formula>
    </cfRule>
  </conditionalFormatting>
  <conditionalFormatting sqref="A47:D77">
    <cfRule type="cellIs" dxfId="9" priority="3" operator="equal">
      <formula>0</formula>
    </cfRule>
  </conditionalFormatting>
  <conditionalFormatting sqref="A81:D110">
    <cfRule type="cellIs" dxfId="8" priority="2" operator="equal">
      <formula>0</formula>
    </cfRule>
  </conditionalFormatting>
  <conditionalFormatting sqref="F4:R22">
    <cfRule type="expression" dxfId="7" priority="1">
      <formula>NOT(ISNUMBER(F4))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>
    <tabColor rgb="FF00B0F0"/>
  </sheetPr>
  <dimension ref="A1:AT131"/>
  <sheetViews>
    <sheetView topLeftCell="A45" zoomScale="70" zoomScaleNormal="70" workbookViewId="0">
      <selection activeCell="AC90" sqref="AC90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6" width="8.90625" customWidth="1"/>
    <col min="7" max="7" width="8.6328125" customWidth="1"/>
    <col min="8" max="26" width="8.6328125" hidden="1" customWidth="1"/>
    <col min="27" max="27" width="8.6328125" customWidth="1"/>
    <col min="46" max="46" width="4.7265625" customWidth="1"/>
  </cols>
  <sheetData>
    <row r="1" spans="1:46" ht="87.95" customHeight="1" x14ac:dyDescent="0.35">
      <c r="A1" s="89" t="s">
        <v>51</v>
      </c>
      <c r="B1" s="89"/>
      <c r="C1" s="89"/>
      <c r="D1" s="89"/>
      <c r="E1" s="89"/>
      <c r="F1" s="89"/>
      <c r="G1" s="89"/>
      <c r="H1" s="89"/>
      <c r="I1" s="86" t="str">
        <f>ALL!I1</f>
        <v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v>
      </c>
      <c r="J1" s="86"/>
      <c r="K1" s="86"/>
      <c r="L1" s="86"/>
      <c r="M1" s="86"/>
      <c r="N1" s="86"/>
      <c r="O1" s="86"/>
      <c r="P1" s="86"/>
      <c r="Q1" s="86"/>
      <c r="R1" s="86"/>
      <c r="S1" s="86"/>
      <c r="AT1" s="32"/>
    </row>
    <row r="2" spans="1:46" ht="21" customHeight="1" x14ac:dyDescent="0.4">
      <c r="A2" s="64">
        <v>300</v>
      </c>
      <c r="B2" s="2">
        <v>8.3145000000000007</v>
      </c>
      <c r="C2" s="47"/>
      <c r="D2" s="47"/>
      <c r="E2" s="48"/>
      <c r="F2" s="46" t="str">
        <f>ALL!E2</f>
        <v>Первоначальные данные</v>
      </c>
      <c r="G2" s="45"/>
      <c r="H2" s="45"/>
      <c r="I2" s="45"/>
      <c r="J2" s="45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46" ht="21" hidden="1" customHeight="1" outlineLevel="1" thickTop="1" thickBot="1" x14ac:dyDescent="0.4">
      <c r="A3" s="7" t="s">
        <v>2</v>
      </c>
      <c r="B3" s="7" t="s">
        <v>7</v>
      </c>
      <c r="C3" s="7" t="s">
        <v>8</v>
      </c>
      <c r="D3" s="8" t="s">
        <v>9</v>
      </c>
      <c r="E3" s="68"/>
      <c r="F3" s="68">
        <v>298.2</v>
      </c>
      <c r="G3" s="68">
        <v>331.5</v>
      </c>
      <c r="H3" s="68">
        <v>364.9</v>
      </c>
      <c r="I3" s="68">
        <v>398.3</v>
      </c>
      <c r="J3" s="68">
        <v>431.7</v>
      </c>
      <c r="K3" s="68">
        <v>465.1</v>
      </c>
      <c r="L3" s="68">
        <v>498.5</v>
      </c>
      <c r="M3" s="68">
        <v>531.79999999999995</v>
      </c>
      <c r="N3" s="68">
        <v>565.20000000000005</v>
      </c>
      <c r="O3" s="68">
        <v>698.8</v>
      </c>
      <c r="P3" s="68">
        <v>832.3</v>
      </c>
      <c r="Q3" s="68">
        <v>965.8</v>
      </c>
      <c r="R3" s="68">
        <v>999.2</v>
      </c>
      <c r="S3" s="68">
        <v>1033</v>
      </c>
      <c r="T3" s="68">
        <v>1066</v>
      </c>
      <c r="U3" s="68">
        <v>1099</v>
      </c>
      <c r="V3" s="68">
        <v>1233</v>
      </c>
      <c r="W3" s="68">
        <v>1366</v>
      </c>
      <c r="X3" s="68">
        <v>1400</v>
      </c>
      <c r="Y3" s="68">
        <v>1433</v>
      </c>
      <c r="Z3" s="68">
        <v>1467</v>
      </c>
      <c r="AA3" s="68">
        <v>1500</v>
      </c>
    </row>
    <row r="4" spans="1:46" ht="21" hidden="1" customHeight="1" outlineLevel="1" thickTop="1" thickBot="1" x14ac:dyDescent="0.4">
      <c r="A4" s="5">
        <f t="shared" ref="A4:D33" si="0">IF( ISNUMBER( FIND(A$3,$E4,1)),   IF( ISNUMBER( VALUE(MID($E4,FIND(A$3,$E4,1)+2,1)) ), VALUE( MID($E4,FIND(A$3,$E4,1)+2,1) ),1),0)</f>
        <v>0</v>
      </c>
      <c r="B4" s="5">
        <f t="shared" si="0"/>
        <v>0</v>
      </c>
      <c r="C4" s="5">
        <f t="shared" si="0"/>
        <v>1</v>
      </c>
      <c r="D4" s="5">
        <f t="shared" si="0"/>
        <v>0</v>
      </c>
      <c r="E4" s="68" t="s">
        <v>22</v>
      </c>
      <c r="F4" s="30">
        <v>0</v>
      </c>
      <c r="G4" s="30">
        <v>0</v>
      </c>
      <c r="H4" s="30">
        <v>0</v>
      </c>
      <c r="I4" s="30">
        <v>0</v>
      </c>
      <c r="J4" s="30">
        <v>0</v>
      </c>
      <c r="K4" s="30">
        <v>0</v>
      </c>
      <c r="L4" s="30">
        <v>0</v>
      </c>
      <c r="M4" s="30">
        <v>0</v>
      </c>
      <c r="N4" s="30">
        <v>6.3215999999999997E-24</v>
      </c>
      <c r="O4" s="30">
        <v>1.9479999999999999E-13</v>
      </c>
      <c r="P4" s="30">
        <v>1.8252000000000001E-10</v>
      </c>
      <c r="Q4" s="30">
        <v>1.4366E-9</v>
      </c>
      <c r="R4" s="30">
        <v>2.4853000000000001E-9</v>
      </c>
      <c r="S4" s="30">
        <v>4.4833E-9</v>
      </c>
      <c r="T4" s="30">
        <v>1.1865000000000001E-8</v>
      </c>
      <c r="U4" s="30">
        <v>2.9401E-8</v>
      </c>
      <c r="V4" s="30">
        <v>5.9993999999999999E-2</v>
      </c>
      <c r="W4" s="30">
        <v>0.06</v>
      </c>
      <c r="X4" s="30">
        <v>0.06</v>
      </c>
      <c r="Y4" s="30">
        <v>0.06</v>
      </c>
      <c r="Z4" s="30">
        <v>0.06</v>
      </c>
      <c r="AA4" s="30">
        <v>0.06</v>
      </c>
    </row>
    <row r="5" spans="1:46" ht="21" hidden="1" customHeight="1" outlineLevel="1" thickTop="1" thickBot="1" x14ac:dyDescent="0.4">
      <c r="A5" s="5">
        <f t="shared" si="0"/>
        <v>0</v>
      </c>
      <c r="B5" s="5">
        <f t="shared" si="0"/>
        <v>0</v>
      </c>
      <c r="C5" s="5">
        <f t="shared" si="0"/>
        <v>1</v>
      </c>
      <c r="D5" s="5">
        <f t="shared" si="0"/>
        <v>0</v>
      </c>
      <c r="E5" s="68" t="s">
        <v>37</v>
      </c>
      <c r="F5" s="30">
        <v>0</v>
      </c>
      <c r="G5" s="30">
        <v>0</v>
      </c>
      <c r="H5" s="30">
        <v>0</v>
      </c>
      <c r="I5" s="30">
        <v>2.0312000000000001E-26</v>
      </c>
      <c r="J5" s="30">
        <v>7.3857999999999996E-18</v>
      </c>
      <c r="K5" s="30">
        <v>2.3168000000000001E-11</v>
      </c>
      <c r="L5" s="30">
        <v>6.5644999999999998E-9</v>
      </c>
      <c r="M5" s="30">
        <v>0.06</v>
      </c>
      <c r="N5" s="30">
        <v>0.06</v>
      </c>
      <c r="O5" s="30">
        <v>0.06</v>
      </c>
      <c r="P5" s="30">
        <v>0.06</v>
      </c>
      <c r="Q5" s="30">
        <v>0.06</v>
      </c>
      <c r="R5" s="30">
        <v>0.06</v>
      </c>
      <c r="S5" s="30">
        <v>0.06</v>
      </c>
      <c r="T5" s="30">
        <v>0.06</v>
      </c>
      <c r="U5" s="30">
        <v>0.06</v>
      </c>
      <c r="V5" s="30">
        <v>5.8922000000000001E-6</v>
      </c>
      <c r="W5" s="30">
        <v>2.2055000000000001E-8</v>
      </c>
      <c r="X5" s="30">
        <v>1.0951999999999999E-8</v>
      </c>
      <c r="Y5" s="30">
        <v>7.5769000000000002E-9</v>
      </c>
      <c r="Z5" s="30">
        <v>7.8679999999999997E-9</v>
      </c>
      <c r="AA5" s="30">
        <v>6.0850000000000004E-9</v>
      </c>
    </row>
    <row r="6" spans="1:46" ht="21" hidden="1" customHeight="1" outlineLevel="1" thickTop="1" thickBot="1" x14ac:dyDescent="0.4">
      <c r="A6" s="5">
        <f t="shared" si="0"/>
        <v>0</v>
      </c>
      <c r="B6" s="5">
        <f t="shared" si="0"/>
        <v>1</v>
      </c>
      <c r="C6" s="5">
        <f t="shared" si="0"/>
        <v>1</v>
      </c>
      <c r="D6" s="5">
        <f t="shared" si="0"/>
        <v>0</v>
      </c>
      <c r="E6" s="68" t="s">
        <v>65</v>
      </c>
      <c r="F6" s="30">
        <v>9.6087000000000004E-12</v>
      </c>
      <c r="G6" s="30">
        <v>1.1031E-8</v>
      </c>
      <c r="H6" s="30">
        <v>0.12</v>
      </c>
      <c r="I6" s="30">
        <v>0.12</v>
      </c>
      <c r="J6" s="30">
        <v>0.12</v>
      </c>
      <c r="K6" s="30">
        <v>0.12</v>
      </c>
      <c r="L6" s="30">
        <v>0.12</v>
      </c>
      <c r="M6" s="30">
        <v>1.8961000000000001E-9</v>
      </c>
      <c r="N6" s="30">
        <v>7.5525000000000005E-11</v>
      </c>
      <c r="O6" s="30">
        <v>1.2385E-27</v>
      </c>
      <c r="P6" s="30">
        <v>0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V6" s="30">
        <v>0</v>
      </c>
      <c r="W6" s="30">
        <v>0</v>
      </c>
      <c r="X6" s="30">
        <v>0</v>
      </c>
      <c r="Y6" s="30">
        <v>0</v>
      </c>
      <c r="Z6" s="30">
        <v>0</v>
      </c>
      <c r="AA6" s="30">
        <v>0</v>
      </c>
    </row>
    <row r="7" spans="1:46" ht="21" hidden="1" customHeight="1" outlineLevel="1" thickTop="1" thickBot="1" x14ac:dyDescent="0.4">
      <c r="A7" s="5">
        <f t="shared" si="0"/>
        <v>0</v>
      </c>
      <c r="B7" s="5">
        <f t="shared" si="0"/>
        <v>0</v>
      </c>
      <c r="C7" s="5">
        <f t="shared" si="0"/>
        <v>0</v>
      </c>
      <c r="D7" s="5">
        <f t="shared" si="0"/>
        <v>1</v>
      </c>
      <c r="E7" s="68" t="s">
        <v>1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3.5173000000000003E-2</v>
      </c>
      <c r="N7" s="30">
        <v>7.9995999999999998E-2</v>
      </c>
      <c r="O7" s="30">
        <v>0.08</v>
      </c>
      <c r="P7" s="30">
        <v>0.08</v>
      </c>
      <c r="Q7" s="30">
        <v>0.08</v>
      </c>
      <c r="R7" s="30">
        <v>0.08</v>
      </c>
      <c r="S7" s="30">
        <v>0.08</v>
      </c>
      <c r="T7" s="30">
        <v>0.08</v>
      </c>
      <c r="U7" s="30">
        <v>0.08</v>
      </c>
      <c r="V7" s="30">
        <v>0.08</v>
      </c>
      <c r="W7" s="30">
        <v>0.08</v>
      </c>
      <c r="X7" s="30">
        <v>0.08</v>
      </c>
      <c r="Y7" s="30">
        <v>0.08</v>
      </c>
      <c r="Z7" s="30">
        <v>0.08</v>
      </c>
      <c r="AA7" s="30">
        <v>0.08</v>
      </c>
    </row>
    <row r="8" spans="1:46" ht="21" hidden="1" customHeight="1" outlineLevel="1" thickTop="1" thickBot="1" x14ac:dyDescent="0.4">
      <c r="A8" s="5">
        <f t="shared" si="0"/>
        <v>0</v>
      </c>
      <c r="B8" s="5">
        <f t="shared" si="0"/>
        <v>0</v>
      </c>
      <c r="C8" s="5">
        <f t="shared" si="0"/>
        <v>1</v>
      </c>
      <c r="D8" s="5">
        <f t="shared" si="0"/>
        <v>0</v>
      </c>
      <c r="E8" s="68" t="s">
        <v>21</v>
      </c>
      <c r="F8" s="30">
        <v>0</v>
      </c>
      <c r="G8" s="30">
        <v>0</v>
      </c>
      <c r="H8" s="30">
        <v>0</v>
      </c>
      <c r="I8" s="30">
        <v>2.0312000000000001E-26</v>
      </c>
      <c r="J8" s="30">
        <v>7.3857999999999996E-18</v>
      </c>
      <c r="K8" s="30">
        <v>2.3168000000000001E-11</v>
      </c>
      <c r="L8" s="30">
        <v>6.5644999999999998E-9</v>
      </c>
      <c r="M8" s="30">
        <v>0.06</v>
      </c>
      <c r="N8" s="30">
        <v>0.06</v>
      </c>
      <c r="O8" s="30">
        <v>0.06</v>
      </c>
      <c r="P8" s="30">
        <v>0.06</v>
      </c>
      <c r="Q8" s="30">
        <v>0.06</v>
      </c>
      <c r="R8" s="30">
        <v>0.06</v>
      </c>
      <c r="S8" s="30">
        <v>0.06</v>
      </c>
      <c r="T8" s="30">
        <v>0.06</v>
      </c>
      <c r="U8" s="30">
        <v>0.06</v>
      </c>
      <c r="V8" s="30">
        <v>5.8922000000000001E-6</v>
      </c>
      <c r="W8" s="30">
        <v>2.2055000000000001E-8</v>
      </c>
      <c r="X8" s="30">
        <v>1.0951999999999999E-8</v>
      </c>
      <c r="Y8" s="30">
        <v>7.5769000000000002E-9</v>
      </c>
      <c r="Z8" s="30">
        <v>7.8679999999999997E-9</v>
      </c>
      <c r="AA8" s="30">
        <v>6.0850000000000004E-9</v>
      </c>
    </row>
    <row r="9" spans="1:46" ht="21" hidden="1" customHeight="1" outlineLevel="1" thickTop="1" thickBot="1" x14ac:dyDescent="0.4">
      <c r="A9" s="5">
        <f t="shared" si="0"/>
        <v>0</v>
      </c>
      <c r="B9" s="5">
        <f t="shared" si="0"/>
        <v>1</v>
      </c>
      <c r="C9" s="5">
        <f t="shared" si="0"/>
        <v>0</v>
      </c>
      <c r="D9" s="5">
        <f t="shared" si="0"/>
        <v>0</v>
      </c>
      <c r="E9" s="68" t="s">
        <v>0</v>
      </c>
      <c r="F9" s="30">
        <v>0.24</v>
      </c>
      <c r="G9" s="30">
        <v>0.24</v>
      </c>
      <c r="H9" s="30">
        <v>0.36</v>
      </c>
      <c r="I9" s="30">
        <v>0.36</v>
      </c>
      <c r="J9" s="30">
        <v>0.36</v>
      </c>
      <c r="K9" s="30">
        <v>0.36</v>
      </c>
      <c r="L9" s="30">
        <v>0.36</v>
      </c>
      <c r="M9" s="30">
        <v>0.53276000000000001</v>
      </c>
      <c r="N9" s="30">
        <v>0.59999000000000002</v>
      </c>
      <c r="O9" s="30">
        <v>0.6</v>
      </c>
      <c r="P9" s="30">
        <v>0.6</v>
      </c>
      <c r="Q9" s="30">
        <v>0.6</v>
      </c>
      <c r="R9" s="30">
        <v>0.6</v>
      </c>
      <c r="S9" s="30">
        <v>0.6</v>
      </c>
      <c r="T9" s="30">
        <v>0.6</v>
      </c>
      <c r="U9" s="30">
        <v>0.6</v>
      </c>
      <c r="V9" s="30">
        <v>0.6</v>
      </c>
      <c r="W9" s="30">
        <v>0.6</v>
      </c>
      <c r="X9" s="30">
        <v>0.6</v>
      </c>
      <c r="Y9" s="30">
        <v>0.6</v>
      </c>
      <c r="Z9" s="30">
        <v>0.6</v>
      </c>
      <c r="AA9" s="30">
        <v>0.6</v>
      </c>
    </row>
    <row r="10" spans="1:46" ht="21" hidden="1" customHeight="1" outlineLevel="1" thickTop="1" thickBot="1" x14ac:dyDescent="0.4">
      <c r="A10" s="5">
        <f t="shared" si="0"/>
        <v>0</v>
      </c>
      <c r="B10" s="5">
        <f t="shared" si="0"/>
        <v>2</v>
      </c>
      <c r="C10" s="5">
        <f t="shared" si="0"/>
        <v>1</v>
      </c>
      <c r="D10" s="5">
        <f t="shared" si="0"/>
        <v>0</v>
      </c>
      <c r="E10" s="68" t="s">
        <v>38</v>
      </c>
      <c r="F10" s="30">
        <v>0.12</v>
      </c>
      <c r="G10" s="30">
        <v>0.12</v>
      </c>
      <c r="H10" s="30">
        <v>5.8479999999999999E-10</v>
      </c>
      <c r="I10" s="30">
        <v>8.8798000000000002E-12</v>
      </c>
      <c r="J10" s="30">
        <v>7.4469E-17</v>
      </c>
      <c r="K10" s="30">
        <v>5.9184999999999999E-24</v>
      </c>
      <c r="L10" s="30">
        <v>0</v>
      </c>
      <c r="M10" s="30">
        <v>0</v>
      </c>
      <c r="N10" s="30">
        <v>0</v>
      </c>
      <c r="O10" s="30">
        <v>0</v>
      </c>
      <c r="P10" s="30">
        <v>0</v>
      </c>
      <c r="Q10" s="30">
        <v>0</v>
      </c>
      <c r="R10" s="30">
        <v>0</v>
      </c>
      <c r="S10" s="30">
        <v>0</v>
      </c>
      <c r="T10" s="30">
        <v>0</v>
      </c>
      <c r="U10" s="30">
        <v>0</v>
      </c>
      <c r="V10" s="30">
        <v>0</v>
      </c>
      <c r="W10" s="30">
        <v>0</v>
      </c>
      <c r="X10" s="30">
        <v>0</v>
      </c>
      <c r="Y10" s="30">
        <v>0</v>
      </c>
      <c r="Z10" s="30">
        <v>0</v>
      </c>
      <c r="AA10" s="30">
        <v>0</v>
      </c>
    </row>
    <row r="11" spans="1:46" ht="21" hidden="1" customHeight="1" outlineLevel="1" thickTop="1" thickBot="1" x14ac:dyDescent="0.4">
      <c r="A11" s="5">
        <f t="shared" si="0"/>
        <v>0</v>
      </c>
      <c r="B11" s="5">
        <f t="shared" si="0"/>
        <v>3</v>
      </c>
      <c r="C11" s="5">
        <f t="shared" si="0"/>
        <v>0</v>
      </c>
      <c r="D11" s="5">
        <f t="shared" si="0"/>
        <v>2</v>
      </c>
      <c r="E11" s="68" t="s">
        <v>67</v>
      </c>
      <c r="F11" s="30">
        <v>0.04</v>
      </c>
      <c r="G11" s="30">
        <v>0.04</v>
      </c>
      <c r="H11" s="30">
        <v>0.04</v>
      </c>
      <c r="I11" s="30">
        <v>0.04</v>
      </c>
      <c r="J11" s="30">
        <v>0.04</v>
      </c>
      <c r="K11" s="30">
        <v>0.04</v>
      </c>
      <c r="L11" s="30">
        <v>0.04</v>
      </c>
      <c r="M11" s="30">
        <v>2.2412999999999999E-2</v>
      </c>
      <c r="N11" s="30">
        <v>2.0362000000000001E-6</v>
      </c>
      <c r="O11" s="30">
        <v>7.7761000000000004E-20</v>
      </c>
      <c r="P11" s="30">
        <v>2.5107E-30</v>
      </c>
      <c r="Q11" s="30">
        <v>0</v>
      </c>
      <c r="R11" s="30">
        <v>0</v>
      </c>
      <c r="S11" s="30">
        <v>0</v>
      </c>
      <c r="T11" s="30">
        <v>0</v>
      </c>
      <c r="U11" s="30">
        <v>0</v>
      </c>
      <c r="V11" s="30">
        <v>0</v>
      </c>
      <c r="W11" s="30">
        <v>0</v>
      </c>
      <c r="X11" s="30">
        <v>0</v>
      </c>
      <c r="Y11" s="30">
        <v>0</v>
      </c>
      <c r="Z11" s="30">
        <v>0</v>
      </c>
      <c r="AA11" s="30">
        <v>0</v>
      </c>
    </row>
    <row r="12" spans="1:46" ht="21" hidden="1" customHeight="1" outlineLevel="1" thickTop="1" thickBot="1" x14ac:dyDescent="0.4">
      <c r="A12" s="5">
        <f t="shared" si="0"/>
        <v>0</v>
      </c>
      <c r="B12" s="5">
        <f t="shared" si="0"/>
        <v>0</v>
      </c>
      <c r="C12" s="5">
        <f t="shared" si="0"/>
        <v>2</v>
      </c>
      <c r="D12" s="5">
        <f t="shared" si="0"/>
        <v>0</v>
      </c>
      <c r="E12" s="68" t="s">
        <v>32</v>
      </c>
      <c r="F12" s="30">
        <v>0</v>
      </c>
      <c r="G12" s="30">
        <v>0</v>
      </c>
      <c r="H12" s="30">
        <v>0</v>
      </c>
      <c r="I12" s="30">
        <v>0</v>
      </c>
      <c r="J12" s="30">
        <v>0</v>
      </c>
      <c r="K12" s="30">
        <v>0</v>
      </c>
      <c r="L12" s="30">
        <v>0</v>
      </c>
      <c r="M12" s="30">
        <v>0</v>
      </c>
      <c r="N12" s="30">
        <v>4.1590999999999998E-36</v>
      </c>
      <c r="O12" s="30">
        <v>1.3659000000000001E-27</v>
      </c>
      <c r="P12" s="30">
        <v>8.0203000000000004E-22</v>
      </c>
      <c r="Q12" s="30">
        <v>1.1604999999999999E-17</v>
      </c>
      <c r="R12" s="30">
        <v>8.4930999999999999E-17</v>
      </c>
      <c r="S12" s="30">
        <v>5.4554999999999996E-16</v>
      </c>
      <c r="T12" s="30">
        <v>3.1137999999999998E-15</v>
      </c>
      <c r="U12" s="30">
        <v>1.5962999999999998E-14</v>
      </c>
      <c r="V12" s="30">
        <v>3.9470999999999996E-12</v>
      </c>
      <c r="W12" s="30">
        <v>1.7847999999999999E-10</v>
      </c>
      <c r="X12" s="30">
        <v>4.1200000000000002E-10</v>
      </c>
      <c r="Y12" s="30">
        <v>9.1374999999999997E-10</v>
      </c>
      <c r="Z12" s="30">
        <v>1.9525E-9</v>
      </c>
      <c r="AA12" s="30">
        <v>4.0296000000000002E-9</v>
      </c>
    </row>
    <row r="13" spans="1:46" ht="21" hidden="1" customHeight="1" outlineLevel="1" thickTop="1" thickBot="1" x14ac:dyDescent="0.4">
      <c r="A13" s="5">
        <f t="shared" si="0"/>
        <v>0</v>
      </c>
      <c r="B13" s="5">
        <f t="shared" si="0"/>
        <v>0</v>
      </c>
      <c r="C13" s="5">
        <f t="shared" si="0"/>
        <v>1</v>
      </c>
      <c r="D13" s="5">
        <f t="shared" si="0"/>
        <v>0</v>
      </c>
      <c r="E13" s="68" t="s">
        <v>8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2.0279999999999999E-33</v>
      </c>
      <c r="M13" s="30">
        <v>1.0517E-30</v>
      </c>
      <c r="N13" s="30">
        <v>1.3863000000000001E-28</v>
      </c>
      <c r="O13" s="30">
        <v>5.5174000000000001E-22</v>
      </c>
      <c r="P13" s="30">
        <v>1.6886000000000001E-17</v>
      </c>
      <c r="Q13" s="30">
        <v>2.9747000000000003E-14</v>
      </c>
      <c r="R13" s="30">
        <v>1.4100000000000001E-13</v>
      </c>
      <c r="S13" s="30">
        <v>6.0427000000000001E-13</v>
      </c>
      <c r="T13" s="30">
        <v>2.3635000000000002E-12</v>
      </c>
      <c r="U13" s="30">
        <v>8.5073000000000003E-12</v>
      </c>
      <c r="V13" s="30">
        <v>6.6755000000000004E-10</v>
      </c>
      <c r="W13" s="30">
        <v>1.6446E-8</v>
      </c>
      <c r="X13" s="30">
        <v>3.3279000000000003E-8</v>
      </c>
      <c r="Y13" s="30">
        <v>6.5148999999999997E-8</v>
      </c>
      <c r="Z13" s="30">
        <v>1.2367E-7</v>
      </c>
      <c r="AA13" s="30">
        <v>2.2807999999999999E-7</v>
      </c>
    </row>
    <row r="14" spans="1:46" ht="21" hidden="1" customHeight="1" outlineLevel="1" thickTop="1" thickBot="1" x14ac:dyDescent="0.4">
      <c r="A14" s="5">
        <f t="shared" si="0"/>
        <v>1</v>
      </c>
      <c r="B14" s="5">
        <f t="shared" si="0"/>
        <v>0</v>
      </c>
      <c r="C14" s="5">
        <f t="shared" si="0"/>
        <v>0</v>
      </c>
      <c r="D14" s="5">
        <f t="shared" si="0"/>
        <v>0</v>
      </c>
      <c r="E14" s="68" t="s">
        <v>2</v>
      </c>
      <c r="F14" s="30">
        <v>0.2</v>
      </c>
      <c r="G14" s="30">
        <v>0.2</v>
      </c>
      <c r="H14" s="30">
        <v>0.2</v>
      </c>
      <c r="I14" s="30">
        <v>0.2</v>
      </c>
      <c r="J14" s="30">
        <v>0.2</v>
      </c>
      <c r="K14" s="30">
        <v>0.2</v>
      </c>
      <c r="L14" s="30">
        <v>0.2</v>
      </c>
      <c r="M14" s="30">
        <v>0.2</v>
      </c>
      <c r="N14" s="30">
        <v>0.2</v>
      </c>
      <c r="O14" s="30">
        <v>0.2</v>
      </c>
      <c r="P14" s="30">
        <v>0.2</v>
      </c>
      <c r="Q14" s="30">
        <v>0.2</v>
      </c>
      <c r="R14" s="30">
        <v>0.2</v>
      </c>
      <c r="S14" s="30">
        <v>0.2</v>
      </c>
      <c r="T14" s="30">
        <v>0.2</v>
      </c>
      <c r="U14" s="30">
        <v>0.2</v>
      </c>
      <c r="V14" s="30">
        <v>0.2</v>
      </c>
      <c r="W14" s="30">
        <v>0.2</v>
      </c>
      <c r="X14" s="30">
        <v>0.2</v>
      </c>
      <c r="Y14" s="30">
        <v>0.2</v>
      </c>
      <c r="Z14" s="30">
        <v>0.2</v>
      </c>
      <c r="AA14" s="30">
        <v>0.2</v>
      </c>
    </row>
    <row r="15" spans="1:46" ht="21" hidden="1" customHeight="1" outlineLevel="1" thickTop="1" thickBot="1" x14ac:dyDescent="0.4">
      <c r="A15" s="5">
        <f t="shared" si="0"/>
        <v>0</v>
      </c>
      <c r="B15" s="5">
        <f t="shared" si="0"/>
        <v>0</v>
      </c>
      <c r="C15" s="5">
        <f t="shared" si="0"/>
        <v>1</v>
      </c>
      <c r="D15" s="5">
        <f t="shared" si="0"/>
        <v>0</v>
      </c>
      <c r="E15" s="68" t="s">
        <v>23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5.3322000000000002E-36</v>
      </c>
      <c r="L15" s="30">
        <v>0</v>
      </c>
      <c r="M15" s="30">
        <v>0</v>
      </c>
      <c r="N15" s="30">
        <v>4.0563000000000001E-22</v>
      </c>
      <c r="O15" s="30">
        <v>2.9414999999999999E-12</v>
      </c>
      <c r="P15" s="30">
        <v>1.8252000000000001E-10</v>
      </c>
      <c r="Q15" s="30">
        <v>1.4366E-9</v>
      </c>
      <c r="R15" s="30">
        <v>2.4853000000000001E-9</v>
      </c>
      <c r="S15" s="30">
        <v>4.4833E-9</v>
      </c>
      <c r="T15" s="30">
        <v>1.1865000000000001E-8</v>
      </c>
      <c r="U15" s="30">
        <v>2.9401E-8</v>
      </c>
      <c r="V15" s="30">
        <v>5.9993999999999999E-2</v>
      </c>
      <c r="W15" s="30">
        <v>0.06</v>
      </c>
      <c r="X15" s="30">
        <v>0.06</v>
      </c>
      <c r="Y15" s="30">
        <v>0.06</v>
      </c>
      <c r="Z15" s="30">
        <v>0.06</v>
      </c>
      <c r="AA15" s="30">
        <v>0.06</v>
      </c>
    </row>
    <row r="16" spans="1:46" ht="21" hidden="1" customHeight="1" outlineLevel="1" thickTop="1" thickBot="1" x14ac:dyDescent="0.4">
      <c r="A16" s="5">
        <f t="shared" si="0"/>
        <v>0</v>
      </c>
      <c r="B16" s="5">
        <f t="shared" si="0"/>
        <v>1</v>
      </c>
      <c r="C16" s="5">
        <f t="shared" si="0"/>
        <v>0</v>
      </c>
      <c r="D16" s="5">
        <f t="shared" si="0"/>
        <v>0</v>
      </c>
      <c r="E16" s="68" t="s">
        <v>25</v>
      </c>
      <c r="F16" s="30">
        <v>0</v>
      </c>
      <c r="G16" s="30">
        <v>0</v>
      </c>
      <c r="H16" s="30">
        <v>0</v>
      </c>
      <c r="I16" s="30">
        <v>0</v>
      </c>
      <c r="J16" s="30">
        <v>0</v>
      </c>
      <c r="K16" s="30">
        <v>0</v>
      </c>
      <c r="L16" s="30">
        <v>0</v>
      </c>
      <c r="M16" s="30">
        <v>0</v>
      </c>
      <c r="N16" s="30">
        <v>8.9334000000000005E-28</v>
      </c>
      <c r="O16" s="30">
        <v>4.0487000000000002E-19</v>
      </c>
      <c r="P16" s="30">
        <v>2.6058E-18</v>
      </c>
      <c r="Q16" s="30">
        <v>2.9133000000000001E-18</v>
      </c>
      <c r="R16" s="30">
        <v>3.2060999999999998E-18</v>
      </c>
      <c r="S16" s="30">
        <v>3.7025000000000001E-18</v>
      </c>
      <c r="T16" s="30">
        <v>6.3738999999999996E-18</v>
      </c>
      <c r="U16" s="30">
        <v>1.0374E-17</v>
      </c>
      <c r="V16" s="30">
        <v>4.5484000000000003E-12</v>
      </c>
      <c r="W16" s="30">
        <v>1.437E-12</v>
      </c>
      <c r="X16" s="30">
        <v>1.0780000000000001E-12</v>
      </c>
      <c r="Y16" s="30">
        <v>8.0875999999999998E-13</v>
      </c>
      <c r="Z16" s="30">
        <v>6.0669000000000001E-13</v>
      </c>
      <c r="AA16" s="30">
        <v>4.5502000000000001E-13</v>
      </c>
    </row>
    <row r="17" spans="1:27" ht="21" hidden="1" customHeight="1" outlineLevel="1" thickTop="1" thickBot="1" x14ac:dyDescent="0.4">
      <c r="A17" s="5">
        <f t="shared" si="0"/>
        <v>1</v>
      </c>
      <c r="B17" s="5">
        <f t="shared" si="0"/>
        <v>0</v>
      </c>
      <c r="C17" s="5">
        <f t="shared" si="0"/>
        <v>0</v>
      </c>
      <c r="D17" s="5">
        <f t="shared" si="0"/>
        <v>0</v>
      </c>
      <c r="E17" s="68" t="s">
        <v>74</v>
      </c>
      <c r="F17" s="30">
        <v>-18.79</v>
      </c>
      <c r="G17" s="30">
        <v>-18.809999999999999</v>
      </c>
      <c r="H17" s="30">
        <v>-18.84</v>
      </c>
      <c r="I17" s="30">
        <v>-18.89</v>
      </c>
      <c r="J17" s="30">
        <v>-18.95</v>
      </c>
      <c r="K17" s="30">
        <v>-19.010000000000002</v>
      </c>
      <c r="L17" s="30">
        <v>-19.07</v>
      </c>
      <c r="M17" s="30">
        <v>-19.07</v>
      </c>
      <c r="N17" s="30">
        <v>-19.03</v>
      </c>
      <c r="O17" s="30">
        <v>-19.309999999999999</v>
      </c>
      <c r="P17" s="30">
        <v>-19.57</v>
      </c>
      <c r="Q17" s="30">
        <v>-19.82</v>
      </c>
      <c r="R17" s="30">
        <v>-19.88</v>
      </c>
      <c r="S17" s="30">
        <v>-19.940000000000001</v>
      </c>
      <c r="T17" s="30">
        <v>-20</v>
      </c>
      <c r="U17" s="30">
        <v>-20.05</v>
      </c>
      <c r="V17" s="30">
        <v>-20.260000000000002</v>
      </c>
      <c r="W17" s="30">
        <v>-20.46</v>
      </c>
      <c r="X17" s="30">
        <v>-20.51</v>
      </c>
      <c r="Y17" s="30">
        <v>-20.56</v>
      </c>
      <c r="Z17" s="30">
        <v>-20.6</v>
      </c>
      <c r="AA17" s="30">
        <v>-20.65</v>
      </c>
    </row>
    <row r="18" spans="1:27" ht="21" hidden="1" customHeight="1" outlineLevel="1" thickTop="1" thickBot="1" x14ac:dyDescent="0.4">
      <c r="A18" s="5">
        <f t="shared" si="0"/>
        <v>0</v>
      </c>
      <c r="B18" s="5">
        <f t="shared" si="0"/>
        <v>0</v>
      </c>
      <c r="C18" s="5">
        <f t="shared" si="0"/>
        <v>0</v>
      </c>
      <c r="D18" s="5">
        <f t="shared" si="0"/>
        <v>1</v>
      </c>
      <c r="E18" s="68" t="s">
        <v>75</v>
      </c>
      <c r="F18" s="30">
        <v>-65.599999999999994</v>
      </c>
      <c r="G18" s="30">
        <v>-56.67</v>
      </c>
      <c r="H18" s="30">
        <v>-49.27</v>
      </c>
      <c r="I18" s="30">
        <v>-43</v>
      </c>
      <c r="J18" s="30">
        <v>-37.630000000000003</v>
      </c>
      <c r="K18" s="30">
        <v>-32.94</v>
      </c>
      <c r="L18" s="30">
        <v>-28.82</v>
      </c>
      <c r="M18" s="30">
        <v>-25.41</v>
      </c>
      <c r="N18" s="30">
        <v>-26.73</v>
      </c>
      <c r="O18" s="30">
        <v>-31.78</v>
      </c>
      <c r="P18" s="30">
        <v>-36.28</v>
      </c>
      <c r="Q18" s="30">
        <v>-40.049999999999997</v>
      </c>
      <c r="R18" s="30">
        <v>-40.86</v>
      </c>
      <c r="S18" s="30">
        <v>-41.61</v>
      </c>
      <c r="T18" s="30">
        <v>-42.31</v>
      </c>
      <c r="U18" s="30">
        <v>-42.94</v>
      </c>
      <c r="V18" s="30">
        <v>-44.86</v>
      </c>
      <c r="W18" s="30">
        <v>-45.72</v>
      </c>
      <c r="X18" s="30">
        <v>-45.76</v>
      </c>
      <c r="Y18" s="30">
        <v>-45.74</v>
      </c>
      <c r="Z18" s="30">
        <v>-45.64</v>
      </c>
      <c r="AA18" s="30">
        <v>-45.47</v>
      </c>
    </row>
    <row r="19" spans="1:27" ht="21" hidden="1" customHeight="1" outlineLevel="1" thickTop="1" thickBot="1" x14ac:dyDescent="0.4">
      <c r="A19" s="5">
        <f t="shared" si="0"/>
        <v>0</v>
      </c>
      <c r="B19" s="5">
        <f t="shared" si="0"/>
        <v>0</v>
      </c>
      <c r="C19" s="5">
        <f t="shared" si="0"/>
        <v>1</v>
      </c>
      <c r="D19" s="5">
        <f t="shared" si="0"/>
        <v>0</v>
      </c>
      <c r="E19" s="68" t="s">
        <v>76</v>
      </c>
      <c r="F19" s="30">
        <v>-21.03</v>
      </c>
      <c r="G19" s="30">
        <v>-15.61</v>
      </c>
      <c r="H19" s="30">
        <v>-12.3</v>
      </c>
      <c r="I19" s="30">
        <v>-10.01</v>
      </c>
      <c r="J19" s="30">
        <v>-8.0210000000000008</v>
      </c>
      <c r="K19" s="30">
        <v>-6.28</v>
      </c>
      <c r="L19" s="30">
        <v>-4.7359999999999998</v>
      </c>
      <c r="M19" s="30">
        <v>-4.141</v>
      </c>
      <c r="N19" s="30">
        <v>-4.2229999999999999</v>
      </c>
      <c r="O19" s="30">
        <v>-4.5529999999999999</v>
      </c>
      <c r="P19" s="30">
        <v>-4.8730000000000002</v>
      </c>
      <c r="Q19" s="30">
        <v>-5.1749999999999998</v>
      </c>
      <c r="R19" s="30">
        <v>-5.2469999999999999</v>
      </c>
      <c r="S19" s="30">
        <v>-5.3179999999999996</v>
      </c>
      <c r="T19" s="30">
        <v>-5.3890000000000002</v>
      </c>
      <c r="U19" s="30">
        <v>-5.4580000000000002</v>
      </c>
      <c r="V19" s="30">
        <v>-5.7869999999999999</v>
      </c>
      <c r="W19" s="30">
        <v>-6.3879999999999999</v>
      </c>
      <c r="X19" s="30">
        <v>-6.5250000000000004</v>
      </c>
      <c r="Y19" s="30">
        <v>-6.6580000000000004</v>
      </c>
      <c r="Z19" s="30">
        <v>-6.7869999999999999</v>
      </c>
      <c r="AA19" s="30">
        <v>-6.9109999999999996</v>
      </c>
    </row>
    <row r="20" spans="1:27" ht="21" hidden="1" customHeight="1" outlineLevel="1" thickTop="1" thickBot="1" x14ac:dyDescent="0.4">
      <c r="A20" s="5">
        <f t="shared" si="0"/>
        <v>0</v>
      </c>
      <c r="B20" s="5">
        <f t="shared" si="0"/>
        <v>1</v>
      </c>
      <c r="C20" s="5">
        <f t="shared" si="0"/>
        <v>0</v>
      </c>
      <c r="D20" s="5">
        <f t="shared" si="0"/>
        <v>0</v>
      </c>
      <c r="E20" s="68" t="s">
        <v>77</v>
      </c>
      <c r="F20" s="30">
        <v>-19.05</v>
      </c>
      <c r="G20" s="30">
        <v>-19.489999999999998</v>
      </c>
      <c r="H20" s="30">
        <v>-19.97</v>
      </c>
      <c r="I20" s="30">
        <v>-20.47</v>
      </c>
      <c r="J20" s="30">
        <v>-20.98</v>
      </c>
      <c r="K20" s="30">
        <v>-21.49</v>
      </c>
      <c r="L20" s="30">
        <v>-22.01</v>
      </c>
      <c r="M20" s="30">
        <v>-22.51</v>
      </c>
      <c r="N20" s="30">
        <v>-23.02</v>
      </c>
      <c r="O20" s="30">
        <v>-24.96</v>
      </c>
      <c r="P20" s="30">
        <v>-26.77</v>
      </c>
      <c r="Q20" s="30">
        <v>-28.49</v>
      </c>
      <c r="R20" s="30">
        <v>-28.9</v>
      </c>
      <c r="S20" s="30">
        <v>-29.31</v>
      </c>
      <c r="T20" s="30">
        <v>-29.72</v>
      </c>
      <c r="U20" s="30">
        <v>-30.12</v>
      </c>
      <c r="V20" s="30">
        <v>-31.69</v>
      </c>
      <c r="W20" s="30">
        <v>-33.22</v>
      </c>
      <c r="X20" s="30">
        <v>-33.590000000000003</v>
      </c>
      <c r="Y20" s="30">
        <v>-33.97</v>
      </c>
      <c r="Z20" s="30">
        <v>-34.340000000000003</v>
      </c>
      <c r="AA20" s="30">
        <v>-34.71</v>
      </c>
    </row>
    <row r="21" spans="1:27" ht="21" hidden="1" customHeight="1" outlineLevel="1" thickTop="1" thickBot="1" x14ac:dyDescent="0.4">
      <c r="A21" s="5">
        <f t="shared" si="0"/>
        <v>0</v>
      </c>
      <c r="B21" s="5">
        <f t="shared" si="0"/>
        <v>0</v>
      </c>
      <c r="C21" s="5">
        <f t="shared" si="0"/>
        <v>0</v>
      </c>
      <c r="D21" s="5">
        <f t="shared" si="0"/>
        <v>0</v>
      </c>
      <c r="E21" s="33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</row>
    <row r="22" spans="1:27" ht="21" hidden="1" customHeight="1" outlineLevel="1" thickBot="1" x14ac:dyDescent="0.4">
      <c r="A22" s="5">
        <f t="shared" si="0"/>
        <v>0</v>
      </c>
      <c r="B22" s="5">
        <f t="shared" si="0"/>
        <v>0</v>
      </c>
      <c r="C22" s="5">
        <f t="shared" si="0"/>
        <v>0</v>
      </c>
      <c r="D22" s="5">
        <f t="shared" si="0"/>
        <v>0</v>
      </c>
      <c r="E22" s="33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</row>
    <row r="23" spans="1:27" ht="21" hidden="1" customHeight="1" outlineLevel="1" thickBot="1" x14ac:dyDescent="0.4">
      <c r="A23" s="5">
        <f t="shared" si="0"/>
        <v>0</v>
      </c>
      <c r="B23" s="5">
        <f t="shared" si="0"/>
        <v>0</v>
      </c>
      <c r="C23" s="5">
        <f t="shared" si="0"/>
        <v>0</v>
      </c>
      <c r="D23" s="5">
        <f t="shared" si="0"/>
        <v>0</v>
      </c>
      <c r="E23" s="33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</row>
    <row r="24" spans="1:27" ht="21" hidden="1" customHeight="1" outlineLevel="1" thickBot="1" x14ac:dyDescent="0.4">
      <c r="A24" s="5">
        <f t="shared" si="0"/>
        <v>0</v>
      </c>
      <c r="B24" s="5">
        <f t="shared" si="0"/>
        <v>0</v>
      </c>
      <c r="C24" s="5">
        <f t="shared" si="0"/>
        <v>0</v>
      </c>
      <c r="D24" s="5">
        <f t="shared" si="0"/>
        <v>0</v>
      </c>
      <c r="E24" s="33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</row>
    <row r="25" spans="1:27" ht="21" hidden="1" customHeight="1" outlineLevel="1" thickBot="1" x14ac:dyDescent="0.4">
      <c r="A25" s="5">
        <f t="shared" si="0"/>
        <v>0</v>
      </c>
      <c r="B25" s="5">
        <f t="shared" si="0"/>
        <v>0</v>
      </c>
      <c r="C25" s="5">
        <f t="shared" si="0"/>
        <v>0</v>
      </c>
      <c r="D25" s="5">
        <f t="shared" si="0"/>
        <v>0</v>
      </c>
      <c r="E25" s="33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65"/>
    </row>
    <row r="26" spans="1:27" ht="21" hidden="1" customHeight="1" outlineLevel="1" thickBot="1" x14ac:dyDescent="0.4">
      <c r="A26" s="5">
        <f t="shared" si="0"/>
        <v>0</v>
      </c>
      <c r="B26" s="5">
        <f t="shared" si="0"/>
        <v>0</v>
      </c>
      <c r="C26" s="5">
        <f t="shared" si="0"/>
        <v>0</v>
      </c>
      <c r="D26" s="5">
        <f t="shared" si="0"/>
        <v>0</v>
      </c>
      <c r="E26" s="33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</row>
    <row r="27" spans="1:27" ht="21" hidden="1" customHeight="1" outlineLevel="1" thickBot="1" x14ac:dyDescent="0.4">
      <c r="A27" s="5">
        <f t="shared" si="0"/>
        <v>0</v>
      </c>
      <c r="B27" s="5">
        <f t="shared" si="0"/>
        <v>0</v>
      </c>
      <c r="C27" s="5">
        <f t="shared" si="0"/>
        <v>0</v>
      </c>
      <c r="D27" s="5">
        <f t="shared" si="0"/>
        <v>0</v>
      </c>
      <c r="E27" s="33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</row>
    <row r="28" spans="1:27" ht="21" hidden="1" customHeight="1" outlineLevel="1" thickBot="1" x14ac:dyDescent="0.4">
      <c r="A28" s="5">
        <f t="shared" si="0"/>
        <v>0</v>
      </c>
      <c r="B28" s="5">
        <f t="shared" si="0"/>
        <v>0</v>
      </c>
      <c r="C28" s="5">
        <f t="shared" si="0"/>
        <v>0</v>
      </c>
      <c r="D28" s="5">
        <f t="shared" si="0"/>
        <v>0</v>
      </c>
      <c r="E28" s="33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</row>
    <row r="29" spans="1:27" ht="21" hidden="1" customHeight="1" outlineLevel="1" thickBot="1" x14ac:dyDescent="0.4">
      <c r="A29" s="5">
        <f t="shared" si="0"/>
        <v>0</v>
      </c>
      <c r="B29" s="5">
        <f t="shared" si="0"/>
        <v>0</v>
      </c>
      <c r="C29" s="5">
        <f t="shared" si="0"/>
        <v>0</v>
      </c>
      <c r="D29" s="5">
        <f t="shared" si="0"/>
        <v>0</v>
      </c>
      <c r="E29" s="33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</row>
    <row r="30" spans="1:27" ht="21" hidden="1" customHeight="1" outlineLevel="1" thickBot="1" x14ac:dyDescent="0.4">
      <c r="A30" s="5">
        <f t="shared" si="0"/>
        <v>0</v>
      </c>
      <c r="B30" s="5">
        <f t="shared" si="0"/>
        <v>0</v>
      </c>
      <c r="C30" s="5">
        <f t="shared" si="0"/>
        <v>0</v>
      </c>
      <c r="D30" s="5">
        <f t="shared" si="0"/>
        <v>0</v>
      </c>
      <c r="E30" s="33"/>
    </row>
    <row r="31" spans="1:27" ht="21" hidden="1" customHeight="1" outlineLevel="1" thickBot="1" x14ac:dyDescent="0.4">
      <c r="A31" s="5">
        <f t="shared" si="0"/>
        <v>0</v>
      </c>
      <c r="B31" s="5">
        <f t="shared" si="0"/>
        <v>0</v>
      </c>
      <c r="C31" s="5">
        <f t="shared" si="0"/>
        <v>0</v>
      </c>
      <c r="D31" s="5">
        <f t="shared" si="0"/>
        <v>0</v>
      </c>
      <c r="E31" s="33"/>
    </row>
    <row r="32" spans="1:27" ht="21" hidden="1" customHeight="1" outlineLevel="1" thickBot="1" x14ac:dyDescent="0.4">
      <c r="A32" s="5">
        <f t="shared" si="0"/>
        <v>0</v>
      </c>
      <c r="B32" s="5">
        <f t="shared" si="0"/>
        <v>0</v>
      </c>
      <c r="C32" s="5">
        <f t="shared" si="0"/>
        <v>0</v>
      </c>
      <c r="D32" s="5">
        <f t="shared" si="0"/>
        <v>0</v>
      </c>
      <c r="E32" s="33"/>
    </row>
    <row r="33" spans="1:34" ht="21" hidden="1" customHeight="1" outlineLevel="1" thickBot="1" x14ac:dyDescent="0.4">
      <c r="A33" s="5">
        <f t="shared" si="0"/>
        <v>0</v>
      </c>
      <c r="B33" s="5">
        <f t="shared" si="0"/>
        <v>0</v>
      </c>
      <c r="C33" s="5">
        <f t="shared" si="0"/>
        <v>0</v>
      </c>
      <c r="D33" s="5">
        <f t="shared" si="0"/>
        <v>0</v>
      </c>
      <c r="E33" s="33">
        <v>1</v>
      </c>
    </row>
    <row r="34" spans="1:34" ht="21" hidden="1" customHeight="1" outlineLevel="1" x14ac:dyDescent="0.35">
      <c r="E34">
        <f>$A$2</f>
        <v>300</v>
      </c>
      <c r="F34" s="39">
        <f>MIN(F4:AA17)</f>
        <v>-20.65</v>
      </c>
    </row>
    <row r="35" spans="1:34" ht="21" customHeight="1" collapsed="1" thickBot="1" x14ac:dyDescent="0.4">
      <c r="E35">
        <f>$A$2</f>
        <v>300</v>
      </c>
      <c r="F35" s="39">
        <f>MAX(F4:AA17)+1</f>
        <v>1.6</v>
      </c>
    </row>
    <row r="36" spans="1:34" ht="21" customHeight="1" thickTop="1" thickBot="1" x14ac:dyDescent="0.45">
      <c r="A36" s="9" t="s">
        <v>11</v>
      </c>
      <c r="B36" s="10"/>
      <c r="C36" s="10"/>
      <c r="D36" s="13"/>
      <c r="E36" s="71" t="str">
        <f>ALL!E36</f>
        <v>Общая энергия гиббса смесей, КДж</v>
      </c>
      <c r="F36" s="72"/>
      <c r="G36" s="71"/>
      <c r="H36" s="71"/>
      <c r="I36" s="71"/>
      <c r="J36" s="71"/>
      <c r="K36" s="71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16"/>
      <c r="AC36" s="16"/>
      <c r="AD36" s="16"/>
      <c r="AE36" s="16"/>
      <c r="AF36" s="16"/>
      <c r="AG36" s="16"/>
      <c r="AH36" s="16"/>
    </row>
    <row r="37" spans="1:34" ht="21" hidden="1" customHeight="1" outlineLevel="1" thickTop="1" thickBot="1" x14ac:dyDescent="0.4">
      <c r="A37" s="14" t="s">
        <v>2</v>
      </c>
      <c r="B37" s="14" t="s">
        <v>8</v>
      </c>
      <c r="C37" s="14" t="s">
        <v>9</v>
      </c>
      <c r="D37" s="14" t="s">
        <v>7</v>
      </c>
      <c r="E37" s="14" t="s">
        <v>13</v>
      </c>
      <c r="F37" s="6">
        <f t="shared" ref="F37:AA37" si="1">F3</f>
        <v>298.2</v>
      </c>
      <c r="G37" s="6">
        <f t="shared" si="1"/>
        <v>331.5</v>
      </c>
      <c r="H37" s="6">
        <f t="shared" si="1"/>
        <v>364.9</v>
      </c>
      <c r="I37" s="6">
        <f t="shared" si="1"/>
        <v>398.3</v>
      </c>
      <c r="J37" s="6">
        <f t="shared" si="1"/>
        <v>431.7</v>
      </c>
      <c r="K37" s="6">
        <f t="shared" si="1"/>
        <v>465.1</v>
      </c>
      <c r="L37" s="6">
        <f t="shared" si="1"/>
        <v>498.5</v>
      </c>
      <c r="M37" s="6">
        <f t="shared" si="1"/>
        <v>531.79999999999995</v>
      </c>
      <c r="N37" s="6">
        <f t="shared" si="1"/>
        <v>565.20000000000005</v>
      </c>
      <c r="O37" s="6">
        <f t="shared" si="1"/>
        <v>698.8</v>
      </c>
      <c r="P37" s="6">
        <f t="shared" si="1"/>
        <v>832.3</v>
      </c>
      <c r="Q37" s="6">
        <f t="shared" si="1"/>
        <v>965.8</v>
      </c>
      <c r="R37" s="6">
        <f t="shared" si="1"/>
        <v>999.2</v>
      </c>
      <c r="S37" s="6">
        <f t="shared" si="1"/>
        <v>1033</v>
      </c>
      <c r="T37" s="6">
        <f t="shared" si="1"/>
        <v>1066</v>
      </c>
      <c r="U37" s="6">
        <f t="shared" si="1"/>
        <v>1099</v>
      </c>
      <c r="V37" s="6">
        <f t="shared" si="1"/>
        <v>1233</v>
      </c>
      <c r="W37" s="6">
        <f t="shared" si="1"/>
        <v>1366</v>
      </c>
      <c r="X37" s="6">
        <f t="shared" si="1"/>
        <v>1400</v>
      </c>
      <c r="Y37" s="6">
        <f t="shared" si="1"/>
        <v>1433</v>
      </c>
      <c r="Z37" s="6">
        <f t="shared" si="1"/>
        <v>1467</v>
      </c>
      <c r="AA37" s="6">
        <f t="shared" si="1"/>
        <v>1500</v>
      </c>
    </row>
    <row r="38" spans="1:34" ht="21" hidden="1" customHeight="1" outlineLevel="1" thickTop="1" x14ac:dyDescent="0.35">
      <c r="A38" s="15">
        <f>A43/$B43</f>
        <v>1.6666666666666667</v>
      </c>
      <c r="B38" s="15">
        <f>B43/$B43</f>
        <v>1</v>
      </c>
      <c r="C38" s="15">
        <f>C43/$B43</f>
        <v>0.66666666666666674</v>
      </c>
      <c r="D38" s="15">
        <f>D43/$B43</f>
        <v>5</v>
      </c>
      <c r="E38" s="15">
        <f>SUM(A38:D38)</f>
        <v>8.3333333333333339</v>
      </c>
      <c r="F38" s="69">
        <f t="shared" ref="F38:AA38" si="2">($B$38*H.Ge+$C$38*H.Ga+$D$38*H.Se)*F$37*$B$2/1000</f>
        <v>-396.73448245199995</v>
      </c>
      <c r="G38" s="69">
        <f t="shared" si="2"/>
        <v>-415.75376817000006</v>
      </c>
      <c r="H38" s="69">
        <f t="shared" si="2"/>
        <v>-439.91423904650003</v>
      </c>
      <c r="I38" s="69">
        <f t="shared" si="2"/>
        <v>-467.03312542600008</v>
      </c>
      <c r="J38" s="69">
        <f t="shared" si="2"/>
        <v>-495.36053020065015</v>
      </c>
      <c r="K38" s="69">
        <f t="shared" si="2"/>
        <v>-524.72326427550013</v>
      </c>
      <c r="L38" s="69">
        <f t="shared" si="2"/>
        <v>-555.39752231450007</v>
      </c>
      <c r="M38" s="69">
        <f t="shared" si="2"/>
        <v>-590.86965814410007</v>
      </c>
      <c r="N38" s="69">
        <f t="shared" si="2"/>
        <v>-644.48369762220011</v>
      </c>
      <c r="O38" s="69">
        <f t="shared" si="2"/>
        <v>-874.66144647980002</v>
      </c>
      <c r="P38" s="69">
        <f t="shared" si="2"/>
        <v>-1127.3606900790501</v>
      </c>
      <c r="Q38" s="69">
        <f t="shared" si="2"/>
        <v>-1399.8548702325002</v>
      </c>
      <c r="R38" s="69">
        <f t="shared" si="2"/>
        <v>-1470.3811647708001</v>
      </c>
      <c r="S38" s="69">
        <f t="shared" si="2"/>
        <v>-1542.6312896280001</v>
      </c>
      <c r="T38" s="69">
        <f t="shared" si="2"/>
        <v>-1614.8470179530002</v>
      </c>
      <c r="U38" s="69">
        <f t="shared" si="2"/>
        <v>-1687.5811664390001</v>
      </c>
      <c r="V38" s="69">
        <f t="shared" si="2"/>
        <v>-1990.3178678445004</v>
      </c>
      <c r="W38" s="69">
        <f t="shared" si="2"/>
        <v>-2305.230777576</v>
      </c>
      <c r="X38" s="69">
        <f t="shared" si="2"/>
        <v>-2386.0480945000004</v>
      </c>
      <c r="Y38" s="69">
        <f t="shared" si="2"/>
        <v>-2466.3543357379999</v>
      </c>
      <c r="Z38" s="69">
        <f t="shared" si="2"/>
        <v>-2548.1976037605004</v>
      </c>
      <c r="AA38" s="69">
        <f t="shared" si="2"/>
        <v>-2628.7247917500003</v>
      </c>
    </row>
    <row r="39" spans="1:34" ht="21" hidden="1" customHeight="1" outlineLevel="1" x14ac:dyDescent="0.35"/>
    <row r="40" spans="1:34" ht="21" hidden="1" customHeight="1" outlineLevel="1" x14ac:dyDescent="0.35"/>
    <row r="41" spans="1:34" ht="21" hidden="1" customHeight="1" outlineLevel="1" thickBot="1" x14ac:dyDescent="0.4">
      <c r="A41" s="13" t="s">
        <v>12</v>
      </c>
      <c r="B41" s="13"/>
      <c r="C41" s="13"/>
      <c r="D41" s="13"/>
    </row>
    <row r="42" spans="1:34" ht="21" hidden="1" customHeight="1" outlineLevel="1" thickTop="1" thickBot="1" x14ac:dyDescent="0.4">
      <c r="A42" s="3" t="s">
        <v>2</v>
      </c>
      <c r="B42" s="3" t="s">
        <v>8</v>
      </c>
      <c r="C42" s="3" t="s">
        <v>9</v>
      </c>
      <c r="D42" s="3" t="s">
        <v>7</v>
      </c>
    </row>
    <row r="43" spans="1:34" ht="21" hidden="1" customHeight="1" outlineLevel="1" thickTop="1" x14ac:dyDescent="0.35">
      <c r="A43" s="70">
        <v>0.25</v>
      </c>
      <c r="B43" s="70">
        <v>0.15</v>
      </c>
      <c r="C43" s="70">
        <v>0.1</v>
      </c>
      <c r="D43" s="70">
        <v>0.75</v>
      </c>
      <c r="W43" s="1"/>
    </row>
    <row r="44" spans="1:34" ht="21" hidden="1" customHeight="1" outlineLevel="1" x14ac:dyDescent="0.35"/>
    <row r="45" spans="1:34" ht="21" customHeight="1" collapsed="1" thickTop="1" thickBot="1" x14ac:dyDescent="0.4"/>
    <row r="46" spans="1:34" ht="21" customHeight="1" thickBot="1" x14ac:dyDescent="0.45">
      <c r="A46" s="47"/>
      <c r="B46" s="47"/>
      <c r="C46" s="47"/>
      <c r="D46" s="47"/>
      <c r="E46" s="71" t="str">
        <f>ALL!E46</f>
        <v>Удельная энергия Гиббса отдельных веществ из потенциалов. Дж</v>
      </c>
      <c r="F46" s="72"/>
      <c r="G46" s="71"/>
      <c r="H46" s="71"/>
      <c r="I46" s="71"/>
      <c r="J46" s="71"/>
      <c r="K46" s="71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</row>
    <row r="47" spans="1:34" ht="21" hidden="1" customHeight="1" outlineLevel="1" thickTop="1" thickBot="1" x14ac:dyDescent="0.4">
      <c r="A47" s="21" t="s">
        <v>2</v>
      </c>
      <c r="B47" s="21" t="s">
        <v>7</v>
      </c>
      <c r="C47" s="21" t="s">
        <v>8</v>
      </c>
      <c r="D47" s="22" t="s">
        <v>9</v>
      </c>
      <c r="E47" s="29">
        <f t="shared" ref="E47:AA47" si="3">E3</f>
        <v>0</v>
      </c>
      <c r="F47" s="29">
        <f t="shared" si="3"/>
        <v>298.2</v>
      </c>
      <c r="G47" s="29">
        <f t="shared" si="3"/>
        <v>331.5</v>
      </c>
      <c r="H47" s="29">
        <f t="shared" si="3"/>
        <v>364.9</v>
      </c>
      <c r="I47" s="29">
        <f t="shared" si="3"/>
        <v>398.3</v>
      </c>
      <c r="J47" s="29">
        <f t="shared" si="3"/>
        <v>431.7</v>
      </c>
      <c r="K47" s="29">
        <f t="shared" si="3"/>
        <v>465.1</v>
      </c>
      <c r="L47" s="29">
        <f t="shared" si="3"/>
        <v>498.5</v>
      </c>
      <c r="M47" s="29">
        <f t="shared" si="3"/>
        <v>531.79999999999995</v>
      </c>
      <c r="N47" s="29">
        <f t="shared" si="3"/>
        <v>565.20000000000005</v>
      </c>
      <c r="O47" s="29">
        <f t="shared" si="3"/>
        <v>698.8</v>
      </c>
      <c r="P47" s="29">
        <f t="shared" si="3"/>
        <v>832.3</v>
      </c>
      <c r="Q47" s="29">
        <f t="shared" si="3"/>
        <v>965.8</v>
      </c>
      <c r="R47" s="29">
        <f t="shared" si="3"/>
        <v>999.2</v>
      </c>
      <c r="S47" s="29">
        <f t="shared" si="3"/>
        <v>1033</v>
      </c>
      <c r="T47" s="29">
        <f t="shared" si="3"/>
        <v>1066</v>
      </c>
      <c r="U47" s="29">
        <f t="shared" si="3"/>
        <v>1099</v>
      </c>
      <c r="V47" s="29">
        <f t="shared" si="3"/>
        <v>1233</v>
      </c>
      <c r="W47" s="29">
        <f t="shared" si="3"/>
        <v>1366</v>
      </c>
      <c r="X47" s="29">
        <f t="shared" si="3"/>
        <v>1400</v>
      </c>
      <c r="Y47" s="29">
        <f t="shared" si="3"/>
        <v>1433</v>
      </c>
      <c r="Z47" s="29">
        <f t="shared" si="3"/>
        <v>1467</v>
      </c>
      <c r="AA47" s="29">
        <f t="shared" si="3"/>
        <v>1500</v>
      </c>
    </row>
    <row r="48" spans="1:34" ht="21" hidden="1" customHeight="1" outlineLevel="1" thickTop="1" thickBot="1" x14ac:dyDescent="0.4">
      <c r="A48" s="5">
        <f t="shared" ref="A48:E57" si="4">A4</f>
        <v>0</v>
      </c>
      <c r="B48" s="5">
        <f t="shared" si="4"/>
        <v>0</v>
      </c>
      <c r="C48" s="5">
        <f t="shared" si="4"/>
        <v>1</v>
      </c>
      <c r="D48" s="5">
        <f t="shared" si="4"/>
        <v>0</v>
      </c>
      <c r="E48" s="33" t="str">
        <f t="shared" si="4"/>
        <v>*Ge[l]</v>
      </c>
      <c r="F48" s="37">
        <f t="shared" ref="F48:O57" si="5">$A48*H.Ar + $B48*H.Se + $C48*H.Ge + $D48*H.Ga</f>
        <v>-21.03</v>
      </c>
      <c r="G48" s="37">
        <f t="shared" si="5"/>
        <v>-15.61</v>
      </c>
      <c r="H48" s="37">
        <f t="shared" si="5"/>
        <v>-12.3</v>
      </c>
      <c r="I48" s="37">
        <f t="shared" si="5"/>
        <v>-10.01</v>
      </c>
      <c r="J48" s="37">
        <f t="shared" si="5"/>
        <v>-8.0210000000000008</v>
      </c>
      <c r="K48" s="37">
        <f t="shared" si="5"/>
        <v>-6.28</v>
      </c>
      <c r="L48" s="37">
        <f t="shared" si="5"/>
        <v>-4.7359999999999998</v>
      </c>
      <c r="M48" s="37">
        <f t="shared" si="5"/>
        <v>-4.141</v>
      </c>
      <c r="N48" s="37">
        <f t="shared" si="5"/>
        <v>-4.2229999999999999</v>
      </c>
      <c r="O48" s="37">
        <f t="shared" si="5"/>
        <v>-4.5529999999999999</v>
      </c>
      <c r="P48" s="37">
        <f t="shared" ref="P48:AA57" si="6">$A48*H.Ar + $B48*H.Se + $C48*H.Ge + $D48*H.Ga</f>
        <v>-4.8730000000000002</v>
      </c>
      <c r="Q48" s="37">
        <f t="shared" si="6"/>
        <v>-5.1749999999999998</v>
      </c>
      <c r="R48" s="37">
        <f t="shared" si="6"/>
        <v>-5.2469999999999999</v>
      </c>
      <c r="S48" s="37">
        <f t="shared" si="6"/>
        <v>-5.3179999999999996</v>
      </c>
      <c r="T48" s="37">
        <f t="shared" si="6"/>
        <v>-5.3890000000000002</v>
      </c>
      <c r="U48" s="37">
        <f t="shared" si="6"/>
        <v>-5.4580000000000002</v>
      </c>
      <c r="V48" s="37">
        <f t="shared" si="6"/>
        <v>-5.7869999999999999</v>
      </c>
      <c r="W48" s="37">
        <f t="shared" si="6"/>
        <v>-6.3879999999999999</v>
      </c>
      <c r="X48" s="37">
        <f t="shared" si="6"/>
        <v>-6.5250000000000004</v>
      </c>
      <c r="Y48" s="37">
        <f t="shared" si="6"/>
        <v>-6.6580000000000004</v>
      </c>
      <c r="Z48" s="37">
        <f t="shared" si="6"/>
        <v>-6.7869999999999999</v>
      </c>
      <c r="AA48" s="37">
        <f t="shared" si="6"/>
        <v>-6.9109999999999996</v>
      </c>
    </row>
    <row r="49" spans="1:27" ht="21" hidden="1" customHeight="1" outlineLevel="1" thickBot="1" x14ac:dyDescent="0.4">
      <c r="A49" s="5">
        <f t="shared" si="4"/>
        <v>0</v>
      </c>
      <c r="B49" s="5">
        <f t="shared" si="4"/>
        <v>0</v>
      </c>
      <c r="C49" s="5">
        <f t="shared" si="4"/>
        <v>1</v>
      </c>
      <c r="D49" s="5">
        <f t="shared" si="4"/>
        <v>0</v>
      </c>
      <c r="E49" s="33" t="str">
        <f t="shared" si="4"/>
        <v>*Ge</v>
      </c>
      <c r="F49" s="37">
        <f t="shared" si="5"/>
        <v>-21.03</v>
      </c>
      <c r="G49" s="37">
        <f t="shared" si="5"/>
        <v>-15.61</v>
      </c>
      <c r="H49" s="37">
        <f t="shared" si="5"/>
        <v>-12.3</v>
      </c>
      <c r="I49" s="37">
        <f t="shared" si="5"/>
        <v>-10.01</v>
      </c>
      <c r="J49" s="37">
        <f t="shared" si="5"/>
        <v>-8.0210000000000008</v>
      </c>
      <c r="K49" s="37">
        <f t="shared" si="5"/>
        <v>-6.28</v>
      </c>
      <c r="L49" s="37">
        <f t="shared" si="5"/>
        <v>-4.7359999999999998</v>
      </c>
      <c r="M49" s="37">
        <f t="shared" si="5"/>
        <v>-4.141</v>
      </c>
      <c r="N49" s="37">
        <f t="shared" si="5"/>
        <v>-4.2229999999999999</v>
      </c>
      <c r="O49" s="37">
        <f t="shared" si="5"/>
        <v>-4.5529999999999999</v>
      </c>
      <c r="P49" s="37">
        <f t="shared" si="6"/>
        <v>-4.8730000000000002</v>
      </c>
      <c r="Q49" s="37">
        <f t="shared" si="6"/>
        <v>-5.1749999999999998</v>
      </c>
      <c r="R49" s="37">
        <f t="shared" si="6"/>
        <v>-5.2469999999999999</v>
      </c>
      <c r="S49" s="37">
        <f t="shared" si="6"/>
        <v>-5.3179999999999996</v>
      </c>
      <c r="T49" s="37">
        <f t="shared" si="6"/>
        <v>-5.3890000000000002</v>
      </c>
      <c r="U49" s="37">
        <f t="shared" si="6"/>
        <v>-5.4580000000000002</v>
      </c>
      <c r="V49" s="37">
        <f t="shared" si="6"/>
        <v>-5.7869999999999999</v>
      </c>
      <c r="W49" s="37">
        <f t="shared" si="6"/>
        <v>-6.3879999999999999</v>
      </c>
      <c r="X49" s="37">
        <f t="shared" si="6"/>
        <v>-6.5250000000000004</v>
      </c>
      <c r="Y49" s="37">
        <f t="shared" si="6"/>
        <v>-6.6580000000000004</v>
      </c>
      <c r="Z49" s="37">
        <f t="shared" si="6"/>
        <v>-6.7869999999999999</v>
      </c>
      <c r="AA49" s="37">
        <f t="shared" si="6"/>
        <v>-6.9109999999999996</v>
      </c>
    </row>
    <row r="50" spans="1:27" ht="21" hidden="1" customHeight="1" outlineLevel="1" thickBot="1" x14ac:dyDescent="0.4">
      <c r="A50" s="5">
        <f t="shared" si="4"/>
        <v>0</v>
      </c>
      <c r="B50" s="5">
        <f t="shared" si="4"/>
        <v>1</v>
      </c>
      <c r="C50" s="5">
        <f t="shared" si="4"/>
        <v>1</v>
      </c>
      <c r="D50" s="5">
        <f t="shared" si="4"/>
        <v>0</v>
      </c>
      <c r="E50" s="33" t="str">
        <f t="shared" si="4"/>
        <v>*GeSe</v>
      </c>
      <c r="F50" s="37">
        <f t="shared" si="5"/>
        <v>-40.08</v>
      </c>
      <c r="G50" s="37">
        <f t="shared" si="5"/>
        <v>-35.099999999999994</v>
      </c>
      <c r="H50" s="37">
        <f t="shared" si="5"/>
        <v>-32.269999999999996</v>
      </c>
      <c r="I50" s="37">
        <f t="shared" si="5"/>
        <v>-30.479999999999997</v>
      </c>
      <c r="J50" s="37">
        <f t="shared" si="5"/>
        <v>-29.001000000000001</v>
      </c>
      <c r="K50" s="37">
        <f t="shared" si="5"/>
        <v>-27.77</v>
      </c>
      <c r="L50" s="37">
        <f t="shared" si="5"/>
        <v>-26.746000000000002</v>
      </c>
      <c r="M50" s="37">
        <f t="shared" si="5"/>
        <v>-26.651000000000003</v>
      </c>
      <c r="N50" s="37">
        <f t="shared" si="5"/>
        <v>-27.242999999999999</v>
      </c>
      <c r="O50" s="37">
        <f t="shared" si="5"/>
        <v>-29.513000000000002</v>
      </c>
      <c r="P50" s="37">
        <f t="shared" si="6"/>
        <v>-31.643000000000001</v>
      </c>
      <c r="Q50" s="37">
        <f t="shared" si="6"/>
        <v>-33.664999999999999</v>
      </c>
      <c r="R50" s="37">
        <f t="shared" si="6"/>
        <v>-34.146999999999998</v>
      </c>
      <c r="S50" s="37">
        <f t="shared" si="6"/>
        <v>-34.628</v>
      </c>
      <c r="T50" s="37">
        <f t="shared" si="6"/>
        <v>-35.109000000000002</v>
      </c>
      <c r="U50" s="37">
        <f t="shared" si="6"/>
        <v>-35.578000000000003</v>
      </c>
      <c r="V50" s="37">
        <f t="shared" si="6"/>
        <v>-37.477000000000004</v>
      </c>
      <c r="W50" s="37">
        <f t="shared" si="6"/>
        <v>-39.607999999999997</v>
      </c>
      <c r="X50" s="37">
        <f t="shared" si="6"/>
        <v>-40.115000000000002</v>
      </c>
      <c r="Y50" s="37">
        <f t="shared" si="6"/>
        <v>-40.628</v>
      </c>
      <c r="Z50" s="37">
        <f t="shared" si="6"/>
        <v>-41.127000000000002</v>
      </c>
      <c r="AA50" s="37">
        <f t="shared" si="6"/>
        <v>-41.621000000000002</v>
      </c>
    </row>
    <row r="51" spans="1:27" ht="21" hidden="1" customHeight="1" outlineLevel="1" thickBot="1" x14ac:dyDescent="0.4">
      <c r="A51" s="5">
        <f t="shared" si="4"/>
        <v>0</v>
      </c>
      <c r="B51" s="5">
        <f t="shared" si="4"/>
        <v>0</v>
      </c>
      <c r="C51" s="5">
        <f t="shared" si="4"/>
        <v>0</v>
      </c>
      <c r="D51" s="5">
        <f t="shared" si="4"/>
        <v>1</v>
      </c>
      <c r="E51" s="33" t="str">
        <f t="shared" si="4"/>
        <v>*Ga</v>
      </c>
      <c r="F51" s="37">
        <f t="shared" si="5"/>
        <v>-65.599999999999994</v>
      </c>
      <c r="G51" s="37">
        <f t="shared" si="5"/>
        <v>-56.67</v>
      </c>
      <c r="H51" s="37">
        <f t="shared" si="5"/>
        <v>-49.27</v>
      </c>
      <c r="I51" s="37">
        <f t="shared" si="5"/>
        <v>-43</v>
      </c>
      <c r="J51" s="37">
        <f t="shared" si="5"/>
        <v>-37.630000000000003</v>
      </c>
      <c r="K51" s="37">
        <f t="shared" si="5"/>
        <v>-32.94</v>
      </c>
      <c r="L51" s="37">
        <f t="shared" si="5"/>
        <v>-28.82</v>
      </c>
      <c r="M51" s="37">
        <f t="shared" si="5"/>
        <v>-25.41</v>
      </c>
      <c r="N51" s="37">
        <f t="shared" si="5"/>
        <v>-26.73</v>
      </c>
      <c r="O51" s="37">
        <f t="shared" si="5"/>
        <v>-31.78</v>
      </c>
      <c r="P51" s="37">
        <f t="shared" si="6"/>
        <v>-36.28</v>
      </c>
      <c r="Q51" s="37">
        <f t="shared" si="6"/>
        <v>-40.049999999999997</v>
      </c>
      <c r="R51" s="37">
        <f t="shared" si="6"/>
        <v>-40.86</v>
      </c>
      <c r="S51" s="37">
        <f t="shared" si="6"/>
        <v>-41.61</v>
      </c>
      <c r="T51" s="37">
        <f t="shared" si="6"/>
        <v>-42.31</v>
      </c>
      <c r="U51" s="37">
        <f t="shared" si="6"/>
        <v>-42.94</v>
      </c>
      <c r="V51" s="37">
        <f t="shared" si="6"/>
        <v>-44.86</v>
      </c>
      <c r="W51" s="37">
        <f t="shared" si="6"/>
        <v>-45.72</v>
      </c>
      <c r="X51" s="37">
        <f t="shared" si="6"/>
        <v>-45.76</v>
      </c>
      <c r="Y51" s="37">
        <f t="shared" si="6"/>
        <v>-45.74</v>
      </c>
      <c r="Z51" s="37">
        <f t="shared" si="6"/>
        <v>-45.64</v>
      </c>
      <c r="AA51" s="37">
        <f t="shared" si="6"/>
        <v>-45.47</v>
      </c>
    </row>
    <row r="52" spans="1:27" ht="21" hidden="1" customHeight="1" outlineLevel="1" thickBot="1" x14ac:dyDescent="0.4">
      <c r="A52" s="5">
        <f t="shared" si="4"/>
        <v>0</v>
      </c>
      <c r="B52" s="5">
        <f t="shared" si="4"/>
        <v>0</v>
      </c>
      <c r="C52" s="5">
        <f t="shared" si="4"/>
        <v>1</v>
      </c>
      <c r="D52" s="5">
        <f t="shared" si="4"/>
        <v>0</v>
      </c>
      <c r="E52" s="33" t="str">
        <f t="shared" si="4"/>
        <v>*Ge[c]</v>
      </c>
      <c r="F52" s="37">
        <f t="shared" si="5"/>
        <v>-21.03</v>
      </c>
      <c r="G52" s="37">
        <f t="shared" si="5"/>
        <v>-15.61</v>
      </c>
      <c r="H52" s="37">
        <f t="shared" si="5"/>
        <v>-12.3</v>
      </c>
      <c r="I52" s="37">
        <f t="shared" si="5"/>
        <v>-10.01</v>
      </c>
      <c r="J52" s="37">
        <f t="shared" si="5"/>
        <v>-8.0210000000000008</v>
      </c>
      <c r="K52" s="37">
        <f t="shared" si="5"/>
        <v>-6.28</v>
      </c>
      <c r="L52" s="37">
        <f t="shared" si="5"/>
        <v>-4.7359999999999998</v>
      </c>
      <c r="M52" s="37">
        <f t="shared" si="5"/>
        <v>-4.141</v>
      </c>
      <c r="N52" s="37">
        <f t="shared" si="5"/>
        <v>-4.2229999999999999</v>
      </c>
      <c r="O52" s="37">
        <f t="shared" si="5"/>
        <v>-4.5529999999999999</v>
      </c>
      <c r="P52" s="37">
        <f t="shared" si="6"/>
        <v>-4.8730000000000002</v>
      </c>
      <c r="Q52" s="37">
        <f t="shared" si="6"/>
        <v>-5.1749999999999998</v>
      </c>
      <c r="R52" s="37">
        <f t="shared" si="6"/>
        <v>-5.2469999999999999</v>
      </c>
      <c r="S52" s="37">
        <f t="shared" si="6"/>
        <v>-5.3179999999999996</v>
      </c>
      <c r="T52" s="37">
        <f t="shared" si="6"/>
        <v>-5.3890000000000002</v>
      </c>
      <c r="U52" s="37">
        <f t="shared" si="6"/>
        <v>-5.4580000000000002</v>
      </c>
      <c r="V52" s="37">
        <f t="shared" si="6"/>
        <v>-5.7869999999999999</v>
      </c>
      <c r="W52" s="37">
        <f t="shared" si="6"/>
        <v>-6.3879999999999999</v>
      </c>
      <c r="X52" s="37">
        <f t="shared" si="6"/>
        <v>-6.5250000000000004</v>
      </c>
      <c r="Y52" s="37">
        <f t="shared" si="6"/>
        <v>-6.6580000000000004</v>
      </c>
      <c r="Z52" s="37">
        <f t="shared" si="6"/>
        <v>-6.7869999999999999</v>
      </c>
      <c r="AA52" s="37">
        <f t="shared" si="6"/>
        <v>-6.9109999999999996</v>
      </c>
    </row>
    <row r="53" spans="1:27" ht="21" hidden="1" customHeight="1" outlineLevel="1" thickBot="1" x14ac:dyDescent="0.4">
      <c r="A53" s="5">
        <f t="shared" si="4"/>
        <v>0</v>
      </c>
      <c r="B53" s="5">
        <f t="shared" si="4"/>
        <v>1</v>
      </c>
      <c r="C53" s="5">
        <f t="shared" si="4"/>
        <v>0</v>
      </c>
      <c r="D53" s="5">
        <f t="shared" si="4"/>
        <v>0</v>
      </c>
      <c r="E53" s="33" t="str">
        <f t="shared" si="4"/>
        <v>*Se[m]</v>
      </c>
      <c r="F53" s="37">
        <f t="shared" si="5"/>
        <v>-19.05</v>
      </c>
      <c r="G53" s="37">
        <f t="shared" si="5"/>
        <v>-19.489999999999998</v>
      </c>
      <c r="H53" s="37">
        <f t="shared" si="5"/>
        <v>-19.97</v>
      </c>
      <c r="I53" s="37">
        <f t="shared" si="5"/>
        <v>-20.47</v>
      </c>
      <c r="J53" s="37">
        <f t="shared" si="5"/>
        <v>-20.98</v>
      </c>
      <c r="K53" s="37">
        <f t="shared" si="5"/>
        <v>-21.49</v>
      </c>
      <c r="L53" s="37">
        <f t="shared" si="5"/>
        <v>-22.01</v>
      </c>
      <c r="M53" s="37">
        <f t="shared" si="5"/>
        <v>-22.51</v>
      </c>
      <c r="N53" s="37">
        <f t="shared" si="5"/>
        <v>-23.02</v>
      </c>
      <c r="O53" s="37">
        <f t="shared" si="5"/>
        <v>-24.96</v>
      </c>
      <c r="P53" s="37">
        <f t="shared" si="6"/>
        <v>-26.77</v>
      </c>
      <c r="Q53" s="37">
        <f t="shared" si="6"/>
        <v>-28.49</v>
      </c>
      <c r="R53" s="37">
        <f t="shared" si="6"/>
        <v>-28.9</v>
      </c>
      <c r="S53" s="37">
        <f t="shared" si="6"/>
        <v>-29.31</v>
      </c>
      <c r="T53" s="37">
        <f t="shared" si="6"/>
        <v>-29.72</v>
      </c>
      <c r="U53" s="37">
        <f t="shared" si="6"/>
        <v>-30.12</v>
      </c>
      <c r="V53" s="37">
        <f t="shared" si="6"/>
        <v>-31.69</v>
      </c>
      <c r="W53" s="37">
        <f t="shared" si="6"/>
        <v>-33.22</v>
      </c>
      <c r="X53" s="37">
        <f t="shared" si="6"/>
        <v>-33.590000000000003</v>
      </c>
      <c r="Y53" s="37">
        <f t="shared" si="6"/>
        <v>-33.97</v>
      </c>
      <c r="Z53" s="37">
        <f t="shared" si="6"/>
        <v>-34.340000000000003</v>
      </c>
      <c r="AA53" s="37">
        <f t="shared" si="6"/>
        <v>-34.71</v>
      </c>
    </row>
    <row r="54" spans="1:27" ht="21" hidden="1" customHeight="1" outlineLevel="1" thickBot="1" x14ac:dyDescent="0.4">
      <c r="A54" s="5">
        <f t="shared" si="4"/>
        <v>0</v>
      </c>
      <c r="B54" s="5">
        <f t="shared" si="4"/>
        <v>2</v>
      </c>
      <c r="C54" s="5">
        <f t="shared" si="4"/>
        <v>1</v>
      </c>
      <c r="D54" s="5">
        <f t="shared" si="4"/>
        <v>0</v>
      </c>
      <c r="E54" s="33" t="str">
        <f t="shared" si="4"/>
        <v>*GeSe2</v>
      </c>
      <c r="F54" s="37">
        <f t="shared" si="5"/>
        <v>-59.13</v>
      </c>
      <c r="G54" s="37">
        <f t="shared" si="5"/>
        <v>-54.589999999999996</v>
      </c>
      <c r="H54" s="37">
        <f t="shared" si="5"/>
        <v>-52.239999999999995</v>
      </c>
      <c r="I54" s="37">
        <f t="shared" si="5"/>
        <v>-50.949999999999996</v>
      </c>
      <c r="J54" s="37">
        <f t="shared" si="5"/>
        <v>-49.981000000000002</v>
      </c>
      <c r="K54" s="37">
        <f t="shared" si="5"/>
        <v>-49.26</v>
      </c>
      <c r="L54" s="37">
        <f t="shared" si="5"/>
        <v>-48.756</v>
      </c>
      <c r="M54" s="37">
        <f t="shared" si="5"/>
        <v>-49.161000000000001</v>
      </c>
      <c r="N54" s="37">
        <f t="shared" si="5"/>
        <v>-50.262999999999998</v>
      </c>
      <c r="O54" s="37">
        <f t="shared" si="5"/>
        <v>-54.472999999999999</v>
      </c>
      <c r="P54" s="37">
        <f t="shared" si="6"/>
        <v>-58.412999999999997</v>
      </c>
      <c r="Q54" s="37">
        <f t="shared" si="6"/>
        <v>-62.154999999999994</v>
      </c>
      <c r="R54" s="37">
        <f t="shared" si="6"/>
        <v>-63.046999999999997</v>
      </c>
      <c r="S54" s="37">
        <f t="shared" si="6"/>
        <v>-63.937999999999995</v>
      </c>
      <c r="T54" s="37">
        <f t="shared" si="6"/>
        <v>-64.828999999999994</v>
      </c>
      <c r="U54" s="37">
        <f t="shared" si="6"/>
        <v>-65.698000000000008</v>
      </c>
      <c r="V54" s="37">
        <f t="shared" si="6"/>
        <v>-69.167000000000002</v>
      </c>
      <c r="W54" s="37">
        <f t="shared" si="6"/>
        <v>-72.828000000000003</v>
      </c>
      <c r="X54" s="37">
        <f t="shared" si="6"/>
        <v>-73.705000000000013</v>
      </c>
      <c r="Y54" s="37">
        <f t="shared" si="6"/>
        <v>-74.597999999999999</v>
      </c>
      <c r="Z54" s="37">
        <f t="shared" si="6"/>
        <v>-75.467000000000013</v>
      </c>
      <c r="AA54" s="37">
        <f t="shared" si="6"/>
        <v>-76.331000000000003</v>
      </c>
    </row>
    <row r="55" spans="1:27" ht="21" hidden="1" customHeight="1" outlineLevel="1" thickBot="1" x14ac:dyDescent="0.4">
      <c r="A55" s="5">
        <f t="shared" si="4"/>
        <v>0</v>
      </c>
      <c r="B55" s="5">
        <f t="shared" si="4"/>
        <v>3</v>
      </c>
      <c r="C55" s="5">
        <f t="shared" si="4"/>
        <v>0</v>
      </c>
      <c r="D55" s="5">
        <f t="shared" si="4"/>
        <v>2</v>
      </c>
      <c r="E55" s="33" t="str">
        <f t="shared" si="4"/>
        <v>Ga2Se3</v>
      </c>
      <c r="F55" s="37">
        <f t="shared" si="5"/>
        <v>-188.35</v>
      </c>
      <c r="G55" s="37">
        <f t="shared" si="5"/>
        <v>-171.81</v>
      </c>
      <c r="H55" s="37">
        <f t="shared" si="5"/>
        <v>-158.44999999999999</v>
      </c>
      <c r="I55" s="37">
        <f t="shared" si="5"/>
        <v>-147.41</v>
      </c>
      <c r="J55" s="37">
        <f t="shared" si="5"/>
        <v>-138.19999999999999</v>
      </c>
      <c r="K55" s="37">
        <f t="shared" si="5"/>
        <v>-130.35</v>
      </c>
      <c r="L55" s="37">
        <f t="shared" si="5"/>
        <v>-123.67</v>
      </c>
      <c r="M55" s="37">
        <f t="shared" si="5"/>
        <v>-118.35</v>
      </c>
      <c r="N55" s="37">
        <f t="shared" si="5"/>
        <v>-122.52000000000001</v>
      </c>
      <c r="O55" s="37">
        <f t="shared" si="5"/>
        <v>-138.44</v>
      </c>
      <c r="P55" s="37">
        <f t="shared" si="6"/>
        <v>-152.87</v>
      </c>
      <c r="Q55" s="37">
        <f t="shared" si="6"/>
        <v>-165.57</v>
      </c>
      <c r="R55" s="37">
        <f t="shared" si="6"/>
        <v>-168.42</v>
      </c>
      <c r="S55" s="37">
        <f t="shared" si="6"/>
        <v>-171.14999999999998</v>
      </c>
      <c r="T55" s="37">
        <f t="shared" si="6"/>
        <v>-173.78</v>
      </c>
      <c r="U55" s="37">
        <f t="shared" si="6"/>
        <v>-176.24</v>
      </c>
      <c r="V55" s="37">
        <f t="shared" si="6"/>
        <v>-184.79000000000002</v>
      </c>
      <c r="W55" s="37">
        <f t="shared" si="6"/>
        <v>-191.1</v>
      </c>
      <c r="X55" s="37">
        <f t="shared" si="6"/>
        <v>-192.29000000000002</v>
      </c>
      <c r="Y55" s="37">
        <f t="shared" si="6"/>
        <v>-193.39</v>
      </c>
      <c r="Z55" s="37">
        <f t="shared" si="6"/>
        <v>-194.3</v>
      </c>
      <c r="AA55" s="37">
        <f t="shared" si="6"/>
        <v>-195.07</v>
      </c>
    </row>
    <row r="56" spans="1:27" ht="21" hidden="1" customHeight="1" outlineLevel="1" thickBot="1" x14ac:dyDescent="0.4">
      <c r="A56" s="5">
        <f t="shared" si="4"/>
        <v>0</v>
      </c>
      <c r="B56" s="5">
        <f t="shared" si="4"/>
        <v>0</v>
      </c>
      <c r="C56" s="5">
        <f t="shared" si="4"/>
        <v>2</v>
      </c>
      <c r="D56" s="5">
        <f t="shared" si="4"/>
        <v>0</v>
      </c>
      <c r="E56" s="33" t="str">
        <f t="shared" si="4"/>
        <v>Ge2</v>
      </c>
      <c r="F56" s="37">
        <f t="shared" si="5"/>
        <v>-42.06</v>
      </c>
      <c r="G56" s="37">
        <f t="shared" si="5"/>
        <v>-31.22</v>
      </c>
      <c r="H56" s="37">
        <f t="shared" si="5"/>
        <v>-24.6</v>
      </c>
      <c r="I56" s="37">
        <f t="shared" si="5"/>
        <v>-20.02</v>
      </c>
      <c r="J56" s="37">
        <f t="shared" si="5"/>
        <v>-16.042000000000002</v>
      </c>
      <c r="K56" s="37">
        <f t="shared" si="5"/>
        <v>-12.56</v>
      </c>
      <c r="L56" s="37">
        <f t="shared" si="5"/>
        <v>-9.4719999999999995</v>
      </c>
      <c r="M56" s="37">
        <f t="shared" si="5"/>
        <v>-8.282</v>
      </c>
      <c r="N56" s="37">
        <f t="shared" si="5"/>
        <v>-8.4459999999999997</v>
      </c>
      <c r="O56" s="37">
        <f t="shared" si="5"/>
        <v>-9.1059999999999999</v>
      </c>
      <c r="P56" s="37">
        <f t="shared" si="6"/>
        <v>-9.7460000000000004</v>
      </c>
      <c r="Q56" s="37">
        <f t="shared" si="6"/>
        <v>-10.35</v>
      </c>
      <c r="R56" s="37">
        <f t="shared" si="6"/>
        <v>-10.494</v>
      </c>
      <c r="S56" s="37">
        <f t="shared" si="6"/>
        <v>-10.635999999999999</v>
      </c>
      <c r="T56" s="37">
        <f t="shared" si="6"/>
        <v>-10.778</v>
      </c>
      <c r="U56" s="37">
        <f t="shared" si="6"/>
        <v>-10.916</v>
      </c>
      <c r="V56" s="37">
        <f t="shared" si="6"/>
        <v>-11.574</v>
      </c>
      <c r="W56" s="37">
        <f t="shared" si="6"/>
        <v>-12.776</v>
      </c>
      <c r="X56" s="37">
        <f t="shared" si="6"/>
        <v>-13.05</v>
      </c>
      <c r="Y56" s="37">
        <f t="shared" si="6"/>
        <v>-13.316000000000001</v>
      </c>
      <c r="Z56" s="37">
        <f t="shared" si="6"/>
        <v>-13.574</v>
      </c>
      <c r="AA56" s="37">
        <f t="shared" si="6"/>
        <v>-13.821999999999999</v>
      </c>
    </row>
    <row r="57" spans="1:27" ht="21" hidden="1" customHeight="1" outlineLevel="1" thickBot="1" x14ac:dyDescent="0.4">
      <c r="A57" s="5">
        <f t="shared" si="4"/>
        <v>0</v>
      </c>
      <c r="B57" s="5">
        <f t="shared" si="4"/>
        <v>0</v>
      </c>
      <c r="C57" s="5">
        <f t="shared" si="4"/>
        <v>1</v>
      </c>
      <c r="D57" s="5">
        <f t="shared" si="4"/>
        <v>0</v>
      </c>
      <c r="E57" s="33" t="str">
        <f t="shared" si="4"/>
        <v>Ge</v>
      </c>
      <c r="F57" s="37">
        <f t="shared" si="5"/>
        <v>-21.03</v>
      </c>
      <c r="G57" s="37">
        <f t="shared" si="5"/>
        <v>-15.61</v>
      </c>
      <c r="H57" s="37">
        <f t="shared" si="5"/>
        <v>-12.3</v>
      </c>
      <c r="I57" s="37">
        <f t="shared" si="5"/>
        <v>-10.01</v>
      </c>
      <c r="J57" s="37">
        <f t="shared" si="5"/>
        <v>-8.0210000000000008</v>
      </c>
      <c r="K57" s="37">
        <f t="shared" si="5"/>
        <v>-6.28</v>
      </c>
      <c r="L57" s="37">
        <f t="shared" si="5"/>
        <v>-4.7359999999999998</v>
      </c>
      <c r="M57" s="37">
        <f t="shared" si="5"/>
        <v>-4.141</v>
      </c>
      <c r="N57" s="37">
        <f t="shared" si="5"/>
        <v>-4.2229999999999999</v>
      </c>
      <c r="O57" s="37">
        <f t="shared" si="5"/>
        <v>-4.5529999999999999</v>
      </c>
      <c r="P57" s="37">
        <f t="shared" si="6"/>
        <v>-4.8730000000000002</v>
      </c>
      <c r="Q57" s="37">
        <f t="shared" si="6"/>
        <v>-5.1749999999999998</v>
      </c>
      <c r="R57" s="37">
        <f t="shared" si="6"/>
        <v>-5.2469999999999999</v>
      </c>
      <c r="S57" s="37">
        <f t="shared" si="6"/>
        <v>-5.3179999999999996</v>
      </c>
      <c r="T57" s="37">
        <f t="shared" si="6"/>
        <v>-5.3890000000000002</v>
      </c>
      <c r="U57" s="37">
        <f t="shared" si="6"/>
        <v>-5.4580000000000002</v>
      </c>
      <c r="V57" s="37">
        <f t="shared" si="6"/>
        <v>-5.7869999999999999</v>
      </c>
      <c r="W57" s="37">
        <f t="shared" si="6"/>
        <v>-6.3879999999999999</v>
      </c>
      <c r="X57" s="37">
        <f t="shared" si="6"/>
        <v>-6.5250000000000004</v>
      </c>
      <c r="Y57" s="37">
        <f t="shared" si="6"/>
        <v>-6.6580000000000004</v>
      </c>
      <c r="Z57" s="37">
        <f t="shared" si="6"/>
        <v>-6.7869999999999999</v>
      </c>
      <c r="AA57" s="37">
        <f t="shared" si="6"/>
        <v>-6.9109999999999996</v>
      </c>
    </row>
    <row r="58" spans="1:27" ht="21" hidden="1" customHeight="1" outlineLevel="1" thickBot="1" x14ac:dyDescent="0.4">
      <c r="A58" s="5">
        <f t="shared" ref="A58:E67" si="7">A14</f>
        <v>1</v>
      </c>
      <c r="B58" s="5">
        <f t="shared" si="7"/>
        <v>0</v>
      </c>
      <c r="C58" s="5">
        <f t="shared" si="7"/>
        <v>0</v>
      </c>
      <c r="D58" s="5">
        <f t="shared" si="7"/>
        <v>0</v>
      </c>
      <c r="E58" s="33" t="str">
        <f t="shared" si="7"/>
        <v>Ar</v>
      </c>
      <c r="F58" s="37">
        <f t="shared" ref="F58:O67" si="8">$A58*H.Ar + $B58*H.Se + $C58*H.Ge + $D58*H.Ga</f>
        <v>-18.79</v>
      </c>
      <c r="G58" s="37">
        <f t="shared" si="8"/>
        <v>-18.809999999999999</v>
      </c>
      <c r="H58" s="37">
        <f t="shared" si="8"/>
        <v>-18.84</v>
      </c>
      <c r="I58" s="37">
        <f t="shared" si="8"/>
        <v>-18.89</v>
      </c>
      <c r="J58" s="37">
        <f t="shared" si="8"/>
        <v>-18.95</v>
      </c>
      <c r="K58" s="37">
        <f t="shared" si="8"/>
        <v>-19.010000000000002</v>
      </c>
      <c r="L58" s="37">
        <f t="shared" si="8"/>
        <v>-19.07</v>
      </c>
      <c r="M58" s="37">
        <f t="shared" si="8"/>
        <v>-19.07</v>
      </c>
      <c r="N58" s="37">
        <f t="shared" si="8"/>
        <v>-19.03</v>
      </c>
      <c r="O58" s="37">
        <f t="shared" si="8"/>
        <v>-19.309999999999999</v>
      </c>
      <c r="P58" s="37">
        <f t="shared" ref="P58:AA67" si="9">$A58*H.Ar + $B58*H.Se + $C58*H.Ge + $D58*H.Ga</f>
        <v>-19.57</v>
      </c>
      <c r="Q58" s="37">
        <f t="shared" si="9"/>
        <v>-19.82</v>
      </c>
      <c r="R58" s="37">
        <f t="shared" si="9"/>
        <v>-19.88</v>
      </c>
      <c r="S58" s="37">
        <f t="shared" si="9"/>
        <v>-19.940000000000001</v>
      </c>
      <c r="T58" s="37">
        <f t="shared" si="9"/>
        <v>-20</v>
      </c>
      <c r="U58" s="37">
        <f t="shared" si="9"/>
        <v>-20.05</v>
      </c>
      <c r="V58" s="37">
        <f t="shared" si="9"/>
        <v>-20.260000000000002</v>
      </c>
      <c r="W58" s="37">
        <f t="shared" si="9"/>
        <v>-20.46</v>
      </c>
      <c r="X58" s="37">
        <f t="shared" si="9"/>
        <v>-20.51</v>
      </c>
      <c r="Y58" s="37">
        <f t="shared" si="9"/>
        <v>-20.56</v>
      </c>
      <c r="Z58" s="37">
        <f t="shared" si="9"/>
        <v>-20.6</v>
      </c>
      <c r="AA58" s="37">
        <f t="shared" si="9"/>
        <v>-20.65</v>
      </c>
    </row>
    <row r="59" spans="1:27" ht="21" hidden="1" customHeight="1" outlineLevel="1" thickBot="1" x14ac:dyDescent="0.4">
      <c r="A59" s="5">
        <f t="shared" si="7"/>
        <v>0</v>
      </c>
      <c r="B59" s="5">
        <f t="shared" si="7"/>
        <v>0</v>
      </c>
      <c r="C59" s="5">
        <f t="shared" si="7"/>
        <v>1</v>
      </c>
      <c r="D59" s="5">
        <f t="shared" si="7"/>
        <v>0</v>
      </c>
      <c r="E59" s="33" t="str">
        <f t="shared" si="7"/>
        <v>(l)Ge[l]</v>
      </c>
      <c r="F59" s="37">
        <f t="shared" si="8"/>
        <v>-21.03</v>
      </c>
      <c r="G59" s="37">
        <f t="shared" si="8"/>
        <v>-15.61</v>
      </c>
      <c r="H59" s="37">
        <f t="shared" si="8"/>
        <v>-12.3</v>
      </c>
      <c r="I59" s="37">
        <f t="shared" si="8"/>
        <v>-10.01</v>
      </c>
      <c r="J59" s="37">
        <f t="shared" si="8"/>
        <v>-8.0210000000000008</v>
      </c>
      <c r="K59" s="37">
        <f t="shared" si="8"/>
        <v>-6.28</v>
      </c>
      <c r="L59" s="37">
        <f t="shared" si="8"/>
        <v>-4.7359999999999998</v>
      </c>
      <c r="M59" s="37">
        <f t="shared" si="8"/>
        <v>-4.141</v>
      </c>
      <c r="N59" s="37">
        <f t="shared" si="8"/>
        <v>-4.2229999999999999</v>
      </c>
      <c r="O59" s="37">
        <f t="shared" si="8"/>
        <v>-4.5529999999999999</v>
      </c>
      <c r="P59" s="37">
        <f t="shared" si="9"/>
        <v>-4.8730000000000002</v>
      </c>
      <c r="Q59" s="37">
        <f t="shared" si="9"/>
        <v>-5.1749999999999998</v>
      </c>
      <c r="R59" s="37">
        <f t="shared" si="9"/>
        <v>-5.2469999999999999</v>
      </c>
      <c r="S59" s="37">
        <f t="shared" si="9"/>
        <v>-5.3179999999999996</v>
      </c>
      <c r="T59" s="37">
        <f t="shared" si="9"/>
        <v>-5.3890000000000002</v>
      </c>
      <c r="U59" s="37">
        <f t="shared" si="9"/>
        <v>-5.4580000000000002</v>
      </c>
      <c r="V59" s="37">
        <f t="shared" si="9"/>
        <v>-5.7869999999999999</v>
      </c>
      <c r="W59" s="37">
        <f t="shared" si="9"/>
        <v>-6.3879999999999999</v>
      </c>
      <c r="X59" s="37">
        <f t="shared" si="9"/>
        <v>-6.5250000000000004</v>
      </c>
      <c r="Y59" s="37">
        <f t="shared" si="9"/>
        <v>-6.6580000000000004</v>
      </c>
      <c r="Z59" s="37">
        <f t="shared" si="9"/>
        <v>-6.7869999999999999</v>
      </c>
      <c r="AA59" s="37">
        <f t="shared" si="9"/>
        <v>-6.9109999999999996</v>
      </c>
    </row>
    <row r="60" spans="1:27" ht="21" hidden="1" customHeight="1" outlineLevel="1" thickBot="1" x14ac:dyDescent="0.4">
      <c r="A60" s="5">
        <f t="shared" si="7"/>
        <v>0</v>
      </c>
      <c r="B60" s="5">
        <f t="shared" si="7"/>
        <v>1</v>
      </c>
      <c r="C60" s="5">
        <f t="shared" si="7"/>
        <v>0</v>
      </c>
      <c r="D60" s="5">
        <f t="shared" si="7"/>
        <v>0</v>
      </c>
      <c r="E60" s="33" t="str">
        <f t="shared" si="7"/>
        <v>(l)Se[l]</v>
      </c>
      <c r="F60" s="37">
        <f t="shared" si="8"/>
        <v>-19.05</v>
      </c>
      <c r="G60" s="37">
        <f t="shared" si="8"/>
        <v>-19.489999999999998</v>
      </c>
      <c r="H60" s="37">
        <f t="shared" si="8"/>
        <v>-19.97</v>
      </c>
      <c r="I60" s="37">
        <f t="shared" si="8"/>
        <v>-20.47</v>
      </c>
      <c r="J60" s="37">
        <f t="shared" si="8"/>
        <v>-20.98</v>
      </c>
      <c r="K60" s="37">
        <f t="shared" si="8"/>
        <v>-21.49</v>
      </c>
      <c r="L60" s="37">
        <f t="shared" si="8"/>
        <v>-22.01</v>
      </c>
      <c r="M60" s="37">
        <f t="shared" si="8"/>
        <v>-22.51</v>
      </c>
      <c r="N60" s="37">
        <f t="shared" si="8"/>
        <v>-23.02</v>
      </c>
      <c r="O60" s="37">
        <f t="shared" si="8"/>
        <v>-24.96</v>
      </c>
      <c r="P60" s="37">
        <f t="shared" si="9"/>
        <v>-26.77</v>
      </c>
      <c r="Q60" s="37">
        <f t="shared" si="9"/>
        <v>-28.49</v>
      </c>
      <c r="R60" s="37">
        <f t="shared" si="9"/>
        <v>-28.9</v>
      </c>
      <c r="S60" s="37">
        <f t="shared" si="9"/>
        <v>-29.31</v>
      </c>
      <c r="T60" s="37">
        <f t="shared" si="9"/>
        <v>-29.72</v>
      </c>
      <c r="U60" s="37">
        <f t="shared" si="9"/>
        <v>-30.12</v>
      </c>
      <c r="V60" s="37">
        <f t="shared" si="9"/>
        <v>-31.69</v>
      </c>
      <c r="W60" s="37">
        <f t="shared" si="9"/>
        <v>-33.22</v>
      </c>
      <c r="X60" s="37">
        <f t="shared" si="9"/>
        <v>-33.590000000000003</v>
      </c>
      <c r="Y60" s="37">
        <f t="shared" si="9"/>
        <v>-33.97</v>
      </c>
      <c r="Z60" s="37">
        <f t="shared" si="9"/>
        <v>-34.340000000000003</v>
      </c>
      <c r="AA60" s="37">
        <f t="shared" si="9"/>
        <v>-34.71</v>
      </c>
    </row>
    <row r="61" spans="1:27" ht="21" hidden="1" customHeight="1" outlineLevel="1" thickBot="1" x14ac:dyDescent="0.4">
      <c r="A61" s="5">
        <f t="shared" si="7"/>
        <v>1</v>
      </c>
      <c r="B61" s="5">
        <f t="shared" si="7"/>
        <v>0</v>
      </c>
      <c r="C61" s="5">
        <f t="shared" si="7"/>
        <v>0</v>
      </c>
      <c r="D61" s="5">
        <f t="shared" si="7"/>
        <v>0</v>
      </c>
      <c r="E61" s="33" t="str">
        <f t="shared" si="7"/>
        <v>H (Ar)</v>
      </c>
      <c r="F61" s="37">
        <f t="shared" si="8"/>
        <v>-18.79</v>
      </c>
      <c r="G61" s="37">
        <f t="shared" si="8"/>
        <v>-18.809999999999999</v>
      </c>
      <c r="H61" s="37">
        <f t="shared" si="8"/>
        <v>-18.84</v>
      </c>
      <c r="I61" s="37">
        <f t="shared" si="8"/>
        <v>-18.89</v>
      </c>
      <c r="J61" s="37">
        <f t="shared" si="8"/>
        <v>-18.95</v>
      </c>
      <c r="K61" s="37">
        <f t="shared" si="8"/>
        <v>-19.010000000000002</v>
      </c>
      <c r="L61" s="37">
        <f t="shared" si="8"/>
        <v>-19.07</v>
      </c>
      <c r="M61" s="37">
        <f t="shared" si="8"/>
        <v>-19.07</v>
      </c>
      <c r="N61" s="37">
        <f t="shared" si="8"/>
        <v>-19.03</v>
      </c>
      <c r="O61" s="37">
        <f t="shared" si="8"/>
        <v>-19.309999999999999</v>
      </c>
      <c r="P61" s="37">
        <f t="shared" si="9"/>
        <v>-19.57</v>
      </c>
      <c r="Q61" s="37">
        <f t="shared" si="9"/>
        <v>-19.82</v>
      </c>
      <c r="R61" s="37">
        <f t="shared" si="9"/>
        <v>-19.88</v>
      </c>
      <c r="S61" s="37">
        <f t="shared" si="9"/>
        <v>-19.940000000000001</v>
      </c>
      <c r="T61" s="37">
        <f t="shared" si="9"/>
        <v>-20</v>
      </c>
      <c r="U61" s="37">
        <f t="shared" si="9"/>
        <v>-20.05</v>
      </c>
      <c r="V61" s="37">
        <f t="shared" si="9"/>
        <v>-20.260000000000002</v>
      </c>
      <c r="W61" s="37">
        <f t="shared" si="9"/>
        <v>-20.46</v>
      </c>
      <c r="X61" s="37">
        <f t="shared" si="9"/>
        <v>-20.51</v>
      </c>
      <c r="Y61" s="37">
        <f t="shared" si="9"/>
        <v>-20.56</v>
      </c>
      <c r="Z61" s="37">
        <f t="shared" si="9"/>
        <v>-20.6</v>
      </c>
      <c r="AA61" s="37">
        <f t="shared" si="9"/>
        <v>-20.65</v>
      </c>
    </row>
    <row r="62" spans="1:27" ht="21" hidden="1" customHeight="1" outlineLevel="1" thickBot="1" x14ac:dyDescent="0.4">
      <c r="A62" s="5">
        <f t="shared" si="7"/>
        <v>0</v>
      </c>
      <c r="B62" s="5">
        <f t="shared" si="7"/>
        <v>0</v>
      </c>
      <c r="C62" s="5">
        <f t="shared" si="7"/>
        <v>0</v>
      </c>
      <c r="D62" s="5">
        <f t="shared" si="7"/>
        <v>1</v>
      </c>
      <c r="E62" s="33" t="str">
        <f t="shared" si="7"/>
        <v>H (Ga)</v>
      </c>
      <c r="F62" s="37">
        <f t="shared" si="8"/>
        <v>-65.599999999999994</v>
      </c>
      <c r="G62" s="37">
        <f t="shared" si="8"/>
        <v>-56.67</v>
      </c>
      <c r="H62" s="37">
        <f t="shared" si="8"/>
        <v>-49.27</v>
      </c>
      <c r="I62" s="37">
        <f t="shared" si="8"/>
        <v>-43</v>
      </c>
      <c r="J62" s="37">
        <f t="shared" si="8"/>
        <v>-37.630000000000003</v>
      </c>
      <c r="K62" s="37">
        <f t="shared" si="8"/>
        <v>-32.94</v>
      </c>
      <c r="L62" s="37">
        <f t="shared" si="8"/>
        <v>-28.82</v>
      </c>
      <c r="M62" s="37">
        <f t="shared" si="8"/>
        <v>-25.41</v>
      </c>
      <c r="N62" s="37">
        <f t="shared" si="8"/>
        <v>-26.73</v>
      </c>
      <c r="O62" s="37">
        <f t="shared" si="8"/>
        <v>-31.78</v>
      </c>
      <c r="P62" s="37">
        <f t="shared" si="9"/>
        <v>-36.28</v>
      </c>
      <c r="Q62" s="37">
        <f t="shared" si="9"/>
        <v>-40.049999999999997</v>
      </c>
      <c r="R62" s="37">
        <f t="shared" si="9"/>
        <v>-40.86</v>
      </c>
      <c r="S62" s="37">
        <f t="shared" si="9"/>
        <v>-41.61</v>
      </c>
      <c r="T62" s="37">
        <f t="shared" si="9"/>
        <v>-42.31</v>
      </c>
      <c r="U62" s="37">
        <f t="shared" si="9"/>
        <v>-42.94</v>
      </c>
      <c r="V62" s="37">
        <f t="shared" si="9"/>
        <v>-44.86</v>
      </c>
      <c r="W62" s="37">
        <f t="shared" si="9"/>
        <v>-45.72</v>
      </c>
      <c r="X62" s="37">
        <f t="shared" si="9"/>
        <v>-45.76</v>
      </c>
      <c r="Y62" s="37">
        <f t="shared" si="9"/>
        <v>-45.74</v>
      </c>
      <c r="Z62" s="37">
        <f t="shared" si="9"/>
        <v>-45.64</v>
      </c>
      <c r="AA62" s="37">
        <f t="shared" si="9"/>
        <v>-45.47</v>
      </c>
    </row>
    <row r="63" spans="1:27" ht="21" hidden="1" customHeight="1" outlineLevel="1" thickBot="1" x14ac:dyDescent="0.4">
      <c r="A63" s="5">
        <f t="shared" si="7"/>
        <v>0</v>
      </c>
      <c r="B63" s="5">
        <f t="shared" si="7"/>
        <v>0</v>
      </c>
      <c r="C63" s="5">
        <f t="shared" si="7"/>
        <v>1</v>
      </c>
      <c r="D63" s="5">
        <f t="shared" si="7"/>
        <v>0</v>
      </c>
      <c r="E63" s="33" t="str">
        <f t="shared" si="7"/>
        <v>H (Ge)</v>
      </c>
      <c r="F63" s="37">
        <f t="shared" si="8"/>
        <v>-21.03</v>
      </c>
      <c r="G63" s="37">
        <f t="shared" si="8"/>
        <v>-15.61</v>
      </c>
      <c r="H63" s="37">
        <f t="shared" si="8"/>
        <v>-12.3</v>
      </c>
      <c r="I63" s="37">
        <f t="shared" si="8"/>
        <v>-10.01</v>
      </c>
      <c r="J63" s="37">
        <f t="shared" si="8"/>
        <v>-8.0210000000000008</v>
      </c>
      <c r="K63" s="37">
        <f t="shared" si="8"/>
        <v>-6.28</v>
      </c>
      <c r="L63" s="37">
        <f t="shared" si="8"/>
        <v>-4.7359999999999998</v>
      </c>
      <c r="M63" s="37">
        <f t="shared" si="8"/>
        <v>-4.141</v>
      </c>
      <c r="N63" s="37">
        <f t="shared" si="8"/>
        <v>-4.2229999999999999</v>
      </c>
      <c r="O63" s="37">
        <f t="shared" si="8"/>
        <v>-4.5529999999999999</v>
      </c>
      <c r="P63" s="37">
        <f t="shared" si="9"/>
        <v>-4.8730000000000002</v>
      </c>
      <c r="Q63" s="37">
        <f t="shared" si="9"/>
        <v>-5.1749999999999998</v>
      </c>
      <c r="R63" s="37">
        <f t="shared" si="9"/>
        <v>-5.2469999999999999</v>
      </c>
      <c r="S63" s="37">
        <f t="shared" si="9"/>
        <v>-5.3179999999999996</v>
      </c>
      <c r="T63" s="37">
        <f t="shared" si="9"/>
        <v>-5.3890000000000002</v>
      </c>
      <c r="U63" s="37">
        <f t="shared" si="9"/>
        <v>-5.4580000000000002</v>
      </c>
      <c r="V63" s="37">
        <f t="shared" si="9"/>
        <v>-5.7869999999999999</v>
      </c>
      <c r="W63" s="37">
        <f t="shared" si="9"/>
        <v>-6.3879999999999999</v>
      </c>
      <c r="X63" s="37">
        <f t="shared" si="9"/>
        <v>-6.5250000000000004</v>
      </c>
      <c r="Y63" s="37">
        <f t="shared" si="9"/>
        <v>-6.6580000000000004</v>
      </c>
      <c r="Z63" s="37">
        <f t="shared" si="9"/>
        <v>-6.7869999999999999</v>
      </c>
      <c r="AA63" s="37">
        <f t="shared" si="9"/>
        <v>-6.9109999999999996</v>
      </c>
    </row>
    <row r="64" spans="1:27" ht="21" hidden="1" customHeight="1" outlineLevel="1" thickBot="1" x14ac:dyDescent="0.4">
      <c r="A64" s="5">
        <f t="shared" si="7"/>
        <v>0</v>
      </c>
      <c r="B64" s="5">
        <f t="shared" si="7"/>
        <v>1</v>
      </c>
      <c r="C64" s="5">
        <f t="shared" si="7"/>
        <v>0</v>
      </c>
      <c r="D64" s="5">
        <f t="shared" si="7"/>
        <v>0</v>
      </c>
      <c r="E64" s="33" t="str">
        <f t="shared" si="7"/>
        <v>H (Se)</v>
      </c>
      <c r="F64" s="37">
        <f t="shared" si="8"/>
        <v>-19.05</v>
      </c>
      <c r="G64" s="37">
        <f t="shared" si="8"/>
        <v>-19.489999999999998</v>
      </c>
      <c r="H64" s="37">
        <f t="shared" si="8"/>
        <v>-19.97</v>
      </c>
      <c r="I64" s="37">
        <f t="shared" si="8"/>
        <v>-20.47</v>
      </c>
      <c r="J64" s="37">
        <f t="shared" si="8"/>
        <v>-20.98</v>
      </c>
      <c r="K64" s="37">
        <f t="shared" si="8"/>
        <v>-21.49</v>
      </c>
      <c r="L64" s="37">
        <f t="shared" si="8"/>
        <v>-22.01</v>
      </c>
      <c r="M64" s="37">
        <f t="shared" si="8"/>
        <v>-22.51</v>
      </c>
      <c r="N64" s="37">
        <f t="shared" si="8"/>
        <v>-23.02</v>
      </c>
      <c r="O64" s="37">
        <f t="shared" si="8"/>
        <v>-24.96</v>
      </c>
      <c r="P64" s="37">
        <f t="shared" si="9"/>
        <v>-26.77</v>
      </c>
      <c r="Q64" s="37">
        <f t="shared" si="9"/>
        <v>-28.49</v>
      </c>
      <c r="R64" s="37">
        <f t="shared" si="9"/>
        <v>-28.9</v>
      </c>
      <c r="S64" s="37">
        <f t="shared" si="9"/>
        <v>-29.31</v>
      </c>
      <c r="T64" s="37">
        <f t="shared" si="9"/>
        <v>-29.72</v>
      </c>
      <c r="U64" s="37">
        <f t="shared" si="9"/>
        <v>-30.12</v>
      </c>
      <c r="V64" s="37">
        <f t="shared" si="9"/>
        <v>-31.69</v>
      </c>
      <c r="W64" s="37">
        <f t="shared" si="9"/>
        <v>-33.22</v>
      </c>
      <c r="X64" s="37">
        <f t="shared" si="9"/>
        <v>-33.590000000000003</v>
      </c>
      <c r="Y64" s="37">
        <f t="shared" si="9"/>
        <v>-33.97</v>
      </c>
      <c r="Z64" s="37">
        <f t="shared" si="9"/>
        <v>-34.340000000000003</v>
      </c>
      <c r="AA64" s="37">
        <f t="shared" si="9"/>
        <v>-34.71</v>
      </c>
    </row>
    <row r="65" spans="1:27" ht="21" hidden="1" customHeight="1" outlineLevel="1" thickBot="1" x14ac:dyDescent="0.4">
      <c r="A65" s="5">
        <f t="shared" si="7"/>
        <v>0</v>
      </c>
      <c r="B65" s="5">
        <f t="shared" si="7"/>
        <v>0</v>
      </c>
      <c r="C65" s="5">
        <f t="shared" si="7"/>
        <v>0</v>
      </c>
      <c r="D65" s="5">
        <f t="shared" si="7"/>
        <v>0</v>
      </c>
      <c r="E65" s="33">
        <f t="shared" si="7"/>
        <v>0</v>
      </c>
      <c r="F65" s="37">
        <f t="shared" si="8"/>
        <v>0</v>
      </c>
      <c r="G65" s="37">
        <f t="shared" si="8"/>
        <v>0</v>
      </c>
      <c r="H65" s="37">
        <f t="shared" si="8"/>
        <v>0</v>
      </c>
      <c r="I65" s="37">
        <f t="shared" si="8"/>
        <v>0</v>
      </c>
      <c r="J65" s="37">
        <f t="shared" si="8"/>
        <v>0</v>
      </c>
      <c r="K65" s="37">
        <f t="shared" si="8"/>
        <v>0</v>
      </c>
      <c r="L65" s="37">
        <f t="shared" si="8"/>
        <v>0</v>
      </c>
      <c r="M65" s="37">
        <f t="shared" si="8"/>
        <v>0</v>
      </c>
      <c r="N65" s="37">
        <f t="shared" si="8"/>
        <v>0</v>
      </c>
      <c r="O65" s="37">
        <f t="shared" si="8"/>
        <v>0</v>
      </c>
      <c r="P65" s="37">
        <f t="shared" si="9"/>
        <v>0</v>
      </c>
      <c r="Q65" s="37">
        <f t="shared" si="9"/>
        <v>0</v>
      </c>
      <c r="R65" s="37">
        <f t="shared" si="9"/>
        <v>0</v>
      </c>
      <c r="S65" s="37">
        <f t="shared" si="9"/>
        <v>0</v>
      </c>
      <c r="T65" s="37">
        <f t="shared" si="9"/>
        <v>0</v>
      </c>
      <c r="U65" s="37">
        <f t="shared" si="9"/>
        <v>0</v>
      </c>
      <c r="V65" s="37">
        <f t="shared" si="9"/>
        <v>0</v>
      </c>
      <c r="W65" s="37">
        <f t="shared" si="9"/>
        <v>0</v>
      </c>
      <c r="X65" s="37">
        <f t="shared" si="9"/>
        <v>0</v>
      </c>
      <c r="Y65" s="37">
        <f t="shared" si="9"/>
        <v>0</v>
      </c>
      <c r="Z65" s="37">
        <f t="shared" si="9"/>
        <v>0</v>
      </c>
      <c r="AA65" s="37">
        <f t="shared" si="9"/>
        <v>0</v>
      </c>
    </row>
    <row r="66" spans="1:27" ht="21" hidden="1" customHeight="1" outlineLevel="1" thickBot="1" x14ac:dyDescent="0.4">
      <c r="A66" s="5">
        <f t="shared" si="7"/>
        <v>0</v>
      </c>
      <c r="B66" s="5">
        <f t="shared" si="7"/>
        <v>0</v>
      </c>
      <c r="C66" s="5">
        <f t="shared" si="7"/>
        <v>0</v>
      </c>
      <c r="D66" s="5">
        <f t="shared" si="7"/>
        <v>0</v>
      </c>
      <c r="E66" s="33">
        <f t="shared" si="7"/>
        <v>0</v>
      </c>
      <c r="F66" s="37">
        <f t="shared" si="8"/>
        <v>0</v>
      </c>
      <c r="G66" s="37">
        <f t="shared" si="8"/>
        <v>0</v>
      </c>
      <c r="H66" s="37">
        <f t="shared" si="8"/>
        <v>0</v>
      </c>
      <c r="I66" s="37">
        <f t="shared" si="8"/>
        <v>0</v>
      </c>
      <c r="J66" s="37">
        <f t="shared" si="8"/>
        <v>0</v>
      </c>
      <c r="K66" s="37">
        <f t="shared" si="8"/>
        <v>0</v>
      </c>
      <c r="L66" s="37">
        <f t="shared" si="8"/>
        <v>0</v>
      </c>
      <c r="M66" s="37">
        <f t="shared" si="8"/>
        <v>0</v>
      </c>
      <c r="N66" s="37">
        <f t="shared" si="8"/>
        <v>0</v>
      </c>
      <c r="O66" s="37">
        <f t="shared" si="8"/>
        <v>0</v>
      </c>
      <c r="P66" s="37">
        <f t="shared" si="9"/>
        <v>0</v>
      </c>
      <c r="Q66" s="37">
        <f t="shared" si="9"/>
        <v>0</v>
      </c>
      <c r="R66" s="37">
        <f t="shared" si="9"/>
        <v>0</v>
      </c>
      <c r="S66" s="37">
        <f t="shared" si="9"/>
        <v>0</v>
      </c>
      <c r="T66" s="37">
        <f t="shared" si="9"/>
        <v>0</v>
      </c>
      <c r="U66" s="37">
        <f t="shared" si="9"/>
        <v>0</v>
      </c>
      <c r="V66" s="37">
        <f t="shared" si="9"/>
        <v>0</v>
      </c>
      <c r="W66" s="37">
        <f t="shared" si="9"/>
        <v>0</v>
      </c>
      <c r="X66" s="37">
        <f t="shared" si="9"/>
        <v>0</v>
      </c>
      <c r="Y66" s="37">
        <f t="shared" si="9"/>
        <v>0</v>
      </c>
      <c r="Z66" s="37">
        <f t="shared" si="9"/>
        <v>0</v>
      </c>
      <c r="AA66" s="37">
        <f t="shared" si="9"/>
        <v>0</v>
      </c>
    </row>
    <row r="67" spans="1:27" ht="21" hidden="1" customHeight="1" outlineLevel="1" thickBot="1" x14ac:dyDescent="0.4">
      <c r="A67" s="5">
        <f t="shared" si="7"/>
        <v>0</v>
      </c>
      <c r="B67" s="5">
        <f t="shared" si="7"/>
        <v>0</v>
      </c>
      <c r="C67" s="5">
        <f t="shared" si="7"/>
        <v>0</v>
      </c>
      <c r="D67" s="5">
        <f t="shared" si="7"/>
        <v>0</v>
      </c>
      <c r="E67" s="33">
        <f t="shared" si="7"/>
        <v>0</v>
      </c>
      <c r="F67" s="37">
        <f t="shared" si="8"/>
        <v>0</v>
      </c>
      <c r="G67" s="37">
        <f t="shared" si="8"/>
        <v>0</v>
      </c>
      <c r="H67" s="37">
        <f t="shared" si="8"/>
        <v>0</v>
      </c>
      <c r="I67" s="37">
        <f t="shared" si="8"/>
        <v>0</v>
      </c>
      <c r="J67" s="37">
        <f t="shared" si="8"/>
        <v>0</v>
      </c>
      <c r="K67" s="37">
        <f t="shared" si="8"/>
        <v>0</v>
      </c>
      <c r="L67" s="37">
        <f t="shared" si="8"/>
        <v>0</v>
      </c>
      <c r="M67" s="37">
        <f t="shared" si="8"/>
        <v>0</v>
      </c>
      <c r="N67" s="37">
        <f t="shared" si="8"/>
        <v>0</v>
      </c>
      <c r="O67" s="37">
        <f t="shared" si="8"/>
        <v>0</v>
      </c>
      <c r="P67" s="37">
        <f t="shared" si="9"/>
        <v>0</v>
      </c>
      <c r="Q67" s="37">
        <f t="shared" si="9"/>
        <v>0</v>
      </c>
      <c r="R67" s="37">
        <f t="shared" si="9"/>
        <v>0</v>
      </c>
      <c r="S67" s="37">
        <f t="shared" si="9"/>
        <v>0</v>
      </c>
      <c r="T67" s="37">
        <f t="shared" si="9"/>
        <v>0</v>
      </c>
      <c r="U67" s="37">
        <f t="shared" si="9"/>
        <v>0</v>
      </c>
      <c r="V67" s="37">
        <f t="shared" si="9"/>
        <v>0</v>
      </c>
      <c r="W67" s="37">
        <f t="shared" si="9"/>
        <v>0</v>
      </c>
      <c r="X67" s="37">
        <f t="shared" si="9"/>
        <v>0</v>
      </c>
      <c r="Y67" s="37">
        <f t="shared" si="9"/>
        <v>0</v>
      </c>
      <c r="Z67" s="37">
        <f t="shared" si="9"/>
        <v>0</v>
      </c>
      <c r="AA67" s="37">
        <f t="shared" si="9"/>
        <v>0</v>
      </c>
    </row>
    <row r="68" spans="1:27" ht="21" hidden="1" customHeight="1" outlineLevel="1" thickBot="1" x14ac:dyDescent="0.4">
      <c r="A68" s="5">
        <f t="shared" ref="A68:E77" si="10">A24</f>
        <v>0</v>
      </c>
      <c r="B68" s="5">
        <f t="shared" si="10"/>
        <v>0</v>
      </c>
      <c r="C68" s="5">
        <f t="shared" si="10"/>
        <v>0</v>
      </c>
      <c r="D68" s="5">
        <f t="shared" si="10"/>
        <v>0</v>
      </c>
      <c r="E68" s="33">
        <f t="shared" si="10"/>
        <v>0</v>
      </c>
      <c r="F68" s="37">
        <f t="shared" ref="F68:O76" si="11">$A68*H.Ar + $B68*H.Se + $C68*H.Ge + $D68*H.Ga</f>
        <v>0</v>
      </c>
      <c r="G68" s="37">
        <f t="shared" si="11"/>
        <v>0</v>
      </c>
      <c r="H68" s="37">
        <f t="shared" si="11"/>
        <v>0</v>
      </c>
      <c r="I68" s="37">
        <f t="shared" si="11"/>
        <v>0</v>
      </c>
      <c r="J68" s="37">
        <f t="shared" si="11"/>
        <v>0</v>
      </c>
      <c r="K68" s="37">
        <f t="shared" si="11"/>
        <v>0</v>
      </c>
      <c r="L68" s="37">
        <f t="shared" si="11"/>
        <v>0</v>
      </c>
      <c r="M68" s="37">
        <f t="shared" si="11"/>
        <v>0</v>
      </c>
      <c r="N68" s="37">
        <f t="shared" si="11"/>
        <v>0</v>
      </c>
      <c r="O68" s="37">
        <f t="shared" si="11"/>
        <v>0</v>
      </c>
      <c r="P68" s="37">
        <f t="shared" ref="P68:AA76" si="12">$A68*H.Ar + $B68*H.Se + $C68*H.Ge + $D68*H.Ga</f>
        <v>0</v>
      </c>
      <c r="Q68" s="37">
        <f t="shared" si="12"/>
        <v>0</v>
      </c>
      <c r="R68" s="37">
        <f t="shared" si="12"/>
        <v>0</v>
      </c>
      <c r="S68" s="37">
        <f t="shared" si="12"/>
        <v>0</v>
      </c>
      <c r="T68" s="37">
        <f t="shared" si="12"/>
        <v>0</v>
      </c>
      <c r="U68" s="37">
        <f t="shared" si="12"/>
        <v>0</v>
      </c>
      <c r="V68" s="37">
        <f t="shared" si="12"/>
        <v>0</v>
      </c>
      <c r="W68" s="37">
        <f t="shared" si="12"/>
        <v>0</v>
      </c>
      <c r="X68" s="37">
        <f t="shared" si="12"/>
        <v>0</v>
      </c>
      <c r="Y68" s="37">
        <f t="shared" si="12"/>
        <v>0</v>
      </c>
      <c r="Z68" s="37">
        <f t="shared" si="12"/>
        <v>0</v>
      </c>
      <c r="AA68" s="37">
        <f t="shared" si="12"/>
        <v>0</v>
      </c>
    </row>
    <row r="69" spans="1:27" ht="21" hidden="1" customHeight="1" outlineLevel="1" thickBot="1" x14ac:dyDescent="0.4">
      <c r="A69" s="5">
        <f t="shared" si="10"/>
        <v>0</v>
      </c>
      <c r="B69" s="5">
        <f t="shared" si="10"/>
        <v>0</v>
      </c>
      <c r="C69" s="5">
        <f t="shared" si="10"/>
        <v>0</v>
      </c>
      <c r="D69" s="5">
        <f t="shared" si="10"/>
        <v>0</v>
      </c>
      <c r="E69" s="33">
        <f t="shared" si="10"/>
        <v>0</v>
      </c>
      <c r="F69" s="37">
        <f t="shared" si="11"/>
        <v>0</v>
      </c>
      <c r="G69" s="37">
        <f t="shared" si="11"/>
        <v>0</v>
      </c>
      <c r="H69" s="37">
        <f t="shared" si="11"/>
        <v>0</v>
      </c>
      <c r="I69" s="37">
        <f t="shared" si="11"/>
        <v>0</v>
      </c>
      <c r="J69" s="37">
        <f t="shared" si="11"/>
        <v>0</v>
      </c>
      <c r="K69" s="37">
        <f t="shared" si="11"/>
        <v>0</v>
      </c>
      <c r="L69" s="37">
        <f t="shared" si="11"/>
        <v>0</v>
      </c>
      <c r="M69" s="37">
        <f t="shared" si="11"/>
        <v>0</v>
      </c>
      <c r="N69" s="37">
        <f t="shared" si="11"/>
        <v>0</v>
      </c>
      <c r="O69" s="37">
        <f t="shared" si="11"/>
        <v>0</v>
      </c>
      <c r="P69" s="37">
        <f t="shared" si="12"/>
        <v>0</v>
      </c>
      <c r="Q69" s="37">
        <f t="shared" si="12"/>
        <v>0</v>
      </c>
      <c r="R69" s="37">
        <f t="shared" si="12"/>
        <v>0</v>
      </c>
      <c r="S69" s="37">
        <f t="shared" si="12"/>
        <v>0</v>
      </c>
      <c r="T69" s="37">
        <f t="shared" si="12"/>
        <v>0</v>
      </c>
      <c r="U69" s="37">
        <f t="shared" si="12"/>
        <v>0</v>
      </c>
      <c r="V69" s="37">
        <f t="shared" si="12"/>
        <v>0</v>
      </c>
      <c r="W69" s="37">
        <f t="shared" si="12"/>
        <v>0</v>
      </c>
      <c r="X69" s="37">
        <f t="shared" si="12"/>
        <v>0</v>
      </c>
      <c r="Y69" s="37">
        <f t="shared" si="12"/>
        <v>0</v>
      </c>
      <c r="Z69" s="37">
        <f t="shared" si="12"/>
        <v>0</v>
      </c>
      <c r="AA69" s="37">
        <f t="shared" si="12"/>
        <v>0</v>
      </c>
    </row>
    <row r="70" spans="1:27" ht="21" hidden="1" customHeight="1" outlineLevel="1" thickBot="1" x14ac:dyDescent="0.4">
      <c r="A70" s="5">
        <f t="shared" si="10"/>
        <v>0</v>
      </c>
      <c r="B70" s="5">
        <f t="shared" si="10"/>
        <v>0</v>
      </c>
      <c r="C70" s="5">
        <f t="shared" si="10"/>
        <v>0</v>
      </c>
      <c r="D70" s="5">
        <f t="shared" si="10"/>
        <v>0</v>
      </c>
      <c r="E70" s="33">
        <f t="shared" si="10"/>
        <v>0</v>
      </c>
      <c r="F70" s="37">
        <f t="shared" si="11"/>
        <v>0</v>
      </c>
      <c r="G70" s="37">
        <f t="shared" si="11"/>
        <v>0</v>
      </c>
      <c r="H70" s="37">
        <f t="shared" si="11"/>
        <v>0</v>
      </c>
      <c r="I70" s="37">
        <f t="shared" si="11"/>
        <v>0</v>
      </c>
      <c r="J70" s="37">
        <f t="shared" si="11"/>
        <v>0</v>
      </c>
      <c r="K70" s="37">
        <f t="shared" si="11"/>
        <v>0</v>
      </c>
      <c r="L70" s="37">
        <f t="shared" si="11"/>
        <v>0</v>
      </c>
      <c r="M70" s="37">
        <f t="shared" si="11"/>
        <v>0</v>
      </c>
      <c r="N70" s="37">
        <f t="shared" si="11"/>
        <v>0</v>
      </c>
      <c r="O70" s="37">
        <f t="shared" si="11"/>
        <v>0</v>
      </c>
      <c r="P70" s="37">
        <f t="shared" si="12"/>
        <v>0</v>
      </c>
      <c r="Q70" s="37">
        <f t="shared" si="12"/>
        <v>0</v>
      </c>
      <c r="R70" s="37">
        <f t="shared" si="12"/>
        <v>0</v>
      </c>
      <c r="S70" s="37">
        <f t="shared" si="12"/>
        <v>0</v>
      </c>
      <c r="T70" s="37">
        <f t="shared" si="12"/>
        <v>0</v>
      </c>
      <c r="U70" s="37">
        <f t="shared" si="12"/>
        <v>0</v>
      </c>
      <c r="V70" s="37">
        <f t="shared" si="12"/>
        <v>0</v>
      </c>
      <c r="W70" s="37">
        <f t="shared" si="12"/>
        <v>0</v>
      </c>
      <c r="X70" s="37">
        <f t="shared" si="12"/>
        <v>0</v>
      </c>
      <c r="Y70" s="37">
        <f t="shared" si="12"/>
        <v>0</v>
      </c>
      <c r="Z70" s="37">
        <f t="shared" si="12"/>
        <v>0</v>
      </c>
      <c r="AA70" s="37">
        <f t="shared" si="12"/>
        <v>0</v>
      </c>
    </row>
    <row r="71" spans="1:27" ht="21" hidden="1" customHeight="1" outlineLevel="1" thickBot="1" x14ac:dyDescent="0.4">
      <c r="A71" s="5">
        <f t="shared" si="10"/>
        <v>0</v>
      </c>
      <c r="B71" s="5">
        <f t="shared" si="10"/>
        <v>0</v>
      </c>
      <c r="C71" s="5">
        <f t="shared" si="10"/>
        <v>0</v>
      </c>
      <c r="D71" s="5">
        <f t="shared" si="10"/>
        <v>0</v>
      </c>
      <c r="E71" s="33">
        <f t="shared" si="10"/>
        <v>0</v>
      </c>
      <c r="F71" s="37">
        <f t="shared" si="11"/>
        <v>0</v>
      </c>
      <c r="G71" s="37">
        <f t="shared" si="11"/>
        <v>0</v>
      </c>
      <c r="H71" s="37">
        <f t="shared" si="11"/>
        <v>0</v>
      </c>
      <c r="I71" s="37">
        <f t="shared" si="11"/>
        <v>0</v>
      </c>
      <c r="J71" s="37">
        <f t="shared" si="11"/>
        <v>0</v>
      </c>
      <c r="K71" s="37">
        <f t="shared" si="11"/>
        <v>0</v>
      </c>
      <c r="L71" s="37">
        <f t="shared" si="11"/>
        <v>0</v>
      </c>
      <c r="M71" s="37">
        <f t="shared" si="11"/>
        <v>0</v>
      </c>
      <c r="N71" s="37">
        <f t="shared" si="11"/>
        <v>0</v>
      </c>
      <c r="O71" s="37">
        <f t="shared" si="11"/>
        <v>0</v>
      </c>
      <c r="P71" s="37">
        <f t="shared" si="12"/>
        <v>0</v>
      </c>
      <c r="Q71" s="37">
        <f t="shared" si="12"/>
        <v>0</v>
      </c>
      <c r="R71" s="37">
        <f t="shared" si="12"/>
        <v>0</v>
      </c>
      <c r="S71" s="37">
        <f t="shared" si="12"/>
        <v>0</v>
      </c>
      <c r="T71" s="37">
        <f t="shared" si="12"/>
        <v>0</v>
      </c>
      <c r="U71" s="37">
        <f t="shared" si="12"/>
        <v>0</v>
      </c>
      <c r="V71" s="37">
        <f t="shared" si="12"/>
        <v>0</v>
      </c>
      <c r="W71" s="37">
        <f t="shared" si="12"/>
        <v>0</v>
      </c>
      <c r="X71" s="37">
        <f t="shared" si="12"/>
        <v>0</v>
      </c>
      <c r="Y71" s="37">
        <f t="shared" si="12"/>
        <v>0</v>
      </c>
      <c r="Z71" s="37">
        <f t="shared" si="12"/>
        <v>0</v>
      </c>
      <c r="AA71" s="37">
        <f t="shared" si="12"/>
        <v>0</v>
      </c>
    </row>
    <row r="72" spans="1:27" ht="21" hidden="1" customHeight="1" outlineLevel="1" thickBot="1" x14ac:dyDescent="0.4">
      <c r="A72" s="5">
        <f t="shared" si="10"/>
        <v>0</v>
      </c>
      <c r="B72" s="5">
        <f t="shared" si="10"/>
        <v>0</v>
      </c>
      <c r="C72" s="5">
        <f t="shared" si="10"/>
        <v>0</v>
      </c>
      <c r="D72" s="5">
        <f t="shared" si="10"/>
        <v>0</v>
      </c>
      <c r="E72" s="33">
        <f t="shared" si="10"/>
        <v>0</v>
      </c>
      <c r="F72" s="37">
        <f t="shared" si="11"/>
        <v>0</v>
      </c>
      <c r="G72" s="37">
        <f t="shared" si="11"/>
        <v>0</v>
      </c>
      <c r="H72" s="37">
        <f t="shared" si="11"/>
        <v>0</v>
      </c>
      <c r="I72" s="37">
        <f t="shared" si="11"/>
        <v>0</v>
      </c>
      <c r="J72" s="37">
        <f t="shared" si="11"/>
        <v>0</v>
      </c>
      <c r="K72" s="37">
        <f t="shared" si="11"/>
        <v>0</v>
      </c>
      <c r="L72" s="37">
        <f t="shared" si="11"/>
        <v>0</v>
      </c>
      <c r="M72" s="37">
        <f t="shared" si="11"/>
        <v>0</v>
      </c>
      <c r="N72" s="37">
        <f t="shared" si="11"/>
        <v>0</v>
      </c>
      <c r="O72" s="37">
        <f t="shared" si="11"/>
        <v>0</v>
      </c>
      <c r="P72" s="37">
        <f t="shared" si="12"/>
        <v>0</v>
      </c>
      <c r="Q72" s="37">
        <f t="shared" si="12"/>
        <v>0</v>
      </c>
      <c r="R72" s="37">
        <f t="shared" si="12"/>
        <v>0</v>
      </c>
      <c r="S72" s="37">
        <f t="shared" si="12"/>
        <v>0</v>
      </c>
      <c r="T72" s="37">
        <f t="shared" si="12"/>
        <v>0</v>
      </c>
      <c r="U72" s="37">
        <f t="shared" si="12"/>
        <v>0</v>
      </c>
      <c r="V72" s="37">
        <f t="shared" si="12"/>
        <v>0</v>
      </c>
      <c r="W72" s="37">
        <f t="shared" si="12"/>
        <v>0</v>
      </c>
      <c r="X72" s="37">
        <f t="shared" si="12"/>
        <v>0</v>
      </c>
      <c r="Y72" s="37">
        <f t="shared" si="12"/>
        <v>0</v>
      </c>
      <c r="Z72" s="37">
        <f t="shared" si="12"/>
        <v>0</v>
      </c>
      <c r="AA72" s="37">
        <f t="shared" si="12"/>
        <v>0</v>
      </c>
    </row>
    <row r="73" spans="1:27" ht="21" hidden="1" customHeight="1" outlineLevel="1" thickBot="1" x14ac:dyDescent="0.4">
      <c r="A73" s="5">
        <f t="shared" si="10"/>
        <v>0</v>
      </c>
      <c r="B73" s="5">
        <f t="shared" si="10"/>
        <v>0</v>
      </c>
      <c r="C73" s="5">
        <f t="shared" si="10"/>
        <v>0</v>
      </c>
      <c r="D73" s="5">
        <f t="shared" si="10"/>
        <v>0</v>
      </c>
      <c r="E73" s="33">
        <f t="shared" si="10"/>
        <v>0</v>
      </c>
      <c r="F73" s="37">
        <f t="shared" si="11"/>
        <v>0</v>
      </c>
      <c r="G73" s="37">
        <f t="shared" si="11"/>
        <v>0</v>
      </c>
      <c r="H73" s="37">
        <f t="shared" si="11"/>
        <v>0</v>
      </c>
      <c r="I73" s="37">
        <f t="shared" si="11"/>
        <v>0</v>
      </c>
      <c r="J73" s="37">
        <f t="shared" si="11"/>
        <v>0</v>
      </c>
      <c r="K73" s="37">
        <f t="shared" si="11"/>
        <v>0</v>
      </c>
      <c r="L73" s="37">
        <f t="shared" si="11"/>
        <v>0</v>
      </c>
      <c r="M73" s="37">
        <f t="shared" si="11"/>
        <v>0</v>
      </c>
      <c r="N73" s="37">
        <f t="shared" si="11"/>
        <v>0</v>
      </c>
      <c r="O73" s="37">
        <f t="shared" si="11"/>
        <v>0</v>
      </c>
      <c r="P73" s="37">
        <f t="shared" si="12"/>
        <v>0</v>
      </c>
      <c r="Q73" s="37">
        <f t="shared" si="12"/>
        <v>0</v>
      </c>
      <c r="R73" s="37">
        <f t="shared" si="12"/>
        <v>0</v>
      </c>
      <c r="S73" s="37">
        <f t="shared" si="12"/>
        <v>0</v>
      </c>
      <c r="T73" s="37">
        <f t="shared" si="12"/>
        <v>0</v>
      </c>
      <c r="U73" s="37">
        <f t="shared" si="12"/>
        <v>0</v>
      </c>
      <c r="V73" s="37">
        <f t="shared" si="12"/>
        <v>0</v>
      </c>
      <c r="W73" s="37">
        <f t="shared" si="12"/>
        <v>0</v>
      </c>
      <c r="X73" s="37">
        <f t="shared" si="12"/>
        <v>0</v>
      </c>
      <c r="Y73" s="37">
        <f t="shared" si="12"/>
        <v>0</v>
      </c>
      <c r="Z73" s="37">
        <f t="shared" si="12"/>
        <v>0</v>
      </c>
      <c r="AA73" s="37">
        <f t="shared" si="12"/>
        <v>0</v>
      </c>
    </row>
    <row r="74" spans="1:27" ht="21" hidden="1" customHeight="1" outlineLevel="1" thickBot="1" x14ac:dyDescent="0.4">
      <c r="A74" s="5">
        <f t="shared" si="10"/>
        <v>0</v>
      </c>
      <c r="B74" s="5">
        <f t="shared" si="10"/>
        <v>0</v>
      </c>
      <c r="C74" s="5">
        <f t="shared" si="10"/>
        <v>0</v>
      </c>
      <c r="D74" s="5">
        <f t="shared" si="10"/>
        <v>0</v>
      </c>
      <c r="E74" s="33">
        <f t="shared" si="10"/>
        <v>0</v>
      </c>
      <c r="F74" s="37">
        <f t="shared" si="11"/>
        <v>0</v>
      </c>
      <c r="G74" s="37">
        <f t="shared" si="11"/>
        <v>0</v>
      </c>
      <c r="H74" s="37">
        <f t="shared" si="11"/>
        <v>0</v>
      </c>
      <c r="I74" s="37">
        <f t="shared" si="11"/>
        <v>0</v>
      </c>
      <c r="J74" s="37">
        <f t="shared" si="11"/>
        <v>0</v>
      </c>
      <c r="K74" s="37">
        <f t="shared" si="11"/>
        <v>0</v>
      </c>
      <c r="L74" s="37">
        <f t="shared" si="11"/>
        <v>0</v>
      </c>
      <c r="M74" s="37">
        <f t="shared" si="11"/>
        <v>0</v>
      </c>
      <c r="N74" s="37">
        <f t="shared" si="11"/>
        <v>0</v>
      </c>
      <c r="O74" s="37">
        <f t="shared" si="11"/>
        <v>0</v>
      </c>
      <c r="P74" s="37">
        <f t="shared" si="12"/>
        <v>0</v>
      </c>
      <c r="Q74" s="37">
        <f t="shared" si="12"/>
        <v>0</v>
      </c>
      <c r="R74" s="37">
        <f t="shared" si="12"/>
        <v>0</v>
      </c>
      <c r="S74" s="37">
        <f t="shared" si="12"/>
        <v>0</v>
      </c>
      <c r="T74" s="37">
        <f t="shared" si="12"/>
        <v>0</v>
      </c>
      <c r="U74" s="37">
        <f t="shared" si="12"/>
        <v>0</v>
      </c>
      <c r="V74" s="37">
        <f t="shared" si="12"/>
        <v>0</v>
      </c>
      <c r="W74" s="37">
        <f t="shared" si="12"/>
        <v>0</v>
      </c>
      <c r="X74" s="37">
        <f t="shared" si="12"/>
        <v>0</v>
      </c>
      <c r="Y74" s="37">
        <f t="shared" si="12"/>
        <v>0</v>
      </c>
      <c r="Z74" s="37">
        <f t="shared" si="12"/>
        <v>0</v>
      </c>
      <c r="AA74" s="37">
        <f t="shared" si="12"/>
        <v>0</v>
      </c>
    </row>
    <row r="75" spans="1:27" ht="21" hidden="1" customHeight="1" outlineLevel="1" thickBot="1" x14ac:dyDescent="0.4">
      <c r="A75" s="5">
        <f t="shared" si="10"/>
        <v>0</v>
      </c>
      <c r="B75" s="5">
        <f t="shared" si="10"/>
        <v>0</v>
      </c>
      <c r="C75" s="5">
        <f t="shared" si="10"/>
        <v>0</v>
      </c>
      <c r="D75" s="5">
        <f t="shared" si="10"/>
        <v>0</v>
      </c>
      <c r="E75" s="33">
        <f t="shared" si="10"/>
        <v>0</v>
      </c>
      <c r="F75" s="37">
        <f t="shared" si="11"/>
        <v>0</v>
      </c>
      <c r="G75" s="37">
        <f t="shared" si="11"/>
        <v>0</v>
      </c>
      <c r="H75" s="37">
        <f t="shared" si="11"/>
        <v>0</v>
      </c>
      <c r="I75" s="37">
        <f t="shared" si="11"/>
        <v>0</v>
      </c>
      <c r="J75" s="37">
        <f t="shared" si="11"/>
        <v>0</v>
      </c>
      <c r="K75" s="37">
        <f t="shared" si="11"/>
        <v>0</v>
      </c>
      <c r="L75" s="37">
        <f t="shared" si="11"/>
        <v>0</v>
      </c>
      <c r="M75" s="37">
        <f t="shared" si="11"/>
        <v>0</v>
      </c>
      <c r="N75" s="37">
        <f t="shared" si="11"/>
        <v>0</v>
      </c>
      <c r="O75" s="37">
        <f t="shared" si="11"/>
        <v>0</v>
      </c>
      <c r="P75" s="37">
        <f t="shared" si="12"/>
        <v>0</v>
      </c>
      <c r="Q75" s="37">
        <f t="shared" si="12"/>
        <v>0</v>
      </c>
      <c r="R75" s="37">
        <f t="shared" si="12"/>
        <v>0</v>
      </c>
      <c r="S75" s="37">
        <f t="shared" si="12"/>
        <v>0</v>
      </c>
      <c r="T75" s="37">
        <f t="shared" si="12"/>
        <v>0</v>
      </c>
      <c r="U75" s="37">
        <f t="shared" si="12"/>
        <v>0</v>
      </c>
      <c r="V75" s="37">
        <f t="shared" si="12"/>
        <v>0</v>
      </c>
      <c r="W75" s="37">
        <f t="shared" si="12"/>
        <v>0</v>
      </c>
      <c r="X75" s="37">
        <f t="shared" si="12"/>
        <v>0</v>
      </c>
      <c r="Y75" s="37">
        <f t="shared" si="12"/>
        <v>0</v>
      </c>
      <c r="Z75" s="37">
        <f t="shared" si="12"/>
        <v>0</v>
      </c>
      <c r="AA75" s="37">
        <f t="shared" si="12"/>
        <v>0</v>
      </c>
    </row>
    <row r="76" spans="1:27" ht="21" hidden="1" customHeight="1" outlineLevel="1" thickBot="1" x14ac:dyDescent="0.4">
      <c r="A76" s="5">
        <f t="shared" si="10"/>
        <v>0</v>
      </c>
      <c r="B76" s="5">
        <f t="shared" si="10"/>
        <v>0</v>
      </c>
      <c r="C76" s="5">
        <f t="shared" si="10"/>
        <v>0</v>
      </c>
      <c r="D76" s="5">
        <f t="shared" si="10"/>
        <v>0</v>
      </c>
      <c r="E76" s="33">
        <f t="shared" si="10"/>
        <v>0</v>
      </c>
      <c r="F76" s="37">
        <f t="shared" si="11"/>
        <v>0</v>
      </c>
      <c r="G76" s="37">
        <f t="shared" si="11"/>
        <v>0</v>
      </c>
      <c r="H76" s="37">
        <f t="shared" si="11"/>
        <v>0</v>
      </c>
      <c r="I76" s="37">
        <f t="shared" si="11"/>
        <v>0</v>
      </c>
      <c r="J76" s="37">
        <f t="shared" si="11"/>
        <v>0</v>
      </c>
      <c r="K76" s="37">
        <f t="shared" si="11"/>
        <v>0</v>
      </c>
      <c r="L76" s="37">
        <f t="shared" si="11"/>
        <v>0</v>
      </c>
      <c r="M76" s="37">
        <f t="shared" si="11"/>
        <v>0</v>
      </c>
      <c r="N76" s="37">
        <f t="shared" si="11"/>
        <v>0</v>
      </c>
      <c r="O76" s="37">
        <f t="shared" si="11"/>
        <v>0</v>
      </c>
      <c r="P76" s="37">
        <f t="shared" si="12"/>
        <v>0</v>
      </c>
      <c r="Q76" s="37">
        <f t="shared" si="12"/>
        <v>0</v>
      </c>
      <c r="R76" s="37">
        <f t="shared" si="12"/>
        <v>0</v>
      </c>
      <c r="S76" s="37">
        <f t="shared" si="12"/>
        <v>0</v>
      </c>
      <c r="T76" s="37">
        <f t="shared" si="12"/>
        <v>0</v>
      </c>
      <c r="U76" s="37">
        <f t="shared" si="12"/>
        <v>0</v>
      </c>
      <c r="V76" s="37">
        <f t="shared" si="12"/>
        <v>0</v>
      </c>
      <c r="W76" s="37">
        <f t="shared" si="12"/>
        <v>0</v>
      </c>
      <c r="X76" s="37">
        <f t="shared" si="12"/>
        <v>0</v>
      </c>
      <c r="Y76" s="37">
        <f t="shared" si="12"/>
        <v>0</v>
      </c>
      <c r="Z76" s="37">
        <f t="shared" si="12"/>
        <v>0</v>
      </c>
      <c r="AA76" s="37">
        <f t="shared" si="12"/>
        <v>0</v>
      </c>
    </row>
    <row r="77" spans="1:27" ht="21" hidden="1" customHeight="1" outlineLevel="1" thickBot="1" x14ac:dyDescent="0.4">
      <c r="A77" s="5">
        <f t="shared" si="10"/>
        <v>0</v>
      </c>
      <c r="B77" s="5">
        <f t="shared" si="10"/>
        <v>0</v>
      </c>
      <c r="C77" s="5">
        <f t="shared" si="10"/>
        <v>0</v>
      </c>
      <c r="D77" s="5">
        <f t="shared" si="10"/>
        <v>0</v>
      </c>
      <c r="E77" s="33">
        <f t="shared" si="10"/>
        <v>1</v>
      </c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</row>
    <row r="78" spans="1:27" ht="21" hidden="1" customHeight="1" outlineLevel="1" x14ac:dyDescent="0.35"/>
    <row r="79" spans="1:27" ht="21" customHeight="1" collapsed="1" thickBot="1" x14ac:dyDescent="0.4">
      <c r="W79" s="1"/>
    </row>
    <row r="80" spans="1:27" ht="21" customHeight="1" thickBot="1" x14ac:dyDescent="0.45">
      <c r="A80" s="37"/>
      <c r="B80" s="37"/>
      <c r="C80" s="2">
        <f>E38</f>
        <v>8.3333333333333339</v>
      </c>
      <c r="D80" s="47"/>
      <c r="E80" s="71" t="str">
        <f>ALL!E80</f>
        <v>Относительная  концентрация в данной системе</v>
      </c>
      <c r="F80" s="72"/>
      <c r="G80" s="71"/>
      <c r="H80" s="71"/>
      <c r="I80" s="71"/>
      <c r="J80" s="71"/>
      <c r="K80" s="71"/>
      <c r="L80" s="71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</row>
    <row r="81" spans="1:27" ht="21" customHeight="1" outlineLevel="1" thickTop="1" thickBot="1" x14ac:dyDescent="0.4">
      <c r="A81" s="21" t="s">
        <v>2</v>
      </c>
      <c r="B81" s="7" t="s">
        <v>7</v>
      </c>
      <c r="C81" s="7" t="s">
        <v>8</v>
      </c>
      <c r="D81" s="22" t="s">
        <v>9</v>
      </c>
      <c r="E81" s="29">
        <f t="shared" ref="E81:E111" si="13">E47</f>
        <v>0</v>
      </c>
      <c r="F81" s="29">
        <f t="shared" ref="F81:AA81" si="14">F3</f>
        <v>298.2</v>
      </c>
      <c r="G81" s="29">
        <f t="shared" si="14"/>
        <v>331.5</v>
      </c>
      <c r="H81" s="29">
        <f t="shared" si="14"/>
        <v>364.9</v>
      </c>
      <c r="I81" s="29">
        <f t="shared" si="14"/>
        <v>398.3</v>
      </c>
      <c r="J81" s="29">
        <f t="shared" si="14"/>
        <v>431.7</v>
      </c>
      <c r="K81" s="29">
        <f t="shared" si="14"/>
        <v>465.1</v>
      </c>
      <c r="L81" s="29">
        <f t="shared" si="14"/>
        <v>498.5</v>
      </c>
      <c r="M81" s="29">
        <f t="shared" si="14"/>
        <v>531.79999999999995</v>
      </c>
      <c r="N81" s="29">
        <f t="shared" si="14"/>
        <v>565.20000000000005</v>
      </c>
      <c r="O81" s="29">
        <f t="shared" si="14"/>
        <v>698.8</v>
      </c>
      <c r="P81" s="29">
        <f t="shared" si="14"/>
        <v>832.3</v>
      </c>
      <c r="Q81" s="29">
        <f t="shared" si="14"/>
        <v>965.8</v>
      </c>
      <c r="R81" s="29">
        <f t="shared" si="14"/>
        <v>999.2</v>
      </c>
      <c r="S81" s="29">
        <f t="shared" si="14"/>
        <v>1033</v>
      </c>
      <c r="T81" s="29">
        <f t="shared" si="14"/>
        <v>1066</v>
      </c>
      <c r="U81" s="29">
        <f t="shared" si="14"/>
        <v>1099</v>
      </c>
      <c r="V81" s="29">
        <f t="shared" si="14"/>
        <v>1233</v>
      </c>
      <c r="W81" s="29">
        <f t="shared" si="14"/>
        <v>1366</v>
      </c>
      <c r="X81" s="29">
        <f t="shared" si="14"/>
        <v>1400</v>
      </c>
      <c r="Y81" s="29">
        <f t="shared" si="14"/>
        <v>1433</v>
      </c>
      <c r="Z81" s="29">
        <f t="shared" si="14"/>
        <v>1467</v>
      </c>
      <c r="AA81" s="29">
        <f t="shared" si="14"/>
        <v>1500</v>
      </c>
    </row>
    <row r="82" spans="1:27" ht="21" customHeight="1" outlineLevel="1" thickTop="1" thickBot="1" x14ac:dyDescent="0.4">
      <c r="A82" s="5">
        <f t="shared" ref="A82:D111" si="15">A48</f>
        <v>0</v>
      </c>
      <c r="B82" s="5">
        <f t="shared" si="15"/>
        <v>0</v>
      </c>
      <c r="C82" s="5">
        <f t="shared" si="15"/>
        <v>1</v>
      </c>
      <c r="D82" s="5">
        <f t="shared" si="15"/>
        <v>0</v>
      </c>
      <c r="E82" s="33" t="str">
        <f t="shared" si="13"/>
        <v>*Ge[l]</v>
      </c>
      <c r="F82" s="37">
        <f t="shared" ref="F82:AA82" si="16">F4*$C$80</f>
        <v>0</v>
      </c>
      <c r="G82" s="37">
        <f t="shared" si="16"/>
        <v>0</v>
      </c>
      <c r="H82" s="37">
        <f t="shared" si="16"/>
        <v>0</v>
      </c>
      <c r="I82" s="37">
        <f t="shared" si="16"/>
        <v>0</v>
      </c>
      <c r="J82" s="37">
        <f t="shared" si="16"/>
        <v>0</v>
      </c>
      <c r="K82" s="37">
        <f t="shared" si="16"/>
        <v>0</v>
      </c>
      <c r="L82" s="37">
        <f t="shared" si="16"/>
        <v>0</v>
      </c>
      <c r="M82" s="37">
        <f t="shared" si="16"/>
        <v>0</v>
      </c>
      <c r="N82" s="37">
        <f t="shared" si="16"/>
        <v>5.2679999999999999E-23</v>
      </c>
      <c r="O82" s="37">
        <f t="shared" si="16"/>
        <v>1.6233333333333333E-12</v>
      </c>
      <c r="P82" s="37">
        <f t="shared" si="16"/>
        <v>1.5210000000000002E-9</v>
      </c>
      <c r="Q82" s="37">
        <f t="shared" si="16"/>
        <v>1.1971666666666667E-8</v>
      </c>
      <c r="R82" s="37">
        <f t="shared" si="16"/>
        <v>2.0710833333333335E-8</v>
      </c>
      <c r="S82" s="37">
        <f t="shared" si="16"/>
        <v>3.7360833333333335E-8</v>
      </c>
      <c r="T82" s="37">
        <f t="shared" si="16"/>
        <v>9.8875000000000017E-8</v>
      </c>
      <c r="U82" s="37">
        <f t="shared" si="16"/>
        <v>2.4500833333333334E-7</v>
      </c>
      <c r="V82" s="37">
        <f t="shared" si="16"/>
        <v>0.49995000000000001</v>
      </c>
      <c r="W82" s="37">
        <f t="shared" si="16"/>
        <v>0.5</v>
      </c>
      <c r="X82" s="37">
        <f t="shared" si="16"/>
        <v>0.5</v>
      </c>
      <c r="Y82" s="37">
        <f t="shared" si="16"/>
        <v>0.5</v>
      </c>
      <c r="Z82" s="37">
        <f t="shared" si="16"/>
        <v>0.5</v>
      </c>
      <c r="AA82" s="37">
        <f t="shared" si="16"/>
        <v>0.5</v>
      </c>
    </row>
    <row r="83" spans="1:27" ht="21" customHeight="1" outlineLevel="1" thickBot="1" x14ac:dyDescent="0.4">
      <c r="A83" s="5">
        <f t="shared" si="15"/>
        <v>0</v>
      </c>
      <c r="B83" s="5">
        <f t="shared" si="15"/>
        <v>0</v>
      </c>
      <c r="C83" s="5">
        <f t="shared" si="15"/>
        <v>1</v>
      </c>
      <c r="D83" s="5">
        <f t="shared" si="15"/>
        <v>0</v>
      </c>
      <c r="E83" s="33" t="str">
        <f t="shared" si="13"/>
        <v>*Ge</v>
      </c>
      <c r="F83" s="37">
        <f t="shared" ref="F83:AA83" si="17">F5*$C$80</f>
        <v>0</v>
      </c>
      <c r="G83" s="37">
        <f t="shared" si="17"/>
        <v>0</v>
      </c>
      <c r="H83" s="37">
        <f t="shared" si="17"/>
        <v>0</v>
      </c>
      <c r="I83" s="37">
        <f t="shared" si="17"/>
        <v>1.6926666666666669E-25</v>
      </c>
      <c r="J83" s="37">
        <f t="shared" si="17"/>
        <v>6.1548333333333334E-17</v>
      </c>
      <c r="K83" s="37">
        <f t="shared" si="17"/>
        <v>1.9306666666666669E-10</v>
      </c>
      <c r="L83" s="37">
        <f t="shared" si="17"/>
        <v>5.4704166666666669E-8</v>
      </c>
      <c r="M83" s="37">
        <f t="shared" si="17"/>
        <v>0.5</v>
      </c>
      <c r="N83" s="37">
        <f t="shared" si="17"/>
        <v>0.5</v>
      </c>
      <c r="O83" s="37">
        <f t="shared" si="17"/>
        <v>0.5</v>
      </c>
      <c r="P83" s="37">
        <f t="shared" si="17"/>
        <v>0.5</v>
      </c>
      <c r="Q83" s="37">
        <f t="shared" si="17"/>
        <v>0.5</v>
      </c>
      <c r="R83" s="37">
        <f t="shared" si="17"/>
        <v>0.5</v>
      </c>
      <c r="S83" s="37">
        <f t="shared" si="17"/>
        <v>0.5</v>
      </c>
      <c r="T83" s="37">
        <f t="shared" si="17"/>
        <v>0.5</v>
      </c>
      <c r="U83" s="37">
        <f t="shared" si="17"/>
        <v>0.5</v>
      </c>
      <c r="V83" s="37">
        <f t="shared" si="17"/>
        <v>4.9101666666666671E-5</v>
      </c>
      <c r="W83" s="37">
        <f t="shared" si="17"/>
        <v>1.8379166666666669E-7</v>
      </c>
      <c r="X83" s="37">
        <f t="shared" si="17"/>
        <v>9.1266666666666663E-8</v>
      </c>
      <c r="Y83" s="37">
        <f t="shared" si="17"/>
        <v>6.3140833333333338E-8</v>
      </c>
      <c r="Z83" s="37">
        <f t="shared" si="17"/>
        <v>6.5566666666666665E-8</v>
      </c>
      <c r="AA83" s="37">
        <f t="shared" si="17"/>
        <v>5.0708333333333342E-8</v>
      </c>
    </row>
    <row r="84" spans="1:27" ht="21" customHeight="1" outlineLevel="1" thickBot="1" x14ac:dyDescent="0.4">
      <c r="A84" s="5">
        <f t="shared" si="15"/>
        <v>0</v>
      </c>
      <c r="B84" s="5">
        <f t="shared" si="15"/>
        <v>1</v>
      </c>
      <c r="C84" s="5">
        <f t="shared" si="15"/>
        <v>1</v>
      </c>
      <c r="D84" s="5">
        <f t="shared" si="15"/>
        <v>0</v>
      </c>
      <c r="E84" s="33" t="str">
        <f t="shared" si="13"/>
        <v>*GeSe</v>
      </c>
      <c r="F84" s="37">
        <f t="shared" ref="F84:AA84" si="18">F6*$C$80</f>
        <v>8.007250000000001E-11</v>
      </c>
      <c r="G84" s="37">
        <f t="shared" si="18"/>
        <v>9.1924999999999998E-8</v>
      </c>
      <c r="H84" s="37">
        <f t="shared" si="18"/>
        <v>1</v>
      </c>
      <c r="I84" s="37">
        <f t="shared" si="18"/>
        <v>1</v>
      </c>
      <c r="J84" s="37">
        <f t="shared" si="18"/>
        <v>1</v>
      </c>
      <c r="K84" s="37">
        <f t="shared" si="18"/>
        <v>1</v>
      </c>
      <c r="L84" s="37">
        <f t="shared" si="18"/>
        <v>1</v>
      </c>
      <c r="M84" s="37">
        <f t="shared" si="18"/>
        <v>1.5800833333333336E-8</v>
      </c>
      <c r="N84" s="37">
        <f t="shared" si="18"/>
        <v>6.2937500000000011E-10</v>
      </c>
      <c r="O84" s="37">
        <f t="shared" si="18"/>
        <v>1.0320833333333334E-26</v>
      </c>
      <c r="P84" s="37">
        <f t="shared" si="18"/>
        <v>0</v>
      </c>
      <c r="Q84" s="37">
        <f t="shared" si="18"/>
        <v>0</v>
      </c>
      <c r="R84" s="37">
        <f t="shared" si="18"/>
        <v>0</v>
      </c>
      <c r="S84" s="37">
        <f t="shared" si="18"/>
        <v>0</v>
      </c>
      <c r="T84" s="37">
        <f t="shared" si="18"/>
        <v>0</v>
      </c>
      <c r="U84" s="37">
        <f t="shared" si="18"/>
        <v>0</v>
      </c>
      <c r="V84" s="37">
        <f t="shared" si="18"/>
        <v>0</v>
      </c>
      <c r="W84" s="37">
        <f t="shared" si="18"/>
        <v>0</v>
      </c>
      <c r="X84" s="37">
        <f t="shared" si="18"/>
        <v>0</v>
      </c>
      <c r="Y84" s="37">
        <f t="shared" si="18"/>
        <v>0</v>
      </c>
      <c r="Z84" s="37">
        <f t="shared" si="18"/>
        <v>0</v>
      </c>
      <c r="AA84" s="37">
        <f t="shared" si="18"/>
        <v>0</v>
      </c>
    </row>
    <row r="85" spans="1:27" ht="21" customHeight="1" outlineLevel="1" thickBot="1" x14ac:dyDescent="0.4">
      <c r="A85" s="5">
        <f t="shared" si="15"/>
        <v>0</v>
      </c>
      <c r="B85" s="5">
        <f t="shared" si="15"/>
        <v>0</v>
      </c>
      <c r="C85" s="5">
        <f t="shared" si="15"/>
        <v>0</v>
      </c>
      <c r="D85" s="5">
        <f t="shared" si="15"/>
        <v>1</v>
      </c>
      <c r="E85" s="33" t="str">
        <f t="shared" si="13"/>
        <v>*Ga</v>
      </c>
      <c r="F85" s="37">
        <f t="shared" ref="F85:AA85" si="19">F7*$C$80</f>
        <v>0</v>
      </c>
      <c r="G85" s="37">
        <f t="shared" si="19"/>
        <v>0</v>
      </c>
      <c r="H85" s="37">
        <f t="shared" si="19"/>
        <v>0</v>
      </c>
      <c r="I85" s="37">
        <f t="shared" si="19"/>
        <v>0</v>
      </c>
      <c r="J85" s="37">
        <f t="shared" si="19"/>
        <v>0</v>
      </c>
      <c r="K85" s="37">
        <f t="shared" si="19"/>
        <v>0</v>
      </c>
      <c r="L85" s="37">
        <f t="shared" si="19"/>
        <v>0</v>
      </c>
      <c r="M85" s="37">
        <f t="shared" si="19"/>
        <v>0.29310833333333336</v>
      </c>
      <c r="N85" s="37">
        <f t="shared" si="19"/>
        <v>0.66663333333333341</v>
      </c>
      <c r="O85" s="37">
        <f t="shared" si="19"/>
        <v>0.66666666666666674</v>
      </c>
      <c r="P85" s="37">
        <f t="shared" si="19"/>
        <v>0.66666666666666674</v>
      </c>
      <c r="Q85" s="37">
        <f t="shared" si="19"/>
        <v>0.66666666666666674</v>
      </c>
      <c r="R85" s="37">
        <f t="shared" si="19"/>
        <v>0.66666666666666674</v>
      </c>
      <c r="S85" s="37">
        <f t="shared" si="19"/>
        <v>0.66666666666666674</v>
      </c>
      <c r="T85" s="37">
        <f t="shared" si="19"/>
        <v>0.66666666666666674</v>
      </c>
      <c r="U85" s="37">
        <f t="shared" si="19"/>
        <v>0.66666666666666674</v>
      </c>
      <c r="V85" s="37">
        <f t="shared" si="19"/>
        <v>0.66666666666666674</v>
      </c>
      <c r="W85" s="37">
        <f t="shared" si="19"/>
        <v>0.66666666666666674</v>
      </c>
      <c r="X85" s="37">
        <f t="shared" si="19"/>
        <v>0.66666666666666674</v>
      </c>
      <c r="Y85" s="37">
        <f t="shared" si="19"/>
        <v>0.66666666666666674</v>
      </c>
      <c r="Z85" s="37">
        <f t="shared" si="19"/>
        <v>0.66666666666666674</v>
      </c>
      <c r="AA85" s="37">
        <f t="shared" si="19"/>
        <v>0.66666666666666674</v>
      </c>
    </row>
    <row r="86" spans="1:27" ht="21" customHeight="1" outlineLevel="1" thickBot="1" x14ac:dyDescent="0.4">
      <c r="A86" s="5">
        <f t="shared" si="15"/>
        <v>0</v>
      </c>
      <c r="B86" s="5">
        <f t="shared" si="15"/>
        <v>0</v>
      </c>
      <c r="C86" s="5">
        <f t="shared" si="15"/>
        <v>1</v>
      </c>
      <c r="D86" s="5">
        <f t="shared" si="15"/>
        <v>0</v>
      </c>
      <c r="E86" s="33" t="str">
        <f t="shared" si="13"/>
        <v>*Ge[c]</v>
      </c>
      <c r="F86" s="37">
        <f t="shared" ref="F86:AA86" si="20">F8*$C$80</f>
        <v>0</v>
      </c>
      <c r="G86" s="37">
        <f t="shared" si="20"/>
        <v>0</v>
      </c>
      <c r="H86" s="37">
        <f t="shared" si="20"/>
        <v>0</v>
      </c>
      <c r="I86" s="37">
        <f t="shared" si="20"/>
        <v>1.6926666666666669E-25</v>
      </c>
      <c r="J86" s="37">
        <f t="shared" si="20"/>
        <v>6.1548333333333334E-17</v>
      </c>
      <c r="K86" s="37">
        <f t="shared" si="20"/>
        <v>1.9306666666666669E-10</v>
      </c>
      <c r="L86" s="37">
        <f t="shared" si="20"/>
        <v>5.4704166666666669E-8</v>
      </c>
      <c r="M86" s="37">
        <f t="shared" si="20"/>
        <v>0.5</v>
      </c>
      <c r="N86" s="37">
        <f t="shared" si="20"/>
        <v>0.5</v>
      </c>
      <c r="O86" s="37">
        <f t="shared" si="20"/>
        <v>0.5</v>
      </c>
      <c r="P86" s="37">
        <f t="shared" si="20"/>
        <v>0.5</v>
      </c>
      <c r="Q86" s="37">
        <f t="shared" si="20"/>
        <v>0.5</v>
      </c>
      <c r="R86" s="37">
        <f t="shared" si="20"/>
        <v>0.5</v>
      </c>
      <c r="S86" s="37">
        <f t="shared" si="20"/>
        <v>0.5</v>
      </c>
      <c r="T86" s="37">
        <f t="shared" si="20"/>
        <v>0.5</v>
      </c>
      <c r="U86" s="37">
        <f t="shared" si="20"/>
        <v>0.5</v>
      </c>
      <c r="V86" s="37">
        <f t="shared" si="20"/>
        <v>4.9101666666666671E-5</v>
      </c>
      <c r="W86" s="37">
        <f t="shared" si="20"/>
        <v>1.8379166666666669E-7</v>
      </c>
      <c r="X86" s="37">
        <f t="shared" si="20"/>
        <v>9.1266666666666663E-8</v>
      </c>
      <c r="Y86" s="37">
        <f t="shared" si="20"/>
        <v>6.3140833333333338E-8</v>
      </c>
      <c r="Z86" s="37">
        <f t="shared" si="20"/>
        <v>6.5566666666666665E-8</v>
      </c>
      <c r="AA86" s="37">
        <f t="shared" si="20"/>
        <v>5.0708333333333342E-8</v>
      </c>
    </row>
    <row r="87" spans="1:27" ht="21" customHeight="1" outlineLevel="1" thickBot="1" x14ac:dyDescent="0.4">
      <c r="A87" s="5">
        <f t="shared" si="15"/>
        <v>0</v>
      </c>
      <c r="B87" s="5">
        <f t="shared" si="15"/>
        <v>1</v>
      </c>
      <c r="C87" s="5">
        <f t="shared" si="15"/>
        <v>0</v>
      </c>
      <c r="D87" s="5">
        <f t="shared" si="15"/>
        <v>0</v>
      </c>
      <c r="E87" s="33" t="str">
        <f t="shared" si="13"/>
        <v>*Se[m]</v>
      </c>
      <c r="F87" s="37">
        <f t="shared" ref="F87:AA87" si="21">F9*$C$80</f>
        <v>2</v>
      </c>
      <c r="G87" s="37">
        <f t="shared" si="21"/>
        <v>2</v>
      </c>
      <c r="H87" s="37">
        <f t="shared" si="21"/>
        <v>3</v>
      </c>
      <c r="I87" s="37">
        <f t="shared" si="21"/>
        <v>3</v>
      </c>
      <c r="J87" s="37">
        <f t="shared" si="21"/>
        <v>3</v>
      </c>
      <c r="K87" s="37">
        <f t="shared" si="21"/>
        <v>3</v>
      </c>
      <c r="L87" s="37">
        <f t="shared" si="21"/>
        <v>3</v>
      </c>
      <c r="M87" s="37">
        <f t="shared" si="21"/>
        <v>4.4396666666666667</v>
      </c>
      <c r="N87" s="37">
        <f t="shared" si="21"/>
        <v>4.9999166666666675</v>
      </c>
      <c r="O87" s="37">
        <f t="shared" si="21"/>
        <v>5</v>
      </c>
      <c r="P87" s="37">
        <f t="shared" si="21"/>
        <v>5</v>
      </c>
      <c r="Q87" s="37">
        <f t="shared" si="21"/>
        <v>5</v>
      </c>
      <c r="R87" s="37">
        <f t="shared" si="21"/>
        <v>5</v>
      </c>
      <c r="S87" s="37">
        <f t="shared" si="21"/>
        <v>5</v>
      </c>
      <c r="T87" s="37">
        <f t="shared" si="21"/>
        <v>5</v>
      </c>
      <c r="U87" s="37">
        <f t="shared" si="21"/>
        <v>5</v>
      </c>
      <c r="V87" s="37">
        <f t="shared" si="21"/>
        <v>5</v>
      </c>
      <c r="W87" s="37">
        <f t="shared" si="21"/>
        <v>5</v>
      </c>
      <c r="X87" s="37">
        <f t="shared" si="21"/>
        <v>5</v>
      </c>
      <c r="Y87" s="37">
        <f t="shared" si="21"/>
        <v>5</v>
      </c>
      <c r="Z87" s="37">
        <f t="shared" si="21"/>
        <v>5</v>
      </c>
      <c r="AA87" s="37">
        <f t="shared" si="21"/>
        <v>5</v>
      </c>
    </row>
    <row r="88" spans="1:27" ht="21" customHeight="1" outlineLevel="1" thickBot="1" x14ac:dyDescent="0.4">
      <c r="A88" s="5">
        <f t="shared" si="15"/>
        <v>0</v>
      </c>
      <c r="B88" s="5">
        <f t="shared" si="15"/>
        <v>2</v>
      </c>
      <c r="C88" s="5">
        <f t="shared" si="15"/>
        <v>1</v>
      </c>
      <c r="D88" s="5">
        <f t="shared" si="15"/>
        <v>0</v>
      </c>
      <c r="E88" s="33" t="str">
        <f t="shared" si="13"/>
        <v>*GeSe2</v>
      </c>
      <c r="F88" s="37">
        <f t="shared" ref="F88:AA88" si="22">F10*$C$80</f>
        <v>1</v>
      </c>
      <c r="G88" s="37">
        <f t="shared" si="22"/>
        <v>1</v>
      </c>
      <c r="H88" s="37">
        <f t="shared" si="22"/>
        <v>4.8733333333333335E-9</v>
      </c>
      <c r="I88" s="37">
        <f t="shared" si="22"/>
        <v>7.3998333333333344E-11</v>
      </c>
      <c r="J88" s="37">
        <f t="shared" si="22"/>
        <v>6.2057500000000003E-16</v>
      </c>
      <c r="K88" s="37">
        <f t="shared" si="22"/>
        <v>4.9320833333333334E-23</v>
      </c>
      <c r="L88" s="37">
        <f t="shared" si="22"/>
        <v>0</v>
      </c>
      <c r="M88" s="37">
        <f t="shared" si="22"/>
        <v>0</v>
      </c>
      <c r="N88" s="37">
        <f t="shared" si="22"/>
        <v>0</v>
      </c>
      <c r="O88" s="37">
        <f t="shared" si="22"/>
        <v>0</v>
      </c>
      <c r="P88" s="37">
        <f t="shared" si="22"/>
        <v>0</v>
      </c>
      <c r="Q88" s="37">
        <f t="shared" si="22"/>
        <v>0</v>
      </c>
      <c r="R88" s="37">
        <f t="shared" si="22"/>
        <v>0</v>
      </c>
      <c r="S88" s="37">
        <f t="shared" si="22"/>
        <v>0</v>
      </c>
      <c r="T88" s="37">
        <f t="shared" si="22"/>
        <v>0</v>
      </c>
      <c r="U88" s="37">
        <f t="shared" si="22"/>
        <v>0</v>
      </c>
      <c r="V88" s="37">
        <f t="shared" si="22"/>
        <v>0</v>
      </c>
      <c r="W88" s="37">
        <f t="shared" si="22"/>
        <v>0</v>
      </c>
      <c r="X88" s="37">
        <f t="shared" si="22"/>
        <v>0</v>
      </c>
      <c r="Y88" s="37">
        <f t="shared" si="22"/>
        <v>0</v>
      </c>
      <c r="Z88" s="37">
        <f t="shared" si="22"/>
        <v>0</v>
      </c>
      <c r="AA88" s="37">
        <f t="shared" si="22"/>
        <v>0</v>
      </c>
    </row>
    <row r="89" spans="1:27" ht="21" customHeight="1" outlineLevel="1" thickBot="1" x14ac:dyDescent="0.4">
      <c r="A89" s="5">
        <f t="shared" si="15"/>
        <v>0</v>
      </c>
      <c r="B89" s="5">
        <f t="shared" si="15"/>
        <v>3</v>
      </c>
      <c r="C89" s="5">
        <f t="shared" si="15"/>
        <v>0</v>
      </c>
      <c r="D89" s="5">
        <f t="shared" si="15"/>
        <v>2</v>
      </c>
      <c r="E89" s="33" t="str">
        <f t="shared" si="13"/>
        <v>Ga2Se3</v>
      </c>
      <c r="F89" s="37">
        <f t="shared" ref="F89:AA89" si="23">F11*$C$80</f>
        <v>0.33333333333333337</v>
      </c>
      <c r="G89" s="37">
        <f t="shared" si="23"/>
        <v>0.33333333333333337</v>
      </c>
      <c r="H89" s="37">
        <f t="shared" si="23"/>
        <v>0.33333333333333337</v>
      </c>
      <c r="I89" s="37">
        <f t="shared" si="23"/>
        <v>0.33333333333333337</v>
      </c>
      <c r="J89" s="37">
        <f t="shared" si="23"/>
        <v>0.33333333333333337</v>
      </c>
      <c r="K89" s="37">
        <f t="shared" si="23"/>
        <v>0.33333333333333337</v>
      </c>
      <c r="L89" s="37">
        <f t="shared" si="23"/>
        <v>0.33333333333333337</v>
      </c>
      <c r="M89" s="37">
        <f t="shared" si="23"/>
        <v>0.186775</v>
      </c>
      <c r="N89" s="37">
        <f t="shared" si="23"/>
        <v>1.6968333333333335E-5</v>
      </c>
      <c r="O89" s="37">
        <f t="shared" si="23"/>
        <v>6.4800833333333341E-19</v>
      </c>
      <c r="P89" s="37">
        <f t="shared" si="23"/>
        <v>2.0922500000000002E-29</v>
      </c>
      <c r="Q89" s="37">
        <f t="shared" si="23"/>
        <v>0</v>
      </c>
      <c r="R89" s="37">
        <f t="shared" si="23"/>
        <v>0</v>
      </c>
      <c r="S89" s="37">
        <f t="shared" si="23"/>
        <v>0</v>
      </c>
      <c r="T89" s="37">
        <f t="shared" si="23"/>
        <v>0</v>
      </c>
      <c r="U89" s="37">
        <f t="shared" si="23"/>
        <v>0</v>
      </c>
      <c r="V89" s="37">
        <f t="shared" si="23"/>
        <v>0</v>
      </c>
      <c r="W89" s="37">
        <f t="shared" si="23"/>
        <v>0</v>
      </c>
      <c r="X89" s="37">
        <f t="shared" si="23"/>
        <v>0</v>
      </c>
      <c r="Y89" s="37">
        <f t="shared" si="23"/>
        <v>0</v>
      </c>
      <c r="Z89" s="37">
        <f t="shared" si="23"/>
        <v>0</v>
      </c>
      <c r="AA89" s="37">
        <f t="shared" si="23"/>
        <v>0</v>
      </c>
    </row>
    <row r="90" spans="1:27" ht="21" customHeight="1" outlineLevel="1" thickBot="1" x14ac:dyDescent="0.4">
      <c r="A90" s="5">
        <f t="shared" si="15"/>
        <v>0</v>
      </c>
      <c r="B90" s="5">
        <f t="shared" si="15"/>
        <v>0</v>
      </c>
      <c r="C90" s="5">
        <f t="shared" si="15"/>
        <v>2</v>
      </c>
      <c r="D90" s="5">
        <f t="shared" si="15"/>
        <v>0</v>
      </c>
      <c r="E90" s="33" t="str">
        <f t="shared" si="13"/>
        <v>Ge2</v>
      </c>
      <c r="F90" s="37">
        <f t="shared" ref="F90:AA90" si="24">F12*$C$80</f>
        <v>0</v>
      </c>
      <c r="G90" s="37">
        <f t="shared" si="24"/>
        <v>0</v>
      </c>
      <c r="H90" s="37">
        <f t="shared" si="24"/>
        <v>0</v>
      </c>
      <c r="I90" s="37">
        <f t="shared" si="24"/>
        <v>0</v>
      </c>
      <c r="J90" s="37">
        <f t="shared" si="24"/>
        <v>0</v>
      </c>
      <c r="K90" s="37">
        <f t="shared" si="24"/>
        <v>0</v>
      </c>
      <c r="L90" s="37">
        <f t="shared" si="24"/>
        <v>0</v>
      </c>
      <c r="M90" s="37">
        <f t="shared" si="24"/>
        <v>0</v>
      </c>
      <c r="N90" s="37">
        <f t="shared" si="24"/>
        <v>3.4659166666666666E-35</v>
      </c>
      <c r="O90" s="37">
        <f t="shared" si="24"/>
        <v>1.1382500000000001E-26</v>
      </c>
      <c r="P90" s="37">
        <f t="shared" si="24"/>
        <v>6.6835833333333341E-21</v>
      </c>
      <c r="Q90" s="37">
        <f t="shared" si="24"/>
        <v>9.6708333333333335E-17</v>
      </c>
      <c r="R90" s="37">
        <f t="shared" si="24"/>
        <v>7.0775833333333342E-16</v>
      </c>
      <c r="S90" s="37">
        <f t="shared" si="24"/>
        <v>4.5462500000000001E-15</v>
      </c>
      <c r="T90" s="37">
        <f t="shared" si="24"/>
        <v>2.5948333333333333E-14</v>
      </c>
      <c r="U90" s="37">
        <f t="shared" si="24"/>
        <v>1.3302500000000001E-13</v>
      </c>
      <c r="V90" s="37">
        <f t="shared" si="24"/>
        <v>3.2892499999999998E-11</v>
      </c>
      <c r="W90" s="37">
        <f t="shared" si="24"/>
        <v>1.4873333333333334E-9</v>
      </c>
      <c r="X90" s="37">
        <f t="shared" si="24"/>
        <v>3.4333333333333339E-9</v>
      </c>
      <c r="Y90" s="37">
        <f t="shared" si="24"/>
        <v>7.6145833333333341E-9</v>
      </c>
      <c r="Z90" s="37">
        <f t="shared" si="24"/>
        <v>1.6270833333333336E-8</v>
      </c>
      <c r="AA90" s="37">
        <f t="shared" si="24"/>
        <v>3.3580000000000007E-8</v>
      </c>
    </row>
    <row r="91" spans="1:27" ht="21" customHeight="1" outlineLevel="1" thickBot="1" x14ac:dyDescent="0.4">
      <c r="A91" s="5">
        <f t="shared" si="15"/>
        <v>0</v>
      </c>
      <c r="B91" s="5">
        <f t="shared" si="15"/>
        <v>0</v>
      </c>
      <c r="C91" s="5">
        <f t="shared" si="15"/>
        <v>1</v>
      </c>
      <c r="D91" s="5">
        <f t="shared" si="15"/>
        <v>0</v>
      </c>
      <c r="E91" s="33" t="str">
        <f t="shared" si="13"/>
        <v>Ge</v>
      </c>
      <c r="F91" s="37">
        <f t="shared" ref="F91:AA91" si="25">F13*$C$80</f>
        <v>0</v>
      </c>
      <c r="G91" s="37">
        <f t="shared" si="25"/>
        <v>0</v>
      </c>
      <c r="H91" s="37">
        <f t="shared" si="25"/>
        <v>0</v>
      </c>
      <c r="I91" s="37">
        <f t="shared" si="25"/>
        <v>0</v>
      </c>
      <c r="J91" s="37">
        <f t="shared" si="25"/>
        <v>0</v>
      </c>
      <c r="K91" s="37">
        <f t="shared" si="25"/>
        <v>0</v>
      </c>
      <c r="L91" s="37">
        <f t="shared" si="25"/>
        <v>1.69E-32</v>
      </c>
      <c r="M91" s="37">
        <f t="shared" si="25"/>
        <v>8.7641666666666671E-30</v>
      </c>
      <c r="N91" s="37">
        <f t="shared" si="25"/>
        <v>1.1552500000000001E-27</v>
      </c>
      <c r="O91" s="37">
        <f t="shared" si="25"/>
        <v>4.5978333333333336E-21</v>
      </c>
      <c r="P91" s="37">
        <f t="shared" si="25"/>
        <v>1.4071666666666667E-16</v>
      </c>
      <c r="Q91" s="37">
        <f t="shared" si="25"/>
        <v>2.4789166666666669E-13</v>
      </c>
      <c r="R91" s="37">
        <f t="shared" si="25"/>
        <v>1.1750000000000001E-12</v>
      </c>
      <c r="S91" s="37">
        <f t="shared" si="25"/>
        <v>5.0355833333333335E-12</v>
      </c>
      <c r="T91" s="37">
        <f t="shared" si="25"/>
        <v>1.9695833333333336E-11</v>
      </c>
      <c r="U91" s="37">
        <f t="shared" si="25"/>
        <v>7.0894166666666668E-11</v>
      </c>
      <c r="V91" s="37">
        <f t="shared" si="25"/>
        <v>5.5629166666666676E-9</v>
      </c>
      <c r="W91" s="37">
        <f t="shared" si="25"/>
        <v>1.3705000000000003E-7</v>
      </c>
      <c r="X91" s="37">
        <f t="shared" si="25"/>
        <v>2.7732500000000003E-7</v>
      </c>
      <c r="Y91" s="37">
        <f t="shared" si="25"/>
        <v>5.4290833333333338E-7</v>
      </c>
      <c r="Z91" s="37">
        <f t="shared" si="25"/>
        <v>1.0305833333333334E-6</v>
      </c>
      <c r="AA91" s="37">
        <f t="shared" si="25"/>
        <v>1.9006666666666667E-6</v>
      </c>
    </row>
    <row r="92" spans="1:27" ht="21" customHeight="1" outlineLevel="1" thickBot="1" x14ac:dyDescent="0.4">
      <c r="A92" s="5">
        <f t="shared" si="15"/>
        <v>1</v>
      </c>
      <c r="B92" s="5">
        <f t="shared" si="15"/>
        <v>0</v>
      </c>
      <c r="C92" s="5">
        <f t="shared" si="15"/>
        <v>0</v>
      </c>
      <c r="D92" s="5">
        <f t="shared" si="15"/>
        <v>0</v>
      </c>
      <c r="E92" s="33" t="str">
        <f t="shared" si="13"/>
        <v>Ar</v>
      </c>
      <c r="F92" s="37">
        <f t="shared" ref="F92:AA92" si="26">F14*$C$80</f>
        <v>1.666666666666667</v>
      </c>
      <c r="G92" s="37">
        <f t="shared" si="26"/>
        <v>1.666666666666667</v>
      </c>
      <c r="H92" s="37">
        <f t="shared" si="26"/>
        <v>1.666666666666667</v>
      </c>
      <c r="I92" s="37">
        <f t="shared" si="26"/>
        <v>1.666666666666667</v>
      </c>
      <c r="J92" s="37">
        <f t="shared" si="26"/>
        <v>1.666666666666667</v>
      </c>
      <c r="K92" s="37">
        <f t="shared" si="26"/>
        <v>1.666666666666667</v>
      </c>
      <c r="L92" s="37">
        <f t="shared" si="26"/>
        <v>1.666666666666667</v>
      </c>
      <c r="M92" s="37">
        <f t="shared" si="26"/>
        <v>1.666666666666667</v>
      </c>
      <c r="N92" s="37">
        <f t="shared" si="26"/>
        <v>1.666666666666667</v>
      </c>
      <c r="O92" s="37">
        <f t="shared" si="26"/>
        <v>1.666666666666667</v>
      </c>
      <c r="P92" s="37">
        <f t="shared" si="26"/>
        <v>1.666666666666667</v>
      </c>
      <c r="Q92" s="37">
        <f t="shared" si="26"/>
        <v>1.666666666666667</v>
      </c>
      <c r="R92" s="37">
        <f t="shared" si="26"/>
        <v>1.666666666666667</v>
      </c>
      <c r="S92" s="37">
        <f t="shared" si="26"/>
        <v>1.666666666666667</v>
      </c>
      <c r="T92" s="37">
        <f t="shared" si="26"/>
        <v>1.666666666666667</v>
      </c>
      <c r="U92" s="37">
        <f t="shared" si="26"/>
        <v>1.666666666666667</v>
      </c>
      <c r="V92" s="37">
        <f t="shared" si="26"/>
        <v>1.666666666666667</v>
      </c>
      <c r="W92" s="37">
        <f t="shared" si="26"/>
        <v>1.666666666666667</v>
      </c>
      <c r="X92" s="37">
        <f t="shared" si="26"/>
        <v>1.666666666666667</v>
      </c>
      <c r="Y92" s="37">
        <f t="shared" si="26"/>
        <v>1.666666666666667</v>
      </c>
      <c r="Z92" s="37">
        <f t="shared" si="26"/>
        <v>1.666666666666667</v>
      </c>
      <c r="AA92" s="37">
        <f t="shared" si="26"/>
        <v>1.666666666666667</v>
      </c>
    </row>
    <row r="93" spans="1:27" ht="21" customHeight="1" outlineLevel="1" thickBot="1" x14ac:dyDescent="0.4">
      <c r="A93" s="5">
        <f t="shared" si="15"/>
        <v>0</v>
      </c>
      <c r="B93" s="5">
        <f t="shared" si="15"/>
        <v>0</v>
      </c>
      <c r="C93" s="5">
        <f t="shared" si="15"/>
        <v>1</v>
      </c>
      <c r="D93" s="5">
        <f t="shared" si="15"/>
        <v>0</v>
      </c>
      <c r="E93" s="33" t="str">
        <f t="shared" si="13"/>
        <v>(l)Ge[l]</v>
      </c>
      <c r="F93" s="37">
        <f t="shared" ref="F93:AA93" si="27">F15*$C$80</f>
        <v>0</v>
      </c>
      <c r="G93" s="37">
        <f t="shared" si="27"/>
        <v>0</v>
      </c>
      <c r="H93" s="37">
        <f t="shared" si="27"/>
        <v>0</v>
      </c>
      <c r="I93" s="37">
        <f t="shared" si="27"/>
        <v>0</v>
      </c>
      <c r="J93" s="37">
        <f t="shared" si="27"/>
        <v>0</v>
      </c>
      <c r="K93" s="37">
        <f t="shared" si="27"/>
        <v>4.4435000000000006E-35</v>
      </c>
      <c r="L93" s="37">
        <f t="shared" si="27"/>
        <v>0</v>
      </c>
      <c r="M93" s="37">
        <f t="shared" si="27"/>
        <v>0</v>
      </c>
      <c r="N93" s="37">
        <f t="shared" si="27"/>
        <v>3.3802500000000005E-21</v>
      </c>
      <c r="O93" s="37">
        <f t="shared" si="27"/>
        <v>2.45125E-11</v>
      </c>
      <c r="P93" s="37">
        <f t="shared" si="27"/>
        <v>1.5210000000000002E-9</v>
      </c>
      <c r="Q93" s="37">
        <f t="shared" si="27"/>
        <v>1.1971666666666667E-8</v>
      </c>
      <c r="R93" s="37">
        <f t="shared" si="27"/>
        <v>2.0710833333333335E-8</v>
      </c>
      <c r="S93" s="37">
        <f t="shared" si="27"/>
        <v>3.7360833333333335E-8</v>
      </c>
      <c r="T93" s="37">
        <f t="shared" si="27"/>
        <v>9.8875000000000017E-8</v>
      </c>
      <c r="U93" s="37">
        <f t="shared" si="27"/>
        <v>2.4500833333333334E-7</v>
      </c>
      <c r="V93" s="37">
        <f t="shared" si="27"/>
        <v>0.49995000000000001</v>
      </c>
      <c r="W93" s="37">
        <f t="shared" si="27"/>
        <v>0.5</v>
      </c>
      <c r="X93" s="37">
        <f t="shared" si="27"/>
        <v>0.5</v>
      </c>
      <c r="Y93" s="37">
        <f t="shared" si="27"/>
        <v>0.5</v>
      </c>
      <c r="Z93" s="37">
        <f t="shared" si="27"/>
        <v>0.5</v>
      </c>
      <c r="AA93" s="37">
        <f t="shared" si="27"/>
        <v>0.5</v>
      </c>
    </row>
    <row r="94" spans="1:27" ht="21" customHeight="1" outlineLevel="1" thickBot="1" x14ac:dyDescent="0.4">
      <c r="A94" s="5">
        <f t="shared" si="15"/>
        <v>0</v>
      </c>
      <c r="B94" s="5">
        <f t="shared" si="15"/>
        <v>1</v>
      </c>
      <c r="C94" s="5">
        <f t="shared" si="15"/>
        <v>0</v>
      </c>
      <c r="D94" s="5">
        <f t="shared" si="15"/>
        <v>0</v>
      </c>
      <c r="E94" s="33" t="str">
        <f t="shared" si="13"/>
        <v>(l)Se[l]</v>
      </c>
      <c r="F94" s="37">
        <f t="shared" ref="F94:AA94" si="28">F16*$C$80</f>
        <v>0</v>
      </c>
      <c r="G94" s="37">
        <f t="shared" si="28"/>
        <v>0</v>
      </c>
      <c r="H94" s="37">
        <f t="shared" si="28"/>
        <v>0</v>
      </c>
      <c r="I94" s="37">
        <f t="shared" si="28"/>
        <v>0</v>
      </c>
      <c r="J94" s="37">
        <f t="shared" si="28"/>
        <v>0</v>
      </c>
      <c r="K94" s="37">
        <f t="shared" si="28"/>
        <v>0</v>
      </c>
      <c r="L94" s="37">
        <f t="shared" si="28"/>
        <v>0</v>
      </c>
      <c r="M94" s="37">
        <f t="shared" si="28"/>
        <v>0</v>
      </c>
      <c r="N94" s="37">
        <f t="shared" si="28"/>
        <v>7.4445000000000011E-27</v>
      </c>
      <c r="O94" s="37">
        <f t="shared" si="28"/>
        <v>3.373916666666667E-18</v>
      </c>
      <c r="P94" s="37">
        <f t="shared" si="28"/>
        <v>2.1715000000000002E-17</v>
      </c>
      <c r="Q94" s="37">
        <f t="shared" si="28"/>
        <v>2.4277500000000004E-17</v>
      </c>
      <c r="R94" s="37">
        <f t="shared" si="28"/>
        <v>2.67175E-17</v>
      </c>
      <c r="S94" s="37">
        <f t="shared" si="28"/>
        <v>3.0854166666666673E-17</v>
      </c>
      <c r="T94" s="37">
        <f t="shared" si="28"/>
        <v>5.3115833333333332E-17</v>
      </c>
      <c r="U94" s="37">
        <f t="shared" si="28"/>
        <v>8.6450000000000005E-17</v>
      </c>
      <c r="V94" s="37">
        <f t="shared" si="28"/>
        <v>3.7903333333333338E-11</v>
      </c>
      <c r="W94" s="37">
        <f t="shared" si="28"/>
        <v>1.1975000000000001E-11</v>
      </c>
      <c r="X94" s="37">
        <f t="shared" si="28"/>
        <v>8.9833333333333343E-12</v>
      </c>
      <c r="Y94" s="37">
        <f t="shared" si="28"/>
        <v>6.7396666666666673E-12</v>
      </c>
      <c r="Z94" s="37">
        <f t="shared" si="28"/>
        <v>5.0557500000000005E-12</v>
      </c>
      <c r="AA94" s="37">
        <f t="shared" si="28"/>
        <v>3.7918333333333341E-12</v>
      </c>
    </row>
    <row r="95" spans="1:27" ht="21" customHeight="1" outlineLevel="1" thickBot="1" x14ac:dyDescent="0.4">
      <c r="A95" s="5">
        <f t="shared" si="15"/>
        <v>1</v>
      </c>
      <c r="B95" s="5">
        <f t="shared" si="15"/>
        <v>0</v>
      </c>
      <c r="C95" s="5">
        <f t="shared" si="15"/>
        <v>0</v>
      </c>
      <c r="D95" s="5">
        <f t="shared" si="15"/>
        <v>0</v>
      </c>
      <c r="E95" s="33" t="str">
        <f t="shared" si="13"/>
        <v>H (Ar)</v>
      </c>
      <c r="F95" s="37">
        <f t="shared" ref="F95:AA95" si="29">F17*$C$80</f>
        <v>-156.58333333333334</v>
      </c>
      <c r="G95" s="37">
        <f t="shared" si="29"/>
        <v>-156.75</v>
      </c>
      <c r="H95" s="37">
        <f t="shared" si="29"/>
        <v>-157</v>
      </c>
      <c r="I95" s="37">
        <f t="shared" si="29"/>
        <v>-157.41666666666669</v>
      </c>
      <c r="J95" s="37">
        <f t="shared" si="29"/>
        <v>-157.91666666666669</v>
      </c>
      <c r="K95" s="37">
        <f t="shared" si="29"/>
        <v>-158.41666666666669</v>
      </c>
      <c r="L95" s="37">
        <f t="shared" si="29"/>
        <v>-158.91666666666669</v>
      </c>
      <c r="M95" s="37">
        <f t="shared" si="29"/>
        <v>-158.91666666666669</v>
      </c>
      <c r="N95" s="37">
        <f t="shared" si="29"/>
        <v>-158.58333333333334</v>
      </c>
      <c r="O95" s="37">
        <f t="shared" si="29"/>
        <v>-160.91666666666666</v>
      </c>
      <c r="P95" s="37">
        <f t="shared" si="29"/>
        <v>-163.08333333333334</v>
      </c>
      <c r="Q95" s="37">
        <f t="shared" si="29"/>
        <v>-165.16666666666669</v>
      </c>
      <c r="R95" s="37">
        <f t="shared" si="29"/>
        <v>-165.66666666666666</v>
      </c>
      <c r="S95" s="37">
        <f t="shared" si="29"/>
        <v>-166.16666666666669</v>
      </c>
      <c r="T95" s="37">
        <f t="shared" si="29"/>
        <v>-166.66666666666669</v>
      </c>
      <c r="U95" s="37">
        <f t="shared" si="29"/>
        <v>-167.08333333333334</v>
      </c>
      <c r="V95" s="37">
        <f t="shared" si="29"/>
        <v>-168.83333333333337</v>
      </c>
      <c r="W95" s="37">
        <f t="shared" si="29"/>
        <v>-170.50000000000003</v>
      </c>
      <c r="X95" s="37">
        <f t="shared" si="29"/>
        <v>-170.91666666666669</v>
      </c>
      <c r="Y95" s="37">
        <f t="shared" si="29"/>
        <v>-171.33333333333334</v>
      </c>
      <c r="Z95" s="37">
        <f t="shared" si="29"/>
        <v>-171.66666666666669</v>
      </c>
      <c r="AA95" s="37">
        <f t="shared" si="29"/>
        <v>-172.08333333333334</v>
      </c>
    </row>
    <row r="96" spans="1:27" ht="21" customHeight="1" outlineLevel="1" thickBot="1" x14ac:dyDescent="0.4">
      <c r="A96" s="5">
        <f t="shared" si="15"/>
        <v>0</v>
      </c>
      <c r="B96" s="5">
        <f t="shared" si="15"/>
        <v>0</v>
      </c>
      <c r="C96" s="5">
        <f t="shared" si="15"/>
        <v>0</v>
      </c>
      <c r="D96" s="5">
        <f t="shared" si="15"/>
        <v>1</v>
      </c>
      <c r="E96" s="33" t="str">
        <f t="shared" si="13"/>
        <v>H (Ga)</v>
      </c>
      <c r="F96" s="37">
        <f t="shared" ref="F96:AA96" si="30">F18*$C$80</f>
        <v>-546.66666666666663</v>
      </c>
      <c r="G96" s="37">
        <f t="shared" si="30"/>
        <v>-472.25000000000006</v>
      </c>
      <c r="H96" s="37">
        <f t="shared" si="30"/>
        <v>-410.58333333333337</v>
      </c>
      <c r="I96" s="37">
        <f t="shared" si="30"/>
        <v>-358.33333333333337</v>
      </c>
      <c r="J96" s="37">
        <f t="shared" si="30"/>
        <v>-313.58333333333337</v>
      </c>
      <c r="K96" s="37">
        <f t="shared" si="30"/>
        <v>-274.5</v>
      </c>
      <c r="L96" s="37">
        <f t="shared" si="30"/>
        <v>-240.16666666666669</v>
      </c>
      <c r="M96" s="37">
        <f t="shared" si="30"/>
        <v>-211.75000000000003</v>
      </c>
      <c r="N96" s="37">
        <f t="shared" si="30"/>
        <v>-222.75000000000003</v>
      </c>
      <c r="O96" s="37">
        <f t="shared" si="30"/>
        <v>-264.83333333333337</v>
      </c>
      <c r="P96" s="37">
        <f t="shared" si="30"/>
        <v>-302.33333333333337</v>
      </c>
      <c r="Q96" s="37">
        <f t="shared" si="30"/>
        <v>-333.75</v>
      </c>
      <c r="R96" s="37">
        <f t="shared" si="30"/>
        <v>-340.5</v>
      </c>
      <c r="S96" s="37">
        <f t="shared" si="30"/>
        <v>-346.75</v>
      </c>
      <c r="T96" s="37">
        <f t="shared" si="30"/>
        <v>-352.58333333333337</v>
      </c>
      <c r="U96" s="37">
        <f t="shared" si="30"/>
        <v>-357.83333333333331</v>
      </c>
      <c r="V96" s="37">
        <f t="shared" si="30"/>
        <v>-373.83333333333337</v>
      </c>
      <c r="W96" s="37">
        <f t="shared" si="30"/>
        <v>-381</v>
      </c>
      <c r="X96" s="37">
        <f t="shared" si="30"/>
        <v>-381.33333333333337</v>
      </c>
      <c r="Y96" s="37">
        <f t="shared" si="30"/>
        <v>-381.16666666666669</v>
      </c>
      <c r="Z96" s="37">
        <f t="shared" si="30"/>
        <v>-380.33333333333337</v>
      </c>
      <c r="AA96" s="37">
        <f t="shared" si="30"/>
        <v>-378.91666666666669</v>
      </c>
    </row>
    <row r="97" spans="1:27" ht="21" customHeight="1" outlineLevel="1" thickBot="1" x14ac:dyDescent="0.4">
      <c r="A97" s="5">
        <f t="shared" si="15"/>
        <v>0</v>
      </c>
      <c r="B97" s="5">
        <f t="shared" si="15"/>
        <v>0</v>
      </c>
      <c r="C97" s="5">
        <f t="shared" si="15"/>
        <v>1</v>
      </c>
      <c r="D97" s="5">
        <f t="shared" si="15"/>
        <v>0</v>
      </c>
      <c r="E97" s="33" t="str">
        <f t="shared" si="13"/>
        <v>H (Ge)</v>
      </c>
      <c r="F97" s="37">
        <f t="shared" ref="F97:AA97" si="31">F19*$C$80</f>
        <v>-175.25000000000003</v>
      </c>
      <c r="G97" s="37">
        <f t="shared" si="31"/>
        <v>-130.08333333333334</v>
      </c>
      <c r="H97" s="37">
        <f t="shared" si="31"/>
        <v>-102.50000000000001</v>
      </c>
      <c r="I97" s="37">
        <f t="shared" si="31"/>
        <v>-83.416666666666671</v>
      </c>
      <c r="J97" s="37">
        <f t="shared" si="31"/>
        <v>-66.841666666666683</v>
      </c>
      <c r="K97" s="37">
        <f t="shared" si="31"/>
        <v>-52.333333333333336</v>
      </c>
      <c r="L97" s="37">
        <f t="shared" si="31"/>
        <v>-39.466666666666669</v>
      </c>
      <c r="M97" s="37">
        <f t="shared" si="31"/>
        <v>-34.508333333333333</v>
      </c>
      <c r="N97" s="37">
        <f t="shared" si="31"/>
        <v>-35.19166666666667</v>
      </c>
      <c r="O97" s="37">
        <f t="shared" si="31"/>
        <v>-37.94166666666667</v>
      </c>
      <c r="P97" s="37">
        <f t="shared" si="31"/>
        <v>-40.608333333333341</v>
      </c>
      <c r="Q97" s="37">
        <f t="shared" si="31"/>
        <v>-43.125</v>
      </c>
      <c r="R97" s="37">
        <f t="shared" si="31"/>
        <v>-43.725000000000001</v>
      </c>
      <c r="S97" s="37">
        <f t="shared" si="31"/>
        <v>-44.31666666666667</v>
      </c>
      <c r="T97" s="37">
        <f t="shared" si="31"/>
        <v>-44.908333333333339</v>
      </c>
      <c r="U97" s="37">
        <f t="shared" si="31"/>
        <v>-45.483333333333341</v>
      </c>
      <c r="V97" s="37">
        <f t="shared" si="31"/>
        <v>-48.225000000000001</v>
      </c>
      <c r="W97" s="37">
        <f t="shared" si="31"/>
        <v>-53.233333333333334</v>
      </c>
      <c r="X97" s="37">
        <f t="shared" si="31"/>
        <v>-54.375000000000007</v>
      </c>
      <c r="Y97" s="37">
        <f t="shared" si="31"/>
        <v>-55.483333333333341</v>
      </c>
      <c r="Z97" s="37">
        <f t="shared" si="31"/>
        <v>-56.558333333333337</v>
      </c>
      <c r="AA97" s="37">
        <f t="shared" si="31"/>
        <v>-57.591666666666669</v>
      </c>
    </row>
    <row r="98" spans="1:27" ht="21" customHeight="1" outlineLevel="1" thickBot="1" x14ac:dyDescent="0.4">
      <c r="A98" s="5">
        <f t="shared" si="15"/>
        <v>0</v>
      </c>
      <c r="B98" s="5">
        <f t="shared" si="15"/>
        <v>1</v>
      </c>
      <c r="C98" s="5">
        <f t="shared" si="15"/>
        <v>0</v>
      </c>
      <c r="D98" s="5">
        <f t="shared" si="15"/>
        <v>0</v>
      </c>
      <c r="E98" s="33" t="str">
        <f t="shared" si="13"/>
        <v>H (Se)</v>
      </c>
      <c r="F98" s="37">
        <f t="shared" ref="F98:AA98" si="32">F20*$C$80</f>
        <v>-158.75000000000003</v>
      </c>
      <c r="G98" s="37">
        <f t="shared" si="32"/>
        <v>-162.41666666666666</v>
      </c>
      <c r="H98" s="37">
        <f t="shared" si="32"/>
        <v>-166.41666666666666</v>
      </c>
      <c r="I98" s="37">
        <f t="shared" si="32"/>
        <v>-170.58333333333334</v>
      </c>
      <c r="J98" s="37">
        <f t="shared" si="32"/>
        <v>-174.83333333333334</v>
      </c>
      <c r="K98" s="37">
        <f t="shared" si="32"/>
        <v>-179.08333333333334</v>
      </c>
      <c r="L98" s="37">
        <f t="shared" si="32"/>
        <v>-183.41666666666669</v>
      </c>
      <c r="M98" s="37">
        <f t="shared" si="32"/>
        <v>-187.58333333333337</v>
      </c>
      <c r="N98" s="37">
        <f t="shared" si="32"/>
        <v>-191.83333333333334</v>
      </c>
      <c r="O98" s="37">
        <f t="shared" si="32"/>
        <v>-208.00000000000003</v>
      </c>
      <c r="P98" s="37">
        <f t="shared" si="32"/>
        <v>-223.08333333333334</v>
      </c>
      <c r="Q98" s="37">
        <f t="shared" si="32"/>
        <v>-237.41666666666666</v>
      </c>
      <c r="R98" s="37">
        <f t="shared" si="32"/>
        <v>-240.83333333333334</v>
      </c>
      <c r="S98" s="37">
        <f t="shared" si="32"/>
        <v>-244.25</v>
      </c>
      <c r="T98" s="37">
        <f t="shared" si="32"/>
        <v>-247.66666666666669</v>
      </c>
      <c r="U98" s="37">
        <f t="shared" si="32"/>
        <v>-251.00000000000003</v>
      </c>
      <c r="V98" s="37">
        <f t="shared" si="32"/>
        <v>-264.08333333333337</v>
      </c>
      <c r="W98" s="37">
        <f t="shared" si="32"/>
        <v>-276.83333333333337</v>
      </c>
      <c r="X98" s="37">
        <f t="shared" si="32"/>
        <v>-279.91666666666674</v>
      </c>
      <c r="Y98" s="37">
        <f t="shared" si="32"/>
        <v>-283.08333333333337</v>
      </c>
      <c r="Z98" s="37">
        <f t="shared" si="32"/>
        <v>-286.16666666666674</v>
      </c>
      <c r="AA98" s="37">
        <f t="shared" si="32"/>
        <v>-289.25</v>
      </c>
    </row>
    <row r="99" spans="1:27" ht="21" customHeight="1" outlineLevel="1" thickBot="1" x14ac:dyDescent="0.4">
      <c r="A99" s="5">
        <f t="shared" si="15"/>
        <v>0</v>
      </c>
      <c r="B99" s="5">
        <f t="shared" si="15"/>
        <v>0</v>
      </c>
      <c r="C99" s="5">
        <f t="shared" si="15"/>
        <v>0</v>
      </c>
      <c r="D99" s="5">
        <f t="shared" si="15"/>
        <v>0</v>
      </c>
      <c r="E99" s="33">
        <f t="shared" si="13"/>
        <v>0</v>
      </c>
      <c r="F99" s="37">
        <f t="shared" ref="F99:AA99" si="33">F21*$C$80</f>
        <v>0</v>
      </c>
      <c r="G99" s="37">
        <f t="shared" si="33"/>
        <v>0</v>
      </c>
      <c r="H99" s="37">
        <f t="shared" si="33"/>
        <v>0</v>
      </c>
      <c r="I99" s="37">
        <f t="shared" si="33"/>
        <v>0</v>
      </c>
      <c r="J99" s="37">
        <f t="shared" si="33"/>
        <v>0</v>
      </c>
      <c r="K99" s="37">
        <f t="shared" si="33"/>
        <v>0</v>
      </c>
      <c r="L99" s="37">
        <f t="shared" si="33"/>
        <v>0</v>
      </c>
      <c r="M99" s="37">
        <f t="shared" si="33"/>
        <v>0</v>
      </c>
      <c r="N99" s="37">
        <f t="shared" si="33"/>
        <v>0</v>
      </c>
      <c r="O99" s="37">
        <f t="shared" si="33"/>
        <v>0</v>
      </c>
      <c r="P99" s="37">
        <f t="shared" si="33"/>
        <v>0</v>
      </c>
      <c r="Q99" s="37">
        <f t="shared" si="33"/>
        <v>0</v>
      </c>
      <c r="R99" s="37">
        <f t="shared" si="33"/>
        <v>0</v>
      </c>
      <c r="S99" s="37">
        <f t="shared" si="33"/>
        <v>0</v>
      </c>
      <c r="T99" s="37">
        <f t="shared" si="33"/>
        <v>0</v>
      </c>
      <c r="U99" s="37">
        <f t="shared" si="33"/>
        <v>0</v>
      </c>
      <c r="V99" s="37">
        <f t="shared" si="33"/>
        <v>0</v>
      </c>
      <c r="W99" s="37">
        <f t="shared" si="33"/>
        <v>0</v>
      </c>
      <c r="X99" s="37">
        <f t="shared" si="33"/>
        <v>0</v>
      </c>
      <c r="Y99" s="37">
        <f t="shared" si="33"/>
        <v>0</v>
      </c>
      <c r="Z99" s="37">
        <f t="shared" si="33"/>
        <v>0</v>
      </c>
      <c r="AA99" s="37">
        <f t="shared" si="33"/>
        <v>0</v>
      </c>
    </row>
    <row r="100" spans="1:27" ht="21" customHeight="1" outlineLevel="1" thickBot="1" x14ac:dyDescent="0.4">
      <c r="A100" s="5">
        <f t="shared" si="15"/>
        <v>0</v>
      </c>
      <c r="B100" s="5">
        <f t="shared" si="15"/>
        <v>0</v>
      </c>
      <c r="C100" s="5">
        <f t="shared" si="15"/>
        <v>0</v>
      </c>
      <c r="D100" s="5">
        <f t="shared" si="15"/>
        <v>0</v>
      </c>
      <c r="E100" s="33">
        <f t="shared" si="13"/>
        <v>0</v>
      </c>
      <c r="F100" s="37">
        <f t="shared" ref="F100:AA100" si="34">F22*$C$80</f>
        <v>0</v>
      </c>
      <c r="G100" s="37">
        <f t="shared" si="34"/>
        <v>0</v>
      </c>
      <c r="H100" s="37">
        <f t="shared" si="34"/>
        <v>0</v>
      </c>
      <c r="I100" s="37">
        <f t="shared" si="34"/>
        <v>0</v>
      </c>
      <c r="J100" s="37">
        <f t="shared" si="34"/>
        <v>0</v>
      </c>
      <c r="K100" s="37">
        <f t="shared" si="34"/>
        <v>0</v>
      </c>
      <c r="L100" s="37">
        <f t="shared" si="34"/>
        <v>0</v>
      </c>
      <c r="M100" s="37">
        <f t="shared" si="34"/>
        <v>0</v>
      </c>
      <c r="N100" s="37">
        <f t="shared" si="34"/>
        <v>0</v>
      </c>
      <c r="O100" s="37">
        <f t="shared" si="34"/>
        <v>0</v>
      </c>
      <c r="P100" s="37">
        <f t="shared" si="34"/>
        <v>0</v>
      </c>
      <c r="Q100" s="37">
        <f t="shared" si="34"/>
        <v>0</v>
      </c>
      <c r="R100" s="37">
        <f t="shared" si="34"/>
        <v>0</v>
      </c>
      <c r="S100" s="37">
        <f t="shared" si="34"/>
        <v>0</v>
      </c>
      <c r="T100" s="37">
        <f t="shared" si="34"/>
        <v>0</v>
      </c>
      <c r="U100" s="37">
        <f t="shared" si="34"/>
        <v>0</v>
      </c>
      <c r="V100" s="37">
        <f t="shared" si="34"/>
        <v>0</v>
      </c>
      <c r="W100" s="37">
        <f t="shared" si="34"/>
        <v>0</v>
      </c>
      <c r="X100" s="37">
        <f t="shared" si="34"/>
        <v>0</v>
      </c>
      <c r="Y100" s="37">
        <f t="shared" si="34"/>
        <v>0</v>
      </c>
      <c r="Z100" s="37">
        <f t="shared" si="34"/>
        <v>0</v>
      </c>
      <c r="AA100" s="37">
        <f t="shared" si="34"/>
        <v>0</v>
      </c>
    </row>
    <row r="101" spans="1:27" ht="21" customHeight="1" outlineLevel="1" thickBot="1" x14ac:dyDescent="0.4">
      <c r="A101" s="5">
        <f t="shared" si="15"/>
        <v>0</v>
      </c>
      <c r="B101" s="5">
        <f t="shared" si="15"/>
        <v>0</v>
      </c>
      <c r="C101" s="5">
        <f t="shared" si="15"/>
        <v>0</v>
      </c>
      <c r="D101" s="5">
        <f t="shared" si="15"/>
        <v>0</v>
      </c>
      <c r="E101" s="33">
        <f t="shared" si="13"/>
        <v>0</v>
      </c>
      <c r="F101" s="37">
        <f t="shared" ref="F101:AA101" si="35">F23*$C$80</f>
        <v>0</v>
      </c>
      <c r="G101" s="37">
        <f t="shared" si="35"/>
        <v>0</v>
      </c>
      <c r="H101" s="37">
        <f t="shared" si="35"/>
        <v>0</v>
      </c>
      <c r="I101" s="37">
        <f t="shared" si="35"/>
        <v>0</v>
      </c>
      <c r="J101" s="37">
        <f t="shared" si="35"/>
        <v>0</v>
      </c>
      <c r="K101" s="37">
        <f t="shared" si="35"/>
        <v>0</v>
      </c>
      <c r="L101" s="37">
        <f t="shared" si="35"/>
        <v>0</v>
      </c>
      <c r="M101" s="37">
        <f t="shared" si="35"/>
        <v>0</v>
      </c>
      <c r="N101" s="37">
        <f t="shared" si="35"/>
        <v>0</v>
      </c>
      <c r="O101" s="37">
        <f t="shared" si="35"/>
        <v>0</v>
      </c>
      <c r="P101" s="37">
        <f t="shared" si="35"/>
        <v>0</v>
      </c>
      <c r="Q101" s="37">
        <f t="shared" si="35"/>
        <v>0</v>
      </c>
      <c r="R101" s="37">
        <f t="shared" si="35"/>
        <v>0</v>
      </c>
      <c r="S101" s="37">
        <f t="shared" si="35"/>
        <v>0</v>
      </c>
      <c r="T101" s="37">
        <f t="shared" si="35"/>
        <v>0</v>
      </c>
      <c r="U101" s="37">
        <f t="shared" si="35"/>
        <v>0</v>
      </c>
      <c r="V101" s="37">
        <f t="shared" si="35"/>
        <v>0</v>
      </c>
      <c r="W101" s="37">
        <f t="shared" si="35"/>
        <v>0</v>
      </c>
      <c r="X101" s="37">
        <f t="shared" si="35"/>
        <v>0</v>
      </c>
      <c r="Y101" s="37">
        <f t="shared" si="35"/>
        <v>0</v>
      </c>
      <c r="Z101" s="37">
        <f t="shared" si="35"/>
        <v>0</v>
      </c>
      <c r="AA101" s="37">
        <f t="shared" si="35"/>
        <v>0</v>
      </c>
    </row>
    <row r="102" spans="1:27" ht="21" customHeight="1" outlineLevel="1" thickBot="1" x14ac:dyDescent="0.4">
      <c r="A102" s="5">
        <f t="shared" si="15"/>
        <v>0</v>
      </c>
      <c r="B102" s="5">
        <f t="shared" si="15"/>
        <v>0</v>
      </c>
      <c r="C102" s="5">
        <f t="shared" si="15"/>
        <v>0</v>
      </c>
      <c r="D102" s="5">
        <f t="shared" si="15"/>
        <v>0</v>
      </c>
      <c r="E102" s="33">
        <f t="shared" si="13"/>
        <v>0</v>
      </c>
      <c r="F102" s="37">
        <f t="shared" ref="F102:AA102" si="36">F24*$C$80</f>
        <v>0</v>
      </c>
      <c r="G102" s="37">
        <f t="shared" si="36"/>
        <v>0</v>
      </c>
      <c r="H102" s="37">
        <f t="shared" si="36"/>
        <v>0</v>
      </c>
      <c r="I102" s="37">
        <f t="shared" si="36"/>
        <v>0</v>
      </c>
      <c r="J102" s="37">
        <f t="shared" si="36"/>
        <v>0</v>
      </c>
      <c r="K102" s="37">
        <f t="shared" si="36"/>
        <v>0</v>
      </c>
      <c r="L102" s="37">
        <f t="shared" si="36"/>
        <v>0</v>
      </c>
      <c r="M102" s="37">
        <f t="shared" si="36"/>
        <v>0</v>
      </c>
      <c r="N102" s="37">
        <f t="shared" si="36"/>
        <v>0</v>
      </c>
      <c r="O102" s="37">
        <f t="shared" si="36"/>
        <v>0</v>
      </c>
      <c r="P102" s="37">
        <f t="shared" si="36"/>
        <v>0</v>
      </c>
      <c r="Q102" s="37">
        <f t="shared" si="36"/>
        <v>0</v>
      </c>
      <c r="R102" s="37">
        <f t="shared" si="36"/>
        <v>0</v>
      </c>
      <c r="S102" s="37">
        <f t="shared" si="36"/>
        <v>0</v>
      </c>
      <c r="T102" s="37">
        <f t="shared" si="36"/>
        <v>0</v>
      </c>
      <c r="U102" s="37">
        <f t="shared" si="36"/>
        <v>0</v>
      </c>
      <c r="V102" s="37">
        <f t="shared" si="36"/>
        <v>0</v>
      </c>
      <c r="W102" s="37">
        <f t="shared" si="36"/>
        <v>0</v>
      </c>
      <c r="X102" s="37">
        <f t="shared" si="36"/>
        <v>0</v>
      </c>
      <c r="Y102" s="37">
        <f t="shared" si="36"/>
        <v>0</v>
      </c>
      <c r="Z102" s="37">
        <f t="shared" si="36"/>
        <v>0</v>
      </c>
      <c r="AA102" s="37">
        <f t="shared" si="36"/>
        <v>0</v>
      </c>
    </row>
    <row r="103" spans="1:27" ht="21" customHeight="1" outlineLevel="1" thickBot="1" x14ac:dyDescent="0.4">
      <c r="A103" s="5">
        <f t="shared" si="15"/>
        <v>0</v>
      </c>
      <c r="B103" s="5">
        <f t="shared" si="15"/>
        <v>0</v>
      </c>
      <c r="C103" s="5">
        <f t="shared" si="15"/>
        <v>0</v>
      </c>
      <c r="D103" s="5">
        <f t="shared" si="15"/>
        <v>0</v>
      </c>
      <c r="E103" s="33">
        <f t="shared" si="13"/>
        <v>0</v>
      </c>
      <c r="F103" s="37">
        <f t="shared" ref="F103:AA103" si="37">F25*$C$80</f>
        <v>0</v>
      </c>
      <c r="G103" s="37">
        <f t="shared" si="37"/>
        <v>0</v>
      </c>
      <c r="H103" s="37">
        <f t="shared" si="37"/>
        <v>0</v>
      </c>
      <c r="I103" s="37">
        <f t="shared" si="37"/>
        <v>0</v>
      </c>
      <c r="J103" s="37">
        <f t="shared" si="37"/>
        <v>0</v>
      </c>
      <c r="K103" s="37">
        <f t="shared" si="37"/>
        <v>0</v>
      </c>
      <c r="L103" s="37">
        <f t="shared" si="37"/>
        <v>0</v>
      </c>
      <c r="M103" s="37">
        <f t="shared" si="37"/>
        <v>0</v>
      </c>
      <c r="N103" s="37">
        <f t="shared" si="37"/>
        <v>0</v>
      </c>
      <c r="O103" s="37">
        <f t="shared" si="37"/>
        <v>0</v>
      </c>
      <c r="P103" s="37">
        <f t="shared" si="37"/>
        <v>0</v>
      </c>
      <c r="Q103" s="37">
        <f t="shared" si="37"/>
        <v>0</v>
      </c>
      <c r="R103" s="37">
        <f t="shared" si="37"/>
        <v>0</v>
      </c>
      <c r="S103" s="37">
        <f t="shared" si="37"/>
        <v>0</v>
      </c>
      <c r="T103" s="37">
        <f t="shared" si="37"/>
        <v>0</v>
      </c>
      <c r="U103" s="37">
        <f t="shared" si="37"/>
        <v>0</v>
      </c>
      <c r="V103" s="37">
        <f t="shared" si="37"/>
        <v>0</v>
      </c>
      <c r="W103" s="37">
        <f t="shared" si="37"/>
        <v>0</v>
      </c>
      <c r="X103" s="37">
        <f t="shared" si="37"/>
        <v>0</v>
      </c>
      <c r="Y103" s="37">
        <f t="shared" si="37"/>
        <v>0</v>
      </c>
      <c r="Z103" s="37">
        <f t="shared" si="37"/>
        <v>0</v>
      </c>
      <c r="AA103" s="37">
        <f t="shared" si="37"/>
        <v>0</v>
      </c>
    </row>
    <row r="104" spans="1:27" ht="21" customHeight="1" outlineLevel="1" thickBot="1" x14ac:dyDescent="0.4">
      <c r="A104" s="5">
        <f t="shared" si="15"/>
        <v>0</v>
      </c>
      <c r="B104" s="5">
        <f t="shared" si="15"/>
        <v>0</v>
      </c>
      <c r="C104" s="5">
        <f t="shared" si="15"/>
        <v>0</v>
      </c>
      <c r="D104" s="5">
        <f t="shared" si="15"/>
        <v>0</v>
      </c>
      <c r="E104" s="33">
        <f t="shared" si="13"/>
        <v>0</v>
      </c>
      <c r="F104" s="37">
        <f t="shared" ref="F104:AA104" si="38">F26*$C$80</f>
        <v>0</v>
      </c>
      <c r="G104" s="37">
        <f t="shared" si="38"/>
        <v>0</v>
      </c>
      <c r="H104" s="37">
        <f t="shared" si="38"/>
        <v>0</v>
      </c>
      <c r="I104" s="37">
        <f t="shared" si="38"/>
        <v>0</v>
      </c>
      <c r="J104" s="37">
        <f t="shared" si="38"/>
        <v>0</v>
      </c>
      <c r="K104" s="37">
        <f t="shared" si="38"/>
        <v>0</v>
      </c>
      <c r="L104" s="37">
        <f t="shared" si="38"/>
        <v>0</v>
      </c>
      <c r="M104" s="37">
        <f t="shared" si="38"/>
        <v>0</v>
      </c>
      <c r="N104" s="37">
        <f t="shared" si="38"/>
        <v>0</v>
      </c>
      <c r="O104" s="37">
        <f t="shared" si="38"/>
        <v>0</v>
      </c>
      <c r="P104" s="37">
        <f t="shared" si="38"/>
        <v>0</v>
      </c>
      <c r="Q104" s="37">
        <f t="shared" si="38"/>
        <v>0</v>
      </c>
      <c r="R104" s="37">
        <f t="shared" si="38"/>
        <v>0</v>
      </c>
      <c r="S104" s="37">
        <f t="shared" si="38"/>
        <v>0</v>
      </c>
      <c r="T104" s="37">
        <f t="shared" si="38"/>
        <v>0</v>
      </c>
      <c r="U104" s="37">
        <f t="shared" si="38"/>
        <v>0</v>
      </c>
      <c r="V104" s="37">
        <f t="shared" si="38"/>
        <v>0</v>
      </c>
      <c r="W104" s="37">
        <f t="shared" si="38"/>
        <v>0</v>
      </c>
      <c r="X104" s="37">
        <f t="shared" si="38"/>
        <v>0</v>
      </c>
      <c r="Y104" s="37">
        <f t="shared" si="38"/>
        <v>0</v>
      </c>
      <c r="Z104" s="37">
        <f t="shared" si="38"/>
        <v>0</v>
      </c>
      <c r="AA104" s="37">
        <f t="shared" si="38"/>
        <v>0</v>
      </c>
    </row>
    <row r="105" spans="1:27" ht="21" customHeight="1" outlineLevel="1" thickBot="1" x14ac:dyDescent="0.4">
      <c r="A105" s="5">
        <f t="shared" si="15"/>
        <v>0</v>
      </c>
      <c r="B105" s="5">
        <f t="shared" si="15"/>
        <v>0</v>
      </c>
      <c r="C105" s="5">
        <f t="shared" si="15"/>
        <v>0</v>
      </c>
      <c r="D105" s="5">
        <f t="shared" si="15"/>
        <v>0</v>
      </c>
      <c r="E105" s="33">
        <f t="shared" si="13"/>
        <v>0</v>
      </c>
      <c r="F105" s="37">
        <f t="shared" ref="F105:AA105" si="39">F27*$C$80</f>
        <v>0</v>
      </c>
      <c r="G105" s="37">
        <f t="shared" si="39"/>
        <v>0</v>
      </c>
      <c r="H105" s="37">
        <f t="shared" si="39"/>
        <v>0</v>
      </c>
      <c r="I105" s="37">
        <f t="shared" si="39"/>
        <v>0</v>
      </c>
      <c r="J105" s="37">
        <f t="shared" si="39"/>
        <v>0</v>
      </c>
      <c r="K105" s="37">
        <f t="shared" si="39"/>
        <v>0</v>
      </c>
      <c r="L105" s="37">
        <f t="shared" si="39"/>
        <v>0</v>
      </c>
      <c r="M105" s="37">
        <f t="shared" si="39"/>
        <v>0</v>
      </c>
      <c r="N105" s="37">
        <f t="shared" si="39"/>
        <v>0</v>
      </c>
      <c r="O105" s="37">
        <f t="shared" si="39"/>
        <v>0</v>
      </c>
      <c r="P105" s="37">
        <f t="shared" si="39"/>
        <v>0</v>
      </c>
      <c r="Q105" s="37">
        <f t="shared" si="39"/>
        <v>0</v>
      </c>
      <c r="R105" s="37">
        <f t="shared" si="39"/>
        <v>0</v>
      </c>
      <c r="S105" s="37">
        <f t="shared" si="39"/>
        <v>0</v>
      </c>
      <c r="T105" s="37">
        <f t="shared" si="39"/>
        <v>0</v>
      </c>
      <c r="U105" s="37">
        <f t="shared" si="39"/>
        <v>0</v>
      </c>
      <c r="V105" s="37">
        <f t="shared" si="39"/>
        <v>0</v>
      </c>
      <c r="W105" s="37">
        <f t="shared" si="39"/>
        <v>0</v>
      </c>
      <c r="X105" s="37">
        <f t="shared" si="39"/>
        <v>0</v>
      </c>
      <c r="Y105" s="37">
        <f t="shared" si="39"/>
        <v>0</v>
      </c>
      <c r="Z105" s="37">
        <f t="shared" si="39"/>
        <v>0</v>
      </c>
      <c r="AA105" s="37">
        <f t="shared" si="39"/>
        <v>0</v>
      </c>
    </row>
    <row r="106" spans="1:27" ht="21" customHeight="1" outlineLevel="1" thickBot="1" x14ac:dyDescent="0.4">
      <c r="A106" s="5">
        <f t="shared" si="15"/>
        <v>0</v>
      </c>
      <c r="B106" s="5">
        <f t="shared" si="15"/>
        <v>0</v>
      </c>
      <c r="C106" s="5">
        <f t="shared" si="15"/>
        <v>0</v>
      </c>
      <c r="D106" s="5">
        <f t="shared" si="15"/>
        <v>0</v>
      </c>
      <c r="E106" s="33">
        <f t="shared" si="13"/>
        <v>0</v>
      </c>
      <c r="F106" s="37">
        <f t="shared" ref="F106:AA106" si="40">F28*$C$80</f>
        <v>0</v>
      </c>
      <c r="G106" s="37">
        <f t="shared" si="40"/>
        <v>0</v>
      </c>
      <c r="H106" s="37">
        <f t="shared" si="40"/>
        <v>0</v>
      </c>
      <c r="I106" s="37">
        <f t="shared" si="40"/>
        <v>0</v>
      </c>
      <c r="J106" s="37">
        <f t="shared" si="40"/>
        <v>0</v>
      </c>
      <c r="K106" s="37">
        <f t="shared" si="40"/>
        <v>0</v>
      </c>
      <c r="L106" s="37">
        <f t="shared" si="40"/>
        <v>0</v>
      </c>
      <c r="M106" s="37">
        <f t="shared" si="40"/>
        <v>0</v>
      </c>
      <c r="N106" s="37">
        <f t="shared" si="40"/>
        <v>0</v>
      </c>
      <c r="O106" s="37">
        <f t="shared" si="40"/>
        <v>0</v>
      </c>
      <c r="P106" s="37">
        <f t="shared" si="40"/>
        <v>0</v>
      </c>
      <c r="Q106" s="37">
        <f t="shared" si="40"/>
        <v>0</v>
      </c>
      <c r="R106" s="37">
        <f t="shared" si="40"/>
        <v>0</v>
      </c>
      <c r="S106" s="37">
        <f t="shared" si="40"/>
        <v>0</v>
      </c>
      <c r="T106" s="37">
        <f t="shared" si="40"/>
        <v>0</v>
      </c>
      <c r="U106" s="37">
        <f t="shared" si="40"/>
        <v>0</v>
      </c>
      <c r="V106" s="37">
        <f t="shared" si="40"/>
        <v>0</v>
      </c>
      <c r="W106" s="37">
        <f t="shared" si="40"/>
        <v>0</v>
      </c>
      <c r="X106" s="37">
        <f t="shared" si="40"/>
        <v>0</v>
      </c>
      <c r="Y106" s="37">
        <f t="shared" si="40"/>
        <v>0</v>
      </c>
      <c r="Z106" s="37">
        <f t="shared" si="40"/>
        <v>0</v>
      </c>
      <c r="AA106" s="37">
        <f t="shared" si="40"/>
        <v>0</v>
      </c>
    </row>
    <row r="107" spans="1:27" ht="21" customHeight="1" outlineLevel="1" thickBot="1" x14ac:dyDescent="0.4">
      <c r="A107" s="5">
        <f t="shared" si="15"/>
        <v>0</v>
      </c>
      <c r="B107" s="5">
        <f t="shared" si="15"/>
        <v>0</v>
      </c>
      <c r="C107" s="5">
        <f t="shared" si="15"/>
        <v>0</v>
      </c>
      <c r="D107" s="5">
        <f t="shared" si="15"/>
        <v>0</v>
      </c>
      <c r="E107" s="33">
        <f t="shared" si="13"/>
        <v>0</v>
      </c>
      <c r="F107" s="37">
        <f t="shared" ref="F107:AA107" si="41">F29*$C$80</f>
        <v>0</v>
      </c>
      <c r="G107" s="37">
        <f t="shared" si="41"/>
        <v>0</v>
      </c>
      <c r="H107" s="37">
        <f t="shared" si="41"/>
        <v>0</v>
      </c>
      <c r="I107" s="37">
        <f t="shared" si="41"/>
        <v>0</v>
      </c>
      <c r="J107" s="37">
        <f t="shared" si="41"/>
        <v>0</v>
      </c>
      <c r="K107" s="37">
        <f t="shared" si="41"/>
        <v>0</v>
      </c>
      <c r="L107" s="37">
        <f t="shared" si="41"/>
        <v>0</v>
      </c>
      <c r="M107" s="37">
        <f t="shared" si="41"/>
        <v>0</v>
      </c>
      <c r="N107" s="37">
        <f t="shared" si="41"/>
        <v>0</v>
      </c>
      <c r="O107" s="37">
        <f t="shared" si="41"/>
        <v>0</v>
      </c>
      <c r="P107" s="37">
        <f t="shared" si="41"/>
        <v>0</v>
      </c>
      <c r="Q107" s="37">
        <f t="shared" si="41"/>
        <v>0</v>
      </c>
      <c r="R107" s="37">
        <f t="shared" si="41"/>
        <v>0</v>
      </c>
      <c r="S107" s="37">
        <f t="shared" si="41"/>
        <v>0</v>
      </c>
      <c r="T107" s="37">
        <f t="shared" si="41"/>
        <v>0</v>
      </c>
      <c r="U107" s="37">
        <f t="shared" si="41"/>
        <v>0</v>
      </c>
      <c r="V107" s="37">
        <f t="shared" si="41"/>
        <v>0</v>
      </c>
      <c r="W107" s="37">
        <f t="shared" si="41"/>
        <v>0</v>
      </c>
      <c r="X107" s="37">
        <f t="shared" si="41"/>
        <v>0</v>
      </c>
      <c r="Y107" s="37">
        <f t="shared" si="41"/>
        <v>0</v>
      </c>
      <c r="Z107" s="37">
        <f t="shared" si="41"/>
        <v>0</v>
      </c>
      <c r="AA107" s="37">
        <f t="shared" si="41"/>
        <v>0</v>
      </c>
    </row>
    <row r="108" spans="1:27" ht="21" customHeight="1" outlineLevel="1" thickBot="1" x14ac:dyDescent="0.4">
      <c r="A108" s="5">
        <f t="shared" si="15"/>
        <v>0</v>
      </c>
      <c r="B108" s="5">
        <f t="shared" si="15"/>
        <v>0</v>
      </c>
      <c r="C108" s="5">
        <f t="shared" si="15"/>
        <v>0</v>
      </c>
      <c r="D108" s="5">
        <f t="shared" si="15"/>
        <v>0</v>
      </c>
      <c r="E108" s="33">
        <f t="shared" si="13"/>
        <v>0</v>
      </c>
      <c r="F108" s="37">
        <f t="shared" ref="F108:AA108" si="42">F30*$C$80</f>
        <v>0</v>
      </c>
      <c r="G108" s="37">
        <f t="shared" si="42"/>
        <v>0</v>
      </c>
      <c r="H108" s="37">
        <f t="shared" si="42"/>
        <v>0</v>
      </c>
      <c r="I108" s="37">
        <f t="shared" si="42"/>
        <v>0</v>
      </c>
      <c r="J108" s="37">
        <f t="shared" si="42"/>
        <v>0</v>
      </c>
      <c r="K108" s="37">
        <f t="shared" si="42"/>
        <v>0</v>
      </c>
      <c r="L108" s="37">
        <f t="shared" si="42"/>
        <v>0</v>
      </c>
      <c r="M108" s="37">
        <f t="shared" si="42"/>
        <v>0</v>
      </c>
      <c r="N108" s="37">
        <f t="shared" si="42"/>
        <v>0</v>
      </c>
      <c r="O108" s="37">
        <f t="shared" si="42"/>
        <v>0</v>
      </c>
      <c r="P108" s="37">
        <f t="shared" si="42"/>
        <v>0</v>
      </c>
      <c r="Q108" s="37">
        <f t="shared" si="42"/>
        <v>0</v>
      </c>
      <c r="R108" s="37">
        <f t="shared" si="42"/>
        <v>0</v>
      </c>
      <c r="S108" s="37">
        <f t="shared" si="42"/>
        <v>0</v>
      </c>
      <c r="T108" s="37">
        <f t="shared" si="42"/>
        <v>0</v>
      </c>
      <c r="U108" s="37">
        <f t="shared" si="42"/>
        <v>0</v>
      </c>
      <c r="V108" s="37">
        <f t="shared" si="42"/>
        <v>0</v>
      </c>
      <c r="W108" s="37">
        <f t="shared" si="42"/>
        <v>0</v>
      </c>
      <c r="X108" s="37">
        <f t="shared" si="42"/>
        <v>0</v>
      </c>
      <c r="Y108" s="37">
        <f t="shared" si="42"/>
        <v>0</v>
      </c>
      <c r="Z108" s="37">
        <f t="shared" si="42"/>
        <v>0</v>
      </c>
      <c r="AA108" s="37">
        <f t="shared" si="42"/>
        <v>0</v>
      </c>
    </row>
    <row r="109" spans="1:27" ht="21" customHeight="1" outlineLevel="1" thickBot="1" x14ac:dyDescent="0.4">
      <c r="A109" s="5">
        <f t="shared" si="15"/>
        <v>0</v>
      </c>
      <c r="B109" s="5">
        <f t="shared" si="15"/>
        <v>0</v>
      </c>
      <c r="C109" s="5">
        <f t="shared" si="15"/>
        <v>0</v>
      </c>
      <c r="D109" s="5">
        <f t="shared" si="15"/>
        <v>0</v>
      </c>
      <c r="E109" s="33">
        <f t="shared" si="13"/>
        <v>0</v>
      </c>
      <c r="F109" s="37">
        <f t="shared" ref="F109:AA109" si="43">F31*$C$80</f>
        <v>0</v>
      </c>
      <c r="G109" s="37">
        <f t="shared" si="43"/>
        <v>0</v>
      </c>
      <c r="H109" s="37">
        <f t="shared" si="43"/>
        <v>0</v>
      </c>
      <c r="I109" s="37">
        <f t="shared" si="43"/>
        <v>0</v>
      </c>
      <c r="J109" s="37">
        <f t="shared" si="43"/>
        <v>0</v>
      </c>
      <c r="K109" s="37">
        <f t="shared" si="43"/>
        <v>0</v>
      </c>
      <c r="L109" s="37">
        <f t="shared" si="43"/>
        <v>0</v>
      </c>
      <c r="M109" s="37">
        <f t="shared" si="43"/>
        <v>0</v>
      </c>
      <c r="N109" s="37">
        <f t="shared" si="43"/>
        <v>0</v>
      </c>
      <c r="O109" s="37">
        <f t="shared" si="43"/>
        <v>0</v>
      </c>
      <c r="P109" s="37">
        <f t="shared" si="43"/>
        <v>0</v>
      </c>
      <c r="Q109" s="37">
        <f t="shared" si="43"/>
        <v>0</v>
      </c>
      <c r="R109" s="37">
        <f t="shared" si="43"/>
        <v>0</v>
      </c>
      <c r="S109" s="37">
        <f t="shared" si="43"/>
        <v>0</v>
      </c>
      <c r="T109" s="37">
        <f t="shared" si="43"/>
        <v>0</v>
      </c>
      <c r="U109" s="37">
        <f t="shared" si="43"/>
        <v>0</v>
      </c>
      <c r="V109" s="37">
        <f t="shared" si="43"/>
        <v>0</v>
      </c>
      <c r="W109" s="37">
        <f t="shared" si="43"/>
        <v>0</v>
      </c>
      <c r="X109" s="37">
        <f t="shared" si="43"/>
        <v>0</v>
      </c>
      <c r="Y109" s="37">
        <f t="shared" si="43"/>
        <v>0</v>
      </c>
      <c r="Z109" s="37">
        <f t="shared" si="43"/>
        <v>0</v>
      </c>
      <c r="AA109" s="37">
        <f t="shared" si="43"/>
        <v>0</v>
      </c>
    </row>
    <row r="110" spans="1:27" ht="21" customHeight="1" outlineLevel="1" thickBot="1" x14ac:dyDescent="0.4">
      <c r="A110" s="5">
        <f t="shared" si="15"/>
        <v>0</v>
      </c>
      <c r="B110" s="5">
        <f t="shared" si="15"/>
        <v>0</v>
      </c>
      <c r="C110" s="5">
        <f t="shared" si="15"/>
        <v>0</v>
      </c>
      <c r="D110" s="5">
        <f t="shared" si="15"/>
        <v>0</v>
      </c>
      <c r="E110" s="33">
        <f t="shared" si="13"/>
        <v>0</v>
      </c>
      <c r="F110" s="37">
        <f t="shared" ref="F110:AA110" si="44">F32*$C$80</f>
        <v>0</v>
      </c>
      <c r="G110" s="37">
        <f t="shared" si="44"/>
        <v>0</v>
      </c>
      <c r="H110" s="37">
        <f t="shared" si="44"/>
        <v>0</v>
      </c>
      <c r="I110" s="37">
        <f t="shared" si="44"/>
        <v>0</v>
      </c>
      <c r="J110" s="37">
        <f t="shared" si="44"/>
        <v>0</v>
      </c>
      <c r="K110" s="37">
        <f t="shared" si="44"/>
        <v>0</v>
      </c>
      <c r="L110" s="37">
        <f t="shared" si="44"/>
        <v>0</v>
      </c>
      <c r="M110" s="37">
        <f t="shared" si="44"/>
        <v>0</v>
      </c>
      <c r="N110" s="37">
        <f t="shared" si="44"/>
        <v>0</v>
      </c>
      <c r="O110" s="37">
        <f t="shared" si="44"/>
        <v>0</v>
      </c>
      <c r="P110" s="37">
        <f t="shared" si="44"/>
        <v>0</v>
      </c>
      <c r="Q110" s="37">
        <f t="shared" si="44"/>
        <v>0</v>
      </c>
      <c r="R110" s="37">
        <f t="shared" si="44"/>
        <v>0</v>
      </c>
      <c r="S110" s="37">
        <f t="shared" si="44"/>
        <v>0</v>
      </c>
      <c r="T110" s="37">
        <f t="shared" si="44"/>
        <v>0</v>
      </c>
      <c r="U110" s="37">
        <f t="shared" si="44"/>
        <v>0</v>
      </c>
      <c r="V110" s="37">
        <f t="shared" si="44"/>
        <v>0</v>
      </c>
      <c r="W110" s="37">
        <f t="shared" si="44"/>
        <v>0</v>
      </c>
      <c r="X110" s="37">
        <f t="shared" si="44"/>
        <v>0</v>
      </c>
      <c r="Y110" s="37">
        <f t="shared" si="44"/>
        <v>0</v>
      </c>
      <c r="Z110" s="37">
        <f t="shared" si="44"/>
        <v>0</v>
      </c>
      <c r="AA110" s="37">
        <f t="shared" si="44"/>
        <v>0</v>
      </c>
    </row>
    <row r="111" spans="1:27" ht="21" customHeight="1" outlineLevel="1" thickBot="1" x14ac:dyDescent="0.4">
      <c r="A111" s="5">
        <f t="shared" si="15"/>
        <v>0</v>
      </c>
      <c r="B111" s="5">
        <f t="shared" si="15"/>
        <v>0</v>
      </c>
      <c r="C111" s="5">
        <f t="shared" si="15"/>
        <v>0</v>
      </c>
      <c r="D111" s="5">
        <f t="shared" si="15"/>
        <v>0</v>
      </c>
      <c r="E111" s="33">
        <f t="shared" si="13"/>
        <v>1</v>
      </c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</row>
    <row r="112" spans="1:27" ht="21" customHeight="1" outlineLevel="1" x14ac:dyDescent="0.35"/>
    <row r="113" spans="1:46" ht="21" customHeight="1" thickBot="1" x14ac:dyDescent="0.4"/>
    <row r="114" spans="1:46" ht="21" customHeight="1" thickTop="1" thickBot="1" x14ac:dyDescent="0.45">
      <c r="A114" s="47"/>
      <c r="B114" s="47"/>
      <c r="C114" s="47"/>
      <c r="D114" s="47"/>
      <c r="E114" s="71" t="str">
        <f>ALL!E114</f>
        <v>Энергия гиббса фаз в данной системе. КДж</v>
      </c>
      <c r="F114" s="72"/>
      <c r="G114" s="71"/>
      <c r="H114" s="71"/>
      <c r="I114" s="71"/>
      <c r="J114" s="71"/>
      <c r="K114" s="71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T114" s="16"/>
    </row>
    <row r="115" spans="1:46" ht="21" customHeight="1" outlineLevel="1" thickTop="1" thickBot="1" x14ac:dyDescent="0.4">
      <c r="D115" s="17" t="s">
        <v>14</v>
      </c>
      <c r="E115" s="17"/>
      <c r="F115" s="6">
        <f t="shared" ref="F115:AA115" si="45">F3</f>
        <v>298.2</v>
      </c>
      <c r="G115" s="6">
        <f t="shared" si="45"/>
        <v>331.5</v>
      </c>
      <c r="H115" s="6">
        <f t="shared" si="45"/>
        <v>364.9</v>
      </c>
      <c r="I115" s="6">
        <f t="shared" si="45"/>
        <v>398.3</v>
      </c>
      <c r="J115" s="6">
        <f t="shared" si="45"/>
        <v>431.7</v>
      </c>
      <c r="K115" s="6">
        <f t="shared" si="45"/>
        <v>465.1</v>
      </c>
      <c r="L115" s="6">
        <f t="shared" si="45"/>
        <v>498.5</v>
      </c>
      <c r="M115" s="6">
        <f t="shared" si="45"/>
        <v>531.79999999999995</v>
      </c>
      <c r="N115" s="6">
        <f t="shared" si="45"/>
        <v>565.20000000000005</v>
      </c>
      <c r="O115" s="6">
        <f t="shared" si="45"/>
        <v>698.8</v>
      </c>
      <c r="P115" s="6">
        <f t="shared" si="45"/>
        <v>832.3</v>
      </c>
      <c r="Q115" s="6">
        <f t="shared" si="45"/>
        <v>965.8</v>
      </c>
      <c r="R115" s="6">
        <f t="shared" si="45"/>
        <v>999.2</v>
      </c>
      <c r="S115" s="6">
        <f t="shared" si="45"/>
        <v>1033</v>
      </c>
      <c r="T115" s="6">
        <f t="shared" si="45"/>
        <v>1066</v>
      </c>
      <c r="U115" s="6">
        <f t="shared" si="45"/>
        <v>1099</v>
      </c>
      <c r="V115" s="6">
        <f t="shared" si="45"/>
        <v>1233</v>
      </c>
      <c r="W115" s="6">
        <f t="shared" si="45"/>
        <v>1366</v>
      </c>
      <c r="X115" s="6">
        <f t="shared" si="45"/>
        <v>1400</v>
      </c>
      <c r="Y115" s="6">
        <f t="shared" si="45"/>
        <v>1433</v>
      </c>
      <c r="Z115" s="6">
        <f t="shared" si="45"/>
        <v>1467</v>
      </c>
      <c r="AA115" s="6">
        <f t="shared" si="45"/>
        <v>1500</v>
      </c>
    </row>
    <row r="116" spans="1:46" ht="21" customHeight="1" outlineLevel="1" thickTop="1" x14ac:dyDescent="0.35">
      <c r="E116" s="41" t="s">
        <v>52</v>
      </c>
      <c r="F116" s="62">
        <f>F$115*$B$2*SUMPRODUCT(F$93:F$94,F$59:F$60)/1000</f>
        <v>0</v>
      </c>
      <c r="G116" s="62">
        <f t="shared" ref="G116:AA116" si="46">G$115*$B$2*SUMPRODUCT(G$93:G$94,G$59:G$60)/1000</f>
        <v>0</v>
      </c>
      <c r="H116" s="62">
        <f t="shared" si="46"/>
        <v>0</v>
      </c>
      <c r="I116" s="62">
        <f t="shared" si="46"/>
        <v>0</v>
      </c>
      <c r="J116" s="62">
        <f t="shared" si="46"/>
        <v>0</v>
      </c>
      <c r="K116" s="62">
        <f t="shared" si="46"/>
        <v>-1.0791139464806103E-33</v>
      </c>
      <c r="L116" s="62">
        <f t="shared" si="46"/>
        <v>0</v>
      </c>
      <c r="M116" s="62">
        <f t="shared" si="46"/>
        <v>0</v>
      </c>
      <c r="N116" s="62">
        <f t="shared" si="46"/>
        <v>-6.7083143831425909E-20</v>
      </c>
      <c r="O116" s="62">
        <f t="shared" si="46"/>
        <v>-6.4844719901103021E-10</v>
      </c>
      <c r="P116" s="62">
        <f t="shared" si="46"/>
        <v>-5.129106204651662E-8</v>
      </c>
      <c r="Q116" s="62">
        <f t="shared" si="46"/>
        <v>-4.9749453428551498E-7</v>
      </c>
      <c r="R116" s="62">
        <f t="shared" si="46"/>
        <v>-9.0281175277182386E-7</v>
      </c>
      <c r="S116" s="62">
        <f t="shared" si="46"/>
        <v>-1.7064805738554614E-6</v>
      </c>
      <c r="T116" s="62">
        <f t="shared" si="46"/>
        <v>-4.7226746078219375E-6</v>
      </c>
      <c r="U116" s="62">
        <f t="shared" si="46"/>
        <v>-1.2219353200869577E-5</v>
      </c>
      <c r="V116" s="62">
        <f t="shared" si="46"/>
        <v>-29.660554749955015</v>
      </c>
      <c r="W116" s="62">
        <f t="shared" si="46"/>
        <v>-36.276196762518161</v>
      </c>
      <c r="X116" s="62">
        <f t="shared" si="46"/>
        <v>-37.976478753512474</v>
      </c>
      <c r="Y116" s="62">
        <f t="shared" si="46"/>
        <v>-39.663964729227828</v>
      </c>
      <c r="Z116" s="62">
        <f t="shared" si="46"/>
        <v>-41.391780187367644</v>
      </c>
      <c r="AA116" s="62">
        <f t="shared" si="46"/>
        <v>-43.096132126641464</v>
      </c>
    </row>
    <row r="117" spans="1:46" ht="21" customHeight="1" outlineLevel="1" x14ac:dyDescent="0.35">
      <c r="E117" s="41" t="s">
        <v>45</v>
      </c>
      <c r="F117" s="62">
        <f>F$115*$B$2*SUMPRODUCT(F$89:F$91,F$55:F$57)/1000</f>
        <v>-155.66398585500002</v>
      </c>
      <c r="G117" s="62">
        <f t="shared" ref="G117:AA117" si="47">G$115*$B$2*SUMPRODUCT(G$89:G$91,G$55:G$57)/1000</f>
        <v>-157.85082407250002</v>
      </c>
      <c r="H117" s="62">
        <f t="shared" si="47"/>
        <v>-160.24370945749999</v>
      </c>
      <c r="I117" s="62">
        <f t="shared" si="47"/>
        <v>-162.7241964145</v>
      </c>
      <c r="J117" s="62">
        <f t="shared" si="47"/>
        <v>-165.35029521000001</v>
      </c>
      <c r="K117" s="62">
        <f t="shared" si="47"/>
        <v>-168.02436312750001</v>
      </c>
      <c r="L117" s="62">
        <f t="shared" si="47"/>
        <v>-170.86157539250004</v>
      </c>
      <c r="M117" s="62">
        <f t="shared" si="47"/>
        <v>-97.73980719536587</v>
      </c>
      <c r="N117" s="62">
        <f t="shared" si="47"/>
        <v>-9.7697728422550829E-3</v>
      </c>
      <c r="O117" s="62">
        <f t="shared" si="47"/>
        <v>-5.2135380437530261E-16</v>
      </c>
      <c r="P117" s="62">
        <f t="shared" si="47"/>
        <v>-4.74568858058136E-15</v>
      </c>
      <c r="Q117" s="62">
        <f t="shared" si="47"/>
        <v>-1.0309422660575631E-11</v>
      </c>
      <c r="R117" s="62">
        <f t="shared" si="47"/>
        <v>-5.1281458836036665E-11</v>
      </c>
      <c r="S117" s="62">
        <f t="shared" si="47"/>
        <v>-2.3041887730372607E-10</v>
      </c>
      <c r="T117" s="62">
        <f t="shared" si="47"/>
        <v>-9.4323239197797161E-10</v>
      </c>
      <c r="U117" s="62">
        <f t="shared" si="47"/>
        <v>-3.5489887538815944E-9</v>
      </c>
      <c r="V117" s="62">
        <f t="shared" si="47"/>
        <v>-3.3393422119415529E-7</v>
      </c>
      <c r="W117" s="62">
        <f t="shared" si="47"/>
        <v>-1.0159124717946732E-5</v>
      </c>
      <c r="X117" s="62">
        <f t="shared" si="47"/>
        <v>-2.1585197580187506E-5</v>
      </c>
      <c r="Y117" s="62">
        <f t="shared" si="47"/>
        <v>-4.4275892225073797E-5</v>
      </c>
      <c r="Z117" s="62">
        <f t="shared" si="47"/>
        <v>-8.8009272618887836E-5</v>
      </c>
      <c r="AA117" s="62">
        <f t="shared" si="47"/>
        <v>-1.6961143605152999E-4</v>
      </c>
    </row>
    <row r="118" spans="1:46" ht="21" customHeight="1" outlineLevel="1" x14ac:dyDescent="0.35">
      <c r="E118" s="41" t="s">
        <v>44</v>
      </c>
      <c r="F118" s="62">
        <f>F$115*$B$2*SUMPRODUCT(F$89:F$92,F$55:F$58)/1000</f>
        <v>-233.31002499000004</v>
      </c>
      <c r="G118" s="62">
        <f t="shared" ref="G118:AA118" si="48">G$115*$B$2*SUMPRODUCT(G$89:G$92,G$55:G$58)/1000</f>
        <v>-244.25947318500005</v>
      </c>
      <c r="H118" s="62">
        <f t="shared" si="48"/>
        <v>-255.5100864275</v>
      </c>
      <c r="I118" s="62">
        <f t="shared" si="48"/>
        <v>-266.98646051700007</v>
      </c>
      <c r="J118" s="62">
        <f t="shared" si="48"/>
        <v>-278.71455332250002</v>
      </c>
      <c r="K118" s="62">
        <f t="shared" si="48"/>
        <v>-290.54615611000003</v>
      </c>
      <c r="L118" s="62">
        <f t="shared" si="48"/>
        <v>-302.59644410500005</v>
      </c>
      <c r="M118" s="62">
        <f t="shared" si="48"/>
        <v>-238.27461799036587</v>
      </c>
      <c r="N118" s="62">
        <f t="shared" si="48"/>
        <v>-149.05765854284232</v>
      </c>
      <c r="O118" s="62">
        <f t="shared" si="48"/>
        <v>-186.99072151000004</v>
      </c>
      <c r="P118" s="62">
        <f t="shared" si="48"/>
        <v>-225.71249818250007</v>
      </c>
      <c r="Q118" s="62">
        <f t="shared" si="48"/>
        <v>-265.26242677001039</v>
      </c>
      <c r="R118" s="62">
        <f t="shared" si="48"/>
        <v>-275.26671032005135</v>
      </c>
      <c r="S118" s="62">
        <f t="shared" si="48"/>
        <v>-285.43706215023053</v>
      </c>
      <c r="T118" s="62">
        <f t="shared" si="48"/>
        <v>-295.44190000094335</v>
      </c>
      <c r="U118" s="62">
        <f t="shared" si="48"/>
        <v>-305.34931962854904</v>
      </c>
      <c r="V118" s="62">
        <f t="shared" si="48"/>
        <v>-346.16838768393433</v>
      </c>
      <c r="W118" s="62">
        <f t="shared" si="48"/>
        <v>-387.29440885912487</v>
      </c>
      <c r="X118" s="62">
        <f t="shared" si="48"/>
        <v>-397.90427658519769</v>
      </c>
      <c r="Y118" s="62">
        <f t="shared" si="48"/>
        <v>-408.27636087589241</v>
      </c>
      <c r="Z118" s="62">
        <f t="shared" si="48"/>
        <v>-418.77650950927284</v>
      </c>
      <c r="AA118" s="62">
        <f t="shared" si="48"/>
        <v>-429.23623211143621</v>
      </c>
    </row>
    <row r="119" spans="1:46" ht="21" customHeight="1" outlineLevel="1" x14ac:dyDescent="0.35"/>
    <row r="120" spans="1:46" ht="21" customHeight="1" outlineLevel="1" x14ac:dyDescent="0.35">
      <c r="E120" s="61" t="s">
        <v>63</v>
      </c>
      <c r="F120" s="69">
        <f>F116+F117</f>
        <v>-155.66398585500002</v>
      </c>
      <c r="G120" s="69">
        <f t="shared" ref="G120:AA120" si="49">G116+G117</f>
        <v>-157.85082407250002</v>
      </c>
      <c r="H120" s="69">
        <f t="shared" si="49"/>
        <v>-160.24370945749999</v>
      </c>
      <c r="I120" s="69">
        <f t="shared" si="49"/>
        <v>-162.7241964145</v>
      </c>
      <c r="J120" s="69">
        <f t="shared" si="49"/>
        <v>-165.35029521000001</v>
      </c>
      <c r="K120" s="69">
        <f t="shared" si="49"/>
        <v>-168.02436312750001</v>
      </c>
      <c r="L120" s="69">
        <f t="shared" si="49"/>
        <v>-170.86157539250004</v>
      </c>
      <c r="M120" s="69">
        <f t="shared" si="49"/>
        <v>-97.73980719536587</v>
      </c>
      <c r="N120" s="69">
        <f t="shared" si="49"/>
        <v>-9.7697728422550829E-3</v>
      </c>
      <c r="O120" s="69">
        <f t="shared" si="49"/>
        <v>-6.4844772036483457E-10</v>
      </c>
      <c r="P120" s="69">
        <f t="shared" si="49"/>
        <v>-5.12910667922052E-8</v>
      </c>
      <c r="Q120" s="69">
        <f t="shared" si="49"/>
        <v>-4.9750484370817555E-7</v>
      </c>
      <c r="R120" s="69">
        <f t="shared" si="49"/>
        <v>-9.028630342306599E-7</v>
      </c>
      <c r="S120" s="69">
        <f t="shared" si="49"/>
        <v>-1.7067109927327652E-6</v>
      </c>
      <c r="T120" s="69">
        <f t="shared" si="49"/>
        <v>-4.7236178402139151E-6</v>
      </c>
      <c r="U120" s="69">
        <f t="shared" si="49"/>
        <v>-1.2222902189623458E-5</v>
      </c>
      <c r="V120" s="69">
        <f t="shared" si="49"/>
        <v>-29.660555083889236</v>
      </c>
      <c r="W120" s="69">
        <f t="shared" si="49"/>
        <v>-36.276206921642881</v>
      </c>
      <c r="X120" s="69">
        <f t="shared" si="49"/>
        <v>-37.976500338710053</v>
      </c>
      <c r="Y120" s="69">
        <f t="shared" si="49"/>
        <v>-39.66400900512005</v>
      </c>
      <c r="Z120" s="69">
        <f t="shared" si="49"/>
        <v>-41.39186819664026</v>
      </c>
      <c r="AA120" s="69">
        <f t="shared" si="49"/>
        <v>-43.096301738077514</v>
      </c>
    </row>
    <row r="121" spans="1:46" ht="21" customHeight="1" outlineLevel="1" x14ac:dyDescent="0.35"/>
    <row r="122" spans="1:46" ht="21" customHeight="1" outlineLevel="1" x14ac:dyDescent="0.35">
      <c r="E122" s="61" t="s">
        <v>62</v>
      </c>
      <c r="F122">
        <v>460</v>
      </c>
      <c r="G122">
        <v>1000000</v>
      </c>
    </row>
    <row r="123" spans="1:46" ht="21" customHeight="1" outlineLevel="1" x14ac:dyDescent="0.35">
      <c r="F123">
        <v>460</v>
      </c>
      <c r="G123">
        <v>-10000000</v>
      </c>
      <c r="AK123" t="s">
        <v>64</v>
      </c>
    </row>
    <row r="124" spans="1:46" ht="21" customHeight="1" thickBot="1" x14ac:dyDescent="0.4"/>
    <row r="125" spans="1:46" ht="21" customHeight="1" thickBot="1" x14ac:dyDescent="0.45">
      <c r="A125" s="47"/>
      <c r="B125" s="47"/>
      <c r="C125" s="47"/>
      <c r="D125" s="47"/>
      <c r="E125" s="71" t="s">
        <v>15</v>
      </c>
      <c r="F125" s="72"/>
      <c r="G125" s="71"/>
      <c r="H125" s="71"/>
      <c r="I125" s="71"/>
      <c r="J125" s="71"/>
      <c r="K125" s="71"/>
      <c r="L125" s="71"/>
      <c r="M125" s="76"/>
      <c r="N125" s="76"/>
      <c r="O125" s="76"/>
      <c r="P125" s="76"/>
      <c r="Q125" s="76"/>
      <c r="R125" s="76"/>
      <c r="S125" s="77"/>
      <c r="T125" s="72"/>
      <c r="U125" s="72"/>
      <c r="V125" s="72"/>
      <c r="W125" s="72"/>
      <c r="X125" s="72"/>
      <c r="Y125" s="72"/>
      <c r="Z125" s="72"/>
      <c r="AA125" s="72"/>
    </row>
    <row r="126" spans="1:46" ht="21" hidden="1" customHeight="1" outlineLevel="1" thickBot="1" x14ac:dyDescent="0.4">
      <c r="A126" s="23" t="s">
        <v>16</v>
      </c>
      <c r="B126" s="19" t="s">
        <v>17</v>
      </c>
      <c r="C126">
        <v>298.14999999999998</v>
      </c>
    </row>
    <row r="127" spans="1:46" ht="21" hidden="1" customHeight="1" outlineLevel="1" x14ac:dyDescent="0.35">
      <c r="A127">
        <v>8</v>
      </c>
      <c r="B127" s="18" t="s">
        <v>18</v>
      </c>
      <c r="C127">
        <v>5</v>
      </c>
    </row>
    <row r="128" spans="1:46" ht="21" hidden="1" customHeight="1" outlineLevel="1" x14ac:dyDescent="0.35">
      <c r="B128" s="20" t="s">
        <v>19</v>
      </c>
      <c r="C128" s="4">
        <f>C127-$C$127</f>
        <v>0</v>
      </c>
      <c r="D128" s="4">
        <f>D127-$C$127</f>
        <v>-5</v>
      </c>
      <c r="E128" s="4">
        <f>E127-$C$127</f>
        <v>-5</v>
      </c>
      <c r="F128" s="4">
        <f>F127-$C$127</f>
        <v>-5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</row>
    <row r="129" spans="2:19" ht="21" hidden="1" customHeight="1" outlineLevel="1" thickBot="1" x14ac:dyDescent="0.4">
      <c r="B129" s="19" t="s">
        <v>20</v>
      </c>
      <c r="C129" s="4">
        <f>C128+$A$127</f>
        <v>8</v>
      </c>
      <c r="D129" s="4">
        <f>D128+$A$127</f>
        <v>3</v>
      </c>
      <c r="E129" s="4">
        <f>E128+$A$127</f>
        <v>3</v>
      </c>
      <c r="F129" s="4">
        <f>F128+$A$127</f>
        <v>3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</row>
    <row r="130" spans="2:19" ht="21" hidden="1" customHeight="1" outlineLevel="1" x14ac:dyDescent="0.35"/>
    <row r="131" spans="2:19" ht="21" customHeight="1" collapsed="1" x14ac:dyDescent="0.35"/>
  </sheetData>
  <mergeCells count="2">
    <mergeCell ref="I1:S1"/>
    <mergeCell ref="A1:H1"/>
  </mergeCells>
  <conditionalFormatting sqref="A4:D33">
    <cfRule type="cellIs" dxfId="6" priority="8" operator="equal">
      <formula>0</formula>
    </cfRule>
  </conditionalFormatting>
  <conditionalFormatting sqref="A48:D78">
    <cfRule type="cellIs" dxfId="5" priority="7" operator="equal">
      <formula>0</formula>
    </cfRule>
  </conditionalFormatting>
  <conditionalFormatting sqref="A82:D111">
    <cfRule type="cellIs" dxfId="4" priority="6" operator="equal">
      <formula>0</formula>
    </cfRule>
  </conditionalFormatting>
  <conditionalFormatting sqref="F4:AA20">
    <cfRule type="expression" dxfId="3" priority="1">
      <formula>NOT(ISNUMBER(F4))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2130-68AE-46B7-BCF1-F00E8124CFB6}">
  <sheetPr codeName="Лист3">
    <tabColor theme="2" tint="-0.499984740745262"/>
  </sheetPr>
  <dimension ref="A1:GL97"/>
  <sheetViews>
    <sheetView zoomScale="85" zoomScaleNormal="85" workbookViewId="0">
      <pane ySplit="1" topLeftCell="A2" activePane="bottomLeft" state="frozen"/>
      <selection pane="bottomLeft" activeCell="A40" sqref="A40"/>
    </sheetView>
  </sheetViews>
  <sheetFormatPr defaultRowHeight="21" outlineLevelRow="1" x14ac:dyDescent="0.35"/>
  <cols>
    <col min="1" max="1" width="13.81640625" bestFit="1" customWidth="1"/>
    <col min="2" max="35" width="8.7265625" customWidth="1"/>
  </cols>
  <sheetData>
    <row r="1" spans="1:194" ht="37.5" customHeight="1" thickBot="1" x14ac:dyDescent="0.4">
      <c r="A1" s="56" t="s">
        <v>56</v>
      </c>
      <c r="B1" s="50">
        <v>290</v>
      </c>
      <c r="C1" s="51">
        <v>1500</v>
      </c>
      <c r="D1" s="57" t="s">
        <v>57</v>
      </c>
      <c r="E1" s="52">
        <v>90</v>
      </c>
      <c r="F1" s="53" t="s">
        <v>58</v>
      </c>
      <c r="G1" s="58"/>
      <c r="H1" s="54">
        <v>34</v>
      </c>
      <c r="I1" s="59" t="s">
        <v>59</v>
      </c>
      <c r="J1" s="55">
        <v>0</v>
      </c>
    </row>
    <row r="2" spans="1:194" ht="23.25" customHeight="1" thickTop="1" thickBot="1" x14ac:dyDescent="0.4">
      <c r="A2" s="68" t="s">
        <v>53</v>
      </c>
      <c r="B2" s="68">
        <f>FLUID!F46</f>
        <v>298.2</v>
      </c>
      <c r="C2" s="68">
        <f>FLUID!G46</f>
        <v>431.7</v>
      </c>
      <c r="D2" s="68">
        <f>FLUID!H46</f>
        <v>565.20000000000005</v>
      </c>
      <c r="E2" s="68">
        <f>FLUID!I46</f>
        <v>698.8</v>
      </c>
      <c r="F2" s="68">
        <f>FLUID!J46</f>
        <v>832.3</v>
      </c>
      <c r="G2" s="68">
        <f>FLUID!K46</f>
        <v>965.8</v>
      </c>
      <c r="H2" s="68">
        <f>FLUID!L46</f>
        <v>999.2</v>
      </c>
      <c r="I2" s="68">
        <f>FLUID!M46</f>
        <v>1033</v>
      </c>
      <c r="J2" s="68">
        <f>FLUID!N46</f>
        <v>1066</v>
      </c>
      <c r="K2" s="68">
        <f>FLUID!O46</f>
        <v>1099</v>
      </c>
      <c r="L2" s="68">
        <f>FLUID!P46</f>
        <v>1233</v>
      </c>
      <c r="M2" s="68">
        <f>FLUID!Q46</f>
        <v>1366</v>
      </c>
      <c r="N2" s="68">
        <f>FLUID!R46</f>
        <v>1500</v>
      </c>
      <c r="O2" s="68" t="e">
        <f>FLUID!#REF!</f>
        <v>#REF!</v>
      </c>
      <c r="P2" s="68" t="e">
        <f>FLUID!#REF!</f>
        <v>#REF!</v>
      </c>
      <c r="Q2" s="68" t="e">
        <f>FLUID!#REF!</f>
        <v>#REF!</v>
      </c>
      <c r="R2" s="68" t="e">
        <f>FLUID!#REF!</f>
        <v>#REF!</v>
      </c>
      <c r="S2" s="68" t="e">
        <f>FLUID!#REF!</f>
        <v>#REF!</v>
      </c>
      <c r="T2" s="68" t="e">
        <f>FLUID!#REF!</f>
        <v>#REF!</v>
      </c>
    </row>
    <row r="3" spans="1:194" ht="22.5" hidden="1" outlineLevel="1" thickTop="1" thickBot="1" x14ac:dyDescent="0.4">
      <c r="A3" s="78" t="str">
        <f>FLUID!E47</f>
        <v>Se3</v>
      </c>
      <c r="B3" s="37">
        <f>FLUID!F47</f>
        <v>-13.799999999999999</v>
      </c>
      <c r="C3" s="37">
        <f>FLUID!G47</f>
        <v>-16.116</v>
      </c>
      <c r="D3" s="37">
        <f>FLUID!H47</f>
        <v>-18.330000000000002</v>
      </c>
      <c r="E3" s="37">
        <f>FLUID!I47</f>
        <v>-20.207999999999998</v>
      </c>
      <c r="F3" s="37">
        <f>FLUID!J47</f>
        <v>-21.852</v>
      </c>
      <c r="G3" s="37">
        <f>FLUID!K47</f>
        <v>-23.702999999999999</v>
      </c>
      <c r="H3" s="37">
        <f>FLUID!L47</f>
        <v>-24.306000000000001</v>
      </c>
      <c r="I3" s="37">
        <f>FLUID!M47</f>
        <v>-24.972000000000001</v>
      </c>
      <c r="J3" s="37">
        <f>FLUID!N47</f>
        <v>-25.692</v>
      </c>
      <c r="K3" s="37">
        <f>FLUID!O47</f>
        <v>-26.442</v>
      </c>
      <c r="L3" s="37">
        <f>FLUID!P47</f>
        <v>-29.396999999999998</v>
      </c>
      <c r="M3" s="37">
        <f>FLUID!Q47</f>
        <v>-31.98</v>
      </c>
      <c r="N3" s="37">
        <f>FLUID!R47</f>
        <v>-31.98</v>
      </c>
      <c r="O3" s="37" t="e">
        <f>FLUID!#REF!</f>
        <v>#REF!</v>
      </c>
      <c r="P3" s="37" t="e">
        <f>FLUID!#REF!</f>
        <v>#REF!</v>
      </c>
      <c r="Q3" s="37" t="e">
        <f>FLUID!#REF!</f>
        <v>#REF!</v>
      </c>
      <c r="R3" s="37" t="e">
        <f>FLUID!#REF!</f>
        <v>#REF!</v>
      </c>
      <c r="S3" s="37" t="e">
        <f>FLUID!#REF!</f>
        <v>#REF!</v>
      </c>
      <c r="T3" s="37" t="e">
        <f>FLUID!#REF!</f>
        <v>#REF!</v>
      </c>
    </row>
    <row r="4" spans="1:194" ht="21.75" hidden="1" outlineLevel="1" thickBot="1" x14ac:dyDescent="0.4">
      <c r="A4" s="78" t="str">
        <f>FLUID!E48</f>
        <v>Se4</v>
      </c>
      <c r="B4" s="37">
        <f>FLUID!F48</f>
        <v>-18.399999999999999</v>
      </c>
      <c r="C4" s="37">
        <f>FLUID!G48</f>
        <v>-21.488</v>
      </c>
      <c r="D4" s="37">
        <f>FLUID!H48</f>
        <v>-24.44</v>
      </c>
      <c r="E4" s="37">
        <f>FLUID!I48</f>
        <v>-26.943999999999999</v>
      </c>
      <c r="F4" s="37">
        <f>FLUID!J48</f>
        <v>-29.135999999999999</v>
      </c>
      <c r="G4" s="37">
        <f>FLUID!K48</f>
        <v>-31.603999999999999</v>
      </c>
      <c r="H4" s="37">
        <f>FLUID!L48</f>
        <v>-32.408000000000001</v>
      </c>
      <c r="I4" s="37">
        <f>FLUID!M48</f>
        <v>-33.295999999999999</v>
      </c>
      <c r="J4" s="37">
        <f>FLUID!N48</f>
        <v>-34.256</v>
      </c>
      <c r="K4" s="37">
        <f>FLUID!O48</f>
        <v>-35.256</v>
      </c>
      <c r="L4" s="37">
        <f>FLUID!P48</f>
        <v>-39.195999999999998</v>
      </c>
      <c r="M4" s="37">
        <f>FLUID!Q48</f>
        <v>-42.64</v>
      </c>
      <c r="N4" s="37">
        <f>FLUID!R48</f>
        <v>-42.64</v>
      </c>
      <c r="O4" s="37" t="e">
        <f>FLUID!#REF!</f>
        <v>#REF!</v>
      </c>
      <c r="P4" s="37" t="e">
        <f>FLUID!#REF!</f>
        <v>#REF!</v>
      </c>
      <c r="Q4" s="37" t="e">
        <f>FLUID!#REF!</f>
        <v>#REF!</v>
      </c>
      <c r="R4" s="37" t="e">
        <f>FLUID!#REF!</f>
        <v>#REF!</v>
      </c>
      <c r="S4" s="37" t="e">
        <f>FLUID!#REF!</f>
        <v>#REF!</v>
      </c>
      <c r="T4" s="37" t="e">
        <f>FLUID!#REF!</f>
        <v>#REF!</v>
      </c>
    </row>
    <row r="5" spans="1:194" ht="21.75" hidden="1" outlineLevel="1" thickBot="1" x14ac:dyDescent="0.4">
      <c r="A5" s="78" t="str">
        <f>FLUID!E49</f>
        <v>Se5</v>
      </c>
      <c r="B5" s="37">
        <f>FLUID!F49</f>
        <v>-23</v>
      </c>
      <c r="C5" s="37">
        <f>FLUID!G49</f>
        <v>-26.86</v>
      </c>
      <c r="D5" s="37">
        <f>FLUID!H49</f>
        <v>-30.55</v>
      </c>
      <c r="E5" s="37">
        <f>FLUID!I49</f>
        <v>-33.68</v>
      </c>
      <c r="F5" s="37">
        <f>FLUID!J49</f>
        <v>-36.42</v>
      </c>
      <c r="G5" s="37">
        <f>FLUID!K49</f>
        <v>-39.504999999999995</v>
      </c>
      <c r="H5" s="37">
        <f>FLUID!L49</f>
        <v>-40.510000000000005</v>
      </c>
      <c r="I5" s="37">
        <f>FLUID!M49</f>
        <v>-41.62</v>
      </c>
      <c r="J5" s="37">
        <f>FLUID!N49</f>
        <v>-42.82</v>
      </c>
      <c r="K5" s="37">
        <f>FLUID!O49</f>
        <v>-44.07</v>
      </c>
      <c r="L5" s="37">
        <f>FLUID!P49</f>
        <v>-48.994999999999997</v>
      </c>
      <c r="M5" s="37">
        <f>FLUID!Q49</f>
        <v>-53.3</v>
      </c>
      <c r="N5" s="37">
        <f>FLUID!R49</f>
        <v>-53.3</v>
      </c>
      <c r="O5" s="37" t="e">
        <f>FLUID!#REF!</f>
        <v>#REF!</v>
      </c>
      <c r="P5" s="37" t="e">
        <f>FLUID!#REF!</f>
        <v>#REF!</v>
      </c>
      <c r="Q5" s="37" t="e">
        <f>FLUID!#REF!</f>
        <v>#REF!</v>
      </c>
      <c r="R5" s="37" t="e">
        <f>FLUID!#REF!</f>
        <v>#REF!</v>
      </c>
      <c r="S5" s="37" t="e">
        <f>FLUID!#REF!</f>
        <v>#REF!</v>
      </c>
      <c r="T5" s="37" t="e">
        <f>FLUID!#REF!</f>
        <v>#REF!</v>
      </c>
    </row>
    <row r="6" spans="1:194" s="49" customFormat="1" ht="21.75" hidden="1" outlineLevel="1" thickBot="1" x14ac:dyDescent="0.4">
      <c r="A6" s="78" t="str">
        <f>FLUID!E50</f>
        <v>Se6</v>
      </c>
      <c r="B6" s="37">
        <f>FLUID!F50</f>
        <v>-27.599999999999998</v>
      </c>
      <c r="C6" s="37">
        <f>FLUID!G50</f>
        <v>-32.231999999999999</v>
      </c>
      <c r="D6" s="37">
        <f>FLUID!H50</f>
        <v>-36.660000000000004</v>
      </c>
      <c r="E6" s="37">
        <f>FLUID!I50</f>
        <v>-40.415999999999997</v>
      </c>
      <c r="F6" s="37">
        <f>FLUID!J50</f>
        <v>-43.704000000000001</v>
      </c>
      <c r="G6" s="37">
        <f>FLUID!K50</f>
        <v>-47.405999999999999</v>
      </c>
      <c r="H6" s="37">
        <f>FLUID!L50</f>
        <v>-48.612000000000002</v>
      </c>
      <c r="I6" s="37">
        <f>FLUID!M50</f>
        <v>-49.944000000000003</v>
      </c>
      <c r="J6" s="37">
        <f>FLUID!N50</f>
        <v>-51.384</v>
      </c>
      <c r="K6" s="37">
        <f>FLUID!O50</f>
        <v>-52.884</v>
      </c>
      <c r="L6" s="37">
        <f>FLUID!P50</f>
        <v>-58.793999999999997</v>
      </c>
      <c r="M6" s="37">
        <f>FLUID!Q50</f>
        <v>-63.96</v>
      </c>
      <c r="N6" s="37">
        <f>FLUID!R50</f>
        <v>-63.96</v>
      </c>
      <c r="O6" s="37" t="e">
        <f>FLUID!#REF!</f>
        <v>#REF!</v>
      </c>
      <c r="P6" s="37" t="e">
        <f>FLUID!#REF!</f>
        <v>#REF!</v>
      </c>
      <c r="Q6" s="37" t="e">
        <f>FLUID!#REF!</f>
        <v>#REF!</v>
      </c>
      <c r="R6" s="37" t="e">
        <f>FLUID!#REF!</f>
        <v>#REF!</v>
      </c>
      <c r="S6" s="37" t="e">
        <f>FLUID!#REF!</f>
        <v>#REF!</v>
      </c>
      <c r="T6" s="37" t="e">
        <f>FLUID!#REF!</f>
        <v>#REF!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</row>
    <row r="7" spans="1:194" s="49" customFormat="1" ht="21.75" hidden="1" outlineLevel="1" thickBot="1" x14ac:dyDescent="0.4">
      <c r="A7" s="78" t="str">
        <f>FLUID!E51</f>
        <v>Se7</v>
      </c>
      <c r="B7" s="37">
        <f>FLUID!F51</f>
        <v>-32.199999999999996</v>
      </c>
      <c r="C7" s="37">
        <f>FLUID!G51</f>
        <v>-37.603999999999999</v>
      </c>
      <c r="D7" s="37">
        <f>FLUID!H51</f>
        <v>-42.77</v>
      </c>
      <c r="E7" s="37">
        <f>FLUID!I51</f>
        <v>-47.152000000000001</v>
      </c>
      <c r="F7" s="37">
        <f>FLUID!J51</f>
        <v>-50.988</v>
      </c>
      <c r="G7" s="37">
        <f>FLUID!K51</f>
        <v>-55.307000000000002</v>
      </c>
      <c r="H7" s="37">
        <f>FLUID!L51</f>
        <v>-56.713999999999999</v>
      </c>
      <c r="I7" s="37">
        <f>FLUID!M51</f>
        <v>-58.268000000000001</v>
      </c>
      <c r="J7" s="37">
        <f>FLUID!N51</f>
        <v>-59.948</v>
      </c>
      <c r="K7" s="37">
        <f>FLUID!O51</f>
        <v>-61.698</v>
      </c>
      <c r="L7" s="37">
        <f>FLUID!P51</f>
        <v>-68.592999999999989</v>
      </c>
      <c r="M7" s="37">
        <f>FLUID!Q51</f>
        <v>-74.62</v>
      </c>
      <c r="N7" s="37">
        <f>FLUID!R51</f>
        <v>-74.62</v>
      </c>
      <c r="O7" s="37" t="e">
        <f>FLUID!#REF!</f>
        <v>#REF!</v>
      </c>
      <c r="P7" s="37" t="e">
        <f>FLUID!#REF!</f>
        <v>#REF!</v>
      </c>
      <c r="Q7" s="37" t="e">
        <f>FLUID!#REF!</f>
        <v>#REF!</v>
      </c>
      <c r="R7" s="37" t="e">
        <f>FLUID!#REF!</f>
        <v>#REF!</v>
      </c>
      <c r="S7" s="37" t="e">
        <f>FLUID!#REF!</f>
        <v>#REF!</v>
      </c>
      <c r="T7" s="37" t="e">
        <f>FLUID!#REF!</f>
        <v>#REF!</v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</row>
    <row r="8" spans="1:194" s="49" customFormat="1" ht="21.75" hidden="1" outlineLevel="1" thickBot="1" x14ac:dyDescent="0.4">
      <c r="A8" s="78" t="str">
        <f>FLUID!E52</f>
        <v>Se8</v>
      </c>
      <c r="B8" s="37">
        <f>FLUID!F52</f>
        <v>-36.799999999999997</v>
      </c>
      <c r="C8" s="37">
        <f>FLUID!G52</f>
        <v>-42.975999999999999</v>
      </c>
      <c r="D8" s="37">
        <f>FLUID!H52</f>
        <v>-48.88</v>
      </c>
      <c r="E8" s="37">
        <f>FLUID!I52</f>
        <v>-53.887999999999998</v>
      </c>
      <c r="F8" s="37">
        <f>FLUID!J52</f>
        <v>-58.271999999999998</v>
      </c>
      <c r="G8" s="37">
        <f>FLUID!K52</f>
        <v>-63.207999999999998</v>
      </c>
      <c r="H8" s="37">
        <f>FLUID!L52</f>
        <v>-64.816000000000003</v>
      </c>
      <c r="I8" s="37">
        <f>FLUID!M52</f>
        <v>-66.591999999999999</v>
      </c>
      <c r="J8" s="37">
        <f>FLUID!N52</f>
        <v>-68.512</v>
      </c>
      <c r="K8" s="37">
        <f>FLUID!O52</f>
        <v>-70.512</v>
      </c>
      <c r="L8" s="37">
        <f>FLUID!P52</f>
        <v>-78.391999999999996</v>
      </c>
      <c r="M8" s="37">
        <f>FLUID!Q52</f>
        <v>-85.28</v>
      </c>
      <c r="N8" s="37">
        <f>FLUID!R52</f>
        <v>-85.28</v>
      </c>
      <c r="O8" s="37" t="e">
        <f>FLUID!#REF!</f>
        <v>#REF!</v>
      </c>
      <c r="P8" s="37" t="e">
        <f>FLUID!#REF!</f>
        <v>#REF!</v>
      </c>
      <c r="Q8" s="37" t="e">
        <f>FLUID!#REF!</f>
        <v>#REF!</v>
      </c>
      <c r="R8" s="37" t="e">
        <f>FLUID!#REF!</f>
        <v>#REF!</v>
      </c>
      <c r="S8" s="37" t="e">
        <f>FLUID!#REF!</f>
        <v>#REF!</v>
      </c>
      <c r="T8" s="37" t="e">
        <f>FLUID!#REF!</f>
        <v>#REF!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</row>
    <row r="9" spans="1:194" s="49" customFormat="1" ht="21.75" hidden="1" outlineLevel="1" thickBot="1" x14ac:dyDescent="0.4">
      <c r="A9" s="78" t="str">
        <f>FLUID!E53</f>
        <v>Se2</v>
      </c>
      <c r="B9" s="37">
        <f>FLUID!F53</f>
        <v>-9.1999999999999993</v>
      </c>
      <c r="C9" s="37">
        <f>FLUID!G53</f>
        <v>-10.744</v>
      </c>
      <c r="D9" s="37">
        <f>FLUID!H53</f>
        <v>-12.22</v>
      </c>
      <c r="E9" s="37">
        <f>FLUID!I53</f>
        <v>-13.472</v>
      </c>
      <c r="F9" s="37">
        <f>FLUID!J53</f>
        <v>-14.568</v>
      </c>
      <c r="G9" s="37">
        <f>FLUID!K53</f>
        <v>-15.802</v>
      </c>
      <c r="H9" s="37">
        <f>FLUID!L53</f>
        <v>-16.204000000000001</v>
      </c>
      <c r="I9" s="37">
        <f>FLUID!M53</f>
        <v>-16.648</v>
      </c>
      <c r="J9" s="37">
        <f>FLUID!N53</f>
        <v>-17.128</v>
      </c>
      <c r="K9" s="37">
        <f>FLUID!O53</f>
        <v>-17.628</v>
      </c>
      <c r="L9" s="37">
        <f>FLUID!P53</f>
        <v>-19.597999999999999</v>
      </c>
      <c r="M9" s="37">
        <f>FLUID!Q53</f>
        <v>-21.32</v>
      </c>
      <c r="N9" s="37">
        <f>FLUID!R53</f>
        <v>-21.32</v>
      </c>
      <c r="O9" s="37" t="e">
        <f>FLUID!#REF!</f>
        <v>#REF!</v>
      </c>
      <c r="P9" s="37" t="e">
        <f>FLUID!#REF!</f>
        <v>#REF!</v>
      </c>
      <c r="Q9" s="37" t="e">
        <f>FLUID!#REF!</f>
        <v>#REF!</v>
      </c>
      <c r="R9" s="37" t="e">
        <f>FLUID!#REF!</f>
        <v>#REF!</v>
      </c>
      <c r="S9" s="37" t="e">
        <f>FLUID!#REF!</f>
        <v>#REF!</v>
      </c>
      <c r="T9" s="37" t="e">
        <f>FLUID!#REF!</f>
        <v>#REF!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</row>
    <row r="10" spans="1:194" s="49" customFormat="1" ht="21.75" hidden="1" outlineLevel="1" thickBot="1" x14ac:dyDescent="0.4">
      <c r="A10" s="78" t="str">
        <f>FLUID!E54</f>
        <v>Se</v>
      </c>
      <c r="B10" s="37">
        <f>FLUID!F54</f>
        <v>-4.5999999999999996</v>
      </c>
      <c r="C10" s="37">
        <f>FLUID!G54</f>
        <v>-5.3719999999999999</v>
      </c>
      <c r="D10" s="37">
        <f>FLUID!H54</f>
        <v>-6.11</v>
      </c>
      <c r="E10" s="37">
        <f>FLUID!I54</f>
        <v>-6.7359999999999998</v>
      </c>
      <c r="F10" s="37">
        <f>FLUID!J54</f>
        <v>-7.2839999999999998</v>
      </c>
      <c r="G10" s="37">
        <f>FLUID!K54</f>
        <v>-7.9009999999999998</v>
      </c>
      <c r="H10" s="37">
        <f>FLUID!L54</f>
        <v>-8.1020000000000003</v>
      </c>
      <c r="I10" s="37">
        <f>FLUID!M54</f>
        <v>-8.3239999999999998</v>
      </c>
      <c r="J10" s="37">
        <f>FLUID!N54</f>
        <v>-8.5640000000000001</v>
      </c>
      <c r="K10" s="37">
        <f>FLUID!O54</f>
        <v>-8.8140000000000001</v>
      </c>
      <c r="L10" s="37">
        <f>FLUID!P54</f>
        <v>-9.7989999999999995</v>
      </c>
      <c r="M10" s="37">
        <f>FLUID!Q54</f>
        <v>-10.66</v>
      </c>
      <c r="N10" s="37">
        <f>FLUID!R54</f>
        <v>-10.66</v>
      </c>
      <c r="O10" s="37" t="e">
        <f>FLUID!#REF!</f>
        <v>#REF!</v>
      </c>
      <c r="P10" s="37" t="e">
        <f>FLUID!#REF!</f>
        <v>#REF!</v>
      </c>
      <c r="Q10" s="37" t="e">
        <f>FLUID!#REF!</f>
        <v>#REF!</v>
      </c>
      <c r="R10" s="37" t="e">
        <f>FLUID!#REF!</f>
        <v>#REF!</v>
      </c>
      <c r="S10" s="37" t="e">
        <f>FLUID!#REF!</f>
        <v>#REF!</v>
      </c>
      <c r="T10" s="37" t="e">
        <f>FLUID!#REF!</f>
        <v>#REF!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</row>
    <row r="11" spans="1:194" s="49" customFormat="1" ht="21.75" hidden="1" outlineLevel="1" thickBot="1" x14ac:dyDescent="0.4">
      <c r="A11" s="78" t="str">
        <f>FLUID!E55</f>
        <v>Ga</v>
      </c>
      <c r="B11" s="37">
        <f>FLUID!F55</f>
        <v>-7.1619999999999999</v>
      </c>
      <c r="C11" s="37">
        <f>FLUID!G55</f>
        <v>-8.0640000000000001</v>
      </c>
      <c r="D11" s="37">
        <f>FLUID!H55</f>
        <v>-8.81</v>
      </c>
      <c r="E11" s="37">
        <f>FLUID!I55</f>
        <v>-9.6920000000000002</v>
      </c>
      <c r="F11" s="37">
        <f>FLUID!J55</f>
        <v>-10.79</v>
      </c>
      <c r="G11" s="37">
        <f>FLUID!K55</f>
        <v>-11.79</v>
      </c>
      <c r="H11" s="37">
        <f>FLUID!L55</f>
        <v>-12.01</v>
      </c>
      <c r="I11" s="37">
        <f>FLUID!M55</f>
        <v>-12.2</v>
      </c>
      <c r="J11" s="37">
        <f>FLUID!N55</f>
        <v>-12.36</v>
      </c>
      <c r="K11" s="37">
        <f>FLUID!O55</f>
        <v>-12.5</v>
      </c>
      <c r="L11" s="37">
        <f>FLUID!P55</f>
        <v>-12.91</v>
      </c>
      <c r="M11" s="37">
        <f>FLUID!Q55</f>
        <v>-13.22</v>
      </c>
      <c r="N11" s="37">
        <f>FLUID!R55</f>
        <v>-13.22</v>
      </c>
      <c r="O11" s="37" t="e">
        <f>FLUID!#REF!</f>
        <v>#REF!</v>
      </c>
      <c r="P11" s="37" t="e">
        <f>FLUID!#REF!</f>
        <v>#REF!</v>
      </c>
      <c r="Q11" s="37" t="e">
        <f>FLUID!#REF!</f>
        <v>#REF!</v>
      </c>
      <c r="R11" s="37" t="e">
        <f>FLUID!#REF!</f>
        <v>#REF!</v>
      </c>
      <c r="S11" s="37" t="e">
        <f>FLUID!#REF!</f>
        <v>#REF!</v>
      </c>
      <c r="T11" s="37" t="e">
        <f>FLUID!#REF!</f>
        <v>#REF!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</row>
    <row r="12" spans="1:194" s="49" customFormat="1" ht="21.75" hidden="1" outlineLevel="1" thickBot="1" x14ac:dyDescent="0.4">
      <c r="A12" s="78" t="str">
        <f>FLUID!E56</f>
        <v>Ga2Se</v>
      </c>
      <c r="B12" s="37">
        <f>FLUID!F56</f>
        <v>-18.923999999999999</v>
      </c>
      <c r="C12" s="37">
        <f>FLUID!G56</f>
        <v>-21.5</v>
      </c>
      <c r="D12" s="37">
        <f>FLUID!H56</f>
        <v>-23.73</v>
      </c>
      <c r="E12" s="37">
        <f>FLUID!I56</f>
        <v>-26.12</v>
      </c>
      <c r="F12" s="37">
        <f>FLUID!J56</f>
        <v>-28.863999999999997</v>
      </c>
      <c r="G12" s="37">
        <f>FLUID!K56</f>
        <v>-31.480999999999998</v>
      </c>
      <c r="H12" s="37">
        <f>FLUID!L56</f>
        <v>-32.122</v>
      </c>
      <c r="I12" s="37">
        <f>FLUID!M56</f>
        <v>-32.723999999999997</v>
      </c>
      <c r="J12" s="37">
        <f>FLUID!N56</f>
        <v>-33.283999999999999</v>
      </c>
      <c r="K12" s="37">
        <f>FLUID!O56</f>
        <v>-33.814</v>
      </c>
      <c r="L12" s="37">
        <f>FLUID!P56</f>
        <v>-35.619</v>
      </c>
      <c r="M12" s="37">
        <f>FLUID!Q56</f>
        <v>-37.1</v>
      </c>
      <c r="N12" s="37">
        <f>FLUID!R56</f>
        <v>-37.1</v>
      </c>
      <c r="O12" s="37" t="e">
        <f>FLUID!#REF!</f>
        <v>#REF!</v>
      </c>
      <c r="P12" s="37" t="e">
        <f>FLUID!#REF!</f>
        <v>#REF!</v>
      </c>
      <c r="Q12" s="37" t="e">
        <f>FLUID!#REF!</f>
        <v>#REF!</v>
      </c>
      <c r="R12" s="37" t="e">
        <f>FLUID!#REF!</f>
        <v>#REF!</v>
      </c>
      <c r="S12" s="37" t="e">
        <f>FLUID!#REF!</f>
        <v>#REF!</v>
      </c>
      <c r="T12" s="37" t="e">
        <f>FLUID!#REF!</f>
        <v>#REF!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</row>
    <row r="13" spans="1:194" s="49" customFormat="1" ht="21.75" hidden="1" outlineLevel="1" thickBot="1" x14ac:dyDescent="0.4">
      <c r="A13" s="78" t="str">
        <f>FLUID!E57</f>
        <v>Ar</v>
      </c>
      <c r="B13" s="37">
        <f>FLUID!F57</f>
        <v>-18.61</v>
      </c>
      <c r="C13" s="37">
        <f>FLUID!G57</f>
        <v>-18.760000000000002</v>
      </c>
      <c r="D13" s="37">
        <f>FLUID!H57</f>
        <v>-19.03</v>
      </c>
      <c r="E13" s="37">
        <f>FLUID!I57</f>
        <v>-19.37</v>
      </c>
      <c r="F13" s="37">
        <f>FLUID!J57</f>
        <v>-19.75</v>
      </c>
      <c r="G13" s="37">
        <f>FLUID!K57</f>
        <v>-20.309999999999999</v>
      </c>
      <c r="H13" s="37">
        <f>FLUID!L57</f>
        <v>-20.48</v>
      </c>
      <c r="I13" s="37">
        <f>FLUID!M57</f>
        <v>-20.63</v>
      </c>
      <c r="J13" s="37">
        <f>FLUID!N57</f>
        <v>-20.76</v>
      </c>
      <c r="K13" s="37">
        <f>FLUID!O57</f>
        <v>-20.87</v>
      </c>
      <c r="L13" s="37">
        <f>FLUID!P57</f>
        <v>-21.17</v>
      </c>
      <c r="M13" s="37">
        <f>FLUID!Q57</f>
        <v>-21.39</v>
      </c>
      <c r="N13" s="37">
        <f>FLUID!R57</f>
        <v>-21.39</v>
      </c>
      <c r="O13" s="37" t="e">
        <f>FLUID!#REF!</f>
        <v>#REF!</v>
      </c>
      <c r="P13" s="37" t="e">
        <f>FLUID!#REF!</f>
        <v>#REF!</v>
      </c>
      <c r="Q13" s="37" t="e">
        <f>FLUID!#REF!</f>
        <v>#REF!</v>
      </c>
      <c r="R13" s="37" t="e">
        <f>FLUID!#REF!</f>
        <v>#REF!</v>
      </c>
      <c r="S13" s="37" t="e">
        <f>FLUID!#REF!</f>
        <v>#REF!</v>
      </c>
      <c r="T13" s="37" t="e">
        <f>FLUID!#REF!</f>
        <v>#REF!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</row>
    <row r="14" spans="1:194" s="49" customFormat="1" ht="21.75" hidden="1" outlineLevel="1" thickBot="1" x14ac:dyDescent="0.4">
      <c r="A14" s="78" t="str">
        <f>FLUID!E58</f>
        <v>(l)Ga[l]</v>
      </c>
      <c r="B14" s="37">
        <f>FLUID!F58</f>
        <v>-7.1619999999999999</v>
      </c>
      <c r="C14" s="37">
        <f>FLUID!G58</f>
        <v>-8.0640000000000001</v>
      </c>
      <c r="D14" s="37">
        <f>FLUID!H58</f>
        <v>-8.81</v>
      </c>
      <c r="E14" s="37">
        <f>FLUID!I58</f>
        <v>-9.6920000000000002</v>
      </c>
      <c r="F14" s="37">
        <f>FLUID!J58</f>
        <v>-10.79</v>
      </c>
      <c r="G14" s="37">
        <f>FLUID!K58</f>
        <v>-11.79</v>
      </c>
      <c r="H14" s="37">
        <f>FLUID!L58</f>
        <v>-12.01</v>
      </c>
      <c r="I14" s="37">
        <f>FLUID!M58</f>
        <v>-12.2</v>
      </c>
      <c r="J14" s="37">
        <f>FLUID!N58</f>
        <v>-12.36</v>
      </c>
      <c r="K14" s="37">
        <f>FLUID!O58</f>
        <v>-12.5</v>
      </c>
      <c r="L14" s="37">
        <f>FLUID!P58</f>
        <v>-12.91</v>
      </c>
      <c r="M14" s="37">
        <f>FLUID!Q58</f>
        <v>-13.22</v>
      </c>
      <c r="N14" s="37">
        <f>FLUID!R58</f>
        <v>-13.22</v>
      </c>
      <c r="O14" s="37" t="e">
        <f>FLUID!#REF!</f>
        <v>#REF!</v>
      </c>
      <c r="P14" s="37" t="e">
        <f>FLUID!#REF!</f>
        <v>#REF!</v>
      </c>
      <c r="Q14" s="37" t="e">
        <f>FLUID!#REF!</f>
        <v>#REF!</v>
      </c>
      <c r="R14" s="37" t="e">
        <f>FLUID!#REF!</f>
        <v>#REF!</v>
      </c>
      <c r="S14" s="37" t="e">
        <f>FLUID!#REF!</f>
        <v>#REF!</v>
      </c>
      <c r="T14" s="37" t="e">
        <f>FLUID!#REF!</f>
        <v>#REF!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</row>
    <row r="15" spans="1:194" s="49" customFormat="1" ht="21.75" hidden="1" outlineLevel="1" thickBot="1" x14ac:dyDescent="0.4">
      <c r="A15" s="78" t="str">
        <f>FLUID!E59</f>
        <v>(l)Ge[l]</v>
      </c>
      <c r="B15" s="37">
        <f>FLUID!F59</f>
        <v>5.367</v>
      </c>
      <c r="C15" s="37">
        <f>FLUID!G59</f>
        <v>0.73640000000000005</v>
      </c>
      <c r="D15" s="37">
        <f>FLUID!H59</f>
        <v>-1.948</v>
      </c>
      <c r="E15" s="37">
        <f>FLUID!I59</f>
        <v>-3.7149999999999999</v>
      </c>
      <c r="F15" s="37">
        <f>FLUID!J59</f>
        <v>-4.931</v>
      </c>
      <c r="G15" s="37">
        <f>FLUID!K59</f>
        <v>-5.5069999999999997</v>
      </c>
      <c r="H15" s="37">
        <f>FLUID!L59</f>
        <v>-5.5430000000000001</v>
      </c>
      <c r="I15" s="37">
        <f>FLUID!M59</f>
        <v>-5.57</v>
      </c>
      <c r="J15" s="37">
        <f>FLUID!N59</f>
        <v>-5.617</v>
      </c>
      <c r="K15" s="37">
        <f>FLUID!O59</f>
        <v>-5.6829999999999998</v>
      </c>
      <c r="L15" s="37">
        <f>FLUID!P59</f>
        <v>-6.0869999999999997</v>
      </c>
      <c r="M15" s="37">
        <f>FLUID!Q59</f>
        <v>-6.5679999999999996</v>
      </c>
      <c r="N15" s="37">
        <f>FLUID!R59</f>
        <v>-6.5679999999999996</v>
      </c>
      <c r="O15" s="37" t="e">
        <f>FLUID!#REF!</f>
        <v>#REF!</v>
      </c>
      <c r="P15" s="37" t="e">
        <f>FLUID!#REF!</f>
        <v>#REF!</v>
      </c>
      <c r="Q15" s="37" t="e">
        <f>FLUID!#REF!</f>
        <v>#REF!</v>
      </c>
      <c r="R15" s="37" t="e">
        <f>FLUID!#REF!</f>
        <v>#REF!</v>
      </c>
      <c r="S15" s="37" t="e">
        <f>FLUID!#REF!</f>
        <v>#REF!</v>
      </c>
      <c r="T15" s="37" t="e">
        <f>FLUID!#REF!</f>
        <v>#REF!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</row>
    <row r="16" spans="1:194" s="49" customFormat="1" ht="21.75" hidden="1" outlineLevel="1" thickBot="1" x14ac:dyDescent="0.4">
      <c r="A16" s="78" t="str">
        <f>FLUID!E60</f>
        <v>(l)Se[l]</v>
      </c>
      <c r="B16" s="37">
        <f>FLUID!F60</f>
        <v>-4.5999999999999996</v>
      </c>
      <c r="C16" s="37">
        <f>FLUID!G60</f>
        <v>-5.3719999999999999</v>
      </c>
      <c r="D16" s="37">
        <f>FLUID!H60</f>
        <v>-6.11</v>
      </c>
      <c r="E16" s="37">
        <f>FLUID!I60</f>
        <v>-6.7359999999999998</v>
      </c>
      <c r="F16" s="37">
        <f>FLUID!J60</f>
        <v>-7.2839999999999998</v>
      </c>
      <c r="G16" s="37">
        <f>FLUID!K60</f>
        <v>-7.9009999999999998</v>
      </c>
      <c r="H16" s="37">
        <f>FLUID!L60</f>
        <v>-8.1020000000000003</v>
      </c>
      <c r="I16" s="37">
        <f>FLUID!M60</f>
        <v>-8.3239999999999998</v>
      </c>
      <c r="J16" s="37">
        <f>FLUID!N60</f>
        <v>-8.5640000000000001</v>
      </c>
      <c r="K16" s="37">
        <f>FLUID!O60</f>
        <v>-8.8140000000000001</v>
      </c>
      <c r="L16" s="37">
        <f>FLUID!P60</f>
        <v>-9.7989999999999995</v>
      </c>
      <c r="M16" s="37">
        <f>FLUID!Q60</f>
        <v>-10.66</v>
      </c>
      <c r="N16" s="37">
        <f>FLUID!R60</f>
        <v>-10.66</v>
      </c>
      <c r="O16" s="37" t="e">
        <f>FLUID!#REF!</f>
        <v>#REF!</v>
      </c>
      <c r="P16" s="37" t="e">
        <f>FLUID!#REF!</f>
        <v>#REF!</v>
      </c>
      <c r="Q16" s="37" t="e">
        <f>FLUID!#REF!</f>
        <v>#REF!</v>
      </c>
      <c r="R16" s="37" t="e">
        <f>FLUID!#REF!</f>
        <v>#REF!</v>
      </c>
      <c r="S16" s="37" t="e">
        <f>FLUID!#REF!</f>
        <v>#REF!</v>
      </c>
      <c r="T16" s="37" t="e">
        <f>FLUID!#REF!</f>
        <v>#REF!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</row>
    <row r="17" spans="1:194" s="49" customFormat="1" ht="21.75" hidden="1" outlineLevel="1" thickBot="1" x14ac:dyDescent="0.4">
      <c r="A17" s="78" t="str">
        <f>FLUID!E61</f>
        <v>H (Ar)</v>
      </c>
      <c r="B17" s="37">
        <f>FLUID!F61</f>
        <v>-18.61</v>
      </c>
      <c r="C17" s="37">
        <f>FLUID!G61</f>
        <v>-18.760000000000002</v>
      </c>
      <c r="D17" s="37">
        <f>FLUID!H61</f>
        <v>-19.03</v>
      </c>
      <c r="E17" s="37">
        <f>FLUID!I61</f>
        <v>-19.37</v>
      </c>
      <c r="F17" s="37">
        <f>FLUID!J61</f>
        <v>-19.75</v>
      </c>
      <c r="G17" s="37">
        <f>FLUID!K61</f>
        <v>-20.309999999999999</v>
      </c>
      <c r="H17" s="37">
        <f>FLUID!L61</f>
        <v>-20.48</v>
      </c>
      <c r="I17" s="37">
        <f>FLUID!M61</f>
        <v>-20.63</v>
      </c>
      <c r="J17" s="37">
        <f>FLUID!N61</f>
        <v>-20.76</v>
      </c>
      <c r="K17" s="37">
        <f>FLUID!O61</f>
        <v>-20.87</v>
      </c>
      <c r="L17" s="37">
        <f>FLUID!P61</f>
        <v>-21.17</v>
      </c>
      <c r="M17" s="37">
        <f>FLUID!Q61</f>
        <v>-21.39</v>
      </c>
      <c r="N17" s="37">
        <f>FLUID!R61</f>
        <v>-21.39</v>
      </c>
      <c r="O17" s="37" t="e">
        <f>FLUID!#REF!</f>
        <v>#REF!</v>
      </c>
      <c r="P17" s="37" t="e">
        <f>FLUID!#REF!</f>
        <v>#REF!</v>
      </c>
      <c r="Q17" s="37" t="e">
        <f>FLUID!#REF!</f>
        <v>#REF!</v>
      </c>
      <c r="R17" s="37" t="e">
        <f>FLUID!#REF!</f>
        <v>#REF!</v>
      </c>
      <c r="S17" s="37" t="e">
        <f>FLUID!#REF!</f>
        <v>#REF!</v>
      </c>
      <c r="T17" s="37" t="e">
        <f>FLUID!#REF!</f>
        <v>#REF!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</row>
    <row r="18" spans="1:194" s="49" customFormat="1" ht="21.75" hidden="1" outlineLevel="1" thickBot="1" x14ac:dyDescent="0.4">
      <c r="A18" s="78" t="str">
        <f>FLUID!E62</f>
        <v>H (Ga)</v>
      </c>
      <c r="B18" s="37">
        <f>FLUID!F62</f>
        <v>-7.1619999999999999</v>
      </c>
      <c r="C18" s="37">
        <f>FLUID!G62</f>
        <v>-8.0640000000000001</v>
      </c>
      <c r="D18" s="37">
        <f>FLUID!H62</f>
        <v>-8.81</v>
      </c>
      <c r="E18" s="37">
        <f>FLUID!I62</f>
        <v>-9.6920000000000002</v>
      </c>
      <c r="F18" s="37">
        <f>FLUID!J62</f>
        <v>-10.79</v>
      </c>
      <c r="G18" s="37">
        <f>FLUID!K62</f>
        <v>-11.79</v>
      </c>
      <c r="H18" s="37">
        <f>FLUID!L62</f>
        <v>-12.01</v>
      </c>
      <c r="I18" s="37">
        <f>FLUID!M62</f>
        <v>-12.2</v>
      </c>
      <c r="J18" s="37">
        <f>FLUID!N62</f>
        <v>-12.36</v>
      </c>
      <c r="K18" s="37">
        <f>FLUID!O62</f>
        <v>-12.5</v>
      </c>
      <c r="L18" s="37">
        <f>FLUID!P62</f>
        <v>-12.91</v>
      </c>
      <c r="M18" s="37">
        <f>FLUID!Q62</f>
        <v>-13.22</v>
      </c>
      <c r="N18" s="37">
        <f>FLUID!R62</f>
        <v>-13.22</v>
      </c>
      <c r="O18" s="37" t="e">
        <f>FLUID!#REF!</f>
        <v>#REF!</v>
      </c>
      <c r="P18" s="37" t="e">
        <f>FLUID!#REF!</f>
        <v>#REF!</v>
      </c>
      <c r="Q18" s="37" t="e">
        <f>FLUID!#REF!</f>
        <v>#REF!</v>
      </c>
      <c r="R18" s="37" t="e">
        <f>FLUID!#REF!</f>
        <v>#REF!</v>
      </c>
      <c r="S18" s="37" t="e">
        <f>FLUID!#REF!</f>
        <v>#REF!</v>
      </c>
      <c r="T18" s="37" t="e">
        <f>FLUID!#REF!</f>
        <v>#REF!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</row>
    <row r="19" spans="1:194" s="49" customFormat="1" ht="22.5" hidden="1" customHeight="1" outlineLevel="1" thickBot="1" x14ac:dyDescent="0.4">
      <c r="A19" s="78" t="str">
        <f>FLUID!E63</f>
        <v>H (Ge)</v>
      </c>
      <c r="B19" s="37">
        <f>FLUID!F63</f>
        <v>5.367</v>
      </c>
      <c r="C19" s="37">
        <f>FLUID!G63</f>
        <v>0.73640000000000005</v>
      </c>
      <c r="D19" s="37">
        <f>FLUID!H63</f>
        <v>-1.948</v>
      </c>
      <c r="E19" s="37">
        <f>FLUID!I63</f>
        <v>-3.7149999999999999</v>
      </c>
      <c r="F19" s="37">
        <f>FLUID!J63</f>
        <v>-4.931</v>
      </c>
      <c r="G19" s="37">
        <f>FLUID!K63</f>
        <v>-5.5069999999999997</v>
      </c>
      <c r="H19" s="37">
        <f>FLUID!L63</f>
        <v>-5.5430000000000001</v>
      </c>
      <c r="I19" s="37">
        <f>FLUID!M63</f>
        <v>-5.57</v>
      </c>
      <c r="J19" s="37">
        <f>FLUID!N63</f>
        <v>-5.617</v>
      </c>
      <c r="K19" s="37">
        <f>FLUID!O63</f>
        <v>-5.6829999999999998</v>
      </c>
      <c r="L19" s="37">
        <f>FLUID!P63</f>
        <v>-6.0869999999999997</v>
      </c>
      <c r="M19" s="37">
        <f>FLUID!Q63</f>
        <v>-6.5679999999999996</v>
      </c>
      <c r="N19" s="37">
        <f>FLUID!R63</f>
        <v>-6.5679999999999996</v>
      </c>
      <c r="O19" s="37" t="e">
        <f>FLUID!#REF!</f>
        <v>#REF!</v>
      </c>
      <c r="P19" s="37" t="e">
        <f>FLUID!#REF!</f>
        <v>#REF!</v>
      </c>
      <c r="Q19" s="37" t="e">
        <f>FLUID!#REF!</f>
        <v>#REF!</v>
      </c>
      <c r="R19" s="37" t="e">
        <f>FLUID!#REF!</f>
        <v>#REF!</v>
      </c>
      <c r="S19" s="37" t="e">
        <f>FLUID!#REF!</f>
        <v>#REF!</v>
      </c>
      <c r="T19" s="37" t="e">
        <f>FLUID!#REF!</f>
        <v>#REF!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</row>
    <row r="20" spans="1:194" s="49" customFormat="1" ht="22.5" hidden="1" customHeight="1" outlineLevel="1" thickBot="1" x14ac:dyDescent="0.4">
      <c r="A20" s="78" t="str">
        <f>FLUID!E64</f>
        <v>H (Se)</v>
      </c>
      <c r="B20" s="37">
        <f>FLUID!F64</f>
        <v>-4.5999999999999996</v>
      </c>
      <c r="C20" s="37">
        <f>FLUID!G64</f>
        <v>-5.3719999999999999</v>
      </c>
      <c r="D20" s="37">
        <f>FLUID!H64</f>
        <v>-6.11</v>
      </c>
      <c r="E20" s="37">
        <f>FLUID!I64</f>
        <v>-6.7359999999999998</v>
      </c>
      <c r="F20" s="37">
        <f>FLUID!J64</f>
        <v>-7.2839999999999998</v>
      </c>
      <c r="G20" s="37">
        <f>FLUID!K64</f>
        <v>-7.9009999999999998</v>
      </c>
      <c r="H20" s="37">
        <f>FLUID!L64</f>
        <v>-8.1020000000000003</v>
      </c>
      <c r="I20" s="37">
        <f>FLUID!M64</f>
        <v>-8.3239999999999998</v>
      </c>
      <c r="J20" s="37">
        <f>FLUID!N64</f>
        <v>-8.5640000000000001</v>
      </c>
      <c r="K20" s="37">
        <f>FLUID!O64</f>
        <v>-8.8140000000000001</v>
      </c>
      <c r="L20" s="37">
        <f>FLUID!P64</f>
        <v>-9.7989999999999995</v>
      </c>
      <c r="M20" s="37">
        <f>FLUID!Q64</f>
        <v>-10.66</v>
      </c>
      <c r="N20" s="37">
        <f>FLUID!R64</f>
        <v>-10.66</v>
      </c>
      <c r="O20" s="37" t="e">
        <f>FLUID!#REF!</f>
        <v>#REF!</v>
      </c>
      <c r="P20" s="37" t="e">
        <f>FLUID!#REF!</f>
        <v>#REF!</v>
      </c>
      <c r="Q20" s="37" t="e">
        <f>FLUID!#REF!</f>
        <v>#REF!</v>
      </c>
      <c r="R20" s="37" t="e">
        <f>FLUID!#REF!</f>
        <v>#REF!</v>
      </c>
      <c r="S20" s="37" t="e">
        <f>FLUID!#REF!</f>
        <v>#REF!</v>
      </c>
      <c r="T20" s="37" t="e">
        <f>FLUID!#REF!</f>
        <v>#REF!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</row>
    <row r="21" spans="1:194" s="49" customFormat="1" ht="22.5" hidden="1" customHeight="1" outlineLevel="1" thickBot="1" x14ac:dyDescent="0.4">
      <c r="A21" s="78">
        <f>FLUID!E65</f>
        <v>0</v>
      </c>
      <c r="B21" s="37">
        <f>FLUID!F65</f>
        <v>0</v>
      </c>
      <c r="C21" s="37">
        <f>FLUID!G65</f>
        <v>0</v>
      </c>
      <c r="D21" s="37">
        <f>FLUID!H65</f>
        <v>0</v>
      </c>
      <c r="E21" s="37">
        <f>FLUID!I65</f>
        <v>0</v>
      </c>
      <c r="F21" s="37">
        <f>FLUID!J65</f>
        <v>0</v>
      </c>
      <c r="G21" s="37">
        <f>FLUID!K65</f>
        <v>0</v>
      </c>
      <c r="H21" s="37">
        <f>FLUID!L65</f>
        <v>0</v>
      </c>
      <c r="I21" s="37">
        <f>FLUID!M65</f>
        <v>0</v>
      </c>
      <c r="J21" s="37">
        <f>FLUID!N65</f>
        <v>0</v>
      </c>
      <c r="K21" s="37">
        <f>FLUID!O65</f>
        <v>0</v>
      </c>
      <c r="L21" s="37">
        <f>FLUID!P65</f>
        <v>0</v>
      </c>
      <c r="M21" s="37">
        <f>FLUID!Q65</f>
        <v>0</v>
      </c>
      <c r="N21" s="37">
        <f>FLUID!R65</f>
        <v>0</v>
      </c>
      <c r="O21" s="37" t="e">
        <f>FLUID!#REF!</f>
        <v>#REF!</v>
      </c>
      <c r="P21" s="37" t="e">
        <f>FLUID!#REF!</f>
        <v>#REF!</v>
      </c>
      <c r="Q21" s="37" t="e">
        <f>FLUID!#REF!</f>
        <v>#REF!</v>
      </c>
      <c r="R21" s="37" t="e">
        <f>FLUID!#REF!</f>
        <v>#REF!</v>
      </c>
      <c r="S21" s="37" t="e">
        <f>FLUID!#REF!</f>
        <v>#REF!</v>
      </c>
      <c r="T21" s="37" t="e">
        <f>FLUID!#REF!</f>
        <v>#REF!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</row>
    <row r="22" spans="1:194" s="49" customFormat="1" ht="22.5" hidden="1" customHeight="1" outlineLevel="1" thickBot="1" x14ac:dyDescent="0.4">
      <c r="A22" s="78">
        <f>FLUID!E66</f>
        <v>0</v>
      </c>
      <c r="B22" s="37">
        <f>FLUID!F66</f>
        <v>0</v>
      </c>
      <c r="C22" s="37">
        <f>FLUID!G66</f>
        <v>0</v>
      </c>
      <c r="D22" s="37">
        <f>FLUID!H66</f>
        <v>0</v>
      </c>
      <c r="E22" s="37">
        <f>FLUID!I66</f>
        <v>0</v>
      </c>
      <c r="F22" s="37">
        <f>FLUID!J66</f>
        <v>0</v>
      </c>
      <c r="G22" s="37">
        <f>FLUID!K66</f>
        <v>0</v>
      </c>
      <c r="H22" s="37">
        <f>FLUID!L66</f>
        <v>0</v>
      </c>
      <c r="I22" s="37">
        <f>FLUID!M66</f>
        <v>0</v>
      </c>
      <c r="J22" s="37">
        <f>FLUID!N66</f>
        <v>0</v>
      </c>
      <c r="K22" s="37">
        <f>FLUID!O66</f>
        <v>0</v>
      </c>
      <c r="L22" s="37">
        <f>FLUID!P66</f>
        <v>0</v>
      </c>
      <c r="M22" s="37">
        <f>FLUID!Q66</f>
        <v>0</v>
      </c>
      <c r="N22" s="37">
        <f>FLUID!R66</f>
        <v>0</v>
      </c>
      <c r="O22" s="37" t="e">
        <f>FLUID!#REF!</f>
        <v>#REF!</v>
      </c>
      <c r="P22" s="37" t="e">
        <f>FLUID!#REF!</f>
        <v>#REF!</v>
      </c>
      <c r="Q22" s="37" t="e">
        <f>FLUID!#REF!</f>
        <v>#REF!</v>
      </c>
      <c r="R22" s="37" t="e">
        <f>FLUID!#REF!</f>
        <v>#REF!</v>
      </c>
      <c r="S22" s="37" t="e">
        <f>FLUID!#REF!</f>
        <v>#REF!</v>
      </c>
      <c r="T22" s="37" t="e">
        <f>FLUID!#REF!</f>
        <v>#REF!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</row>
    <row r="23" spans="1:194" s="49" customFormat="1" ht="22.5" hidden="1" customHeight="1" outlineLevel="1" thickBot="1" x14ac:dyDescent="0.4">
      <c r="A23" s="78">
        <f>FLUID!E67</f>
        <v>0</v>
      </c>
      <c r="B23" s="37">
        <f>FLUID!F67</f>
        <v>0</v>
      </c>
      <c r="C23" s="37">
        <f>FLUID!G67</f>
        <v>0</v>
      </c>
      <c r="D23" s="37">
        <f>FLUID!H67</f>
        <v>0</v>
      </c>
      <c r="E23" s="37">
        <f>FLUID!I67</f>
        <v>0</v>
      </c>
      <c r="F23" s="37">
        <f>FLUID!J67</f>
        <v>0</v>
      </c>
      <c r="G23" s="37">
        <f>FLUID!K67</f>
        <v>0</v>
      </c>
      <c r="H23" s="37">
        <f>FLUID!L67</f>
        <v>0</v>
      </c>
      <c r="I23" s="37">
        <f>FLUID!M67</f>
        <v>0</v>
      </c>
      <c r="J23" s="37">
        <f>FLUID!N67</f>
        <v>0</v>
      </c>
      <c r="K23" s="37">
        <f>FLUID!O67</f>
        <v>0</v>
      </c>
      <c r="L23" s="37">
        <f>FLUID!P67</f>
        <v>0</v>
      </c>
      <c r="M23" s="37">
        <f>FLUID!Q67</f>
        <v>0</v>
      </c>
      <c r="N23" s="37">
        <f>FLUID!R67</f>
        <v>0</v>
      </c>
      <c r="O23" s="37" t="e">
        <f>FLUID!#REF!</f>
        <v>#REF!</v>
      </c>
      <c r="P23" s="37" t="e">
        <f>FLUID!#REF!</f>
        <v>#REF!</v>
      </c>
      <c r="Q23" s="37" t="e">
        <f>FLUID!#REF!</f>
        <v>#REF!</v>
      </c>
      <c r="R23" s="37" t="e">
        <f>FLUID!#REF!</f>
        <v>#REF!</v>
      </c>
      <c r="S23" s="37" t="e">
        <f>FLUID!#REF!</f>
        <v>#REF!</v>
      </c>
      <c r="T23" s="37" t="e">
        <f>FLUID!#REF!</f>
        <v>#REF!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</row>
    <row r="24" spans="1:194" s="49" customFormat="1" ht="22.5" hidden="1" customHeight="1" outlineLevel="1" thickBot="1" x14ac:dyDescent="0.4">
      <c r="A24" s="78">
        <f>FLUID!E68</f>
        <v>0</v>
      </c>
      <c r="B24" s="37">
        <f>FLUID!F68</f>
        <v>0</v>
      </c>
      <c r="C24" s="37">
        <f>FLUID!G68</f>
        <v>0</v>
      </c>
      <c r="D24" s="37">
        <f>FLUID!H68</f>
        <v>0</v>
      </c>
      <c r="E24" s="37">
        <f>FLUID!I68</f>
        <v>0</v>
      </c>
      <c r="F24" s="37">
        <f>FLUID!J68</f>
        <v>0</v>
      </c>
      <c r="G24" s="37">
        <f>FLUID!K68</f>
        <v>0</v>
      </c>
      <c r="H24" s="37">
        <f>FLUID!L68</f>
        <v>0</v>
      </c>
      <c r="I24" s="37">
        <f>FLUID!M68</f>
        <v>0</v>
      </c>
      <c r="J24" s="37">
        <f>FLUID!N68</f>
        <v>0</v>
      </c>
      <c r="K24" s="37">
        <f>FLUID!O68</f>
        <v>0</v>
      </c>
      <c r="L24" s="37">
        <f>FLUID!P68</f>
        <v>0</v>
      </c>
      <c r="M24" s="37">
        <f>FLUID!Q68</f>
        <v>0</v>
      </c>
      <c r="N24" s="37">
        <f>FLUID!R68</f>
        <v>0</v>
      </c>
      <c r="O24" s="37" t="e">
        <f>FLUID!#REF!</f>
        <v>#REF!</v>
      </c>
      <c r="P24" s="37" t="e">
        <f>FLUID!#REF!</f>
        <v>#REF!</v>
      </c>
      <c r="Q24" s="37" t="e">
        <f>FLUID!#REF!</f>
        <v>#REF!</v>
      </c>
      <c r="R24" s="37" t="e">
        <f>FLUID!#REF!</f>
        <v>#REF!</v>
      </c>
      <c r="S24" s="37" t="e">
        <f>FLUID!#REF!</f>
        <v>#REF!</v>
      </c>
      <c r="T24" s="37" t="e">
        <f>FLUID!#REF!</f>
        <v>#REF!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</row>
    <row r="25" spans="1:194" s="49" customFormat="1" ht="22.5" hidden="1" customHeight="1" outlineLevel="1" thickBot="1" x14ac:dyDescent="0.4">
      <c r="A25" s="78">
        <f>FLUID!E69</f>
        <v>0</v>
      </c>
      <c r="B25" s="37">
        <f>FLUID!F69</f>
        <v>0</v>
      </c>
      <c r="C25" s="37">
        <f>FLUID!G69</f>
        <v>0</v>
      </c>
      <c r="D25" s="37">
        <f>FLUID!H69</f>
        <v>0</v>
      </c>
      <c r="E25" s="37">
        <f>FLUID!I69</f>
        <v>0</v>
      </c>
      <c r="F25" s="37">
        <f>FLUID!J69</f>
        <v>0</v>
      </c>
      <c r="G25" s="37">
        <f>FLUID!K69</f>
        <v>0</v>
      </c>
      <c r="H25" s="37">
        <f>FLUID!L69</f>
        <v>0</v>
      </c>
      <c r="I25" s="37">
        <f>FLUID!M69</f>
        <v>0</v>
      </c>
      <c r="J25" s="37">
        <f>FLUID!N69</f>
        <v>0</v>
      </c>
      <c r="K25" s="37">
        <f>FLUID!O69</f>
        <v>0</v>
      </c>
      <c r="L25" s="37">
        <f>FLUID!P69</f>
        <v>0</v>
      </c>
      <c r="M25" s="37">
        <f>FLUID!Q69</f>
        <v>0</v>
      </c>
      <c r="N25" s="37">
        <f>FLUID!R69</f>
        <v>0</v>
      </c>
      <c r="O25" s="37" t="e">
        <f>FLUID!#REF!</f>
        <v>#REF!</v>
      </c>
      <c r="P25" s="37" t="e">
        <f>FLUID!#REF!</f>
        <v>#REF!</v>
      </c>
      <c r="Q25" s="37" t="e">
        <f>FLUID!#REF!</f>
        <v>#REF!</v>
      </c>
      <c r="R25" s="37" t="e">
        <f>FLUID!#REF!</f>
        <v>#REF!</v>
      </c>
      <c r="S25" s="37" t="e">
        <f>FLUID!#REF!</f>
        <v>#REF!</v>
      </c>
      <c r="T25" s="37" t="e">
        <f>FLUID!#REF!</f>
        <v>#REF!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</row>
    <row r="26" spans="1:194" s="49" customFormat="1" ht="22.5" hidden="1" customHeight="1" outlineLevel="1" thickBot="1" x14ac:dyDescent="0.4">
      <c r="A26" s="78">
        <f>FLUID!E70</f>
        <v>0</v>
      </c>
      <c r="B26" s="37">
        <f>FLUID!F70</f>
        <v>0</v>
      </c>
      <c r="C26" s="37">
        <f>FLUID!G70</f>
        <v>0</v>
      </c>
      <c r="D26" s="37">
        <f>FLUID!H70</f>
        <v>0</v>
      </c>
      <c r="E26" s="37">
        <f>FLUID!I70</f>
        <v>0</v>
      </c>
      <c r="F26" s="37">
        <f>FLUID!J70</f>
        <v>0</v>
      </c>
      <c r="G26" s="37">
        <f>FLUID!K70</f>
        <v>0</v>
      </c>
      <c r="H26" s="37">
        <f>FLUID!L70</f>
        <v>0</v>
      </c>
      <c r="I26" s="37">
        <f>FLUID!M70</f>
        <v>0</v>
      </c>
      <c r="J26" s="37">
        <f>FLUID!N70</f>
        <v>0</v>
      </c>
      <c r="K26" s="37">
        <f>FLUID!O70</f>
        <v>0</v>
      </c>
      <c r="L26" s="37">
        <f>FLUID!P70</f>
        <v>0</v>
      </c>
      <c r="M26" s="37">
        <f>FLUID!Q70</f>
        <v>0</v>
      </c>
      <c r="N26" s="37">
        <f>FLUID!R70</f>
        <v>0</v>
      </c>
      <c r="O26" s="37" t="e">
        <f>FLUID!#REF!</f>
        <v>#REF!</v>
      </c>
      <c r="P26" s="37" t="e">
        <f>FLUID!#REF!</f>
        <v>#REF!</v>
      </c>
      <c r="Q26" s="37" t="e">
        <f>FLUID!#REF!</f>
        <v>#REF!</v>
      </c>
      <c r="R26" s="37" t="e">
        <f>FLUID!#REF!</f>
        <v>#REF!</v>
      </c>
      <c r="S26" s="37" t="e">
        <f>FLUID!#REF!</f>
        <v>#REF!</v>
      </c>
      <c r="T26" s="37" t="e">
        <f>FLUID!#REF!</f>
        <v>#REF!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</row>
    <row r="27" spans="1:194" s="49" customFormat="1" ht="22.5" hidden="1" customHeight="1" outlineLevel="1" thickBot="1" x14ac:dyDescent="0.4">
      <c r="A27" s="78">
        <f>FLUID!E71</f>
        <v>0</v>
      </c>
      <c r="B27" s="37">
        <f>FLUID!F71</f>
        <v>0</v>
      </c>
      <c r="C27" s="37">
        <f>FLUID!G71</f>
        <v>0</v>
      </c>
      <c r="D27" s="37">
        <f>FLUID!H71</f>
        <v>0</v>
      </c>
      <c r="E27" s="37">
        <f>FLUID!I71</f>
        <v>0</v>
      </c>
      <c r="F27" s="37">
        <f>FLUID!J71</f>
        <v>0</v>
      </c>
      <c r="G27" s="37">
        <f>FLUID!K71</f>
        <v>0</v>
      </c>
      <c r="H27" s="37">
        <f>FLUID!L71</f>
        <v>0</v>
      </c>
      <c r="I27" s="37">
        <f>FLUID!M71</f>
        <v>0</v>
      </c>
      <c r="J27" s="37">
        <f>FLUID!N71</f>
        <v>0</v>
      </c>
      <c r="K27" s="37">
        <f>FLUID!O71</f>
        <v>0</v>
      </c>
      <c r="L27" s="37">
        <f>FLUID!P71</f>
        <v>0</v>
      </c>
      <c r="M27" s="37">
        <f>FLUID!Q71</f>
        <v>0</v>
      </c>
      <c r="N27" s="37">
        <f>FLUID!R71</f>
        <v>0</v>
      </c>
      <c r="O27" s="37" t="e">
        <f>FLUID!#REF!</f>
        <v>#REF!</v>
      </c>
      <c r="P27" s="37" t="e">
        <f>FLUID!#REF!</f>
        <v>#REF!</v>
      </c>
      <c r="Q27" s="37" t="e">
        <f>FLUID!#REF!</f>
        <v>#REF!</v>
      </c>
      <c r="R27" s="37" t="e">
        <f>FLUID!#REF!</f>
        <v>#REF!</v>
      </c>
      <c r="S27" s="37" t="e">
        <f>FLUID!#REF!</f>
        <v>#REF!</v>
      </c>
      <c r="T27" s="37" t="e">
        <f>FLUID!#REF!</f>
        <v>#REF!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</row>
    <row r="28" spans="1:194" s="49" customFormat="1" ht="22.5" hidden="1" customHeight="1" outlineLevel="1" thickBot="1" x14ac:dyDescent="0.4">
      <c r="A28" s="78">
        <f>FLUID!E72</f>
        <v>0</v>
      </c>
      <c r="B28" s="37">
        <f>FLUID!F72</f>
        <v>0</v>
      </c>
      <c r="C28" s="37">
        <f>FLUID!G72</f>
        <v>0</v>
      </c>
      <c r="D28" s="37">
        <f>FLUID!H72</f>
        <v>0</v>
      </c>
      <c r="E28" s="37">
        <f>FLUID!I72</f>
        <v>0</v>
      </c>
      <c r="F28" s="37">
        <f>FLUID!J72</f>
        <v>0</v>
      </c>
      <c r="G28" s="37">
        <f>FLUID!K72</f>
        <v>0</v>
      </c>
      <c r="H28" s="37">
        <f>FLUID!L72</f>
        <v>0</v>
      </c>
      <c r="I28" s="37">
        <f>FLUID!M72</f>
        <v>0</v>
      </c>
      <c r="J28" s="37">
        <f>FLUID!N72</f>
        <v>0</v>
      </c>
      <c r="K28" s="37">
        <f>FLUID!O72</f>
        <v>0</v>
      </c>
      <c r="L28" s="37">
        <f>FLUID!P72</f>
        <v>0</v>
      </c>
      <c r="M28" s="37">
        <f>FLUID!Q72</f>
        <v>0</v>
      </c>
      <c r="N28" s="37">
        <f>FLUID!R72</f>
        <v>0</v>
      </c>
      <c r="O28" s="37" t="e">
        <f>FLUID!#REF!</f>
        <v>#REF!</v>
      </c>
      <c r="P28" s="37" t="e">
        <f>FLUID!#REF!</f>
        <v>#REF!</v>
      </c>
      <c r="Q28" s="37" t="e">
        <f>FLUID!#REF!</f>
        <v>#REF!</v>
      </c>
      <c r="R28" s="37" t="e">
        <f>FLUID!#REF!</f>
        <v>#REF!</v>
      </c>
      <c r="S28" s="37" t="e">
        <f>FLUID!#REF!</f>
        <v>#REF!</v>
      </c>
      <c r="T28" s="37" t="e">
        <f>FLUID!#REF!</f>
        <v>#REF!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</row>
    <row r="29" spans="1:194" s="49" customFormat="1" ht="22.5" hidden="1" customHeight="1" outlineLevel="1" thickBot="1" x14ac:dyDescent="0.4">
      <c r="A29" s="78">
        <f>FLUID!E73</f>
        <v>0</v>
      </c>
      <c r="B29" s="37">
        <f>FLUID!F73</f>
        <v>0</v>
      </c>
      <c r="C29" s="37">
        <f>FLUID!G73</f>
        <v>0</v>
      </c>
      <c r="D29" s="37">
        <f>FLUID!H73</f>
        <v>0</v>
      </c>
      <c r="E29" s="37">
        <f>FLUID!I73</f>
        <v>0</v>
      </c>
      <c r="F29" s="37">
        <f>FLUID!J73</f>
        <v>0</v>
      </c>
      <c r="G29" s="37">
        <f>FLUID!K73</f>
        <v>0</v>
      </c>
      <c r="H29" s="37">
        <f>FLUID!L73</f>
        <v>0</v>
      </c>
      <c r="I29" s="37">
        <f>FLUID!M73</f>
        <v>0</v>
      </c>
      <c r="J29" s="37">
        <f>FLUID!N73</f>
        <v>0</v>
      </c>
      <c r="K29" s="37">
        <f>FLUID!O73</f>
        <v>0</v>
      </c>
      <c r="L29" s="37">
        <f>FLUID!P73</f>
        <v>0</v>
      </c>
      <c r="M29" s="37">
        <f>FLUID!Q73</f>
        <v>0</v>
      </c>
      <c r="N29" s="37">
        <f>FLUID!R73</f>
        <v>0</v>
      </c>
      <c r="O29" s="37" t="e">
        <f>FLUID!#REF!</f>
        <v>#REF!</v>
      </c>
      <c r="P29" s="37" t="e">
        <f>FLUID!#REF!</f>
        <v>#REF!</v>
      </c>
      <c r="Q29" s="37" t="e">
        <f>FLUID!#REF!</f>
        <v>#REF!</v>
      </c>
      <c r="R29" s="37" t="e">
        <f>FLUID!#REF!</f>
        <v>#REF!</v>
      </c>
      <c r="S29" s="37" t="e">
        <f>FLUID!#REF!</f>
        <v>#REF!</v>
      </c>
      <c r="T29" s="37" t="e">
        <f>FLUID!#REF!</f>
        <v>#REF!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</row>
    <row r="30" spans="1:194" s="49" customFormat="1" ht="22.5" hidden="1" customHeight="1" outlineLevel="1" thickBot="1" x14ac:dyDescent="0.4">
      <c r="A30" s="78">
        <f>FLUID!E74</f>
        <v>0</v>
      </c>
      <c r="B30" s="37">
        <f>FLUID!F74</f>
        <v>0</v>
      </c>
      <c r="C30" s="37">
        <f>FLUID!G74</f>
        <v>0</v>
      </c>
      <c r="D30" s="37">
        <f>FLUID!H74</f>
        <v>0</v>
      </c>
      <c r="E30" s="37">
        <f>FLUID!I74</f>
        <v>0</v>
      </c>
      <c r="F30" s="37">
        <f>FLUID!J74</f>
        <v>0</v>
      </c>
      <c r="G30" s="37">
        <f>FLUID!K74</f>
        <v>0</v>
      </c>
      <c r="H30" s="37">
        <f>FLUID!L74</f>
        <v>0</v>
      </c>
      <c r="I30" s="37">
        <f>FLUID!M74</f>
        <v>0</v>
      </c>
      <c r="J30" s="37">
        <f>FLUID!N74</f>
        <v>0</v>
      </c>
      <c r="K30" s="37">
        <f>FLUID!O74</f>
        <v>0</v>
      </c>
      <c r="L30" s="37">
        <f>FLUID!P74</f>
        <v>0</v>
      </c>
      <c r="M30" s="37">
        <f>FLUID!Q74</f>
        <v>0</v>
      </c>
      <c r="N30" s="37">
        <f>FLUID!R74</f>
        <v>0</v>
      </c>
      <c r="O30" s="37" t="e">
        <f>FLUID!#REF!</f>
        <v>#REF!</v>
      </c>
      <c r="P30" s="37" t="e">
        <f>FLUID!#REF!</f>
        <v>#REF!</v>
      </c>
      <c r="Q30" s="37" t="e">
        <f>FLUID!#REF!</f>
        <v>#REF!</v>
      </c>
      <c r="R30" s="37" t="e">
        <f>FLUID!#REF!</f>
        <v>#REF!</v>
      </c>
      <c r="S30" s="37" t="e">
        <f>FLUID!#REF!</f>
        <v>#REF!</v>
      </c>
      <c r="T30" s="37" t="e">
        <f>FLUID!#REF!</f>
        <v>#REF!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</row>
    <row r="31" spans="1:194" s="49" customFormat="1" ht="22.5" hidden="1" customHeight="1" outlineLevel="1" thickBot="1" x14ac:dyDescent="0.4">
      <c r="A31" s="78">
        <f>FLUID!E75</f>
        <v>0</v>
      </c>
      <c r="B31" s="37">
        <f>FLUID!F75</f>
        <v>0</v>
      </c>
      <c r="C31" s="37">
        <f>FLUID!G75</f>
        <v>0</v>
      </c>
      <c r="D31" s="37">
        <f>FLUID!H75</f>
        <v>0</v>
      </c>
      <c r="E31" s="37">
        <f>FLUID!I75</f>
        <v>0</v>
      </c>
      <c r="F31" s="37">
        <f>FLUID!J75</f>
        <v>0</v>
      </c>
      <c r="G31" s="37">
        <f>FLUID!K75</f>
        <v>0</v>
      </c>
      <c r="H31" s="37">
        <f>FLUID!L75</f>
        <v>0</v>
      </c>
      <c r="I31" s="37">
        <f>FLUID!M75</f>
        <v>0</v>
      </c>
      <c r="J31" s="37">
        <f>FLUID!N75</f>
        <v>0</v>
      </c>
      <c r="K31" s="37">
        <f>FLUID!O75</f>
        <v>0</v>
      </c>
      <c r="L31" s="37">
        <f>FLUID!P75</f>
        <v>0</v>
      </c>
      <c r="M31" s="37">
        <f>FLUID!Q75</f>
        <v>0</v>
      </c>
      <c r="N31" s="37">
        <f>FLUID!R75</f>
        <v>0</v>
      </c>
      <c r="O31" s="37" t="e">
        <f>FLUID!#REF!</f>
        <v>#REF!</v>
      </c>
      <c r="P31" s="37" t="e">
        <f>FLUID!#REF!</f>
        <v>#REF!</v>
      </c>
      <c r="Q31" s="37" t="e">
        <f>FLUID!#REF!</f>
        <v>#REF!</v>
      </c>
      <c r="R31" s="37" t="e">
        <f>FLUID!#REF!</f>
        <v>#REF!</v>
      </c>
      <c r="S31" s="37" t="e">
        <f>FLUID!#REF!</f>
        <v>#REF!</v>
      </c>
      <c r="T31" s="37" t="e">
        <f>FLUID!#REF!</f>
        <v>#REF!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</row>
    <row r="32" spans="1:194" s="49" customFormat="1" ht="22.5" hidden="1" customHeight="1" outlineLevel="1" thickBot="1" x14ac:dyDescent="0.4">
      <c r="A32" s="78">
        <f>FLUID!E76</f>
        <v>1</v>
      </c>
      <c r="B32" s="37">
        <f>FLUID!F76</f>
        <v>0</v>
      </c>
      <c r="C32" s="37">
        <f>FLUID!G76</f>
        <v>0</v>
      </c>
      <c r="D32" s="37">
        <f>FLUID!H76</f>
        <v>0</v>
      </c>
      <c r="E32" s="37">
        <f>FLUID!I76</f>
        <v>0</v>
      </c>
      <c r="F32" s="37">
        <f>FLUID!J76</f>
        <v>0</v>
      </c>
      <c r="G32" s="37">
        <f>FLUID!K76</f>
        <v>0</v>
      </c>
      <c r="H32" s="37">
        <f>FLUID!L76</f>
        <v>0</v>
      </c>
      <c r="I32" s="37">
        <f>FLUID!M76</f>
        <v>0</v>
      </c>
      <c r="J32" s="37">
        <f>FLUID!N76</f>
        <v>0</v>
      </c>
      <c r="K32" s="37">
        <f>FLUID!O76</f>
        <v>0</v>
      </c>
      <c r="L32" s="37">
        <f>FLUID!P76</f>
        <v>0</v>
      </c>
      <c r="M32" s="37">
        <f>FLUID!Q76</f>
        <v>0</v>
      </c>
      <c r="N32" s="37">
        <f>FLUID!R76</f>
        <v>0</v>
      </c>
      <c r="O32" s="37" t="e">
        <f>FLUID!#REF!</f>
        <v>#REF!</v>
      </c>
      <c r="P32" s="37" t="e">
        <f>FLUID!#REF!</f>
        <v>#REF!</v>
      </c>
      <c r="Q32" s="37" t="e">
        <f>FLUID!#REF!</f>
        <v>#REF!</v>
      </c>
      <c r="R32" s="37" t="e">
        <f>FLUID!#REF!</f>
        <v>#REF!</v>
      </c>
      <c r="S32" s="37" t="e">
        <f>FLUID!#REF!</f>
        <v>#REF!</v>
      </c>
      <c r="T32" s="37" t="e">
        <f>FLUID!#REF!</f>
        <v>#REF!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</row>
    <row r="33" spans="1:194" ht="22.5" collapsed="1" thickTop="1" thickBot="1" x14ac:dyDescent="0.4">
      <c r="A33" s="79"/>
    </row>
    <row r="34" spans="1:194" ht="22.5" thickTop="1" thickBot="1" x14ac:dyDescent="0.4">
      <c r="A34" s="80" t="s">
        <v>54</v>
      </c>
      <c r="B34" s="68">
        <f>SOLIDDIFER!F47</f>
        <v>298.2</v>
      </c>
      <c r="C34" s="68">
        <f>SOLIDDIFER!G47</f>
        <v>331.5</v>
      </c>
      <c r="D34" s="68">
        <f>SOLIDDIFER!H47</f>
        <v>364.9</v>
      </c>
      <c r="E34" s="68">
        <f>SOLIDDIFER!I47</f>
        <v>398.3</v>
      </c>
      <c r="F34" s="68">
        <f>SOLIDDIFER!J47</f>
        <v>431.7</v>
      </c>
      <c r="G34" s="68">
        <f>SOLIDDIFER!K47</f>
        <v>465.1</v>
      </c>
      <c r="H34" s="68">
        <f>SOLIDDIFER!L47</f>
        <v>498.5</v>
      </c>
      <c r="I34" s="68">
        <f>SOLIDDIFER!M47</f>
        <v>531.79999999999995</v>
      </c>
      <c r="J34" s="68">
        <f>SOLIDDIFER!N47</f>
        <v>565.20000000000005</v>
      </c>
      <c r="K34" s="68">
        <f>SOLIDDIFER!O47</f>
        <v>698.8</v>
      </c>
      <c r="L34" s="68">
        <f>SOLIDDIFER!P47</f>
        <v>832.3</v>
      </c>
      <c r="M34" s="68">
        <f>SOLIDDIFER!Q47</f>
        <v>965.8</v>
      </c>
      <c r="N34" s="68">
        <f>SOLIDDIFER!R47</f>
        <v>999.2</v>
      </c>
      <c r="O34" s="68">
        <f>SOLIDDIFER!S47</f>
        <v>1033</v>
      </c>
      <c r="P34" s="68">
        <f>SOLIDDIFER!T47</f>
        <v>1066</v>
      </c>
      <c r="Q34" s="68">
        <f>SOLIDDIFER!U47</f>
        <v>1099</v>
      </c>
      <c r="R34" s="68">
        <f>SOLIDDIFER!V47</f>
        <v>1233</v>
      </c>
      <c r="S34" s="68">
        <f>SOLIDDIFER!W47</f>
        <v>1366</v>
      </c>
      <c r="T34" s="68">
        <f>SOLIDDIFER!X47</f>
        <v>1400</v>
      </c>
      <c r="U34" s="68">
        <f>SOLIDDIFER!Y47</f>
        <v>1433</v>
      </c>
      <c r="V34" s="68">
        <f>SOLIDDIFER!Z47</f>
        <v>1467</v>
      </c>
      <c r="W34" s="68">
        <f>SOLIDDIFER!AA47</f>
        <v>1500</v>
      </c>
    </row>
    <row r="35" spans="1:194" ht="22.5" outlineLevel="1" thickTop="1" thickBot="1" x14ac:dyDescent="0.4">
      <c r="A35" s="78" t="str">
        <f>SOLIDDIFER!E48</f>
        <v>*Ge[l]</v>
      </c>
      <c r="B35" s="37">
        <f>SOLIDDIFER!F48</f>
        <v>-21.03</v>
      </c>
      <c r="C35" s="37">
        <f>SOLIDDIFER!G48</f>
        <v>-15.61</v>
      </c>
      <c r="D35" s="37">
        <f>SOLIDDIFER!H48</f>
        <v>-12.3</v>
      </c>
      <c r="E35" s="37">
        <f>SOLIDDIFER!I48</f>
        <v>-10.01</v>
      </c>
      <c r="F35" s="37">
        <f>SOLIDDIFER!J48</f>
        <v>-8.0210000000000008</v>
      </c>
      <c r="G35" s="37">
        <f>SOLIDDIFER!K48</f>
        <v>-6.28</v>
      </c>
      <c r="H35" s="37">
        <f>SOLIDDIFER!L48</f>
        <v>-4.7359999999999998</v>
      </c>
      <c r="I35" s="37">
        <f>SOLIDDIFER!M48</f>
        <v>-4.141</v>
      </c>
      <c r="J35" s="37">
        <f>SOLIDDIFER!N48</f>
        <v>-4.2229999999999999</v>
      </c>
      <c r="K35" s="37">
        <f>SOLIDDIFER!O48</f>
        <v>-4.5529999999999999</v>
      </c>
      <c r="L35" s="37">
        <f>SOLIDDIFER!P48</f>
        <v>-4.8730000000000002</v>
      </c>
      <c r="M35" s="37">
        <f>SOLIDDIFER!Q48</f>
        <v>-5.1749999999999998</v>
      </c>
      <c r="N35" s="37">
        <f>SOLIDDIFER!R48</f>
        <v>-5.2469999999999999</v>
      </c>
      <c r="O35" s="37">
        <f>SOLIDDIFER!S48</f>
        <v>-5.3179999999999996</v>
      </c>
      <c r="P35" s="37">
        <f>SOLIDDIFER!T48</f>
        <v>-5.3890000000000002</v>
      </c>
      <c r="Q35" s="37">
        <f>SOLIDDIFER!U48</f>
        <v>-5.4580000000000002</v>
      </c>
      <c r="R35" s="37">
        <f>SOLIDDIFER!V48</f>
        <v>-5.7869999999999999</v>
      </c>
      <c r="S35" s="37">
        <f>SOLIDDIFER!W48</f>
        <v>-6.3879999999999999</v>
      </c>
      <c r="T35" s="37">
        <f>SOLIDDIFER!X48</f>
        <v>-6.5250000000000004</v>
      </c>
      <c r="U35" s="37">
        <f>SOLIDDIFER!Y48</f>
        <v>-6.6580000000000004</v>
      </c>
      <c r="V35" s="37">
        <f>SOLIDDIFER!Z48</f>
        <v>-6.7869999999999999</v>
      </c>
      <c r="W35" s="37">
        <f>SOLIDDIFER!AA48</f>
        <v>-6.9109999999999996</v>
      </c>
    </row>
    <row r="36" spans="1:194" ht="21.75" outlineLevel="1" thickBot="1" x14ac:dyDescent="0.4">
      <c r="A36" s="78" t="str">
        <f>SOLIDDIFER!E49</f>
        <v>*Ge</v>
      </c>
      <c r="B36" s="37">
        <f>SOLIDDIFER!F49</f>
        <v>-21.03</v>
      </c>
      <c r="C36" s="37">
        <f>SOLIDDIFER!G49</f>
        <v>-15.61</v>
      </c>
      <c r="D36" s="37">
        <f>SOLIDDIFER!H49</f>
        <v>-12.3</v>
      </c>
      <c r="E36" s="37">
        <f>SOLIDDIFER!I49</f>
        <v>-10.01</v>
      </c>
      <c r="F36" s="37">
        <f>SOLIDDIFER!J49</f>
        <v>-8.0210000000000008</v>
      </c>
      <c r="G36" s="37">
        <f>SOLIDDIFER!K49</f>
        <v>-6.28</v>
      </c>
      <c r="H36" s="37">
        <f>SOLIDDIFER!L49</f>
        <v>-4.7359999999999998</v>
      </c>
      <c r="I36" s="37">
        <f>SOLIDDIFER!M49</f>
        <v>-4.141</v>
      </c>
      <c r="J36" s="37">
        <f>SOLIDDIFER!N49</f>
        <v>-4.2229999999999999</v>
      </c>
      <c r="K36" s="37">
        <f>SOLIDDIFER!O49</f>
        <v>-4.5529999999999999</v>
      </c>
      <c r="L36" s="37">
        <f>SOLIDDIFER!P49</f>
        <v>-4.8730000000000002</v>
      </c>
      <c r="M36" s="37">
        <f>SOLIDDIFER!Q49</f>
        <v>-5.1749999999999998</v>
      </c>
      <c r="N36" s="37">
        <f>SOLIDDIFER!R49</f>
        <v>-5.2469999999999999</v>
      </c>
      <c r="O36" s="37">
        <f>SOLIDDIFER!S49</f>
        <v>-5.3179999999999996</v>
      </c>
      <c r="P36" s="37">
        <f>SOLIDDIFER!T49</f>
        <v>-5.3890000000000002</v>
      </c>
      <c r="Q36" s="37">
        <f>SOLIDDIFER!U49</f>
        <v>-5.4580000000000002</v>
      </c>
      <c r="R36" s="37">
        <f>SOLIDDIFER!V49</f>
        <v>-5.7869999999999999</v>
      </c>
      <c r="S36" s="37">
        <f>SOLIDDIFER!W49</f>
        <v>-6.3879999999999999</v>
      </c>
      <c r="T36" s="37">
        <f>SOLIDDIFER!X49</f>
        <v>-6.5250000000000004</v>
      </c>
      <c r="U36" s="37">
        <f>SOLIDDIFER!Y49</f>
        <v>-6.6580000000000004</v>
      </c>
      <c r="V36" s="37">
        <f>SOLIDDIFER!Z49</f>
        <v>-6.7869999999999999</v>
      </c>
      <c r="W36" s="37">
        <f>SOLIDDIFER!AA49</f>
        <v>-6.9109999999999996</v>
      </c>
    </row>
    <row r="37" spans="1:194" ht="21.75" outlineLevel="1" thickBot="1" x14ac:dyDescent="0.4">
      <c r="A37" s="78" t="str">
        <f>SOLIDDIFER!E50</f>
        <v>*GeSe</v>
      </c>
      <c r="B37" s="37">
        <f>SOLIDDIFER!F50</f>
        <v>-40.08</v>
      </c>
      <c r="C37" s="37">
        <f>SOLIDDIFER!G50</f>
        <v>-35.099999999999994</v>
      </c>
      <c r="D37" s="37">
        <f>SOLIDDIFER!H50</f>
        <v>-32.269999999999996</v>
      </c>
      <c r="E37" s="37">
        <f>SOLIDDIFER!I50</f>
        <v>-30.479999999999997</v>
      </c>
      <c r="F37" s="37">
        <f>SOLIDDIFER!J50</f>
        <v>-29.001000000000001</v>
      </c>
      <c r="G37" s="37">
        <f>SOLIDDIFER!K50</f>
        <v>-27.77</v>
      </c>
      <c r="H37" s="37">
        <f>SOLIDDIFER!L50</f>
        <v>-26.746000000000002</v>
      </c>
      <c r="I37" s="37">
        <f>SOLIDDIFER!M50</f>
        <v>-26.651000000000003</v>
      </c>
      <c r="J37" s="37">
        <f>SOLIDDIFER!N50</f>
        <v>-27.242999999999999</v>
      </c>
      <c r="K37" s="37">
        <f>SOLIDDIFER!O50</f>
        <v>-29.513000000000002</v>
      </c>
      <c r="L37" s="37">
        <f>SOLIDDIFER!P50</f>
        <v>-31.643000000000001</v>
      </c>
      <c r="M37" s="37">
        <f>SOLIDDIFER!Q50</f>
        <v>-33.664999999999999</v>
      </c>
      <c r="N37" s="37">
        <f>SOLIDDIFER!R50</f>
        <v>-34.146999999999998</v>
      </c>
      <c r="O37" s="37">
        <f>SOLIDDIFER!S50</f>
        <v>-34.628</v>
      </c>
      <c r="P37" s="37">
        <f>SOLIDDIFER!T50</f>
        <v>-35.109000000000002</v>
      </c>
      <c r="Q37" s="37">
        <f>SOLIDDIFER!U50</f>
        <v>-35.578000000000003</v>
      </c>
      <c r="R37" s="37">
        <f>SOLIDDIFER!V50</f>
        <v>-37.477000000000004</v>
      </c>
      <c r="S37" s="37">
        <f>SOLIDDIFER!W50</f>
        <v>-39.607999999999997</v>
      </c>
      <c r="T37" s="37">
        <f>SOLIDDIFER!X50</f>
        <v>-40.115000000000002</v>
      </c>
      <c r="U37" s="37">
        <f>SOLIDDIFER!Y50</f>
        <v>-40.628</v>
      </c>
      <c r="V37" s="37">
        <f>SOLIDDIFER!Z50</f>
        <v>-41.127000000000002</v>
      </c>
      <c r="W37" s="37">
        <f>SOLIDDIFER!AA50</f>
        <v>-41.621000000000002</v>
      </c>
    </row>
    <row r="38" spans="1:194" ht="21.75" outlineLevel="1" thickBot="1" x14ac:dyDescent="0.4">
      <c r="A38" s="78" t="str">
        <f>SOLIDDIFER!E51</f>
        <v>*Ga</v>
      </c>
      <c r="B38" s="37">
        <f>SOLIDDIFER!F51</f>
        <v>-65.599999999999994</v>
      </c>
      <c r="C38" s="37">
        <f>SOLIDDIFER!G51</f>
        <v>-56.67</v>
      </c>
      <c r="D38" s="37">
        <f>SOLIDDIFER!H51</f>
        <v>-49.27</v>
      </c>
      <c r="E38" s="37">
        <f>SOLIDDIFER!I51</f>
        <v>-43</v>
      </c>
      <c r="F38" s="37">
        <f>SOLIDDIFER!J51</f>
        <v>-37.630000000000003</v>
      </c>
      <c r="G38" s="37">
        <f>SOLIDDIFER!K51</f>
        <v>-32.94</v>
      </c>
      <c r="H38" s="37">
        <f>SOLIDDIFER!L51</f>
        <v>-28.82</v>
      </c>
      <c r="I38" s="37">
        <f>SOLIDDIFER!M51</f>
        <v>-25.41</v>
      </c>
      <c r="J38" s="37">
        <f>SOLIDDIFER!N51</f>
        <v>-26.73</v>
      </c>
      <c r="K38" s="37">
        <f>SOLIDDIFER!O51</f>
        <v>-31.78</v>
      </c>
      <c r="L38" s="37">
        <f>SOLIDDIFER!P51</f>
        <v>-36.28</v>
      </c>
      <c r="M38" s="37">
        <f>SOLIDDIFER!Q51</f>
        <v>-40.049999999999997</v>
      </c>
      <c r="N38" s="37">
        <f>SOLIDDIFER!R51</f>
        <v>-40.86</v>
      </c>
      <c r="O38" s="37">
        <f>SOLIDDIFER!S51</f>
        <v>-41.61</v>
      </c>
      <c r="P38" s="37">
        <f>SOLIDDIFER!T51</f>
        <v>-42.31</v>
      </c>
      <c r="Q38" s="37">
        <f>SOLIDDIFER!U51</f>
        <v>-42.94</v>
      </c>
      <c r="R38" s="37">
        <f>SOLIDDIFER!V51</f>
        <v>-44.86</v>
      </c>
      <c r="S38" s="37">
        <f>SOLIDDIFER!W51</f>
        <v>-45.72</v>
      </c>
      <c r="T38" s="37">
        <f>SOLIDDIFER!X51</f>
        <v>-45.76</v>
      </c>
      <c r="U38" s="37">
        <f>SOLIDDIFER!Y51</f>
        <v>-45.74</v>
      </c>
      <c r="V38" s="37">
        <f>SOLIDDIFER!Z51</f>
        <v>-45.64</v>
      </c>
      <c r="W38" s="37">
        <f>SOLIDDIFER!AA51</f>
        <v>-45.47</v>
      </c>
    </row>
    <row r="39" spans="1:194" ht="21.75" outlineLevel="1" thickBot="1" x14ac:dyDescent="0.4">
      <c r="A39" s="78" t="str">
        <f>SOLIDDIFER!E52</f>
        <v>*Ge[c]</v>
      </c>
      <c r="B39" s="37">
        <f>SOLIDDIFER!F52</f>
        <v>-21.03</v>
      </c>
      <c r="C39" s="37">
        <f>SOLIDDIFER!G52</f>
        <v>-15.61</v>
      </c>
      <c r="D39" s="37">
        <f>SOLIDDIFER!H52</f>
        <v>-12.3</v>
      </c>
      <c r="E39" s="37">
        <f>SOLIDDIFER!I52</f>
        <v>-10.01</v>
      </c>
      <c r="F39" s="37">
        <f>SOLIDDIFER!J52</f>
        <v>-8.0210000000000008</v>
      </c>
      <c r="G39" s="37">
        <f>SOLIDDIFER!K52</f>
        <v>-6.28</v>
      </c>
      <c r="H39" s="37">
        <f>SOLIDDIFER!L52</f>
        <v>-4.7359999999999998</v>
      </c>
      <c r="I39" s="37">
        <f>SOLIDDIFER!M52</f>
        <v>-4.141</v>
      </c>
      <c r="J39" s="37">
        <f>SOLIDDIFER!N52</f>
        <v>-4.2229999999999999</v>
      </c>
      <c r="K39" s="37">
        <f>SOLIDDIFER!O52</f>
        <v>-4.5529999999999999</v>
      </c>
      <c r="L39" s="37">
        <f>SOLIDDIFER!P52</f>
        <v>-4.8730000000000002</v>
      </c>
      <c r="M39" s="37">
        <f>SOLIDDIFER!Q52</f>
        <v>-5.1749999999999998</v>
      </c>
      <c r="N39" s="37">
        <f>SOLIDDIFER!R52</f>
        <v>-5.2469999999999999</v>
      </c>
      <c r="O39" s="37">
        <f>SOLIDDIFER!S52</f>
        <v>-5.3179999999999996</v>
      </c>
      <c r="P39" s="37">
        <f>SOLIDDIFER!T52</f>
        <v>-5.3890000000000002</v>
      </c>
      <c r="Q39" s="37">
        <f>SOLIDDIFER!U52</f>
        <v>-5.4580000000000002</v>
      </c>
      <c r="R39" s="37">
        <f>SOLIDDIFER!V52</f>
        <v>-5.7869999999999999</v>
      </c>
      <c r="S39" s="37">
        <f>SOLIDDIFER!W52</f>
        <v>-6.3879999999999999</v>
      </c>
      <c r="T39" s="37">
        <f>SOLIDDIFER!X52</f>
        <v>-6.5250000000000004</v>
      </c>
      <c r="U39" s="37">
        <f>SOLIDDIFER!Y52</f>
        <v>-6.6580000000000004</v>
      </c>
      <c r="V39" s="37">
        <f>SOLIDDIFER!Z52</f>
        <v>-6.7869999999999999</v>
      </c>
      <c r="W39" s="37">
        <f>SOLIDDIFER!AA52</f>
        <v>-6.9109999999999996</v>
      </c>
    </row>
    <row r="40" spans="1:194" ht="21.75" outlineLevel="1" thickBot="1" x14ac:dyDescent="0.4">
      <c r="A40" s="78" t="str">
        <f>SOLIDDIFER!E53</f>
        <v>*Se[m]</v>
      </c>
      <c r="B40" s="37">
        <f>SOLIDDIFER!F53</f>
        <v>-19.05</v>
      </c>
      <c r="C40" s="37">
        <f>SOLIDDIFER!G53</f>
        <v>-19.489999999999998</v>
      </c>
      <c r="D40" s="37">
        <f>SOLIDDIFER!H53</f>
        <v>-19.97</v>
      </c>
      <c r="E40" s="37">
        <f>SOLIDDIFER!I53</f>
        <v>-20.47</v>
      </c>
      <c r="F40" s="37">
        <f>SOLIDDIFER!J53</f>
        <v>-20.98</v>
      </c>
      <c r="G40" s="37">
        <f>SOLIDDIFER!K53</f>
        <v>-21.49</v>
      </c>
      <c r="H40" s="37">
        <f>SOLIDDIFER!L53</f>
        <v>-22.01</v>
      </c>
      <c r="I40" s="37">
        <f>SOLIDDIFER!M53</f>
        <v>-22.51</v>
      </c>
      <c r="J40" s="37">
        <f>SOLIDDIFER!N53</f>
        <v>-23.02</v>
      </c>
      <c r="K40" s="37">
        <f>SOLIDDIFER!O53</f>
        <v>-24.96</v>
      </c>
      <c r="L40" s="37">
        <f>SOLIDDIFER!P53</f>
        <v>-26.77</v>
      </c>
      <c r="M40" s="37">
        <f>SOLIDDIFER!Q53</f>
        <v>-28.49</v>
      </c>
      <c r="N40" s="37">
        <f>SOLIDDIFER!R53</f>
        <v>-28.9</v>
      </c>
      <c r="O40" s="37">
        <f>SOLIDDIFER!S53</f>
        <v>-29.31</v>
      </c>
      <c r="P40" s="37">
        <f>SOLIDDIFER!T53</f>
        <v>-29.72</v>
      </c>
      <c r="Q40" s="37">
        <f>SOLIDDIFER!U53</f>
        <v>-30.12</v>
      </c>
      <c r="R40" s="37">
        <f>SOLIDDIFER!V53</f>
        <v>-31.69</v>
      </c>
      <c r="S40" s="37">
        <f>SOLIDDIFER!W53</f>
        <v>-33.22</v>
      </c>
      <c r="T40" s="37">
        <f>SOLIDDIFER!X53</f>
        <v>-33.590000000000003</v>
      </c>
      <c r="U40" s="37">
        <f>SOLIDDIFER!Y53</f>
        <v>-33.97</v>
      </c>
      <c r="V40" s="37">
        <f>SOLIDDIFER!Z53</f>
        <v>-34.340000000000003</v>
      </c>
      <c r="W40" s="37">
        <f>SOLIDDIFER!AA53</f>
        <v>-34.71</v>
      </c>
    </row>
    <row r="41" spans="1:194" ht="21.75" outlineLevel="1" thickBot="1" x14ac:dyDescent="0.4">
      <c r="A41" s="78" t="str">
        <f>SOLIDDIFER!E54</f>
        <v>*GeSe2</v>
      </c>
      <c r="B41" s="37">
        <f>SOLIDDIFER!F54</f>
        <v>-59.13</v>
      </c>
      <c r="C41" s="37">
        <f>SOLIDDIFER!G54</f>
        <v>-54.589999999999996</v>
      </c>
      <c r="D41" s="37">
        <f>SOLIDDIFER!H54</f>
        <v>-52.239999999999995</v>
      </c>
      <c r="E41" s="37">
        <f>SOLIDDIFER!I54</f>
        <v>-50.949999999999996</v>
      </c>
      <c r="F41" s="37">
        <f>SOLIDDIFER!J54</f>
        <v>-49.981000000000002</v>
      </c>
      <c r="G41" s="37">
        <f>SOLIDDIFER!K54</f>
        <v>-49.26</v>
      </c>
      <c r="H41" s="37">
        <f>SOLIDDIFER!L54</f>
        <v>-48.756</v>
      </c>
      <c r="I41" s="37">
        <f>SOLIDDIFER!M54</f>
        <v>-49.161000000000001</v>
      </c>
      <c r="J41" s="37">
        <f>SOLIDDIFER!N54</f>
        <v>-50.262999999999998</v>
      </c>
      <c r="K41" s="37">
        <f>SOLIDDIFER!O54</f>
        <v>-54.472999999999999</v>
      </c>
      <c r="L41" s="37">
        <f>SOLIDDIFER!P54</f>
        <v>-58.412999999999997</v>
      </c>
      <c r="M41" s="37">
        <f>SOLIDDIFER!Q54</f>
        <v>-62.154999999999994</v>
      </c>
      <c r="N41" s="37">
        <f>SOLIDDIFER!R54</f>
        <v>-63.046999999999997</v>
      </c>
      <c r="O41" s="37">
        <f>SOLIDDIFER!S54</f>
        <v>-63.937999999999995</v>
      </c>
      <c r="P41" s="37">
        <f>SOLIDDIFER!T54</f>
        <v>-64.828999999999994</v>
      </c>
      <c r="Q41" s="37">
        <f>SOLIDDIFER!U54</f>
        <v>-65.698000000000008</v>
      </c>
      <c r="R41" s="37">
        <f>SOLIDDIFER!V54</f>
        <v>-69.167000000000002</v>
      </c>
      <c r="S41" s="37">
        <f>SOLIDDIFER!W54</f>
        <v>-72.828000000000003</v>
      </c>
      <c r="T41" s="37">
        <f>SOLIDDIFER!X54</f>
        <v>-73.705000000000013</v>
      </c>
      <c r="U41" s="37">
        <f>SOLIDDIFER!Y54</f>
        <v>-74.597999999999999</v>
      </c>
      <c r="V41" s="37">
        <f>SOLIDDIFER!Z54</f>
        <v>-75.467000000000013</v>
      </c>
      <c r="W41" s="37">
        <f>SOLIDDIFER!AA54</f>
        <v>-76.331000000000003</v>
      </c>
    </row>
    <row r="42" spans="1:194" s="49" customFormat="1" ht="21.75" outlineLevel="1" thickBot="1" x14ac:dyDescent="0.4">
      <c r="A42" s="78" t="str">
        <f>SOLIDDIFER!E55</f>
        <v>Ga2Se3</v>
      </c>
      <c r="B42" s="37">
        <f>SOLIDDIFER!F55</f>
        <v>-188.35</v>
      </c>
      <c r="C42" s="37">
        <f>SOLIDDIFER!G55</f>
        <v>-171.81</v>
      </c>
      <c r="D42" s="37">
        <f>SOLIDDIFER!H55</f>
        <v>-158.44999999999999</v>
      </c>
      <c r="E42" s="37">
        <f>SOLIDDIFER!I55</f>
        <v>-147.41</v>
      </c>
      <c r="F42" s="37">
        <f>SOLIDDIFER!J55</f>
        <v>-138.19999999999999</v>
      </c>
      <c r="G42" s="37">
        <f>SOLIDDIFER!K55</f>
        <v>-130.35</v>
      </c>
      <c r="H42" s="37">
        <f>SOLIDDIFER!L55</f>
        <v>-123.67</v>
      </c>
      <c r="I42" s="37">
        <f>SOLIDDIFER!M55</f>
        <v>-118.35</v>
      </c>
      <c r="J42" s="37">
        <f>SOLIDDIFER!N55</f>
        <v>-122.52000000000001</v>
      </c>
      <c r="K42" s="37">
        <f>SOLIDDIFER!O55</f>
        <v>-138.44</v>
      </c>
      <c r="L42" s="37">
        <f>SOLIDDIFER!P55</f>
        <v>-152.87</v>
      </c>
      <c r="M42" s="37">
        <f>SOLIDDIFER!Q55</f>
        <v>-165.57</v>
      </c>
      <c r="N42" s="37">
        <f>SOLIDDIFER!R55</f>
        <v>-168.42</v>
      </c>
      <c r="O42" s="37">
        <f>SOLIDDIFER!S55</f>
        <v>-171.14999999999998</v>
      </c>
      <c r="P42" s="37">
        <f>SOLIDDIFER!T55</f>
        <v>-173.78</v>
      </c>
      <c r="Q42" s="37">
        <f>SOLIDDIFER!U55</f>
        <v>-176.24</v>
      </c>
      <c r="R42" s="37">
        <f>SOLIDDIFER!V55</f>
        <v>-184.79000000000002</v>
      </c>
      <c r="S42" s="37">
        <f>SOLIDDIFER!W55</f>
        <v>-191.1</v>
      </c>
      <c r="T42" s="37">
        <f>SOLIDDIFER!X55</f>
        <v>-192.29000000000002</v>
      </c>
      <c r="U42" s="37">
        <f>SOLIDDIFER!Y55</f>
        <v>-193.39</v>
      </c>
      <c r="V42" s="37">
        <f>SOLIDDIFER!Z55</f>
        <v>-194.3</v>
      </c>
      <c r="W42" s="37">
        <f>SOLIDDIFER!AA55</f>
        <v>-195.07</v>
      </c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</row>
    <row r="43" spans="1:194" s="49" customFormat="1" ht="21.75" outlineLevel="1" thickBot="1" x14ac:dyDescent="0.4">
      <c r="A43" s="78" t="str">
        <f>SOLIDDIFER!E56</f>
        <v>Ge2</v>
      </c>
      <c r="B43" s="37">
        <f>SOLIDDIFER!F56</f>
        <v>-42.06</v>
      </c>
      <c r="C43" s="37">
        <f>SOLIDDIFER!G56</f>
        <v>-31.22</v>
      </c>
      <c r="D43" s="37">
        <f>SOLIDDIFER!H56</f>
        <v>-24.6</v>
      </c>
      <c r="E43" s="37">
        <f>SOLIDDIFER!I56</f>
        <v>-20.02</v>
      </c>
      <c r="F43" s="37">
        <f>SOLIDDIFER!J56</f>
        <v>-16.042000000000002</v>
      </c>
      <c r="G43" s="37">
        <f>SOLIDDIFER!K56</f>
        <v>-12.56</v>
      </c>
      <c r="H43" s="37">
        <f>SOLIDDIFER!L56</f>
        <v>-9.4719999999999995</v>
      </c>
      <c r="I43" s="37">
        <f>SOLIDDIFER!M56</f>
        <v>-8.282</v>
      </c>
      <c r="J43" s="37">
        <f>SOLIDDIFER!N56</f>
        <v>-8.4459999999999997</v>
      </c>
      <c r="K43" s="37">
        <f>SOLIDDIFER!O56</f>
        <v>-9.1059999999999999</v>
      </c>
      <c r="L43" s="37">
        <f>SOLIDDIFER!P56</f>
        <v>-9.7460000000000004</v>
      </c>
      <c r="M43" s="37">
        <f>SOLIDDIFER!Q56</f>
        <v>-10.35</v>
      </c>
      <c r="N43" s="37">
        <f>SOLIDDIFER!R56</f>
        <v>-10.494</v>
      </c>
      <c r="O43" s="37">
        <f>SOLIDDIFER!S56</f>
        <v>-10.635999999999999</v>
      </c>
      <c r="P43" s="37">
        <f>SOLIDDIFER!T56</f>
        <v>-10.778</v>
      </c>
      <c r="Q43" s="37">
        <f>SOLIDDIFER!U56</f>
        <v>-10.916</v>
      </c>
      <c r="R43" s="37">
        <f>SOLIDDIFER!V56</f>
        <v>-11.574</v>
      </c>
      <c r="S43" s="37">
        <f>SOLIDDIFER!W56</f>
        <v>-12.776</v>
      </c>
      <c r="T43" s="37">
        <f>SOLIDDIFER!X56</f>
        <v>-13.05</v>
      </c>
      <c r="U43" s="37">
        <f>SOLIDDIFER!Y56</f>
        <v>-13.316000000000001</v>
      </c>
      <c r="V43" s="37">
        <f>SOLIDDIFER!Z56</f>
        <v>-13.574</v>
      </c>
      <c r="W43" s="37">
        <f>SOLIDDIFER!AA56</f>
        <v>-13.821999999999999</v>
      </c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</row>
    <row r="44" spans="1:194" s="49" customFormat="1" ht="21.75" outlineLevel="1" thickBot="1" x14ac:dyDescent="0.4">
      <c r="A44" s="78" t="str">
        <f>SOLIDDIFER!E57</f>
        <v>Ge</v>
      </c>
      <c r="B44" s="37">
        <f>SOLIDDIFER!F57</f>
        <v>-21.03</v>
      </c>
      <c r="C44" s="37">
        <f>SOLIDDIFER!G57</f>
        <v>-15.61</v>
      </c>
      <c r="D44" s="37">
        <f>SOLIDDIFER!H57</f>
        <v>-12.3</v>
      </c>
      <c r="E44" s="37">
        <f>SOLIDDIFER!I57</f>
        <v>-10.01</v>
      </c>
      <c r="F44" s="37">
        <f>SOLIDDIFER!J57</f>
        <v>-8.0210000000000008</v>
      </c>
      <c r="G44" s="37">
        <f>SOLIDDIFER!K57</f>
        <v>-6.28</v>
      </c>
      <c r="H44" s="37">
        <f>SOLIDDIFER!L57</f>
        <v>-4.7359999999999998</v>
      </c>
      <c r="I44" s="37">
        <f>SOLIDDIFER!M57</f>
        <v>-4.141</v>
      </c>
      <c r="J44" s="37">
        <f>SOLIDDIFER!N57</f>
        <v>-4.2229999999999999</v>
      </c>
      <c r="K44" s="37">
        <f>SOLIDDIFER!O57</f>
        <v>-4.5529999999999999</v>
      </c>
      <c r="L44" s="37">
        <f>SOLIDDIFER!P57</f>
        <v>-4.8730000000000002</v>
      </c>
      <c r="M44" s="37">
        <f>SOLIDDIFER!Q57</f>
        <v>-5.1749999999999998</v>
      </c>
      <c r="N44" s="37">
        <f>SOLIDDIFER!R57</f>
        <v>-5.2469999999999999</v>
      </c>
      <c r="O44" s="37">
        <f>SOLIDDIFER!S57</f>
        <v>-5.3179999999999996</v>
      </c>
      <c r="P44" s="37">
        <f>SOLIDDIFER!T57</f>
        <v>-5.3890000000000002</v>
      </c>
      <c r="Q44" s="37">
        <f>SOLIDDIFER!U57</f>
        <v>-5.4580000000000002</v>
      </c>
      <c r="R44" s="37">
        <f>SOLIDDIFER!V57</f>
        <v>-5.7869999999999999</v>
      </c>
      <c r="S44" s="37">
        <f>SOLIDDIFER!W57</f>
        <v>-6.3879999999999999</v>
      </c>
      <c r="T44" s="37">
        <f>SOLIDDIFER!X57</f>
        <v>-6.5250000000000004</v>
      </c>
      <c r="U44" s="37">
        <f>SOLIDDIFER!Y57</f>
        <v>-6.6580000000000004</v>
      </c>
      <c r="V44" s="37">
        <f>SOLIDDIFER!Z57</f>
        <v>-6.7869999999999999</v>
      </c>
      <c r="W44" s="37">
        <f>SOLIDDIFER!AA57</f>
        <v>-6.9109999999999996</v>
      </c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</row>
    <row r="45" spans="1:194" s="49" customFormat="1" ht="21.75" outlineLevel="1" thickBot="1" x14ac:dyDescent="0.4">
      <c r="A45" s="78" t="str">
        <f>SOLIDDIFER!E58</f>
        <v>Ar</v>
      </c>
      <c r="B45" s="37">
        <f>SOLIDDIFER!F58</f>
        <v>-18.79</v>
      </c>
      <c r="C45" s="37">
        <f>SOLIDDIFER!G58</f>
        <v>-18.809999999999999</v>
      </c>
      <c r="D45" s="37">
        <f>SOLIDDIFER!H58</f>
        <v>-18.84</v>
      </c>
      <c r="E45" s="37">
        <f>SOLIDDIFER!I58</f>
        <v>-18.89</v>
      </c>
      <c r="F45" s="37">
        <f>SOLIDDIFER!J58</f>
        <v>-18.95</v>
      </c>
      <c r="G45" s="37">
        <f>SOLIDDIFER!K58</f>
        <v>-19.010000000000002</v>
      </c>
      <c r="H45" s="37">
        <f>SOLIDDIFER!L58</f>
        <v>-19.07</v>
      </c>
      <c r="I45" s="37">
        <f>SOLIDDIFER!M58</f>
        <v>-19.07</v>
      </c>
      <c r="J45" s="37">
        <f>SOLIDDIFER!N58</f>
        <v>-19.03</v>
      </c>
      <c r="K45" s="37">
        <f>SOLIDDIFER!O58</f>
        <v>-19.309999999999999</v>
      </c>
      <c r="L45" s="37">
        <f>SOLIDDIFER!P58</f>
        <v>-19.57</v>
      </c>
      <c r="M45" s="37">
        <f>SOLIDDIFER!Q58</f>
        <v>-19.82</v>
      </c>
      <c r="N45" s="37">
        <f>SOLIDDIFER!R58</f>
        <v>-19.88</v>
      </c>
      <c r="O45" s="37">
        <f>SOLIDDIFER!S58</f>
        <v>-19.940000000000001</v>
      </c>
      <c r="P45" s="37">
        <f>SOLIDDIFER!T58</f>
        <v>-20</v>
      </c>
      <c r="Q45" s="37">
        <f>SOLIDDIFER!U58</f>
        <v>-20.05</v>
      </c>
      <c r="R45" s="37">
        <f>SOLIDDIFER!V58</f>
        <v>-20.260000000000002</v>
      </c>
      <c r="S45" s="37">
        <f>SOLIDDIFER!W58</f>
        <v>-20.46</v>
      </c>
      <c r="T45" s="37">
        <f>SOLIDDIFER!X58</f>
        <v>-20.51</v>
      </c>
      <c r="U45" s="37">
        <f>SOLIDDIFER!Y58</f>
        <v>-20.56</v>
      </c>
      <c r="V45" s="37">
        <f>SOLIDDIFER!Z58</f>
        <v>-20.6</v>
      </c>
      <c r="W45" s="37">
        <f>SOLIDDIFER!AA58</f>
        <v>-20.65</v>
      </c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</row>
    <row r="46" spans="1:194" s="49" customFormat="1" ht="21.75" outlineLevel="1" thickBot="1" x14ac:dyDescent="0.4">
      <c r="A46" s="78" t="str">
        <f>SOLIDDIFER!E59</f>
        <v>(l)Ge[l]</v>
      </c>
      <c r="B46" s="37">
        <f>SOLIDDIFER!F59</f>
        <v>-21.03</v>
      </c>
      <c r="C46" s="37">
        <f>SOLIDDIFER!G59</f>
        <v>-15.61</v>
      </c>
      <c r="D46" s="37">
        <f>SOLIDDIFER!H59</f>
        <v>-12.3</v>
      </c>
      <c r="E46" s="37">
        <f>SOLIDDIFER!I59</f>
        <v>-10.01</v>
      </c>
      <c r="F46" s="37">
        <f>SOLIDDIFER!J59</f>
        <v>-8.0210000000000008</v>
      </c>
      <c r="G46" s="37">
        <f>SOLIDDIFER!K59</f>
        <v>-6.28</v>
      </c>
      <c r="H46" s="37">
        <f>SOLIDDIFER!L59</f>
        <v>-4.7359999999999998</v>
      </c>
      <c r="I46" s="37">
        <f>SOLIDDIFER!M59</f>
        <v>-4.141</v>
      </c>
      <c r="J46" s="37">
        <f>SOLIDDIFER!N59</f>
        <v>-4.2229999999999999</v>
      </c>
      <c r="K46" s="37">
        <f>SOLIDDIFER!O59</f>
        <v>-4.5529999999999999</v>
      </c>
      <c r="L46" s="37">
        <f>SOLIDDIFER!P59</f>
        <v>-4.8730000000000002</v>
      </c>
      <c r="M46" s="37">
        <f>SOLIDDIFER!Q59</f>
        <v>-5.1749999999999998</v>
      </c>
      <c r="N46" s="37">
        <f>SOLIDDIFER!R59</f>
        <v>-5.2469999999999999</v>
      </c>
      <c r="O46" s="37">
        <f>SOLIDDIFER!S59</f>
        <v>-5.3179999999999996</v>
      </c>
      <c r="P46" s="37">
        <f>SOLIDDIFER!T59</f>
        <v>-5.3890000000000002</v>
      </c>
      <c r="Q46" s="37">
        <f>SOLIDDIFER!U59</f>
        <v>-5.4580000000000002</v>
      </c>
      <c r="R46" s="37">
        <f>SOLIDDIFER!V59</f>
        <v>-5.7869999999999999</v>
      </c>
      <c r="S46" s="37">
        <f>SOLIDDIFER!W59</f>
        <v>-6.3879999999999999</v>
      </c>
      <c r="T46" s="37">
        <f>SOLIDDIFER!X59</f>
        <v>-6.5250000000000004</v>
      </c>
      <c r="U46" s="37">
        <f>SOLIDDIFER!Y59</f>
        <v>-6.6580000000000004</v>
      </c>
      <c r="V46" s="37">
        <f>SOLIDDIFER!Z59</f>
        <v>-6.7869999999999999</v>
      </c>
      <c r="W46" s="37">
        <f>SOLIDDIFER!AA59</f>
        <v>-6.9109999999999996</v>
      </c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</row>
    <row r="47" spans="1:194" s="49" customFormat="1" ht="21.75" outlineLevel="1" thickBot="1" x14ac:dyDescent="0.4">
      <c r="A47" s="78" t="str">
        <f>SOLIDDIFER!E60</f>
        <v>(l)Se[l]</v>
      </c>
      <c r="B47" s="37">
        <f>SOLIDDIFER!F60</f>
        <v>-19.05</v>
      </c>
      <c r="C47" s="37">
        <f>SOLIDDIFER!G60</f>
        <v>-19.489999999999998</v>
      </c>
      <c r="D47" s="37">
        <f>SOLIDDIFER!H60</f>
        <v>-19.97</v>
      </c>
      <c r="E47" s="37">
        <f>SOLIDDIFER!I60</f>
        <v>-20.47</v>
      </c>
      <c r="F47" s="37">
        <f>SOLIDDIFER!J60</f>
        <v>-20.98</v>
      </c>
      <c r="G47" s="37">
        <f>SOLIDDIFER!K60</f>
        <v>-21.49</v>
      </c>
      <c r="H47" s="37">
        <f>SOLIDDIFER!L60</f>
        <v>-22.01</v>
      </c>
      <c r="I47" s="37">
        <f>SOLIDDIFER!M60</f>
        <v>-22.51</v>
      </c>
      <c r="J47" s="37">
        <f>SOLIDDIFER!N60</f>
        <v>-23.02</v>
      </c>
      <c r="K47" s="37">
        <f>SOLIDDIFER!O60</f>
        <v>-24.96</v>
      </c>
      <c r="L47" s="37">
        <f>SOLIDDIFER!P60</f>
        <v>-26.77</v>
      </c>
      <c r="M47" s="37">
        <f>SOLIDDIFER!Q60</f>
        <v>-28.49</v>
      </c>
      <c r="N47" s="37">
        <f>SOLIDDIFER!R60</f>
        <v>-28.9</v>
      </c>
      <c r="O47" s="37">
        <f>SOLIDDIFER!S60</f>
        <v>-29.31</v>
      </c>
      <c r="P47" s="37">
        <f>SOLIDDIFER!T60</f>
        <v>-29.72</v>
      </c>
      <c r="Q47" s="37">
        <f>SOLIDDIFER!U60</f>
        <v>-30.12</v>
      </c>
      <c r="R47" s="37">
        <f>SOLIDDIFER!V60</f>
        <v>-31.69</v>
      </c>
      <c r="S47" s="37">
        <f>SOLIDDIFER!W60</f>
        <v>-33.22</v>
      </c>
      <c r="T47" s="37">
        <f>SOLIDDIFER!X60</f>
        <v>-33.590000000000003</v>
      </c>
      <c r="U47" s="37">
        <f>SOLIDDIFER!Y60</f>
        <v>-33.97</v>
      </c>
      <c r="V47" s="37">
        <f>SOLIDDIFER!Z60</f>
        <v>-34.340000000000003</v>
      </c>
      <c r="W47" s="37">
        <f>SOLIDDIFER!AA60</f>
        <v>-34.71</v>
      </c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</row>
    <row r="48" spans="1:194" s="49" customFormat="1" ht="21.75" outlineLevel="1" thickBot="1" x14ac:dyDescent="0.4">
      <c r="A48" s="78" t="str">
        <f>SOLIDDIFER!E61</f>
        <v>H (Ar)</v>
      </c>
      <c r="B48" s="37">
        <f>SOLIDDIFER!F61</f>
        <v>-18.79</v>
      </c>
      <c r="C48" s="37">
        <f>SOLIDDIFER!G61</f>
        <v>-18.809999999999999</v>
      </c>
      <c r="D48" s="37">
        <f>SOLIDDIFER!H61</f>
        <v>-18.84</v>
      </c>
      <c r="E48" s="37">
        <f>SOLIDDIFER!I61</f>
        <v>-18.89</v>
      </c>
      <c r="F48" s="37">
        <f>SOLIDDIFER!J61</f>
        <v>-18.95</v>
      </c>
      <c r="G48" s="37">
        <f>SOLIDDIFER!K61</f>
        <v>-19.010000000000002</v>
      </c>
      <c r="H48" s="37">
        <f>SOLIDDIFER!L61</f>
        <v>-19.07</v>
      </c>
      <c r="I48" s="37">
        <f>SOLIDDIFER!M61</f>
        <v>-19.07</v>
      </c>
      <c r="J48" s="37">
        <f>SOLIDDIFER!N61</f>
        <v>-19.03</v>
      </c>
      <c r="K48" s="37">
        <f>SOLIDDIFER!O61</f>
        <v>-19.309999999999999</v>
      </c>
      <c r="L48" s="37">
        <f>SOLIDDIFER!P61</f>
        <v>-19.57</v>
      </c>
      <c r="M48" s="37">
        <f>SOLIDDIFER!Q61</f>
        <v>-19.82</v>
      </c>
      <c r="N48" s="37">
        <f>SOLIDDIFER!R61</f>
        <v>-19.88</v>
      </c>
      <c r="O48" s="37">
        <f>SOLIDDIFER!S61</f>
        <v>-19.940000000000001</v>
      </c>
      <c r="P48" s="37">
        <f>SOLIDDIFER!T61</f>
        <v>-20</v>
      </c>
      <c r="Q48" s="37">
        <f>SOLIDDIFER!U61</f>
        <v>-20.05</v>
      </c>
      <c r="R48" s="37">
        <f>SOLIDDIFER!V61</f>
        <v>-20.260000000000002</v>
      </c>
      <c r="S48" s="37">
        <f>SOLIDDIFER!W61</f>
        <v>-20.46</v>
      </c>
      <c r="T48" s="37">
        <f>SOLIDDIFER!X61</f>
        <v>-20.51</v>
      </c>
      <c r="U48" s="37">
        <f>SOLIDDIFER!Y61</f>
        <v>-20.56</v>
      </c>
      <c r="V48" s="37">
        <f>SOLIDDIFER!Z61</f>
        <v>-20.6</v>
      </c>
      <c r="W48" s="37">
        <f>SOLIDDIFER!AA61</f>
        <v>-20.65</v>
      </c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</row>
    <row r="49" spans="1:194" s="49" customFormat="1" ht="21.75" outlineLevel="1" thickBot="1" x14ac:dyDescent="0.4">
      <c r="A49" s="78" t="str">
        <f>SOLIDDIFER!E62</f>
        <v>H (Ga)</v>
      </c>
      <c r="B49" s="37">
        <f>SOLIDDIFER!F62</f>
        <v>-65.599999999999994</v>
      </c>
      <c r="C49" s="37">
        <f>SOLIDDIFER!G62</f>
        <v>-56.67</v>
      </c>
      <c r="D49" s="37">
        <f>SOLIDDIFER!H62</f>
        <v>-49.27</v>
      </c>
      <c r="E49" s="37">
        <f>SOLIDDIFER!I62</f>
        <v>-43</v>
      </c>
      <c r="F49" s="37">
        <f>SOLIDDIFER!J62</f>
        <v>-37.630000000000003</v>
      </c>
      <c r="G49" s="37">
        <f>SOLIDDIFER!K62</f>
        <v>-32.94</v>
      </c>
      <c r="H49" s="37">
        <f>SOLIDDIFER!L62</f>
        <v>-28.82</v>
      </c>
      <c r="I49" s="37">
        <f>SOLIDDIFER!M62</f>
        <v>-25.41</v>
      </c>
      <c r="J49" s="37">
        <f>SOLIDDIFER!N62</f>
        <v>-26.73</v>
      </c>
      <c r="K49" s="37">
        <f>SOLIDDIFER!O62</f>
        <v>-31.78</v>
      </c>
      <c r="L49" s="37">
        <f>SOLIDDIFER!P62</f>
        <v>-36.28</v>
      </c>
      <c r="M49" s="37">
        <f>SOLIDDIFER!Q62</f>
        <v>-40.049999999999997</v>
      </c>
      <c r="N49" s="37">
        <f>SOLIDDIFER!R62</f>
        <v>-40.86</v>
      </c>
      <c r="O49" s="37">
        <f>SOLIDDIFER!S62</f>
        <v>-41.61</v>
      </c>
      <c r="P49" s="37">
        <f>SOLIDDIFER!T62</f>
        <v>-42.31</v>
      </c>
      <c r="Q49" s="37">
        <f>SOLIDDIFER!U62</f>
        <v>-42.94</v>
      </c>
      <c r="R49" s="37">
        <f>SOLIDDIFER!V62</f>
        <v>-44.86</v>
      </c>
      <c r="S49" s="37">
        <f>SOLIDDIFER!W62</f>
        <v>-45.72</v>
      </c>
      <c r="T49" s="37">
        <f>SOLIDDIFER!X62</f>
        <v>-45.76</v>
      </c>
      <c r="U49" s="37">
        <f>SOLIDDIFER!Y62</f>
        <v>-45.74</v>
      </c>
      <c r="V49" s="37">
        <f>SOLIDDIFER!Z62</f>
        <v>-45.64</v>
      </c>
      <c r="W49" s="37">
        <f>SOLIDDIFER!AA62</f>
        <v>-45.47</v>
      </c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</row>
    <row r="50" spans="1:194" s="49" customFormat="1" ht="21.75" outlineLevel="1" thickBot="1" x14ac:dyDescent="0.4">
      <c r="A50" s="78" t="str">
        <f>SOLIDDIFER!E63</f>
        <v>H (Ge)</v>
      </c>
      <c r="B50" s="37">
        <f>SOLIDDIFER!F63</f>
        <v>-21.03</v>
      </c>
      <c r="C50" s="37">
        <f>SOLIDDIFER!G63</f>
        <v>-15.61</v>
      </c>
      <c r="D50" s="37">
        <f>SOLIDDIFER!H63</f>
        <v>-12.3</v>
      </c>
      <c r="E50" s="37">
        <f>SOLIDDIFER!I63</f>
        <v>-10.01</v>
      </c>
      <c r="F50" s="37">
        <f>SOLIDDIFER!J63</f>
        <v>-8.0210000000000008</v>
      </c>
      <c r="G50" s="37">
        <f>SOLIDDIFER!K63</f>
        <v>-6.28</v>
      </c>
      <c r="H50" s="37">
        <f>SOLIDDIFER!L63</f>
        <v>-4.7359999999999998</v>
      </c>
      <c r="I50" s="37">
        <f>SOLIDDIFER!M63</f>
        <v>-4.141</v>
      </c>
      <c r="J50" s="37">
        <f>SOLIDDIFER!N63</f>
        <v>-4.2229999999999999</v>
      </c>
      <c r="K50" s="37">
        <f>SOLIDDIFER!O63</f>
        <v>-4.5529999999999999</v>
      </c>
      <c r="L50" s="37">
        <f>SOLIDDIFER!P63</f>
        <v>-4.8730000000000002</v>
      </c>
      <c r="M50" s="37">
        <f>SOLIDDIFER!Q63</f>
        <v>-5.1749999999999998</v>
      </c>
      <c r="N50" s="37">
        <f>SOLIDDIFER!R63</f>
        <v>-5.2469999999999999</v>
      </c>
      <c r="O50" s="37">
        <f>SOLIDDIFER!S63</f>
        <v>-5.3179999999999996</v>
      </c>
      <c r="P50" s="37">
        <f>SOLIDDIFER!T63</f>
        <v>-5.3890000000000002</v>
      </c>
      <c r="Q50" s="37">
        <f>SOLIDDIFER!U63</f>
        <v>-5.4580000000000002</v>
      </c>
      <c r="R50" s="37">
        <f>SOLIDDIFER!V63</f>
        <v>-5.7869999999999999</v>
      </c>
      <c r="S50" s="37">
        <f>SOLIDDIFER!W63</f>
        <v>-6.3879999999999999</v>
      </c>
      <c r="T50" s="37">
        <f>SOLIDDIFER!X63</f>
        <v>-6.5250000000000004</v>
      </c>
      <c r="U50" s="37">
        <f>SOLIDDIFER!Y63</f>
        <v>-6.6580000000000004</v>
      </c>
      <c r="V50" s="37">
        <f>SOLIDDIFER!Z63</f>
        <v>-6.7869999999999999</v>
      </c>
      <c r="W50" s="37">
        <f>SOLIDDIFER!AA63</f>
        <v>-6.9109999999999996</v>
      </c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</row>
    <row r="51" spans="1:194" s="49" customFormat="1" ht="21.75" outlineLevel="1" thickBot="1" x14ac:dyDescent="0.4">
      <c r="A51" s="78" t="str">
        <f>SOLIDDIFER!E64</f>
        <v>H (Se)</v>
      </c>
      <c r="B51" s="37">
        <f>SOLIDDIFER!F64</f>
        <v>-19.05</v>
      </c>
      <c r="C51" s="37">
        <f>SOLIDDIFER!G64</f>
        <v>-19.489999999999998</v>
      </c>
      <c r="D51" s="37">
        <f>SOLIDDIFER!H64</f>
        <v>-19.97</v>
      </c>
      <c r="E51" s="37">
        <f>SOLIDDIFER!I64</f>
        <v>-20.47</v>
      </c>
      <c r="F51" s="37">
        <f>SOLIDDIFER!J64</f>
        <v>-20.98</v>
      </c>
      <c r="G51" s="37">
        <f>SOLIDDIFER!K64</f>
        <v>-21.49</v>
      </c>
      <c r="H51" s="37">
        <f>SOLIDDIFER!L64</f>
        <v>-22.01</v>
      </c>
      <c r="I51" s="37">
        <f>SOLIDDIFER!M64</f>
        <v>-22.51</v>
      </c>
      <c r="J51" s="37">
        <f>SOLIDDIFER!N64</f>
        <v>-23.02</v>
      </c>
      <c r="K51" s="37">
        <f>SOLIDDIFER!O64</f>
        <v>-24.96</v>
      </c>
      <c r="L51" s="37">
        <f>SOLIDDIFER!P64</f>
        <v>-26.77</v>
      </c>
      <c r="M51" s="37">
        <f>SOLIDDIFER!Q64</f>
        <v>-28.49</v>
      </c>
      <c r="N51" s="37">
        <f>SOLIDDIFER!R64</f>
        <v>-28.9</v>
      </c>
      <c r="O51" s="37">
        <f>SOLIDDIFER!S64</f>
        <v>-29.31</v>
      </c>
      <c r="P51" s="37">
        <f>SOLIDDIFER!T64</f>
        <v>-29.72</v>
      </c>
      <c r="Q51" s="37">
        <f>SOLIDDIFER!U64</f>
        <v>-30.12</v>
      </c>
      <c r="R51" s="37">
        <f>SOLIDDIFER!V64</f>
        <v>-31.69</v>
      </c>
      <c r="S51" s="37">
        <f>SOLIDDIFER!W64</f>
        <v>-33.22</v>
      </c>
      <c r="T51" s="37">
        <f>SOLIDDIFER!X64</f>
        <v>-33.590000000000003</v>
      </c>
      <c r="U51" s="37">
        <f>SOLIDDIFER!Y64</f>
        <v>-33.97</v>
      </c>
      <c r="V51" s="37">
        <f>SOLIDDIFER!Z64</f>
        <v>-34.340000000000003</v>
      </c>
      <c r="W51" s="37">
        <f>SOLIDDIFER!AA64</f>
        <v>-34.71</v>
      </c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</row>
    <row r="52" spans="1:194" s="49" customFormat="1" ht="21.75" outlineLevel="1" thickBot="1" x14ac:dyDescent="0.4">
      <c r="A52" s="78">
        <f>SOLIDDIFER!E65</f>
        <v>0</v>
      </c>
      <c r="B52" s="37">
        <f>SOLIDDIFER!F65</f>
        <v>0</v>
      </c>
      <c r="C52" s="37">
        <f>SOLIDDIFER!G65</f>
        <v>0</v>
      </c>
      <c r="D52" s="37">
        <f>SOLIDDIFER!H65</f>
        <v>0</v>
      </c>
      <c r="E52" s="37">
        <f>SOLIDDIFER!I65</f>
        <v>0</v>
      </c>
      <c r="F52" s="37">
        <f>SOLIDDIFER!J65</f>
        <v>0</v>
      </c>
      <c r="G52" s="37">
        <f>SOLIDDIFER!K65</f>
        <v>0</v>
      </c>
      <c r="H52" s="37">
        <f>SOLIDDIFER!L65</f>
        <v>0</v>
      </c>
      <c r="I52" s="37">
        <f>SOLIDDIFER!M65</f>
        <v>0</v>
      </c>
      <c r="J52" s="37">
        <f>SOLIDDIFER!N65</f>
        <v>0</v>
      </c>
      <c r="K52" s="37">
        <f>SOLIDDIFER!O65</f>
        <v>0</v>
      </c>
      <c r="L52" s="37">
        <f>SOLIDDIFER!P65</f>
        <v>0</v>
      </c>
      <c r="M52" s="37">
        <f>SOLIDDIFER!Q65</f>
        <v>0</v>
      </c>
      <c r="N52" s="37">
        <f>SOLIDDIFER!R65</f>
        <v>0</v>
      </c>
      <c r="O52" s="37">
        <f>SOLIDDIFER!S65</f>
        <v>0</v>
      </c>
      <c r="P52" s="37">
        <f>SOLIDDIFER!T65</f>
        <v>0</v>
      </c>
      <c r="Q52" s="37">
        <f>SOLIDDIFER!U65</f>
        <v>0</v>
      </c>
      <c r="R52" s="37">
        <f>SOLIDDIFER!V65</f>
        <v>0</v>
      </c>
      <c r="S52" s="37">
        <f>SOLIDDIFER!W65</f>
        <v>0</v>
      </c>
      <c r="T52" s="37">
        <f>SOLIDDIFER!X65</f>
        <v>0</v>
      </c>
      <c r="U52" s="37">
        <f>SOLIDDIFER!Y65</f>
        <v>0</v>
      </c>
      <c r="V52" s="37">
        <f>SOLIDDIFER!Z65</f>
        <v>0</v>
      </c>
      <c r="W52" s="37">
        <f>SOLIDDIFER!AA65</f>
        <v>0</v>
      </c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</row>
    <row r="53" spans="1:194" s="49" customFormat="1" ht="21.75" outlineLevel="1" thickBot="1" x14ac:dyDescent="0.4">
      <c r="A53" s="78">
        <f>SOLIDDIFER!E66</f>
        <v>0</v>
      </c>
      <c r="B53" s="37">
        <f>SOLIDDIFER!F66</f>
        <v>0</v>
      </c>
      <c r="C53" s="37">
        <f>SOLIDDIFER!G66</f>
        <v>0</v>
      </c>
      <c r="D53" s="37">
        <f>SOLIDDIFER!H66</f>
        <v>0</v>
      </c>
      <c r="E53" s="37">
        <f>SOLIDDIFER!I66</f>
        <v>0</v>
      </c>
      <c r="F53" s="37">
        <f>SOLIDDIFER!J66</f>
        <v>0</v>
      </c>
      <c r="G53" s="37">
        <f>SOLIDDIFER!K66</f>
        <v>0</v>
      </c>
      <c r="H53" s="37">
        <f>SOLIDDIFER!L66</f>
        <v>0</v>
      </c>
      <c r="I53" s="37">
        <f>SOLIDDIFER!M66</f>
        <v>0</v>
      </c>
      <c r="J53" s="37">
        <f>SOLIDDIFER!N66</f>
        <v>0</v>
      </c>
      <c r="K53" s="37">
        <f>SOLIDDIFER!O66</f>
        <v>0</v>
      </c>
      <c r="L53" s="37">
        <f>SOLIDDIFER!P66</f>
        <v>0</v>
      </c>
      <c r="M53" s="37">
        <f>SOLIDDIFER!Q66</f>
        <v>0</v>
      </c>
      <c r="N53" s="37">
        <f>SOLIDDIFER!R66</f>
        <v>0</v>
      </c>
      <c r="O53" s="37">
        <f>SOLIDDIFER!S66</f>
        <v>0</v>
      </c>
      <c r="P53" s="37">
        <f>SOLIDDIFER!T66</f>
        <v>0</v>
      </c>
      <c r="Q53" s="37">
        <f>SOLIDDIFER!U66</f>
        <v>0</v>
      </c>
      <c r="R53" s="37">
        <f>SOLIDDIFER!V66</f>
        <v>0</v>
      </c>
      <c r="S53" s="37">
        <f>SOLIDDIFER!W66</f>
        <v>0</v>
      </c>
      <c r="T53" s="37">
        <f>SOLIDDIFER!X66</f>
        <v>0</v>
      </c>
      <c r="U53" s="37">
        <f>SOLIDDIFER!Y66</f>
        <v>0</v>
      </c>
      <c r="V53" s="37">
        <f>SOLIDDIFER!Z66</f>
        <v>0</v>
      </c>
      <c r="W53" s="37">
        <f>SOLIDDIFER!AA66</f>
        <v>0</v>
      </c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</row>
    <row r="54" spans="1:194" s="49" customFormat="1" ht="21.75" outlineLevel="1" thickBot="1" x14ac:dyDescent="0.4">
      <c r="A54" s="78">
        <f>SOLIDDIFER!E67</f>
        <v>0</v>
      </c>
      <c r="B54" s="37">
        <f>SOLIDDIFER!F67</f>
        <v>0</v>
      </c>
      <c r="C54" s="37">
        <f>SOLIDDIFER!G67</f>
        <v>0</v>
      </c>
      <c r="D54" s="37">
        <f>SOLIDDIFER!H67</f>
        <v>0</v>
      </c>
      <c r="E54" s="37">
        <f>SOLIDDIFER!I67</f>
        <v>0</v>
      </c>
      <c r="F54" s="37">
        <f>SOLIDDIFER!J67</f>
        <v>0</v>
      </c>
      <c r="G54" s="37">
        <f>SOLIDDIFER!K67</f>
        <v>0</v>
      </c>
      <c r="H54" s="37">
        <f>SOLIDDIFER!L67</f>
        <v>0</v>
      </c>
      <c r="I54" s="37">
        <f>SOLIDDIFER!M67</f>
        <v>0</v>
      </c>
      <c r="J54" s="37">
        <f>SOLIDDIFER!N67</f>
        <v>0</v>
      </c>
      <c r="K54" s="37">
        <f>SOLIDDIFER!O67</f>
        <v>0</v>
      </c>
      <c r="L54" s="37">
        <f>SOLIDDIFER!P67</f>
        <v>0</v>
      </c>
      <c r="M54" s="37">
        <f>SOLIDDIFER!Q67</f>
        <v>0</v>
      </c>
      <c r="N54" s="37">
        <f>SOLIDDIFER!R67</f>
        <v>0</v>
      </c>
      <c r="O54" s="37">
        <f>SOLIDDIFER!S67</f>
        <v>0</v>
      </c>
      <c r="P54" s="37">
        <f>SOLIDDIFER!T67</f>
        <v>0</v>
      </c>
      <c r="Q54" s="37">
        <f>SOLIDDIFER!U67</f>
        <v>0</v>
      </c>
      <c r="R54" s="37">
        <f>SOLIDDIFER!V67</f>
        <v>0</v>
      </c>
      <c r="S54" s="37">
        <f>SOLIDDIFER!W67</f>
        <v>0</v>
      </c>
      <c r="T54" s="37">
        <f>SOLIDDIFER!X67</f>
        <v>0</v>
      </c>
      <c r="U54" s="37">
        <f>SOLIDDIFER!Y67</f>
        <v>0</v>
      </c>
      <c r="V54" s="37">
        <f>SOLIDDIFER!Z67</f>
        <v>0</v>
      </c>
      <c r="W54" s="37">
        <f>SOLIDDIFER!AA67</f>
        <v>0</v>
      </c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</row>
    <row r="55" spans="1:194" s="49" customFormat="1" ht="21.75" outlineLevel="1" thickBot="1" x14ac:dyDescent="0.4">
      <c r="A55" s="78">
        <f>SOLIDDIFER!E68</f>
        <v>0</v>
      </c>
      <c r="B55" s="37">
        <f>SOLIDDIFER!F68</f>
        <v>0</v>
      </c>
      <c r="C55" s="37">
        <f>SOLIDDIFER!G68</f>
        <v>0</v>
      </c>
      <c r="D55" s="37">
        <f>SOLIDDIFER!H68</f>
        <v>0</v>
      </c>
      <c r="E55" s="37">
        <f>SOLIDDIFER!I68</f>
        <v>0</v>
      </c>
      <c r="F55" s="37">
        <f>SOLIDDIFER!J68</f>
        <v>0</v>
      </c>
      <c r="G55" s="37">
        <f>SOLIDDIFER!K68</f>
        <v>0</v>
      </c>
      <c r="H55" s="37">
        <f>SOLIDDIFER!L68</f>
        <v>0</v>
      </c>
      <c r="I55" s="37">
        <f>SOLIDDIFER!M68</f>
        <v>0</v>
      </c>
      <c r="J55" s="37">
        <f>SOLIDDIFER!N68</f>
        <v>0</v>
      </c>
      <c r="K55" s="37">
        <f>SOLIDDIFER!O68</f>
        <v>0</v>
      </c>
      <c r="L55" s="37">
        <f>SOLIDDIFER!P68</f>
        <v>0</v>
      </c>
      <c r="M55" s="37">
        <f>SOLIDDIFER!Q68</f>
        <v>0</v>
      </c>
      <c r="N55" s="37">
        <f>SOLIDDIFER!R68</f>
        <v>0</v>
      </c>
      <c r="O55" s="37">
        <f>SOLIDDIFER!S68</f>
        <v>0</v>
      </c>
      <c r="P55" s="37">
        <f>SOLIDDIFER!T68</f>
        <v>0</v>
      </c>
      <c r="Q55" s="37">
        <f>SOLIDDIFER!U68</f>
        <v>0</v>
      </c>
      <c r="R55" s="37">
        <f>SOLIDDIFER!V68</f>
        <v>0</v>
      </c>
      <c r="S55" s="37">
        <f>SOLIDDIFER!W68</f>
        <v>0</v>
      </c>
      <c r="T55" s="37">
        <f>SOLIDDIFER!X68</f>
        <v>0</v>
      </c>
      <c r="U55" s="37">
        <f>SOLIDDIFER!Y68</f>
        <v>0</v>
      </c>
      <c r="V55" s="37">
        <f>SOLIDDIFER!Z68</f>
        <v>0</v>
      </c>
      <c r="W55" s="37">
        <f>SOLIDDIFER!AA68</f>
        <v>0</v>
      </c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</row>
    <row r="56" spans="1:194" s="49" customFormat="1" ht="21.75" outlineLevel="1" thickBot="1" x14ac:dyDescent="0.4">
      <c r="A56" s="78">
        <f>SOLIDDIFER!E69</f>
        <v>0</v>
      </c>
      <c r="B56" s="37">
        <f>SOLIDDIFER!F69</f>
        <v>0</v>
      </c>
      <c r="C56" s="37">
        <f>SOLIDDIFER!G69</f>
        <v>0</v>
      </c>
      <c r="D56" s="37">
        <f>SOLIDDIFER!H69</f>
        <v>0</v>
      </c>
      <c r="E56" s="37">
        <f>SOLIDDIFER!I69</f>
        <v>0</v>
      </c>
      <c r="F56" s="37">
        <f>SOLIDDIFER!J69</f>
        <v>0</v>
      </c>
      <c r="G56" s="37">
        <f>SOLIDDIFER!K69</f>
        <v>0</v>
      </c>
      <c r="H56" s="37">
        <f>SOLIDDIFER!L69</f>
        <v>0</v>
      </c>
      <c r="I56" s="37">
        <f>SOLIDDIFER!M69</f>
        <v>0</v>
      </c>
      <c r="J56" s="37">
        <f>SOLIDDIFER!N69</f>
        <v>0</v>
      </c>
      <c r="K56" s="37">
        <f>SOLIDDIFER!O69</f>
        <v>0</v>
      </c>
      <c r="L56" s="37">
        <f>SOLIDDIFER!P69</f>
        <v>0</v>
      </c>
      <c r="M56" s="37">
        <f>SOLIDDIFER!Q69</f>
        <v>0</v>
      </c>
      <c r="N56" s="37">
        <f>SOLIDDIFER!R69</f>
        <v>0</v>
      </c>
      <c r="O56" s="37">
        <f>SOLIDDIFER!S69</f>
        <v>0</v>
      </c>
      <c r="P56" s="37">
        <f>SOLIDDIFER!T69</f>
        <v>0</v>
      </c>
      <c r="Q56" s="37">
        <f>SOLIDDIFER!U69</f>
        <v>0</v>
      </c>
      <c r="R56" s="37">
        <f>SOLIDDIFER!V69</f>
        <v>0</v>
      </c>
      <c r="S56" s="37">
        <f>SOLIDDIFER!W69</f>
        <v>0</v>
      </c>
      <c r="T56" s="37">
        <f>SOLIDDIFER!X69</f>
        <v>0</v>
      </c>
      <c r="U56" s="37">
        <f>SOLIDDIFER!Y69</f>
        <v>0</v>
      </c>
      <c r="V56" s="37">
        <f>SOLIDDIFER!Z69</f>
        <v>0</v>
      </c>
      <c r="W56" s="37">
        <f>SOLIDDIFER!AA69</f>
        <v>0</v>
      </c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</row>
    <row r="57" spans="1:194" s="49" customFormat="1" ht="21.75" outlineLevel="1" thickBot="1" x14ac:dyDescent="0.4">
      <c r="A57" s="78">
        <f>SOLIDDIFER!E70</f>
        <v>0</v>
      </c>
      <c r="B57" s="37">
        <f>SOLIDDIFER!F70</f>
        <v>0</v>
      </c>
      <c r="C57" s="37">
        <f>SOLIDDIFER!G70</f>
        <v>0</v>
      </c>
      <c r="D57" s="37">
        <f>SOLIDDIFER!H70</f>
        <v>0</v>
      </c>
      <c r="E57" s="37">
        <f>SOLIDDIFER!I70</f>
        <v>0</v>
      </c>
      <c r="F57" s="37">
        <f>SOLIDDIFER!J70</f>
        <v>0</v>
      </c>
      <c r="G57" s="37">
        <f>SOLIDDIFER!K70</f>
        <v>0</v>
      </c>
      <c r="H57" s="37">
        <f>SOLIDDIFER!L70</f>
        <v>0</v>
      </c>
      <c r="I57" s="37">
        <f>SOLIDDIFER!M70</f>
        <v>0</v>
      </c>
      <c r="J57" s="37">
        <f>SOLIDDIFER!N70</f>
        <v>0</v>
      </c>
      <c r="K57" s="37">
        <f>SOLIDDIFER!O70</f>
        <v>0</v>
      </c>
      <c r="L57" s="37">
        <f>SOLIDDIFER!P70</f>
        <v>0</v>
      </c>
      <c r="M57" s="37">
        <f>SOLIDDIFER!Q70</f>
        <v>0</v>
      </c>
      <c r="N57" s="37">
        <f>SOLIDDIFER!R70</f>
        <v>0</v>
      </c>
      <c r="O57" s="37">
        <f>SOLIDDIFER!S70</f>
        <v>0</v>
      </c>
      <c r="P57" s="37">
        <f>SOLIDDIFER!T70</f>
        <v>0</v>
      </c>
      <c r="Q57" s="37">
        <f>SOLIDDIFER!U70</f>
        <v>0</v>
      </c>
      <c r="R57" s="37">
        <f>SOLIDDIFER!V70</f>
        <v>0</v>
      </c>
      <c r="S57" s="37">
        <f>SOLIDDIFER!W70</f>
        <v>0</v>
      </c>
      <c r="T57" s="37">
        <f>SOLIDDIFER!X70</f>
        <v>0</v>
      </c>
      <c r="U57" s="37">
        <f>SOLIDDIFER!Y70</f>
        <v>0</v>
      </c>
      <c r="V57" s="37">
        <f>SOLIDDIFER!Z70</f>
        <v>0</v>
      </c>
      <c r="W57" s="37">
        <f>SOLIDDIFER!AA70</f>
        <v>0</v>
      </c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</row>
    <row r="58" spans="1:194" s="49" customFormat="1" ht="21.75" outlineLevel="1" thickBot="1" x14ac:dyDescent="0.4">
      <c r="A58" s="78">
        <f>SOLIDDIFER!E71</f>
        <v>0</v>
      </c>
      <c r="B58" s="37">
        <f>SOLIDDIFER!F71</f>
        <v>0</v>
      </c>
      <c r="C58" s="37">
        <f>SOLIDDIFER!G71</f>
        <v>0</v>
      </c>
      <c r="D58" s="37">
        <f>SOLIDDIFER!H71</f>
        <v>0</v>
      </c>
      <c r="E58" s="37">
        <f>SOLIDDIFER!I71</f>
        <v>0</v>
      </c>
      <c r="F58" s="37">
        <f>SOLIDDIFER!J71</f>
        <v>0</v>
      </c>
      <c r="G58" s="37">
        <f>SOLIDDIFER!K71</f>
        <v>0</v>
      </c>
      <c r="H58" s="37">
        <f>SOLIDDIFER!L71</f>
        <v>0</v>
      </c>
      <c r="I58" s="37">
        <f>SOLIDDIFER!M71</f>
        <v>0</v>
      </c>
      <c r="J58" s="37">
        <f>SOLIDDIFER!N71</f>
        <v>0</v>
      </c>
      <c r="K58" s="37">
        <f>SOLIDDIFER!O71</f>
        <v>0</v>
      </c>
      <c r="L58" s="37">
        <f>SOLIDDIFER!P71</f>
        <v>0</v>
      </c>
      <c r="M58" s="37">
        <f>SOLIDDIFER!Q71</f>
        <v>0</v>
      </c>
      <c r="N58" s="37">
        <f>SOLIDDIFER!R71</f>
        <v>0</v>
      </c>
      <c r="O58" s="37">
        <f>SOLIDDIFER!S71</f>
        <v>0</v>
      </c>
      <c r="P58" s="37">
        <f>SOLIDDIFER!T71</f>
        <v>0</v>
      </c>
      <c r="Q58" s="37">
        <f>SOLIDDIFER!U71</f>
        <v>0</v>
      </c>
      <c r="R58" s="37">
        <f>SOLIDDIFER!V71</f>
        <v>0</v>
      </c>
      <c r="S58" s="37">
        <f>SOLIDDIFER!W71</f>
        <v>0</v>
      </c>
      <c r="T58" s="37">
        <f>SOLIDDIFER!X71</f>
        <v>0</v>
      </c>
      <c r="U58" s="37">
        <f>SOLIDDIFER!Y71</f>
        <v>0</v>
      </c>
      <c r="V58" s="37">
        <f>SOLIDDIFER!Z71</f>
        <v>0</v>
      </c>
      <c r="W58" s="37">
        <f>SOLIDDIFER!AA71</f>
        <v>0</v>
      </c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</row>
    <row r="59" spans="1:194" s="49" customFormat="1" ht="21.75" outlineLevel="1" thickBot="1" x14ac:dyDescent="0.4">
      <c r="A59" s="78">
        <f>SOLIDDIFER!E72</f>
        <v>0</v>
      </c>
      <c r="B59" s="37">
        <f>SOLIDDIFER!F72</f>
        <v>0</v>
      </c>
      <c r="C59" s="37">
        <f>SOLIDDIFER!G72</f>
        <v>0</v>
      </c>
      <c r="D59" s="37">
        <f>SOLIDDIFER!H72</f>
        <v>0</v>
      </c>
      <c r="E59" s="37">
        <f>SOLIDDIFER!I72</f>
        <v>0</v>
      </c>
      <c r="F59" s="37">
        <f>SOLIDDIFER!J72</f>
        <v>0</v>
      </c>
      <c r="G59" s="37">
        <f>SOLIDDIFER!K72</f>
        <v>0</v>
      </c>
      <c r="H59" s="37">
        <f>SOLIDDIFER!L72</f>
        <v>0</v>
      </c>
      <c r="I59" s="37">
        <f>SOLIDDIFER!M72</f>
        <v>0</v>
      </c>
      <c r="J59" s="37">
        <f>SOLIDDIFER!N72</f>
        <v>0</v>
      </c>
      <c r="K59" s="37">
        <f>SOLIDDIFER!O72</f>
        <v>0</v>
      </c>
      <c r="L59" s="37">
        <f>SOLIDDIFER!P72</f>
        <v>0</v>
      </c>
      <c r="M59" s="37">
        <f>SOLIDDIFER!Q72</f>
        <v>0</v>
      </c>
      <c r="N59" s="37">
        <f>SOLIDDIFER!R72</f>
        <v>0</v>
      </c>
      <c r="O59" s="37">
        <f>SOLIDDIFER!S72</f>
        <v>0</v>
      </c>
      <c r="P59" s="37">
        <f>SOLIDDIFER!T72</f>
        <v>0</v>
      </c>
      <c r="Q59" s="37">
        <f>SOLIDDIFER!U72</f>
        <v>0</v>
      </c>
      <c r="R59" s="37">
        <f>SOLIDDIFER!V72</f>
        <v>0</v>
      </c>
      <c r="S59" s="37">
        <f>SOLIDDIFER!W72</f>
        <v>0</v>
      </c>
      <c r="T59" s="37">
        <f>SOLIDDIFER!X72</f>
        <v>0</v>
      </c>
      <c r="U59" s="37">
        <f>SOLIDDIFER!Y72</f>
        <v>0</v>
      </c>
      <c r="V59" s="37">
        <f>SOLIDDIFER!Z72</f>
        <v>0</v>
      </c>
      <c r="W59" s="37">
        <f>SOLIDDIFER!AA72</f>
        <v>0</v>
      </c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</row>
    <row r="60" spans="1:194" s="49" customFormat="1" ht="21.75" outlineLevel="1" thickBot="1" x14ac:dyDescent="0.4">
      <c r="A60" s="78">
        <f>SOLIDDIFER!E73</f>
        <v>0</v>
      </c>
      <c r="B60" s="37">
        <f>SOLIDDIFER!F73</f>
        <v>0</v>
      </c>
      <c r="C60" s="37">
        <f>SOLIDDIFER!G73</f>
        <v>0</v>
      </c>
      <c r="D60" s="37">
        <f>SOLIDDIFER!H73</f>
        <v>0</v>
      </c>
      <c r="E60" s="37">
        <f>SOLIDDIFER!I73</f>
        <v>0</v>
      </c>
      <c r="F60" s="37">
        <f>SOLIDDIFER!J73</f>
        <v>0</v>
      </c>
      <c r="G60" s="37">
        <f>SOLIDDIFER!K73</f>
        <v>0</v>
      </c>
      <c r="H60" s="37">
        <f>SOLIDDIFER!L73</f>
        <v>0</v>
      </c>
      <c r="I60" s="37">
        <f>SOLIDDIFER!M73</f>
        <v>0</v>
      </c>
      <c r="J60" s="37">
        <f>SOLIDDIFER!N73</f>
        <v>0</v>
      </c>
      <c r="K60" s="37">
        <f>SOLIDDIFER!O73</f>
        <v>0</v>
      </c>
      <c r="L60" s="37">
        <f>SOLIDDIFER!P73</f>
        <v>0</v>
      </c>
      <c r="M60" s="37">
        <f>SOLIDDIFER!Q73</f>
        <v>0</v>
      </c>
      <c r="N60" s="37">
        <f>SOLIDDIFER!R73</f>
        <v>0</v>
      </c>
      <c r="O60" s="37">
        <f>SOLIDDIFER!S73</f>
        <v>0</v>
      </c>
      <c r="P60" s="37">
        <f>SOLIDDIFER!T73</f>
        <v>0</v>
      </c>
      <c r="Q60" s="37">
        <f>SOLIDDIFER!U73</f>
        <v>0</v>
      </c>
      <c r="R60" s="37">
        <f>SOLIDDIFER!V73</f>
        <v>0</v>
      </c>
      <c r="S60" s="37">
        <f>SOLIDDIFER!W73</f>
        <v>0</v>
      </c>
      <c r="T60" s="37">
        <f>SOLIDDIFER!X73</f>
        <v>0</v>
      </c>
      <c r="U60" s="37">
        <f>SOLIDDIFER!Y73</f>
        <v>0</v>
      </c>
      <c r="V60" s="37">
        <f>SOLIDDIFER!Z73</f>
        <v>0</v>
      </c>
      <c r="W60" s="37">
        <f>SOLIDDIFER!AA73</f>
        <v>0</v>
      </c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</row>
    <row r="61" spans="1:194" s="49" customFormat="1" ht="21.75" outlineLevel="1" thickBot="1" x14ac:dyDescent="0.4">
      <c r="A61" s="78">
        <f>SOLIDDIFER!E74</f>
        <v>0</v>
      </c>
      <c r="B61" s="37">
        <f>SOLIDDIFER!F74</f>
        <v>0</v>
      </c>
      <c r="C61" s="37">
        <f>SOLIDDIFER!G74</f>
        <v>0</v>
      </c>
      <c r="D61" s="37">
        <f>SOLIDDIFER!H74</f>
        <v>0</v>
      </c>
      <c r="E61" s="37">
        <f>SOLIDDIFER!I74</f>
        <v>0</v>
      </c>
      <c r="F61" s="37">
        <f>SOLIDDIFER!J74</f>
        <v>0</v>
      </c>
      <c r="G61" s="37">
        <f>SOLIDDIFER!K74</f>
        <v>0</v>
      </c>
      <c r="H61" s="37">
        <f>SOLIDDIFER!L74</f>
        <v>0</v>
      </c>
      <c r="I61" s="37">
        <f>SOLIDDIFER!M74</f>
        <v>0</v>
      </c>
      <c r="J61" s="37">
        <f>SOLIDDIFER!N74</f>
        <v>0</v>
      </c>
      <c r="K61" s="37">
        <f>SOLIDDIFER!O74</f>
        <v>0</v>
      </c>
      <c r="L61" s="37">
        <f>SOLIDDIFER!P74</f>
        <v>0</v>
      </c>
      <c r="M61" s="37">
        <f>SOLIDDIFER!Q74</f>
        <v>0</v>
      </c>
      <c r="N61" s="37">
        <f>SOLIDDIFER!R74</f>
        <v>0</v>
      </c>
      <c r="O61" s="37">
        <f>SOLIDDIFER!S74</f>
        <v>0</v>
      </c>
      <c r="P61" s="37">
        <f>SOLIDDIFER!T74</f>
        <v>0</v>
      </c>
      <c r="Q61" s="37">
        <f>SOLIDDIFER!U74</f>
        <v>0</v>
      </c>
      <c r="R61" s="37">
        <f>SOLIDDIFER!V74</f>
        <v>0</v>
      </c>
      <c r="S61" s="37">
        <f>SOLIDDIFER!W74</f>
        <v>0</v>
      </c>
      <c r="T61" s="37">
        <f>SOLIDDIFER!X74</f>
        <v>0</v>
      </c>
      <c r="U61" s="37">
        <f>SOLIDDIFER!Y74</f>
        <v>0</v>
      </c>
      <c r="V61" s="37">
        <f>SOLIDDIFER!Z74</f>
        <v>0</v>
      </c>
      <c r="W61" s="37">
        <f>SOLIDDIFER!AA74</f>
        <v>0</v>
      </c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</row>
    <row r="62" spans="1:194" s="49" customFormat="1" ht="21.75" outlineLevel="1" thickBot="1" x14ac:dyDescent="0.4">
      <c r="A62" s="78">
        <f>SOLIDDIFER!E75</f>
        <v>0</v>
      </c>
      <c r="B62" s="37">
        <f>SOLIDDIFER!F75</f>
        <v>0</v>
      </c>
      <c r="C62" s="37">
        <f>SOLIDDIFER!G75</f>
        <v>0</v>
      </c>
      <c r="D62" s="37">
        <f>SOLIDDIFER!H75</f>
        <v>0</v>
      </c>
      <c r="E62" s="37">
        <f>SOLIDDIFER!I75</f>
        <v>0</v>
      </c>
      <c r="F62" s="37">
        <f>SOLIDDIFER!J75</f>
        <v>0</v>
      </c>
      <c r="G62" s="37">
        <f>SOLIDDIFER!K75</f>
        <v>0</v>
      </c>
      <c r="H62" s="37">
        <f>SOLIDDIFER!L75</f>
        <v>0</v>
      </c>
      <c r="I62" s="37">
        <f>SOLIDDIFER!M75</f>
        <v>0</v>
      </c>
      <c r="J62" s="37">
        <f>SOLIDDIFER!N75</f>
        <v>0</v>
      </c>
      <c r="K62" s="37">
        <f>SOLIDDIFER!O75</f>
        <v>0</v>
      </c>
      <c r="L62" s="37">
        <f>SOLIDDIFER!P75</f>
        <v>0</v>
      </c>
      <c r="M62" s="37">
        <f>SOLIDDIFER!Q75</f>
        <v>0</v>
      </c>
      <c r="N62" s="37">
        <f>SOLIDDIFER!R75</f>
        <v>0</v>
      </c>
      <c r="O62" s="37">
        <f>SOLIDDIFER!S75</f>
        <v>0</v>
      </c>
      <c r="P62" s="37">
        <f>SOLIDDIFER!T75</f>
        <v>0</v>
      </c>
      <c r="Q62" s="37">
        <f>SOLIDDIFER!U75</f>
        <v>0</v>
      </c>
      <c r="R62" s="37">
        <f>SOLIDDIFER!V75</f>
        <v>0</v>
      </c>
      <c r="S62" s="37">
        <f>SOLIDDIFER!W75</f>
        <v>0</v>
      </c>
      <c r="T62" s="37">
        <f>SOLIDDIFER!X75</f>
        <v>0</v>
      </c>
      <c r="U62" s="37">
        <f>SOLIDDIFER!Y75</f>
        <v>0</v>
      </c>
      <c r="V62" s="37">
        <f>SOLIDDIFER!Z75</f>
        <v>0</v>
      </c>
      <c r="W62" s="37">
        <f>SOLIDDIFER!AA75</f>
        <v>0</v>
      </c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</row>
    <row r="63" spans="1:194" s="49" customFormat="1" ht="21.75" outlineLevel="1" thickBot="1" x14ac:dyDescent="0.4">
      <c r="A63" s="78">
        <f>SOLIDDIFER!E76</f>
        <v>0</v>
      </c>
      <c r="B63" s="37">
        <f>SOLIDDIFER!F76</f>
        <v>0</v>
      </c>
      <c r="C63" s="37">
        <f>SOLIDDIFER!G76</f>
        <v>0</v>
      </c>
      <c r="D63" s="37">
        <f>SOLIDDIFER!H76</f>
        <v>0</v>
      </c>
      <c r="E63" s="37">
        <f>SOLIDDIFER!I76</f>
        <v>0</v>
      </c>
      <c r="F63" s="37">
        <f>SOLIDDIFER!J76</f>
        <v>0</v>
      </c>
      <c r="G63" s="37">
        <f>SOLIDDIFER!K76</f>
        <v>0</v>
      </c>
      <c r="H63" s="37">
        <f>SOLIDDIFER!L76</f>
        <v>0</v>
      </c>
      <c r="I63" s="37">
        <f>SOLIDDIFER!M76</f>
        <v>0</v>
      </c>
      <c r="J63" s="37">
        <f>SOLIDDIFER!N76</f>
        <v>0</v>
      </c>
      <c r="K63" s="37">
        <f>SOLIDDIFER!O76</f>
        <v>0</v>
      </c>
      <c r="L63" s="37">
        <f>SOLIDDIFER!P76</f>
        <v>0</v>
      </c>
      <c r="M63" s="37">
        <f>SOLIDDIFER!Q76</f>
        <v>0</v>
      </c>
      <c r="N63" s="37">
        <f>SOLIDDIFER!R76</f>
        <v>0</v>
      </c>
      <c r="O63" s="37">
        <f>SOLIDDIFER!S76</f>
        <v>0</v>
      </c>
      <c r="P63" s="37">
        <f>SOLIDDIFER!T76</f>
        <v>0</v>
      </c>
      <c r="Q63" s="37">
        <f>SOLIDDIFER!U76</f>
        <v>0</v>
      </c>
      <c r="R63" s="37">
        <f>SOLIDDIFER!V76</f>
        <v>0</v>
      </c>
      <c r="S63" s="37">
        <f>SOLIDDIFER!W76</f>
        <v>0</v>
      </c>
      <c r="T63" s="37">
        <f>SOLIDDIFER!X76</f>
        <v>0</v>
      </c>
      <c r="U63" s="37">
        <f>SOLIDDIFER!Y76</f>
        <v>0</v>
      </c>
      <c r="V63" s="37">
        <f>SOLIDDIFER!Z76</f>
        <v>0</v>
      </c>
      <c r="W63" s="37">
        <f>SOLIDDIFER!AA76</f>
        <v>0</v>
      </c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</row>
    <row r="64" spans="1:194" s="49" customFormat="1" ht="21.75" outlineLevel="1" thickBot="1" x14ac:dyDescent="0.4">
      <c r="A64" s="78">
        <f>SOLIDDIFER!E77</f>
        <v>1</v>
      </c>
      <c r="B64" s="37">
        <f>SOLIDDIFER!F77</f>
        <v>0</v>
      </c>
      <c r="C64" s="37">
        <f>SOLIDDIFER!G77</f>
        <v>0</v>
      </c>
      <c r="D64" s="37">
        <f>SOLIDDIFER!H77</f>
        <v>0</v>
      </c>
      <c r="E64" s="37">
        <f>SOLIDDIFER!I77</f>
        <v>0</v>
      </c>
      <c r="F64" s="37">
        <f>SOLIDDIFER!J77</f>
        <v>0</v>
      </c>
      <c r="G64" s="37">
        <f>SOLIDDIFER!K77</f>
        <v>0</v>
      </c>
      <c r="H64" s="37">
        <f>SOLIDDIFER!L77</f>
        <v>0</v>
      </c>
      <c r="I64" s="37">
        <f>SOLIDDIFER!M77</f>
        <v>0</v>
      </c>
      <c r="J64" s="37">
        <f>SOLIDDIFER!N77</f>
        <v>0</v>
      </c>
      <c r="K64" s="37">
        <f>SOLIDDIFER!O77</f>
        <v>0</v>
      </c>
      <c r="L64" s="37">
        <f>SOLIDDIFER!P77</f>
        <v>0</v>
      </c>
      <c r="M64" s="37">
        <f>SOLIDDIFER!Q77</f>
        <v>0</v>
      </c>
      <c r="N64" s="37">
        <f>SOLIDDIFER!R77</f>
        <v>0</v>
      </c>
      <c r="O64" s="37">
        <f>SOLIDDIFER!S77</f>
        <v>0</v>
      </c>
      <c r="P64" s="37">
        <f>SOLIDDIFER!T77</f>
        <v>0</v>
      </c>
      <c r="Q64" s="37">
        <f>SOLIDDIFER!U77</f>
        <v>0</v>
      </c>
      <c r="R64" s="37">
        <f>SOLIDDIFER!V77</f>
        <v>0</v>
      </c>
      <c r="S64" s="37">
        <f>SOLIDDIFER!W77</f>
        <v>0</v>
      </c>
      <c r="T64" s="37">
        <f>SOLIDDIFER!X77</f>
        <v>0</v>
      </c>
      <c r="U64" s="37">
        <f>SOLIDDIFER!Y77</f>
        <v>0</v>
      </c>
      <c r="V64" s="37">
        <f>SOLIDDIFER!Z77</f>
        <v>0</v>
      </c>
      <c r="W64" s="37">
        <f>SOLIDDIFER!AA77</f>
        <v>0</v>
      </c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</row>
    <row r="65" spans="1:194" ht="21.75" thickBot="1" x14ac:dyDescent="0.4">
      <c r="A65" s="79"/>
    </row>
    <row r="66" spans="1:194" s="49" customFormat="1" ht="22.5" thickTop="1" thickBot="1" x14ac:dyDescent="0.4">
      <c r="A66" s="68" t="s">
        <v>55</v>
      </c>
      <c r="B66" s="68">
        <f>ALL!F47</f>
        <v>298.2</v>
      </c>
      <c r="C66" s="68">
        <f>ALL!G47</f>
        <v>331.5</v>
      </c>
      <c r="D66" s="68">
        <f>ALL!H47</f>
        <v>364.9</v>
      </c>
      <c r="E66" s="68">
        <f>ALL!I47</f>
        <v>398.3</v>
      </c>
      <c r="F66" s="68">
        <f>ALL!J47</f>
        <v>431.7</v>
      </c>
      <c r="G66" s="68">
        <f>ALL!K47</f>
        <v>565.20000000000005</v>
      </c>
      <c r="H66" s="68">
        <f>ALL!L47</f>
        <v>598.6</v>
      </c>
      <c r="I66" s="68">
        <f>ALL!M47</f>
        <v>632</v>
      </c>
      <c r="J66" s="68">
        <f>ALL!N47</f>
        <v>665.4</v>
      </c>
      <c r="K66" s="68">
        <f>ALL!O47</f>
        <v>698.8</v>
      </c>
      <c r="L66" s="68">
        <f>ALL!P47</f>
        <v>832.3</v>
      </c>
      <c r="M66" s="68">
        <f>ALL!Q47</f>
        <v>965.8</v>
      </c>
      <c r="N66" s="68">
        <f>ALL!R47</f>
        <v>1099</v>
      </c>
      <c r="O66" s="68">
        <f>ALL!S47</f>
        <v>1133</v>
      </c>
      <c r="P66" s="68">
        <f>ALL!T47</f>
        <v>1166</v>
      </c>
      <c r="Q66" s="68">
        <f>ALL!U47</f>
        <v>1200</v>
      </c>
      <c r="R66" s="68">
        <f>ALL!V47</f>
        <v>1233</v>
      </c>
      <c r="S66" s="68">
        <f>ALL!W47</f>
        <v>1366</v>
      </c>
      <c r="T66" s="68">
        <f>ALL!X47</f>
        <v>1500</v>
      </c>
      <c r="U66" s="68"/>
      <c r="V66" s="68"/>
      <c r="W66" s="68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</row>
    <row r="67" spans="1:194" s="49" customFormat="1" ht="22.5" hidden="1" outlineLevel="1" thickTop="1" thickBot="1" x14ac:dyDescent="0.4">
      <c r="A67" s="44" t="str">
        <f>ALL!E48</f>
        <v>*Se[m]</v>
      </c>
      <c r="B67" s="37">
        <f>ALL!F48</f>
        <v>-19.510000000000002</v>
      </c>
      <c r="C67" s="37">
        <f>ALL!G48</f>
        <v>-19.89</v>
      </c>
      <c r="D67" s="37">
        <f>ALL!H48</f>
        <v>-20.329999999999998</v>
      </c>
      <c r="E67" s="37">
        <f>ALL!I48</f>
        <v>-20.81</v>
      </c>
      <c r="F67" s="37">
        <f>ALL!J48</f>
        <v>-21.32</v>
      </c>
      <c r="G67" s="37">
        <f>ALL!K48</f>
        <v>-23.31</v>
      </c>
      <c r="H67" s="37">
        <f>ALL!L48</f>
        <v>-23.8</v>
      </c>
      <c r="I67" s="37">
        <f>ALL!M48</f>
        <v>-24.29</v>
      </c>
      <c r="J67" s="37">
        <f>ALL!N48</f>
        <v>-24.77</v>
      </c>
      <c r="K67" s="37">
        <f>ALL!O48</f>
        <v>-25.24</v>
      </c>
      <c r="L67" s="37">
        <f>ALL!P48</f>
        <v>-27.06</v>
      </c>
      <c r="M67" s="37">
        <f>ALL!Q48</f>
        <v>-28.78</v>
      </c>
      <c r="N67" s="37">
        <f>ALL!R48</f>
        <v>-30.41</v>
      </c>
      <c r="O67" s="37">
        <f>ALL!S48</f>
        <v>-30.81</v>
      </c>
      <c r="P67" s="37">
        <f>ALL!T48</f>
        <v>-31.2</v>
      </c>
      <c r="Q67" s="37">
        <f>ALL!U48</f>
        <v>-31.59</v>
      </c>
      <c r="R67" s="37">
        <f>ALL!V48</f>
        <v>-31.98</v>
      </c>
      <c r="S67" s="37">
        <f>ALL!W48</f>
        <v>-33.5</v>
      </c>
      <c r="T67" s="37">
        <f>ALL!X48</f>
        <v>-35</v>
      </c>
      <c r="U67" s="37"/>
      <c r="V67" s="37"/>
      <c r="W67" s="3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</row>
    <row r="68" spans="1:194" s="49" customFormat="1" ht="21.75" hidden="1" outlineLevel="1" thickBot="1" x14ac:dyDescent="0.4">
      <c r="A68" s="44" t="str">
        <f>ALL!E49</f>
        <v>Ga2Se3</v>
      </c>
      <c r="B68" s="37">
        <f>ALL!F49</f>
        <v>-189.27</v>
      </c>
      <c r="C68" s="37">
        <f>ALL!G49</f>
        <v>-172.81</v>
      </c>
      <c r="D68" s="37">
        <f>ALL!H49</f>
        <v>-159.51</v>
      </c>
      <c r="E68" s="37">
        <f>ALL!I49</f>
        <v>-148.49</v>
      </c>
      <c r="F68" s="37">
        <f>ALL!J49</f>
        <v>-139.30000000000001</v>
      </c>
      <c r="G68" s="37">
        <f>ALL!K49</f>
        <v>-127.99</v>
      </c>
      <c r="H68" s="37">
        <f>ALL!L49</f>
        <v>-132.06</v>
      </c>
      <c r="I68" s="37">
        <f>ALL!M49</f>
        <v>-136.09</v>
      </c>
      <c r="J68" s="37">
        <f>ALL!N49</f>
        <v>-140.03</v>
      </c>
      <c r="K68" s="37">
        <f>ALL!O49</f>
        <v>-143.88</v>
      </c>
      <c r="L68" s="37">
        <f>ALL!P49</f>
        <v>-158.33999999999997</v>
      </c>
      <c r="M68" s="37">
        <f>ALL!Q49</f>
        <v>-171.04000000000002</v>
      </c>
      <c r="N68" s="37">
        <f>ALL!R49</f>
        <v>-181.73000000000002</v>
      </c>
      <c r="O68" s="37">
        <f>ALL!S49</f>
        <v>-184.07</v>
      </c>
      <c r="P68" s="37">
        <f>ALL!T49</f>
        <v>-186.26</v>
      </c>
      <c r="Q68" s="37">
        <f>ALL!U49</f>
        <v>-188.32999999999998</v>
      </c>
      <c r="R68" s="37">
        <f>ALL!V49</f>
        <v>-190.26</v>
      </c>
      <c r="S68" s="37">
        <f>ALL!W49</f>
        <v>-196.54000000000002</v>
      </c>
      <c r="T68" s="37">
        <f>ALL!X49</f>
        <v>-200.54000000000002</v>
      </c>
      <c r="U68" s="37"/>
      <c r="V68" s="37"/>
      <c r="W68" s="37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</row>
    <row r="69" spans="1:194" s="49" customFormat="1" ht="21.75" hidden="1" outlineLevel="1" thickBot="1" x14ac:dyDescent="0.4">
      <c r="A69" s="44" t="str">
        <f>ALL!E50</f>
        <v>Ge</v>
      </c>
      <c r="B69" s="37">
        <f>ALL!F50</f>
        <v>-21.4</v>
      </c>
      <c r="C69" s="37">
        <f>ALL!G50</f>
        <v>-16.690000000000001</v>
      </c>
      <c r="D69" s="37">
        <f>ALL!H50</f>
        <v>-13.52</v>
      </c>
      <c r="E69" s="37">
        <f>ALL!I50</f>
        <v>-11.14</v>
      </c>
      <c r="F69" s="37">
        <f>ALL!J50</f>
        <v>-9.1850000000000005</v>
      </c>
      <c r="G69" s="37">
        <f>ALL!K50</f>
        <v>-6.85</v>
      </c>
      <c r="H69" s="37">
        <f>ALL!L50</f>
        <v>-6.907</v>
      </c>
      <c r="I69" s="37">
        <f>ALL!M50</f>
        <v>-6.9820000000000002</v>
      </c>
      <c r="J69" s="37">
        <f>ALL!N50</f>
        <v>-7.0620000000000003</v>
      </c>
      <c r="K69" s="37">
        <f>ALL!O50</f>
        <v>-7.1429999999999998</v>
      </c>
      <c r="L69" s="37">
        <f>ALL!P50</f>
        <v>-7.4630000000000001</v>
      </c>
      <c r="M69" s="37">
        <f>ALL!Q50</f>
        <v>-7.7649999999999997</v>
      </c>
      <c r="N69" s="37">
        <f>ALL!R50</f>
        <v>-8.048</v>
      </c>
      <c r="O69" s="37">
        <f>ALL!S50</f>
        <v>-8.1159999999999997</v>
      </c>
      <c r="P69" s="37">
        <f>ALL!T50</f>
        <v>-8.1820000000000004</v>
      </c>
      <c r="Q69" s="37">
        <f>ALL!U50</f>
        <v>-8.2479999999999993</v>
      </c>
      <c r="R69" s="37">
        <f>ALL!V50</f>
        <v>-8.3130000000000006</v>
      </c>
      <c r="S69" s="37">
        <f>ALL!W50</f>
        <v>-8.5609999999999999</v>
      </c>
      <c r="T69" s="37">
        <f>ALL!X50</f>
        <v>-8.7949999999999999</v>
      </c>
      <c r="U69" s="37"/>
      <c r="V69" s="37"/>
      <c r="W69" s="37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</row>
    <row r="70" spans="1:194" s="49" customFormat="1" ht="21.75" hidden="1" outlineLevel="1" thickBot="1" x14ac:dyDescent="0.4">
      <c r="A70" s="44" t="str">
        <f>ALL!E51</f>
        <v>Ar</v>
      </c>
      <c r="B70" s="37">
        <f>ALL!F51</f>
        <v>-18.68</v>
      </c>
      <c r="C70" s="37">
        <f>ALL!G51</f>
        <v>-18.690000000000001</v>
      </c>
      <c r="D70" s="37">
        <f>ALL!H51</f>
        <v>-18.72</v>
      </c>
      <c r="E70" s="37">
        <f>ALL!I51</f>
        <v>-18.760000000000002</v>
      </c>
      <c r="F70" s="37">
        <f>ALL!J51</f>
        <v>-18.82</v>
      </c>
      <c r="G70" s="37">
        <f>ALL!K51</f>
        <v>-19.03</v>
      </c>
      <c r="H70" s="37">
        <f>ALL!L51</f>
        <v>-19.100000000000001</v>
      </c>
      <c r="I70" s="37">
        <f>ALL!M51</f>
        <v>-19.170000000000002</v>
      </c>
      <c r="J70" s="37">
        <f>ALL!N51</f>
        <v>-19.239999999999998</v>
      </c>
      <c r="K70" s="37">
        <f>ALL!O51</f>
        <v>-19.309999999999999</v>
      </c>
      <c r="L70" s="37">
        <f>ALL!P51</f>
        <v>-19.57</v>
      </c>
      <c r="M70" s="37">
        <f>ALL!Q51</f>
        <v>-19.82</v>
      </c>
      <c r="N70" s="37">
        <f>ALL!R51</f>
        <v>-20.05</v>
      </c>
      <c r="O70" s="37">
        <f>ALL!S51</f>
        <v>-20.11</v>
      </c>
      <c r="P70" s="37">
        <f>ALL!T51</f>
        <v>-20.16</v>
      </c>
      <c r="Q70" s="37">
        <f>ALL!U51</f>
        <v>-20.21</v>
      </c>
      <c r="R70" s="37">
        <f>ALL!V51</f>
        <v>-20.260000000000002</v>
      </c>
      <c r="S70" s="37">
        <f>ALL!W51</f>
        <v>-20.46</v>
      </c>
      <c r="T70" s="37">
        <f>ALL!X51</f>
        <v>-20.65</v>
      </c>
      <c r="U70" s="37"/>
      <c r="V70" s="37"/>
      <c r="W70" s="37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</row>
    <row r="71" spans="1:194" s="49" customFormat="1" ht="21.75" hidden="1" outlineLevel="1" thickBot="1" x14ac:dyDescent="0.4">
      <c r="A71" s="78" t="str">
        <f>ALL!E52</f>
        <v>(l)GeSe2</v>
      </c>
      <c r="B71" s="37">
        <f>ALL!F52</f>
        <v>-60.42</v>
      </c>
      <c r="C71" s="37">
        <f>ALL!G52</f>
        <v>-56.47</v>
      </c>
      <c r="D71" s="37">
        <f>ALL!H52</f>
        <v>-54.179999999999993</v>
      </c>
      <c r="E71" s="37">
        <f>ALL!I52</f>
        <v>-52.76</v>
      </c>
      <c r="F71" s="37">
        <f>ALL!J52</f>
        <v>-51.825000000000003</v>
      </c>
      <c r="G71" s="37">
        <f>ALL!K52</f>
        <v>-53.47</v>
      </c>
      <c r="H71" s="37">
        <f>ALL!L52</f>
        <v>-54.507000000000005</v>
      </c>
      <c r="I71" s="37">
        <f>ALL!M52</f>
        <v>-55.561999999999998</v>
      </c>
      <c r="J71" s="37">
        <f>ALL!N52</f>
        <v>-56.601999999999997</v>
      </c>
      <c r="K71" s="37">
        <f>ALL!O52</f>
        <v>-57.622999999999998</v>
      </c>
      <c r="L71" s="37">
        <f>ALL!P52</f>
        <v>-61.582999999999998</v>
      </c>
      <c r="M71" s="37">
        <f>ALL!Q52</f>
        <v>-65.325000000000003</v>
      </c>
      <c r="N71" s="37">
        <f>ALL!R52</f>
        <v>-68.867999999999995</v>
      </c>
      <c r="O71" s="37">
        <f>ALL!S52</f>
        <v>-69.73599999999999</v>
      </c>
      <c r="P71" s="37">
        <f>ALL!T52</f>
        <v>-70.581999999999994</v>
      </c>
      <c r="Q71" s="37">
        <f>ALL!U52</f>
        <v>-71.427999999999997</v>
      </c>
      <c r="R71" s="37">
        <f>ALL!V52</f>
        <v>-72.272999999999996</v>
      </c>
      <c r="S71" s="37">
        <f>ALL!W52</f>
        <v>-75.561000000000007</v>
      </c>
      <c r="T71" s="37">
        <f>ALL!X52</f>
        <v>-78.795000000000002</v>
      </c>
      <c r="U71" s="37"/>
      <c r="V71" s="37"/>
      <c r="W71" s="37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</row>
    <row r="72" spans="1:194" s="49" customFormat="1" ht="21.75" hidden="1" outlineLevel="1" thickBot="1" x14ac:dyDescent="0.4">
      <c r="A72" s="78" t="str">
        <f>ALL!E53</f>
        <v>(l)GeSe</v>
      </c>
      <c r="B72" s="37">
        <f>ALL!F53</f>
        <v>-40.909999999999997</v>
      </c>
      <c r="C72" s="37">
        <f>ALL!G53</f>
        <v>-36.58</v>
      </c>
      <c r="D72" s="37">
        <f>ALL!H53</f>
        <v>-33.849999999999994</v>
      </c>
      <c r="E72" s="37">
        <f>ALL!I53</f>
        <v>-31.95</v>
      </c>
      <c r="F72" s="37">
        <f>ALL!J53</f>
        <v>-30.505000000000003</v>
      </c>
      <c r="G72" s="37">
        <f>ALL!K53</f>
        <v>-30.159999999999997</v>
      </c>
      <c r="H72" s="37">
        <f>ALL!L53</f>
        <v>-30.707000000000001</v>
      </c>
      <c r="I72" s="37">
        <f>ALL!M53</f>
        <v>-31.271999999999998</v>
      </c>
      <c r="J72" s="37">
        <f>ALL!N53</f>
        <v>-31.832000000000001</v>
      </c>
      <c r="K72" s="37">
        <f>ALL!O53</f>
        <v>-32.382999999999996</v>
      </c>
      <c r="L72" s="37">
        <f>ALL!P53</f>
        <v>-34.522999999999996</v>
      </c>
      <c r="M72" s="37">
        <f>ALL!Q53</f>
        <v>-36.545000000000002</v>
      </c>
      <c r="N72" s="37">
        <f>ALL!R53</f>
        <v>-38.457999999999998</v>
      </c>
      <c r="O72" s="37">
        <f>ALL!S53</f>
        <v>-38.926000000000002</v>
      </c>
      <c r="P72" s="37">
        <f>ALL!T53</f>
        <v>-39.381999999999998</v>
      </c>
      <c r="Q72" s="37">
        <f>ALL!U53</f>
        <v>-39.838000000000001</v>
      </c>
      <c r="R72" s="37">
        <f>ALL!V53</f>
        <v>-40.292999999999999</v>
      </c>
      <c r="S72" s="37">
        <f>ALL!W53</f>
        <v>-42.061</v>
      </c>
      <c r="T72" s="37">
        <f>ALL!X53</f>
        <v>-43.795000000000002</v>
      </c>
      <c r="U72" s="37"/>
      <c r="V72" s="37"/>
      <c r="W72" s="37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</row>
    <row r="73" spans="1:194" s="49" customFormat="1" ht="21.75" hidden="1" outlineLevel="1" thickBot="1" x14ac:dyDescent="0.4">
      <c r="A73" s="78" t="str">
        <f>ALL!E54</f>
        <v>(l)Ga2Se3</v>
      </c>
      <c r="B73" s="37">
        <f>ALL!F54</f>
        <v>-189.27</v>
      </c>
      <c r="C73" s="37">
        <f>ALL!G54</f>
        <v>-172.81</v>
      </c>
      <c r="D73" s="37">
        <f>ALL!H54</f>
        <v>-159.51</v>
      </c>
      <c r="E73" s="37">
        <f>ALL!I54</f>
        <v>-148.49</v>
      </c>
      <c r="F73" s="37">
        <f>ALL!J54</f>
        <v>-139.30000000000001</v>
      </c>
      <c r="G73" s="37">
        <f>ALL!K54</f>
        <v>-127.99</v>
      </c>
      <c r="H73" s="37">
        <f>ALL!L54</f>
        <v>-132.06</v>
      </c>
      <c r="I73" s="37">
        <f>ALL!M54</f>
        <v>-136.09</v>
      </c>
      <c r="J73" s="37">
        <f>ALL!N54</f>
        <v>-140.03</v>
      </c>
      <c r="K73" s="37">
        <f>ALL!O54</f>
        <v>-143.88</v>
      </c>
      <c r="L73" s="37">
        <f>ALL!P54</f>
        <v>-158.33999999999997</v>
      </c>
      <c r="M73" s="37">
        <f>ALL!Q54</f>
        <v>-171.04000000000002</v>
      </c>
      <c r="N73" s="37">
        <f>ALL!R54</f>
        <v>-181.73000000000002</v>
      </c>
      <c r="O73" s="37">
        <f>ALL!S54</f>
        <v>-184.07</v>
      </c>
      <c r="P73" s="37">
        <f>ALL!T54</f>
        <v>-186.26</v>
      </c>
      <c r="Q73" s="37">
        <f>ALL!U54</f>
        <v>-188.32999999999998</v>
      </c>
      <c r="R73" s="37">
        <f>ALL!V54</f>
        <v>-190.26</v>
      </c>
      <c r="S73" s="37">
        <f>ALL!W54</f>
        <v>-196.54000000000002</v>
      </c>
      <c r="T73" s="37">
        <f>ALL!X54</f>
        <v>-200.54000000000002</v>
      </c>
      <c r="U73" s="37"/>
      <c r="V73" s="37"/>
      <c r="W73" s="37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</row>
    <row r="74" spans="1:194" s="49" customFormat="1" ht="21.75" hidden="1" outlineLevel="1" thickBot="1" x14ac:dyDescent="0.4">
      <c r="A74" s="78" t="str">
        <f>ALL!E55</f>
        <v>(l)Ge</v>
      </c>
      <c r="B74" s="37">
        <f>ALL!F55</f>
        <v>-21.4</v>
      </c>
      <c r="C74" s="37">
        <f>ALL!G55</f>
        <v>-16.690000000000001</v>
      </c>
      <c r="D74" s="37">
        <f>ALL!H55</f>
        <v>-13.52</v>
      </c>
      <c r="E74" s="37">
        <f>ALL!I55</f>
        <v>-11.14</v>
      </c>
      <c r="F74" s="37">
        <f>ALL!J55</f>
        <v>-9.1850000000000005</v>
      </c>
      <c r="G74" s="37">
        <f>ALL!K55</f>
        <v>-6.85</v>
      </c>
      <c r="H74" s="37">
        <f>ALL!L55</f>
        <v>-6.907</v>
      </c>
      <c r="I74" s="37">
        <f>ALL!M55</f>
        <v>-6.9820000000000002</v>
      </c>
      <c r="J74" s="37">
        <f>ALL!N55</f>
        <v>-7.0620000000000003</v>
      </c>
      <c r="K74" s="37">
        <f>ALL!O55</f>
        <v>-7.1429999999999998</v>
      </c>
      <c r="L74" s="37">
        <f>ALL!P55</f>
        <v>-7.4630000000000001</v>
      </c>
      <c r="M74" s="37">
        <f>ALL!Q55</f>
        <v>-7.7649999999999997</v>
      </c>
      <c r="N74" s="37">
        <f>ALL!R55</f>
        <v>-8.048</v>
      </c>
      <c r="O74" s="37">
        <f>ALL!S55</f>
        <v>-8.1159999999999997</v>
      </c>
      <c r="P74" s="37">
        <f>ALL!T55</f>
        <v>-8.1820000000000004</v>
      </c>
      <c r="Q74" s="37">
        <f>ALL!U55</f>
        <v>-8.2479999999999993</v>
      </c>
      <c r="R74" s="37">
        <f>ALL!V55</f>
        <v>-8.3130000000000006</v>
      </c>
      <c r="S74" s="37">
        <f>ALL!W55</f>
        <v>-8.5609999999999999</v>
      </c>
      <c r="T74" s="37">
        <f>ALL!X55</f>
        <v>-8.7949999999999999</v>
      </c>
      <c r="U74" s="37"/>
      <c r="V74" s="37"/>
      <c r="W74" s="37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</row>
    <row r="75" spans="1:194" s="49" customFormat="1" ht="21.75" hidden="1" outlineLevel="1" thickBot="1" x14ac:dyDescent="0.4">
      <c r="A75" s="78" t="str">
        <f>ALL!E56</f>
        <v>(l)Ga</v>
      </c>
      <c r="B75" s="37">
        <f>ALL!F56</f>
        <v>-65.37</v>
      </c>
      <c r="C75" s="37">
        <f>ALL!G56</f>
        <v>-56.57</v>
      </c>
      <c r="D75" s="37">
        <f>ALL!H56</f>
        <v>-49.26</v>
      </c>
      <c r="E75" s="37">
        <f>ALL!I56</f>
        <v>-43.03</v>
      </c>
      <c r="F75" s="37">
        <f>ALL!J56</f>
        <v>-37.67</v>
      </c>
      <c r="G75" s="37">
        <f>ALL!K56</f>
        <v>-29.03</v>
      </c>
      <c r="H75" s="37">
        <f>ALL!L56</f>
        <v>-30.33</v>
      </c>
      <c r="I75" s="37">
        <f>ALL!M56</f>
        <v>-31.61</v>
      </c>
      <c r="J75" s="37">
        <f>ALL!N56</f>
        <v>-32.86</v>
      </c>
      <c r="K75" s="37">
        <f>ALL!O56</f>
        <v>-34.08</v>
      </c>
      <c r="L75" s="37">
        <f>ALL!P56</f>
        <v>-38.58</v>
      </c>
      <c r="M75" s="37">
        <f>ALL!Q56</f>
        <v>-42.35</v>
      </c>
      <c r="N75" s="37">
        <f>ALL!R56</f>
        <v>-45.25</v>
      </c>
      <c r="O75" s="37">
        <f>ALL!S56</f>
        <v>-45.82</v>
      </c>
      <c r="P75" s="37">
        <f>ALL!T56</f>
        <v>-46.33</v>
      </c>
      <c r="Q75" s="37">
        <f>ALL!U56</f>
        <v>-46.78</v>
      </c>
      <c r="R75" s="37">
        <f>ALL!V56</f>
        <v>-47.16</v>
      </c>
      <c r="S75" s="37">
        <f>ALL!W56</f>
        <v>-48.02</v>
      </c>
      <c r="T75" s="37">
        <f>ALL!X56</f>
        <v>-47.77</v>
      </c>
      <c r="U75" s="37"/>
      <c r="V75" s="37"/>
      <c r="W75" s="37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</row>
    <row r="76" spans="1:194" s="49" customFormat="1" ht="21.75" hidden="1" outlineLevel="1" thickBot="1" x14ac:dyDescent="0.4">
      <c r="A76" s="78" t="str">
        <f>ALL!E57</f>
        <v>(l)Se</v>
      </c>
      <c r="B76" s="37">
        <f>ALL!F57</f>
        <v>-19.510000000000002</v>
      </c>
      <c r="C76" s="37">
        <f>ALL!G57</f>
        <v>-19.89</v>
      </c>
      <c r="D76" s="37">
        <f>ALL!H57</f>
        <v>-20.329999999999998</v>
      </c>
      <c r="E76" s="37">
        <f>ALL!I57</f>
        <v>-20.81</v>
      </c>
      <c r="F76" s="37">
        <f>ALL!J57</f>
        <v>-21.32</v>
      </c>
      <c r="G76" s="37">
        <f>ALL!K57</f>
        <v>-23.31</v>
      </c>
      <c r="H76" s="37">
        <f>ALL!L57</f>
        <v>-23.8</v>
      </c>
      <c r="I76" s="37">
        <f>ALL!M57</f>
        <v>-24.29</v>
      </c>
      <c r="J76" s="37">
        <f>ALL!N57</f>
        <v>-24.77</v>
      </c>
      <c r="K76" s="37">
        <f>ALL!O57</f>
        <v>-25.24</v>
      </c>
      <c r="L76" s="37">
        <f>ALL!P57</f>
        <v>-27.06</v>
      </c>
      <c r="M76" s="37">
        <f>ALL!Q57</f>
        <v>-28.78</v>
      </c>
      <c r="N76" s="37">
        <f>ALL!R57</f>
        <v>-30.41</v>
      </c>
      <c r="O76" s="37">
        <f>ALL!S57</f>
        <v>-30.81</v>
      </c>
      <c r="P76" s="37">
        <f>ALL!T57</f>
        <v>-31.2</v>
      </c>
      <c r="Q76" s="37">
        <f>ALL!U57</f>
        <v>-31.59</v>
      </c>
      <c r="R76" s="37">
        <f>ALL!V57</f>
        <v>-31.98</v>
      </c>
      <c r="S76" s="37">
        <f>ALL!W57</f>
        <v>-33.5</v>
      </c>
      <c r="T76" s="37">
        <f>ALL!X57</f>
        <v>-35</v>
      </c>
      <c r="U76" s="37"/>
      <c r="V76" s="37"/>
      <c r="W76" s="37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</row>
    <row r="77" spans="1:194" s="49" customFormat="1" ht="21.75" hidden="1" outlineLevel="1" thickBot="1" x14ac:dyDescent="0.4">
      <c r="A77" s="78" t="str">
        <f>ALL!E58</f>
        <v>(l)Se[a]</v>
      </c>
      <c r="B77" s="37">
        <f>ALL!F58</f>
        <v>-19.510000000000002</v>
      </c>
      <c r="C77" s="37">
        <f>ALL!G58</f>
        <v>-19.89</v>
      </c>
      <c r="D77" s="37">
        <f>ALL!H58</f>
        <v>-20.329999999999998</v>
      </c>
      <c r="E77" s="37">
        <f>ALL!I58</f>
        <v>-20.81</v>
      </c>
      <c r="F77" s="37">
        <f>ALL!J58</f>
        <v>-21.32</v>
      </c>
      <c r="G77" s="37">
        <f>ALL!K58</f>
        <v>-23.31</v>
      </c>
      <c r="H77" s="37">
        <f>ALL!L58</f>
        <v>-23.8</v>
      </c>
      <c r="I77" s="37">
        <f>ALL!M58</f>
        <v>-24.29</v>
      </c>
      <c r="J77" s="37">
        <f>ALL!N58</f>
        <v>-24.77</v>
      </c>
      <c r="K77" s="37">
        <f>ALL!O58</f>
        <v>-25.24</v>
      </c>
      <c r="L77" s="37">
        <f>ALL!P58</f>
        <v>-27.06</v>
      </c>
      <c r="M77" s="37">
        <f>ALL!Q58</f>
        <v>-28.78</v>
      </c>
      <c r="N77" s="37">
        <f>ALL!R58</f>
        <v>-30.41</v>
      </c>
      <c r="O77" s="37">
        <f>ALL!S58</f>
        <v>-30.81</v>
      </c>
      <c r="P77" s="37">
        <f>ALL!T58</f>
        <v>-31.2</v>
      </c>
      <c r="Q77" s="37">
        <f>ALL!U58</f>
        <v>-31.59</v>
      </c>
      <c r="R77" s="37">
        <f>ALL!V58</f>
        <v>-31.98</v>
      </c>
      <c r="S77" s="37">
        <f>ALL!W58</f>
        <v>-33.5</v>
      </c>
      <c r="T77" s="37">
        <f>ALL!X58</f>
        <v>-35</v>
      </c>
      <c r="U77" s="37"/>
      <c r="V77" s="37"/>
      <c r="W77" s="3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</row>
    <row r="78" spans="1:194" s="49" customFormat="1" ht="21.75" hidden="1" outlineLevel="1" thickBot="1" x14ac:dyDescent="0.4">
      <c r="A78" s="78" t="str">
        <f>ALL!E59</f>
        <v>(l)Se[m]</v>
      </c>
      <c r="B78" s="37">
        <f>ALL!F59</f>
        <v>-19.510000000000002</v>
      </c>
      <c r="C78" s="37">
        <f>ALL!G59</f>
        <v>-19.89</v>
      </c>
      <c r="D78" s="37">
        <f>ALL!H59</f>
        <v>-20.329999999999998</v>
      </c>
      <c r="E78" s="37">
        <f>ALL!I59</f>
        <v>-20.81</v>
      </c>
      <c r="F78" s="37">
        <f>ALL!J59</f>
        <v>-21.32</v>
      </c>
      <c r="G78" s="37">
        <f>ALL!K59</f>
        <v>-23.31</v>
      </c>
      <c r="H78" s="37">
        <f>ALL!L59</f>
        <v>-23.8</v>
      </c>
      <c r="I78" s="37">
        <f>ALL!M59</f>
        <v>-24.29</v>
      </c>
      <c r="J78" s="37">
        <f>ALL!N59</f>
        <v>-24.77</v>
      </c>
      <c r="K78" s="37">
        <f>ALL!O59</f>
        <v>-25.24</v>
      </c>
      <c r="L78" s="37">
        <f>ALL!P59</f>
        <v>-27.06</v>
      </c>
      <c r="M78" s="37">
        <f>ALL!Q59</f>
        <v>-28.78</v>
      </c>
      <c r="N78" s="37">
        <f>ALL!R59</f>
        <v>-30.41</v>
      </c>
      <c r="O78" s="37">
        <f>ALL!S59</f>
        <v>-30.81</v>
      </c>
      <c r="P78" s="37">
        <f>ALL!T59</f>
        <v>-31.2</v>
      </c>
      <c r="Q78" s="37">
        <f>ALL!U59</f>
        <v>-31.59</v>
      </c>
      <c r="R78" s="37">
        <f>ALL!V59</f>
        <v>-31.98</v>
      </c>
      <c r="S78" s="37">
        <f>ALL!W59</f>
        <v>-33.5</v>
      </c>
      <c r="T78" s="37">
        <f>ALL!X59</f>
        <v>-35</v>
      </c>
      <c r="U78" s="37"/>
      <c r="V78" s="37"/>
      <c r="W78" s="37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</row>
    <row r="79" spans="1:194" s="49" customFormat="1" ht="21.75" hidden="1" outlineLevel="1" thickBot="1" x14ac:dyDescent="0.4">
      <c r="A79" s="78" t="str">
        <f>ALL!E60</f>
        <v>(l)Se[r]</v>
      </c>
      <c r="B79" s="37">
        <f>ALL!F60</f>
        <v>-19.510000000000002</v>
      </c>
      <c r="C79" s="37">
        <f>ALL!G60</f>
        <v>-19.89</v>
      </c>
      <c r="D79" s="37">
        <f>ALL!H60</f>
        <v>-20.329999999999998</v>
      </c>
      <c r="E79" s="37">
        <f>ALL!I60</f>
        <v>-20.81</v>
      </c>
      <c r="F79" s="37">
        <f>ALL!J60</f>
        <v>-21.32</v>
      </c>
      <c r="G79" s="37">
        <f>ALL!K60</f>
        <v>-23.31</v>
      </c>
      <c r="H79" s="37">
        <f>ALL!L60</f>
        <v>-23.8</v>
      </c>
      <c r="I79" s="37">
        <f>ALL!M60</f>
        <v>-24.29</v>
      </c>
      <c r="J79" s="37">
        <f>ALL!N60</f>
        <v>-24.77</v>
      </c>
      <c r="K79" s="37">
        <f>ALL!O60</f>
        <v>-25.24</v>
      </c>
      <c r="L79" s="37">
        <f>ALL!P60</f>
        <v>-27.06</v>
      </c>
      <c r="M79" s="37">
        <f>ALL!Q60</f>
        <v>-28.78</v>
      </c>
      <c r="N79" s="37">
        <f>ALL!R60</f>
        <v>-30.41</v>
      </c>
      <c r="O79" s="37">
        <f>ALL!S60</f>
        <v>-30.81</v>
      </c>
      <c r="P79" s="37">
        <f>ALL!T60</f>
        <v>-31.2</v>
      </c>
      <c r="Q79" s="37">
        <f>ALL!U60</f>
        <v>-31.59</v>
      </c>
      <c r="R79" s="37">
        <f>ALL!V60</f>
        <v>-31.98</v>
      </c>
      <c r="S79" s="37">
        <f>ALL!W60</f>
        <v>-33.5</v>
      </c>
      <c r="T79" s="37">
        <f>ALL!X60</f>
        <v>-35</v>
      </c>
      <c r="U79" s="37"/>
      <c r="V79" s="37"/>
      <c r="W79" s="37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</row>
    <row r="80" spans="1:194" s="49" customFormat="1" ht="21.75" hidden="1" outlineLevel="1" thickBot="1" x14ac:dyDescent="0.4">
      <c r="A80" s="78" t="str">
        <f>ALL!E61</f>
        <v>(l)Ge[c]</v>
      </c>
      <c r="B80" s="37">
        <f>ALL!F61</f>
        <v>-21.4</v>
      </c>
      <c r="C80" s="37">
        <f>ALL!G61</f>
        <v>-16.690000000000001</v>
      </c>
      <c r="D80" s="37">
        <f>ALL!H61</f>
        <v>-13.52</v>
      </c>
      <c r="E80" s="37">
        <f>ALL!I61</f>
        <v>-11.14</v>
      </c>
      <c r="F80" s="37">
        <f>ALL!J61</f>
        <v>-9.1850000000000005</v>
      </c>
      <c r="G80" s="37">
        <f>ALL!K61</f>
        <v>-6.85</v>
      </c>
      <c r="H80" s="37">
        <f>ALL!L61</f>
        <v>-6.907</v>
      </c>
      <c r="I80" s="37">
        <f>ALL!M61</f>
        <v>-6.9820000000000002</v>
      </c>
      <c r="J80" s="37">
        <f>ALL!N61</f>
        <v>-7.0620000000000003</v>
      </c>
      <c r="K80" s="37">
        <f>ALL!O61</f>
        <v>-7.1429999999999998</v>
      </c>
      <c r="L80" s="37">
        <f>ALL!P61</f>
        <v>-7.4630000000000001</v>
      </c>
      <c r="M80" s="37">
        <f>ALL!Q61</f>
        <v>-7.7649999999999997</v>
      </c>
      <c r="N80" s="37">
        <f>ALL!R61</f>
        <v>-8.048</v>
      </c>
      <c r="O80" s="37">
        <f>ALL!S61</f>
        <v>-8.1159999999999997</v>
      </c>
      <c r="P80" s="37">
        <f>ALL!T61</f>
        <v>-8.1820000000000004</v>
      </c>
      <c r="Q80" s="37">
        <f>ALL!U61</f>
        <v>-8.2479999999999993</v>
      </c>
      <c r="R80" s="37">
        <f>ALL!V61</f>
        <v>-8.3130000000000006</v>
      </c>
      <c r="S80" s="37">
        <f>ALL!W61</f>
        <v>-8.5609999999999999</v>
      </c>
      <c r="T80" s="37">
        <f>ALL!X61</f>
        <v>-8.7949999999999999</v>
      </c>
      <c r="U80" s="37"/>
      <c r="V80" s="37"/>
      <c r="W80" s="37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</row>
    <row r="81" spans="1:194" s="49" customFormat="1" ht="21.75" hidden="1" outlineLevel="1" thickBot="1" x14ac:dyDescent="0.4">
      <c r="A81" s="78" t="str">
        <f>ALL!E62</f>
        <v>H (Ar)</v>
      </c>
      <c r="B81" s="37">
        <f>ALL!F62</f>
        <v>-18.68</v>
      </c>
      <c r="C81" s="37">
        <f>ALL!G62</f>
        <v>-18.690000000000001</v>
      </c>
      <c r="D81" s="37">
        <f>ALL!H62</f>
        <v>-18.72</v>
      </c>
      <c r="E81" s="37">
        <f>ALL!I62</f>
        <v>-18.760000000000002</v>
      </c>
      <c r="F81" s="37">
        <f>ALL!J62</f>
        <v>-18.82</v>
      </c>
      <c r="G81" s="37">
        <f>ALL!K62</f>
        <v>-19.03</v>
      </c>
      <c r="H81" s="37">
        <f>ALL!L62</f>
        <v>-19.100000000000001</v>
      </c>
      <c r="I81" s="37">
        <f>ALL!M62</f>
        <v>-19.170000000000002</v>
      </c>
      <c r="J81" s="37">
        <f>ALL!N62</f>
        <v>-19.239999999999998</v>
      </c>
      <c r="K81" s="37">
        <f>ALL!O62</f>
        <v>-19.309999999999999</v>
      </c>
      <c r="L81" s="37">
        <f>ALL!P62</f>
        <v>-19.57</v>
      </c>
      <c r="M81" s="37">
        <f>ALL!Q62</f>
        <v>-19.82</v>
      </c>
      <c r="N81" s="37">
        <f>ALL!R62</f>
        <v>-20.05</v>
      </c>
      <c r="O81" s="37">
        <f>ALL!S62</f>
        <v>-20.11</v>
      </c>
      <c r="P81" s="37">
        <f>ALL!T62</f>
        <v>-20.16</v>
      </c>
      <c r="Q81" s="37">
        <f>ALL!U62</f>
        <v>-20.21</v>
      </c>
      <c r="R81" s="37">
        <f>ALL!V62</f>
        <v>-20.260000000000002</v>
      </c>
      <c r="S81" s="37">
        <f>ALL!W62</f>
        <v>-20.46</v>
      </c>
      <c r="T81" s="37">
        <f>ALL!X62</f>
        <v>-20.65</v>
      </c>
      <c r="U81" s="37"/>
      <c r="V81" s="37"/>
      <c r="W81" s="37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</row>
    <row r="82" spans="1:194" s="49" customFormat="1" ht="21.75" hidden="1" outlineLevel="1" thickBot="1" x14ac:dyDescent="0.4">
      <c r="A82" s="78" t="str">
        <f>ALL!E63</f>
        <v>H (Ga)</v>
      </c>
      <c r="B82" s="37">
        <f>ALL!F63</f>
        <v>-65.37</v>
      </c>
      <c r="C82" s="37">
        <f>ALL!G63</f>
        <v>-56.57</v>
      </c>
      <c r="D82" s="37">
        <f>ALL!H63</f>
        <v>-49.26</v>
      </c>
      <c r="E82" s="37">
        <f>ALL!I63</f>
        <v>-43.03</v>
      </c>
      <c r="F82" s="37">
        <f>ALL!J63</f>
        <v>-37.67</v>
      </c>
      <c r="G82" s="37">
        <f>ALL!K63</f>
        <v>-29.03</v>
      </c>
      <c r="H82" s="37">
        <f>ALL!L63</f>
        <v>-30.33</v>
      </c>
      <c r="I82" s="37">
        <f>ALL!M63</f>
        <v>-31.61</v>
      </c>
      <c r="J82" s="37">
        <f>ALL!N63</f>
        <v>-32.86</v>
      </c>
      <c r="K82" s="37">
        <f>ALL!O63</f>
        <v>-34.08</v>
      </c>
      <c r="L82" s="37">
        <f>ALL!P63</f>
        <v>-38.58</v>
      </c>
      <c r="M82" s="37">
        <f>ALL!Q63</f>
        <v>-42.35</v>
      </c>
      <c r="N82" s="37">
        <f>ALL!R63</f>
        <v>-45.25</v>
      </c>
      <c r="O82" s="37">
        <f>ALL!S63</f>
        <v>-45.82</v>
      </c>
      <c r="P82" s="37">
        <f>ALL!T63</f>
        <v>-46.33</v>
      </c>
      <c r="Q82" s="37">
        <f>ALL!U63</f>
        <v>-46.78</v>
      </c>
      <c r="R82" s="37">
        <f>ALL!V63</f>
        <v>-47.16</v>
      </c>
      <c r="S82" s="37">
        <f>ALL!W63</f>
        <v>-48.02</v>
      </c>
      <c r="T82" s="37">
        <f>ALL!X63</f>
        <v>-47.77</v>
      </c>
      <c r="U82" s="37"/>
      <c r="V82" s="37"/>
      <c r="W82" s="37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</row>
    <row r="83" spans="1:194" s="49" customFormat="1" ht="21.75" hidden="1" outlineLevel="1" thickBot="1" x14ac:dyDescent="0.4">
      <c r="A83" s="78" t="str">
        <f>ALL!E64</f>
        <v>H (Ge)</v>
      </c>
      <c r="B83" s="37">
        <f>ALL!F64</f>
        <v>-21.4</v>
      </c>
      <c r="C83" s="37">
        <f>ALL!G64</f>
        <v>-16.690000000000001</v>
      </c>
      <c r="D83" s="37">
        <f>ALL!H64</f>
        <v>-13.52</v>
      </c>
      <c r="E83" s="37">
        <f>ALL!I64</f>
        <v>-11.14</v>
      </c>
      <c r="F83" s="37">
        <f>ALL!J64</f>
        <v>-9.1850000000000005</v>
      </c>
      <c r="G83" s="37">
        <f>ALL!K64</f>
        <v>-6.85</v>
      </c>
      <c r="H83" s="37">
        <f>ALL!L64</f>
        <v>-6.907</v>
      </c>
      <c r="I83" s="37">
        <f>ALL!M64</f>
        <v>-6.9820000000000002</v>
      </c>
      <c r="J83" s="37">
        <f>ALL!N64</f>
        <v>-7.0620000000000003</v>
      </c>
      <c r="K83" s="37">
        <f>ALL!O64</f>
        <v>-7.1429999999999998</v>
      </c>
      <c r="L83" s="37">
        <f>ALL!P64</f>
        <v>-7.4630000000000001</v>
      </c>
      <c r="M83" s="37">
        <f>ALL!Q64</f>
        <v>-7.7649999999999997</v>
      </c>
      <c r="N83" s="37">
        <f>ALL!R64</f>
        <v>-8.048</v>
      </c>
      <c r="O83" s="37">
        <f>ALL!S64</f>
        <v>-8.1159999999999997</v>
      </c>
      <c r="P83" s="37">
        <f>ALL!T64</f>
        <v>-8.1820000000000004</v>
      </c>
      <c r="Q83" s="37">
        <f>ALL!U64</f>
        <v>-8.2479999999999993</v>
      </c>
      <c r="R83" s="37">
        <f>ALL!V64</f>
        <v>-8.3130000000000006</v>
      </c>
      <c r="S83" s="37">
        <f>ALL!W64</f>
        <v>-8.5609999999999999</v>
      </c>
      <c r="T83" s="37">
        <f>ALL!X64</f>
        <v>-8.7949999999999999</v>
      </c>
      <c r="U83" s="37"/>
      <c r="V83" s="37"/>
      <c r="W83" s="37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</row>
    <row r="84" spans="1:194" ht="21.75" hidden="1" outlineLevel="1" thickBot="1" x14ac:dyDescent="0.4">
      <c r="A84" s="78" t="str">
        <f>ALL!E65</f>
        <v>H (Se)</v>
      </c>
      <c r="B84" s="37">
        <f>ALL!F65</f>
        <v>-19.510000000000002</v>
      </c>
      <c r="C84" s="37">
        <f>ALL!G65</f>
        <v>-19.89</v>
      </c>
      <c r="D84" s="37">
        <f>ALL!H65</f>
        <v>-20.329999999999998</v>
      </c>
      <c r="E84" s="37">
        <f>ALL!I65</f>
        <v>-20.81</v>
      </c>
      <c r="F84" s="37">
        <f>ALL!J65</f>
        <v>-21.32</v>
      </c>
      <c r="G84" s="37">
        <f>ALL!K65</f>
        <v>-23.31</v>
      </c>
      <c r="H84" s="37">
        <f>ALL!L65</f>
        <v>-23.8</v>
      </c>
      <c r="I84" s="37">
        <f>ALL!M65</f>
        <v>-24.29</v>
      </c>
      <c r="J84" s="37">
        <f>ALL!N65</f>
        <v>-24.77</v>
      </c>
      <c r="K84" s="37">
        <f>ALL!O65</f>
        <v>-25.24</v>
      </c>
      <c r="L84" s="37">
        <f>ALL!P65</f>
        <v>-27.06</v>
      </c>
      <c r="M84" s="37">
        <f>ALL!Q65</f>
        <v>-28.78</v>
      </c>
      <c r="N84" s="37">
        <f>ALL!R65</f>
        <v>-30.41</v>
      </c>
      <c r="O84" s="37">
        <f>ALL!S65</f>
        <v>-30.81</v>
      </c>
      <c r="P84" s="37">
        <f>ALL!T65</f>
        <v>-31.2</v>
      </c>
      <c r="Q84" s="37">
        <f>ALL!U65</f>
        <v>-31.59</v>
      </c>
      <c r="R84" s="37">
        <f>ALL!V65</f>
        <v>-31.98</v>
      </c>
      <c r="S84" s="37">
        <f>ALL!W65</f>
        <v>-33.5</v>
      </c>
      <c r="T84" s="37">
        <f>ALL!X65</f>
        <v>-35</v>
      </c>
      <c r="U84" s="37"/>
      <c r="V84" s="37"/>
      <c r="W84" s="37"/>
    </row>
    <row r="85" spans="1:194" ht="21.75" hidden="1" outlineLevel="1" thickBot="1" x14ac:dyDescent="0.4">
      <c r="A85" s="78">
        <f>ALL!E66</f>
        <v>0</v>
      </c>
      <c r="B85" s="37">
        <f>ALL!F66</f>
        <v>0</v>
      </c>
      <c r="C85" s="37">
        <f>ALL!G66</f>
        <v>0</v>
      </c>
      <c r="D85" s="37">
        <f>ALL!H66</f>
        <v>0</v>
      </c>
      <c r="E85" s="37">
        <f>ALL!I66</f>
        <v>0</v>
      </c>
      <c r="F85" s="37">
        <f>ALL!J66</f>
        <v>0</v>
      </c>
      <c r="G85" s="37">
        <f>ALL!K66</f>
        <v>0</v>
      </c>
      <c r="H85" s="37">
        <f>ALL!L66</f>
        <v>0</v>
      </c>
      <c r="I85" s="37">
        <f>ALL!M66</f>
        <v>0</v>
      </c>
      <c r="J85" s="37">
        <f>ALL!N66</f>
        <v>0</v>
      </c>
      <c r="K85" s="37">
        <f>ALL!O66</f>
        <v>0</v>
      </c>
      <c r="L85" s="37">
        <f>ALL!P66</f>
        <v>0</v>
      </c>
      <c r="M85" s="37">
        <f>ALL!Q66</f>
        <v>0</v>
      </c>
      <c r="N85" s="37">
        <f>ALL!R66</f>
        <v>0</v>
      </c>
      <c r="O85" s="37">
        <f>ALL!S66</f>
        <v>0</v>
      </c>
      <c r="P85" s="37">
        <f>ALL!T66</f>
        <v>0</v>
      </c>
      <c r="Q85" s="37">
        <f>ALL!U66</f>
        <v>0</v>
      </c>
      <c r="R85" s="37">
        <f>ALL!V66</f>
        <v>0</v>
      </c>
      <c r="S85" s="37">
        <f>ALL!W66</f>
        <v>0</v>
      </c>
      <c r="T85" s="37">
        <f>ALL!X66</f>
        <v>0</v>
      </c>
      <c r="U85" s="37"/>
      <c r="V85" s="37"/>
      <c r="W85" s="37"/>
    </row>
    <row r="86" spans="1:194" ht="21.75" hidden="1" outlineLevel="1" thickBot="1" x14ac:dyDescent="0.4">
      <c r="A86" s="78">
        <f>ALL!E67</f>
        <v>0</v>
      </c>
      <c r="B86" s="37">
        <f>ALL!F67</f>
        <v>0</v>
      </c>
      <c r="C86" s="37">
        <f>ALL!G67</f>
        <v>0</v>
      </c>
      <c r="D86" s="37">
        <f>ALL!H67</f>
        <v>0</v>
      </c>
      <c r="E86" s="37">
        <f>ALL!I67</f>
        <v>0</v>
      </c>
      <c r="F86" s="37">
        <f>ALL!J67</f>
        <v>0</v>
      </c>
      <c r="G86" s="37">
        <f>ALL!K67</f>
        <v>0</v>
      </c>
      <c r="H86" s="37">
        <f>ALL!L67</f>
        <v>0</v>
      </c>
      <c r="I86" s="37">
        <f>ALL!M67</f>
        <v>0</v>
      </c>
      <c r="J86" s="37">
        <f>ALL!N67</f>
        <v>0</v>
      </c>
      <c r="K86" s="37">
        <f>ALL!O67</f>
        <v>0</v>
      </c>
      <c r="L86" s="37">
        <f>ALL!P67</f>
        <v>0</v>
      </c>
      <c r="M86" s="37">
        <f>ALL!Q67</f>
        <v>0</v>
      </c>
      <c r="N86" s="37">
        <f>ALL!R67</f>
        <v>0</v>
      </c>
      <c r="O86" s="37">
        <f>ALL!S67</f>
        <v>0</v>
      </c>
      <c r="P86" s="37">
        <f>ALL!T67</f>
        <v>0</v>
      </c>
      <c r="Q86" s="37">
        <f>ALL!U67</f>
        <v>0</v>
      </c>
      <c r="R86" s="37">
        <f>ALL!V67</f>
        <v>0</v>
      </c>
      <c r="S86" s="37">
        <f>ALL!W67</f>
        <v>0</v>
      </c>
      <c r="T86" s="37">
        <f>ALL!X67</f>
        <v>0</v>
      </c>
      <c r="U86" s="37"/>
      <c r="V86" s="37"/>
      <c r="W86" s="37"/>
    </row>
    <row r="87" spans="1:194" ht="21.75" hidden="1" outlineLevel="1" thickBot="1" x14ac:dyDescent="0.4">
      <c r="A87" s="78">
        <f>ALL!E68</f>
        <v>0</v>
      </c>
      <c r="B87" s="37">
        <f>ALL!F68</f>
        <v>0</v>
      </c>
      <c r="C87" s="37">
        <f>ALL!G68</f>
        <v>0</v>
      </c>
      <c r="D87" s="37">
        <f>ALL!H68</f>
        <v>0</v>
      </c>
      <c r="E87" s="37">
        <f>ALL!I68</f>
        <v>0</v>
      </c>
      <c r="F87" s="37">
        <f>ALL!J68</f>
        <v>0</v>
      </c>
      <c r="G87" s="37">
        <f>ALL!K68</f>
        <v>0</v>
      </c>
      <c r="H87" s="37">
        <f>ALL!L68</f>
        <v>0</v>
      </c>
      <c r="I87" s="37">
        <f>ALL!M68</f>
        <v>0</v>
      </c>
      <c r="J87" s="37">
        <f>ALL!N68</f>
        <v>0</v>
      </c>
      <c r="K87" s="37">
        <f>ALL!O68</f>
        <v>0</v>
      </c>
      <c r="L87" s="37">
        <f>ALL!P68</f>
        <v>0</v>
      </c>
      <c r="M87" s="37">
        <f>ALL!Q68</f>
        <v>0</v>
      </c>
      <c r="N87" s="37">
        <f>ALL!R68</f>
        <v>0</v>
      </c>
      <c r="O87" s="37">
        <f>ALL!S68</f>
        <v>0</v>
      </c>
      <c r="P87" s="37">
        <f>ALL!T68</f>
        <v>0</v>
      </c>
      <c r="Q87" s="37">
        <f>ALL!U68</f>
        <v>0</v>
      </c>
      <c r="R87" s="37">
        <f>ALL!V68</f>
        <v>0</v>
      </c>
      <c r="S87" s="37">
        <f>ALL!W68</f>
        <v>0</v>
      </c>
      <c r="T87" s="37">
        <f>ALL!X68</f>
        <v>0</v>
      </c>
      <c r="U87" s="37"/>
      <c r="V87" s="37"/>
      <c r="W87" s="37"/>
    </row>
    <row r="88" spans="1:194" ht="21.75" hidden="1" outlineLevel="1" thickBot="1" x14ac:dyDescent="0.4">
      <c r="A88" s="78">
        <f>ALL!E69</f>
        <v>0</v>
      </c>
      <c r="B88" s="37">
        <f>ALL!F69</f>
        <v>0</v>
      </c>
      <c r="C88" s="37">
        <f>ALL!G69</f>
        <v>0</v>
      </c>
      <c r="D88" s="37">
        <f>ALL!H69</f>
        <v>0</v>
      </c>
      <c r="E88" s="37">
        <f>ALL!I69</f>
        <v>0</v>
      </c>
      <c r="F88" s="37">
        <f>ALL!J69</f>
        <v>0</v>
      </c>
      <c r="G88" s="37">
        <f>ALL!K69</f>
        <v>0</v>
      </c>
      <c r="H88" s="37">
        <f>ALL!L69</f>
        <v>0</v>
      </c>
      <c r="I88" s="37">
        <f>ALL!M69</f>
        <v>0</v>
      </c>
      <c r="J88" s="37">
        <f>ALL!N69</f>
        <v>0</v>
      </c>
      <c r="K88" s="37">
        <f>ALL!O69</f>
        <v>0</v>
      </c>
      <c r="L88" s="37">
        <f>ALL!P69</f>
        <v>0</v>
      </c>
      <c r="M88" s="37">
        <f>ALL!Q69</f>
        <v>0</v>
      </c>
      <c r="N88" s="37">
        <f>ALL!R69</f>
        <v>0</v>
      </c>
      <c r="O88" s="37">
        <f>ALL!S69</f>
        <v>0</v>
      </c>
      <c r="P88" s="37">
        <f>ALL!T69</f>
        <v>0</v>
      </c>
      <c r="Q88" s="37">
        <f>ALL!U69</f>
        <v>0</v>
      </c>
      <c r="R88" s="37">
        <f>ALL!V69</f>
        <v>0</v>
      </c>
      <c r="S88" s="37">
        <f>ALL!W69</f>
        <v>0</v>
      </c>
      <c r="T88" s="37">
        <f>ALL!X69</f>
        <v>0</v>
      </c>
      <c r="U88" s="37"/>
      <c r="V88" s="37"/>
      <c r="W88" s="37"/>
    </row>
    <row r="89" spans="1:194" ht="21.75" hidden="1" outlineLevel="1" thickBot="1" x14ac:dyDescent="0.4">
      <c r="A89" s="78">
        <f>ALL!E70</f>
        <v>0</v>
      </c>
      <c r="B89" s="37">
        <f>ALL!F70</f>
        <v>0</v>
      </c>
      <c r="C89" s="37">
        <f>ALL!G70</f>
        <v>0</v>
      </c>
      <c r="D89" s="37">
        <f>ALL!H70</f>
        <v>0</v>
      </c>
      <c r="E89" s="37">
        <f>ALL!I70</f>
        <v>0</v>
      </c>
      <c r="F89" s="37">
        <f>ALL!J70</f>
        <v>0</v>
      </c>
      <c r="G89" s="37">
        <f>ALL!K70</f>
        <v>0</v>
      </c>
      <c r="H89" s="37">
        <f>ALL!L70</f>
        <v>0</v>
      </c>
      <c r="I89" s="37">
        <f>ALL!M70</f>
        <v>0</v>
      </c>
      <c r="J89" s="37">
        <f>ALL!N70</f>
        <v>0</v>
      </c>
      <c r="K89" s="37">
        <f>ALL!O70</f>
        <v>0</v>
      </c>
      <c r="L89" s="37">
        <f>ALL!P70</f>
        <v>0</v>
      </c>
      <c r="M89" s="37">
        <f>ALL!Q70</f>
        <v>0</v>
      </c>
      <c r="N89" s="37">
        <f>ALL!R70</f>
        <v>0</v>
      </c>
      <c r="O89" s="37">
        <f>ALL!S70</f>
        <v>0</v>
      </c>
      <c r="P89" s="37">
        <f>ALL!T70</f>
        <v>0</v>
      </c>
      <c r="Q89" s="37">
        <f>ALL!U70</f>
        <v>0</v>
      </c>
      <c r="R89" s="37">
        <f>ALL!V70</f>
        <v>0</v>
      </c>
      <c r="S89" s="37">
        <f>ALL!W70</f>
        <v>0</v>
      </c>
      <c r="T89" s="37">
        <f>ALL!X70</f>
        <v>0</v>
      </c>
      <c r="U89" s="37"/>
      <c r="V89" s="37"/>
      <c r="W89" s="37"/>
    </row>
    <row r="90" spans="1:194" ht="21.75" hidden="1" outlineLevel="1" thickBot="1" x14ac:dyDescent="0.4">
      <c r="A90" s="78">
        <f>ALL!E71</f>
        <v>0</v>
      </c>
      <c r="B90" s="37">
        <f>ALL!F71</f>
        <v>0</v>
      </c>
      <c r="C90" s="37">
        <f>ALL!G71</f>
        <v>0</v>
      </c>
      <c r="D90" s="37">
        <f>ALL!H71</f>
        <v>0</v>
      </c>
      <c r="E90" s="37">
        <f>ALL!I71</f>
        <v>0</v>
      </c>
      <c r="F90" s="37">
        <f>ALL!J71</f>
        <v>0</v>
      </c>
      <c r="G90" s="37">
        <f>ALL!K71</f>
        <v>0</v>
      </c>
      <c r="H90" s="37">
        <f>ALL!L71</f>
        <v>0</v>
      </c>
      <c r="I90" s="37">
        <f>ALL!M71</f>
        <v>0</v>
      </c>
      <c r="J90" s="37">
        <f>ALL!N71</f>
        <v>0</v>
      </c>
      <c r="K90" s="37">
        <f>ALL!O71</f>
        <v>0</v>
      </c>
      <c r="L90" s="37">
        <f>ALL!P71</f>
        <v>0</v>
      </c>
      <c r="M90" s="37">
        <f>ALL!Q71</f>
        <v>0</v>
      </c>
      <c r="N90" s="37">
        <f>ALL!R71</f>
        <v>0</v>
      </c>
      <c r="O90" s="37">
        <f>ALL!S71</f>
        <v>0</v>
      </c>
      <c r="P90" s="37">
        <f>ALL!T71</f>
        <v>0</v>
      </c>
      <c r="Q90" s="37">
        <f>ALL!U71</f>
        <v>0</v>
      </c>
      <c r="R90" s="37">
        <f>ALL!V71</f>
        <v>0</v>
      </c>
      <c r="S90" s="37">
        <f>ALL!W71</f>
        <v>0</v>
      </c>
      <c r="T90" s="37">
        <f>ALL!X71</f>
        <v>0</v>
      </c>
      <c r="U90" s="37"/>
      <c r="V90" s="37"/>
      <c r="W90" s="37"/>
    </row>
    <row r="91" spans="1:194" ht="21.75" hidden="1" outlineLevel="1" thickBot="1" x14ac:dyDescent="0.4">
      <c r="A91" s="78">
        <f>ALL!E72</f>
        <v>0</v>
      </c>
      <c r="B91" s="37">
        <f>ALL!F72</f>
        <v>0</v>
      </c>
      <c r="C91" s="37">
        <f>ALL!G72</f>
        <v>0</v>
      </c>
      <c r="D91" s="37">
        <f>ALL!H72</f>
        <v>0</v>
      </c>
      <c r="E91" s="37">
        <f>ALL!I72</f>
        <v>0</v>
      </c>
      <c r="F91" s="37">
        <f>ALL!J72</f>
        <v>0</v>
      </c>
      <c r="G91" s="37">
        <f>ALL!K72</f>
        <v>0</v>
      </c>
      <c r="H91" s="37">
        <f>ALL!L72</f>
        <v>0</v>
      </c>
      <c r="I91" s="37">
        <f>ALL!M72</f>
        <v>0</v>
      </c>
      <c r="J91" s="37">
        <f>ALL!N72</f>
        <v>0</v>
      </c>
      <c r="K91" s="37">
        <f>ALL!O72</f>
        <v>0</v>
      </c>
      <c r="L91" s="37">
        <f>ALL!P72</f>
        <v>0</v>
      </c>
      <c r="M91" s="37">
        <f>ALL!Q72</f>
        <v>0</v>
      </c>
      <c r="N91" s="37">
        <f>ALL!R72</f>
        <v>0</v>
      </c>
      <c r="O91" s="37">
        <f>ALL!S72</f>
        <v>0</v>
      </c>
      <c r="P91" s="37">
        <f>ALL!T72</f>
        <v>0</v>
      </c>
      <c r="Q91" s="37">
        <f>ALL!U72</f>
        <v>0</v>
      </c>
      <c r="R91" s="37">
        <f>ALL!V72</f>
        <v>0</v>
      </c>
      <c r="S91" s="37">
        <f>ALL!W72</f>
        <v>0</v>
      </c>
      <c r="T91" s="37">
        <f>ALL!X72</f>
        <v>0</v>
      </c>
      <c r="U91" s="37"/>
      <c r="V91" s="37"/>
      <c r="W91" s="37"/>
    </row>
    <row r="92" spans="1:194" ht="21.75" hidden="1" outlineLevel="1" thickBot="1" x14ac:dyDescent="0.4">
      <c r="A92" s="78">
        <f>ALL!E73</f>
        <v>0</v>
      </c>
      <c r="B92" s="37">
        <f>ALL!F73</f>
        <v>0</v>
      </c>
      <c r="C92" s="37">
        <f>ALL!G73</f>
        <v>0</v>
      </c>
      <c r="D92" s="37">
        <f>ALL!H73</f>
        <v>0</v>
      </c>
      <c r="E92" s="37">
        <f>ALL!I73</f>
        <v>0</v>
      </c>
      <c r="F92" s="37">
        <f>ALL!J73</f>
        <v>0</v>
      </c>
      <c r="G92" s="37">
        <f>ALL!K73</f>
        <v>0</v>
      </c>
      <c r="H92" s="37">
        <f>ALL!L73</f>
        <v>0</v>
      </c>
      <c r="I92" s="37">
        <f>ALL!M73</f>
        <v>0</v>
      </c>
      <c r="J92" s="37">
        <f>ALL!N73</f>
        <v>0</v>
      </c>
      <c r="K92" s="37">
        <f>ALL!O73</f>
        <v>0</v>
      </c>
      <c r="L92" s="37">
        <f>ALL!P73</f>
        <v>0</v>
      </c>
      <c r="M92" s="37">
        <f>ALL!Q73</f>
        <v>0</v>
      </c>
      <c r="N92" s="37">
        <f>ALL!R73</f>
        <v>0</v>
      </c>
      <c r="O92" s="37">
        <f>ALL!S73</f>
        <v>0</v>
      </c>
      <c r="P92" s="37">
        <f>ALL!T73</f>
        <v>0</v>
      </c>
      <c r="Q92" s="37">
        <f>ALL!U73</f>
        <v>0</v>
      </c>
      <c r="R92" s="37">
        <f>ALL!V73</f>
        <v>0</v>
      </c>
      <c r="S92" s="37">
        <f>ALL!W73</f>
        <v>0</v>
      </c>
      <c r="T92" s="37">
        <f>ALL!X73</f>
        <v>0</v>
      </c>
      <c r="U92" s="37"/>
      <c r="V92" s="37"/>
      <c r="W92" s="37"/>
    </row>
    <row r="93" spans="1:194" ht="21.75" hidden="1" outlineLevel="1" thickBot="1" x14ac:dyDescent="0.4">
      <c r="A93" s="78">
        <f>ALL!E74</f>
        <v>0</v>
      </c>
      <c r="B93" s="37">
        <f>ALL!F74</f>
        <v>0</v>
      </c>
      <c r="C93" s="37">
        <f>ALL!G74</f>
        <v>0</v>
      </c>
      <c r="D93" s="37">
        <f>ALL!H74</f>
        <v>0</v>
      </c>
      <c r="E93" s="37">
        <f>ALL!I74</f>
        <v>0</v>
      </c>
      <c r="F93" s="37">
        <f>ALL!J74</f>
        <v>0</v>
      </c>
      <c r="G93" s="37">
        <f>ALL!K74</f>
        <v>0</v>
      </c>
      <c r="H93" s="37">
        <f>ALL!L74</f>
        <v>0</v>
      </c>
      <c r="I93" s="37">
        <f>ALL!M74</f>
        <v>0</v>
      </c>
      <c r="J93" s="37">
        <f>ALL!N74</f>
        <v>0</v>
      </c>
      <c r="K93" s="37">
        <f>ALL!O74</f>
        <v>0</v>
      </c>
      <c r="L93" s="37">
        <f>ALL!P74</f>
        <v>0</v>
      </c>
      <c r="M93" s="37">
        <f>ALL!Q74</f>
        <v>0</v>
      </c>
      <c r="N93" s="37">
        <f>ALL!R74</f>
        <v>0</v>
      </c>
      <c r="O93" s="37">
        <f>ALL!S74</f>
        <v>0</v>
      </c>
      <c r="P93" s="37">
        <f>ALL!T74</f>
        <v>0</v>
      </c>
      <c r="Q93" s="37">
        <f>ALL!U74</f>
        <v>0</v>
      </c>
      <c r="R93" s="37">
        <f>ALL!V74</f>
        <v>0</v>
      </c>
      <c r="S93" s="37">
        <f>ALL!W74</f>
        <v>0</v>
      </c>
      <c r="T93" s="37">
        <f>ALL!X74</f>
        <v>0</v>
      </c>
      <c r="U93" s="37"/>
      <c r="V93" s="37"/>
      <c r="W93" s="37"/>
    </row>
    <row r="94" spans="1:194" ht="21.75" hidden="1" outlineLevel="1" thickBot="1" x14ac:dyDescent="0.4">
      <c r="A94" s="78">
        <f>ALL!E75</f>
        <v>0</v>
      </c>
      <c r="B94" s="37">
        <f>ALL!F75</f>
        <v>0</v>
      </c>
      <c r="C94" s="37">
        <f>ALL!G75</f>
        <v>0</v>
      </c>
      <c r="D94" s="37">
        <f>ALL!H75</f>
        <v>0</v>
      </c>
      <c r="E94" s="37">
        <f>ALL!I75</f>
        <v>0</v>
      </c>
      <c r="F94" s="37">
        <f>ALL!J75</f>
        <v>0</v>
      </c>
      <c r="G94" s="37">
        <f>ALL!K75</f>
        <v>0</v>
      </c>
      <c r="H94" s="37">
        <f>ALL!L75</f>
        <v>0</v>
      </c>
      <c r="I94" s="37">
        <f>ALL!M75</f>
        <v>0</v>
      </c>
      <c r="J94" s="37">
        <f>ALL!N75</f>
        <v>0</v>
      </c>
      <c r="K94" s="37">
        <f>ALL!O75</f>
        <v>0</v>
      </c>
      <c r="L94" s="37">
        <f>ALL!P75</f>
        <v>0</v>
      </c>
      <c r="M94" s="37">
        <f>ALL!Q75</f>
        <v>0</v>
      </c>
      <c r="N94" s="37">
        <f>ALL!R75</f>
        <v>0</v>
      </c>
      <c r="O94" s="37">
        <f>ALL!S75</f>
        <v>0</v>
      </c>
      <c r="P94" s="37">
        <f>ALL!T75</f>
        <v>0</v>
      </c>
      <c r="Q94" s="37">
        <f>ALL!U75</f>
        <v>0</v>
      </c>
      <c r="R94" s="37">
        <f>ALL!V75</f>
        <v>0</v>
      </c>
      <c r="S94" s="37">
        <f>ALL!W75</f>
        <v>0</v>
      </c>
      <c r="T94" s="37">
        <f>ALL!X75</f>
        <v>0</v>
      </c>
      <c r="U94" s="37"/>
      <c r="V94" s="37"/>
      <c r="W94" s="37"/>
    </row>
    <row r="95" spans="1:194" ht="21.75" hidden="1" outlineLevel="1" thickBot="1" x14ac:dyDescent="0.4">
      <c r="A95" s="78">
        <f>ALL!E76</f>
        <v>0</v>
      </c>
      <c r="B95" s="37">
        <f>ALL!F76</f>
        <v>0</v>
      </c>
      <c r="C95" s="37">
        <f>ALL!G76</f>
        <v>0</v>
      </c>
      <c r="D95" s="37">
        <f>ALL!H76</f>
        <v>0</v>
      </c>
      <c r="E95" s="37">
        <f>ALL!I76</f>
        <v>0</v>
      </c>
      <c r="F95" s="37">
        <f>ALL!J76</f>
        <v>0</v>
      </c>
      <c r="G95" s="37">
        <f>ALL!K76</f>
        <v>0</v>
      </c>
      <c r="H95" s="37">
        <f>ALL!L76</f>
        <v>0</v>
      </c>
      <c r="I95" s="37">
        <f>ALL!M76</f>
        <v>0</v>
      </c>
      <c r="J95" s="37">
        <f>ALL!N76</f>
        <v>0</v>
      </c>
      <c r="K95" s="37">
        <f>ALL!O76</f>
        <v>0</v>
      </c>
      <c r="L95" s="37">
        <f>ALL!P76</f>
        <v>0</v>
      </c>
      <c r="M95" s="37">
        <f>ALL!Q76</f>
        <v>0</v>
      </c>
      <c r="N95" s="37">
        <f>ALL!R76</f>
        <v>0</v>
      </c>
      <c r="O95" s="37">
        <f>ALL!S76</f>
        <v>0</v>
      </c>
      <c r="P95" s="37">
        <f>ALL!T76</f>
        <v>0</v>
      </c>
      <c r="Q95" s="37">
        <f>ALL!U76</f>
        <v>0</v>
      </c>
      <c r="R95" s="37">
        <f>ALL!V76</f>
        <v>0</v>
      </c>
      <c r="S95" s="37">
        <f>ALL!W76</f>
        <v>0</v>
      </c>
      <c r="T95" s="37">
        <f>ALL!X76</f>
        <v>0</v>
      </c>
      <c r="U95" s="37"/>
      <c r="V95" s="37"/>
      <c r="W95" s="37"/>
    </row>
    <row r="96" spans="1:194" ht="21.75" hidden="1" outlineLevel="1" thickBot="1" x14ac:dyDescent="0.4">
      <c r="A96" s="78">
        <f>ALL!E77</f>
        <v>1</v>
      </c>
      <c r="B96" s="37">
        <f>ALL!F77</f>
        <v>0</v>
      </c>
      <c r="C96" s="37">
        <f>ALL!G77</f>
        <v>0</v>
      </c>
      <c r="D96" s="37">
        <f>ALL!H77</f>
        <v>0</v>
      </c>
      <c r="E96" s="37">
        <f>ALL!I77</f>
        <v>0</v>
      </c>
      <c r="F96" s="37">
        <f>ALL!J77</f>
        <v>0</v>
      </c>
      <c r="G96" s="37">
        <f>ALL!K77</f>
        <v>0</v>
      </c>
      <c r="H96" s="37">
        <f>ALL!L77</f>
        <v>0</v>
      </c>
      <c r="I96" s="37">
        <f>ALL!M77</f>
        <v>0</v>
      </c>
      <c r="J96" s="37">
        <f>ALL!N77</f>
        <v>0</v>
      </c>
      <c r="K96" s="37">
        <f>ALL!O77</f>
        <v>0</v>
      </c>
      <c r="L96" s="37">
        <f>ALL!P77</f>
        <v>0</v>
      </c>
      <c r="M96" s="37">
        <f>ALL!Q77</f>
        <v>0</v>
      </c>
      <c r="N96" s="37">
        <f>ALL!R77</f>
        <v>0</v>
      </c>
      <c r="O96" s="37">
        <f>ALL!S77</f>
        <v>0</v>
      </c>
      <c r="P96" s="37">
        <f>ALL!T77</f>
        <v>0</v>
      </c>
      <c r="Q96" s="37">
        <f>ALL!U77</f>
        <v>0</v>
      </c>
      <c r="R96" s="37">
        <f>ALL!V77</f>
        <v>0</v>
      </c>
      <c r="S96" s="37">
        <f>ALL!W77</f>
        <v>0</v>
      </c>
      <c r="T96" s="37">
        <f>ALL!X77</f>
        <v>0</v>
      </c>
      <c r="U96" s="37"/>
      <c r="V96" s="37"/>
      <c r="W96" s="37"/>
    </row>
    <row r="97" ht="21.75" collapsed="1" thickTop="1" x14ac:dyDescent="0.35"/>
  </sheetData>
  <conditionalFormatting sqref="A1:XFD1048576">
    <cfRule type="expression" dxfId="2" priority="1">
      <formula>ROW(A1)=$H$1</formula>
    </cfRule>
    <cfRule type="expression" dxfId="1" priority="2">
      <formula>ROW(A1)=$J$1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Лист3.Eval">
                <anchor moveWithCells="1" sizeWithCells="1">
                  <from>
                    <xdr:col>10</xdr:col>
                    <xdr:colOff>685800</xdr:colOff>
                    <xdr:row>0</xdr:row>
                    <xdr:rowOff>9525</xdr:rowOff>
                  </from>
                  <to>
                    <xdr:col>18</xdr:col>
                    <xdr:colOff>666750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723C4-84E2-49EA-A394-B9568C73BA14}">
  <dimension ref="A1:CO15"/>
  <sheetViews>
    <sheetView tabSelected="1" zoomScale="55" zoomScaleNormal="55" workbookViewId="0">
      <selection activeCell="CR5" sqref="CR5"/>
    </sheetView>
  </sheetViews>
  <sheetFormatPr defaultRowHeight="21" x14ac:dyDescent="0.35"/>
  <cols>
    <col min="1" max="1" width="5.7265625" customWidth="1"/>
    <col min="4" max="4" width="0" hidden="1" customWidth="1"/>
    <col min="5" max="92" width="8.7265625" hidden="1" customWidth="1"/>
  </cols>
  <sheetData>
    <row r="1" spans="1:93" x14ac:dyDescent="0.35">
      <c r="A1">
        <v>350</v>
      </c>
      <c r="B1">
        <v>-100</v>
      </c>
    </row>
    <row r="2" spans="1:93" ht="21.75" thickBot="1" x14ac:dyDescent="0.4">
      <c r="A2">
        <f>A1</f>
        <v>350</v>
      </c>
      <c r="B2">
        <v>100</v>
      </c>
    </row>
    <row r="3" spans="1:93" ht="22.5" thickTop="1" thickBot="1" x14ac:dyDescent="0.4">
      <c r="B3" s="68"/>
      <c r="C3" s="68">
        <v>290</v>
      </c>
      <c r="D3" s="68">
        <v>303.4444580078125</v>
      </c>
      <c r="E3" s="68">
        <v>316.88888549804688</v>
      </c>
      <c r="F3" s="68">
        <v>330.33334350585938</v>
      </c>
      <c r="G3" s="68">
        <v>343.77777099609375</v>
      </c>
      <c r="H3" s="68">
        <v>357.22222900390625</v>
      </c>
      <c r="I3" s="68">
        <v>370.66665649414063</v>
      </c>
      <c r="J3" s="68">
        <v>384.11111450195313</v>
      </c>
      <c r="K3" s="68">
        <v>397.5555419921875</v>
      </c>
      <c r="L3" s="68">
        <v>411</v>
      </c>
      <c r="M3" s="68">
        <v>424.4444580078125</v>
      </c>
      <c r="N3" s="68">
        <v>437.88888549804688</v>
      </c>
      <c r="O3" s="68">
        <v>451.33334350585938</v>
      </c>
      <c r="P3" s="68">
        <v>464.77777099609375</v>
      </c>
      <c r="Q3" s="68">
        <v>478.22222900390625</v>
      </c>
      <c r="R3" s="68">
        <v>491.66665649414063</v>
      </c>
      <c r="S3" s="68">
        <v>505.11111450195313</v>
      </c>
      <c r="T3" s="68">
        <v>518.5555419921875</v>
      </c>
      <c r="U3" s="68">
        <v>532</v>
      </c>
      <c r="V3" s="68">
        <v>545.4444580078125</v>
      </c>
      <c r="W3" s="68">
        <v>558.888916015625</v>
      </c>
      <c r="X3" s="68">
        <v>572.33331298828125</v>
      </c>
      <c r="Y3" s="68">
        <v>585.77777099609375</v>
      </c>
      <c r="Z3" s="68">
        <v>599.22222900390625</v>
      </c>
      <c r="AA3" s="68">
        <v>612.66668701171875</v>
      </c>
      <c r="AB3" s="68">
        <v>626.111083984375</v>
      </c>
      <c r="AC3" s="68">
        <v>639.5555419921875</v>
      </c>
      <c r="AD3" s="68">
        <v>653</v>
      </c>
      <c r="AE3" s="68">
        <v>666.4444580078125</v>
      </c>
      <c r="AF3" s="68">
        <v>679.888916015625</v>
      </c>
      <c r="AG3" s="68">
        <v>693.33331298828125</v>
      </c>
      <c r="AH3" s="68">
        <v>706.77777099609375</v>
      </c>
      <c r="AI3" s="68">
        <v>720.22222900390625</v>
      </c>
      <c r="AJ3" s="68">
        <v>733.66668701171875</v>
      </c>
      <c r="AK3" s="68">
        <v>747.111083984375</v>
      </c>
      <c r="AL3" s="68">
        <v>760.5555419921875</v>
      </c>
      <c r="AM3" s="68">
        <v>774</v>
      </c>
      <c r="AN3" s="68">
        <v>787.4444580078125</v>
      </c>
      <c r="AO3" s="68">
        <v>800.888916015625</v>
      </c>
      <c r="AP3" s="68">
        <v>814.33331298828125</v>
      </c>
      <c r="AQ3" s="68">
        <v>827.77777099609375</v>
      </c>
      <c r="AR3" s="68">
        <v>841.22222900390625</v>
      </c>
      <c r="AS3" s="68">
        <v>854.66668701171875</v>
      </c>
      <c r="AT3" s="68">
        <v>868.111083984375</v>
      </c>
      <c r="AU3" s="68">
        <v>881.5555419921875</v>
      </c>
      <c r="AV3" s="68">
        <v>895</v>
      </c>
      <c r="AW3" s="68">
        <v>908.4444580078125</v>
      </c>
      <c r="AX3" s="68">
        <v>921.888916015625</v>
      </c>
      <c r="AY3" s="68">
        <v>935.33331298828125</v>
      </c>
      <c r="AZ3" s="68">
        <v>948.77777099609375</v>
      </c>
      <c r="BA3" s="68">
        <v>962.22222900390625</v>
      </c>
      <c r="BB3" s="68">
        <v>975.66668701171875</v>
      </c>
      <c r="BC3" s="68">
        <v>989.111083984375</v>
      </c>
      <c r="BD3" s="68">
        <v>1002.5555419921875</v>
      </c>
      <c r="BE3" s="68">
        <v>1016</v>
      </c>
      <c r="BF3" s="68">
        <v>1029.4444580078125</v>
      </c>
      <c r="BG3" s="68">
        <v>1042.888916015625</v>
      </c>
      <c r="BH3" s="68">
        <v>1056.3333740234375</v>
      </c>
      <c r="BI3" s="68">
        <v>1069.77783203125</v>
      </c>
      <c r="BJ3" s="68">
        <v>1083.22216796875</v>
      </c>
      <c r="BK3" s="68">
        <v>1096.6666259765625</v>
      </c>
      <c r="BL3" s="68">
        <v>1110.111083984375</v>
      </c>
      <c r="BM3" s="68">
        <v>1123.5555419921875</v>
      </c>
      <c r="BN3" s="68">
        <v>1137</v>
      </c>
      <c r="BO3" s="68">
        <v>1150.4444580078125</v>
      </c>
      <c r="BP3" s="68">
        <v>1163.888916015625</v>
      </c>
      <c r="BQ3" s="68">
        <v>1177.3333740234375</v>
      </c>
      <c r="BR3" s="68">
        <v>1190.77783203125</v>
      </c>
      <c r="BS3" s="68">
        <v>1204.22216796875</v>
      </c>
      <c r="BT3" s="68">
        <v>1217.6666259765625</v>
      </c>
      <c r="BU3" s="68">
        <v>1231.111083984375</v>
      </c>
      <c r="BV3" s="68">
        <v>1244.5555419921875</v>
      </c>
      <c r="BW3" s="68">
        <v>1258</v>
      </c>
      <c r="BX3" s="68">
        <v>1271.4444580078125</v>
      </c>
      <c r="BY3" s="68">
        <v>1284.888916015625</v>
      </c>
      <c r="BZ3" s="68">
        <v>1298.3333740234375</v>
      </c>
      <c r="CA3" s="68">
        <v>1311.77783203125</v>
      </c>
      <c r="CB3" s="68">
        <v>1325.22216796875</v>
      </c>
      <c r="CC3" s="68">
        <v>1338.6666259765625</v>
      </c>
      <c r="CD3" s="68">
        <v>1352.111083984375</v>
      </c>
      <c r="CE3" s="68">
        <v>1365.5555419921875</v>
      </c>
      <c r="CF3" s="68">
        <v>1379</v>
      </c>
      <c r="CG3" s="68">
        <v>1392.4444580078125</v>
      </c>
      <c r="CH3" s="68">
        <v>1405.888916015625</v>
      </c>
      <c r="CI3" s="68">
        <v>1419.3333740234375</v>
      </c>
      <c r="CJ3" s="68">
        <v>1432.77783203125</v>
      </c>
      <c r="CK3" s="68">
        <v>1446.22216796875</v>
      </c>
      <c r="CL3" s="68">
        <v>1459.6666259765625</v>
      </c>
      <c r="CM3" s="68">
        <v>1473.111083984375</v>
      </c>
      <c r="CN3" s="68">
        <v>1486.5555419921875</v>
      </c>
      <c r="CO3" s="68">
        <v>1500</v>
      </c>
    </row>
    <row r="4" spans="1:93" ht="22.5" thickTop="1" thickBot="1" x14ac:dyDescent="0.4">
      <c r="A4" s="90" t="s">
        <v>87</v>
      </c>
      <c r="B4" s="34" t="s">
        <v>37</v>
      </c>
      <c r="C4">
        <v>-20.451709747314453</v>
      </c>
      <c r="D4">
        <v>-20.176399230957031</v>
      </c>
      <c r="E4">
        <v>-17.98814582824707</v>
      </c>
      <c r="F4">
        <v>-15.799887657165527</v>
      </c>
      <c r="G4">
        <v>-14.393250465393066</v>
      </c>
      <c r="H4">
        <v>-13.060880661010742</v>
      </c>
      <c r="I4">
        <v>-11.904621124267578</v>
      </c>
      <c r="J4">
        <v>-10.982830047607422</v>
      </c>
      <c r="K4">
        <v>-10.061041831970215</v>
      </c>
      <c r="L4">
        <v>-9.2537031173706055</v>
      </c>
      <c r="M4">
        <v>-8.4530744552612305</v>
      </c>
      <c r="N4">
        <v>-7.6984000205993652</v>
      </c>
      <c r="O4">
        <v>-6.9975976943969727</v>
      </c>
      <c r="P4">
        <v>-6.2967967987060547</v>
      </c>
      <c r="Q4">
        <v>-5.6733918190002441</v>
      </c>
      <c r="R4">
        <v>-5.0518889427185059</v>
      </c>
      <c r="S4">
        <v>-4.6178736686706543</v>
      </c>
      <c r="T4">
        <v>-4.3776497840881348</v>
      </c>
      <c r="U4">
        <v>-4.1414909362792969</v>
      </c>
      <c r="V4">
        <v>-4.1744980812072754</v>
      </c>
      <c r="W4">
        <v>-4.2075057029724121</v>
      </c>
      <c r="X4">
        <v>-4.2406196594238281</v>
      </c>
      <c r="Y4">
        <v>-4.2738285064697266</v>
      </c>
      <c r="Z4">
        <v>-4.3070368766784668</v>
      </c>
      <c r="AA4">
        <v>-4.3402457237243652</v>
      </c>
      <c r="AB4">
        <v>-4.3734540939331055</v>
      </c>
      <c r="AC4">
        <v>-4.4066624641418457</v>
      </c>
      <c r="AD4">
        <v>-4.4398713111877441</v>
      </c>
      <c r="AE4">
        <v>-4.4730796813964844</v>
      </c>
      <c r="AF4">
        <v>-4.5062885284423828</v>
      </c>
      <c r="AG4">
        <v>-4.539496898651123</v>
      </c>
      <c r="AH4">
        <v>-4.5721225738525391</v>
      </c>
      <c r="AI4">
        <v>-4.6043491363525391</v>
      </c>
      <c r="AJ4">
        <v>-4.6365756988525391</v>
      </c>
      <c r="AK4">
        <v>-4.6688017845153809</v>
      </c>
      <c r="AL4">
        <v>-4.7010283470153809</v>
      </c>
      <c r="AM4">
        <v>-4.7332549095153809</v>
      </c>
      <c r="AN4">
        <v>-4.7654809951782227</v>
      </c>
      <c r="AO4">
        <v>-4.7977075576782227</v>
      </c>
      <c r="AP4">
        <v>-4.8299341201782227</v>
      </c>
      <c r="AQ4">
        <v>-4.8621602058410645</v>
      </c>
      <c r="AR4">
        <v>-4.893183708190918</v>
      </c>
      <c r="AS4">
        <v>-4.9235973358154297</v>
      </c>
      <c r="AT4">
        <v>-4.9540109634399414</v>
      </c>
      <c r="AU4">
        <v>-4.9844245910644531</v>
      </c>
      <c r="AV4">
        <v>-5.0148382186889648</v>
      </c>
      <c r="AW4">
        <v>-5.0452518463134766</v>
      </c>
      <c r="AX4">
        <v>-5.0756659507751465</v>
      </c>
      <c r="AY4">
        <v>-5.1060791015625</v>
      </c>
      <c r="AZ4">
        <v>-5.1364932060241699</v>
      </c>
      <c r="BA4">
        <v>-5.1669068336486816</v>
      </c>
      <c r="BB4">
        <v>-5.1962695121765137</v>
      </c>
      <c r="BC4">
        <v>-5.2252516746520996</v>
      </c>
      <c r="BD4">
        <v>-5.2540488243103027</v>
      </c>
      <c r="BE4">
        <v>-5.282289981842041</v>
      </c>
      <c r="BF4">
        <v>-5.3105311393737793</v>
      </c>
      <c r="BG4">
        <v>-5.3392758369445801</v>
      </c>
      <c r="BH4">
        <v>-5.3682022094726563</v>
      </c>
      <c r="BI4">
        <v>-5.3968992233276367</v>
      </c>
      <c r="BJ4">
        <v>-5.4250102043151855</v>
      </c>
      <c r="BK4">
        <v>-5.4531211853027344</v>
      </c>
      <c r="BL4">
        <v>-5.4852805137634277</v>
      </c>
      <c r="BM4">
        <v>-5.5182895660400391</v>
      </c>
      <c r="BN4">
        <v>-5.5512986183166504</v>
      </c>
      <c r="BO4">
        <v>-5.5843076705932617</v>
      </c>
      <c r="BP4">
        <v>-5.6173171997070313</v>
      </c>
      <c r="BQ4">
        <v>-5.6503262519836426</v>
      </c>
      <c r="BR4">
        <v>-5.6833353042602539</v>
      </c>
      <c r="BS4">
        <v>-5.7163443565368652</v>
      </c>
      <c r="BT4">
        <v>-5.7493534088134766</v>
      </c>
      <c r="BU4">
        <v>-5.7823624610900879</v>
      </c>
      <c r="BV4">
        <v>-5.8392171859741211</v>
      </c>
      <c r="BW4">
        <v>-5.8999700546264648</v>
      </c>
      <c r="BX4">
        <v>-5.9607229232788086</v>
      </c>
      <c r="BY4">
        <v>-6.0214757919311523</v>
      </c>
      <c r="BZ4">
        <v>-6.0822281837463379</v>
      </c>
      <c r="CA4">
        <v>-6.1429810523986816</v>
      </c>
      <c r="CB4">
        <v>-6.2037334442138672</v>
      </c>
      <c r="CC4">
        <v>-6.2644863128662109</v>
      </c>
      <c r="CD4">
        <v>-6.3252387046813965</v>
      </c>
      <c r="CE4">
        <v>-6.3859915733337402</v>
      </c>
      <c r="CF4">
        <v>-6.4403824806213379</v>
      </c>
      <c r="CG4">
        <v>-6.4945554733276367</v>
      </c>
      <c r="CH4">
        <v>-6.548734188079834</v>
      </c>
      <c r="CI4">
        <v>-6.6029195785522461</v>
      </c>
      <c r="CJ4">
        <v>-6.6571044921875</v>
      </c>
      <c r="CK4">
        <v>-6.7081665992736816</v>
      </c>
      <c r="CL4">
        <v>-6.7591762542724609</v>
      </c>
      <c r="CM4">
        <v>-6.8099627494812012</v>
      </c>
      <c r="CN4">
        <v>-6.8604812622070313</v>
      </c>
      <c r="CO4">
        <v>-6.9109997749328613</v>
      </c>
    </row>
    <row r="5" spans="1:93" ht="21.75" thickBot="1" x14ac:dyDescent="0.4">
      <c r="A5" s="90"/>
      <c r="B5" s="34" t="s">
        <v>65</v>
      </c>
      <c r="C5">
        <v>-38.977867126464844</v>
      </c>
      <c r="D5">
        <v>-39.295696258544922</v>
      </c>
      <c r="E5">
        <v>-37.285087585449219</v>
      </c>
      <c r="F5">
        <v>-35.274471282958984</v>
      </c>
      <c r="G5">
        <v>-34.059696197509766</v>
      </c>
      <c r="H5">
        <v>-32.920539855957031</v>
      </c>
      <c r="I5">
        <v>-31.960948944091797</v>
      </c>
      <c r="J5">
        <v>-31.240421295166016</v>
      </c>
      <c r="K5">
        <v>-30.5198974609375</v>
      </c>
      <c r="L5">
        <v>-29.917625427246094</v>
      </c>
      <c r="M5">
        <v>-29.322284698486328</v>
      </c>
      <c r="N5">
        <v>-28.77290153503418</v>
      </c>
      <c r="O5">
        <v>-28.277387619018555</v>
      </c>
      <c r="P5">
        <v>-27.781877517700195</v>
      </c>
      <c r="Q5">
        <v>-27.367691040039063</v>
      </c>
      <c r="R5">
        <v>-26.955501556396484</v>
      </c>
      <c r="S5">
        <v>-26.727140426635742</v>
      </c>
      <c r="T5">
        <v>-26.688783645629883</v>
      </c>
      <c r="U5">
        <v>-26.654544830322266</v>
      </c>
      <c r="V5">
        <v>-26.892841339111328</v>
      </c>
      <c r="W5">
        <v>-27.131137847900391</v>
      </c>
      <c r="X5">
        <v>-27.364202499389648</v>
      </c>
      <c r="Y5">
        <v>-27.59263801574707</v>
      </c>
      <c r="Z5">
        <v>-27.821071624755859</v>
      </c>
      <c r="AA5">
        <v>-28.049507141113281</v>
      </c>
      <c r="AB5">
        <v>-28.27794075012207</v>
      </c>
      <c r="AC5">
        <v>-28.506376266479492</v>
      </c>
      <c r="AD5">
        <v>-28.734811782836914</v>
      </c>
      <c r="AE5">
        <v>-28.963247299194336</v>
      </c>
      <c r="AF5">
        <v>-29.191682815551758</v>
      </c>
      <c r="AG5">
        <v>-29.420116424560547</v>
      </c>
      <c r="AH5">
        <v>-29.640285491943359</v>
      </c>
      <c r="AI5">
        <v>-29.854793548583984</v>
      </c>
      <c r="AJ5">
        <v>-30.069299697875977</v>
      </c>
      <c r="AK5">
        <v>-30.283805847167969</v>
      </c>
      <c r="AL5">
        <v>-30.498313903808594</v>
      </c>
      <c r="AM5">
        <v>-30.712820053100586</v>
      </c>
      <c r="AN5">
        <v>-30.927328109741211</v>
      </c>
      <c r="AO5">
        <v>-31.141834259033203</v>
      </c>
      <c r="AP5">
        <v>-31.356340408325195</v>
      </c>
      <c r="AQ5">
        <v>-31.570846557617188</v>
      </c>
      <c r="AR5">
        <v>-31.77813720703125</v>
      </c>
      <c r="AS5">
        <v>-31.981767654418945</v>
      </c>
      <c r="AT5">
        <v>-32.185398101806641</v>
      </c>
      <c r="AU5">
        <v>-32.389026641845703</v>
      </c>
      <c r="AV5">
        <v>-32.592658996582031</v>
      </c>
      <c r="AW5">
        <v>-32.796291351318359</v>
      </c>
      <c r="AX5">
        <v>-32.999919891357422</v>
      </c>
      <c r="AY5">
        <v>-33.203548431396484</v>
      </c>
      <c r="AZ5">
        <v>-33.407180786132813</v>
      </c>
      <c r="BA5">
        <v>-33.610813140869141</v>
      </c>
      <c r="BB5">
        <v>-33.807388305664063</v>
      </c>
      <c r="BC5">
        <v>-34.00140380859375</v>
      </c>
      <c r="BD5">
        <v>-34.194751739501953</v>
      </c>
      <c r="BE5">
        <v>-34.386074066162109</v>
      </c>
      <c r="BF5">
        <v>-34.577400207519531</v>
      </c>
      <c r="BG5">
        <v>-34.772136688232422</v>
      </c>
      <c r="BH5">
        <v>-34.968101501464844</v>
      </c>
      <c r="BI5">
        <v>-35.162693023681641</v>
      </c>
      <c r="BJ5">
        <v>-35.353763580322266</v>
      </c>
      <c r="BK5">
        <v>-35.544837951660156</v>
      </c>
      <c r="BL5">
        <v>-35.735462188720703</v>
      </c>
      <c r="BM5">
        <v>-35.925991058349609</v>
      </c>
      <c r="BN5">
        <v>-36.116523742675781</v>
      </c>
      <c r="BO5">
        <v>-36.307052612304688</v>
      </c>
      <c r="BP5">
        <v>-36.497581481933594</v>
      </c>
      <c r="BQ5">
        <v>-36.688114166259766</v>
      </c>
      <c r="BR5">
        <v>-36.878643035888672</v>
      </c>
      <c r="BS5">
        <v>-37.069171905517578</v>
      </c>
      <c r="BT5">
        <v>-37.259700775146484</v>
      </c>
      <c r="BU5">
        <v>-37.450233459472656</v>
      </c>
      <c r="BV5">
        <v>-37.662151336669922</v>
      </c>
      <c r="BW5">
        <v>-37.8775634765625</v>
      </c>
      <c r="BX5">
        <v>-38.092979431152344</v>
      </c>
      <c r="BY5">
        <v>-38.308395385742188</v>
      </c>
      <c r="BZ5">
        <v>-38.523807525634766</v>
      </c>
      <c r="CA5">
        <v>-38.739223480224609</v>
      </c>
      <c r="CB5">
        <v>-38.954635620117188</v>
      </c>
      <c r="CC5">
        <v>-39.170051574707031</v>
      </c>
      <c r="CD5">
        <v>-39.385467529296875</v>
      </c>
      <c r="CE5">
        <v>-39.600879669189453</v>
      </c>
      <c r="CF5">
        <v>-39.801853179931641</v>
      </c>
      <c r="CG5">
        <v>-40.002334594726563</v>
      </c>
      <c r="CH5">
        <v>-40.206546783447266</v>
      </c>
      <c r="CI5">
        <v>-40.415546417236328</v>
      </c>
      <c r="CJ5">
        <v>-40.624546051025391</v>
      </c>
      <c r="CK5">
        <v>-40.822052001953125</v>
      </c>
      <c r="CL5">
        <v>-41.019371032714844</v>
      </c>
      <c r="CM5">
        <v>-41.218479156494141</v>
      </c>
      <c r="CN5">
        <v>-41.41973876953125</v>
      </c>
      <c r="CO5">
        <v>-41.620998382568359</v>
      </c>
    </row>
    <row r="6" spans="1:93" ht="21.75" thickBot="1" x14ac:dyDescent="0.4">
      <c r="A6" s="90"/>
      <c r="B6" s="34" t="s">
        <v>1</v>
      </c>
      <c r="C6">
        <v>-63.796104431152344</v>
      </c>
      <c r="D6">
        <v>-64.193603515625</v>
      </c>
      <c r="E6">
        <v>-60.588233947753906</v>
      </c>
      <c r="F6">
        <v>-56.982856750488281</v>
      </c>
      <c r="G6">
        <v>-53.949775695800781</v>
      </c>
      <c r="H6">
        <v>-50.971061706542969</v>
      </c>
      <c r="I6">
        <v>-48.187454223632813</v>
      </c>
      <c r="J6">
        <v>-45.663600921630859</v>
      </c>
      <c r="K6">
        <v>-43.139751434326172</v>
      </c>
      <c r="L6">
        <v>-40.958114624023438</v>
      </c>
      <c r="M6">
        <v>-38.796535491943359</v>
      </c>
      <c r="N6">
        <v>-36.760963439941406</v>
      </c>
      <c r="O6">
        <v>-34.873104095458984</v>
      </c>
      <c r="P6">
        <v>-32.985244750976563</v>
      </c>
      <c r="Q6">
        <v>-31.321329116821289</v>
      </c>
      <c r="R6">
        <v>-29.662914276123047</v>
      </c>
      <c r="S6">
        <v>-28.14300537109375</v>
      </c>
      <c r="T6">
        <v>-26.766263961791992</v>
      </c>
      <c r="U6">
        <v>-25.417903900146484</v>
      </c>
      <c r="V6">
        <v>-25.949241638183594</v>
      </c>
      <c r="W6">
        <v>-26.480579376220703</v>
      </c>
      <c r="X6">
        <v>-26.9996337890625</v>
      </c>
      <c r="Y6">
        <v>-27.507827758789063</v>
      </c>
      <c r="Z6">
        <v>-28.016019821166992</v>
      </c>
      <c r="AA6">
        <v>-28.524211883544922</v>
      </c>
      <c r="AB6">
        <v>-29.032402038574219</v>
      </c>
      <c r="AC6">
        <v>-29.540596008300781</v>
      </c>
      <c r="AD6">
        <v>-30.048788070678711</v>
      </c>
      <c r="AE6">
        <v>-30.556980133056641</v>
      </c>
      <c r="AF6">
        <v>-31.065174102783203</v>
      </c>
      <c r="AG6">
        <v>-31.5733642578125</v>
      </c>
      <c r="AH6">
        <v>-32.048915863037109</v>
      </c>
      <c r="AI6">
        <v>-32.502098083496094</v>
      </c>
      <c r="AJ6">
        <v>-32.955280303955078</v>
      </c>
      <c r="AK6">
        <v>-33.408462524414063</v>
      </c>
      <c r="AL6">
        <v>-33.861648559570313</v>
      </c>
      <c r="AM6">
        <v>-34.314830780029297</v>
      </c>
      <c r="AN6">
        <v>-34.768016815185547</v>
      </c>
      <c r="AO6">
        <v>-35.221199035644531</v>
      </c>
      <c r="AP6">
        <v>-35.674381256103516</v>
      </c>
      <c r="AQ6">
        <v>-36.1275634765625</v>
      </c>
      <c r="AR6">
        <v>-36.531959533691406</v>
      </c>
      <c r="AS6">
        <v>-36.911628723144531</v>
      </c>
      <c r="AT6">
        <v>-37.291294097900391</v>
      </c>
      <c r="AU6">
        <v>-37.67095947265625</v>
      </c>
      <c r="AV6">
        <v>-38.050628662109375</v>
      </c>
      <c r="AW6">
        <v>-38.4302978515625</v>
      </c>
      <c r="AX6">
        <v>-38.809963226318359</v>
      </c>
      <c r="AY6">
        <v>-39.189628601074219</v>
      </c>
      <c r="AZ6">
        <v>-39.569297790527344</v>
      </c>
      <c r="BA6">
        <v>-39.948963165283203</v>
      </c>
      <c r="BB6">
        <v>-40.289279937744141</v>
      </c>
      <c r="BC6">
        <v>-40.615329742431641</v>
      </c>
      <c r="BD6">
        <v>-40.934455871582031</v>
      </c>
      <c r="BE6">
        <v>-41.232780456542969</v>
      </c>
      <c r="BF6">
        <v>-41.531105041503906</v>
      </c>
      <c r="BG6">
        <v>-41.819766998291016</v>
      </c>
      <c r="BH6">
        <v>-42.104949951171875</v>
      </c>
      <c r="BI6">
        <v>-42.382122039794922</v>
      </c>
      <c r="BJ6">
        <v>-42.638786315917969</v>
      </c>
      <c r="BK6">
        <v>-42.895454406738281</v>
      </c>
      <c r="BL6">
        <v>-43.099201202392578</v>
      </c>
      <c r="BM6">
        <v>-43.291839599609375</v>
      </c>
      <c r="BN6">
        <v>-43.484477996826172</v>
      </c>
      <c r="BO6">
        <v>-43.677112579345703</v>
      </c>
      <c r="BP6">
        <v>-43.8697509765625</v>
      </c>
      <c r="BQ6">
        <v>-44.062389373779297</v>
      </c>
      <c r="BR6">
        <v>-44.255023956298828</v>
      </c>
      <c r="BS6">
        <v>-44.447662353515625</v>
      </c>
      <c r="BT6">
        <v>-44.640296936035156</v>
      </c>
      <c r="BU6">
        <v>-44.832935333251953</v>
      </c>
      <c r="BV6">
        <v>-44.934719085693359</v>
      </c>
      <c r="BW6">
        <v>-45.021656036376953</v>
      </c>
      <c r="BX6">
        <v>-45.108589172363281</v>
      </c>
      <c r="BY6">
        <v>-45.195522308349609</v>
      </c>
      <c r="BZ6">
        <v>-45.282455444335938</v>
      </c>
      <c r="CA6">
        <v>-45.369392395019531</v>
      </c>
      <c r="CB6">
        <v>-45.456325531005859</v>
      </c>
      <c r="CC6">
        <v>-45.543258666992188</v>
      </c>
      <c r="CD6">
        <v>-45.630191802978516</v>
      </c>
      <c r="CE6">
        <v>-45.717128753662109</v>
      </c>
      <c r="CF6">
        <v>-45.735294342041016</v>
      </c>
      <c r="CG6">
        <v>-45.751110076904297</v>
      </c>
      <c r="CH6">
        <v>-45.756431579589844</v>
      </c>
      <c r="CI6">
        <v>-45.748283386230469</v>
      </c>
      <c r="CJ6">
        <v>-45.740135192871094</v>
      </c>
      <c r="CK6">
        <v>-45.70111083984375</v>
      </c>
      <c r="CL6">
        <v>-45.661567687988281</v>
      </c>
      <c r="CM6">
        <v>-45.608516693115234</v>
      </c>
      <c r="CN6">
        <v>-45.539260864257813</v>
      </c>
      <c r="CO6">
        <v>-45.470001220703125</v>
      </c>
    </row>
    <row r="7" spans="1:93" ht="21.75" thickBot="1" x14ac:dyDescent="0.4">
      <c r="A7" s="90"/>
      <c r="B7" s="34" t="s">
        <v>38</v>
      </c>
      <c r="C7">
        <v>-57.504024505615234</v>
      </c>
      <c r="D7">
        <v>-58.414993286132813</v>
      </c>
      <c r="E7">
        <v>-56.582027435302734</v>
      </c>
      <c r="F7">
        <v>-54.749057769775391</v>
      </c>
      <c r="G7">
        <v>-53.726146697998047</v>
      </c>
      <c r="H7">
        <v>-52.780204772949219</v>
      </c>
      <c r="I7">
        <v>-52.017276763916016</v>
      </c>
      <c r="J7">
        <v>-51.498016357421875</v>
      </c>
      <c r="K7">
        <v>-50.978752136230469</v>
      </c>
      <c r="L7">
        <v>-50.581546783447266</v>
      </c>
      <c r="M7">
        <v>-50.191497802734375</v>
      </c>
      <c r="N7">
        <v>-49.847400665283203</v>
      </c>
      <c r="O7">
        <v>-49.557178497314453</v>
      </c>
      <c r="P7">
        <v>-49.266952514648438</v>
      </c>
      <c r="Q7">
        <v>-49.061988830566406</v>
      </c>
      <c r="R7">
        <v>-48.859115600585938</v>
      </c>
      <c r="S7">
        <v>-48.836406707763672</v>
      </c>
      <c r="T7">
        <v>-48.999919891357422</v>
      </c>
      <c r="U7">
        <v>-49.167598724365234</v>
      </c>
      <c r="V7">
        <v>-49.611186981201172</v>
      </c>
      <c r="W7">
        <v>-50.054771423339844</v>
      </c>
      <c r="X7">
        <v>-50.487785339355469</v>
      </c>
      <c r="Y7">
        <v>-50.911445617675781</v>
      </c>
      <c r="Z7">
        <v>-51.335105895996094</v>
      </c>
      <c r="AA7">
        <v>-51.758769989013672</v>
      </c>
      <c r="AB7">
        <v>-52.182430267333984</v>
      </c>
      <c r="AC7">
        <v>-52.606090545654297</v>
      </c>
      <c r="AD7">
        <v>-53.029750823974609</v>
      </c>
      <c r="AE7">
        <v>-53.453411102294922</v>
      </c>
      <c r="AF7">
        <v>-53.8770751953125</v>
      </c>
      <c r="AG7">
        <v>-54.300735473632813</v>
      </c>
      <c r="AH7">
        <v>-54.708450317382813</v>
      </c>
      <c r="AI7">
        <v>-55.105236053466797</v>
      </c>
      <c r="AJ7">
        <v>-55.502025604248047</v>
      </c>
      <c r="AK7">
        <v>-55.898811340332031</v>
      </c>
      <c r="AL7">
        <v>-56.295597076416016</v>
      </c>
      <c r="AM7">
        <v>-56.692386627197266</v>
      </c>
      <c r="AN7">
        <v>-57.08917236328125</v>
      </c>
      <c r="AO7">
        <v>-57.4859619140625</v>
      </c>
      <c r="AP7">
        <v>-57.882747650146484</v>
      </c>
      <c r="AQ7">
        <v>-58.279533386230469</v>
      </c>
      <c r="AR7">
        <v>-58.663089752197266</v>
      </c>
      <c r="AS7">
        <v>-59.039936065673828</v>
      </c>
      <c r="AT7">
        <v>-59.416782379150391</v>
      </c>
      <c r="AU7">
        <v>-59.793628692626953</v>
      </c>
      <c r="AV7">
        <v>-60.170478820800781</v>
      </c>
      <c r="AW7">
        <v>-60.547325134277344</v>
      </c>
      <c r="AX7">
        <v>-60.924171447753906</v>
      </c>
      <c r="AY7">
        <v>-61.301017761230469</v>
      </c>
      <c r="AZ7">
        <v>-61.677867889404297</v>
      </c>
      <c r="BA7">
        <v>-62.054714202880859</v>
      </c>
      <c r="BB7">
        <v>-62.418506622314453</v>
      </c>
      <c r="BC7">
        <v>-62.777561187744141</v>
      </c>
      <c r="BD7">
        <v>-63.135456085205078</v>
      </c>
      <c r="BE7">
        <v>-63.489864349365234</v>
      </c>
      <c r="BF7">
        <v>-63.844272613525391</v>
      </c>
      <c r="BG7">
        <v>-64.205001831054688</v>
      </c>
      <c r="BH7">
        <v>-64.568000793457031</v>
      </c>
      <c r="BI7">
        <v>-64.928482055664063</v>
      </c>
      <c r="BJ7">
        <v>-65.282516479492188</v>
      </c>
      <c r="BK7">
        <v>-65.636550903320313</v>
      </c>
      <c r="BL7">
        <v>-65.985641479492188</v>
      </c>
      <c r="BM7">
        <v>-66.333694458007813</v>
      </c>
      <c r="BN7">
        <v>-66.681747436523438</v>
      </c>
      <c r="BO7">
        <v>-67.029792785644531</v>
      </c>
      <c r="BP7">
        <v>-67.377845764160156</v>
      </c>
      <c r="BQ7">
        <v>-67.725898742675781</v>
      </c>
      <c r="BR7">
        <v>-68.073951721191406</v>
      </c>
      <c r="BS7">
        <v>-68.4219970703125</v>
      </c>
      <c r="BT7">
        <v>-68.770050048828125</v>
      </c>
      <c r="BU7">
        <v>-69.11810302734375</v>
      </c>
      <c r="BV7">
        <v>-69.485084533691406</v>
      </c>
      <c r="BW7">
        <v>-69.855155944824219</v>
      </c>
      <c r="BX7">
        <v>-70.225234985351563</v>
      </c>
      <c r="BY7">
        <v>-70.595314025878906</v>
      </c>
      <c r="BZ7">
        <v>-70.965385437011719</v>
      </c>
      <c r="CA7">
        <v>-71.335464477539063</v>
      </c>
      <c r="CB7">
        <v>-71.705535888671875</v>
      </c>
      <c r="CC7">
        <v>-72.075614929199219</v>
      </c>
      <c r="CD7">
        <v>-72.445693969726563</v>
      </c>
      <c r="CE7">
        <v>-72.815765380859375</v>
      </c>
      <c r="CF7">
        <v>-73.163322448730469</v>
      </c>
      <c r="CG7">
        <v>-73.510116577148438</v>
      </c>
      <c r="CH7">
        <v>-73.864356994628906</v>
      </c>
      <c r="CI7">
        <v>-74.228172302246094</v>
      </c>
      <c r="CJ7">
        <v>-74.591987609863281</v>
      </c>
      <c r="CK7">
        <v>-74.935943603515625</v>
      </c>
      <c r="CL7">
        <v>-75.279571533203125</v>
      </c>
      <c r="CM7">
        <v>-75.626998901367188</v>
      </c>
      <c r="CN7">
        <v>-75.97900390625</v>
      </c>
      <c r="CO7">
        <v>-76.331001281738281</v>
      </c>
    </row>
    <row r="8" spans="1:93" ht="21.75" thickBot="1" x14ac:dyDescent="0.4">
      <c r="A8" s="91" t="s">
        <v>78</v>
      </c>
      <c r="B8" s="34" t="s">
        <v>61</v>
      </c>
      <c r="C8">
        <v>-58.758548736572266</v>
      </c>
      <c r="D8">
        <v>-59.797908782958984</v>
      </c>
      <c r="E8">
        <v>-58.203151702880859</v>
      </c>
      <c r="F8">
        <v>-56.608386993408203</v>
      </c>
      <c r="G8">
        <v>-55.628200531005859</v>
      </c>
      <c r="H8">
        <v>-54.706409454345703</v>
      </c>
      <c r="I8">
        <v>-53.934829711914063</v>
      </c>
      <c r="J8">
        <v>-53.363239288330078</v>
      </c>
      <c r="K8">
        <v>-52.791648864746094</v>
      </c>
      <c r="L8">
        <v>-52.404476165771484</v>
      </c>
      <c r="M8">
        <v>-52.028110504150391</v>
      </c>
      <c r="N8">
        <v>-51.901260375976563</v>
      </c>
      <c r="O8">
        <v>-52.066925048828125</v>
      </c>
      <c r="P8">
        <v>-52.232589721679688</v>
      </c>
      <c r="Q8">
        <v>-52.398250579833984</v>
      </c>
      <c r="R8">
        <v>-52.563915252685547</v>
      </c>
      <c r="S8">
        <v>-52.729579925537109</v>
      </c>
      <c r="T8">
        <v>-52.895244598388672</v>
      </c>
      <c r="U8">
        <v>-53.060905456542969</v>
      </c>
      <c r="V8">
        <v>-53.226570129394531</v>
      </c>
      <c r="W8">
        <v>-53.392234802246094</v>
      </c>
      <c r="X8">
        <v>-53.691474914550781</v>
      </c>
      <c r="Y8">
        <v>-54.108898162841797</v>
      </c>
      <c r="Z8">
        <v>-54.526653289794922</v>
      </c>
      <c r="AA8">
        <v>-54.951320648193359</v>
      </c>
      <c r="AB8">
        <v>-55.375988006591797</v>
      </c>
      <c r="AC8">
        <v>-55.797264099121094</v>
      </c>
      <c r="AD8">
        <v>-56.215892791748047</v>
      </c>
      <c r="AE8">
        <v>-56.633930206298828</v>
      </c>
      <c r="AF8">
        <v>-57.044910430908203</v>
      </c>
      <c r="AG8">
        <v>-57.455890655517578</v>
      </c>
      <c r="AH8">
        <v>-57.859645843505859</v>
      </c>
      <c r="AI8">
        <v>-58.258445739746094</v>
      </c>
      <c r="AJ8">
        <v>-58.657249450683594</v>
      </c>
      <c r="AK8">
        <v>-59.056049346923828</v>
      </c>
      <c r="AL8">
        <v>-59.454849243164063</v>
      </c>
      <c r="AM8">
        <v>-59.853652954101563</v>
      </c>
      <c r="AN8">
        <v>-60.252452850341797</v>
      </c>
      <c r="AO8">
        <v>-60.651256561279297</v>
      </c>
      <c r="AP8">
        <v>-61.050056457519531</v>
      </c>
      <c r="AQ8">
        <v>-61.448856353759766</v>
      </c>
      <c r="AR8">
        <v>-61.833091735839844</v>
      </c>
      <c r="AS8">
        <v>-62.209938049316406</v>
      </c>
      <c r="AT8">
        <v>-62.586784362792969</v>
      </c>
      <c r="AU8">
        <v>-62.963630676269531</v>
      </c>
      <c r="AV8">
        <v>-63.340476989746094</v>
      </c>
      <c r="AW8">
        <v>-63.717323303222656</v>
      </c>
      <c r="AX8">
        <v>-64.094169616699219</v>
      </c>
      <c r="AY8">
        <v>-64.471015930175781</v>
      </c>
      <c r="AZ8">
        <v>-64.847862243652344</v>
      </c>
      <c r="BA8">
        <v>-65.224716186523438</v>
      </c>
      <c r="BB8">
        <v>-65.587440490722656</v>
      </c>
      <c r="BC8">
        <v>-65.945053100585938</v>
      </c>
      <c r="BD8">
        <v>-66.302658081054688</v>
      </c>
      <c r="BE8">
        <v>-66.660270690917969</v>
      </c>
      <c r="BF8">
        <v>-67.01788330078125</v>
      </c>
      <c r="BG8">
        <v>-67.375495910644531</v>
      </c>
      <c r="BH8">
        <v>-67.733100891113281</v>
      </c>
      <c r="BI8">
        <v>-68.090713500976563</v>
      </c>
      <c r="BJ8">
        <v>-68.448318481445313</v>
      </c>
      <c r="BK8">
        <v>-68.805931091308594</v>
      </c>
      <c r="BL8">
        <v>-69.151657104492188</v>
      </c>
      <c r="BM8">
        <v>-69.494888305664063</v>
      </c>
      <c r="BN8">
        <v>-69.838546752929688</v>
      </c>
      <c r="BO8">
        <v>-70.183212280273438</v>
      </c>
      <c r="BP8">
        <v>-70.527877807617188</v>
      </c>
      <c r="BQ8">
        <v>-70.863998413085938</v>
      </c>
      <c r="BR8">
        <v>-71.198532104492188</v>
      </c>
      <c r="BS8">
        <v>-71.536117553710938</v>
      </c>
      <c r="BT8">
        <v>-71.88037109375</v>
      </c>
      <c r="BU8">
        <v>-72.224632263183594</v>
      </c>
      <c r="BV8">
        <v>-72.558677673339844</v>
      </c>
      <c r="BW8">
        <v>-72.891044616699219</v>
      </c>
      <c r="BX8">
        <v>-73.223419189453125</v>
      </c>
      <c r="BY8">
        <v>-73.5557861328125</v>
      </c>
      <c r="BZ8">
        <v>-73.888160705566406</v>
      </c>
      <c r="CA8">
        <v>-74.220527648925781</v>
      </c>
      <c r="CB8">
        <v>-74.552894592285156</v>
      </c>
      <c r="CC8">
        <v>-74.885269165039063</v>
      </c>
      <c r="CD8">
        <v>-75.217636108398438</v>
      </c>
      <c r="CE8">
        <v>-75.550010681152344</v>
      </c>
      <c r="CF8">
        <v>-75.874740600585938</v>
      </c>
      <c r="CG8">
        <v>-76.19921875</v>
      </c>
      <c r="CH8">
        <v>-76.523689270019531</v>
      </c>
      <c r="CI8">
        <v>-76.848159790039063</v>
      </c>
      <c r="CJ8">
        <v>-77.172637939453125</v>
      </c>
      <c r="CK8">
        <v>-77.497108459472656</v>
      </c>
      <c r="CL8">
        <v>-77.821578979492188</v>
      </c>
      <c r="CM8">
        <v>-78.146049499511719</v>
      </c>
      <c r="CN8">
        <v>-78.470527648925781</v>
      </c>
      <c r="CO8">
        <v>-78.794998168945313</v>
      </c>
    </row>
    <row r="9" spans="1:93" ht="21.75" thickBot="1" x14ac:dyDescent="0.4">
      <c r="A9" s="91"/>
      <c r="B9" s="34" t="s">
        <v>4</v>
      </c>
      <c r="C9">
        <v>-39.785041809082031</v>
      </c>
      <c r="D9">
        <v>-40.228065490722656</v>
      </c>
      <c r="E9">
        <v>-38.479885101318359</v>
      </c>
      <c r="F9">
        <v>-36.731700897216797</v>
      </c>
      <c r="G9">
        <v>-35.576457977294922</v>
      </c>
      <c r="H9">
        <v>-34.477554321289063</v>
      </c>
      <c r="I9">
        <v>-33.521953582763672</v>
      </c>
      <c r="J9">
        <v>-32.757152557373047</v>
      </c>
      <c r="K9">
        <v>-31.992349624633789</v>
      </c>
      <c r="L9">
        <v>-31.400554656982422</v>
      </c>
      <c r="M9">
        <v>-30.818899154663086</v>
      </c>
      <c r="N9">
        <v>-30.489006042480469</v>
      </c>
      <c r="O9">
        <v>-30.454261779785156</v>
      </c>
      <c r="P9">
        <v>-30.419517517089844</v>
      </c>
      <c r="Q9">
        <v>-30.384773254394531</v>
      </c>
      <c r="R9">
        <v>-30.350028991699219</v>
      </c>
      <c r="S9">
        <v>-30.315284729003906</v>
      </c>
      <c r="T9">
        <v>-30.280542373657227</v>
      </c>
      <c r="U9">
        <v>-30.245798110961914</v>
      </c>
      <c r="V9">
        <v>-30.211053848266602</v>
      </c>
      <c r="W9">
        <v>-30.176309585571289</v>
      </c>
      <c r="X9">
        <v>-30.276823043823242</v>
      </c>
      <c r="Y9">
        <v>-30.497007369995117</v>
      </c>
      <c r="Z9">
        <v>-30.717527389526367</v>
      </c>
      <c r="AA9">
        <v>-30.944953918457031</v>
      </c>
      <c r="AB9">
        <v>-31.172382354736328</v>
      </c>
      <c r="AC9">
        <v>-31.398679733276367</v>
      </c>
      <c r="AD9">
        <v>-31.624095916748047</v>
      </c>
      <c r="AE9">
        <v>-31.84922981262207</v>
      </c>
      <c r="AF9">
        <v>-32.071022033691406</v>
      </c>
      <c r="AG9">
        <v>-32.292816162109375</v>
      </c>
      <c r="AH9">
        <v>-32.510883331298828</v>
      </c>
      <c r="AI9">
        <v>-32.726398468017578</v>
      </c>
      <c r="AJ9">
        <v>-32.941909790039063</v>
      </c>
      <c r="AK9">
        <v>-33.157424926757813</v>
      </c>
      <c r="AL9">
        <v>-33.372940063476563</v>
      </c>
      <c r="AM9">
        <v>-33.588451385498047</v>
      </c>
      <c r="AN9">
        <v>-33.803966522216797</v>
      </c>
      <c r="AO9">
        <v>-34.019481658935547</v>
      </c>
      <c r="AP9">
        <v>-34.234992980957031</v>
      </c>
      <c r="AQ9">
        <v>-34.450508117675781</v>
      </c>
      <c r="AR9">
        <v>-34.658134460449219</v>
      </c>
      <c r="AS9">
        <v>-34.861766815185547</v>
      </c>
      <c r="AT9">
        <v>-35.065395355224609</v>
      </c>
      <c r="AU9">
        <v>-35.269027709960938</v>
      </c>
      <c r="AV9">
        <v>-35.47265625</v>
      </c>
      <c r="AW9">
        <v>-35.676288604736328</v>
      </c>
      <c r="AX9">
        <v>-35.879917144775391</v>
      </c>
      <c r="AY9">
        <v>-36.083549499511719</v>
      </c>
      <c r="AZ9">
        <v>-36.287178039550781</v>
      </c>
      <c r="BA9">
        <v>-36.490810394287109</v>
      </c>
      <c r="BB9">
        <v>-36.686702728271484</v>
      </c>
      <c r="BC9">
        <v>-36.879787445068359</v>
      </c>
      <c r="BD9">
        <v>-37.0728759765625</v>
      </c>
      <c r="BE9">
        <v>-37.265964508056641</v>
      </c>
      <c r="BF9">
        <v>-37.459053039550781</v>
      </c>
      <c r="BG9">
        <v>-37.652141571044922</v>
      </c>
      <c r="BH9">
        <v>-37.845226287841797</v>
      </c>
      <c r="BI9">
        <v>-38.038314819335938</v>
      </c>
      <c r="BJ9">
        <v>-38.231399536132813</v>
      </c>
      <c r="BK9">
        <v>-38.424488067626953</v>
      </c>
      <c r="BL9">
        <v>-38.610939025878906</v>
      </c>
      <c r="BM9">
        <v>-38.795997619628906</v>
      </c>
      <c r="BN9">
        <v>-38.981269836425781</v>
      </c>
      <c r="BO9">
        <v>-39.167049407958984</v>
      </c>
      <c r="BP9">
        <v>-39.352828979492188</v>
      </c>
      <c r="BQ9">
        <v>-39.534000396728516</v>
      </c>
      <c r="BR9">
        <v>-39.714313507080078</v>
      </c>
      <c r="BS9">
        <v>-39.896217346191406</v>
      </c>
      <c r="BT9">
        <v>-40.081584930419922</v>
      </c>
      <c r="BU9">
        <v>-40.266956329345703</v>
      </c>
      <c r="BV9">
        <v>-40.446609497070313</v>
      </c>
      <c r="BW9">
        <v>-40.625331878662109</v>
      </c>
      <c r="BX9">
        <v>-40.804050445556641</v>
      </c>
      <c r="BY9">
        <v>-40.982772827148438</v>
      </c>
      <c r="BZ9">
        <v>-41.161491394042969</v>
      </c>
      <c r="CA9">
        <v>-41.340213775634766</v>
      </c>
      <c r="CB9">
        <v>-41.518932342529297</v>
      </c>
      <c r="CC9">
        <v>-41.697650909423828</v>
      </c>
      <c r="CD9">
        <v>-41.876373291015625</v>
      </c>
      <c r="CE9">
        <v>-42.055091857910156</v>
      </c>
      <c r="CF9">
        <v>-42.229225158691406</v>
      </c>
      <c r="CG9">
        <v>-42.4031982421875</v>
      </c>
      <c r="CH9">
        <v>-42.577175140380859</v>
      </c>
      <c r="CI9">
        <v>-42.751148223876953</v>
      </c>
      <c r="CJ9">
        <v>-42.925125122070313</v>
      </c>
      <c r="CK9">
        <v>-43.099098205566406</v>
      </c>
      <c r="CL9">
        <v>-43.2730712890625</v>
      </c>
      <c r="CM9">
        <v>-43.447048187255859</v>
      </c>
      <c r="CN9">
        <v>-43.621021270751953</v>
      </c>
      <c r="CO9">
        <v>-43.794998168945313</v>
      </c>
    </row>
    <row r="10" spans="1:93" ht="21.75" thickBot="1" x14ac:dyDescent="0.4">
      <c r="A10" s="91"/>
      <c r="B10" s="34" t="s">
        <v>6</v>
      </c>
      <c r="C10">
        <v>-184.06538391113281</v>
      </c>
      <c r="D10">
        <v>-186.67770385742188</v>
      </c>
      <c r="E10">
        <v>-180.03219604492188</v>
      </c>
      <c r="F10">
        <v>-173.38667297363281</v>
      </c>
      <c r="G10">
        <v>-167.92094421386719</v>
      </c>
      <c r="H10">
        <v>-162.56730651855469</v>
      </c>
      <c r="I10">
        <v>-157.60734558105469</v>
      </c>
      <c r="J10">
        <v>-153.17147827148438</v>
      </c>
      <c r="K10">
        <v>-148.73562622070313</v>
      </c>
      <c r="L10">
        <v>-144.99560546875</v>
      </c>
      <c r="M10">
        <v>-141.29637145996094</v>
      </c>
      <c r="N10">
        <v>-138.77568054199219</v>
      </c>
      <c r="O10">
        <v>-137.63668823242188</v>
      </c>
      <c r="P10">
        <v>-136.4976806640625</v>
      </c>
      <c r="Q10">
        <v>-135.35868835449219</v>
      </c>
      <c r="R10">
        <v>-134.21968078613281</v>
      </c>
      <c r="S10">
        <v>-133.08067321777344</v>
      </c>
      <c r="T10">
        <v>-131.94168090820313</v>
      </c>
      <c r="U10">
        <v>-130.80267333984375</v>
      </c>
      <c r="V10">
        <v>-129.66366577148438</v>
      </c>
      <c r="W10">
        <v>-128.52467346191406</v>
      </c>
      <c r="X10">
        <v>-128.85923767089844</v>
      </c>
      <c r="Y10">
        <v>-130.49752807617188</v>
      </c>
      <c r="Z10">
        <v>-132.13507080078125</v>
      </c>
      <c r="AA10">
        <v>-133.75726318359375</v>
      </c>
      <c r="AB10">
        <v>-135.37945556640625</v>
      </c>
      <c r="AC10">
        <v>-136.98127746582031</v>
      </c>
      <c r="AD10">
        <v>-138.56724548339844</v>
      </c>
      <c r="AE10">
        <v>-140.150390625</v>
      </c>
      <c r="AF10">
        <v>-141.70013427734375</v>
      </c>
      <c r="AG10">
        <v>-143.24986267089844</v>
      </c>
      <c r="AH10">
        <v>-144.74411010742188</v>
      </c>
      <c r="AI10">
        <v>-146.20034790039063</v>
      </c>
      <c r="AJ10">
        <v>-147.65657043457031</v>
      </c>
      <c r="AK10">
        <v>-149.11279296875</v>
      </c>
      <c r="AL10">
        <v>-150.56903076171875</v>
      </c>
      <c r="AM10">
        <v>-152.02525329589844</v>
      </c>
      <c r="AN10">
        <v>-153.48149108886719</v>
      </c>
      <c r="AO10">
        <v>-154.93771362304688</v>
      </c>
      <c r="AP10">
        <v>-156.39395141601563</v>
      </c>
      <c r="AQ10">
        <v>-157.85017395019531</v>
      </c>
      <c r="AR10">
        <v>-159.18878173828125</v>
      </c>
      <c r="AS10">
        <v>-160.46775817871094</v>
      </c>
      <c r="AT10">
        <v>-161.74674987792969</v>
      </c>
      <c r="AU10">
        <v>-163.02572631835938</v>
      </c>
      <c r="AV10">
        <v>-164.30471801757813</v>
      </c>
      <c r="AW10">
        <v>-165.58369445800781</v>
      </c>
      <c r="AX10">
        <v>-166.86268615722656</v>
      </c>
      <c r="AY10">
        <v>-168.14166259765625</v>
      </c>
      <c r="AZ10">
        <v>-169.420654296875</v>
      </c>
      <c r="BA10">
        <v>-170.69963073730469</v>
      </c>
      <c r="BB10">
        <v>-171.83184814453125</v>
      </c>
      <c r="BC10">
        <v>-172.91082763671875</v>
      </c>
      <c r="BD10">
        <v>-173.98982238769531</v>
      </c>
      <c r="BE10">
        <v>-175.06880187988281</v>
      </c>
      <c r="BF10">
        <v>-176.14779663085938</v>
      </c>
      <c r="BG10">
        <v>-177.22679138183594</v>
      </c>
      <c r="BH10">
        <v>-178.30577087402344</v>
      </c>
      <c r="BI10">
        <v>-179.384765625</v>
      </c>
      <c r="BJ10">
        <v>-180.4637451171875</v>
      </c>
      <c r="BK10">
        <v>-181.542724609375</v>
      </c>
      <c r="BL10">
        <v>-182.49470520019531</v>
      </c>
      <c r="BM10">
        <v>-183.41999816894531</v>
      </c>
      <c r="BN10">
        <v>-184.33546447753906</v>
      </c>
      <c r="BO10">
        <v>-185.22767639160156</v>
      </c>
      <c r="BP10">
        <v>-186.11990356445313</v>
      </c>
      <c r="BQ10">
        <v>-186.94999694824219</v>
      </c>
      <c r="BR10">
        <v>-187.76853942871094</v>
      </c>
      <c r="BS10">
        <v>-188.57693481445313</v>
      </c>
      <c r="BT10">
        <v>-189.36323547363281</v>
      </c>
      <c r="BU10">
        <v>-190.14952087402344</v>
      </c>
      <c r="BV10">
        <v>-190.80561828613281</v>
      </c>
      <c r="BW10">
        <v>-191.44044494628906</v>
      </c>
      <c r="BX10">
        <v>-192.07527160644531</v>
      </c>
      <c r="BY10">
        <v>-192.7100830078125</v>
      </c>
      <c r="BZ10">
        <v>-193.34490966796875</v>
      </c>
      <c r="CA10">
        <v>-193.979736328125</v>
      </c>
      <c r="CB10">
        <v>-194.61454772949219</v>
      </c>
      <c r="CC10">
        <v>-195.24935913085938</v>
      </c>
      <c r="CD10">
        <v>-195.88418579101563</v>
      </c>
      <c r="CE10">
        <v>-196.51901245117188</v>
      </c>
      <c r="CF10">
        <v>-196.92805480957031</v>
      </c>
      <c r="CG10">
        <v>-197.32937622070313</v>
      </c>
      <c r="CH10">
        <v>-197.730712890625</v>
      </c>
      <c r="CI10">
        <v>-198.13203430175781</v>
      </c>
      <c r="CJ10">
        <v>-198.53335571289063</v>
      </c>
      <c r="CK10">
        <v>-198.9346923828125</v>
      </c>
      <c r="CL10">
        <v>-199.33601379394531</v>
      </c>
      <c r="CM10">
        <v>-199.73733520507813</v>
      </c>
      <c r="CN10">
        <v>-200.138671875</v>
      </c>
      <c r="CO10">
        <v>-200.53999328613281</v>
      </c>
    </row>
    <row r="11" spans="1:93" ht="21.75" thickBot="1" x14ac:dyDescent="0.4">
      <c r="A11" s="91"/>
      <c r="B11" s="34" t="s">
        <v>3</v>
      </c>
      <c r="C11">
        <v>-20.811534881591797</v>
      </c>
      <c r="D11">
        <v>-20.658218383789063</v>
      </c>
      <c r="E11">
        <v>-18.756618499755859</v>
      </c>
      <c r="F11">
        <v>-16.855014801025391</v>
      </c>
      <c r="G11">
        <v>-15.524714469909668</v>
      </c>
      <c r="H11">
        <v>-14.248698234558105</v>
      </c>
      <c r="I11">
        <v>-13.109082221984863</v>
      </c>
      <c r="J11">
        <v>-12.151063919067383</v>
      </c>
      <c r="K11">
        <v>-11.193047523498535</v>
      </c>
      <c r="L11">
        <v>-10.396632194519043</v>
      </c>
      <c r="M11">
        <v>-9.6096887588500977</v>
      </c>
      <c r="N11">
        <v>-9.0767526626586914</v>
      </c>
      <c r="O11">
        <v>-8.8416004180908203</v>
      </c>
      <c r="P11">
        <v>-8.6064491271972656</v>
      </c>
      <c r="Q11">
        <v>-8.3712968826293945</v>
      </c>
      <c r="R11">
        <v>-8.1361455917358398</v>
      </c>
      <c r="S11">
        <v>-7.9009933471679688</v>
      </c>
      <c r="T11">
        <v>-7.6658415794372559</v>
      </c>
      <c r="U11">
        <v>-7.4306893348693848</v>
      </c>
      <c r="V11">
        <v>-7.1955370903015137</v>
      </c>
      <c r="W11">
        <v>-6.9603848457336426</v>
      </c>
      <c r="X11">
        <v>-6.8621735572814941</v>
      </c>
      <c r="Y11">
        <v>-6.8851180076599121</v>
      </c>
      <c r="Z11">
        <v>-6.9083971977233887</v>
      </c>
      <c r="AA11">
        <v>-6.9385867118835449</v>
      </c>
      <c r="AB11">
        <v>-6.9687762260437012</v>
      </c>
      <c r="AC11">
        <v>-7.0000967979431152</v>
      </c>
      <c r="AD11">
        <v>-7.0322990417480469</v>
      </c>
      <c r="AE11">
        <v>-7.0645327568054199</v>
      </c>
      <c r="AF11">
        <v>-7.0971379280090332</v>
      </c>
      <c r="AG11">
        <v>-7.1297426223754883</v>
      </c>
      <c r="AH11">
        <v>-7.1621227264404297</v>
      </c>
      <c r="AI11">
        <v>-7.1943492889404297</v>
      </c>
      <c r="AJ11">
        <v>-7.2265758514404297</v>
      </c>
      <c r="AK11">
        <v>-7.2588019371032715</v>
      </c>
      <c r="AL11">
        <v>-7.2910284996032715</v>
      </c>
      <c r="AM11">
        <v>-7.3232545852661133</v>
      </c>
      <c r="AN11">
        <v>-7.3554811477661133</v>
      </c>
      <c r="AO11">
        <v>-7.3877072334289551</v>
      </c>
      <c r="AP11">
        <v>-7.4199337959289551</v>
      </c>
      <c r="AQ11">
        <v>-7.4521598815917969</v>
      </c>
      <c r="AR11">
        <v>-7.4831833839416504</v>
      </c>
      <c r="AS11">
        <v>-7.5135970115661621</v>
      </c>
      <c r="AT11">
        <v>-7.5440106391906738</v>
      </c>
      <c r="AU11">
        <v>-7.5744242668151855</v>
      </c>
      <c r="AV11">
        <v>-7.6048378944396973</v>
      </c>
      <c r="AW11">
        <v>-7.635251522064209</v>
      </c>
      <c r="AX11">
        <v>-7.6656656265258789</v>
      </c>
      <c r="AY11">
        <v>-7.6960787773132324</v>
      </c>
      <c r="AZ11">
        <v>-7.7264928817749023</v>
      </c>
      <c r="BA11">
        <v>-7.7569065093994141</v>
      </c>
      <c r="BB11">
        <v>-7.7859630584716797</v>
      </c>
      <c r="BC11">
        <v>-7.8145270347595215</v>
      </c>
      <c r="BD11">
        <v>-7.8430919647216797</v>
      </c>
      <c r="BE11">
        <v>-7.8716564178466797</v>
      </c>
      <c r="BF11">
        <v>-7.9002208709716797</v>
      </c>
      <c r="BG11">
        <v>-7.9287853240966797</v>
      </c>
      <c r="BH11">
        <v>-7.9573497772216797</v>
      </c>
      <c r="BI11">
        <v>-7.9859142303466797</v>
      </c>
      <c r="BJ11">
        <v>-8.0144786834716797</v>
      </c>
      <c r="BK11">
        <v>-8.0430431365966797</v>
      </c>
      <c r="BL11">
        <v>-8.0702228546142578</v>
      </c>
      <c r="BM11">
        <v>-8.097111701965332</v>
      </c>
      <c r="BN11">
        <v>-8.1240005493164063</v>
      </c>
      <c r="BO11">
        <v>-8.1508893966674805</v>
      </c>
      <c r="BP11">
        <v>-8.1777782440185547</v>
      </c>
      <c r="BQ11">
        <v>-8.2040004730224609</v>
      </c>
      <c r="BR11">
        <v>-8.2300987243652344</v>
      </c>
      <c r="BS11">
        <v>-8.2563161849975586</v>
      </c>
      <c r="BT11">
        <v>-8.2827978134155273</v>
      </c>
      <c r="BU11">
        <v>-8.3092794418334961</v>
      </c>
      <c r="BV11">
        <v>-8.3345470428466797</v>
      </c>
      <c r="BW11">
        <v>-8.3596162796020508</v>
      </c>
      <c r="BX11">
        <v>-8.3846855163574219</v>
      </c>
      <c r="BY11">
        <v>-8.409754753112793</v>
      </c>
      <c r="BZ11">
        <v>-8.4348239898681641</v>
      </c>
      <c r="CA11">
        <v>-8.4598941802978516</v>
      </c>
      <c r="CB11">
        <v>-8.4849634170532227</v>
      </c>
      <c r="CC11">
        <v>-8.5100326538085938</v>
      </c>
      <c r="CD11">
        <v>-8.5351018905639648</v>
      </c>
      <c r="CE11">
        <v>-8.5601711273193359</v>
      </c>
      <c r="CF11">
        <v>-8.5837011337280273</v>
      </c>
      <c r="CG11">
        <v>-8.6071786880493164</v>
      </c>
      <c r="CH11">
        <v>-8.6306562423706055</v>
      </c>
      <c r="CI11">
        <v>-8.6541347503662109</v>
      </c>
      <c r="CJ11">
        <v>-8.6776123046875</v>
      </c>
      <c r="CK11">
        <v>-8.7010898590087891</v>
      </c>
      <c r="CL11">
        <v>-8.7245674133300781</v>
      </c>
      <c r="CM11">
        <v>-8.7480449676513672</v>
      </c>
      <c r="CN11">
        <v>-8.7715225219726563</v>
      </c>
      <c r="CO11">
        <v>-8.7950000762939453</v>
      </c>
    </row>
    <row r="12" spans="1:93" ht="21.75" thickBot="1" x14ac:dyDescent="0.4">
      <c r="A12" s="91"/>
      <c r="B12" s="34" t="s">
        <v>5</v>
      </c>
      <c r="C12">
        <v>-63.572433471679688</v>
      </c>
      <c r="D12">
        <v>-63.984081268310547</v>
      </c>
      <c r="E12">
        <v>-60.431198120117188</v>
      </c>
      <c r="F12">
        <v>-56.878307342529297</v>
      </c>
      <c r="G12">
        <v>-53.882858276367188</v>
      </c>
      <c r="H12">
        <v>-50.940372467041016</v>
      </c>
      <c r="I12">
        <v>-48.184360504150391</v>
      </c>
      <c r="J12">
        <v>-45.676605224609375</v>
      </c>
      <c r="K12">
        <v>-43.168857574462891</v>
      </c>
      <c r="L12">
        <v>-40.991912841796875</v>
      </c>
      <c r="M12">
        <v>-38.834362030029297</v>
      </c>
      <c r="N12">
        <v>-37.269458770751953</v>
      </c>
      <c r="O12">
        <v>-36.399345397949219</v>
      </c>
      <c r="P12">
        <v>-35.52923583984375</v>
      </c>
      <c r="Q12">
        <v>-34.659122467041016</v>
      </c>
      <c r="R12">
        <v>-33.789012908935547</v>
      </c>
      <c r="S12">
        <v>-32.918899536132813</v>
      </c>
      <c r="T12">
        <v>-32.048786163330078</v>
      </c>
      <c r="U12">
        <v>-31.178674697875977</v>
      </c>
      <c r="V12">
        <v>-30.308561325073242</v>
      </c>
      <c r="W12">
        <v>-29.438449859619141</v>
      </c>
      <c r="X12">
        <v>-29.307643890380859</v>
      </c>
      <c r="Y12">
        <v>-29.8309326171875</v>
      </c>
      <c r="Z12">
        <v>-30.353847503662109</v>
      </c>
      <c r="AA12">
        <v>-30.869083404541016</v>
      </c>
      <c r="AB12">
        <v>-31.384317398071289</v>
      </c>
      <c r="AC12">
        <v>-31.892766952514648</v>
      </c>
      <c r="AD12">
        <v>-32.395927429199219</v>
      </c>
      <c r="AE12">
        <v>-32.898151397705078</v>
      </c>
      <c r="AF12">
        <v>-33.389236450195313</v>
      </c>
      <c r="AG12">
        <v>-33.880321502685547</v>
      </c>
      <c r="AH12">
        <v>-34.348915100097656</v>
      </c>
      <c r="AI12">
        <v>-34.802101135253906</v>
      </c>
      <c r="AJ12">
        <v>-35.255283355712891</v>
      </c>
      <c r="AK12">
        <v>-35.708465576171875</v>
      </c>
      <c r="AL12">
        <v>-36.161651611328125</v>
      </c>
      <c r="AM12">
        <v>-36.614833831787109</v>
      </c>
      <c r="AN12">
        <v>-37.068016052246094</v>
      </c>
      <c r="AO12">
        <v>-37.521202087402344</v>
      </c>
      <c r="AP12">
        <v>-37.974384307861328</v>
      </c>
      <c r="AQ12">
        <v>-38.427566528320313</v>
      </c>
      <c r="AR12">
        <v>-38.831962585449219</v>
      </c>
      <c r="AS12">
        <v>-39.211631774902344</v>
      </c>
      <c r="AT12">
        <v>-39.591297149658203</v>
      </c>
      <c r="AU12">
        <v>-39.970962524414063</v>
      </c>
      <c r="AV12">
        <v>-40.350631713867188</v>
      </c>
      <c r="AW12">
        <v>-40.730297088623047</v>
      </c>
      <c r="AX12">
        <v>-41.109962463378906</v>
      </c>
      <c r="AY12">
        <v>-41.489627838134766</v>
      </c>
      <c r="AZ12">
        <v>-41.869297027587891</v>
      </c>
      <c r="BA12">
        <v>-42.24896240234375</v>
      </c>
      <c r="BB12">
        <v>-42.564815521240234</v>
      </c>
      <c r="BC12">
        <v>-42.857521057128906</v>
      </c>
      <c r="BD12">
        <v>-43.150234222412109</v>
      </c>
      <c r="BE12">
        <v>-43.442943572998047</v>
      </c>
      <c r="BF12">
        <v>-43.735652923583984</v>
      </c>
      <c r="BG12">
        <v>-44.028362274169922</v>
      </c>
      <c r="BH12">
        <v>-44.321071624755859</v>
      </c>
      <c r="BI12">
        <v>-44.613780975341797</v>
      </c>
      <c r="BJ12">
        <v>-44.906490325927734</v>
      </c>
      <c r="BK12">
        <v>-45.199199676513672</v>
      </c>
      <c r="BL12">
        <v>-45.436275482177734</v>
      </c>
      <c r="BM12">
        <v>-45.661666870117188</v>
      </c>
      <c r="BN12">
        <v>-45.881816864013672</v>
      </c>
      <c r="BO12">
        <v>-46.089595794677734</v>
      </c>
      <c r="BP12">
        <v>-46.297374725341797</v>
      </c>
      <c r="BQ12">
        <v>-46.479999542236328</v>
      </c>
      <c r="BR12">
        <v>-46.657939910888672</v>
      </c>
      <c r="BS12">
        <v>-46.828617095947266</v>
      </c>
      <c r="BT12">
        <v>-46.983432769775391</v>
      </c>
      <c r="BU12">
        <v>-47.138248443603516</v>
      </c>
      <c r="BV12">
        <v>-47.234718322753906</v>
      </c>
      <c r="BW12">
        <v>-47.3216552734375</v>
      </c>
      <c r="BX12">
        <v>-47.408588409423828</v>
      </c>
      <c r="BY12">
        <v>-47.495521545410156</v>
      </c>
      <c r="BZ12">
        <v>-47.582454681396484</v>
      </c>
      <c r="CA12">
        <v>-47.669391632080078</v>
      </c>
      <c r="CB12">
        <v>-47.756324768066406</v>
      </c>
      <c r="CC12">
        <v>-47.843257904052734</v>
      </c>
      <c r="CD12">
        <v>-47.930191040039063</v>
      </c>
      <c r="CE12">
        <v>-48.017127990722656</v>
      </c>
      <c r="CF12">
        <v>-47.995746612548828</v>
      </c>
      <c r="CG12">
        <v>-47.970664978027344</v>
      </c>
      <c r="CH12">
        <v>-47.945579528808594</v>
      </c>
      <c r="CI12">
        <v>-47.920497894287109</v>
      </c>
      <c r="CJ12">
        <v>-47.895416259765625</v>
      </c>
      <c r="CK12">
        <v>-47.870330810546875</v>
      </c>
      <c r="CL12">
        <v>-47.845249176025391</v>
      </c>
      <c r="CM12">
        <v>-47.820167541503906</v>
      </c>
      <c r="CN12">
        <v>-47.795082092285156</v>
      </c>
      <c r="CO12">
        <v>-47.770000457763672</v>
      </c>
    </row>
    <row r="13" spans="1:93" ht="21.75" thickBot="1" x14ac:dyDescent="0.4">
      <c r="A13" s="91"/>
      <c r="B13" s="34" t="s">
        <v>40</v>
      </c>
      <c r="C13">
        <v>-18.973506927490234</v>
      </c>
      <c r="D13">
        <v>-19.569847106933594</v>
      </c>
      <c r="E13">
        <v>-19.7232666015625</v>
      </c>
      <c r="F13">
        <v>-19.876686096191406</v>
      </c>
      <c r="G13">
        <v>-20.051742553710938</v>
      </c>
      <c r="H13">
        <v>-20.228855133056641</v>
      </c>
      <c r="I13">
        <v>-20.412874221801758</v>
      </c>
      <c r="J13">
        <v>-20.606086730957031</v>
      </c>
      <c r="K13">
        <v>-20.799301147460938</v>
      </c>
      <c r="L13">
        <v>-21.003921508789063</v>
      </c>
      <c r="M13">
        <v>-21.209211349487305</v>
      </c>
      <c r="N13">
        <v>-21.412252426147461</v>
      </c>
      <c r="O13">
        <v>-21.612661361694336</v>
      </c>
      <c r="P13">
        <v>-21.813068389892578</v>
      </c>
      <c r="Q13">
        <v>-22.013477325439453</v>
      </c>
      <c r="R13">
        <v>-22.213884353637695</v>
      </c>
      <c r="S13">
        <v>-22.41429328918457</v>
      </c>
      <c r="T13">
        <v>-22.614700317382813</v>
      </c>
      <c r="U13">
        <v>-22.815107345581055</v>
      </c>
      <c r="V13">
        <v>-23.01551628112793</v>
      </c>
      <c r="W13">
        <v>-23.215923309326172</v>
      </c>
      <c r="X13">
        <v>-23.414649963378906</v>
      </c>
      <c r="Y13">
        <v>-23.611888885498047</v>
      </c>
      <c r="Z13">
        <v>-23.809127807617188</v>
      </c>
      <c r="AA13">
        <v>-24.006368637084961</v>
      </c>
      <c r="AB13">
        <v>-24.203605651855469</v>
      </c>
      <c r="AC13">
        <v>-24.398582458496094</v>
      </c>
      <c r="AD13">
        <v>-24.591796875</v>
      </c>
      <c r="AE13">
        <v>-24.784698486328125</v>
      </c>
      <c r="AF13">
        <v>-24.973886489868164</v>
      </c>
      <c r="AG13">
        <v>-25.16307258605957</v>
      </c>
      <c r="AH13">
        <v>-25.348760604858398</v>
      </c>
      <c r="AI13">
        <v>-25.532049179077148</v>
      </c>
      <c r="AJ13">
        <v>-25.715335845947266</v>
      </c>
      <c r="AK13">
        <v>-25.898622512817383</v>
      </c>
      <c r="AL13">
        <v>-26.081911087036133</v>
      </c>
      <c r="AM13">
        <v>-26.26519775390625</v>
      </c>
      <c r="AN13">
        <v>-26.448486328125</v>
      </c>
      <c r="AO13">
        <v>-26.631772994995117</v>
      </c>
      <c r="AP13">
        <v>-26.815059661865234</v>
      </c>
      <c r="AQ13">
        <v>-26.998348236083984</v>
      </c>
      <c r="AR13">
        <v>-27.174953460693359</v>
      </c>
      <c r="AS13">
        <v>-27.348169326782227</v>
      </c>
      <c r="AT13">
        <v>-27.521387100219727</v>
      </c>
      <c r="AU13">
        <v>-27.694602966308594</v>
      </c>
      <c r="AV13">
        <v>-27.867820739746094</v>
      </c>
      <c r="AW13">
        <v>-28.041036605834961</v>
      </c>
      <c r="AX13">
        <v>-28.214254379272461</v>
      </c>
      <c r="AY13">
        <v>-28.387470245361328</v>
      </c>
      <c r="AZ13">
        <v>-28.560688018798828</v>
      </c>
      <c r="BA13">
        <v>-28.733905792236328</v>
      </c>
      <c r="BB13">
        <v>-28.900741577148438</v>
      </c>
      <c r="BC13">
        <v>-29.065263748168945</v>
      </c>
      <c r="BD13">
        <v>-29.229785919189453</v>
      </c>
      <c r="BE13">
        <v>-29.394309997558594</v>
      </c>
      <c r="BF13">
        <v>-29.558832168579102</v>
      </c>
      <c r="BG13">
        <v>-29.723356246948242</v>
      </c>
      <c r="BH13">
        <v>-29.88787841796875</v>
      </c>
      <c r="BI13">
        <v>-30.052400588989258</v>
      </c>
      <c r="BJ13">
        <v>-30.216922760009766</v>
      </c>
      <c r="BK13">
        <v>-30.381444931030273</v>
      </c>
      <c r="BL13">
        <v>-30.540718078613281</v>
      </c>
      <c r="BM13">
        <v>-30.698888778686523</v>
      </c>
      <c r="BN13">
        <v>-30.857273101806641</v>
      </c>
      <c r="BO13">
        <v>-31.016162872314453</v>
      </c>
      <c r="BP13">
        <v>-31.175050735473633</v>
      </c>
      <c r="BQ13">
        <v>-31.330001831054688</v>
      </c>
      <c r="BR13">
        <v>-31.484216690063477</v>
      </c>
      <c r="BS13">
        <v>-31.639898300170898</v>
      </c>
      <c r="BT13">
        <v>-31.798788070678711</v>
      </c>
      <c r="BU13">
        <v>-31.957675933837891</v>
      </c>
      <c r="BV13">
        <v>-32.112064361572266</v>
      </c>
      <c r="BW13">
        <v>-32.265712738037109</v>
      </c>
      <c r="BX13">
        <v>-32.419364929199219</v>
      </c>
      <c r="BY13">
        <v>-32.573017120361328</v>
      </c>
      <c r="BZ13">
        <v>-32.726665496826172</v>
      </c>
      <c r="CA13">
        <v>-32.880317687988281</v>
      </c>
      <c r="CB13">
        <v>-33.033966064453125</v>
      </c>
      <c r="CC13">
        <v>-33.187618255615234</v>
      </c>
      <c r="CD13">
        <v>-33.341270446777344</v>
      </c>
      <c r="CE13">
        <v>-33.494918823242188</v>
      </c>
      <c r="CF13">
        <v>-33.645523071289063</v>
      </c>
      <c r="CG13">
        <v>-33.7960205078125</v>
      </c>
      <c r="CH13">
        <v>-33.946517944335938</v>
      </c>
      <c r="CI13">
        <v>-34.097015380859375</v>
      </c>
      <c r="CJ13">
        <v>-34.247512817382813</v>
      </c>
      <c r="CK13">
        <v>-34.39801025390625</v>
      </c>
      <c r="CL13">
        <v>-34.548507690429688</v>
      </c>
      <c r="CM13">
        <v>-34.699005126953125</v>
      </c>
      <c r="CN13">
        <v>-34.849502563476563</v>
      </c>
      <c r="CO13">
        <v>-35</v>
      </c>
    </row>
    <row r="15" spans="1:93" x14ac:dyDescent="0.35">
      <c r="B15" t="s">
        <v>0</v>
      </c>
      <c r="C15">
        <v>-18.526155471801758</v>
      </c>
      <c r="D15">
        <v>-19.119295120239258</v>
      </c>
      <c r="E15">
        <v>-19.296939849853516</v>
      </c>
      <c r="F15">
        <v>-19.474584579467773</v>
      </c>
      <c r="G15">
        <v>-19.666446685791016</v>
      </c>
      <c r="H15">
        <v>-19.859661102294922</v>
      </c>
      <c r="I15">
        <v>-20.056325912475586</v>
      </c>
      <c r="J15">
        <v>-20.257591247558594</v>
      </c>
      <c r="K15">
        <v>-20.458854675292969</v>
      </c>
      <c r="L15">
        <v>-20.663921356201172</v>
      </c>
      <c r="M15">
        <v>-20.869211196899414</v>
      </c>
      <c r="N15">
        <v>-21.074501037597656</v>
      </c>
      <c r="O15">
        <v>-21.279790878295898</v>
      </c>
      <c r="P15">
        <v>-21.485078811645508</v>
      </c>
      <c r="Q15">
        <v>-21.694297790527344</v>
      </c>
      <c r="R15">
        <v>-21.90361213684082</v>
      </c>
      <c r="S15">
        <v>-22.10926628112793</v>
      </c>
      <c r="T15">
        <v>-22.311134338378906</v>
      </c>
      <c r="U15">
        <v>-22.513053894042969</v>
      </c>
      <c r="V15">
        <v>-22.718343734741211</v>
      </c>
      <c r="W15">
        <v>-22.923633575439453</v>
      </c>
      <c r="X15">
        <v>-23.12358283996582</v>
      </c>
      <c r="Y15">
        <v>-23.318809509277344</v>
      </c>
      <c r="Z15">
        <v>-23.514036178588867</v>
      </c>
      <c r="AA15">
        <v>-23.709260940551758</v>
      </c>
      <c r="AB15">
        <v>-23.904487609863281</v>
      </c>
      <c r="AC15">
        <v>-24.099714279174805</v>
      </c>
      <c r="AD15">
        <v>-24.294939041137695</v>
      </c>
      <c r="AE15">
        <v>-24.490165710449219</v>
      </c>
      <c r="AF15">
        <v>-24.685392379760742</v>
      </c>
      <c r="AG15">
        <v>-24.880617141723633</v>
      </c>
      <c r="AH15">
        <v>-25.06816291809082</v>
      </c>
      <c r="AI15">
        <v>-25.250442504882813</v>
      </c>
      <c r="AJ15">
        <v>-25.432723999023438</v>
      </c>
      <c r="AK15">
        <v>-25.61500358581543</v>
      </c>
      <c r="AL15">
        <v>-25.797285079956055</v>
      </c>
      <c r="AM15">
        <v>-25.979564666748047</v>
      </c>
      <c r="AN15">
        <v>-26.161846160888672</v>
      </c>
      <c r="AO15">
        <v>-26.344127655029297</v>
      </c>
      <c r="AP15">
        <v>-26.526407241821289</v>
      </c>
      <c r="AQ15">
        <v>-26.708688735961914</v>
      </c>
      <c r="AR15">
        <v>-26.884954452514648</v>
      </c>
      <c r="AS15">
        <v>-27.058170318603516</v>
      </c>
      <c r="AT15">
        <v>-27.231386184692383</v>
      </c>
      <c r="AU15">
        <v>-27.404603958129883</v>
      </c>
      <c r="AV15">
        <v>-27.57781982421875</v>
      </c>
      <c r="AW15">
        <v>-27.75103759765625</v>
      </c>
      <c r="AX15">
        <v>-27.924253463745117</v>
      </c>
      <c r="AY15">
        <v>-28.097471237182617</v>
      </c>
      <c r="AZ15">
        <v>-28.270687103271484</v>
      </c>
      <c r="BA15">
        <v>-28.443904876708984</v>
      </c>
      <c r="BB15">
        <v>-28.611118316650391</v>
      </c>
      <c r="BC15">
        <v>-28.776153564453125</v>
      </c>
      <c r="BD15">
        <v>-28.940702438354492</v>
      </c>
      <c r="BE15">
        <v>-29.103786468505859</v>
      </c>
      <c r="BF15">
        <v>-29.266870498657227</v>
      </c>
      <c r="BG15">
        <v>-29.432861328125</v>
      </c>
      <c r="BH15">
        <v>-29.599899291992188</v>
      </c>
      <c r="BI15">
        <v>-29.765790939331055</v>
      </c>
      <c r="BJ15">
        <v>-29.928752899169922</v>
      </c>
      <c r="BK15">
        <v>-30.091716766357422</v>
      </c>
      <c r="BL15">
        <v>-30.25018310546875</v>
      </c>
      <c r="BM15">
        <v>-30.407703399658203</v>
      </c>
      <c r="BN15">
        <v>-30.565223693847656</v>
      </c>
      <c r="BO15">
        <v>-30.722745895385742</v>
      </c>
      <c r="BP15">
        <v>-30.880266189575195</v>
      </c>
      <c r="BQ15">
        <v>-31.037786483764648</v>
      </c>
      <c r="BR15">
        <v>-31.195308685302734</v>
      </c>
      <c r="BS15">
        <v>-31.352827072143555</v>
      </c>
      <c r="BT15">
        <v>-31.510349273681641</v>
      </c>
      <c r="BU15">
        <v>-31.667869567871094</v>
      </c>
      <c r="BV15">
        <v>-31.822933197021484</v>
      </c>
      <c r="BW15">
        <v>-31.977594375610352</v>
      </c>
      <c r="BX15">
        <v>-32.132255554199219</v>
      </c>
      <c r="BY15">
        <v>-32.286918640136719</v>
      </c>
      <c r="BZ15">
        <v>-32.441581726074219</v>
      </c>
      <c r="CA15">
        <v>-32.596240997314453</v>
      </c>
      <c r="CB15">
        <v>-32.750904083251953</v>
      </c>
      <c r="CC15">
        <v>-32.905563354492188</v>
      </c>
      <c r="CD15">
        <v>-33.060226440429688</v>
      </c>
      <c r="CE15">
        <v>-33.214889526367188</v>
      </c>
      <c r="CF15">
        <v>-33.361473083496094</v>
      </c>
      <c r="CG15">
        <v>-33.507778167724609</v>
      </c>
      <c r="CH15">
        <v>-33.657810211181641</v>
      </c>
      <c r="CI15">
        <v>-33.812625885009766</v>
      </c>
      <c r="CJ15">
        <v>-33.967441558837891</v>
      </c>
      <c r="CK15">
        <v>-34.113887786865234</v>
      </c>
      <c r="CL15">
        <v>-34.260196685791016</v>
      </c>
      <c r="CM15">
        <v>-34.408519744873047</v>
      </c>
      <c r="CN15">
        <v>-34.559257507324219</v>
      </c>
      <c r="CO15">
        <v>-34.709999084472656</v>
      </c>
    </row>
  </sheetData>
  <mergeCells count="2">
    <mergeCell ref="A8:A13"/>
    <mergeCell ref="A4:A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theme="0"/>
  </sheetPr>
  <dimension ref="A1:Z5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:O20"/>
    </sheetView>
  </sheetViews>
  <sheetFormatPr defaultRowHeight="23.25" x14ac:dyDescent="0.35"/>
  <cols>
    <col min="1" max="1" width="6.6328125" customWidth="1"/>
    <col min="2" max="2" width="12.453125" style="26" bestFit="1" customWidth="1"/>
    <col min="3" max="3" width="11.36328125" bestFit="1" customWidth="1"/>
    <col min="4" max="26" width="10.6328125" customWidth="1"/>
    <col min="38" max="43" width="5.6328125" customWidth="1"/>
    <col min="44" max="44" width="10" bestFit="1" customWidth="1"/>
  </cols>
  <sheetData>
    <row r="1" spans="1:25" s="81" customFormat="1" ht="24.75" thickTop="1" thickBot="1" x14ac:dyDescent="0.4">
      <c r="A1" s="79">
        <v>1</v>
      </c>
      <c r="B1" s="68"/>
      <c r="C1" s="68">
        <v>298.2</v>
      </c>
      <c r="D1" s="68">
        <v>431.7</v>
      </c>
      <c r="E1" s="68">
        <v>565.20000000000005</v>
      </c>
      <c r="F1" s="68">
        <v>698.8</v>
      </c>
      <c r="G1" s="68">
        <v>832.3</v>
      </c>
      <c r="H1" s="68">
        <v>965.8</v>
      </c>
      <c r="I1" s="68">
        <v>999.2</v>
      </c>
      <c r="J1" s="68">
        <v>1033</v>
      </c>
      <c r="K1" s="68">
        <v>1066</v>
      </c>
      <c r="L1" s="68">
        <v>1099</v>
      </c>
      <c r="M1" s="68">
        <v>1233</v>
      </c>
      <c r="N1" s="68">
        <v>1366</v>
      </c>
      <c r="O1" s="68">
        <v>1500</v>
      </c>
      <c r="P1" s="68"/>
      <c r="Q1" s="68"/>
      <c r="R1" s="68"/>
      <c r="S1" s="68"/>
      <c r="T1" s="68"/>
      <c r="U1" s="68"/>
      <c r="V1" s="68"/>
      <c r="W1" s="68"/>
      <c r="X1" s="68"/>
      <c r="Y1" s="82"/>
    </row>
    <row r="2" spans="1:25" ht="22.5" thickTop="1" thickBot="1" x14ac:dyDescent="0.4">
      <c r="A2" s="39" t="s">
        <v>42</v>
      </c>
      <c r="B2" s="68" t="s">
        <v>31</v>
      </c>
      <c r="C2" s="83">
        <v>2.5500000000000001E-22</v>
      </c>
      <c r="D2" s="83">
        <v>1.6538E-13</v>
      </c>
      <c r="E2" s="83">
        <v>4.5345999999999996E-9</v>
      </c>
      <c r="F2" s="83">
        <v>2.1671E-6</v>
      </c>
      <c r="G2" s="83">
        <v>1.3137000000000001E-4</v>
      </c>
      <c r="H2" s="83">
        <v>1.9562E-3</v>
      </c>
      <c r="I2" s="83">
        <v>2.9272999999999999E-3</v>
      </c>
      <c r="J2" s="83">
        <v>3.8682E-3</v>
      </c>
      <c r="K2" s="83">
        <v>4.5303000000000001E-3</v>
      </c>
      <c r="L2" s="83">
        <v>4.8446000000000001E-3</v>
      </c>
      <c r="M2" s="83">
        <v>4.0956999999999999E-3</v>
      </c>
      <c r="N2" s="83">
        <v>2.9797000000000001E-3</v>
      </c>
      <c r="O2" s="83">
        <v>2.9797000000000001E-3</v>
      </c>
    </row>
    <row r="3" spans="1:25" ht="22.5" thickTop="1" thickBot="1" x14ac:dyDescent="0.4">
      <c r="B3" s="68" t="s">
        <v>27</v>
      </c>
      <c r="C3" s="83">
        <v>1.8647000000000001E-20</v>
      </c>
      <c r="D3" s="83">
        <v>1.4376000000000001E-12</v>
      </c>
      <c r="E3" s="83">
        <v>1.1363000000000001E-8</v>
      </c>
      <c r="F3" s="83">
        <v>2.4256999999999999E-6</v>
      </c>
      <c r="G3" s="83">
        <v>8.2272000000000001E-5</v>
      </c>
      <c r="H3" s="83">
        <v>6.8984999999999999E-4</v>
      </c>
      <c r="I3" s="83">
        <v>8.5939999999999996E-4</v>
      </c>
      <c r="J3" s="83">
        <v>9.2778999999999995E-4</v>
      </c>
      <c r="K3" s="83">
        <v>8.7343999999999996E-4</v>
      </c>
      <c r="L3" s="83">
        <v>7.4456999999999995E-4</v>
      </c>
      <c r="M3" s="83">
        <v>2.6080999999999999E-4</v>
      </c>
      <c r="N3" s="83">
        <v>8.9968000000000003E-5</v>
      </c>
      <c r="O3" s="83">
        <v>8.9968000000000003E-5</v>
      </c>
    </row>
    <row r="4" spans="1:25" ht="22.5" thickTop="1" thickBot="1" x14ac:dyDescent="0.4">
      <c r="B4" s="68" t="s">
        <v>28</v>
      </c>
      <c r="C4" s="83">
        <v>4.1969000000000002E-17</v>
      </c>
      <c r="D4" s="83">
        <v>5.8152999999999996E-10</v>
      </c>
      <c r="E4" s="83">
        <v>1.6755000000000001E-6</v>
      </c>
      <c r="F4" s="83">
        <v>1.8579999999999999E-4</v>
      </c>
      <c r="G4" s="83">
        <v>3.9169000000000001E-3</v>
      </c>
      <c r="H4" s="83">
        <v>1.9984999999999999E-2</v>
      </c>
      <c r="I4" s="83">
        <v>2.1066999999999999E-2</v>
      </c>
      <c r="J4" s="83">
        <v>1.8866999999999998E-2</v>
      </c>
      <c r="K4" s="83">
        <v>1.4484E-2</v>
      </c>
      <c r="L4" s="83">
        <v>9.9763000000000004E-3</v>
      </c>
      <c r="M4" s="83">
        <v>1.5176E-3</v>
      </c>
      <c r="N4" s="83">
        <v>2.5787E-4</v>
      </c>
      <c r="O4" s="83">
        <v>2.5787E-4</v>
      </c>
    </row>
    <row r="5" spans="1:25" ht="22.5" thickTop="1" thickBot="1" x14ac:dyDescent="0.4">
      <c r="B5" s="68" t="s">
        <v>29</v>
      </c>
      <c r="C5" s="83">
        <v>8.8317999999999997E-15</v>
      </c>
      <c r="D5" s="83">
        <v>6.6137E-9</v>
      </c>
      <c r="E5" s="83">
        <v>3.6586E-6</v>
      </c>
      <c r="F5" s="83">
        <v>1.4147000000000001E-4</v>
      </c>
      <c r="G5" s="83">
        <v>1.4123E-3</v>
      </c>
      <c r="H5" s="83">
        <v>3.5994999999999998E-3</v>
      </c>
      <c r="I5" s="83">
        <v>3.0814000000000002E-3</v>
      </c>
      <c r="J5" s="83">
        <v>2.2028E-3</v>
      </c>
      <c r="K5" s="83">
        <v>1.3301000000000001E-3</v>
      </c>
      <c r="L5" s="83">
        <v>7.1551999999999998E-4</v>
      </c>
      <c r="M5" s="83">
        <v>4.2027999999999998E-5</v>
      </c>
      <c r="N5" s="83">
        <v>3.2001000000000001E-6</v>
      </c>
      <c r="O5" s="83">
        <v>3.2001000000000001E-6</v>
      </c>
    </row>
    <row r="6" spans="1:25" ht="22.5" thickTop="1" thickBot="1" x14ac:dyDescent="0.4">
      <c r="B6" s="68" t="s">
        <v>83</v>
      </c>
      <c r="C6" s="83">
        <v>1.2175E-15</v>
      </c>
      <c r="D6" s="83">
        <v>1.856E-9</v>
      </c>
      <c r="E6" s="83">
        <v>1.3314000000000001E-6</v>
      </c>
      <c r="F6" s="83">
        <v>5.8335000000000003E-5</v>
      </c>
      <c r="G6" s="83">
        <v>6.1364000000000004E-4</v>
      </c>
      <c r="H6" s="83">
        <v>1.3929000000000001E-3</v>
      </c>
      <c r="I6" s="83">
        <v>1.0922E-3</v>
      </c>
      <c r="J6" s="83">
        <v>6.9746999999999995E-4</v>
      </c>
      <c r="K6" s="83">
        <v>3.681E-4</v>
      </c>
      <c r="L6" s="83">
        <v>1.7077999999999999E-4</v>
      </c>
      <c r="M6" s="83">
        <v>5.4566999999999998E-6</v>
      </c>
      <c r="N6" s="83">
        <v>2.4527000000000003E-7</v>
      </c>
      <c r="O6" s="83">
        <v>2.4527000000000003E-7</v>
      </c>
    </row>
    <row r="7" spans="1:25" ht="22.5" thickTop="1" thickBot="1" x14ac:dyDescent="0.4">
      <c r="B7" s="68" t="s">
        <v>30</v>
      </c>
      <c r="C7" s="83">
        <v>3.3501999999999999E-17</v>
      </c>
      <c r="D7" s="83">
        <v>8.8483999999999997E-11</v>
      </c>
      <c r="E7" s="83">
        <v>7.5701999999999999E-8</v>
      </c>
      <c r="F7" s="83">
        <v>3.5708000000000002E-6</v>
      </c>
      <c r="G7" s="83">
        <v>3.8232999999999998E-5</v>
      </c>
      <c r="H7" s="83">
        <v>7.5388000000000004E-5</v>
      </c>
      <c r="I7" s="83">
        <v>5.3866000000000002E-5</v>
      </c>
      <c r="J7" s="83">
        <v>3.0582E-5</v>
      </c>
      <c r="K7" s="83">
        <v>1.4044E-5</v>
      </c>
      <c r="L7" s="83">
        <v>5.5952000000000002E-6</v>
      </c>
      <c r="M7" s="83">
        <v>9.5831000000000006E-8</v>
      </c>
      <c r="N7" s="83">
        <v>2.5128999999999999E-9</v>
      </c>
      <c r="O7" s="83">
        <v>2.5128999999999999E-9</v>
      </c>
    </row>
    <row r="8" spans="1:25" ht="22.5" thickTop="1" thickBot="1" x14ac:dyDescent="0.4">
      <c r="B8" s="68" t="s">
        <v>33</v>
      </c>
      <c r="C8" s="83">
        <v>9.3072999999999998E-18</v>
      </c>
      <c r="D8" s="83">
        <v>1.7489E-10</v>
      </c>
      <c r="E8" s="83">
        <v>9.0166000000000004E-7</v>
      </c>
      <c r="F8" s="83">
        <v>1.6593000000000001E-4</v>
      </c>
      <c r="G8" s="83">
        <v>5.5744999999999996E-3</v>
      </c>
      <c r="H8" s="83">
        <v>6.4226000000000005E-2</v>
      </c>
      <c r="I8" s="83">
        <v>9.7309000000000007E-2</v>
      </c>
      <c r="J8" s="83">
        <v>0.13425000000000001</v>
      </c>
      <c r="K8" s="83">
        <v>0.16864000000000001</v>
      </c>
      <c r="L8" s="83">
        <v>0.19694</v>
      </c>
      <c r="M8" s="83">
        <v>0.25024999999999997</v>
      </c>
      <c r="N8" s="83">
        <v>0.26444000000000001</v>
      </c>
      <c r="O8" s="83">
        <v>0.26444000000000001</v>
      </c>
    </row>
    <row r="9" spans="1:25" ht="22.5" thickTop="1" thickBot="1" x14ac:dyDescent="0.4">
      <c r="B9" s="68" t="s">
        <v>7</v>
      </c>
      <c r="C9" s="83">
        <v>8.0042000000000004E-36</v>
      </c>
      <c r="D9" s="83">
        <v>3.2423999999999998E-23</v>
      </c>
      <c r="E9" s="83">
        <v>1.2645999999999999E-16</v>
      </c>
      <c r="F9" s="83">
        <v>1.4952999999999999E-12</v>
      </c>
      <c r="G9" s="83">
        <v>9.0133000000000003E-10</v>
      </c>
      <c r="H9" s="83">
        <v>1.0002E-7</v>
      </c>
      <c r="I9" s="83">
        <v>2.5967E-7</v>
      </c>
      <c r="J9" s="83">
        <v>6.1203999999999997E-7</v>
      </c>
      <c r="K9" s="83">
        <v>1.3088000000000001E-6</v>
      </c>
      <c r="L9" s="83">
        <v>2.5770999999999999E-6</v>
      </c>
      <c r="M9" s="83">
        <v>2.2167E-5</v>
      </c>
      <c r="N9" s="83">
        <v>1.1458E-4</v>
      </c>
      <c r="O9" s="83">
        <v>1.1458E-4</v>
      </c>
    </row>
    <row r="10" spans="1:25" ht="22.5" thickTop="1" thickBot="1" x14ac:dyDescent="0.4">
      <c r="B10" s="68" t="s">
        <v>9</v>
      </c>
      <c r="C10" s="83">
        <v>0</v>
      </c>
      <c r="D10" s="83">
        <v>6.2496999999999995E-29</v>
      </c>
      <c r="E10" s="83">
        <v>2.5017E-21</v>
      </c>
      <c r="F10" s="83">
        <v>9.9454000000000001E-17</v>
      </c>
      <c r="G10" s="83">
        <v>9.5514999999999997E-14</v>
      </c>
      <c r="H10" s="83">
        <v>1.4959999999999999E-11</v>
      </c>
      <c r="I10" s="83">
        <v>4.4647000000000002E-11</v>
      </c>
      <c r="J10" s="83">
        <v>1.2533E-10</v>
      </c>
      <c r="K10" s="83">
        <v>3.3116000000000002E-10</v>
      </c>
      <c r="L10" s="83">
        <v>8.2653000000000004E-10</v>
      </c>
      <c r="M10" s="83">
        <v>1.9531999999999999E-8</v>
      </c>
      <c r="N10" s="83">
        <v>2.4812999999999999E-7</v>
      </c>
      <c r="O10" s="83">
        <v>2.4812999999999999E-7</v>
      </c>
    </row>
    <row r="11" spans="1:25" ht="22.5" thickTop="1" thickBot="1" x14ac:dyDescent="0.4">
      <c r="B11" s="68" t="s">
        <v>34</v>
      </c>
      <c r="C11" s="83">
        <v>5.1099999999999999E-10</v>
      </c>
      <c r="D11" s="83">
        <v>9.5418000000000007E-6</v>
      </c>
      <c r="E11" s="83">
        <v>1.1914E-3</v>
      </c>
      <c r="F11" s="83">
        <v>1.23E-2</v>
      </c>
      <c r="G11" s="83">
        <v>2.6346000000000001E-2</v>
      </c>
      <c r="H11" s="83">
        <v>3.5166999999999997E-2</v>
      </c>
      <c r="I11" s="83">
        <v>3.6438999999999999E-2</v>
      </c>
      <c r="J11" s="83">
        <v>3.7315000000000001E-2</v>
      </c>
      <c r="K11" s="83">
        <v>3.7860999999999999E-2</v>
      </c>
      <c r="L11" s="83">
        <v>3.8210000000000001E-2</v>
      </c>
      <c r="M11" s="83">
        <v>3.8764E-2</v>
      </c>
      <c r="N11" s="83">
        <v>3.8907999999999998E-2</v>
      </c>
      <c r="O11" s="83">
        <v>3.8907999999999998E-2</v>
      </c>
    </row>
    <row r="12" spans="1:25" ht="22.5" thickTop="1" thickBot="1" x14ac:dyDescent="0.4">
      <c r="B12" s="68" t="s">
        <v>2</v>
      </c>
      <c r="C12" s="83">
        <v>0.2</v>
      </c>
      <c r="D12" s="83">
        <v>0.2</v>
      </c>
      <c r="E12" s="83">
        <v>0.2</v>
      </c>
      <c r="F12" s="83">
        <v>0.2</v>
      </c>
      <c r="G12" s="83">
        <v>0.2</v>
      </c>
      <c r="H12" s="83">
        <v>0.2</v>
      </c>
      <c r="I12" s="83">
        <v>0.2</v>
      </c>
      <c r="J12" s="83">
        <v>0.2</v>
      </c>
      <c r="K12" s="83">
        <v>0.2</v>
      </c>
      <c r="L12" s="83">
        <v>0.2</v>
      </c>
      <c r="M12" s="83">
        <v>0.2</v>
      </c>
      <c r="N12" s="83">
        <v>0.2</v>
      </c>
      <c r="O12" s="83">
        <v>0.2</v>
      </c>
    </row>
    <row r="13" spans="1:25" ht="22.5" thickTop="1" thickBot="1" x14ac:dyDescent="0.4">
      <c r="B13" s="68" t="s">
        <v>24</v>
      </c>
      <c r="C13" s="83">
        <v>0.08</v>
      </c>
      <c r="D13" s="83">
        <v>7.9980999999999997E-2</v>
      </c>
      <c r="E13" s="83">
        <v>7.7617000000000005E-2</v>
      </c>
      <c r="F13" s="83">
        <v>5.5400999999999999E-2</v>
      </c>
      <c r="G13" s="83">
        <v>2.7307000000000001E-2</v>
      </c>
      <c r="H13" s="83">
        <v>9.6652000000000005E-3</v>
      </c>
      <c r="I13" s="83">
        <v>7.1215000000000002E-3</v>
      </c>
      <c r="J13" s="83">
        <v>5.3695000000000001E-3</v>
      </c>
      <c r="K13" s="83">
        <v>4.2785999999999996E-3</v>
      </c>
      <c r="L13" s="83">
        <v>3.5799E-3</v>
      </c>
      <c r="M13" s="83">
        <v>2.4729000000000001E-3</v>
      </c>
      <c r="N13" s="83">
        <v>2.1836999999999998E-3</v>
      </c>
      <c r="O13" s="83">
        <v>2.1836999999999998E-3</v>
      </c>
    </row>
    <row r="14" spans="1:25" ht="22.5" thickTop="1" thickBot="1" x14ac:dyDescent="0.4">
      <c r="B14" s="68" t="s">
        <v>23</v>
      </c>
      <c r="C14" s="83">
        <v>0.12</v>
      </c>
      <c r="D14" s="83">
        <v>0.12</v>
      </c>
      <c r="E14" s="83">
        <v>0.12</v>
      </c>
      <c r="F14" s="83">
        <v>0.12</v>
      </c>
      <c r="G14" s="83">
        <v>0.12</v>
      </c>
      <c r="H14" s="83">
        <v>0.12</v>
      </c>
      <c r="I14" s="83">
        <v>0.12</v>
      </c>
      <c r="J14" s="83">
        <v>0.12</v>
      </c>
      <c r="K14" s="83">
        <v>0.12</v>
      </c>
      <c r="L14" s="83">
        <v>0.12</v>
      </c>
      <c r="M14" s="83">
        <v>0.12</v>
      </c>
      <c r="N14" s="83">
        <v>0.12</v>
      </c>
      <c r="O14" s="83">
        <v>0.12</v>
      </c>
    </row>
    <row r="15" spans="1:25" ht="22.5" thickTop="1" thickBot="1" x14ac:dyDescent="0.4">
      <c r="B15" s="68" t="s">
        <v>84</v>
      </c>
      <c r="C15" s="83">
        <v>0.6</v>
      </c>
      <c r="D15" s="83">
        <v>0.59999000000000002</v>
      </c>
      <c r="E15" s="83">
        <v>0.59877000000000002</v>
      </c>
      <c r="F15" s="83">
        <v>0.58513999999999999</v>
      </c>
      <c r="G15" s="83">
        <v>0.52912000000000003</v>
      </c>
      <c r="H15" s="83">
        <v>0.29587999999999998</v>
      </c>
      <c r="I15" s="83">
        <v>0.22481999999999999</v>
      </c>
      <c r="J15" s="83">
        <v>0.16619</v>
      </c>
      <c r="K15" s="83">
        <v>0.12469</v>
      </c>
      <c r="L15" s="83">
        <v>9.4979999999999995E-2</v>
      </c>
      <c r="M15" s="83">
        <v>3.9503999999999997E-2</v>
      </c>
      <c r="N15" s="83">
        <v>2.1496999999999999E-2</v>
      </c>
      <c r="O15" s="83">
        <v>2.1496999999999999E-2</v>
      </c>
    </row>
    <row r="16" spans="1:25" ht="22.5" thickTop="1" thickBot="1" x14ac:dyDescent="0.4">
      <c r="B16" s="68" t="s">
        <v>81</v>
      </c>
      <c r="C16" s="83">
        <v>-18.61</v>
      </c>
      <c r="D16" s="83">
        <v>-18.760000000000002</v>
      </c>
      <c r="E16" s="83">
        <v>-19.03</v>
      </c>
      <c r="F16" s="83">
        <v>-19.37</v>
      </c>
      <c r="G16" s="83">
        <v>-19.75</v>
      </c>
      <c r="H16" s="83">
        <v>-20.309999999999999</v>
      </c>
      <c r="I16" s="83">
        <v>-20.48</v>
      </c>
      <c r="J16" s="83">
        <v>-20.63</v>
      </c>
      <c r="K16" s="83">
        <v>-20.76</v>
      </c>
      <c r="L16" s="83">
        <v>-20.87</v>
      </c>
      <c r="M16" s="83">
        <v>-21.17</v>
      </c>
      <c r="N16" s="83">
        <v>-21.39</v>
      </c>
      <c r="O16" s="83">
        <v>-21.39</v>
      </c>
    </row>
    <row r="17" spans="2:25" ht="22.5" thickTop="1" thickBot="1" x14ac:dyDescent="0.4">
      <c r="B17" s="68" t="s">
        <v>79</v>
      </c>
      <c r="C17" s="83">
        <v>-7.1619999999999999</v>
      </c>
      <c r="D17" s="83">
        <v>-8.0640000000000001</v>
      </c>
      <c r="E17" s="83">
        <v>-8.81</v>
      </c>
      <c r="F17" s="83">
        <v>-9.6920000000000002</v>
      </c>
      <c r="G17" s="83">
        <v>-10.79</v>
      </c>
      <c r="H17" s="83">
        <v>-11.79</v>
      </c>
      <c r="I17" s="83">
        <v>-12.01</v>
      </c>
      <c r="J17" s="83">
        <v>-12.2</v>
      </c>
      <c r="K17" s="83">
        <v>-12.36</v>
      </c>
      <c r="L17" s="83">
        <v>-12.5</v>
      </c>
      <c r="M17" s="83">
        <v>-12.91</v>
      </c>
      <c r="N17" s="83">
        <v>-13.22</v>
      </c>
      <c r="O17" s="83">
        <v>-13.22</v>
      </c>
    </row>
    <row r="18" spans="2:25" ht="22.5" thickTop="1" thickBot="1" x14ac:dyDescent="0.4">
      <c r="B18" s="68" t="s">
        <v>80</v>
      </c>
      <c r="C18" s="83">
        <v>5.367</v>
      </c>
      <c r="D18" s="83">
        <v>0.73640000000000005</v>
      </c>
      <c r="E18" s="83">
        <v>-1.948</v>
      </c>
      <c r="F18" s="83">
        <v>-3.7149999999999999</v>
      </c>
      <c r="G18" s="83">
        <v>-4.931</v>
      </c>
      <c r="H18" s="83">
        <v>-5.5069999999999997</v>
      </c>
      <c r="I18" s="83">
        <v>-5.5430000000000001</v>
      </c>
      <c r="J18" s="83">
        <v>-5.57</v>
      </c>
      <c r="K18" s="83">
        <v>-5.617</v>
      </c>
      <c r="L18" s="83">
        <v>-5.6829999999999998</v>
      </c>
      <c r="M18" s="83">
        <v>-6.0869999999999997</v>
      </c>
      <c r="N18" s="83">
        <v>-6.5679999999999996</v>
      </c>
      <c r="O18" s="83">
        <v>-6.5679999999999996</v>
      </c>
    </row>
    <row r="19" spans="2:25" ht="22.5" thickTop="1" thickBot="1" x14ac:dyDescent="0.4">
      <c r="B19" s="68" t="s">
        <v>85</v>
      </c>
      <c r="C19" s="83">
        <v>-4.5999999999999996</v>
      </c>
      <c r="D19" s="83">
        <v>-5.3719999999999999</v>
      </c>
      <c r="E19" s="83">
        <v>-6.11</v>
      </c>
      <c r="F19" s="83">
        <v>-6.7359999999999998</v>
      </c>
      <c r="G19" s="83">
        <v>-7.2839999999999998</v>
      </c>
      <c r="H19" s="83">
        <v>-7.9009999999999998</v>
      </c>
      <c r="I19" s="83">
        <v>-8.1020000000000003</v>
      </c>
      <c r="J19" s="83">
        <v>-8.3239999999999998</v>
      </c>
      <c r="K19" s="83">
        <v>-8.5640000000000001</v>
      </c>
      <c r="L19" s="83">
        <v>-8.8140000000000001</v>
      </c>
      <c r="M19" s="83">
        <v>-9.7989999999999995</v>
      </c>
      <c r="N19" s="83">
        <v>-10.66</v>
      </c>
      <c r="O19" s="83">
        <v>-10.66</v>
      </c>
    </row>
    <row r="20" spans="2:25" ht="22.5" thickTop="1" thickBot="1" x14ac:dyDescent="0.4">
      <c r="B20" s="68" t="s">
        <v>82</v>
      </c>
      <c r="C20" s="83">
        <v>0.2</v>
      </c>
      <c r="D20" s="83">
        <v>0.20000999999999999</v>
      </c>
      <c r="E20" s="83">
        <v>0.20119999999999999</v>
      </c>
      <c r="F20" s="83">
        <v>0.21285999999999999</v>
      </c>
      <c r="G20" s="83">
        <v>0.23812</v>
      </c>
      <c r="H20" s="83">
        <v>0.32708999999999999</v>
      </c>
      <c r="I20" s="83">
        <v>0.36282999999999999</v>
      </c>
      <c r="J20" s="83">
        <v>0.39816000000000001</v>
      </c>
      <c r="K20" s="83">
        <v>0.42809999999999998</v>
      </c>
      <c r="L20" s="83">
        <v>0.45161000000000001</v>
      </c>
      <c r="M20" s="83">
        <v>0.49496000000000001</v>
      </c>
      <c r="N20" s="83">
        <v>0.50678999999999996</v>
      </c>
      <c r="O20" s="83">
        <v>0.50678999999999996</v>
      </c>
    </row>
    <row r="21" spans="2:25" ht="22.5" thickTop="1" thickBot="1" x14ac:dyDescent="0.4">
      <c r="B21" s="68"/>
    </row>
    <row r="22" spans="2:25" ht="22.5" thickTop="1" thickBot="1" x14ac:dyDescent="0.4">
      <c r="B22" s="68"/>
    </row>
    <row r="23" spans="2:25" ht="22.5" thickTop="1" thickBot="1" x14ac:dyDescent="0.4">
      <c r="B23" s="68"/>
      <c r="Y23" s="31"/>
    </row>
    <row r="24" spans="2:25" ht="21.75" thickTop="1" x14ac:dyDescent="0.35">
      <c r="B24"/>
      <c r="Y24" s="31"/>
    </row>
    <row r="25" spans="2:25" ht="21" x14ac:dyDescent="0.35">
      <c r="B25"/>
      <c r="Y25" s="31"/>
    </row>
    <row r="26" spans="2:25" ht="21" x14ac:dyDescent="0.35">
      <c r="B26"/>
      <c r="Y26" s="31"/>
    </row>
    <row r="27" spans="2:25" ht="21" x14ac:dyDescent="0.35">
      <c r="B27"/>
    </row>
    <row r="28" spans="2:25" ht="21" x14ac:dyDescent="0.35">
      <c r="B28"/>
    </row>
    <row r="29" spans="2:25" ht="21" x14ac:dyDescent="0.35">
      <c r="B29"/>
    </row>
    <row r="30" spans="2:25" ht="21" x14ac:dyDescent="0.35">
      <c r="B30"/>
    </row>
    <row r="31" spans="2:25" ht="21" x14ac:dyDescent="0.35">
      <c r="B31"/>
    </row>
    <row r="32" spans="2:25" ht="21" x14ac:dyDescent="0.35">
      <c r="B32"/>
    </row>
    <row r="33" spans="2:23" ht="21" x14ac:dyDescent="0.35">
      <c r="B33"/>
    </row>
    <row r="34" spans="2:23" ht="21" x14ac:dyDescent="0.35">
      <c r="B34"/>
    </row>
    <row r="35" spans="2:23" ht="21" x14ac:dyDescent="0.35">
      <c r="B35"/>
    </row>
    <row r="36" spans="2:23" ht="21" x14ac:dyDescent="0.35">
      <c r="B36"/>
    </row>
    <row r="37" spans="2:23" ht="21" x14ac:dyDescent="0.35">
      <c r="B37"/>
    </row>
    <row r="38" spans="2:23" ht="21" x14ac:dyDescent="0.35">
      <c r="B38"/>
    </row>
    <row r="39" spans="2:23" ht="21" x14ac:dyDescent="0.35">
      <c r="B39"/>
    </row>
    <row r="40" spans="2:23" ht="21" x14ac:dyDescent="0.35">
      <c r="B40"/>
    </row>
    <row r="41" spans="2:23" ht="21" x14ac:dyDescent="0.35">
      <c r="B41"/>
    </row>
    <row r="42" spans="2:23" ht="21" x14ac:dyDescent="0.35">
      <c r="B42"/>
    </row>
    <row r="43" spans="2:23" ht="21" x14ac:dyDescent="0.35">
      <c r="B43"/>
    </row>
    <row r="44" spans="2:23" ht="21" x14ac:dyDescent="0.35">
      <c r="B44"/>
    </row>
    <row r="45" spans="2:23" ht="21" x14ac:dyDescent="0.35">
      <c r="B45"/>
    </row>
    <row r="46" spans="2:23" ht="21" x14ac:dyDescent="0.35">
      <c r="B46"/>
    </row>
    <row r="48" spans="2:23" x14ac:dyDescent="0.35">
      <c r="W48" s="25"/>
    </row>
    <row r="49" spans="3:26" x14ac:dyDescent="0.35">
      <c r="C49" s="27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8"/>
      <c r="P49" s="25"/>
      <c r="Q49" s="25"/>
      <c r="R49" s="25"/>
      <c r="S49" s="25"/>
      <c r="T49" s="28"/>
      <c r="U49" s="25"/>
      <c r="V49" s="25"/>
      <c r="W49" s="25"/>
      <c r="X49" s="25"/>
      <c r="Y49" s="25"/>
      <c r="Z49" s="25"/>
    </row>
    <row r="50" spans="3:26" x14ac:dyDescent="0.35">
      <c r="C50" s="27"/>
      <c r="D50" s="25"/>
      <c r="E50" s="25"/>
      <c r="F50" s="25"/>
      <c r="G50" s="28"/>
      <c r="H50" s="25"/>
      <c r="I50" s="25"/>
      <c r="J50" s="25"/>
      <c r="K50" s="25"/>
      <c r="L50" s="28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8"/>
    </row>
    <row r="51" spans="3:26" x14ac:dyDescent="0.35">
      <c r="C51" s="27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8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</row>
    <row r="52" spans="3:26" x14ac:dyDescent="0.35">
      <c r="C52" s="27"/>
      <c r="D52" s="25"/>
      <c r="E52" s="25"/>
      <c r="F52" s="25"/>
      <c r="G52" s="25"/>
      <c r="H52" s="28"/>
      <c r="I52" s="25"/>
      <c r="J52" s="25"/>
      <c r="K52" s="25"/>
      <c r="L52" s="28"/>
      <c r="M52" s="25"/>
      <c r="N52" s="25"/>
      <c r="O52" s="25"/>
      <c r="P52" s="25"/>
      <c r="Q52" s="28"/>
      <c r="R52" s="25"/>
      <c r="S52" s="25"/>
      <c r="T52" s="28"/>
      <c r="U52" s="25"/>
      <c r="V52" s="25"/>
      <c r="W52" s="25"/>
      <c r="X52" s="25"/>
      <c r="Y52" s="25"/>
      <c r="Z52" s="25"/>
    </row>
    <row r="53" spans="3:26" x14ac:dyDescent="0.35">
      <c r="C53" s="27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8"/>
      <c r="O53" s="25"/>
      <c r="P53" s="25"/>
      <c r="Q53" s="25"/>
      <c r="R53" s="25"/>
      <c r="S53" s="25"/>
      <c r="T53" s="25"/>
      <c r="U53" s="28"/>
      <c r="V53" s="25"/>
      <c r="W53" s="25"/>
      <c r="X53" s="25"/>
      <c r="Y53" s="25"/>
      <c r="Z53" s="25"/>
    </row>
    <row r="54" spans="3:26" x14ac:dyDescent="0.35">
      <c r="C54" s="27"/>
      <c r="D54" s="25"/>
      <c r="E54" s="25"/>
      <c r="F54" s="25"/>
      <c r="G54" s="25"/>
      <c r="H54" s="28"/>
      <c r="I54" s="25"/>
      <c r="J54" s="25"/>
      <c r="K54" s="25"/>
      <c r="L54" s="28"/>
      <c r="M54" s="25"/>
      <c r="N54" s="25"/>
      <c r="O54" s="25"/>
      <c r="P54" s="25"/>
      <c r="Q54" s="28"/>
      <c r="R54" s="25"/>
      <c r="S54" s="25"/>
      <c r="T54" s="28"/>
      <c r="U54" s="25"/>
      <c r="V54" s="25"/>
      <c r="X54" s="25"/>
      <c r="Y54" s="25"/>
      <c r="Z54" s="25"/>
    </row>
    <row r="55" spans="3:26" x14ac:dyDescent="0.35">
      <c r="G55" s="25"/>
      <c r="H55" s="25"/>
      <c r="L55" s="25"/>
      <c r="N55" s="25"/>
      <c r="O55" s="28"/>
      <c r="Q55" s="25"/>
      <c r="T55" s="25"/>
      <c r="U55" s="28"/>
      <c r="Y55" s="25"/>
      <c r="Z55" s="25"/>
    </row>
    <row r="56" spans="3:26" x14ac:dyDescent="0.35">
      <c r="H56" s="28"/>
      <c r="L56" s="28"/>
      <c r="N56" s="25"/>
      <c r="O56" s="25"/>
      <c r="Q56" s="28"/>
      <c r="T56" s="25"/>
      <c r="U56" s="25"/>
      <c r="Y56" s="25"/>
      <c r="Z56" s="25"/>
    </row>
    <row r="57" spans="3:26" x14ac:dyDescent="0.35">
      <c r="H57" s="25"/>
      <c r="L57" s="25"/>
      <c r="Q57" s="25"/>
      <c r="T57" s="25"/>
      <c r="Z57" s="25"/>
    </row>
    <row r="58" spans="3:26" x14ac:dyDescent="0.35">
      <c r="L58" s="28"/>
      <c r="T58" s="25"/>
      <c r="Z58" s="25"/>
    </row>
    <row r="59" spans="3:26" x14ac:dyDescent="0.35">
      <c r="L59" s="25"/>
      <c r="T59" s="25"/>
    </row>
  </sheetData>
  <conditionalFormatting sqref="C2:O20">
    <cfRule type="expression" dxfId="0" priority="1">
      <formula>NOT(ISNUMBER(C2))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Лист4.Sorting_data">
                <anchor moveWithCells="1" sizeWithCells="1">
                  <from>
                    <xdr:col>0</xdr:col>
                    <xdr:colOff>104775</xdr:colOff>
                    <xdr:row>2</xdr:row>
                    <xdr:rowOff>123825</xdr:rowOff>
                  </from>
                  <to>
                    <xdr:col>0</xdr:col>
                    <xdr:colOff>885825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12</vt:i4>
      </vt:variant>
    </vt:vector>
  </HeadingPairs>
  <TitlesOfParts>
    <vt:vector size="18" baseType="lpstr">
      <vt:lpstr>ALL</vt:lpstr>
      <vt:lpstr>FLUID</vt:lpstr>
      <vt:lpstr>SOLIDDIFER</vt:lpstr>
      <vt:lpstr>EVALUATION</vt:lpstr>
      <vt:lpstr>Answ</vt:lpstr>
      <vt:lpstr>data</vt:lpstr>
      <vt:lpstr>ALL!H.Ar</vt:lpstr>
      <vt:lpstr>FLUID!H.Ar</vt:lpstr>
      <vt:lpstr>SOLIDDIFER!H.Ar</vt:lpstr>
      <vt:lpstr>ALL!H.Ga</vt:lpstr>
      <vt:lpstr>FLUID!H.Ga</vt:lpstr>
      <vt:lpstr>SOLIDDIFER!H.Ga</vt:lpstr>
      <vt:lpstr>ALL!H.Ge</vt:lpstr>
      <vt:lpstr>FLUID!H.Ge</vt:lpstr>
      <vt:lpstr>SOLIDDIFER!H.Ge</vt:lpstr>
      <vt:lpstr>ALL!H.Se</vt:lpstr>
      <vt:lpstr>FLUID!H.Se</vt:lpstr>
      <vt:lpstr>SOLIDDIFER!H.Se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2020-11-18T15:01:46Z</dcterms:created>
  <dcterms:modified xsi:type="dcterms:W3CDTF">2021-02-16T19:24:31Z</dcterms:modified>
</cp:coreProperties>
</file>