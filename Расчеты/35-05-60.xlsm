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B8190467-B246-40CA-9206-F401E2D8AB03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A" sheetId="13" r:id="rId7"/>
    <sheet name="A2" sheetId="16" r:id="rId8"/>
    <sheet name="F" sheetId="14" r:id="rId9"/>
    <sheet name="S" sheetId="15" r:id="rId10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8" l="1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AA81" i="8"/>
  <c r="AB81" i="8"/>
  <c r="AC81" i="8"/>
  <c r="AD81" i="8"/>
  <c r="AE81" i="8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C82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AA82" i="8"/>
  <c r="AB82" i="8"/>
  <c r="AC82" i="8"/>
  <c r="AD82" i="8"/>
  <c r="AE82" i="8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C83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AA83" i="8"/>
  <c r="AB83" i="8"/>
  <c r="AC83" i="8"/>
  <c r="AD83" i="8"/>
  <c r="AE83" i="8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C84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Z84" i="8"/>
  <c r="AA84" i="8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C85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Z85" i="8"/>
  <c r="AA85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C86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AA86" i="8"/>
  <c r="AB86" i="8"/>
  <c r="AC86" i="8"/>
  <c r="AD86" i="8"/>
  <c r="AE86" i="8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C87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AE87" i="8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C88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Y88" i="8"/>
  <c r="Z88" i="8"/>
  <c r="AA88" i="8"/>
  <c r="AB88" i="8"/>
  <c r="AC88" i="8"/>
  <c r="AD88" i="8"/>
  <c r="AE88" i="8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C89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Z89" i="8"/>
  <c r="AA89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C90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S90" i="8"/>
  <c r="T90" i="8"/>
  <c r="U90" i="8"/>
  <c r="V90" i="8"/>
  <c r="W90" i="8"/>
  <c r="X90" i="8"/>
  <c r="Y90" i="8"/>
  <c r="Z90" i="8"/>
  <c r="AA90" i="8"/>
  <c r="AB90" i="8"/>
  <c r="AC90" i="8"/>
  <c r="AD90" i="8"/>
  <c r="AE90" i="8"/>
  <c r="AF90" i="8"/>
  <c r="AG90" i="8"/>
  <c r="AH90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C91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AA91" i="8"/>
  <c r="AB91" i="8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C92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AA92" i="8"/>
  <c r="AB92" i="8"/>
  <c r="AC92" i="8"/>
  <c r="AD92" i="8"/>
  <c r="AE92" i="8"/>
  <c r="AF92" i="8"/>
  <c r="AG92" i="8"/>
  <c r="AH92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C93" i="8"/>
  <c r="D93" i="8"/>
  <c r="E93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AA93" i="8"/>
  <c r="AB93" i="8"/>
  <c r="AC93" i="8"/>
  <c r="AD93" i="8"/>
  <c r="AE93" i="8"/>
  <c r="AF93" i="8"/>
  <c r="AG93" i="8"/>
  <c r="AH93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C94" i="8"/>
  <c r="D94" i="8"/>
  <c r="E94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AA94" i="8"/>
  <c r="AB94" i="8"/>
  <c r="AC94" i="8"/>
  <c r="AD94" i="8"/>
  <c r="AE94" i="8"/>
  <c r="AF94" i="8"/>
  <c r="AG94" i="8"/>
  <c r="AH94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C95" i="8"/>
  <c r="D95" i="8"/>
  <c r="E95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S95" i="8"/>
  <c r="T95" i="8"/>
  <c r="U95" i="8"/>
  <c r="V95" i="8"/>
  <c r="W95" i="8"/>
  <c r="X95" i="8"/>
  <c r="Y95" i="8"/>
  <c r="Z95" i="8"/>
  <c r="AA95" i="8"/>
  <c r="AB95" i="8"/>
  <c r="AC95" i="8"/>
  <c r="AD95" i="8"/>
  <c r="AE95" i="8"/>
  <c r="AF95" i="8"/>
  <c r="AG95" i="8"/>
  <c r="AH95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66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B35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36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37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38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39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40" i="8"/>
  <c r="C40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42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43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44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4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46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47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48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49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50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51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52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53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54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56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57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58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59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60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62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63" i="8"/>
  <c r="C63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C34" i="8"/>
  <c r="D34" i="8"/>
  <c r="E34" i="8"/>
  <c r="B34" i="8"/>
  <c r="D34" i="11"/>
  <c r="B41" i="12" l="1"/>
  <c r="C41" i="12"/>
  <c r="D41" i="12"/>
  <c r="A41" i="12"/>
  <c r="B41" i="11"/>
  <c r="C41" i="11"/>
  <c r="D41" i="11"/>
  <c r="A41" i="11"/>
  <c r="A40" i="4"/>
  <c r="B41" i="4"/>
  <c r="C41" i="4"/>
  <c r="D41" i="4"/>
  <c r="A41" i="4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D35" i="11"/>
  <c r="AJ35" i="11" s="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114" i="11" s="1"/>
  <c r="A115" i="11" s="1"/>
  <c r="A22" i="7"/>
  <c r="A2" i="12" l="1"/>
  <c r="A114" i="12" s="1"/>
  <c r="A115" i="12" s="1"/>
  <c r="AC36" i="12"/>
  <c r="E41" i="12"/>
  <c r="C78" i="12" s="1"/>
  <c r="AA108" i="12" s="1"/>
  <c r="M37" i="12"/>
  <c r="N34" i="12"/>
  <c r="AC37" i="12"/>
  <c r="AA34" i="12"/>
  <c r="I36" i="12"/>
  <c r="E41" i="11"/>
  <c r="C7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Q102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AG87" i="12" l="1"/>
  <c r="Y80" i="12"/>
  <c r="I97" i="12"/>
  <c r="S82" i="12"/>
  <c r="AF92" i="12"/>
  <c r="BA3" i="12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P74" i="11"/>
  <c r="K69" i="11"/>
  <c r="G26" i="8" s="1"/>
  <c r="I41" i="12"/>
  <c r="Y41" i="12"/>
  <c r="M41" i="12"/>
  <c r="AK62" i="12"/>
  <c r="AG67" i="12"/>
  <c r="AA56" i="12"/>
  <c r="AF74" i="11"/>
  <c r="K56" i="12"/>
  <c r="U61" i="12"/>
  <c r="AG71" i="12"/>
  <c r="X49" i="11"/>
  <c r="T6" i="8" s="1"/>
  <c r="AG49" i="12"/>
  <c r="Q41" i="12"/>
  <c r="X73" i="11"/>
  <c r="J74" i="12"/>
  <c r="AG41" i="11"/>
  <c r="AA41" i="11"/>
  <c r="J41" i="11"/>
  <c r="N73" i="12"/>
  <c r="AG59" i="12"/>
  <c r="AG69" i="12"/>
  <c r="AG57" i="12"/>
  <c r="AG73" i="12"/>
  <c r="AG65" i="12"/>
  <c r="AG61" i="12"/>
  <c r="AE57" i="12"/>
  <c r="Z73" i="12"/>
  <c r="I66" i="12"/>
  <c r="H59" i="12"/>
  <c r="T59" i="12"/>
  <c r="AB41" i="12"/>
  <c r="AG63" i="12"/>
  <c r="P64" i="11"/>
  <c r="L21" i="8" s="1"/>
  <c r="P63" i="11"/>
  <c r="L20" i="8" s="1"/>
  <c r="P53" i="11"/>
  <c r="L10" i="8" s="1"/>
  <c r="P57" i="1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AL41" i="12"/>
  <c r="V61" i="12"/>
  <c r="AJ41" i="12"/>
  <c r="H71" i="11"/>
  <c r="D28" i="8" s="1"/>
  <c r="AF69" i="12"/>
  <c r="AB73" i="12"/>
  <c r="U56" i="12"/>
  <c r="W68" i="12"/>
  <c r="AJ67" i="12"/>
  <c r="J60" i="12"/>
  <c r="L41" i="12"/>
  <c r="F62" i="12"/>
  <c r="AI57" i="11"/>
  <c r="F41" i="11"/>
  <c r="O65" i="12"/>
  <c r="Q73" i="12"/>
  <c r="R59" i="12"/>
  <c r="AD57" i="11"/>
  <c r="X64" i="11"/>
  <c r="T21" i="8" s="1"/>
  <c r="AC60" i="12"/>
  <c r="AJ71" i="12"/>
  <c r="V66" i="12"/>
  <c r="X41" i="11"/>
  <c r="M51" i="11"/>
  <c r="I8" i="8" s="1"/>
  <c r="AJ57" i="12"/>
  <c r="T41" i="12"/>
  <c r="AD65" i="12"/>
  <c r="H71" i="12"/>
  <c r="AJ65" i="12"/>
  <c r="V59" i="12"/>
  <c r="AJ61" i="12"/>
  <c r="AJ69" i="12"/>
  <c r="L70" i="12"/>
  <c r="F56" i="11"/>
  <c r="AJ73" i="12"/>
  <c r="V63" i="12"/>
  <c r="AJ59" i="12"/>
  <c r="Q74" i="12"/>
  <c r="X69" i="11"/>
  <c r="T26" i="8" s="1"/>
  <c r="AI41" i="12"/>
  <c r="F56" i="12"/>
  <c r="G59" i="12"/>
  <c r="M56" i="12"/>
  <c r="AJ68" i="12"/>
  <c r="AA41" i="12"/>
  <c r="AJ63" i="12"/>
  <c r="AB61" i="12"/>
  <c r="AL71" i="12"/>
  <c r="J57" i="12"/>
  <c r="Q49" i="11"/>
  <c r="M6" i="8" s="1"/>
  <c r="P70" i="12"/>
  <c r="R69" i="12"/>
  <c r="L67" i="12"/>
  <c r="M65" i="12"/>
  <c r="G63" i="12"/>
  <c r="N57" i="12"/>
  <c r="L53" i="12"/>
  <c r="X69" i="12"/>
  <c r="AE59" i="12"/>
  <c r="H48" i="12"/>
  <c r="U73" i="12"/>
  <c r="I71" i="12"/>
  <c r="V69" i="12"/>
  <c r="U67" i="12"/>
  <c r="AK65" i="12"/>
  <c r="I63" i="12"/>
  <c r="K61" i="12"/>
  <c r="AB59" i="12"/>
  <c r="AG72" i="12"/>
  <c r="AG58" i="12"/>
  <c r="W73" i="12"/>
  <c r="K73" i="12"/>
  <c r="AK73" i="12"/>
  <c r="N67" i="12"/>
  <c r="AL65" i="12"/>
  <c r="AI61" i="12"/>
  <c r="J59" i="12"/>
  <c r="P41" i="12"/>
  <c r="AD57" i="12"/>
  <c r="W72" i="12"/>
  <c r="H58" i="12"/>
  <c r="K41" i="12"/>
  <c r="AD63" i="11"/>
  <c r="Z20" i="8" s="1"/>
  <c r="R67" i="11"/>
  <c r="N24" i="8" s="1"/>
  <c r="O55" i="12"/>
  <c r="L71" i="12"/>
  <c r="U69" i="12"/>
  <c r="H67" i="12"/>
  <c r="I65" i="12"/>
  <c r="W65" i="12"/>
  <c r="R63" i="12"/>
  <c r="F61" i="12"/>
  <c r="L64" i="12"/>
  <c r="AB60" i="12"/>
  <c r="G61" i="12"/>
  <c r="R73" i="12"/>
  <c r="AC69" i="12"/>
  <c r="I67" i="12"/>
  <c r="AF65" i="12"/>
  <c r="L63" i="12"/>
  <c r="AF61" i="12"/>
  <c r="AE41" i="12"/>
  <c r="N68" i="12"/>
  <c r="T66" i="12"/>
  <c r="AC47" i="12"/>
  <c r="R67" i="12"/>
  <c r="AB62" i="11"/>
  <c r="X19" i="8" s="1"/>
  <c r="Y74" i="12"/>
  <c r="V73" i="12"/>
  <c r="Z71" i="12"/>
  <c r="U71" i="12"/>
  <c r="K65" i="12"/>
  <c r="R70" i="12"/>
  <c r="G52" i="12"/>
  <c r="K69" i="12"/>
  <c r="I61" i="12"/>
  <c r="AC67" i="11"/>
  <c r="Y24" i="8" s="1"/>
  <c r="J47" i="11"/>
  <c r="K59" i="12"/>
  <c r="R71" i="12"/>
  <c r="Y69" i="12"/>
  <c r="J67" i="12"/>
  <c r="AI65" i="12"/>
  <c r="U63" i="12"/>
  <c r="U59" i="12"/>
  <c r="L61" i="12"/>
  <c r="AA59" i="12"/>
  <c r="AK74" i="12"/>
  <c r="AH58" i="12"/>
  <c r="AH41" i="12"/>
  <c r="AH53" i="12"/>
  <c r="AH51" i="12"/>
  <c r="AH55" i="12"/>
  <c r="AH52" i="12"/>
  <c r="AH62" i="12"/>
  <c r="AH47" i="12"/>
  <c r="AH49" i="12"/>
  <c r="AH48" i="12"/>
  <c r="AH66" i="12"/>
  <c r="AH70" i="12"/>
  <c r="AH46" i="12"/>
  <c r="AH54" i="12"/>
  <c r="AD73" i="12"/>
  <c r="X73" i="12"/>
  <c r="AH71" i="12"/>
  <c r="AD69" i="12"/>
  <c r="AD61" i="12"/>
  <c r="AH57" i="12"/>
  <c r="X59" i="12"/>
  <c r="S47" i="12"/>
  <c r="S51" i="12"/>
  <c r="S62" i="12"/>
  <c r="S49" i="12"/>
  <c r="S48" i="12"/>
  <c r="S64" i="12"/>
  <c r="S52" i="12"/>
  <c r="S55" i="12"/>
  <c r="S46" i="12"/>
  <c r="S60" i="12"/>
  <c r="S50" i="12"/>
  <c r="S58" i="12"/>
  <c r="S72" i="12"/>
  <c r="O74" i="12"/>
  <c r="AE64" i="12"/>
  <c r="AA63" i="11"/>
  <c r="W20" i="8" s="1"/>
  <c r="V64" i="11"/>
  <c r="R21" i="8" s="1"/>
  <c r="X59" i="11"/>
  <c r="T16" i="8" s="1"/>
  <c r="X54" i="11"/>
  <c r="T11" i="8" s="1"/>
  <c r="G57" i="12"/>
  <c r="AI59" i="12"/>
  <c r="Z50" i="12"/>
  <c r="Z58" i="12"/>
  <c r="Z41" i="12"/>
  <c r="Z53" i="12"/>
  <c r="Z68" i="12"/>
  <c r="Z72" i="12"/>
  <c r="Z51" i="12"/>
  <c r="Z55" i="12"/>
  <c r="Z74" i="12"/>
  <c r="Z62" i="12"/>
  <c r="Z47" i="12"/>
  <c r="Z49" i="12"/>
  <c r="Z48" i="12"/>
  <c r="Z52" i="12"/>
  <c r="Z64" i="12"/>
  <c r="Z66" i="12"/>
  <c r="Z70" i="12"/>
  <c r="AF52" i="12"/>
  <c r="AF56" i="12"/>
  <c r="AF47" i="12"/>
  <c r="AF51" i="12"/>
  <c r="AF55" i="12"/>
  <c r="AF54" i="12"/>
  <c r="AF60" i="12"/>
  <c r="AF70" i="12"/>
  <c r="AF74" i="12"/>
  <c r="AF49" i="12"/>
  <c r="AF53" i="12"/>
  <c r="AF48" i="12"/>
  <c r="AF58" i="12"/>
  <c r="AF66" i="12"/>
  <c r="AF68" i="12"/>
  <c r="AF46" i="12"/>
  <c r="AF62" i="12"/>
  <c r="AF72" i="12"/>
  <c r="O73" i="12"/>
  <c r="AL73" i="12"/>
  <c r="AF73" i="12"/>
  <c r="K71" i="12"/>
  <c r="S71" i="12"/>
  <c r="P71" i="12"/>
  <c r="T71" i="12"/>
  <c r="G69" i="12"/>
  <c r="O69" i="12"/>
  <c r="AL69" i="12"/>
  <c r="AK69" i="12"/>
  <c r="V67" i="12"/>
  <c r="P67" i="12"/>
  <c r="T67" i="12"/>
  <c r="J65" i="12"/>
  <c r="L65" i="12"/>
  <c r="F65" i="12"/>
  <c r="AE65" i="12"/>
  <c r="AC63" i="12"/>
  <c r="O63" i="12"/>
  <c r="Q63" i="12"/>
  <c r="T63" i="12"/>
  <c r="J61" i="12"/>
  <c r="M61" i="12"/>
  <c r="AL61" i="12"/>
  <c r="AC59" i="12"/>
  <c r="O59" i="12"/>
  <c r="I57" i="12"/>
  <c r="K57" i="12"/>
  <c r="V57" i="12"/>
  <c r="Z60" i="12"/>
  <c r="U60" i="12"/>
  <c r="H41" i="12"/>
  <c r="O57" i="12"/>
  <c r="W41" i="12"/>
  <c r="M60" i="12"/>
  <c r="K54" i="12"/>
  <c r="K55" i="12"/>
  <c r="K47" i="12"/>
  <c r="K62" i="12"/>
  <c r="K49" i="12"/>
  <c r="K53" i="12"/>
  <c r="K48" i="12"/>
  <c r="K64" i="12"/>
  <c r="K68" i="12"/>
  <c r="K46" i="12"/>
  <c r="K60" i="12"/>
  <c r="K66" i="12"/>
  <c r="K50" i="12"/>
  <c r="K52" i="12"/>
  <c r="K51" i="12"/>
  <c r="H74" i="12"/>
  <c r="AG74" i="12"/>
  <c r="AE74" i="12"/>
  <c r="T72" i="12"/>
  <c r="J72" i="12"/>
  <c r="AE72" i="12"/>
  <c r="AC70" i="12"/>
  <c r="K70" i="12"/>
  <c r="AK68" i="12"/>
  <c r="AE68" i="12"/>
  <c r="G66" i="12"/>
  <c r="H64" i="12"/>
  <c r="W60" i="12"/>
  <c r="AF59" i="12"/>
  <c r="P53" i="12"/>
  <c r="F49" i="12"/>
  <c r="O47" i="12"/>
  <c r="AI62" i="12"/>
  <c r="AE52" i="12"/>
  <c r="T48" i="12"/>
  <c r="N58" i="11"/>
  <c r="J15" i="8" s="1"/>
  <c r="AK67" i="11"/>
  <c r="AG24" i="8" s="1"/>
  <c r="AL41" i="11"/>
  <c r="X70" i="11"/>
  <c r="T27" i="8" s="1"/>
  <c r="X62" i="11"/>
  <c r="T19" i="8" s="1"/>
  <c r="AA63" i="12"/>
  <c r="Z56" i="12"/>
  <c r="K63" i="12"/>
  <c r="W57" i="12"/>
  <c r="R46" i="12"/>
  <c r="R54" i="12"/>
  <c r="R50" i="12"/>
  <c r="R58" i="12"/>
  <c r="R41" i="12"/>
  <c r="R53" i="12"/>
  <c r="R68" i="12"/>
  <c r="R72" i="12"/>
  <c r="R51" i="12"/>
  <c r="R55" i="12"/>
  <c r="R62" i="12"/>
  <c r="R47" i="12"/>
  <c r="R49" i="12"/>
  <c r="R48" i="12"/>
  <c r="R52" i="12"/>
  <c r="R64" i="12"/>
  <c r="X50" i="12"/>
  <c r="X52" i="12"/>
  <c r="X56" i="12"/>
  <c r="X47" i="12"/>
  <c r="X55" i="12"/>
  <c r="X68" i="12"/>
  <c r="X70" i="12"/>
  <c r="X74" i="12"/>
  <c r="X54" i="12"/>
  <c r="X51" i="12"/>
  <c r="X53" i="12"/>
  <c r="X60" i="12"/>
  <c r="X49" i="12"/>
  <c r="X48" i="12"/>
  <c r="X58" i="12"/>
  <c r="X64" i="12"/>
  <c r="X66" i="12"/>
  <c r="X72" i="12"/>
  <c r="AE73" i="12"/>
  <c r="G73" i="12"/>
  <c r="M73" i="12"/>
  <c r="I73" i="12"/>
  <c r="AA71" i="12"/>
  <c r="AI71" i="12"/>
  <c r="X71" i="12"/>
  <c r="AB71" i="12"/>
  <c r="W69" i="12"/>
  <c r="AE69" i="12"/>
  <c r="L69" i="12"/>
  <c r="H69" i="12"/>
  <c r="AD67" i="12"/>
  <c r="X67" i="12"/>
  <c r="Z67" i="12"/>
  <c r="AB67" i="12"/>
  <c r="R65" i="12"/>
  <c r="T65" i="12"/>
  <c r="N65" i="12"/>
  <c r="H65" i="12"/>
  <c r="AK63" i="12"/>
  <c r="W63" i="12"/>
  <c r="Y63" i="12"/>
  <c r="AB63" i="12"/>
  <c r="R61" i="12"/>
  <c r="H61" i="12"/>
  <c r="AK59" i="12"/>
  <c r="W59" i="12"/>
  <c r="Z59" i="12"/>
  <c r="Q57" i="12"/>
  <c r="S57" i="12"/>
  <c r="AK56" i="12"/>
  <c r="AH56" i="12"/>
  <c r="O41" i="12"/>
  <c r="S59" i="12"/>
  <c r="AL52" i="12"/>
  <c r="I74" i="12"/>
  <c r="T74" i="12"/>
  <c r="AK72" i="12"/>
  <c r="AH72" i="12"/>
  <c r="S70" i="12"/>
  <c r="Y68" i="12"/>
  <c r="H66" i="12"/>
  <c r="AF64" i="12"/>
  <c r="Y60" i="12"/>
  <c r="AG55" i="12"/>
  <c r="F53" i="12"/>
  <c r="AE49" i="12"/>
  <c r="Q47" i="12"/>
  <c r="AE54" i="12"/>
  <c r="L52" i="12"/>
  <c r="N48" i="12"/>
  <c r="X63" i="11"/>
  <c r="T20" i="8" s="1"/>
  <c r="X52" i="11"/>
  <c r="T9" i="8" s="1"/>
  <c r="AE61" i="12"/>
  <c r="W61" i="12"/>
  <c r="S56" i="12"/>
  <c r="J46" i="12"/>
  <c r="J52" i="12"/>
  <c r="J54" i="12"/>
  <c r="J51" i="12"/>
  <c r="J50" i="12"/>
  <c r="J58" i="12"/>
  <c r="J41" i="12"/>
  <c r="J53" i="12"/>
  <c r="J55" i="12"/>
  <c r="J62" i="12"/>
  <c r="J47" i="12"/>
  <c r="J49" i="12"/>
  <c r="J68" i="12"/>
  <c r="P46" i="12"/>
  <c r="P62" i="12"/>
  <c r="P50" i="12"/>
  <c r="P52" i="12"/>
  <c r="P56" i="12"/>
  <c r="P47" i="12"/>
  <c r="P54" i="12"/>
  <c r="P51" i="12"/>
  <c r="P60" i="12"/>
  <c r="P49" i="12"/>
  <c r="P48" i="12"/>
  <c r="P58" i="12"/>
  <c r="P55" i="12"/>
  <c r="P64" i="12"/>
  <c r="P68" i="12"/>
  <c r="N71" i="12"/>
  <c r="F71" i="12"/>
  <c r="AF71" i="12"/>
  <c r="J69" i="12"/>
  <c r="T69" i="12"/>
  <c r="P69" i="12"/>
  <c r="M67" i="12"/>
  <c r="AL67" i="12"/>
  <c r="AF67" i="12"/>
  <c r="AH67" i="12"/>
  <c r="Z65" i="12"/>
  <c r="AB65" i="12"/>
  <c r="V65" i="12"/>
  <c r="P65" i="12"/>
  <c r="F63" i="12"/>
  <c r="AE63" i="12"/>
  <c r="Z61" i="12"/>
  <c r="AC61" i="12"/>
  <c r="P61" i="12"/>
  <c r="F59" i="12"/>
  <c r="AH59" i="12"/>
  <c r="Y57" i="12"/>
  <c r="AA57" i="12"/>
  <c r="AL57" i="12"/>
  <c r="R56" i="12"/>
  <c r="T57" i="12"/>
  <c r="G41" i="12"/>
  <c r="M57" i="12"/>
  <c r="AD58" i="12"/>
  <c r="AD41" i="12"/>
  <c r="AD54" i="12"/>
  <c r="AD62" i="12"/>
  <c r="AD52" i="12"/>
  <c r="AD47" i="12"/>
  <c r="AD55" i="12"/>
  <c r="AD60" i="12"/>
  <c r="AD74" i="12"/>
  <c r="AD68" i="12"/>
  <c r="AD49" i="12"/>
  <c r="AD53" i="12"/>
  <c r="AD56" i="12"/>
  <c r="AD64" i="12"/>
  <c r="AD48" i="12"/>
  <c r="AD51" i="12"/>
  <c r="AD46" i="12"/>
  <c r="AD66" i="12"/>
  <c r="AD70" i="12"/>
  <c r="AJ58" i="12"/>
  <c r="AJ56" i="12"/>
  <c r="AJ54" i="12"/>
  <c r="AJ47" i="12"/>
  <c r="AJ72" i="12"/>
  <c r="AJ62" i="12"/>
  <c r="AJ49" i="12"/>
  <c r="AJ52" i="12"/>
  <c r="AJ64" i="12"/>
  <c r="AJ48" i="12"/>
  <c r="AJ53" i="12"/>
  <c r="AJ55" i="12"/>
  <c r="AJ46" i="12"/>
  <c r="AJ51" i="12"/>
  <c r="AJ60" i="12"/>
  <c r="AJ66" i="12"/>
  <c r="AJ70" i="12"/>
  <c r="AJ74" i="12"/>
  <c r="F74" i="12"/>
  <c r="R74" i="12"/>
  <c r="H72" i="12"/>
  <c r="K72" i="12"/>
  <c r="AG70" i="12"/>
  <c r="N70" i="12"/>
  <c r="M68" i="12"/>
  <c r="S66" i="12"/>
  <c r="P66" i="12"/>
  <c r="AG64" i="12"/>
  <c r="AC55" i="12"/>
  <c r="X62" i="12"/>
  <c r="S54" i="12"/>
  <c r="X46" i="12"/>
  <c r="O74" i="11"/>
  <c r="X68" i="11"/>
  <c r="T25" i="8" s="1"/>
  <c r="AA66" i="11"/>
  <c r="W23" i="8" s="1"/>
  <c r="S63" i="12"/>
  <c r="AH60" i="12"/>
  <c r="Y52" i="12"/>
  <c r="Y58" i="12"/>
  <c r="Y49" i="12"/>
  <c r="Y48" i="12"/>
  <c r="Y64" i="12"/>
  <c r="Y62" i="12"/>
  <c r="Y66" i="12"/>
  <c r="Y46" i="12"/>
  <c r="Y54" i="12"/>
  <c r="Y50" i="12"/>
  <c r="Y53" i="12"/>
  <c r="Y55" i="12"/>
  <c r="Y56" i="12"/>
  <c r="Y47" i="12"/>
  <c r="AE48" i="12"/>
  <c r="AE58" i="12"/>
  <c r="AE46" i="12"/>
  <c r="AE66" i="12"/>
  <c r="AE70" i="12"/>
  <c r="AE50" i="12"/>
  <c r="AE62" i="12"/>
  <c r="AE51" i="12"/>
  <c r="AE56" i="12"/>
  <c r="AE47" i="12"/>
  <c r="AE55" i="12"/>
  <c r="AE53" i="12"/>
  <c r="AE60" i="12"/>
  <c r="AK64" i="12"/>
  <c r="AK48" i="12"/>
  <c r="AK46" i="12"/>
  <c r="AK51" i="12"/>
  <c r="AK53" i="12"/>
  <c r="AK66" i="12"/>
  <c r="AK50" i="12"/>
  <c r="AK52" i="12"/>
  <c r="AK58" i="12"/>
  <c r="AK41" i="12"/>
  <c r="AK54" i="12"/>
  <c r="AK47" i="12"/>
  <c r="AK55" i="12"/>
  <c r="H53" i="12"/>
  <c r="H46" i="12"/>
  <c r="H62" i="12"/>
  <c r="H50" i="12"/>
  <c r="H52" i="12"/>
  <c r="H56" i="12"/>
  <c r="H47" i="12"/>
  <c r="H55" i="12"/>
  <c r="H54" i="12"/>
  <c r="H51" i="12"/>
  <c r="H60" i="12"/>
  <c r="H49" i="12"/>
  <c r="AH73" i="12"/>
  <c r="J73" i="12"/>
  <c r="AC73" i="12"/>
  <c r="Y73" i="12"/>
  <c r="AD71" i="12"/>
  <c r="V71" i="12"/>
  <c r="M71" i="12"/>
  <c r="Z69" i="12"/>
  <c r="AH69" i="12"/>
  <c r="AB69" i="12"/>
  <c r="G67" i="12"/>
  <c r="K67" i="12"/>
  <c r="AH65" i="12"/>
  <c r="X65" i="12"/>
  <c r="N63" i="12"/>
  <c r="H63" i="12"/>
  <c r="J63" i="12"/>
  <c r="AH61" i="12"/>
  <c r="AK61" i="12"/>
  <c r="X61" i="12"/>
  <c r="N59" i="12"/>
  <c r="I59" i="12"/>
  <c r="L59" i="12"/>
  <c r="AI57" i="12"/>
  <c r="H57" i="12"/>
  <c r="AI56" i="12"/>
  <c r="AC56" i="12"/>
  <c r="V50" i="12"/>
  <c r="V54" i="12"/>
  <c r="V58" i="12"/>
  <c r="V41" i="12"/>
  <c r="V72" i="12"/>
  <c r="V62" i="12"/>
  <c r="V47" i="12"/>
  <c r="V55" i="12"/>
  <c r="V60" i="12"/>
  <c r="V52" i="12"/>
  <c r="V49" i="12"/>
  <c r="V53" i="12"/>
  <c r="V56" i="12"/>
  <c r="V64" i="12"/>
  <c r="V48" i="12"/>
  <c r="V51" i="12"/>
  <c r="AB50" i="12"/>
  <c r="AB58" i="12"/>
  <c r="AB56" i="12"/>
  <c r="AB54" i="12"/>
  <c r="AB72" i="12"/>
  <c r="AB47" i="12"/>
  <c r="AB62" i="12"/>
  <c r="AB49" i="12"/>
  <c r="AB52" i="12"/>
  <c r="AB64" i="12"/>
  <c r="AB48" i="12"/>
  <c r="AB53" i="12"/>
  <c r="AB55" i="12"/>
  <c r="AB68" i="12"/>
  <c r="AB70" i="12"/>
  <c r="AB74" i="12"/>
  <c r="L74" i="12"/>
  <c r="N74" i="12"/>
  <c r="AH74" i="12"/>
  <c r="Y72" i="12"/>
  <c r="AI72" i="12"/>
  <c r="T70" i="12"/>
  <c r="V70" i="12"/>
  <c r="G68" i="12"/>
  <c r="J64" i="12"/>
  <c r="AC51" i="12"/>
  <c r="AI49" i="12"/>
  <c r="AF50" i="12"/>
  <c r="J48" i="12"/>
  <c r="Z46" i="12"/>
  <c r="X67" i="11"/>
  <c r="T24" i="8" s="1"/>
  <c r="X65" i="11"/>
  <c r="T22" i="8" s="1"/>
  <c r="S41" i="11"/>
  <c r="Y59" i="11"/>
  <c r="U16" i="8" s="1"/>
  <c r="P59" i="12"/>
  <c r="S41" i="12"/>
  <c r="Q51" i="12"/>
  <c r="Q60" i="12"/>
  <c r="Q49" i="12"/>
  <c r="Q70" i="12"/>
  <c r="Q48" i="12"/>
  <c r="Q52" i="12"/>
  <c r="Q54" i="12"/>
  <c r="Q58" i="12"/>
  <c r="Q53" i="12"/>
  <c r="Q64" i="12"/>
  <c r="Q66" i="12"/>
  <c r="Q46" i="12"/>
  <c r="Q62" i="12"/>
  <c r="Q55" i="12"/>
  <c r="Q50" i="12"/>
  <c r="Q72" i="12"/>
  <c r="Q56" i="12"/>
  <c r="W49" i="12"/>
  <c r="W48" i="12"/>
  <c r="W58" i="12"/>
  <c r="W64" i="12"/>
  <c r="W46" i="12"/>
  <c r="W66" i="12"/>
  <c r="W70" i="12"/>
  <c r="W50" i="12"/>
  <c r="W52" i="12"/>
  <c r="W62" i="12"/>
  <c r="W54" i="12"/>
  <c r="W56" i="12"/>
  <c r="W47" i="12"/>
  <c r="W53" i="12"/>
  <c r="W55" i="12"/>
  <c r="W74" i="12"/>
  <c r="AC62" i="12"/>
  <c r="AC49" i="12"/>
  <c r="AC53" i="12"/>
  <c r="AC64" i="12"/>
  <c r="AC48" i="12"/>
  <c r="AC46" i="12"/>
  <c r="AC66" i="12"/>
  <c r="AC68" i="12"/>
  <c r="AC50" i="12"/>
  <c r="AC52" i="12"/>
  <c r="AC58" i="12"/>
  <c r="AC41" i="12"/>
  <c r="S73" i="12"/>
  <c r="O71" i="12"/>
  <c r="Q71" i="12"/>
  <c r="S69" i="12"/>
  <c r="AC67" i="12"/>
  <c r="O67" i="12"/>
  <c r="Q67" i="12"/>
  <c r="S67" i="12"/>
  <c r="P63" i="12"/>
  <c r="Q59" i="12"/>
  <c r="AC57" i="12"/>
  <c r="P57" i="12"/>
  <c r="J56" i="12"/>
  <c r="N46" i="12"/>
  <c r="N50" i="12"/>
  <c r="N52" i="12"/>
  <c r="N41" i="12"/>
  <c r="N72" i="12"/>
  <c r="N58" i="12"/>
  <c r="N47" i="12"/>
  <c r="N51" i="12"/>
  <c r="N55" i="12"/>
  <c r="N60" i="12"/>
  <c r="N62" i="12"/>
  <c r="N54" i="12"/>
  <c r="N49" i="12"/>
  <c r="N53" i="12"/>
  <c r="N56" i="12"/>
  <c r="N64" i="12"/>
  <c r="T46" i="12"/>
  <c r="T60" i="12"/>
  <c r="T50" i="12"/>
  <c r="T58" i="12"/>
  <c r="T56" i="12"/>
  <c r="T54" i="12"/>
  <c r="T47" i="12"/>
  <c r="T53" i="12"/>
  <c r="T62" i="12"/>
  <c r="T49" i="12"/>
  <c r="T51" i="12"/>
  <c r="T52" i="12"/>
  <c r="T64" i="12"/>
  <c r="M74" i="12"/>
  <c r="V74" i="12"/>
  <c r="K74" i="12"/>
  <c r="L72" i="12"/>
  <c r="F72" i="12"/>
  <c r="AK70" i="12"/>
  <c r="G70" i="12"/>
  <c r="H68" i="12"/>
  <c r="AH68" i="12"/>
  <c r="AB66" i="12"/>
  <c r="J66" i="12"/>
  <c r="AH64" i="12"/>
  <c r="G56" i="12"/>
  <c r="T55" i="12"/>
  <c r="W51" i="12"/>
  <c r="AK49" i="12"/>
  <c r="Z54" i="12"/>
  <c r="AH50" i="12"/>
  <c r="AB46" i="12"/>
  <c r="X57" i="11"/>
  <c r="X53" i="11"/>
  <c r="T10" i="8" s="1"/>
  <c r="X60" i="11"/>
  <c r="T17" i="8" s="1"/>
  <c r="X66" i="11"/>
  <c r="T23" i="8" s="1"/>
  <c r="X58" i="11"/>
  <c r="T15" i="8" s="1"/>
  <c r="AK60" i="12"/>
  <c r="AB57" i="12"/>
  <c r="I47" i="12"/>
  <c r="I51" i="12"/>
  <c r="I60" i="12"/>
  <c r="I68" i="12"/>
  <c r="I70" i="12"/>
  <c r="I54" i="12"/>
  <c r="I49" i="12"/>
  <c r="I55" i="12"/>
  <c r="I48" i="12"/>
  <c r="I64" i="12"/>
  <c r="I52" i="12"/>
  <c r="I58" i="12"/>
  <c r="I46" i="12"/>
  <c r="I53" i="12"/>
  <c r="I72" i="12"/>
  <c r="I50" i="12"/>
  <c r="I62" i="12"/>
  <c r="O51" i="12"/>
  <c r="O61" i="12"/>
  <c r="O60" i="12"/>
  <c r="O49" i="12"/>
  <c r="O53" i="12"/>
  <c r="O68" i="12"/>
  <c r="O48" i="12"/>
  <c r="O58" i="12"/>
  <c r="O64" i="12"/>
  <c r="O46" i="12"/>
  <c r="O66" i="12"/>
  <c r="O50" i="12"/>
  <c r="O54" i="12"/>
  <c r="O62" i="12"/>
  <c r="O72" i="12"/>
  <c r="O52" i="12"/>
  <c r="O56" i="12"/>
  <c r="U52" i="12"/>
  <c r="U54" i="12"/>
  <c r="U47" i="12"/>
  <c r="U55" i="12"/>
  <c r="U62" i="12"/>
  <c r="U49" i="12"/>
  <c r="U53" i="12"/>
  <c r="U72" i="12"/>
  <c r="U51" i="12"/>
  <c r="U64" i="12"/>
  <c r="U48" i="12"/>
  <c r="U46" i="12"/>
  <c r="U50" i="12"/>
  <c r="U68" i="12"/>
  <c r="U70" i="12"/>
  <c r="U58" i="12"/>
  <c r="U41" i="12"/>
  <c r="U57" i="12"/>
  <c r="AA73" i="12"/>
  <c r="AI73" i="12"/>
  <c r="L73" i="12"/>
  <c r="H73" i="12"/>
  <c r="AE71" i="12"/>
  <c r="G71" i="12"/>
  <c r="Y71" i="12"/>
  <c r="AC71" i="12"/>
  <c r="AA69" i="12"/>
  <c r="AI69" i="12"/>
  <c r="M69" i="12"/>
  <c r="I69" i="12"/>
  <c r="AK67" i="12"/>
  <c r="W67" i="12"/>
  <c r="Y67" i="12"/>
  <c r="AA67" i="12"/>
  <c r="Q65" i="12"/>
  <c r="S65" i="12"/>
  <c r="U65" i="12"/>
  <c r="G65" i="12"/>
  <c r="AD63" i="12"/>
  <c r="X63" i="12"/>
  <c r="Z63" i="12"/>
  <c r="Q61" i="12"/>
  <c r="S61" i="12"/>
  <c r="N61" i="12"/>
  <c r="AD59" i="12"/>
  <c r="Y59" i="12"/>
  <c r="R57" i="12"/>
  <c r="AK57" i="12"/>
  <c r="X57" i="12"/>
  <c r="AI48" i="12"/>
  <c r="F48" i="12"/>
  <c r="L48" i="12"/>
  <c r="AC74" i="12"/>
  <c r="AL74" i="12"/>
  <c r="S74" i="12"/>
  <c r="AC72" i="12"/>
  <c r="AD72" i="12"/>
  <c r="H70" i="12"/>
  <c r="O70" i="12"/>
  <c r="Q68" i="12"/>
  <c r="S68" i="12"/>
  <c r="U66" i="12"/>
  <c r="R66" i="12"/>
  <c r="I56" i="12"/>
  <c r="Y51" i="12"/>
  <c r="K58" i="12"/>
  <c r="AJ50" i="12"/>
  <c r="V46" i="12"/>
  <c r="X74" i="11"/>
  <c r="X61" i="11"/>
  <c r="T18" i="8" s="1"/>
  <c r="L57" i="12"/>
  <c r="T61" i="12"/>
  <c r="G47" i="12"/>
  <c r="G55" i="12"/>
  <c r="G51" i="12"/>
  <c r="G60" i="12"/>
  <c r="G49" i="12"/>
  <c r="G48" i="12"/>
  <c r="G58" i="12"/>
  <c r="G53" i="12"/>
  <c r="G64" i="12"/>
  <c r="G46" i="12"/>
  <c r="G54" i="12"/>
  <c r="G50" i="12"/>
  <c r="G62" i="12"/>
  <c r="G72" i="12"/>
  <c r="M54" i="12"/>
  <c r="M51" i="12"/>
  <c r="M47" i="12"/>
  <c r="M55" i="12"/>
  <c r="M72" i="12"/>
  <c r="M62" i="12"/>
  <c r="M49" i="12"/>
  <c r="M64" i="12"/>
  <c r="M48" i="12"/>
  <c r="M52" i="12"/>
  <c r="M53" i="12"/>
  <c r="M46" i="12"/>
  <c r="M66" i="12"/>
  <c r="M70" i="12"/>
  <c r="M50" i="12"/>
  <c r="F73" i="12"/>
  <c r="T73" i="12"/>
  <c r="P73" i="12"/>
  <c r="J71" i="12"/>
  <c r="W71" i="12"/>
  <c r="AK71" i="12"/>
  <c r="N69" i="12"/>
  <c r="F69" i="12"/>
  <c r="Q69" i="12"/>
  <c r="F67" i="12"/>
  <c r="AE67" i="12"/>
  <c r="AI67" i="12"/>
  <c r="Y65" i="12"/>
  <c r="AA65" i="12"/>
  <c r="AC65" i="12"/>
  <c r="M63" i="12"/>
  <c r="AL63" i="12"/>
  <c r="AF63" i="12"/>
  <c r="AH63" i="12"/>
  <c r="Y61" i="12"/>
  <c r="AA61" i="12"/>
  <c r="M59" i="12"/>
  <c r="AL59" i="12"/>
  <c r="Z57" i="12"/>
  <c r="F57" i="12"/>
  <c r="AF57" i="12"/>
  <c r="X41" i="12"/>
  <c r="R60" i="12"/>
  <c r="AA62" i="12"/>
  <c r="AA49" i="12"/>
  <c r="AA53" i="12"/>
  <c r="AA48" i="12"/>
  <c r="AA52" i="12"/>
  <c r="AA64" i="12"/>
  <c r="AA70" i="12"/>
  <c r="AA46" i="12"/>
  <c r="AA51" i="12"/>
  <c r="AA55" i="12"/>
  <c r="AA60" i="12"/>
  <c r="AA66" i="12"/>
  <c r="AA50" i="12"/>
  <c r="AA58" i="12"/>
  <c r="AA72" i="12"/>
  <c r="AA54" i="12"/>
  <c r="AA68" i="12"/>
  <c r="AA74" i="12"/>
  <c r="AG48" i="12"/>
  <c r="AG62" i="12"/>
  <c r="AG66" i="12"/>
  <c r="AG46" i="12"/>
  <c r="AG68" i="12"/>
  <c r="AG50" i="12"/>
  <c r="AG52" i="12"/>
  <c r="AG41" i="12"/>
  <c r="AG53" i="12"/>
  <c r="AG56" i="12"/>
  <c r="AG54" i="12"/>
  <c r="AG47" i="12"/>
  <c r="AG51" i="12"/>
  <c r="AG60" i="12"/>
  <c r="U74" i="12"/>
  <c r="P74" i="12"/>
  <c r="G74" i="12"/>
  <c r="AI74" i="12"/>
  <c r="P72" i="12"/>
  <c r="AL72" i="12"/>
  <c r="Y70" i="12"/>
  <c r="J70" i="12"/>
  <c r="T68" i="12"/>
  <c r="V68" i="12"/>
  <c r="N66" i="12"/>
  <c r="F64" i="12"/>
  <c r="S53" i="12"/>
  <c r="AB51" i="12"/>
  <c r="AA47" i="12"/>
  <c r="M58" i="12"/>
  <c r="AI52" i="12"/>
  <c r="AD50" i="12"/>
  <c r="L49" i="12"/>
  <c r="AI47" i="12"/>
  <c r="L62" i="12"/>
  <c r="AL62" i="12"/>
  <c r="F58" i="12"/>
  <c r="F54" i="12"/>
  <c r="AL50" i="12"/>
  <c r="AL70" i="12"/>
  <c r="F68" i="12"/>
  <c r="AI68" i="12"/>
  <c r="AL66" i="12"/>
  <c r="F60" i="12"/>
  <c r="AI55" i="12"/>
  <c r="F55" i="12"/>
  <c r="F51" i="12"/>
  <c r="L47" i="12"/>
  <c r="F47" i="12"/>
  <c r="AL58" i="12"/>
  <c r="AI54" i="12"/>
  <c r="AL46" i="12"/>
  <c r="AL51" i="12"/>
  <c r="AI58" i="12"/>
  <c r="L54" i="12"/>
  <c r="AL48" i="12"/>
  <c r="AL64" i="12"/>
  <c r="L56" i="12"/>
  <c r="AL56" i="12"/>
  <c r="AL53" i="12"/>
  <c r="L51" i="12"/>
  <c r="AL49" i="12"/>
  <c r="F41" i="12"/>
  <c r="L58" i="12"/>
  <c r="AL54" i="12"/>
  <c r="F52" i="12"/>
  <c r="AI50" i="12"/>
  <c r="AL68" i="12"/>
  <c r="AI66" i="12"/>
  <c r="AI60" i="12"/>
  <c r="AI51" i="12"/>
  <c r="L50" i="12"/>
  <c r="F50" i="12"/>
  <c r="AI46" i="12"/>
  <c r="F70" i="12"/>
  <c r="AI70" i="12"/>
  <c r="L68" i="12"/>
  <c r="L66" i="12"/>
  <c r="F66" i="12"/>
  <c r="L60" i="12"/>
  <c r="AL60" i="12"/>
  <c r="AI63" i="12"/>
  <c r="AL55" i="12"/>
  <c r="AL47" i="12"/>
  <c r="L46" i="12"/>
  <c r="F46" i="12"/>
  <c r="AI64" i="12"/>
  <c r="L55" i="12"/>
  <c r="AI53" i="12"/>
  <c r="T41" i="11"/>
  <c r="V63" i="11"/>
  <c r="R20" i="8" s="1"/>
  <c r="L57" i="1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AB55" i="11"/>
  <c r="X12" i="8" s="1"/>
  <c r="Z72" i="11"/>
  <c r="AH63" i="11"/>
  <c r="AD20" i="8" s="1"/>
  <c r="J57" i="11"/>
  <c r="AH54" i="11"/>
  <c r="AD11" i="8" s="1"/>
  <c r="J63" i="11"/>
  <c r="F20" i="8" s="1"/>
  <c r="AH49" i="11"/>
  <c r="AD6" i="8" s="1"/>
  <c r="AH67" i="11"/>
  <c r="AD24" i="8" s="1"/>
  <c r="AA57" i="1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K57" i="1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W41" i="11"/>
  <c r="AF69" i="11"/>
  <c r="AB26" i="8" s="1"/>
  <c r="AJ57" i="1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AA67" i="11"/>
  <c r="W24" i="8" s="1"/>
  <c r="K59" i="11"/>
  <c r="G16" i="8" s="1"/>
  <c r="G41" i="11"/>
  <c r="M64" i="11"/>
  <c r="I21" i="8" s="1"/>
  <c r="Y57" i="1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R47" i="1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O50" i="11"/>
  <c r="K7" i="8" s="1"/>
  <c r="O72" i="11"/>
  <c r="O63" i="11"/>
  <c r="K20" i="8" s="1"/>
  <c r="O64" i="11"/>
  <c r="K21" i="8" s="1"/>
  <c r="O57" i="11"/>
  <c r="O48" i="11"/>
  <c r="K5" i="8" s="1"/>
  <c r="O71" i="11"/>
  <c r="K28" i="8" s="1"/>
  <c r="O47" i="1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F49" i="11"/>
  <c r="B6" i="8" s="1"/>
  <c r="F69" i="11"/>
  <c r="B26" i="8" s="1"/>
  <c r="J69" i="11"/>
  <c r="F26" i="8" s="1"/>
  <c r="Z57" i="11"/>
  <c r="M57" i="11"/>
  <c r="AE57" i="1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C57" i="11"/>
  <c r="AB47" i="1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N56" i="11"/>
  <c r="N71" i="11"/>
  <c r="J28" i="8" s="1"/>
  <c r="N68" i="11"/>
  <c r="J25" i="8" s="1"/>
  <c r="N72" i="11"/>
  <c r="N46" i="11"/>
  <c r="N47" i="1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L69" i="11"/>
  <c r="H26" i="8" s="1"/>
  <c r="V69" i="11"/>
  <c r="R26" i="8" s="1"/>
  <c r="AH69" i="11"/>
  <c r="AD26" i="8" s="1"/>
  <c r="AL57" i="1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H57" i="1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U47" i="1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L41" i="11"/>
  <c r="AG61" i="11"/>
  <c r="AC18" i="8" s="1"/>
  <c r="AG62" i="11"/>
  <c r="AC19" i="8" s="1"/>
  <c r="AG60" i="11"/>
  <c r="AC17" i="8" s="1"/>
  <c r="AG69" i="11"/>
  <c r="AC26" i="8" s="1"/>
  <c r="AG47" i="1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V57" i="1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Q47" i="1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G57" i="1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L50" i="11"/>
  <c r="H7" i="8" s="1"/>
  <c r="U74" i="11"/>
  <c r="S69" i="11"/>
  <c r="O26" i="8" s="1"/>
  <c r="T57" i="1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I73" i="11"/>
  <c r="Z53" i="11"/>
  <c r="V10" i="8" s="1"/>
  <c r="S71" i="11"/>
  <c r="O28" i="8" s="1"/>
  <c r="X47" i="1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C14" i="8" l="1"/>
  <c r="G114" i="11"/>
  <c r="D14" i="8"/>
  <c r="H114" i="11"/>
  <c r="AB4" i="8"/>
  <c r="AF115" i="11"/>
  <c r="AC14" i="8"/>
  <c r="AG114" i="11"/>
  <c r="AG4" i="8"/>
  <c r="AK115" i="11"/>
  <c r="W14" i="8"/>
  <c r="AA114" i="11"/>
  <c r="AH4" i="8"/>
  <c r="AL115" i="11"/>
  <c r="AH14" i="8"/>
  <c r="AL114" i="11"/>
  <c r="AA14" i="8"/>
  <c r="AE114" i="11"/>
  <c r="O4" i="8"/>
  <c r="S115" i="11"/>
  <c r="I4" i="8"/>
  <c r="M115" i="11"/>
  <c r="Z14" i="8"/>
  <c r="AD114" i="11"/>
  <c r="W4" i="8"/>
  <c r="AA115" i="11"/>
  <c r="J4" i="8"/>
  <c r="N115" i="11"/>
  <c r="R4" i="8"/>
  <c r="V115" i="11"/>
  <c r="D4" i="8"/>
  <c r="H115" i="11"/>
  <c r="I14" i="8"/>
  <c r="M114" i="11"/>
  <c r="K4" i="8"/>
  <c r="O115" i="11"/>
  <c r="P4" i="8"/>
  <c r="T115" i="11"/>
  <c r="AF14" i="8"/>
  <c r="AJ114" i="11"/>
  <c r="AD4" i="8"/>
  <c r="AH115" i="11"/>
  <c r="P14" i="8"/>
  <c r="T114" i="11"/>
  <c r="Q14" i="8"/>
  <c r="U114" i="11"/>
  <c r="X14" i="8"/>
  <c r="AB114" i="11"/>
  <c r="AE4" i="8"/>
  <c r="AI115" i="11"/>
  <c r="V4" i="8"/>
  <c r="Z115" i="11"/>
  <c r="AB14" i="8"/>
  <c r="AF114" i="11"/>
  <c r="M4" i="8"/>
  <c r="Q115" i="11"/>
  <c r="E4" i="8"/>
  <c r="I115" i="11"/>
  <c r="C4" i="8"/>
  <c r="G115" i="11"/>
  <c r="V14" i="8"/>
  <c r="Z114" i="11"/>
  <c r="L4" i="8"/>
  <c r="P115" i="11"/>
  <c r="L14" i="8"/>
  <c r="P114" i="11"/>
  <c r="T4" i="8"/>
  <c r="X115" i="11"/>
  <c r="Y4" i="8"/>
  <c r="AC115" i="11"/>
  <c r="H4" i="8"/>
  <c r="L115" i="11"/>
  <c r="AA4" i="8"/>
  <c r="AE115" i="11"/>
  <c r="J14" i="8"/>
  <c r="N114" i="11"/>
  <c r="X4" i="8"/>
  <c r="AB115" i="11"/>
  <c r="U14" i="8"/>
  <c r="Y114" i="11"/>
  <c r="R14" i="8"/>
  <c r="V114" i="11"/>
  <c r="AC4" i="8"/>
  <c r="AG115" i="11"/>
  <c r="S4" i="8"/>
  <c r="W115" i="11"/>
  <c r="Z4" i="8"/>
  <c r="AD115" i="11"/>
  <c r="Y14" i="8"/>
  <c r="AC114" i="11"/>
  <c r="K14" i="8"/>
  <c r="O114" i="11"/>
  <c r="N4" i="8"/>
  <c r="R115" i="11"/>
  <c r="S14" i="8"/>
  <c r="W114" i="11"/>
  <c r="U4" i="8"/>
  <c r="Y115" i="11"/>
  <c r="F14" i="8"/>
  <c r="J114" i="11"/>
  <c r="T14" i="8"/>
  <c r="X114" i="11"/>
  <c r="F4" i="8"/>
  <c r="J115" i="11"/>
  <c r="AG14" i="8"/>
  <c r="AK114" i="11"/>
  <c r="G4" i="8"/>
  <c r="K115" i="11"/>
  <c r="O14" i="8"/>
  <c r="S114" i="11"/>
  <c r="E14" i="8"/>
  <c r="I114" i="11"/>
  <c r="Q4" i="8"/>
  <c r="U115" i="11"/>
  <c r="M14" i="8"/>
  <c r="Q114" i="11"/>
  <c r="AF4" i="8"/>
  <c r="AJ115" i="11"/>
  <c r="AD14" i="8"/>
  <c r="AH114" i="11"/>
  <c r="N14" i="8"/>
  <c r="R114" i="11"/>
  <c r="G14" i="8"/>
  <c r="K114" i="11"/>
  <c r="H14" i="8"/>
  <c r="L114" i="11"/>
  <c r="AE14" i="8"/>
  <c r="AI114" i="11"/>
  <c r="B4" i="8"/>
  <c r="F115" i="11"/>
  <c r="F116" i="11" s="1"/>
  <c r="B14" i="8"/>
  <c r="F114" i="11"/>
  <c r="AA13" i="8"/>
  <c r="AH3" i="8"/>
  <c r="Q13" i="8"/>
  <c r="E3" i="8"/>
  <c r="H3" i="8"/>
  <c r="AD3" i="8"/>
  <c r="X3" i="8"/>
  <c r="P3" i="8"/>
  <c r="X13" i="8"/>
  <c r="S3" i="8"/>
  <c r="F3" i="8"/>
  <c r="P13" i="8"/>
  <c r="AE3" i="8"/>
  <c r="W13" i="8"/>
  <c r="K13" i="8"/>
  <c r="Y3" i="8"/>
  <c r="L13" i="8"/>
  <c r="C13" i="8"/>
  <c r="Z3" i="8"/>
  <c r="AD13" i="8"/>
  <c r="V13" i="8"/>
  <c r="Q3" i="8"/>
  <c r="M13" i="8"/>
  <c r="AA3" i="8"/>
  <c r="AH13" i="8"/>
  <c r="AB3" i="8"/>
  <c r="S13" i="8"/>
  <c r="J13" i="8"/>
  <c r="D3" i="8"/>
  <c r="T3" i="8"/>
  <c r="T13" i="8"/>
  <c r="AG13" i="8"/>
  <c r="I3" i="8"/>
  <c r="I13" i="8"/>
  <c r="R3" i="8"/>
  <c r="U13" i="8"/>
  <c r="Z13" i="8"/>
  <c r="Y13" i="8"/>
  <c r="K3" i="8"/>
  <c r="AF3" i="8"/>
  <c r="O3" i="8"/>
  <c r="G3" i="8"/>
  <c r="F13" i="8"/>
  <c r="AE13" i="8"/>
  <c r="C3" i="8"/>
  <c r="N13" i="8"/>
  <c r="AF13" i="8"/>
  <c r="AC13" i="8"/>
  <c r="E13" i="8"/>
  <c r="AG3" i="8"/>
  <c r="M3" i="8"/>
  <c r="D13" i="8"/>
  <c r="L3" i="8"/>
  <c r="R13" i="8"/>
  <c r="O13" i="8"/>
  <c r="AC3" i="8"/>
  <c r="W3" i="8"/>
  <c r="AB13" i="8"/>
  <c r="H13" i="8"/>
  <c r="G13" i="8"/>
  <c r="N3" i="8"/>
  <c r="J3" i="8"/>
  <c r="U3" i="8"/>
  <c r="V3" i="8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J116" i="11" l="1"/>
  <c r="J118" i="11" s="1"/>
  <c r="J117" i="11"/>
  <c r="AD116" i="11"/>
  <c r="AD118" i="11" s="1"/>
  <c r="AD117" i="11"/>
  <c r="L116" i="11"/>
  <c r="L118" i="11" s="1"/>
  <c r="L117" i="11"/>
  <c r="P116" i="11"/>
  <c r="P118" i="11" s="1"/>
  <c r="P117" i="11"/>
  <c r="Q116" i="11"/>
  <c r="Q118" i="11" s="1"/>
  <c r="Q117" i="11"/>
  <c r="H116" i="11"/>
  <c r="H118" i="11" s="1"/>
  <c r="H117" i="11"/>
  <c r="R116" i="11"/>
  <c r="R118" i="11" s="1"/>
  <c r="R117" i="11"/>
  <c r="W116" i="11"/>
  <c r="W118" i="11" s="1"/>
  <c r="W117" i="11"/>
  <c r="AB116" i="11"/>
  <c r="AB118" i="11" s="1"/>
  <c r="AB117" i="11"/>
  <c r="AC117" i="11"/>
  <c r="AC116" i="11"/>
  <c r="AC118" i="11" s="1"/>
  <c r="T116" i="11"/>
  <c r="T118" i="11" s="1"/>
  <c r="T117" i="11"/>
  <c r="V116" i="11"/>
  <c r="V118" i="11" s="1"/>
  <c r="V117" i="11"/>
  <c r="M117" i="11"/>
  <c r="M116" i="11"/>
  <c r="M118" i="11" s="1"/>
  <c r="AL117" i="11"/>
  <c r="AL116" i="11"/>
  <c r="AL118" i="11" s="1"/>
  <c r="AF116" i="11"/>
  <c r="AF118" i="11" s="1"/>
  <c r="AF117" i="11"/>
  <c r="AJ116" i="11"/>
  <c r="AJ118" i="11" s="1"/>
  <c r="AJ117" i="11"/>
  <c r="K116" i="11"/>
  <c r="K118" i="11" s="1"/>
  <c r="K117" i="11"/>
  <c r="AG116" i="11"/>
  <c r="AG118" i="11" s="1"/>
  <c r="AG117" i="11"/>
  <c r="X116" i="11"/>
  <c r="X118" i="11" s="1"/>
  <c r="X117" i="11"/>
  <c r="G116" i="11"/>
  <c r="G118" i="11" s="1"/>
  <c r="G117" i="11"/>
  <c r="Z116" i="11"/>
  <c r="Z118" i="11" s="1"/>
  <c r="Z117" i="11"/>
  <c r="O116" i="11"/>
  <c r="O118" i="11" s="1"/>
  <c r="O117" i="11"/>
  <c r="N116" i="11"/>
  <c r="N118" i="11" s="1"/>
  <c r="N117" i="11"/>
  <c r="S116" i="11"/>
  <c r="S118" i="11" s="1"/>
  <c r="S117" i="11"/>
  <c r="U117" i="11"/>
  <c r="U116" i="11"/>
  <c r="U118" i="11" s="1"/>
  <c r="Y116" i="11"/>
  <c r="Y118" i="11" s="1"/>
  <c r="Y117" i="11"/>
  <c r="AE116" i="11"/>
  <c r="AE118" i="11" s="1"/>
  <c r="AE117" i="11"/>
  <c r="I116" i="11"/>
  <c r="I118" i="11" s="1"/>
  <c r="I117" i="11"/>
  <c r="AI116" i="11"/>
  <c r="AI118" i="11" s="1"/>
  <c r="AI117" i="11"/>
  <c r="AH116" i="11"/>
  <c r="AH118" i="11" s="1"/>
  <c r="AH117" i="11"/>
  <c r="AA116" i="11"/>
  <c r="AA118" i="11" s="1"/>
  <c r="AA117" i="11"/>
  <c r="AK116" i="11"/>
  <c r="AK118" i="11" s="1"/>
  <c r="AK117" i="11"/>
  <c r="AE117" i="12"/>
  <c r="J117" i="12"/>
  <c r="I117" i="12"/>
  <c r="V117" i="12"/>
  <c r="AI117" i="12"/>
  <c r="Y117" i="12"/>
  <c r="G117" i="12"/>
  <c r="AD117" i="12"/>
  <c r="P117" i="12"/>
  <c r="L117" i="12"/>
  <c r="N117" i="12"/>
  <c r="O117" i="12"/>
  <c r="AK117" i="12"/>
  <c r="H117" i="12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7" i="11"/>
  <c r="F118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F45" i="4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X52" i="4"/>
  <c r="AF52" i="4"/>
  <c r="AJ52" i="4"/>
  <c r="Y52" i="4"/>
  <c r="V52" i="4"/>
  <c r="AB52" i="4"/>
  <c r="P52" i="4"/>
  <c r="AG52" i="4"/>
  <c r="AH52" i="4"/>
  <c r="AA52" i="4"/>
  <c r="AC52" i="4"/>
  <c r="H52" i="4"/>
  <c r="AK52" i="4"/>
  <c r="G52" i="4"/>
  <c r="L52" i="4"/>
  <c r="AE52" i="4"/>
  <c r="K52" i="4"/>
  <c r="T52" i="4"/>
  <c r="S52" i="4"/>
  <c r="O52" i="4"/>
  <c r="U52" i="4"/>
  <c r="I52" i="4"/>
  <c r="M52" i="4"/>
  <c r="AL52" i="4"/>
  <c r="Z52" i="4"/>
  <c r="N52" i="4"/>
  <c r="AD52" i="4"/>
  <c r="W52" i="4"/>
  <c r="R52" i="4"/>
  <c r="J52" i="4"/>
  <c r="AI52" i="4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H56" i="4"/>
  <c r="AA56" i="4"/>
  <c r="H56" i="4"/>
  <c r="AK56" i="4"/>
  <c r="N56" i="4"/>
  <c r="K56" i="4"/>
  <c r="G56" i="4"/>
  <c r="T56" i="4"/>
  <c r="Z56" i="4"/>
  <c r="Q56" i="4"/>
  <c r="V56" i="4"/>
  <c r="AC56" i="4"/>
  <c r="X56" i="4"/>
  <c r="AJ56" i="4"/>
  <c r="Y56" i="4"/>
  <c r="AB56" i="4"/>
  <c r="I56" i="4"/>
  <c r="M56" i="4"/>
  <c r="AF56" i="4"/>
  <c r="W56" i="4"/>
  <c r="L56" i="4"/>
  <c r="AD56" i="4"/>
  <c r="R56" i="4"/>
  <c r="J56" i="4"/>
  <c r="AI56" i="4"/>
  <c r="AE56" i="4"/>
  <c r="S56" i="4"/>
  <c r="P56" i="4"/>
  <c r="U56" i="4"/>
  <c r="AL56" i="4"/>
  <c r="O56" i="4"/>
  <c r="AJ58" i="4"/>
  <c r="Y58" i="4"/>
  <c r="P58" i="4"/>
  <c r="U58" i="4"/>
  <c r="AG58" i="4"/>
  <c r="AH58" i="4"/>
  <c r="AA58" i="4"/>
  <c r="H58" i="4"/>
  <c r="AK58" i="4"/>
  <c r="N58" i="4"/>
  <c r="G58" i="4"/>
  <c r="T58" i="4"/>
  <c r="K58" i="4"/>
  <c r="Z58" i="4"/>
  <c r="AC58" i="4"/>
  <c r="Q58" i="4"/>
  <c r="V58" i="4"/>
  <c r="S58" i="4"/>
  <c r="AL58" i="4"/>
  <c r="O58" i="4"/>
  <c r="AF58" i="4"/>
  <c r="AB58" i="4"/>
  <c r="I58" i="4"/>
  <c r="L58" i="4"/>
  <c r="W58" i="4"/>
  <c r="X58" i="4"/>
  <c r="AD58" i="4"/>
  <c r="R58" i="4"/>
  <c r="J58" i="4"/>
  <c r="AI58" i="4"/>
  <c r="M58" i="4"/>
  <c r="AE58" i="4"/>
  <c r="Q60" i="4"/>
  <c r="V60" i="4"/>
  <c r="X60" i="4"/>
  <c r="AJ60" i="4"/>
  <c r="Y60" i="4"/>
  <c r="AC60" i="4"/>
  <c r="AB60" i="4"/>
  <c r="P60" i="4"/>
  <c r="U60" i="4"/>
  <c r="AG60" i="4"/>
  <c r="AH60" i="4"/>
  <c r="AA60" i="4"/>
  <c r="H60" i="4"/>
  <c r="AK60" i="4"/>
  <c r="N60" i="4"/>
  <c r="G60" i="4"/>
  <c r="S60" i="4"/>
  <c r="M60" i="4"/>
  <c r="AE60" i="4"/>
  <c r="AL60" i="4"/>
  <c r="O60" i="4"/>
  <c r="T60" i="4"/>
  <c r="AF60" i="4"/>
  <c r="L60" i="4"/>
  <c r="I60" i="4"/>
  <c r="W60" i="4"/>
  <c r="Z60" i="4"/>
  <c r="AD60" i="4"/>
  <c r="R60" i="4"/>
  <c r="J60" i="4"/>
  <c r="K60" i="4"/>
  <c r="AI60" i="4"/>
  <c r="N62" i="4"/>
  <c r="G62" i="4"/>
  <c r="T62" i="4"/>
  <c r="Z62" i="4"/>
  <c r="Q62" i="4"/>
  <c r="S62" i="4"/>
  <c r="AJ62" i="4"/>
  <c r="X62" i="4"/>
  <c r="Y62" i="4"/>
  <c r="P62" i="4"/>
  <c r="AG62" i="4"/>
  <c r="AH62" i="4"/>
  <c r="AK62" i="4"/>
  <c r="AA62" i="4"/>
  <c r="V62" i="4"/>
  <c r="U62" i="4"/>
  <c r="AC62" i="4"/>
  <c r="AD62" i="4"/>
  <c r="R62" i="4"/>
  <c r="M62" i="4"/>
  <c r="J62" i="4"/>
  <c r="AI62" i="4"/>
  <c r="AE62" i="4"/>
  <c r="H62" i="4"/>
  <c r="AL62" i="4"/>
  <c r="AF62" i="4"/>
  <c r="O62" i="4"/>
  <c r="K62" i="4"/>
  <c r="L62" i="4"/>
  <c r="AB62" i="4"/>
  <c r="I62" i="4"/>
  <c r="W62" i="4"/>
  <c r="AH64" i="4"/>
  <c r="AK64" i="4"/>
  <c r="AA64" i="4"/>
  <c r="H64" i="4"/>
  <c r="K64" i="4"/>
  <c r="N64" i="4"/>
  <c r="G64" i="4"/>
  <c r="Z64" i="4"/>
  <c r="V64" i="4"/>
  <c r="U64" i="4"/>
  <c r="Q64" i="4"/>
  <c r="L64" i="4"/>
  <c r="AJ64" i="4"/>
  <c r="T64" i="4"/>
  <c r="X64" i="4"/>
  <c r="Y64" i="4"/>
  <c r="I64" i="4"/>
  <c r="W64" i="4"/>
  <c r="AC64" i="4"/>
  <c r="M64" i="4"/>
  <c r="S64" i="4"/>
  <c r="R64" i="4"/>
  <c r="J64" i="4"/>
  <c r="AI64" i="4"/>
  <c r="AL64" i="4"/>
  <c r="AE64" i="4"/>
  <c r="AF64" i="4"/>
  <c r="O64" i="4"/>
  <c r="AG64" i="4"/>
  <c r="P64" i="4"/>
  <c r="AD64" i="4"/>
  <c r="AB64" i="4"/>
  <c r="Y66" i="4"/>
  <c r="T66" i="4"/>
  <c r="P66" i="4"/>
  <c r="Z66" i="4"/>
  <c r="AG66" i="4"/>
  <c r="AA66" i="4"/>
  <c r="H66" i="4"/>
  <c r="AC66" i="4"/>
  <c r="N66" i="4"/>
  <c r="AJ66" i="4"/>
  <c r="K66" i="4"/>
  <c r="G66" i="4"/>
  <c r="V66" i="4"/>
  <c r="U66" i="4"/>
  <c r="Q66" i="4"/>
  <c r="AH66" i="4"/>
  <c r="L66" i="4"/>
  <c r="S66" i="4"/>
  <c r="O66" i="4"/>
  <c r="R66" i="4"/>
  <c r="I66" i="4"/>
  <c r="AL66" i="4"/>
  <c r="W66" i="4"/>
  <c r="AD66" i="4"/>
  <c r="M66" i="4"/>
  <c r="J66" i="4"/>
  <c r="AI66" i="4"/>
  <c r="AK66" i="4"/>
  <c r="X66" i="4"/>
  <c r="AF66" i="4"/>
  <c r="AB66" i="4"/>
  <c r="AE66" i="4"/>
  <c r="Q68" i="4"/>
  <c r="AH68" i="4"/>
  <c r="L68" i="4"/>
  <c r="AK68" i="4"/>
  <c r="X68" i="4"/>
  <c r="Y68" i="4"/>
  <c r="T68" i="4"/>
  <c r="Z68" i="4"/>
  <c r="H68" i="4"/>
  <c r="P68" i="4"/>
  <c r="AG68" i="4"/>
  <c r="AA68" i="4"/>
  <c r="G68" i="4"/>
  <c r="AC68" i="4"/>
  <c r="N68" i="4"/>
  <c r="AJ68" i="4"/>
  <c r="AE68" i="4"/>
  <c r="V68" i="4"/>
  <c r="R68" i="4"/>
  <c r="O68" i="4"/>
  <c r="J68" i="4"/>
  <c r="I68" i="4"/>
  <c r="U68" i="4"/>
  <c r="AL68" i="4"/>
  <c r="W68" i="4"/>
  <c r="S68" i="4"/>
  <c r="AD68" i="4"/>
  <c r="M68" i="4"/>
  <c r="K68" i="4"/>
  <c r="AF68" i="4"/>
  <c r="AB68" i="4"/>
  <c r="AI68" i="4"/>
  <c r="AJ70" i="4"/>
  <c r="AH70" i="4"/>
  <c r="V70" i="4"/>
  <c r="U70" i="4"/>
  <c r="Q70" i="4"/>
  <c r="L70" i="4"/>
  <c r="S70" i="4"/>
  <c r="Z70" i="4"/>
  <c r="AK70" i="4"/>
  <c r="X70" i="4"/>
  <c r="Y70" i="4"/>
  <c r="T70" i="4"/>
  <c r="K70" i="4"/>
  <c r="H70" i="4"/>
  <c r="P70" i="4"/>
  <c r="AG70" i="4"/>
  <c r="AA70" i="4"/>
  <c r="G70" i="4"/>
  <c r="AF70" i="4"/>
  <c r="M70" i="4"/>
  <c r="AC70" i="4"/>
  <c r="AB70" i="4"/>
  <c r="AI70" i="4"/>
  <c r="AE70" i="4"/>
  <c r="R70" i="4"/>
  <c r="J70" i="4"/>
  <c r="N70" i="4"/>
  <c r="O70" i="4"/>
  <c r="I70" i="4"/>
  <c r="AD70" i="4"/>
  <c r="AL70" i="4"/>
  <c r="W70" i="4"/>
  <c r="AG72" i="4"/>
  <c r="AA72" i="4"/>
  <c r="K72" i="4"/>
  <c r="G72" i="4"/>
  <c r="AC72" i="4"/>
  <c r="N72" i="4"/>
  <c r="AJ72" i="4"/>
  <c r="V72" i="4"/>
  <c r="U72" i="4"/>
  <c r="Q72" i="4"/>
  <c r="Z72" i="4"/>
  <c r="AK72" i="4"/>
  <c r="X72" i="4"/>
  <c r="Y72" i="4"/>
  <c r="T72" i="4"/>
  <c r="P72" i="4"/>
  <c r="I72" i="4"/>
  <c r="AF72" i="4"/>
  <c r="L72" i="4"/>
  <c r="S72" i="4"/>
  <c r="AD72" i="4"/>
  <c r="AL72" i="4"/>
  <c r="W72" i="4"/>
  <c r="M72" i="4"/>
  <c r="AH72" i="4"/>
  <c r="AB72" i="4"/>
  <c r="AI72" i="4"/>
  <c r="H72" i="4"/>
  <c r="R72" i="4"/>
  <c r="AE72" i="4"/>
  <c r="J72" i="4"/>
  <c r="O72" i="4"/>
  <c r="Y74" i="4"/>
  <c r="T74" i="4"/>
  <c r="H74" i="4"/>
  <c r="P74" i="4"/>
  <c r="AG74" i="4"/>
  <c r="AH74" i="4"/>
  <c r="AA74" i="4"/>
  <c r="G74" i="4"/>
  <c r="K74" i="4"/>
  <c r="AC74" i="4"/>
  <c r="N74" i="4"/>
  <c r="AJ74" i="4"/>
  <c r="Z74" i="4"/>
  <c r="V74" i="4"/>
  <c r="U74" i="4"/>
  <c r="Q74" i="4"/>
  <c r="L74" i="4"/>
  <c r="S74" i="4"/>
  <c r="O74" i="4"/>
  <c r="AF74" i="4"/>
  <c r="AD74" i="4"/>
  <c r="I74" i="4"/>
  <c r="AL74" i="4"/>
  <c r="W74" i="4"/>
  <c r="M74" i="4"/>
  <c r="AB74" i="4"/>
  <c r="R74" i="4"/>
  <c r="J74" i="4"/>
  <c r="AI74" i="4"/>
  <c r="AE74" i="4"/>
  <c r="AK74" i="4"/>
  <c r="X74" i="4"/>
  <c r="H47" i="4"/>
  <c r="AK47" i="4"/>
  <c r="T47" i="4"/>
  <c r="Z47" i="4"/>
  <c r="U47" i="4"/>
  <c r="Q47" i="4"/>
  <c r="N47" i="4"/>
  <c r="X47" i="4"/>
  <c r="AF47" i="4"/>
  <c r="AJ47" i="4"/>
  <c r="Y47" i="4"/>
  <c r="P47" i="4"/>
  <c r="V47" i="4"/>
  <c r="L47" i="4"/>
  <c r="AH47" i="4"/>
  <c r="AA47" i="4"/>
  <c r="W47" i="4"/>
  <c r="AB47" i="4"/>
  <c r="R47" i="4"/>
  <c r="J47" i="4"/>
  <c r="AI47" i="4"/>
  <c r="AE47" i="4"/>
  <c r="K47" i="4"/>
  <c r="AG47" i="4"/>
  <c r="O47" i="4"/>
  <c r="S47" i="4"/>
  <c r="AL47" i="4"/>
  <c r="AC47" i="4"/>
  <c r="G47" i="4"/>
  <c r="AD47" i="4"/>
  <c r="I47" i="4"/>
  <c r="M47" i="4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Z53" i="4"/>
  <c r="U53" i="4"/>
  <c r="Q53" i="4"/>
  <c r="V53" i="4"/>
  <c r="X53" i="4"/>
  <c r="AF53" i="4"/>
  <c r="AJ53" i="4"/>
  <c r="Y53" i="4"/>
  <c r="P53" i="4"/>
  <c r="L53" i="4"/>
  <c r="AG53" i="4"/>
  <c r="AH53" i="4"/>
  <c r="AA53" i="4"/>
  <c r="AC53" i="4"/>
  <c r="H53" i="4"/>
  <c r="AK53" i="4"/>
  <c r="N53" i="4"/>
  <c r="R53" i="4"/>
  <c r="J53" i="4"/>
  <c r="AI53" i="4"/>
  <c r="AD53" i="4"/>
  <c r="AL53" i="4"/>
  <c r="AE53" i="4"/>
  <c r="G53" i="4"/>
  <c r="S53" i="4"/>
  <c r="O53" i="4"/>
  <c r="I53" i="4"/>
  <c r="K53" i="4"/>
  <c r="M53" i="4"/>
  <c r="AB53" i="4"/>
  <c r="W53" i="4"/>
  <c r="H55" i="4"/>
  <c r="AK55" i="4"/>
  <c r="T55" i="4"/>
  <c r="Z55" i="4"/>
  <c r="V55" i="4"/>
  <c r="U55" i="4"/>
  <c r="K55" i="4"/>
  <c r="Q55" i="4"/>
  <c r="X55" i="4"/>
  <c r="AF55" i="4"/>
  <c r="AJ55" i="4"/>
  <c r="Y55" i="4"/>
  <c r="P55" i="4"/>
  <c r="L55" i="4"/>
  <c r="AC55" i="4"/>
  <c r="AB55" i="4"/>
  <c r="W55" i="4"/>
  <c r="AH55" i="4"/>
  <c r="AA55" i="4"/>
  <c r="AD55" i="4"/>
  <c r="R55" i="4"/>
  <c r="AL55" i="4"/>
  <c r="J55" i="4"/>
  <c r="AI55" i="4"/>
  <c r="N55" i="4"/>
  <c r="G55" i="4"/>
  <c r="AE55" i="4"/>
  <c r="S55" i="4"/>
  <c r="O55" i="4"/>
  <c r="AG55" i="4"/>
  <c r="I55" i="4"/>
  <c r="M55" i="4"/>
  <c r="P57" i="4"/>
  <c r="U57" i="4"/>
  <c r="AC57" i="4"/>
  <c r="L57" i="4"/>
  <c r="AG57" i="4"/>
  <c r="AH57" i="4"/>
  <c r="AA57" i="4"/>
  <c r="H57" i="4"/>
  <c r="AK57" i="4"/>
  <c r="N57" i="4"/>
  <c r="T57" i="4"/>
  <c r="Z57" i="4"/>
  <c r="Q57" i="4"/>
  <c r="K57" i="4"/>
  <c r="V57" i="4"/>
  <c r="X57" i="4"/>
  <c r="AF57" i="4"/>
  <c r="AB57" i="4"/>
  <c r="I57" i="4"/>
  <c r="W57" i="4"/>
  <c r="AJ57" i="4"/>
  <c r="G57" i="4"/>
  <c r="AD57" i="4"/>
  <c r="R57" i="4"/>
  <c r="J57" i="4"/>
  <c r="AI57" i="4"/>
  <c r="M57" i="4"/>
  <c r="AE57" i="4"/>
  <c r="S57" i="4"/>
  <c r="Y57" i="4"/>
  <c r="AL57" i="4"/>
  <c r="O57" i="4"/>
  <c r="X59" i="4"/>
  <c r="AF59" i="4"/>
  <c r="AJ59" i="4"/>
  <c r="Y59" i="4"/>
  <c r="AC59" i="4"/>
  <c r="P59" i="4"/>
  <c r="U59" i="4"/>
  <c r="L59" i="4"/>
  <c r="AD59" i="4"/>
  <c r="AG59" i="4"/>
  <c r="AH59" i="4"/>
  <c r="AA59" i="4"/>
  <c r="H59" i="4"/>
  <c r="AK59" i="4"/>
  <c r="N59" i="4"/>
  <c r="T59" i="4"/>
  <c r="Z59" i="4"/>
  <c r="AL59" i="4"/>
  <c r="O59" i="4"/>
  <c r="Q59" i="4"/>
  <c r="V59" i="4"/>
  <c r="AB59" i="4"/>
  <c r="I59" i="4"/>
  <c r="W59" i="4"/>
  <c r="G59" i="4"/>
  <c r="R59" i="4"/>
  <c r="J59" i="4"/>
  <c r="AI59" i="4"/>
  <c r="S59" i="4"/>
  <c r="M59" i="4"/>
  <c r="AE59" i="4"/>
  <c r="K59" i="4"/>
  <c r="Z61" i="4"/>
  <c r="Q61" i="4"/>
  <c r="AC61" i="4"/>
  <c r="T61" i="4"/>
  <c r="AK61" i="4"/>
  <c r="X61" i="4"/>
  <c r="AF61" i="4"/>
  <c r="Y61" i="4"/>
  <c r="P61" i="4"/>
  <c r="V61" i="4"/>
  <c r="U61" i="4"/>
  <c r="AG61" i="4"/>
  <c r="AH61" i="4"/>
  <c r="AA61" i="4"/>
  <c r="H61" i="4"/>
  <c r="N61" i="4"/>
  <c r="R61" i="4"/>
  <c r="J61" i="4"/>
  <c r="AI61" i="4"/>
  <c r="S61" i="4"/>
  <c r="M61" i="4"/>
  <c r="AE61" i="4"/>
  <c r="L61" i="4"/>
  <c r="AD61" i="4"/>
  <c r="O61" i="4"/>
  <c r="AB61" i="4"/>
  <c r="K61" i="4"/>
  <c r="AJ61" i="4"/>
  <c r="I61" i="4"/>
  <c r="G61" i="4"/>
  <c r="AL61" i="4"/>
  <c r="W61" i="4"/>
  <c r="AJ63" i="4"/>
  <c r="H63" i="4"/>
  <c r="AG63" i="4"/>
  <c r="Z63" i="4"/>
  <c r="AC63" i="4"/>
  <c r="AD63" i="4"/>
  <c r="T63" i="4"/>
  <c r="Q63" i="4"/>
  <c r="AK63" i="4"/>
  <c r="X63" i="4"/>
  <c r="AF63" i="4"/>
  <c r="Y63" i="4"/>
  <c r="V63" i="4"/>
  <c r="U63" i="4"/>
  <c r="P63" i="4"/>
  <c r="W63" i="4"/>
  <c r="AH63" i="4"/>
  <c r="AA63" i="4"/>
  <c r="S63" i="4"/>
  <c r="R63" i="4"/>
  <c r="M63" i="4"/>
  <c r="J63" i="4"/>
  <c r="AI63" i="4"/>
  <c r="K63" i="4"/>
  <c r="AE63" i="4"/>
  <c r="L63" i="4"/>
  <c r="AB63" i="4"/>
  <c r="O63" i="4"/>
  <c r="N63" i="4"/>
  <c r="G63" i="4"/>
  <c r="I63" i="4"/>
  <c r="AL63" i="4"/>
  <c r="AG65" i="4"/>
  <c r="P65" i="4"/>
  <c r="AC65" i="4"/>
  <c r="AH65" i="4"/>
  <c r="AK65" i="4"/>
  <c r="AA65" i="4"/>
  <c r="AA115" i="4" s="1"/>
  <c r="H65" i="4"/>
  <c r="H115" i="4" s="1"/>
  <c r="N65" i="4"/>
  <c r="AD65" i="4"/>
  <c r="T65" i="4"/>
  <c r="T115" i="4" s="1"/>
  <c r="Z65" i="4"/>
  <c r="K65" i="4"/>
  <c r="V65" i="4"/>
  <c r="U65" i="4"/>
  <c r="U115" i="4" s="1"/>
  <c r="Q65" i="4"/>
  <c r="Q115" i="4" s="1"/>
  <c r="AJ65" i="4"/>
  <c r="X65" i="4"/>
  <c r="AF65" i="4"/>
  <c r="Y65" i="4"/>
  <c r="AB65" i="4"/>
  <c r="I65" i="4"/>
  <c r="I115" i="4" s="1"/>
  <c r="W65" i="4"/>
  <c r="M65" i="4"/>
  <c r="G65" i="4"/>
  <c r="S65" i="4"/>
  <c r="R65" i="4"/>
  <c r="J65" i="4"/>
  <c r="AI65" i="4"/>
  <c r="L65" i="4"/>
  <c r="AL65" i="4"/>
  <c r="AL115" i="4" s="1"/>
  <c r="AE65" i="4"/>
  <c r="O65" i="4"/>
  <c r="AK67" i="4"/>
  <c r="X67" i="4"/>
  <c r="AF67" i="4"/>
  <c r="Y67" i="4"/>
  <c r="T67" i="4"/>
  <c r="H67" i="4"/>
  <c r="P67" i="4"/>
  <c r="AH67" i="4"/>
  <c r="AG67" i="4"/>
  <c r="AA67" i="4"/>
  <c r="AC67" i="4"/>
  <c r="N67" i="4"/>
  <c r="AJ67" i="4"/>
  <c r="Z67" i="4"/>
  <c r="V67" i="4"/>
  <c r="U67" i="4"/>
  <c r="AB67" i="4"/>
  <c r="G67" i="4"/>
  <c r="O67" i="4"/>
  <c r="Q67" i="4"/>
  <c r="I67" i="4"/>
  <c r="AL67" i="4"/>
  <c r="W67" i="4"/>
  <c r="S67" i="4"/>
  <c r="AD67" i="4"/>
  <c r="R67" i="4"/>
  <c r="M67" i="4"/>
  <c r="L67" i="4"/>
  <c r="J67" i="4"/>
  <c r="AI67" i="4"/>
  <c r="K67" i="4"/>
  <c r="AE67" i="4"/>
  <c r="V69" i="4"/>
  <c r="U69" i="4"/>
  <c r="Q69" i="4"/>
  <c r="AK69" i="4"/>
  <c r="X69" i="4"/>
  <c r="AF69" i="4"/>
  <c r="Y69" i="4"/>
  <c r="T69" i="4"/>
  <c r="AH69" i="4"/>
  <c r="H69" i="4"/>
  <c r="P69" i="4"/>
  <c r="AG69" i="4"/>
  <c r="AA69" i="4"/>
  <c r="Z69" i="4"/>
  <c r="AC69" i="4"/>
  <c r="N69" i="4"/>
  <c r="AD69" i="4"/>
  <c r="AB69" i="4"/>
  <c r="AI69" i="4"/>
  <c r="G69" i="4"/>
  <c r="AE69" i="4"/>
  <c r="K69" i="4"/>
  <c r="O69" i="4"/>
  <c r="AJ69" i="4"/>
  <c r="I69" i="4"/>
  <c r="R69" i="4"/>
  <c r="AL69" i="4"/>
  <c r="W69" i="4"/>
  <c r="L69" i="4"/>
  <c r="S69" i="4"/>
  <c r="M69" i="4"/>
  <c r="J69" i="4"/>
  <c r="AC71" i="4"/>
  <c r="N71" i="4"/>
  <c r="K71" i="4"/>
  <c r="AJ71" i="4"/>
  <c r="V71" i="4"/>
  <c r="U71" i="4"/>
  <c r="Q71" i="4"/>
  <c r="AH71" i="4"/>
  <c r="AK71" i="4"/>
  <c r="X71" i="4"/>
  <c r="AF71" i="4"/>
  <c r="Y71" i="4"/>
  <c r="T71" i="4"/>
  <c r="H71" i="4"/>
  <c r="P71" i="4"/>
  <c r="AG71" i="4"/>
  <c r="L71" i="4"/>
  <c r="S71" i="4"/>
  <c r="AD71" i="4"/>
  <c r="AL71" i="4"/>
  <c r="W71" i="4"/>
  <c r="J71" i="4"/>
  <c r="M71" i="4"/>
  <c r="G71" i="4"/>
  <c r="AB71" i="4"/>
  <c r="AI71" i="4"/>
  <c r="AA71" i="4"/>
  <c r="AE71" i="4"/>
  <c r="O71" i="4"/>
  <c r="Z71" i="4"/>
  <c r="R71" i="4"/>
  <c r="I71" i="4"/>
  <c r="H73" i="4"/>
  <c r="P73" i="4"/>
  <c r="Z73" i="4"/>
  <c r="AG73" i="4"/>
  <c r="AA73" i="4"/>
  <c r="AC73" i="4"/>
  <c r="N73" i="4"/>
  <c r="AD73" i="4"/>
  <c r="AJ73" i="4"/>
  <c r="K73" i="4"/>
  <c r="V73" i="4"/>
  <c r="U73" i="4"/>
  <c r="Q73" i="4"/>
  <c r="AH73" i="4"/>
  <c r="AK73" i="4"/>
  <c r="X73" i="4"/>
  <c r="AF73" i="4"/>
  <c r="R73" i="4"/>
  <c r="Y73" i="4"/>
  <c r="I73" i="4"/>
  <c r="J73" i="4"/>
  <c r="L73" i="4"/>
  <c r="S73" i="4"/>
  <c r="AL73" i="4"/>
  <c r="W73" i="4"/>
  <c r="G73" i="4"/>
  <c r="M73" i="4"/>
  <c r="T73" i="4"/>
  <c r="AB73" i="4"/>
  <c r="AI73" i="4"/>
  <c r="AE73" i="4"/>
  <c r="O73" i="4"/>
  <c r="BA3" i="4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114" i="4"/>
  <c r="A115" i="4" s="1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A82" i="4"/>
  <c r="F48" i="4"/>
  <c r="A86" i="4"/>
  <c r="F52" i="4"/>
  <c r="A92" i="4"/>
  <c r="F58" i="4"/>
  <c r="A91" i="4"/>
  <c r="F57" i="4"/>
  <c r="F47" i="4"/>
  <c r="A96" i="4"/>
  <c r="F62" i="4"/>
  <c r="A98" i="4"/>
  <c r="F64" i="4"/>
  <c r="A100" i="4"/>
  <c r="F66" i="4"/>
  <c r="A102" i="4"/>
  <c r="F68" i="4"/>
  <c r="A104" i="4"/>
  <c r="F70" i="4"/>
  <c r="A106" i="4"/>
  <c r="F72" i="4"/>
  <c r="A108" i="4"/>
  <c r="F74" i="4"/>
  <c r="F59" i="4"/>
  <c r="F51" i="4"/>
  <c r="A81" i="4"/>
  <c r="A85" i="4"/>
  <c r="A89" i="4"/>
  <c r="A93" i="4"/>
  <c r="A95" i="4"/>
  <c r="F61" i="4"/>
  <c r="A97" i="4"/>
  <c r="F63" i="4"/>
  <c r="A99" i="4"/>
  <c r="F65" i="4"/>
  <c r="A101" i="4"/>
  <c r="F67" i="4"/>
  <c r="A103" i="4"/>
  <c r="F69" i="4"/>
  <c r="A105" i="4"/>
  <c r="F71" i="4"/>
  <c r="A107" i="4"/>
  <c r="F73" i="4"/>
  <c r="F55" i="4"/>
  <c r="C115" i="4"/>
  <c r="L115" i="4" l="1"/>
  <c r="N115" i="4"/>
  <c r="AJ115" i="4"/>
  <c r="Y115" i="4"/>
  <c r="J115" i="4"/>
  <c r="S115" i="4"/>
  <c r="M115" i="4"/>
  <c r="V115" i="4"/>
  <c r="G115" i="4"/>
  <c r="AK115" i="4"/>
  <c r="Z115" i="4"/>
  <c r="R115" i="4"/>
  <c r="O115" i="4"/>
  <c r="AI115" i="4"/>
  <c r="K115" i="4"/>
  <c r="P115" i="4"/>
  <c r="X115" i="4"/>
  <c r="AG115" i="4"/>
  <c r="W115" i="4"/>
  <c r="AB115" i="4"/>
  <c r="AE115" i="4"/>
  <c r="AH115" i="4"/>
  <c r="AC115" i="4"/>
  <c r="AD115" i="4"/>
  <c r="F115" i="4"/>
  <c r="AL116" i="4"/>
  <c r="AL118" i="4" s="1"/>
  <c r="AJ116" i="4"/>
  <c r="AJ118" i="4" s="1"/>
  <c r="K116" i="4"/>
  <c r="R116" i="4"/>
  <c r="AF115" i="4"/>
  <c r="Z116" i="4"/>
  <c r="H116" i="4"/>
  <c r="H118" i="4" s="1"/>
  <c r="AC116" i="4"/>
  <c r="AG116" i="4"/>
  <c r="L116" i="4"/>
  <c r="O116" i="4"/>
  <c r="W116" i="4"/>
  <c r="AF116" i="4"/>
  <c r="AK116" i="4"/>
  <c r="W114" i="4"/>
  <c r="AE114" i="4"/>
  <c r="AA114" i="4"/>
  <c r="X114" i="4"/>
  <c r="X116" i="4"/>
  <c r="AB114" i="4"/>
  <c r="H114" i="4"/>
  <c r="AH114" i="4"/>
  <c r="S114" i="4"/>
  <c r="Y116" i="4"/>
  <c r="M116" i="4"/>
  <c r="M114" i="4"/>
  <c r="AI114" i="4"/>
  <c r="AG114" i="4"/>
  <c r="Q114" i="4"/>
  <c r="AE116" i="4"/>
  <c r="I116" i="4"/>
  <c r="Q116" i="4"/>
  <c r="AA116" i="4"/>
  <c r="I114" i="4"/>
  <c r="J114" i="4"/>
  <c r="P114" i="4"/>
  <c r="U114" i="4"/>
  <c r="AI116" i="4"/>
  <c r="AD116" i="4"/>
  <c r="N116" i="4"/>
  <c r="AH116" i="4"/>
  <c r="AD114" i="4"/>
  <c r="R114" i="4"/>
  <c r="Y114" i="4"/>
  <c r="Z114" i="4"/>
  <c r="J116" i="4"/>
  <c r="S116" i="4"/>
  <c r="U116" i="4"/>
  <c r="AL114" i="4"/>
  <c r="L114" i="4"/>
  <c r="AJ114" i="4"/>
  <c r="T114" i="4"/>
  <c r="G116" i="4"/>
  <c r="AK114" i="4"/>
  <c r="K114" i="4"/>
  <c r="AF114" i="4"/>
  <c r="G114" i="4"/>
  <c r="AB116" i="4"/>
  <c r="V116" i="4"/>
  <c r="T116" i="4"/>
  <c r="P116" i="4"/>
  <c r="O114" i="4"/>
  <c r="AC114" i="4"/>
  <c r="V114" i="4"/>
  <c r="N114" i="4"/>
  <c r="F114" i="4"/>
  <c r="I41" i="4"/>
  <c r="AL41" i="4"/>
  <c r="O41" i="4"/>
  <c r="L118" i="4" l="1"/>
  <c r="AG118" i="4"/>
  <c r="L119" i="4"/>
  <c r="AK119" i="4"/>
  <c r="Z118" i="4"/>
  <c r="R118" i="4"/>
  <c r="K118" i="4"/>
  <c r="AJ119" i="4"/>
  <c r="Z119" i="4"/>
  <c r="AF119" i="4"/>
  <c r="AC119" i="4"/>
  <c r="N119" i="4"/>
  <c r="AL119" i="4"/>
  <c r="AC118" i="4"/>
  <c r="AG119" i="4"/>
  <c r="M119" i="4"/>
  <c r="H119" i="4"/>
  <c r="R119" i="4"/>
  <c r="K119" i="4"/>
  <c r="AD119" i="4"/>
  <c r="I119" i="4"/>
  <c r="O119" i="4"/>
  <c r="Y119" i="4"/>
  <c r="H117" i="4"/>
  <c r="T119" i="4"/>
  <c r="U119" i="4"/>
  <c r="Q119" i="4"/>
  <c r="AL117" i="4"/>
  <c r="L117" i="4"/>
  <c r="AH119" i="4"/>
  <c r="Z117" i="4"/>
  <c r="AG117" i="4"/>
  <c r="K117" i="4"/>
  <c r="G119" i="4"/>
  <c r="V119" i="4"/>
  <c r="U117" i="4"/>
  <c r="U118" i="4"/>
  <c r="N117" i="4"/>
  <c r="N118" i="4"/>
  <c r="Q117" i="4"/>
  <c r="Q118" i="4"/>
  <c r="AC117" i="4"/>
  <c r="AB119" i="4"/>
  <c r="X119" i="4"/>
  <c r="G117" i="4"/>
  <c r="G118" i="4"/>
  <c r="R117" i="4"/>
  <c r="S117" i="4"/>
  <c r="S118" i="4"/>
  <c r="AD118" i="4"/>
  <c r="AD117" i="4"/>
  <c r="I117" i="4"/>
  <c r="I118" i="4"/>
  <c r="AA119" i="4"/>
  <c r="J117" i="4"/>
  <c r="J118" i="4"/>
  <c r="AI117" i="4"/>
  <c r="AI118" i="4"/>
  <c r="AE117" i="4"/>
  <c r="AE118" i="4"/>
  <c r="AE119" i="4"/>
  <c r="M117" i="4"/>
  <c r="M118" i="4"/>
  <c r="X117" i="4"/>
  <c r="X118" i="4"/>
  <c r="W119" i="4"/>
  <c r="P117" i="4"/>
  <c r="P118" i="4"/>
  <c r="T117" i="4"/>
  <c r="T118" i="4"/>
  <c r="P119" i="4"/>
  <c r="Y117" i="4"/>
  <c r="Y118" i="4"/>
  <c r="AK117" i="4"/>
  <c r="AK118" i="4"/>
  <c r="V117" i="4"/>
  <c r="V118" i="4"/>
  <c r="J119" i="4"/>
  <c r="AI119" i="4"/>
  <c r="S119" i="4"/>
  <c r="AJ117" i="4"/>
  <c r="AF117" i="4"/>
  <c r="AF118" i="4"/>
  <c r="AB117" i="4"/>
  <c r="AB118" i="4"/>
  <c r="W117" i="4"/>
  <c r="W118" i="4"/>
  <c r="AH117" i="4"/>
  <c r="AH118" i="4"/>
  <c r="AA117" i="4"/>
  <c r="AA118" i="4"/>
  <c r="O117" i="4"/>
  <c r="O118" i="4"/>
  <c r="P41" i="4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116" i="4" s="1"/>
  <c r="F86" i="4"/>
  <c r="F82" i="4"/>
  <c r="F105" i="4"/>
  <c r="F81" i="4"/>
  <c r="F118" i="4" l="1"/>
  <c r="F117" i="4"/>
  <c r="F119" i="4" l="1"/>
  <c r="B114" i="4"/>
  <c r="B115" i="4"/>
  <c r="E122" i="4" l="1" a="1"/>
  <c r="V135" i="4" s="1"/>
  <c r="E122" i="11" a="1"/>
  <c r="AD127" i="11" s="1"/>
  <c r="B115" i="11"/>
  <c r="B114" i="11"/>
  <c r="Z131" i="4" l="1"/>
  <c r="AD122" i="4"/>
  <c r="L125" i="4"/>
  <c r="X130" i="4"/>
  <c r="I128" i="4"/>
  <c r="F130" i="4"/>
  <c r="AC127" i="4"/>
  <c r="G128" i="4"/>
  <c r="G125" i="4"/>
  <c r="F123" i="4"/>
  <c r="AD132" i="4"/>
  <c r="AH135" i="4"/>
  <c r="AG127" i="4"/>
  <c r="R135" i="4"/>
  <c r="Y134" i="4"/>
  <c r="X127" i="4"/>
  <c r="AH130" i="4"/>
  <c r="T131" i="4"/>
  <c r="W127" i="4"/>
  <c r="Y123" i="4"/>
  <c r="P123" i="4"/>
  <c r="G124" i="4"/>
  <c r="H124" i="4"/>
  <c r="AB132" i="4"/>
  <c r="H126" i="4"/>
  <c r="AJ122" i="4"/>
  <c r="AE135" i="4"/>
  <c r="X123" i="4"/>
  <c r="AI128" i="4"/>
  <c r="X135" i="4"/>
  <c r="N122" i="4"/>
  <c r="U130" i="4"/>
  <c r="J122" i="4"/>
  <c r="AH122" i="4"/>
  <c r="AI124" i="4"/>
  <c r="AA130" i="4"/>
  <c r="AH129" i="4"/>
  <c r="AC134" i="4"/>
  <c r="AB133" i="4"/>
  <c r="AB123" i="4"/>
  <c r="N134" i="4"/>
  <c r="AG124" i="4"/>
  <c r="O131" i="4"/>
  <c r="AL122" i="4"/>
  <c r="Z133" i="4"/>
  <c r="M124" i="4"/>
  <c r="N123" i="4"/>
  <c r="M131" i="4"/>
  <c r="I126" i="4"/>
  <c r="AG123" i="4"/>
  <c r="AJ123" i="4"/>
  <c r="T124" i="4"/>
  <c r="U134" i="4"/>
  <c r="L132" i="4"/>
  <c r="T130" i="4"/>
  <c r="R127" i="4"/>
  <c r="O130" i="4"/>
  <c r="AL134" i="4"/>
  <c r="AC133" i="4"/>
  <c r="E126" i="4"/>
  <c r="Z125" i="4"/>
  <c r="Q131" i="4"/>
  <c r="E122" i="4"/>
  <c r="AJ128" i="4"/>
  <c r="G134" i="4"/>
  <c r="AI132" i="4"/>
  <c r="AD135" i="4"/>
  <c r="AK123" i="4"/>
  <c r="V127" i="4"/>
  <c r="P130" i="4"/>
  <c r="AJ125" i="4"/>
  <c r="Q123" i="4"/>
  <c r="J134" i="4"/>
  <c r="W134" i="4"/>
  <c r="H133" i="4"/>
  <c r="F124" i="4"/>
  <c r="H128" i="4"/>
  <c r="S126" i="4"/>
  <c r="I133" i="4"/>
  <c r="W126" i="4"/>
  <c r="L130" i="4"/>
  <c r="P129" i="4"/>
  <c r="L124" i="4"/>
  <c r="J126" i="4"/>
  <c r="V130" i="4"/>
  <c r="O135" i="4"/>
  <c r="AL124" i="4"/>
  <c r="U132" i="4"/>
  <c r="AD131" i="4"/>
  <c r="E125" i="4"/>
  <c r="W122" i="4"/>
  <c r="AG130" i="4"/>
  <c r="K125" i="4"/>
  <c r="R126" i="4"/>
  <c r="AA131" i="4"/>
  <c r="U123" i="4"/>
  <c r="G135" i="4"/>
  <c r="AD130" i="4"/>
  <c r="AD127" i="4"/>
  <c r="AD128" i="4"/>
  <c r="S130" i="4"/>
  <c r="H129" i="4"/>
  <c r="L126" i="4"/>
  <c r="F125" i="4"/>
  <c r="N129" i="4"/>
  <c r="AL127" i="4"/>
  <c r="AA135" i="4"/>
  <c r="AK124" i="4"/>
  <c r="M122" i="4"/>
  <c r="AD123" i="4"/>
  <c r="J128" i="4"/>
  <c r="X122" i="4"/>
  <c r="T133" i="4"/>
  <c r="P131" i="4"/>
  <c r="I131" i="4"/>
  <c r="AG133" i="4"/>
  <c r="N131" i="4"/>
  <c r="Q122" i="4"/>
  <c r="L129" i="4"/>
  <c r="V129" i="4"/>
  <c r="I132" i="4"/>
  <c r="J127" i="4"/>
  <c r="AH128" i="4"/>
  <c r="AE131" i="4"/>
  <c r="L128" i="4"/>
  <c r="O125" i="4"/>
  <c r="AE130" i="4"/>
  <c r="Z129" i="4"/>
  <c r="AA132" i="4"/>
  <c r="Q133" i="4"/>
  <c r="E124" i="4"/>
  <c r="AH126" i="4"/>
  <c r="AF130" i="4"/>
  <c r="Y125" i="4"/>
  <c r="V122" i="4"/>
  <c r="AI122" i="4"/>
  <c r="AK122" i="4"/>
  <c r="X125" i="4"/>
  <c r="AB134" i="4"/>
  <c r="G126" i="4"/>
  <c r="AA134" i="4"/>
  <c r="Y130" i="4"/>
  <c r="V124" i="4"/>
  <c r="I125" i="4"/>
  <c r="AL132" i="4"/>
  <c r="AJ134" i="4"/>
  <c r="Y129" i="4"/>
  <c r="AJ131" i="4"/>
  <c r="E135" i="4"/>
  <c r="AK126" i="4"/>
  <c r="T127" i="4"/>
  <c r="J123" i="4"/>
  <c r="W123" i="4"/>
  <c r="H135" i="4"/>
  <c r="AE124" i="4"/>
  <c r="S133" i="4"/>
  <c r="V132" i="4"/>
  <c r="O122" i="4"/>
  <c r="AA123" i="4"/>
  <c r="V133" i="4"/>
  <c r="AI135" i="4"/>
  <c r="AJ133" i="4"/>
  <c r="P132" i="4"/>
  <c r="Y122" i="4"/>
  <c r="Y131" i="4"/>
  <c r="K130" i="4"/>
  <c r="T123" i="4"/>
  <c r="J132" i="4"/>
  <c r="I123" i="4"/>
  <c r="AC125" i="4"/>
  <c r="E130" i="4"/>
  <c r="M134" i="4"/>
  <c r="AK131" i="4"/>
  <c r="AF126" i="4"/>
  <c r="AF124" i="4"/>
  <c r="AE122" i="4"/>
  <c r="I122" i="4"/>
  <c r="AF125" i="4"/>
  <c r="P134" i="4"/>
  <c r="Z135" i="4"/>
  <c r="R129" i="4"/>
  <c r="N135" i="4"/>
  <c r="G127" i="4"/>
  <c r="S135" i="4"/>
  <c r="U128" i="4"/>
  <c r="P135" i="4"/>
  <c r="Q126" i="4"/>
  <c r="O128" i="4"/>
  <c r="J131" i="4"/>
  <c r="AK125" i="4"/>
  <c r="M133" i="4"/>
  <c r="H134" i="4"/>
  <c r="AE127" i="4"/>
  <c r="L133" i="4"/>
  <c r="AG128" i="4"/>
  <c r="AA128" i="4"/>
  <c r="AB131" i="4"/>
  <c r="V131" i="4"/>
  <c r="AF135" i="4"/>
  <c r="J129" i="4"/>
  <c r="AF128" i="4"/>
  <c r="AI130" i="4"/>
  <c r="M132" i="4"/>
  <c r="AK132" i="4"/>
  <c r="AG135" i="4"/>
  <c r="Y124" i="4"/>
  <c r="U133" i="4"/>
  <c r="AI127" i="4"/>
  <c r="AG134" i="4"/>
  <c r="I127" i="4"/>
  <c r="O133" i="4"/>
  <c r="J124" i="4"/>
  <c r="U129" i="4"/>
  <c r="O124" i="4"/>
  <c r="AC131" i="4"/>
  <c r="X131" i="4"/>
  <c r="AL128" i="4"/>
  <c r="H131" i="4"/>
  <c r="F133" i="4"/>
  <c r="G122" i="4"/>
  <c r="S123" i="4"/>
  <c r="N126" i="4"/>
  <c r="K126" i="4"/>
  <c r="L135" i="4"/>
  <c r="R125" i="4"/>
  <c r="N128" i="4"/>
  <c r="S127" i="4"/>
  <c r="AC128" i="4"/>
  <c r="V125" i="4"/>
  <c r="AE125" i="4"/>
  <c r="M128" i="4"/>
  <c r="U126" i="4"/>
  <c r="H132" i="4"/>
  <c r="S129" i="4"/>
  <c r="F129" i="4"/>
  <c r="AC132" i="4"/>
  <c r="R128" i="4"/>
  <c r="Q135" i="4"/>
  <c r="T134" i="4"/>
  <c r="AA122" i="4"/>
  <c r="AE133" i="4"/>
  <c r="Z124" i="4"/>
  <c r="G133" i="4"/>
  <c r="AG131" i="4"/>
  <c r="Y133" i="4"/>
  <c r="AG129" i="4"/>
  <c r="H127" i="4"/>
  <c r="AK129" i="4"/>
  <c r="AD124" i="4"/>
  <c r="U131" i="4"/>
  <c r="AB124" i="4"/>
  <c r="L134" i="4"/>
  <c r="M127" i="4"/>
  <c r="AH127" i="4"/>
  <c r="AB127" i="4"/>
  <c r="AC130" i="4"/>
  <c r="W130" i="4"/>
  <c r="J133" i="4"/>
  <c r="K128" i="4"/>
  <c r="AA125" i="4"/>
  <c r="AK130" i="4"/>
  <c r="AF129" i="4"/>
  <c r="H123" i="4"/>
  <c r="Z134" i="4"/>
  <c r="Z123" i="4"/>
  <c r="N132" i="4"/>
  <c r="AA133" i="4"/>
  <c r="AB122" i="4"/>
  <c r="AJ135" i="4"/>
  <c r="AL123" i="4"/>
  <c r="K123" i="4"/>
  <c r="O134" i="4"/>
  <c r="AJ132" i="4"/>
  <c r="AB130" i="4"/>
  <c r="AF122" i="4"/>
  <c r="AC122" i="4"/>
  <c r="O123" i="4"/>
  <c r="R134" i="4"/>
  <c r="AK127" i="4"/>
  <c r="AE134" i="4"/>
  <c r="V126" i="4"/>
  <c r="AJ124" i="4"/>
  <c r="AH123" i="4"/>
  <c r="AL130" i="4"/>
  <c r="AH133" i="4"/>
  <c r="H122" i="4"/>
  <c r="R132" i="4"/>
  <c r="Z130" i="4"/>
  <c r="Z132" i="4"/>
  <c r="W132" i="4"/>
  <c r="AI131" i="4"/>
  <c r="AB125" i="4"/>
  <c r="K135" i="4"/>
  <c r="R130" i="4"/>
  <c r="AL131" i="4"/>
  <c r="E128" i="4"/>
  <c r="W133" i="4"/>
  <c r="P124" i="4"/>
  <c r="K129" i="4"/>
  <c r="R123" i="4"/>
  <c r="I130" i="4"/>
  <c r="AK134" i="4"/>
  <c r="O126" i="4"/>
  <c r="S124" i="4"/>
  <c r="AJ126" i="4"/>
  <c r="M123" i="4"/>
  <c r="AA127" i="4"/>
  <c r="AL135" i="4"/>
  <c r="AA126" i="4"/>
  <c r="AD129" i="4"/>
  <c r="K132" i="4"/>
  <c r="W129" i="4"/>
  <c r="F132" i="4"/>
  <c r="S122" i="4"/>
  <c r="S131" i="4"/>
  <c r="AE128" i="4"/>
  <c r="L122" i="4"/>
  <c r="AD134" i="4"/>
  <c r="AF127" i="4"/>
  <c r="AE126" i="4"/>
  <c r="Q129" i="4"/>
  <c r="N130" i="4"/>
  <c r="AF132" i="4"/>
  <c r="AF134" i="4"/>
  <c r="AC135" i="4"/>
  <c r="G129" i="4"/>
  <c r="S128" i="4"/>
  <c r="AF123" i="4"/>
  <c r="AA129" i="4"/>
  <c r="AB135" i="4"/>
  <c r="V128" i="4"/>
  <c r="E131" i="4"/>
  <c r="AE129" i="4"/>
  <c r="X133" i="4"/>
  <c r="R133" i="4"/>
  <c r="I135" i="4"/>
  <c r="F131" i="4"/>
  <c r="X132" i="4"/>
  <c r="T122" i="4"/>
  <c r="Q130" i="4"/>
  <c r="X128" i="4"/>
  <c r="AL129" i="4"/>
  <c r="T125" i="4"/>
  <c r="AD125" i="4"/>
  <c r="W128" i="4"/>
  <c r="Y128" i="4"/>
  <c r="L131" i="4"/>
  <c r="M126" i="4"/>
  <c r="U135" i="4"/>
  <c r="O129" i="4"/>
  <c r="E127" i="4"/>
  <c r="AD126" i="4"/>
  <c r="AG122" i="4"/>
  <c r="K124" i="4"/>
  <c r="L123" i="4"/>
  <c r="K131" i="4"/>
  <c r="K133" i="4"/>
  <c r="T128" i="4"/>
  <c r="F122" i="4"/>
  <c r="AH134" i="4"/>
  <c r="G131" i="4"/>
  <c r="Q124" i="4"/>
  <c r="AB126" i="4"/>
  <c r="AG132" i="4"/>
  <c r="Z128" i="4"/>
  <c r="R131" i="4"/>
  <c r="AH132" i="4"/>
  <c r="AI123" i="4"/>
  <c r="R122" i="4"/>
  <c r="AF131" i="4"/>
  <c r="X124" i="4"/>
  <c r="I134" i="4"/>
  <c r="K122" i="4"/>
  <c r="M129" i="4"/>
  <c r="J125" i="4"/>
  <c r="G132" i="4"/>
  <c r="P125" i="4"/>
  <c r="P126" i="4"/>
  <c r="K127" i="4"/>
  <c r="AH131" i="4"/>
  <c r="AL125" i="4"/>
  <c r="E134" i="4"/>
  <c r="J130" i="4"/>
  <c r="AJ129" i="4"/>
  <c r="O132" i="4"/>
  <c r="Q127" i="4"/>
  <c r="T135" i="4"/>
  <c r="AA124" i="4"/>
  <c r="AL126" i="4"/>
  <c r="AL133" i="4"/>
  <c r="X126" i="4"/>
  <c r="F127" i="4"/>
  <c r="T126" i="4"/>
  <c r="H130" i="4"/>
  <c r="AC126" i="4"/>
  <c r="X129" i="4"/>
  <c r="L127" i="4"/>
  <c r="Q134" i="4"/>
  <c r="AK128" i="4"/>
  <c r="G123" i="4"/>
  <c r="R124" i="4"/>
  <c r="E123" i="4"/>
  <c r="N133" i="4"/>
  <c r="AH124" i="4"/>
  <c r="O127" i="4"/>
  <c r="N127" i="4"/>
  <c r="AI129" i="4"/>
  <c r="AC124" i="4"/>
  <c r="T129" i="4"/>
  <c r="P133" i="4"/>
  <c r="S125" i="4"/>
  <c r="T132" i="4"/>
  <c r="V134" i="4"/>
  <c r="M135" i="4"/>
  <c r="Z126" i="4"/>
  <c r="Y132" i="4"/>
  <c r="S132" i="4"/>
  <c r="F135" i="4"/>
  <c r="G130" i="4"/>
  <c r="AI133" i="4"/>
  <c r="AE123" i="4"/>
  <c r="AG125" i="4"/>
  <c r="AF133" i="4"/>
  <c r="AE132" i="4"/>
  <c r="AI125" i="4"/>
  <c r="W124" i="4"/>
  <c r="P127" i="4"/>
  <c r="Z127" i="4"/>
  <c r="M130" i="4"/>
  <c r="N125" i="4"/>
  <c r="H125" i="4"/>
  <c r="U127" i="4"/>
  <c r="F126" i="4"/>
  <c r="AH125" i="4"/>
  <c r="AB128" i="4"/>
  <c r="V123" i="4"/>
  <c r="Y127" i="4"/>
  <c r="AB129" i="4"/>
  <c r="W125" i="4"/>
  <c r="AD133" i="4"/>
  <c r="AK133" i="4"/>
  <c r="J135" i="4"/>
  <c r="I124" i="4"/>
  <c r="AC129" i="4"/>
  <c r="M125" i="4"/>
  <c r="E133" i="4"/>
  <c r="W131" i="4"/>
  <c r="AG126" i="4"/>
  <c r="U122" i="4"/>
  <c r="U125" i="4"/>
  <c r="AI126" i="4"/>
  <c r="F134" i="4"/>
  <c r="P122" i="4"/>
  <c r="AK135" i="4"/>
  <c r="W135" i="4"/>
  <c r="AI134" i="4"/>
  <c r="Q125" i="4"/>
  <c r="U124" i="4"/>
  <c r="AJ130" i="4"/>
  <c r="N124" i="4"/>
  <c r="I129" i="4"/>
  <c r="S134" i="4"/>
  <c r="Y126" i="4"/>
  <c r="Y135" i="4"/>
  <c r="X134" i="4"/>
  <c r="F128" i="4"/>
  <c r="Q132" i="4"/>
  <c r="P128" i="4"/>
  <c r="K134" i="4"/>
  <c r="Q128" i="4"/>
  <c r="Z122" i="4"/>
  <c r="E132" i="4"/>
  <c r="AJ127" i="4"/>
  <c r="AC123" i="4"/>
  <c r="E129" i="4"/>
  <c r="F129" i="1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<sst xmlns="http://schemas.openxmlformats.org/spreadsheetml/2006/main" count="332" uniqueCount="95">
  <si>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</si>
  <si>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</si>
  <si>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</si>
  <si>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</si>
  <si>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</si>
  <si>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</si>
  <si>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</si>
  <si>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</si>
  <si>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</si>
  <si>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</si>
  <si>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</si>
  <si>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</si>
  <si>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</si>
  <si>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</si>
  <si>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</si>
  <si>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</si>
  <si>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</si>
  <si>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</si>
  <si>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</si>
  <si>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</si>
  <si>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</si>
  <si>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</si>
  <si>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</si>
  <si>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</si>
  <si>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</si>
  <si>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</si>
  <si>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</si>
  <si>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</si>
  <si>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</si>
  <si>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</si>
  <si>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</si>
  <si>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</si>
  <si>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</si>
  <si>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</si>
  <si>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</si>
  <si>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</si>
  <si>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</si>
  <si>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</si>
  <si>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</si>
  <si>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</si>
  <si>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</si>
  <si>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*GeSe</t>
  </si>
  <si>
    <t>*Se[m]</t>
  </si>
  <si>
    <r>
      <t>Temperature,</t>
    </r>
    <r>
      <rPr>
        <sz val="8"/>
        <rFont val="Arial"/>
        <family val="2"/>
        <charset val="204"/>
      </rPr>
      <t>К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</si>
  <si>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</si>
  <si>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</si>
  <si>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jXAr)</t>
  </si>
  <si>
    <t>p(Ga)</t>
  </si>
  <si>
    <t>p(Ge)</t>
  </si>
  <si>
    <t>p(Se)</t>
  </si>
  <si>
    <t>Vapor</t>
  </si>
  <si>
    <t>Convergence</t>
  </si>
  <si>
    <t>0,00006+00</t>
  </si>
  <si>
    <t>*Ga[1]</t>
  </si>
  <si>
    <t>(1)GeSe2</t>
  </si>
  <si>
    <t>(1)Ga2Se3</t>
  </si>
  <si>
    <t>(1)Ga2Se</t>
  </si>
  <si>
    <t>(1)Ge</t>
  </si>
  <si>
    <t>(1)Ga</t>
  </si>
  <si>
    <t>(1)Se</t>
  </si>
  <si>
    <t>(1)Se[a]</t>
  </si>
  <si>
    <t>(1)Se[m]</t>
  </si>
  <si>
    <t>(1)Se[r]</t>
  </si>
  <si>
    <t>(1)Geic]</t>
  </si>
  <si>
    <t>(3)Ga[1]</t>
  </si>
  <si>
    <t>(3)Ge[1]</t>
  </si>
  <si>
    <t>So1ution #1</t>
  </si>
  <si>
    <t>So1ution #2</t>
  </si>
  <si>
    <t>So1ution #3</t>
  </si>
  <si>
    <t>Temperature,К</t>
  </si>
  <si>
    <t>Ga2Se3</t>
  </si>
  <si>
    <t>Ga2Se</t>
  </si>
  <si>
    <t>P1+P2 + газ без Ar</t>
  </si>
  <si>
    <r>
      <t>*GeSe</t>
    </r>
    <r>
      <rPr>
        <vertAlign val="subscript"/>
        <sz val="8"/>
        <rFont val="Arial"/>
        <family val="2"/>
        <charset val="204"/>
      </rPr>
      <t>2</t>
    </r>
  </si>
  <si>
    <t>(1)GeSe</t>
  </si>
  <si>
    <t>*GeSe2</t>
  </si>
  <si>
    <t>*Ge[c]</t>
  </si>
  <si>
    <t>*Ge</t>
  </si>
  <si>
    <t>(l)Ga[l]</t>
  </si>
  <si>
    <t>(l)Ge[l]</t>
  </si>
  <si>
    <t>(l)Se[l]</t>
  </si>
  <si>
    <t>Se4</t>
  </si>
  <si>
    <t>*Se[l]</t>
  </si>
  <si>
    <t>Se3</t>
  </si>
  <si>
    <t>Se5</t>
  </si>
  <si>
    <t>Se6</t>
  </si>
  <si>
    <t>Se8</t>
  </si>
  <si>
    <t>Se2</t>
  </si>
  <si>
    <t>Se7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</si>
  <si>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</si>
  <si>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*Ge[1]</t>
  </si>
  <si>
    <t>(1)Ga[1]</t>
  </si>
  <si>
    <t>(1)Ge[1]</t>
  </si>
  <si>
    <t>*Ga2Se</t>
  </si>
  <si>
    <t>Данные концентраций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</si>
</sst>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6.5"/>
      <name val="Arial"/>
      <family val="2"/>
      <charset val="204"/>
    </font>
    <font>
      <b/>
      <sz val="6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201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4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5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28" xfId="0" applyNumberFormat="1" applyFont="1" applyFill="1" applyBorder="1" applyAlignment="1" applyProtection="1">
      <alignment horizontal="center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center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9" fillId="6" borderId="35" xfId="3" applyBorder="1" applyAlignment="1">
      <alignment horizontal="right" vertical="center"/>
    </xf>
    <xf numFmtId="11" fontId="0" fillId="0" borderId="0" xfId="0" applyNumberFormat="1"/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0" fontId="28" fillId="0" borderId="0" xfId="8" applyNumberFormat="1" applyFont="1" applyFill="1" applyBorder="1" applyAlignment="1" applyProtection="1">
      <alignment vertical="top"/>
    </xf>
    <xf numFmtId="0" fontId="23" fillId="0" borderId="0" xfId="8" applyNumberFormat="1" applyFont="1" applyFill="1" applyBorder="1" applyAlignment="1" applyProtection="1">
      <alignment vertical="top"/>
    </xf>
    <xf numFmtId="0" fontId="13" fillId="0" borderId="0" xfId="8" applyNumberFormat="1" applyFont="1" applyFill="1" applyBorder="1" applyAlignment="1" applyProtection="1">
      <alignment vertical="top"/>
    </xf>
    <xf numFmtId="0" fontId="23" fillId="0" borderId="36" xfId="8" applyNumberFormat="1" applyFont="1" applyFill="1" applyBorder="1" applyAlignment="1" applyProtection="1">
      <alignment horizontal="left" vertical="top"/>
    </xf>
    <xf numFmtId="0" fontId="29" fillId="0" borderId="37" xfId="8" applyNumberFormat="1" applyFont="1" applyFill="1" applyBorder="1" applyAlignment="1" applyProtection="1">
      <alignment horizontal="justify"/>
    </xf>
    <xf numFmtId="0" fontId="23" fillId="0" borderId="30" xfId="8" applyNumberFormat="1" applyFont="1" applyFill="1" applyBorder="1" applyAlignment="1" applyProtection="1">
      <alignment horizontal="left" vertical="top"/>
    </xf>
    <xf numFmtId="0" fontId="13" fillId="0" borderId="37" xfId="8" applyNumberFormat="1" applyFont="1" applyFill="1" applyBorder="1" applyAlignment="1" applyProtection="1">
      <alignment horizontal="left" vertical="top"/>
    </xf>
    <xf numFmtId="0" fontId="23" fillId="0" borderId="38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left" wrapText="1"/>
    </xf>
    <xf numFmtId="0" fontId="13" fillId="0" borderId="28" xfId="8" applyNumberFormat="1" applyFont="1" applyFill="1" applyBorder="1" applyAlignment="1" applyProtection="1">
      <alignment horizontal="justify" wrapText="1"/>
    </xf>
    <xf numFmtId="0" fontId="13" fillId="0" borderId="28" xfId="8" applyNumberFormat="1" applyFont="1" applyFill="1" applyBorder="1" applyAlignment="1" applyProtection="1">
      <alignment horizontal="center" wrapText="1"/>
    </xf>
    <xf numFmtId="0" fontId="13" fillId="0" borderId="37" xfId="8" applyNumberFormat="1" applyFont="1" applyFill="1" applyBorder="1" applyAlignment="1" applyProtection="1">
      <alignment horizontal="left" wrapText="1"/>
    </xf>
    <xf numFmtId="0" fontId="13" fillId="0" borderId="30" xfId="8" applyNumberFormat="1" applyFont="1" applyFill="1" applyBorder="1" applyAlignment="1" applyProtection="1">
      <alignment horizontal="justify" vertical="top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 vertical="top"/>
    </xf>
    <xf numFmtId="0" fontId="13" fillId="0" borderId="34" xfId="8" applyNumberFormat="1" applyFont="1" applyFill="1" applyBorder="1" applyAlignment="1" applyProtection="1">
      <alignment horizontal="center" vertical="top"/>
    </xf>
    <xf numFmtId="0" fontId="13" fillId="0" borderId="34" xfId="8" applyNumberFormat="1" applyFont="1" applyFill="1" applyBorder="1" applyAlignment="1" applyProtection="1">
      <alignment horizontal="left" vertical="top" wrapText="1"/>
    </xf>
    <xf numFmtId="0" fontId="13" fillId="0" borderId="34" xfId="8" applyNumberFormat="1" applyFont="1" applyFill="1" applyBorder="1" applyAlignment="1" applyProtection="1">
      <alignment horizontal="justify" vertical="top" wrapText="1"/>
    </xf>
    <xf numFmtId="0" fontId="13" fillId="0" borderId="34" xfId="8" applyNumberFormat="1" applyFont="1" applyFill="1" applyBorder="1" applyAlignment="1" applyProtection="1">
      <alignment horizontal="center" vertical="top" wrapText="1"/>
    </xf>
    <xf numFmtId="0" fontId="13" fillId="0" borderId="37" xfId="8" applyNumberFormat="1" applyFont="1" applyFill="1" applyBorder="1" applyAlignment="1" applyProtection="1">
      <alignment horizontal="left"/>
    </xf>
    <xf numFmtId="0" fontId="13" fillId="0" borderId="30" xfId="8" applyNumberFormat="1" applyFont="1" applyFill="1" applyBorder="1" applyAlignment="1" applyProtection="1">
      <alignment horizontal="justify"/>
    </xf>
    <xf numFmtId="0" fontId="13" fillId="0" borderId="37" xfId="8" applyNumberFormat="1" applyFont="1" applyFill="1" applyBorder="1" applyAlignment="1" applyProtection="1">
      <alignment horizontal="justify"/>
    </xf>
    <xf numFmtId="0" fontId="13" fillId="0" borderId="30" xfId="8" applyNumberFormat="1" applyFont="1" applyFill="1" applyBorder="1" applyAlignment="1" applyProtection="1">
      <alignment horizontal="left"/>
    </xf>
    <xf numFmtId="0" fontId="13" fillId="0" borderId="10" xfId="8" applyNumberFormat="1" applyFont="1" applyFill="1" applyBorder="1" applyAlignment="1" applyProtection="1">
      <alignment horizontal="left" vertical="center"/>
    </xf>
    <xf numFmtId="0" fontId="13" fillId="0" borderId="30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/>
    </xf>
    <xf numFmtId="0" fontId="13" fillId="0" borderId="34" xfId="8" applyNumberFormat="1" applyFont="1" applyFill="1" applyBorder="1" applyAlignment="1" applyProtection="1">
      <alignment horizontal="center"/>
    </xf>
    <xf numFmtId="0" fontId="23" fillId="0" borderId="28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/>
    </xf>
    <xf numFmtId="0" fontId="23" fillId="0" borderId="34" xfId="8" applyNumberFormat="1" applyFont="1" applyFill="1" applyBorder="1" applyAlignment="1" applyProtection="1">
      <alignment horizontal="left" vertical="top"/>
    </xf>
    <xf numFmtId="0" fontId="13" fillId="0" borderId="10" xfId="8" applyNumberFormat="1" applyFont="1" applyFill="1" applyBorder="1" applyAlignment="1" applyProtection="1">
      <alignment horizontal="left" vertical="top" wrapText="1"/>
    </xf>
    <xf numFmtId="0" fontId="13" fillId="0" borderId="10" xfId="8" applyNumberFormat="1" applyFont="1" applyFill="1" applyBorder="1" applyAlignment="1" applyProtection="1">
      <alignment horizontal="justify" vertical="top" wrapText="1"/>
    </xf>
    <xf numFmtId="0" fontId="13" fillId="0" borderId="10" xfId="8" applyNumberFormat="1" applyFont="1" applyFill="1" applyBorder="1" applyAlignment="1" applyProtection="1">
      <alignment horizontal="center" vertical="top" wrapText="1"/>
    </xf>
    <xf numFmtId="0" fontId="13" fillId="0" borderId="10" xfId="8" applyNumberFormat="1" applyFont="1" applyFill="1" applyBorder="1" applyAlignment="1" applyProtection="1">
      <alignment horizontal="justify" vertical="center"/>
    </xf>
    <xf numFmtId="0" fontId="13" fillId="0" borderId="28" xfId="8" applyNumberFormat="1" applyFont="1" applyFill="1" applyBorder="1" applyAlignment="1" applyProtection="1">
      <alignment vertical="center" wrapText="1"/>
    </xf>
    <xf numFmtId="0" fontId="13" fillId="0" borderId="34" xfId="8" applyNumberFormat="1" applyFont="1" applyFill="1" applyBorder="1" applyAlignment="1" applyProtection="1">
      <alignment vertical="center" wrapText="1"/>
    </xf>
    <xf numFmtId="0" fontId="13" fillId="0" borderId="10" xfId="8" applyNumberFormat="1" applyFont="1" applyFill="1" applyBorder="1" applyAlignment="1" applyProtection="1">
      <alignment vertical="center" wrapText="1"/>
    </xf>
    <xf numFmtId="0" fontId="23" fillId="0" borderId="37" xfId="8" applyNumberFormat="1" applyFont="1" applyFill="1" applyBorder="1" applyAlignment="1" applyProtection="1">
      <alignment vertical="top"/>
    </xf>
    <xf numFmtId="0" fontId="13" fillId="0" borderId="28" xfId="8" applyNumberFormat="1" applyFont="1" applyFill="1" applyBorder="1" applyAlignment="1" applyProtection="1">
      <alignment vertical="top"/>
    </xf>
    <xf numFmtId="0" fontId="13" fillId="0" borderId="34" xfId="8" applyNumberFormat="1" applyFont="1" applyFill="1" applyBorder="1" applyAlignment="1" applyProtection="1">
      <alignment vertical="top"/>
    </xf>
    <xf numFmtId="0" fontId="23" fillId="0" borderId="38" xfId="8" applyNumberFormat="1" applyFont="1" applyFill="1" applyBorder="1" applyAlignment="1" applyProtection="1">
      <alignment vertical="top"/>
    </xf>
    <xf numFmtId="0" fontId="29" fillId="0" borderId="37" xfId="8" applyNumberFormat="1" applyFont="1" applyFill="1" applyBorder="1" applyAlignment="1" applyProtection="1">
      <alignment horizontal="left" vertical="top"/>
    </xf>
    <xf numFmtId="0" fontId="13" fillId="0" borderId="37" xfId="8" applyNumberFormat="1" applyFont="1" applyFill="1" applyBorder="1" applyAlignment="1" applyProtection="1">
      <alignment horizontal="justify" vertical="top"/>
    </xf>
    <xf numFmtId="0" fontId="23" fillId="0" borderId="10" xfId="8" applyNumberFormat="1" applyFont="1" applyFill="1" applyBorder="1" applyAlignment="1" applyProtection="1">
      <alignment horizontal="left" vertical="top"/>
    </xf>
    <xf numFmtId="11" fontId="13" fillId="0" borderId="0" xfId="9" applyNumberFormat="1" applyFont="1" applyFill="1" applyBorder="1" applyAlignment="1" applyProtection="1">
      <alignment vertical="top"/>
    </xf>
    <xf numFmtId="11" fontId="23" fillId="0" borderId="0" xfId="9" applyNumberFormat="1" applyFont="1" applyFill="1" applyBorder="1" applyAlignment="1" applyProtection="1">
      <alignment vertical="top"/>
    </xf>
    <xf numFmtId="0" fontId="13" fillId="0" borderId="30" xfId="10" applyNumberFormat="1" applyFont="1" applyFill="1" applyBorder="1" applyAlignment="1" applyProtection="1">
      <alignment horizontal="left" vertical="top"/>
    </xf>
    <xf numFmtId="0" fontId="13" fillId="0" borderId="34" xfId="10" applyNumberFormat="1" applyFont="1" applyFill="1" applyBorder="1" applyAlignment="1" applyProtection="1">
      <alignment horizontal="justify" vertical="top"/>
    </xf>
    <xf numFmtId="0" fontId="13" fillId="0" borderId="38" xfId="10" applyNumberFormat="1" applyFont="1" applyFill="1" applyBorder="1" applyAlignment="1" applyProtection="1">
      <alignment horizontal="left" vertical="top"/>
    </xf>
    <xf numFmtId="0" fontId="13" fillId="0" borderId="36" xfId="10" applyNumberFormat="1" applyFont="1" applyFill="1" applyBorder="1" applyAlignment="1" applyProtection="1">
      <alignment horizontal="left"/>
    </xf>
    <xf numFmtId="0" fontId="13" fillId="0" borderId="30" xfId="10" applyNumberFormat="1" applyFont="1" applyFill="1" applyBorder="1" applyAlignment="1" applyProtection="1">
      <alignment horizontal="left"/>
    </xf>
    <xf numFmtId="0" fontId="13" fillId="0" borderId="34" xfId="10" applyNumberFormat="1" applyFont="1" applyFill="1" applyBorder="1" applyAlignment="1" applyProtection="1">
      <alignment horizontal="justify"/>
    </xf>
    <xf numFmtId="0" fontId="13" fillId="0" borderId="34" xfId="10" applyNumberFormat="1" applyFont="1" applyFill="1" applyBorder="1" applyAlignment="1" applyProtection="1">
      <alignment horizontal="right"/>
    </xf>
    <xf numFmtId="11" fontId="13" fillId="0" borderId="28" xfId="10" applyNumberFormat="1" applyFont="1" applyFill="1" applyBorder="1" applyAlignment="1" applyProtection="1">
      <alignment horizontal="justify"/>
    </xf>
    <xf numFmtId="11" fontId="13" fillId="0" borderId="28" xfId="10" applyNumberFormat="1" applyFont="1" applyFill="1" applyBorder="1" applyAlignment="1" applyProtection="1">
      <alignment horizontal="center"/>
    </xf>
    <xf numFmtId="11" fontId="13" fillId="0" borderId="34" xfId="10" applyNumberFormat="1" applyFont="1" applyFill="1" applyBorder="1" applyAlignment="1" applyProtection="1">
      <alignment horizontal="justify"/>
    </xf>
    <xf numFmtId="11" fontId="13" fillId="0" borderId="34" xfId="10" applyNumberFormat="1" applyFont="1" applyFill="1" applyBorder="1" applyAlignment="1" applyProtection="1">
      <alignment horizontal="center"/>
    </xf>
    <xf numFmtId="11" fontId="13" fillId="0" borderId="34" xfId="10" applyNumberFormat="1" applyFont="1" applyFill="1" applyBorder="1" applyAlignment="1" applyProtection="1">
      <alignment horizontal="center" vertical="top"/>
    </xf>
    <xf numFmtId="11" fontId="13" fillId="0" borderId="34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center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3" fillId="0" borderId="37" xfId="8" applyNumberFormat="1" applyFont="1" applyFill="1" applyBorder="1" applyAlignment="1" applyProtection="1">
      <alignment horizontal="left" vertical="center"/>
    </xf>
    <xf numFmtId="0" fontId="13" fillId="0" borderId="28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left" vertical="center" wrapText="1"/>
    </xf>
    <xf numFmtId="0" fontId="13" fillId="0" borderId="34" xfId="8" applyNumberFormat="1" applyFont="1" applyFill="1" applyBorder="1" applyAlignment="1" applyProtection="1">
      <alignment horizontal="left" vertical="center" wrapText="1"/>
    </xf>
    <xf numFmtId="0" fontId="13" fillId="0" borderId="10" xfId="8" applyNumberFormat="1" applyFont="1" applyFill="1" applyBorder="1" applyAlignment="1" applyProtection="1">
      <alignment horizontal="left" vertical="center" wrapText="1"/>
    </xf>
    <xf numFmtId="0" fontId="13" fillId="0" borderId="28" xfId="8" applyNumberFormat="1" applyFont="1" applyFill="1" applyBorder="1" applyAlignment="1" applyProtection="1">
      <alignment horizontal="right" vertical="center" wrapText="1"/>
    </xf>
    <xf numFmtId="0" fontId="13" fillId="0" borderId="34" xfId="8" applyNumberFormat="1" applyFont="1" applyFill="1" applyBorder="1" applyAlignment="1" applyProtection="1">
      <alignment horizontal="right" vertical="center" wrapText="1"/>
    </xf>
    <xf numFmtId="0" fontId="13" fillId="0" borderId="10" xfId="8" applyNumberFormat="1" applyFont="1" applyFill="1" applyBorder="1" applyAlignment="1" applyProtection="1">
      <alignment horizontal="right" vertical="center" wrapText="1"/>
    </xf>
    <xf numFmtId="0" fontId="0" fillId="14" borderId="0" xfId="0" applyFill="1"/>
  </cellXfs>
  <cellStyles count="11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ta" xfId="9" xr:uid="{9275C673-76BF-48D6-9BC6-D4A97F84457C}"/>
    <cellStyle name="Обычный_F" xfId="8" xr:uid="{56CD7B33-F81A-4806-B957-6B725573CFC0}"/>
    <cellStyle name="Обычный_S" xfId="10" xr:uid="{114CFED7-5219-4267-8107-F391217BE4AE}"/>
    <cellStyle name="Форм" xfId="4" xr:uid="{810E17FE-2F7B-4E62-B173-29B9F2A26C86}"/>
  </cellStyles>
  <dxfs count="13"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-152.03891136642861</c:v>
                </c:pt>
                <c:pt idx="1">
                  <c:v>-154.00607693057142</c:v>
                </c:pt>
                <c:pt idx="2">
                  <c:v>-156.04911587057143</c:v>
                </c:pt>
                <c:pt idx="3">
                  <c:v>-158.43258132299999</c:v>
                </c:pt>
                <c:pt idx="4">
                  <c:v>-161.15876571428572</c:v>
                </c:pt>
                <c:pt idx="5">
                  <c:v>-175.04147519909998</c:v>
                </c:pt>
                <c:pt idx="6">
                  <c:v>-178.95455161470002</c:v>
                </c:pt>
                <c:pt idx="7">
                  <c:v>-183.13790581890004</c:v>
                </c:pt>
                <c:pt idx="8">
                  <c:v>-187.71008179544998</c:v>
                </c:pt>
                <c:pt idx="9">
                  <c:v>-192.74201398842857</c:v>
                </c:pt>
                <c:pt idx="10">
                  <c:v>-198.38092938734999</c:v>
                </c:pt>
                <c:pt idx="11">
                  <c:v>-204.68664891925712</c:v>
                </c:pt>
                <c:pt idx="12">
                  <c:v>-211.57047599250004</c:v>
                </c:pt>
                <c:pt idx="13">
                  <c:v>-218.85162617678571</c:v>
                </c:pt>
                <c:pt idx="14">
                  <c:v>-226.37463685157141</c:v>
                </c:pt>
                <c:pt idx="15">
                  <c:v>-234.06891434849999</c:v>
                </c:pt>
                <c:pt idx="16">
                  <c:v>-241.97792924914287</c:v>
                </c:pt>
                <c:pt idx="17">
                  <c:v>-249.94023950089291</c:v>
                </c:pt>
                <c:pt idx="18">
                  <c:v>-258.15271654742145</c:v>
                </c:pt>
                <c:pt idx="19">
                  <c:v>-266.35261601224289</c:v>
                </c:pt>
                <c:pt idx="20">
                  <c:v>-274.68123427080002</c:v>
                </c:pt>
                <c:pt idx="21">
                  <c:v>-283.1542333467429</c:v>
                </c:pt>
                <c:pt idx="22">
                  <c:v>-318.91649446830002</c:v>
                </c:pt>
                <c:pt idx="23">
                  <c:v>-357.05651848307139</c:v>
                </c:pt>
                <c:pt idx="24">
                  <c:v>-366.94693729155</c:v>
                </c:pt>
                <c:pt idx="25">
                  <c:v>-376.84470516779999</c:v>
                </c:pt>
                <c:pt idx="26">
                  <c:v>-386.85742789570713</c:v>
                </c:pt>
                <c:pt idx="27">
                  <c:v>-396.86544722974287</c:v>
                </c:pt>
                <c:pt idx="28">
                  <c:v>-407.16199954979993</c:v>
                </c:pt>
                <c:pt idx="29">
                  <c:v>-417.4934201509501</c:v>
                </c:pt>
                <c:pt idx="30">
                  <c:v>-427.94028354612857</c:v>
                </c:pt>
                <c:pt idx="31">
                  <c:v>-438.48566450157853</c:v>
                </c:pt>
                <c:pt idx="32">
                  <c:v>-482.04501535714286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1.4458999999999999E-9</c:v>
                </c:pt>
                <c:pt idx="1">
                  <c:v>2.5027000000000001E-10</c:v>
                </c:pt>
                <c:pt idx="2">
                  <c:v>1.1699000000000001E-12</c:v>
                </c:pt>
                <c:pt idx="3">
                  <c:v>1.2121E-17</c:v>
                </c:pt>
                <c:pt idx="4">
                  <c:v>2.3451999999999999E-26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8.2921999999999996E-3</c:v>
                </c:pt>
                <c:pt idx="1">
                  <c:v>8.1940999999999993E-3</c:v>
                </c:pt>
                <c:pt idx="2">
                  <c:v>7.9570000000000005E-3</c:v>
                </c:pt>
                <c:pt idx="3">
                  <c:v>7.561E-3</c:v>
                </c:pt>
                <c:pt idx="4">
                  <c:v>7.1253000000000002E-3</c:v>
                </c:pt>
                <c:pt idx="5">
                  <c:v>6.4335E-3</c:v>
                </c:pt>
                <c:pt idx="6">
                  <c:v>6.3306999999999999E-3</c:v>
                </c:pt>
                <c:pt idx="7">
                  <c:v>6.1551000000000002E-3</c:v>
                </c:pt>
                <c:pt idx="8">
                  <c:v>5.8837000000000004E-3</c:v>
                </c:pt>
                <c:pt idx="9">
                  <c:v>5.5401000000000001E-3</c:v>
                </c:pt>
                <c:pt idx="10">
                  <c:v>5.1904000000000004E-3</c:v>
                </c:pt>
                <c:pt idx="11">
                  <c:v>4.9026E-3</c:v>
                </c:pt>
                <c:pt idx="12">
                  <c:v>4.7057999999999996E-3</c:v>
                </c:pt>
                <c:pt idx="13">
                  <c:v>4.5878999999999998E-3</c:v>
                </c:pt>
                <c:pt idx="14">
                  <c:v>4.5222999999999999E-3</c:v>
                </c:pt>
                <c:pt idx="15">
                  <c:v>4.4869000000000003E-3</c:v>
                </c:pt>
                <c:pt idx="16">
                  <c:v>4.4676999999999998E-3</c:v>
                </c:pt>
                <c:pt idx="17">
                  <c:v>4.4561999999999996E-3</c:v>
                </c:pt>
                <c:pt idx="18">
                  <c:v>4.4453000000000001E-3</c:v>
                </c:pt>
                <c:pt idx="19">
                  <c:v>4.4216000000000004E-3</c:v>
                </c:pt>
                <c:pt idx="20">
                  <c:v>4.3454000000000001E-3</c:v>
                </c:pt>
                <c:pt idx="21">
                  <c:v>4.1025999999999996E-3</c:v>
                </c:pt>
                <c:pt idx="22">
                  <c:v>4.5949000000000001E-4</c:v>
                </c:pt>
                <c:pt idx="23">
                  <c:v>7.2798000000000002E-6</c:v>
                </c:pt>
                <c:pt idx="24">
                  <c:v>2.5911999999999999E-6</c:v>
                </c:pt>
                <c:pt idx="25">
                  <c:v>9.2691999999999999E-7</c:v>
                </c:pt>
                <c:pt idx="26">
                  <c:v>3.3339E-7</c:v>
                </c:pt>
                <c:pt idx="27">
                  <c:v>1.2088000000000001E-7</c:v>
                </c:pt>
                <c:pt idx="28">
                  <c:v>4.3569999999999999E-8</c:v>
                </c:pt>
                <c:pt idx="29">
                  <c:v>9.6765999999999994E-9</c:v>
                </c:pt>
                <c:pt idx="30">
                  <c:v>2.1810999999999998E-9</c:v>
                </c:pt>
                <c:pt idx="31">
                  <c:v>5.0700000000000001E-10</c:v>
                </c:pt>
                <c:pt idx="32">
                  <c:v>2.0327E-12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7.4465000000000001E-35</c:v>
                </c:pt>
                <c:pt idx="9">
                  <c:v>9.0942999999999997E-33</c:v>
                </c:pt>
                <c:pt idx="10">
                  <c:v>8.2290000000000008E-31</c:v>
                </c:pt>
                <c:pt idx="11">
                  <c:v>5.9169000000000003E-29</c:v>
                </c:pt>
                <c:pt idx="12">
                  <c:v>3.5006000000000002E-27</c:v>
                </c:pt>
                <c:pt idx="13">
                  <c:v>1.7198000000000001E-25</c:v>
                </c:pt>
                <c:pt idx="14">
                  <c:v>7.0269E-24</c:v>
                </c:pt>
                <c:pt idx="15">
                  <c:v>2.3967999999999999E-22</c:v>
                </c:pt>
                <c:pt idx="16">
                  <c:v>6.8768000000000004E-21</c:v>
                </c:pt>
                <c:pt idx="17">
                  <c:v>1.6759E-19</c:v>
                </c:pt>
                <c:pt idx="18">
                  <c:v>3.5032999999999997E-18</c:v>
                </c:pt>
                <c:pt idx="19">
                  <c:v>6.3313999999999995E-17</c:v>
                </c:pt>
                <c:pt idx="20">
                  <c:v>9.8978000000000008E-16</c:v>
                </c:pt>
                <c:pt idx="21">
                  <c:v>1.3115E-14</c:v>
                </c:pt>
                <c:pt idx="22">
                  <c:v>1.8892E-11</c:v>
                </c:pt>
                <c:pt idx="23">
                  <c:v>9.9455999999999992E-10</c:v>
                </c:pt>
                <c:pt idx="24">
                  <c:v>2.2495000000000001E-9</c:v>
                </c:pt>
                <c:pt idx="25">
                  <c:v>4.7989E-9</c:v>
                </c:pt>
                <c:pt idx="26">
                  <c:v>9.6941999999999999E-9</c:v>
                </c:pt>
                <c:pt idx="27">
                  <c:v>1.8652000000000001E-8</c:v>
                </c:pt>
                <c:pt idx="28">
                  <c:v>3.3769000000000003E-8</c:v>
                </c:pt>
                <c:pt idx="29">
                  <c:v>3.4797999999999998E-8</c:v>
                </c:pt>
                <c:pt idx="30">
                  <c:v>3.5021E-8</c:v>
                </c:pt>
                <c:pt idx="31">
                  <c:v>3.4928E-8</c:v>
                </c:pt>
                <c:pt idx="32">
                  <c:v>3.2273000000000001E-8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1.2616E-34</c:v>
                </c:pt>
                <c:pt idx="11">
                  <c:v>7.1091E-33</c:v>
                </c:pt>
                <c:pt idx="12">
                  <c:v>3.2809E-31</c:v>
                </c:pt>
                <c:pt idx="13">
                  <c:v>1.2545E-29</c:v>
                </c:pt>
                <c:pt idx="14">
                  <c:v>3.9983999999999998E-28</c:v>
                </c:pt>
                <c:pt idx="15">
                  <c:v>1.0702999999999999E-26</c:v>
                </c:pt>
                <c:pt idx="16">
                  <c:v>2.4292999999999999E-25</c:v>
                </c:pt>
                <c:pt idx="17">
                  <c:v>4.7242999999999998E-24</c:v>
                </c:pt>
                <c:pt idx="18">
                  <c:v>7.9534999999999998E-23</c:v>
                </c:pt>
                <c:pt idx="19">
                  <c:v>1.1693999999999999E-21</c:v>
                </c:pt>
                <c:pt idx="20">
                  <c:v>1.5085999999999999E-20</c:v>
                </c:pt>
                <c:pt idx="21">
                  <c:v>1.6962000000000001E-19</c:v>
                </c:pt>
                <c:pt idx="22">
                  <c:v>3.6142999999999999E-16</c:v>
                </c:pt>
                <c:pt idx="23">
                  <c:v>8.1400999999999996E-14</c:v>
                </c:pt>
                <c:pt idx="24">
                  <c:v>2.6731E-13</c:v>
                </c:pt>
                <c:pt idx="25">
                  <c:v>8.2919000000000002E-13</c:v>
                </c:pt>
                <c:pt idx="26">
                  <c:v>2.4381999999999998E-12</c:v>
                </c:pt>
                <c:pt idx="27">
                  <c:v>6.8258000000000003E-12</c:v>
                </c:pt>
                <c:pt idx="28">
                  <c:v>1.8101E-11</c:v>
                </c:pt>
                <c:pt idx="29">
                  <c:v>3.5168999999999998E-11</c:v>
                </c:pt>
                <c:pt idx="30">
                  <c:v>6.6286000000000003E-11</c:v>
                </c:pt>
                <c:pt idx="31">
                  <c:v>1.221E-10</c:v>
                </c:pt>
                <c:pt idx="32">
                  <c:v>1.1423999999999999E-9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2.9827000000000001E-9</c:v>
                      </c:pt>
                      <c:pt idx="1">
                        <c:v>5.4655999999999998E-9</c:v>
                      </c:pt>
                      <c:pt idx="2">
                        <c:v>8.6291999999999999E-9</c:v>
                      </c:pt>
                      <c:pt idx="3">
                        <c:v>1.5218000000000001E-8</c:v>
                      </c:pt>
                      <c:pt idx="4">
                        <c:v>2.2297999999999999E-8</c:v>
                      </c:pt>
                      <c:pt idx="5">
                        <c:v>3.6994E-8</c:v>
                      </c:pt>
                      <c:pt idx="6">
                        <c:v>2.3000000000000001E-8</c:v>
                      </c:pt>
                      <c:pt idx="7">
                        <c:v>1.1274000000000001E-8</c:v>
                      </c:pt>
                      <c:pt idx="8">
                        <c:v>3.6984E-9</c:v>
                      </c:pt>
                      <c:pt idx="9">
                        <c:v>4.7711999999999997E-12</c:v>
                      </c:pt>
                      <c:pt idx="10">
                        <c:v>7.1197000000000007E-18</c:v>
                      </c:pt>
                      <c:pt idx="11">
                        <c:v>5.4020999999999997E-25</c:v>
                      </c:pt>
                      <c:pt idx="12">
                        <c:v>1.4035000000000001E-32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6.1428999999999998E-28</c:v>
                      </c:pt>
                      <c:pt idx="24">
                        <c:v>1.8061E-22</c:v>
                      </c:pt>
                      <c:pt idx="25">
                        <c:v>2.1782E-17</c:v>
                      </c:pt>
                      <c:pt idx="26">
                        <c:v>1.0454999999999999E-12</c:v>
                      </c:pt>
                      <c:pt idx="27">
                        <c:v>5.7881999999999997E-10</c:v>
                      </c:pt>
                      <c:pt idx="28">
                        <c:v>1.8897999999999999E-7</c:v>
                      </c:pt>
                      <c:pt idx="29">
                        <c:v>6.7478E-6</c:v>
                      </c:pt>
                      <c:pt idx="30">
                        <c:v>5.5303999999999996E-6</c:v>
                      </c:pt>
                      <c:pt idx="31">
                        <c:v>4.3992000000000002E-6</c:v>
                      </c:pt>
                      <c:pt idx="32">
                        <c:v>2.1291999999999999E-6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5.8711000000000001E-31</c:v>
                      </c:pt>
                      <c:pt idx="3">
                        <c:v>6.2772999999999996E-25</c:v>
                      </c:pt>
                      <c:pt idx="4">
                        <c:v>8.6447999999999994E-22</c:v>
                      </c:pt>
                      <c:pt idx="5">
                        <c:v>2.0010999999999999E-17</c:v>
                      </c:pt>
                      <c:pt idx="6">
                        <c:v>7.7615999999999997E-16</c:v>
                      </c:pt>
                      <c:pt idx="7">
                        <c:v>3.5560999999999999E-13</c:v>
                      </c:pt>
                      <c:pt idx="8">
                        <c:v>4.4159000000000002E-10</c:v>
                      </c:pt>
                      <c:pt idx="9">
                        <c:v>5.0248000000000003E-9</c:v>
                      </c:pt>
                      <c:pt idx="10">
                        <c:v>6.2596000000000002E-9</c:v>
                      </c:pt>
                      <c:pt idx="11">
                        <c:v>1.0265E-8</c:v>
                      </c:pt>
                      <c:pt idx="12">
                        <c:v>2.1635999999999999E-8</c:v>
                      </c:pt>
                      <c:pt idx="13">
                        <c:v>1.5935E-8</c:v>
                      </c:pt>
                      <c:pt idx="14">
                        <c:v>2.6362000000000001E-8</c:v>
                      </c:pt>
                      <c:pt idx="15">
                        <c:v>2.0599000000000001E-8</c:v>
                      </c:pt>
                      <c:pt idx="16">
                        <c:v>2.3733000000000001E-8</c:v>
                      </c:pt>
                      <c:pt idx="17">
                        <c:v>2.3631999999999999E-8</c:v>
                      </c:pt>
                      <c:pt idx="18">
                        <c:v>2.2979E-8</c:v>
                      </c:pt>
                      <c:pt idx="19">
                        <c:v>2.3184999999999999E-8</c:v>
                      </c:pt>
                      <c:pt idx="20">
                        <c:v>2.3359000000000001E-8</c:v>
                      </c:pt>
                      <c:pt idx="21">
                        <c:v>2.4491999999999999E-8</c:v>
                      </c:pt>
                      <c:pt idx="22">
                        <c:v>3.1211000000000001E-8</c:v>
                      </c:pt>
                      <c:pt idx="23">
                        <c:v>3.2555000000000003E-8</c:v>
                      </c:pt>
                      <c:pt idx="24">
                        <c:v>3.2135999999999997E-8</c:v>
                      </c:pt>
                      <c:pt idx="25">
                        <c:v>3.1651999999999998E-8</c:v>
                      </c:pt>
                      <c:pt idx="26">
                        <c:v>3.1298E-8</c:v>
                      </c:pt>
                      <c:pt idx="27">
                        <c:v>1.2007000000000001E-10</c:v>
                      </c:pt>
                      <c:pt idx="28">
                        <c:v>1.5713E-29</c:v>
                      </c:pt>
                      <c:pt idx="29">
                        <c:v>1.8893E-29</c:v>
                      </c:pt>
                      <c:pt idx="30">
                        <c:v>3.5658999999999998E-30</c:v>
                      </c:pt>
                      <c:pt idx="31">
                        <c:v>2.3366000000000001E-29</c:v>
                      </c:pt>
                      <c:pt idx="32">
                        <c:v>4.121E-23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0.13761999999999999</c:v>
                      </c:pt>
                      <c:pt idx="1">
                        <c:v>0.13184000000000001</c:v>
                      </c:pt>
                      <c:pt idx="2">
                        <c:v>0.1173</c:v>
                      </c:pt>
                      <c:pt idx="3">
                        <c:v>9.0985999999999997E-2</c:v>
                      </c:pt>
                      <c:pt idx="4">
                        <c:v>5.8673000000000003E-2</c:v>
                      </c:pt>
                      <c:pt idx="5">
                        <c:v>3.5301E-3</c:v>
                      </c:pt>
                      <c:pt idx="6">
                        <c:v>1.7362E-3</c:v>
                      </c:pt>
                      <c:pt idx="7">
                        <c:v>8.7681E-4</c:v>
                      </c:pt>
                      <c:pt idx="8">
                        <c:v>4.4354000000000003E-4</c:v>
                      </c:pt>
                      <c:pt idx="9">
                        <c:v>2.1458999999999999E-4</c:v>
                      </c:pt>
                      <c:pt idx="10">
                        <c:v>9.4772999999999995E-5</c:v>
                      </c:pt>
                      <c:pt idx="11">
                        <c:v>3.7471000000000001E-5</c:v>
                      </c:pt>
                      <c:pt idx="12">
                        <c:v>1.3517E-5</c:v>
                      </c:pt>
                      <c:pt idx="13">
                        <c:v>4.6341999999999996E-6</c:v>
                      </c:pt>
                      <c:pt idx="14">
                        <c:v>1.5689999999999999E-6</c:v>
                      </c:pt>
                      <c:pt idx="15">
                        <c:v>5.3781999999999998E-7</c:v>
                      </c:pt>
                      <c:pt idx="16">
                        <c:v>1.8911999999999999E-7</c:v>
                      </c:pt>
                      <c:pt idx="17">
                        <c:v>6.8608000000000001E-8</c:v>
                      </c:pt>
                      <c:pt idx="18">
                        <c:v>2.5722E-8</c:v>
                      </c:pt>
                      <c:pt idx="19">
                        <c:v>9.9647999999999993E-9</c:v>
                      </c:pt>
                      <c:pt idx="20">
                        <c:v>3.9866999999999999E-9</c:v>
                      </c:pt>
                      <c:pt idx="21">
                        <c:v>1.6471E-9</c:v>
                      </c:pt>
                      <c:pt idx="22">
                        <c:v>6.4954000000000001E-11</c:v>
                      </c:pt>
                      <c:pt idx="23">
                        <c:v>3.496E-12</c:v>
                      </c:pt>
                      <c:pt idx="24">
                        <c:v>1.7611E-12</c:v>
                      </c:pt>
                      <c:pt idx="25">
                        <c:v>9.0203999999999996E-13</c:v>
                      </c:pt>
                      <c:pt idx="26">
                        <c:v>4.6937999999999996E-13</c:v>
                      </c:pt>
                      <c:pt idx="27">
                        <c:v>2.4795999999999999E-13</c:v>
                      </c:pt>
                      <c:pt idx="28">
                        <c:v>1.3305E-13</c:v>
                      </c:pt>
                      <c:pt idx="29">
                        <c:v>7.4307999999999995E-14</c:v>
                      </c:pt>
                      <c:pt idx="30">
                        <c:v>4.1655E-14</c:v>
                      </c:pt>
                      <c:pt idx="31">
                        <c:v>2.3510999999999999E-14</c:v>
                      </c:pt>
                      <c:pt idx="32">
                        <c:v>2.6029999999999999E-15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0.14238000000000001</c:v>
                      </c:pt>
                      <c:pt idx="1">
                        <c:v>0.14815</c:v>
                      </c:pt>
                      <c:pt idx="2">
                        <c:v>0.16269</c:v>
                      </c:pt>
                      <c:pt idx="3">
                        <c:v>0.189</c:v>
                      </c:pt>
                      <c:pt idx="4">
                        <c:v>0.22128</c:v>
                      </c:pt>
                      <c:pt idx="5">
                        <c:v>0.27118999999999999</c:v>
                      </c:pt>
                      <c:pt idx="6">
                        <c:v>0.26468999999999998</c:v>
                      </c:pt>
                      <c:pt idx="7">
                        <c:v>0.24837999999999999</c:v>
                      </c:pt>
                      <c:pt idx="8">
                        <c:v>0.21926999999999999</c:v>
                      </c:pt>
                      <c:pt idx="9">
                        <c:v>0.17757000000000001</c:v>
                      </c:pt>
                      <c:pt idx="10">
                        <c:v>0.12916</c:v>
                      </c:pt>
                      <c:pt idx="11">
                        <c:v>8.4039000000000003E-2</c:v>
                      </c:pt>
                      <c:pt idx="12">
                        <c:v>4.9964000000000001E-2</c:v>
                      </c:pt>
                      <c:pt idx="13">
                        <c:v>2.8131E-2</c:v>
                      </c:pt>
                      <c:pt idx="14">
                        <c:v>1.5495999999999999E-2</c:v>
                      </c:pt>
                      <c:pt idx="15">
                        <c:v>8.5325999999999996E-3</c:v>
                      </c:pt>
                      <c:pt idx="16">
                        <c:v>4.7505999999999998E-3</c:v>
                      </c:pt>
                      <c:pt idx="17">
                        <c:v>2.6887999999999999E-3</c:v>
                      </c:pt>
                      <c:pt idx="18">
                        <c:v>1.5502999999999999E-3</c:v>
                      </c:pt>
                      <c:pt idx="19">
                        <c:v>9.1091999999999996E-4</c:v>
                      </c:pt>
                      <c:pt idx="20">
                        <c:v>5.4536999999999999E-4</c:v>
                      </c:pt>
                      <c:pt idx="21">
                        <c:v>3.3270000000000001E-4</c:v>
                      </c:pt>
                      <c:pt idx="22">
                        <c:v>5.4917000000000003E-5</c:v>
                      </c:pt>
                      <c:pt idx="23">
                        <c:v>1.0937999999999999E-5</c:v>
                      </c:pt>
                      <c:pt idx="24">
                        <c:v>7.5044999999999999E-6</c:v>
                      </c:pt>
                      <c:pt idx="25">
                        <c:v>5.1990999999999999E-6</c:v>
                      </c:pt>
                      <c:pt idx="26">
                        <c:v>3.6355000000000002E-6</c:v>
                      </c:pt>
                      <c:pt idx="27">
                        <c:v>2.5647000000000002E-6</c:v>
                      </c:pt>
                      <c:pt idx="28">
                        <c:v>1.8256999999999999E-6</c:v>
                      </c:pt>
                      <c:pt idx="29">
                        <c:v>1.3259000000000001E-6</c:v>
                      </c:pt>
                      <c:pt idx="30">
                        <c:v>9.660599999999999E-7</c:v>
                      </c:pt>
                      <c:pt idx="31">
                        <c:v>7.0707999999999995E-7</c:v>
                      </c:pt>
                      <c:pt idx="32">
                        <c:v>2.1397999999999999E-7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1.1708E-2</c:v>
                      </c:pt>
                      <c:pt idx="1">
                        <c:v>1.1806000000000001E-2</c:v>
                      </c:pt>
                      <c:pt idx="2">
                        <c:v>1.2043E-2</c:v>
                      </c:pt>
                      <c:pt idx="3">
                        <c:v>1.2439E-2</c:v>
                      </c:pt>
                      <c:pt idx="4">
                        <c:v>1.2874999999999999E-2</c:v>
                      </c:pt>
                      <c:pt idx="5">
                        <c:v>1.3566999999999999E-2</c:v>
                      </c:pt>
                      <c:pt idx="6">
                        <c:v>1.3669000000000001E-2</c:v>
                      </c:pt>
                      <c:pt idx="7">
                        <c:v>1.3845E-2</c:v>
                      </c:pt>
                      <c:pt idx="8">
                        <c:v>1.4116E-2</c:v>
                      </c:pt>
                      <c:pt idx="9">
                        <c:v>1.4460000000000001E-2</c:v>
                      </c:pt>
                      <c:pt idx="10">
                        <c:v>1.481E-2</c:v>
                      </c:pt>
                      <c:pt idx="11">
                        <c:v>1.5096999999999999E-2</c:v>
                      </c:pt>
                      <c:pt idx="12">
                        <c:v>1.5294E-2</c:v>
                      </c:pt>
                      <c:pt idx="13">
                        <c:v>1.5412E-2</c:v>
                      </c:pt>
                      <c:pt idx="14">
                        <c:v>1.5478E-2</c:v>
                      </c:pt>
                      <c:pt idx="15">
                        <c:v>1.5513000000000001E-2</c:v>
                      </c:pt>
                      <c:pt idx="16">
                        <c:v>1.5531E-2</c:v>
                      </c:pt>
                      <c:pt idx="17">
                        <c:v>1.5537E-2</c:v>
                      </c:pt>
                      <c:pt idx="18">
                        <c:v>1.5526E-2</c:v>
                      </c:pt>
                      <c:pt idx="19">
                        <c:v>1.5462999999999999E-2</c:v>
                      </c:pt>
                      <c:pt idx="20">
                        <c:v>1.5226E-2</c:v>
                      </c:pt>
                      <c:pt idx="21">
                        <c:v>1.4445E-2</c:v>
                      </c:pt>
                      <c:pt idx="22">
                        <c:v>1.7378999999999999E-3</c:v>
                      </c:pt>
                      <c:pt idx="23">
                        <c:v>2.8085E-5</c:v>
                      </c:pt>
                      <c:pt idx="24">
                        <c:v>1.0037000000000001E-5</c:v>
                      </c:pt>
                      <c:pt idx="25">
                        <c:v>3.6059000000000001E-6</c:v>
                      </c:pt>
                      <c:pt idx="26">
                        <c:v>1.3024E-6</c:v>
                      </c:pt>
                      <c:pt idx="27">
                        <c:v>4.7406E-7</c:v>
                      </c:pt>
                      <c:pt idx="28">
                        <c:v>1.7140000000000001E-7</c:v>
                      </c:pt>
                      <c:pt idx="29">
                        <c:v>3.7789000000000002E-8</c:v>
                      </c:pt>
                      <c:pt idx="30">
                        <c:v>8.4633000000000007E-9</c:v>
                      </c:pt>
                      <c:pt idx="31">
                        <c:v>1.9569000000000001E-9</c:v>
                      </c:pt>
                      <c:pt idx="32">
                        <c:v>7.7382000000000003E-12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7.5756000000000005E-29</c:v>
                      </c:pt>
                      <c:pt idx="1">
                        <c:v>2.9401999999999999E-27</c:v>
                      </c:pt>
                      <c:pt idx="2">
                        <c:v>9.9583000000000004E-26</c:v>
                      </c:pt>
                      <c:pt idx="3">
                        <c:v>3.5787999999999998E-24</c:v>
                      </c:pt>
                      <c:pt idx="4">
                        <c:v>1.4182000000000001E-22</c:v>
                      </c:pt>
                      <c:pt idx="5">
                        <c:v>1.2896E-16</c:v>
                      </c:pt>
                      <c:pt idx="6">
                        <c:v>2.2897000000000001E-15</c:v>
                      </c:pt>
                      <c:pt idx="7">
                        <c:v>3.1573000000000001E-14</c:v>
                      </c:pt>
                      <c:pt idx="8">
                        <c:v>3.4560000000000001E-13</c:v>
                      </c:pt>
                      <c:pt idx="9">
                        <c:v>3.1638999999999999E-12</c:v>
                      </c:pt>
                      <c:pt idx="10">
                        <c:v>2.5638999999999999E-11</c:v>
                      </c:pt>
                      <c:pt idx="11">
                        <c:v>1.9056999999999999E-10</c:v>
                      </c:pt>
                      <c:pt idx="12">
                        <c:v>1.3130999999999999E-9</c:v>
                      </c:pt>
                      <c:pt idx="13">
                        <c:v>8.3702999999999995E-9</c:v>
                      </c:pt>
                      <c:pt idx="14">
                        <c:v>4.9187999999999997E-8</c:v>
                      </c:pt>
                      <c:pt idx="15">
                        <c:v>2.664E-7</c:v>
                      </c:pt>
                      <c:pt idx="16">
                        <c:v>1.3331E-6</c:v>
                      </c:pt>
                      <c:pt idx="17">
                        <c:v>6.1879999999999999E-6</c:v>
                      </c:pt>
                      <c:pt idx="18">
                        <c:v>2.6750999999999998E-5</c:v>
                      </c:pt>
                      <c:pt idx="19">
                        <c:v>1.0794999999999999E-4</c:v>
                      </c:pt>
                      <c:pt idx="20">
                        <c:v>4.0492000000000002E-4</c:v>
                      </c:pt>
                      <c:pt idx="21">
                        <c:v>1.3795999999999999E-3</c:v>
                      </c:pt>
                      <c:pt idx="22">
                        <c:v>1.6258999999999999E-2</c:v>
                      </c:pt>
                      <c:pt idx="23">
                        <c:v>1.4115000000000001E-2</c:v>
                      </c:pt>
                      <c:pt idx="24">
                        <c:v>1.2591E-2</c:v>
                      </c:pt>
                      <c:pt idx="25">
                        <c:v>1.0965000000000001E-2</c:v>
                      </c:pt>
                      <c:pt idx="26">
                        <c:v>9.3370999999999992E-3</c:v>
                      </c:pt>
                      <c:pt idx="27">
                        <c:v>7.8056000000000002E-3</c:v>
                      </c:pt>
                      <c:pt idx="28">
                        <c:v>6.3140999999999996E-3</c:v>
                      </c:pt>
                      <c:pt idx="29">
                        <c:v>2.9566000000000002E-3</c:v>
                      </c:pt>
                      <c:pt idx="30">
                        <c:v>1.3887999999999999E-3</c:v>
                      </c:pt>
                      <c:pt idx="31">
                        <c:v>6.6326999999999998E-4</c:v>
                      </c:pt>
                      <c:pt idx="32">
                        <c:v>4.0513999999999999E-5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5.2854000000000005E-7</c:v>
                      </c:pt>
                      <c:pt idx="1">
                        <c:v>1.1217E-6</c:v>
                      </c:pt>
                      <c:pt idx="2">
                        <c:v>2.6616999999999999E-6</c:v>
                      </c:pt>
                      <c:pt idx="3">
                        <c:v>7.6415999999999998E-6</c:v>
                      </c:pt>
                      <c:pt idx="4">
                        <c:v>2.5486E-5</c:v>
                      </c:pt>
                      <c:pt idx="5">
                        <c:v>2.6394000000000001E-3</c:v>
                      </c:pt>
                      <c:pt idx="6">
                        <c:v>6.7882000000000003E-3</c:v>
                      </c:pt>
                      <c:pt idx="7">
                        <c:v>1.537E-2</c:v>
                      </c:pt>
                      <c:pt idx="8">
                        <c:v>3.0145000000000002E-2</c:v>
                      </c:pt>
                      <c:pt idx="9">
                        <c:v>5.1109000000000002E-2</c:v>
                      </c:pt>
                      <c:pt idx="10">
                        <c:v>7.5374999999999998E-2</c:v>
                      </c:pt>
                      <c:pt idx="11">
                        <c:v>9.7961999999999994E-2</c:v>
                      </c:pt>
                      <c:pt idx="12">
                        <c:v>0.11501</c:v>
                      </c:pt>
                      <c:pt idx="13">
                        <c:v>0.12592999999999999</c:v>
                      </c:pt>
                      <c:pt idx="14">
                        <c:v>0.13225000000000001</c:v>
                      </c:pt>
                      <c:pt idx="15">
                        <c:v>0.13572999999999999</c:v>
                      </c:pt>
                      <c:pt idx="16">
                        <c:v>0.13761999999999999</c:v>
                      </c:pt>
                      <c:pt idx="17">
                        <c:v>0.13866000000000001</c:v>
                      </c:pt>
                      <c:pt idx="18">
                        <c:v>0.13922000000000001</c:v>
                      </c:pt>
                      <c:pt idx="19">
                        <c:v>0.13954</c:v>
                      </c:pt>
                      <c:pt idx="20">
                        <c:v>0.13972999999999999</c:v>
                      </c:pt>
                      <c:pt idx="21">
                        <c:v>0.13983000000000001</c:v>
                      </c:pt>
                      <c:pt idx="22">
                        <c:v>0.13997000000000001</c:v>
                      </c:pt>
                      <c:pt idx="23">
                        <c:v>0.13999</c:v>
                      </c:pt>
                      <c:pt idx="24">
                        <c:v>0.14000000000000001</c:v>
                      </c:pt>
                      <c:pt idx="25">
                        <c:v>0.14000000000000001</c:v>
                      </c:pt>
                      <c:pt idx="26">
                        <c:v>0.14000000000000001</c:v>
                      </c:pt>
                      <c:pt idx="27">
                        <c:v>0.14000000000000001</c:v>
                      </c:pt>
                      <c:pt idx="28">
                        <c:v>0.13999</c:v>
                      </c:pt>
                      <c:pt idx="29">
                        <c:v>0.13966999999999999</c:v>
                      </c:pt>
                      <c:pt idx="30">
                        <c:v>0.13941000000000001</c:v>
                      </c:pt>
                      <c:pt idx="31">
                        <c:v>0.13919000000000001</c:v>
                      </c:pt>
                      <c:pt idx="32">
                        <c:v>0.13839000000000001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2.7998999999999999E-28</c:v>
                      </c:pt>
                      <c:pt idx="1">
                        <c:v>1.0385999999999999E-26</c:v>
                      </c:pt>
                      <c:pt idx="2">
                        <c:v>3.2712999999999998E-25</c:v>
                      </c:pt>
                      <c:pt idx="3">
                        <c:v>1.026E-23</c:v>
                      </c:pt>
                      <c:pt idx="4">
                        <c:v>3.2961E-22</c:v>
                      </c:pt>
                      <c:pt idx="5">
                        <c:v>1.0036000000000001E-16</c:v>
                      </c:pt>
                      <c:pt idx="6">
                        <c:v>1.4244E-15</c:v>
                      </c:pt>
                      <c:pt idx="7">
                        <c:v>1.6396999999999999E-14</c:v>
                      </c:pt>
                      <c:pt idx="8">
                        <c:v>1.5638000000000001E-13</c:v>
                      </c:pt>
                      <c:pt idx="9">
                        <c:v>1.2856000000000001E-12</c:v>
                      </c:pt>
                      <c:pt idx="10">
                        <c:v>9.4622000000000006E-12</c:v>
                      </c:pt>
                      <c:pt idx="11">
                        <c:v>6.3634E-11</c:v>
                      </c:pt>
                      <c:pt idx="12">
                        <c:v>3.9289000000000003E-10</c:v>
                      </c:pt>
                      <c:pt idx="13">
                        <c:v>2.2262E-9</c:v>
                      </c:pt>
                      <c:pt idx="14">
                        <c:v>1.1587E-8</c:v>
                      </c:pt>
                      <c:pt idx="15">
                        <c:v>5.5549000000000003E-8</c:v>
                      </c:pt>
                      <c:pt idx="16">
                        <c:v>2.4629999999999998E-7</c:v>
                      </c:pt>
                      <c:pt idx="17">
                        <c:v>1.0144E-6</c:v>
                      </c:pt>
                      <c:pt idx="18">
                        <c:v>3.8963999999999997E-6</c:v>
                      </c:pt>
                      <c:pt idx="19">
                        <c:v>1.3995999999999999E-5</c:v>
                      </c:pt>
                      <c:pt idx="20">
                        <c:v>4.6999000000000002E-5</c:v>
                      </c:pt>
                      <c:pt idx="21">
                        <c:v>1.4606999999999999E-4</c:v>
                      </c:pt>
                      <c:pt idx="22">
                        <c:v>3.0864999999999998E-3</c:v>
                      </c:pt>
                      <c:pt idx="23">
                        <c:v>1.1698999999999999E-2</c:v>
                      </c:pt>
                      <c:pt idx="24">
                        <c:v>1.4792E-2</c:v>
                      </c:pt>
                      <c:pt idx="25">
                        <c:v>1.8062000000000002E-2</c:v>
                      </c:pt>
                      <c:pt idx="26">
                        <c:v>2.1322000000000001E-2</c:v>
                      </c:pt>
                      <c:pt idx="27">
                        <c:v>2.4386999999999999E-2</c:v>
                      </c:pt>
                      <c:pt idx="28">
                        <c:v>2.682E-2</c:v>
                      </c:pt>
                      <c:pt idx="29">
                        <c:v>2.1689E-2</c:v>
                      </c:pt>
                      <c:pt idx="30">
                        <c:v>1.7243999999999999E-2</c:v>
                      </c:pt>
                      <c:pt idx="31">
                        <c:v>1.3558000000000001E-2</c:v>
                      </c:pt>
                      <c:pt idx="32">
                        <c:v>4.5989000000000004E-3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2.8265000000000001E-9</c:v>
                      </c:pt>
                      <c:pt idx="1">
                        <c:v>8.0000999999999993E-9</c:v>
                      </c:pt>
                      <c:pt idx="2">
                        <c:v>1.8224000000000002E-8</c:v>
                      </c:pt>
                      <c:pt idx="3">
                        <c:v>3.2019999999999998E-8</c:v>
                      </c:pt>
                      <c:pt idx="4">
                        <c:v>4.3060000000000003E-8</c:v>
                      </c:pt>
                      <c:pt idx="5">
                        <c:v>3.1809999999999998E-8</c:v>
                      </c:pt>
                      <c:pt idx="6">
                        <c:v>2.7503000000000001E-8</c:v>
                      </c:pt>
                      <c:pt idx="7">
                        <c:v>2.4861E-8</c:v>
                      </c:pt>
                      <c:pt idx="8">
                        <c:v>2.3668999999999998E-8</c:v>
                      </c:pt>
                      <c:pt idx="9">
                        <c:v>2.3231999999999999E-8</c:v>
                      </c:pt>
                      <c:pt idx="10">
                        <c:v>2.2659000000000001E-8</c:v>
                      </c:pt>
                      <c:pt idx="11">
                        <c:v>2.1959999999999999E-8</c:v>
                      </c:pt>
                      <c:pt idx="12">
                        <c:v>2.0686999999999999E-8</c:v>
                      </c:pt>
                      <c:pt idx="13">
                        <c:v>1.8737999999999999E-8</c:v>
                      </c:pt>
                      <c:pt idx="14">
                        <c:v>1.6546000000000001E-8</c:v>
                      </c:pt>
                      <c:pt idx="15">
                        <c:v>1.4403E-8</c:v>
                      </c:pt>
                      <c:pt idx="16">
                        <c:v>1.2445E-8</c:v>
                      </c:pt>
                      <c:pt idx="17">
                        <c:v>1.0713E-8</c:v>
                      </c:pt>
                      <c:pt idx="18">
                        <c:v>9.2080999999999993E-9</c:v>
                      </c:pt>
                      <c:pt idx="19">
                        <c:v>7.9125999999999993E-9</c:v>
                      </c:pt>
                      <c:pt idx="20">
                        <c:v>6.8070999999999998E-9</c:v>
                      </c:pt>
                      <c:pt idx="21">
                        <c:v>5.8781999999999998E-9</c:v>
                      </c:pt>
                      <c:pt idx="22">
                        <c:v>3.4846000000000001E-9</c:v>
                      </c:pt>
                      <c:pt idx="23">
                        <c:v>1.9703000000000001E-9</c:v>
                      </c:pt>
                      <c:pt idx="24">
                        <c:v>1.7096E-9</c:v>
                      </c:pt>
                      <c:pt idx="25">
                        <c:v>1.4847000000000001E-9</c:v>
                      </c:pt>
                      <c:pt idx="26">
                        <c:v>1.2903E-9</c:v>
                      </c:pt>
                      <c:pt idx="27">
                        <c:v>1.1219E-9</c:v>
                      </c:pt>
                      <c:pt idx="28">
                        <c:v>9.7606000000000004E-10</c:v>
                      </c:pt>
                      <c:pt idx="29">
                        <c:v>8.5312000000000005E-10</c:v>
                      </c:pt>
                      <c:pt idx="30">
                        <c:v>7.4336000000000001E-10</c:v>
                      </c:pt>
                      <c:pt idx="31">
                        <c:v>6.4702000000000001E-10</c:v>
                      </c:pt>
                      <c:pt idx="32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6.5148000000000001E-10</c:v>
                      </c:pt>
                      <c:pt idx="1">
                        <c:v>2.0896999999999999E-9</c:v>
                      </c:pt>
                      <c:pt idx="2">
                        <c:v>5.3268000000000003E-9</c:v>
                      </c:pt>
                      <c:pt idx="3">
                        <c:v>1.036E-8</c:v>
                      </c:pt>
                      <c:pt idx="4">
                        <c:v>1.5276999999999998E-8</c:v>
                      </c:pt>
                      <c:pt idx="5">
                        <c:v>1.5183000000000001E-8</c:v>
                      </c:pt>
                      <c:pt idx="6">
                        <c:v>1.3939999999999999E-8</c:v>
                      </c:pt>
                      <c:pt idx="7">
                        <c:v>1.3321000000000001E-8</c:v>
                      </c:pt>
                      <c:pt idx="8">
                        <c:v>1.3354E-8</c:v>
                      </c:pt>
                      <c:pt idx="9">
                        <c:v>1.3752E-8</c:v>
                      </c:pt>
                      <c:pt idx="10">
                        <c:v>1.4025999999999999E-8</c:v>
                      </c:pt>
                      <c:pt idx="11">
                        <c:v>1.3751E-8</c:v>
                      </c:pt>
                      <c:pt idx="12">
                        <c:v>1.2843E-8</c:v>
                      </c:pt>
                      <c:pt idx="13">
                        <c:v>1.1528000000000001E-8</c:v>
                      </c:pt>
                      <c:pt idx="14">
                        <c:v>1.0085000000000001E-8</c:v>
                      </c:pt>
                      <c:pt idx="15">
                        <c:v>8.6941000000000004E-9</c:v>
                      </c:pt>
                      <c:pt idx="16">
                        <c:v>7.4380999999999998E-9</c:v>
                      </c:pt>
                      <c:pt idx="17">
                        <c:v>6.3395000000000003E-9</c:v>
                      </c:pt>
                      <c:pt idx="18">
                        <c:v>5.3942000000000003E-9</c:v>
                      </c:pt>
                      <c:pt idx="19">
                        <c:v>4.5885E-9</c:v>
                      </c:pt>
                      <c:pt idx="20">
                        <c:v>3.9075000000000004E-9</c:v>
                      </c:pt>
                      <c:pt idx="21">
                        <c:v>3.3401000000000001E-9</c:v>
                      </c:pt>
                      <c:pt idx="22">
                        <c:v>1.9017000000000002E-9</c:v>
                      </c:pt>
                      <c:pt idx="23">
                        <c:v>1.0337000000000001E-9</c:v>
                      </c:pt>
                      <c:pt idx="24">
                        <c:v>8.8833999999999995E-10</c:v>
                      </c:pt>
                      <c:pt idx="25">
                        <c:v>7.6410999999999996E-10</c:v>
                      </c:pt>
                      <c:pt idx="26">
                        <c:v>6.5776000000000001E-10</c:v>
                      </c:pt>
                      <c:pt idx="27">
                        <c:v>5.6653999999999999E-10</c:v>
                      </c:pt>
                      <c:pt idx="28">
                        <c:v>4.8829999999999996E-10</c:v>
                      </c:pt>
                      <c:pt idx="29">
                        <c:v>4.2284000000000001E-10</c:v>
                      </c:pt>
                      <c:pt idx="30">
                        <c:v>3.6505E-10</c:v>
                      </c:pt>
                      <c:pt idx="31">
                        <c:v>3.1482999999999999E-10</c:v>
                      </c:pt>
                      <c:pt idx="32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2.3804999999999998E-3</c:v>
                      </c:pt>
                      <c:pt idx="1">
                        <c:v>8.1585000000000008E-3</c:v>
                      </c:pt>
                      <c:pt idx="2">
                        <c:v>2.2703000000000001E-2</c:v>
                      </c:pt>
                      <c:pt idx="3">
                        <c:v>4.9029000000000003E-2</c:v>
                      </c:pt>
                      <c:pt idx="4">
                        <c:v>8.1378000000000006E-2</c:v>
                      </c:pt>
                      <c:pt idx="5">
                        <c:v>0.14174999999999999</c:v>
                      </c:pt>
                      <c:pt idx="6">
                        <c:v>0.15184</c:v>
                      </c:pt>
                      <c:pt idx="7">
                        <c:v>0.16986000000000001</c:v>
                      </c:pt>
                      <c:pt idx="8">
                        <c:v>0.19985</c:v>
                      </c:pt>
                      <c:pt idx="9">
                        <c:v>0.24199999999999999</c:v>
                      </c:pt>
                      <c:pt idx="10">
                        <c:v>0.29065999999999997</c:v>
                      </c:pt>
                      <c:pt idx="11">
                        <c:v>0.33589000000000002</c:v>
                      </c:pt>
                      <c:pt idx="12">
                        <c:v>0.37001000000000001</c:v>
                      </c:pt>
                      <c:pt idx="13">
                        <c:v>0.39185999999999999</c:v>
                      </c:pt>
                      <c:pt idx="14">
                        <c:v>0.40450000000000003</c:v>
                      </c:pt>
                      <c:pt idx="15">
                        <c:v>0.41147</c:v>
                      </c:pt>
                      <c:pt idx="16">
                        <c:v>0.41525000000000001</c:v>
                      </c:pt>
                      <c:pt idx="17">
                        <c:v>0.41732000000000002</c:v>
                      </c:pt>
                      <c:pt idx="18">
                        <c:v>0.41850999999999999</c:v>
                      </c:pt>
                      <c:pt idx="19">
                        <c:v>0.41932999999999998</c:v>
                      </c:pt>
                      <c:pt idx="20">
                        <c:v>0.42032999999999998</c:v>
                      </c:pt>
                      <c:pt idx="21">
                        <c:v>0.42265000000000003</c:v>
                      </c:pt>
                      <c:pt idx="22">
                        <c:v>0.45709</c:v>
                      </c:pt>
                      <c:pt idx="23">
                        <c:v>0.46577000000000002</c:v>
                      </c:pt>
                      <c:pt idx="24">
                        <c:v>0.46736</c:v>
                      </c:pt>
                      <c:pt idx="25">
                        <c:v>0.46901999999999999</c:v>
                      </c:pt>
                      <c:pt idx="26">
                        <c:v>0.47065000000000001</c:v>
                      </c:pt>
                      <c:pt idx="27">
                        <c:v>0.47219</c:v>
                      </c:pt>
                      <c:pt idx="28">
                        <c:v>0.47367999999999999</c:v>
                      </c:pt>
                      <c:pt idx="29">
                        <c:v>0.47704000000000002</c:v>
                      </c:pt>
                      <c:pt idx="30">
                        <c:v>0.47860999999999998</c:v>
                      </c:pt>
                      <c:pt idx="31">
                        <c:v>0.47933999999999999</c:v>
                      </c:pt>
                      <c:pt idx="32">
                        <c:v>0.47996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7.2273000000000001E-12</c:v>
                      </c:pt>
                      <c:pt idx="1">
                        <c:v>3.0615999999999998E-11</c:v>
                      </c:pt>
                      <c:pt idx="2">
                        <c:v>1.0052000000000001E-10</c:v>
                      </c:pt>
                      <c:pt idx="3">
                        <c:v>2.4645999999999999E-10</c:v>
                      </c:pt>
                      <c:pt idx="4">
                        <c:v>4.4978000000000002E-10</c:v>
                      </c:pt>
                      <c:pt idx="5">
                        <c:v>9.0864999999999996E-10</c:v>
                      </c:pt>
                      <c:pt idx="6">
                        <c:v>9.6864999999999996E-10</c:v>
                      </c:pt>
                      <c:pt idx="7">
                        <c:v>1.0653E-9</c:v>
                      </c:pt>
                      <c:pt idx="8">
                        <c:v>1.2192000000000001E-9</c:v>
                      </c:pt>
                      <c:pt idx="9">
                        <c:v>1.4232E-9</c:v>
                      </c:pt>
                      <c:pt idx="10">
                        <c:v>1.6345000000000001E-9</c:v>
                      </c:pt>
                      <c:pt idx="11">
                        <c:v>1.7936000000000001E-9</c:v>
                      </c:pt>
                      <c:pt idx="12">
                        <c:v>1.8648E-9</c:v>
                      </c:pt>
                      <c:pt idx="13">
                        <c:v>1.854E-9</c:v>
                      </c:pt>
                      <c:pt idx="14">
                        <c:v>1.7882000000000001E-9</c:v>
                      </c:pt>
                      <c:pt idx="15">
                        <c:v>1.6925000000000001E-9</c:v>
                      </c:pt>
                      <c:pt idx="16">
                        <c:v>1.5835E-9</c:v>
                      </c:pt>
                      <c:pt idx="17">
                        <c:v>1.4704E-9</c:v>
                      </c:pt>
                      <c:pt idx="18">
                        <c:v>1.3586E-9</c:v>
                      </c:pt>
                      <c:pt idx="19">
                        <c:v>1.2509999999999999E-9</c:v>
                      </c:pt>
                      <c:pt idx="20">
                        <c:v>1.1497000000000001E-9</c:v>
                      </c:pt>
                      <c:pt idx="21">
                        <c:v>1.0578E-9</c:v>
                      </c:pt>
                      <c:pt idx="22">
                        <c:v>7.8874999999999999E-10</c:v>
                      </c:pt>
                      <c:pt idx="23">
                        <c:v>5.4359999999999996E-10</c:v>
                      </c:pt>
                      <c:pt idx="24">
                        <c:v>4.9357999999999996E-10</c:v>
                      </c:pt>
                      <c:pt idx="25">
                        <c:v>4.4790000000000002E-10</c:v>
                      </c:pt>
                      <c:pt idx="26">
                        <c:v>4.0617E-10</c:v>
                      </c:pt>
                      <c:pt idx="27">
                        <c:v>3.6803000000000002E-10</c:v>
                      </c:pt>
                      <c:pt idx="28">
                        <c:v>3.3325000000000001E-10</c:v>
                      </c:pt>
                      <c:pt idx="29">
                        <c:v>3.0279999999999998E-10</c:v>
                      </c:pt>
                      <c:pt idx="30">
                        <c:v>2.7396999999999999E-10</c:v>
                      </c:pt>
                      <c:pt idx="31">
                        <c:v>2.4734E-10</c:v>
                      </c:pt>
                      <c:pt idx="32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(1)Geic]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5.2854000000000005E-7</c:v>
                      </c:pt>
                      <c:pt idx="1">
                        <c:v>1.1217E-6</c:v>
                      </c:pt>
                      <c:pt idx="2">
                        <c:v>2.6616999999999999E-6</c:v>
                      </c:pt>
                      <c:pt idx="3">
                        <c:v>7.6415999999999998E-6</c:v>
                      </c:pt>
                      <c:pt idx="4">
                        <c:v>2.5486E-5</c:v>
                      </c:pt>
                      <c:pt idx="5">
                        <c:v>2.6394000000000001E-3</c:v>
                      </c:pt>
                      <c:pt idx="6">
                        <c:v>6.7882000000000003E-3</c:v>
                      </c:pt>
                      <c:pt idx="7">
                        <c:v>1.537E-2</c:v>
                      </c:pt>
                      <c:pt idx="8">
                        <c:v>3.0145000000000002E-2</c:v>
                      </c:pt>
                      <c:pt idx="9">
                        <c:v>5.1109000000000002E-2</c:v>
                      </c:pt>
                      <c:pt idx="10">
                        <c:v>7.5374999999999998E-2</c:v>
                      </c:pt>
                      <c:pt idx="11">
                        <c:v>9.7961999999999994E-2</c:v>
                      </c:pt>
                      <c:pt idx="12">
                        <c:v>0.11501</c:v>
                      </c:pt>
                      <c:pt idx="13">
                        <c:v>0.12592999999999999</c:v>
                      </c:pt>
                      <c:pt idx="14">
                        <c:v>0.13225000000000001</c:v>
                      </c:pt>
                      <c:pt idx="15">
                        <c:v>0.13572999999999999</c:v>
                      </c:pt>
                      <c:pt idx="16">
                        <c:v>0.13761999999999999</c:v>
                      </c:pt>
                      <c:pt idx="17">
                        <c:v>0.13866000000000001</c:v>
                      </c:pt>
                      <c:pt idx="18">
                        <c:v>0.13922000000000001</c:v>
                      </c:pt>
                      <c:pt idx="19">
                        <c:v>0.13954</c:v>
                      </c:pt>
                      <c:pt idx="20">
                        <c:v>0.13972999999999999</c:v>
                      </c:pt>
                      <c:pt idx="21">
                        <c:v>0.13983000000000001</c:v>
                      </c:pt>
                      <c:pt idx="22">
                        <c:v>0.13997000000000001</c:v>
                      </c:pt>
                      <c:pt idx="23">
                        <c:v>0.13999</c:v>
                      </c:pt>
                      <c:pt idx="24">
                        <c:v>0.14000000000000001</c:v>
                      </c:pt>
                      <c:pt idx="25">
                        <c:v>0.14000000000000001</c:v>
                      </c:pt>
                      <c:pt idx="26">
                        <c:v>0.14000000000000001</c:v>
                      </c:pt>
                      <c:pt idx="27">
                        <c:v>0.14000000000000001</c:v>
                      </c:pt>
                      <c:pt idx="28">
                        <c:v>0.13999</c:v>
                      </c:pt>
                      <c:pt idx="29">
                        <c:v>0.13966999999999999</c:v>
                      </c:pt>
                      <c:pt idx="30">
                        <c:v>0.13941000000000001</c:v>
                      </c:pt>
                      <c:pt idx="31">
                        <c:v>0.13919000000000001</c:v>
                      </c:pt>
                      <c:pt idx="32">
                        <c:v>0.13839000000000001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1.4259E-22</c:v>
                      </c:pt>
                      <c:pt idx="24">
                        <c:v>4.8393000000000001E-18</c:v>
                      </c:pt>
                      <c:pt idx="25">
                        <c:v>8.6730999999999997E-14</c:v>
                      </c:pt>
                      <c:pt idx="26">
                        <c:v>7.9190000000000003E-10</c:v>
                      </c:pt>
                      <c:pt idx="27">
                        <c:v>1.4299000000000001E-7</c:v>
                      </c:pt>
                      <c:pt idx="28">
                        <c:v>5.5106000000000003E-4</c:v>
                      </c:pt>
                      <c:pt idx="29">
                        <c:v>1.2390999999999999E-2</c:v>
                      </c:pt>
                      <c:pt idx="30">
                        <c:v>1.9973000000000001E-2</c:v>
                      </c:pt>
                      <c:pt idx="31">
                        <c:v>2.5111000000000001E-2</c:v>
                      </c:pt>
                      <c:pt idx="32">
                        <c:v>3.5318000000000002E-2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2.2449000000000001E-23</c:v>
                      </c:pt>
                      <c:pt idx="24">
                        <c:v>5.7803000000000002E-19</c:v>
                      </c:pt>
                      <c:pt idx="25">
                        <c:v>8.0229000000000003E-15</c:v>
                      </c:pt>
                      <c:pt idx="26">
                        <c:v>5.7836000000000002E-11</c:v>
                      </c:pt>
                      <c:pt idx="27">
                        <c:v>8.3879E-9</c:v>
                      </c:pt>
                      <c:pt idx="28">
                        <c:v>2.6605999999999999E-5</c:v>
                      </c:pt>
                      <c:pt idx="29">
                        <c:v>6.5841999999999995E-4</c:v>
                      </c:pt>
                      <c:pt idx="30">
                        <c:v>1.1711E-3</c:v>
                      </c:pt>
                      <c:pt idx="31">
                        <c:v>1.6188000000000001E-3</c:v>
                      </c:pt>
                      <c:pt idx="32">
                        <c:v>3.2217000000000001E-3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-18.66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-18.66</c:v>
                      </c:pt>
                      <c:pt idx="4">
                        <c:v>-18.670000000000002</c:v>
                      </c:pt>
                      <c:pt idx="5">
                        <c:v>-18.75</c:v>
                      </c:pt>
                      <c:pt idx="6">
                        <c:v>-18.78</c:v>
                      </c:pt>
                      <c:pt idx="7">
                        <c:v>-18.809999999999999</c:v>
                      </c:pt>
                      <c:pt idx="8">
                        <c:v>-18.829999999999998</c:v>
                      </c:pt>
                      <c:pt idx="9">
                        <c:v>-18.86</c:v>
                      </c:pt>
                      <c:pt idx="10">
                        <c:v>-18.899999999999999</c:v>
                      </c:pt>
                      <c:pt idx="11">
                        <c:v>-18.93</c:v>
                      </c:pt>
                      <c:pt idx="12">
                        <c:v>-18.96</c:v>
                      </c:pt>
                      <c:pt idx="13">
                        <c:v>-18.989999999999998</c:v>
                      </c:pt>
                      <c:pt idx="14">
                        <c:v>-19.03</c:v>
                      </c:pt>
                      <c:pt idx="15">
                        <c:v>-19.059999999999999</c:v>
                      </c:pt>
                      <c:pt idx="16">
                        <c:v>-19.100000000000001</c:v>
                      </c:pt>
                      <c:pt idx="17">
                        <c:v>-19.13</c:v>
                      </c:pt>
                      <c:pt idx="18">
                        <c:v>-19.170000000000002</c:v>
                      </c:pt>
                      <c:pt idx="19">
                        <c:v>-19.2</c:v>
                      </c:pt>
                      <c:pt idx="20">
                        <c:v>-19.23</c:v>
                      </c:pt>
                      <c:pt idx="21">
                        <c:v>-19.27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-67.12</c:v>
                      </c:pt>
                      <c:pt idx="1">
                        <c:v>-63.52</c:v>
                      </c:pt>
                      <c:pt idx="2">
                        <c:v>-60.12</c:v>
                      </c:pt>
                      <c:pt idx="3">
                        <c:v>-56.76</c:v>
                      </c:pt>
                      <c:pt idx="4">
                        <c:v>-53.4</c:v>
                      </c:pt>
                      <c:pt idx="5">
                        <c:v>-41.04</c:v>
                      </c:pt>
                      <c:pt idx="6">
                        <c:v>-38.450000000000003</c:v>
                      </c:pt>
                      <c:pt idx="7">
                        <c:v>-36.08</c:v>
                      </c:pt>
                      <c:pt idx="8">
                        <c:v>-33.93</c:v>
                      </c:pt>
                      <c:pt idx="9">
                        <c:v>-31.94</c:v>
                      </c:pt>
                      <c:pt idx="10">
                        <c:v>-30.07</c:v>
                      </c:pt>
                      <c:pt idx="11">
                        <c:v>-28.28</c:v>
                      </c:pt>
                      <c:pt idx="12">
                        <c:v>-26.54</c:v>
                      </c:pt>
                      <c:pt idx="13">
                        <c:v>-24.87</c:v>
                      </c:pt>
                      <c:pt idx="14">
                        <c:v>-23.27</c:v>
                      </c:pt>
                      <c:pt idx="15">
                        <c:v>-21.74</c:v>
                      </c:pt>
                      <c:pt idx="16">
                        <c:v>-20.27</c:v>
                      </c:pt>
                      <c:pt idx="17">
                        <c:v>-18.87</c:v>
                      </c:pt>
                      <c:pt idx="18">
                        <c:v>-17.54</c:v>
                      </c:pt>
                      <c:pt idx="19">
                        <c:v>-16.260000000000002</c:v>
                      </c:pt>
                      <c:pt idx="20">
                        <c:v>-15.05</c:v>
                      </c:pt>
                      <c:pt idx="21">
                        <c:v>-13.91</c:v>
                      </c:pt>
                      <c:pt idx="22">
                        <c:v>-10.79</c:v>
                      </c:pt>
                      <c:pt idx="23">
                        <c:v>-9.1989999999999998</c:v>
                      </c:pt>
                      <c:pt idx="24">
                        <c:v>-8.8740000000000006</c:v>
                      </c:pt>
                      <c:pt idx="25">
                        <c:v>-8.5730000000000004</c:v>
                      </c:pt>
                      <c:pt idx="26">
                        <c:v>-8.2949999999999999</c:v>
                      </c:pt>
                      <c:pt idx="27">
                        <c:v>-8.0359999999999996</c:v>
                      </c:pt>
                      <c:pt idx="28">
                        <c:v>-7.8040000000000003</c:v>
                      </c:pt>
                      <c:pt idx="29">
                        <c:v>-7.8559999999999999</c:v>
                      </c:pt>
                      <c:pt idx="30">
                        <c:v>-7.915</c:v>
                      </c:pt>
                      <c:pt idx="31">
                        <c:v>-7.9720000000000004</c:v>
                      </c:pt>
                      <c:pt idx="32">
                        <c:v>-8.1969999999999992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-16.98</c:v>
                      </c:pt>
                      <c:pt idx="1">
                        <c:v>-16.239999999999998</c:v>
                      </c:pt>
                      <c:pt idx="2">
                        <c:v>-15.42</c:v>
                      </c:pt>
                      <c:pt idx="3">
                        <c:v>-14.46</c:v>
                      </c:pt>
                      <c:pt idx="4">
                        <c:v>-13.36</c:v>
                      </c:pt>
                      <c:pt idx="5">
                        <c:v>-8.9659999999999993</c:v>
                      </c:pt>
                      <c:pt idx="6">
                        <c:v>-8.077</c:v>
                      </c:pt>
                      <c:pt idx="7">
                        <c:v>-7.3339999999999996</c:v>
                      </c:pt>
                      <c:pt idx="8">
                        <c:v>-6.7590000000000003</c:v>
                      </c:pt>
                      <c:pt idx="9">
                        <c:v>-6.35</c:v>
                      </c:pt>
                      <c:pt idx="10">
                        <c:v>-6.0869999999999997</c:v>
                      </c:pt>
                      <c:pt idx="11">
                        <c:v>-5.9379999999999997</c:v>
                      </c:pt>
                      <c:pt idx="12">
                        <c:v>-5.87</c:v>
                      </c:pt>
                      <c:pt idx="13">
                        <c:v>-5.8520000000000003</c:v>
                      </c:pt>
                      <c:pt idx="14">
                        <c:v>-5.8609999999999998</c:v>
                      </c:pt>
                      <c:pt idx="15">
                        <c:v>-5.8860000000000001</c:v>
                      </c:pt>
                      <c:pt idx="16">
                        <c:v>-5.9180000000000001</c:v>
                      </c:pt>
                      <c:pt idx="17">
                        <c:v>-5.9550000000000001</c:v>
                      </c:pt>
                      <c:pt idx="18">
                        <c:v>-5.9930000000000003</c:v>
                      </c:pt>
                      <c:pt idx="19">
                        <c:v>-6.0330000000000004</c:v>
                      </c:pt>
                      <c:pt idx="20">
                        <c:v>-6.0739999999999998</c:v>
                      </c:pt>
                      <c:pt idx="21">
                        <c:v>-6.1180000000000003</c:v>
                      </c:pt>
                      <c:pt idx="22">
                        <c:v>-6.3319999999999999</c:v>
                      </c:pt>
                      <c:pt idx="23">
                        <c:v>-6.508</c:v>
                      </c:pt>
                      <c:pt idx="24">
                        <c:v>-6.5510000000000002</c:v>
                      </c:pt>
                      <c:pt idx="25">
                        <c:v>-6.5940000000000003</c:v>
                      </c:pt>
                      <c:pt idx="26">
                        <c:v>-6.6360000000000001</c:v>
                      </c:pt>
                      <c:pt idx="27">
                        <c:v>-6.6779999999999999</c:v>
                      </c:pt>
                      <c:pt idx="28">
                        <c:v>-6.7190000000000003</c:v>
                      </c:pt>
                      <c:pt idx="29">
                        <c:v>-6.7510000000000003</c:v>
                      </c:pt>
                      <c:pt idx="30">
                        <c:v>-6.7839999999999998</c:v>
                      </c:pt>
                      <c:pt idx="31">
                        <c:v>-6.8170000000000002</c:v>
                      </c:pt>
                      <c:pt idx="32">
                        <c:v>-6.9539999999999997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-22.53</c:v>
                      </c:pt>
                      <c:pt idx="2">
                        <c:v>-21.75</c:v>
                      </c:pt>
                      <c:pt idx="3">
                        <c:v>-21.28</c:v>
                      </c:pt>
                      <c:pt idx="4">
                        <c:v>-21.09</c:v>
                      </c:pt>
                      <c:pt idx="5">
                        <c:v>-21.65</c:v>
                      </c:pt>
                      <c:pt idx="6">
                        <c:v>-21.85</c:v>
                      </c:pt>
                      <c:pt idx="7">
                        <c:v>-22.03</c:v>
                      </c:pt>
                      <c:pt idx="8">
                        <c:v>-22.18</c:v>
                      </c:pt>
                      <c:pt idx="9">
                        <c:v>-22.32</c:v>
                      </c:pt>
                      <c:pt idx="10">
                        <c:v>-22.47</c:v>
                      </c:pt>
                      <c:pt idx="11">
                        <c:v>-22.65</c:v>
                      </c:pt>
                      <c:pt idx="12">
                        <c:v>-22.86</c:v>
                      </c:pt>
                      <c:pt idx="13">
                        <c:v>-23.08</c:v>
                      </c:pt>
                      <c:pt idx="14">
                        <c:v>-23.31</c:v>
                      </c:pt>
                      <c:pt idx="15">
                        <c:v>-23.54</c:v>
                      </c:pt>
                      <c:pt idx="16">
                        <c:v>-23.78</c:v>
                      </c:pt>
                      <c:pt idx="17">
                        <c:v>-24.01</c:v>
                      </c:pt>
                      <c:pt idx="18">
                        <c:v>-24.25</c:v>
                      </c:pt>
                      <c:pt idx="19">
                        <c:v>-24.48</c:v>
                      </c:pt>
                      <c:pt idx="20">
                        <c:v>-24.71</c:v>
                      </c:pt>
                      <c:pt idx="21">
                        <c:v>-24.94</c:v>
                      </c:pt>
                      <c:pt idx="22">
                        <c:v>-25.82</c:v>
                      </c:pt>
                      <c:pt idx="23">
                        <c:v>-26.68</c:v>
                      </c:pt>
                      <c:pt idx="24">
                        <c:v>-26.9</c:v>
                      </c:pt>
                      <c:pt idx="25">
                        <c:v>-27.11</c:v>
                      </c:pt>
                      <c:pt idx="26">
                        <c:v>-27.32</c:v>
                      </c:pt>
                      <c:pt idx="27">
                        <c:v>-27.52</c:v>
                      </c:pt>
                      <c:pt idx="28">
                        <c:v>-27.73</c:v>
                      </c:pt>
                      <c:pt idx="29">
                        <c:v>-27.92</c:v>
                      </c:pt>
                      <c:pt idx="30">
                        <c:v>-28.11</c:v>
                      </c:pt>
                      <c:pt idx="31">
                        <c:v>-28.3</c:v>
                      </c:pt>
                      <c:pt idx="32">
                        <c:v>-29.08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-138.25933621916215</c:v>
                </c:pt>
                <c:pt idx="1">
                  <c:v>-140.28345403313827</c:v>
                </c:pt>
                <c:pt idx="2">
                  <c:v>-142.62706086943717</c:v>
                </c:pt>
                <c:pt idx="3">
                  <c:v>-145.58270951348359</c:v>
                </c:pt>
                <c:pt idx="4">
                  <c:v>-148.9549166075719</c:v>
                </c:pt>
                <c:pt idx="5">
                  <c:v>-163.65796285442946</c:v>
                </c:pt>
                <c:pt idx="6">
                  <c:v>-167.65961923392808</c:v>
                </c:pt>
                <c:pt idx="7">
                  <c:v>-172.06080777583637</c:v>
                </c:pt>
                <c:pt idx="8">
                  <c:v>-177.03020804486849</c:v>
                </c:pt>
                <c:pt idx="9">
                  <c:v>-182.5954597127739</c:v>
                </c:pt>
                <c:pt idx="10">
                  <c:v>-188.79362828712445</c:v>
                </c:pt>
                <c:pt idx="11">
                  <c:v>-195.54439707765377</c:v>
                </c:pt>
                <c:pt idx="12">
                  <c:v>-202.71474068398356</c:v>
                </c:pt>
                <c:pt idx="13">
                  <c:v>-210.13861587612112</c:v>
                </c:pt>
                <c:pt idx="14">
                  <c:v>-217.7098632496205</c:v>
                </c:pt>
                <c:pt idx="15">
                  <c:v>-225.39690642683649</c:v>
                </c:pt>
                <c:pt idx="16">
                  <c:v>-233.26374175175252</c:v>
                </c:pt>
                <c:pt idx="17">
                  <c:v>-241.17280794127376</c:v>
                </c:pt>
                <c:pt idx="18">
                  <c:v>-249.32576592846698</c:v>
                </c:pt>
                <c:pt idx="19">
                  <c:v>-257.49597303351482</c:v>
                </c:pt>
                <c:pt idx="20">
                  <c:v>-265.8953744740831</c:v>
                </c:pt>
                <c:pt idx="21">
                  <c:v>-274.78323727860652</c:v>
                </c:pt>
                <c:pt idx="22">
                  <c:v>-317.91923673329478</c:v>
                </c:pt>
                <c:pt idx="23">
                  <c:v>-357.03928653904933</c:v>
                </c:pt>
                <c:pt idx="24">
                  <c:v>-366.93941464348023</c:v>
                </c:pt>
                <c:pt idx="25">
                  <c:v>-376.846072638929</c:v>
                </c:pt>
                <c:pt idx="26">
                  <c:v>-386.85408888476098</c:v>
                </c:pt>
                <c:pt idx="27">
                  <c:v>-396.86542065946702</c:v>
                </c:pt>
                <c:pt idx="28">
                  <c:v>-407.04318115256251</c:v>
                </c:pt>
                <c:pt idx="29">
                  <c:v>-414.76745649540379</c:v>
                </c:pt>
                <c:pt idx="30">
                  <c:v>-423.41450278074808</c:v>
                </c:pt>
                <c:pt idx="31">
                  <c:v>-432.63018951556705</c:v>
                </c:pt>
                <c:pt idx="32">
                  <c:v>-472.7836176019282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-152.03948624034498</c:v>
                </c:pt>
                <c:pt idx="1">
                  <c:v>-154.00293394315176</c:v>
                </c:pt>
                <c:pt idx="2">
                  <c:v>-156.04708052646609</c:v>
                </c:pt>
                <c:pt idx="3">
                  <c:v>-158.43297173319891</c:v>
                </c:pt>
                <c:pt idx="4">
                  <c:v>-161.16067631927277</c:v>
                </c:pt>
                <c:pt idx="5">
                  <c:v>-175.04230586490877</c:v>
                </c:pt>
                <c:pt idx="6">
                  <c:v>-178.95494781052045</c:v>
                </c:pt>
                <c:pt idx="7">
                  <c:v>-183.13596321176772</c:v>
                </c:pt>
                <c:pt idx="8">
                  <c:v>-187.71199304889328</c:v>
                </c:pt>
                <c:pt idx="9">
                  <c:v>-192.74218316419257</c:v>
                </c:pt>
                <c:pt idx="10">
                  <c:v>-198.38520965896166</c:v>
                </c:pt>
                <c:pt idx="11">
                  <c:v>-204.68729515117855</c:v>
                </c:pt>
                <c:pt idx="12">
                  <c:v>-211.57025401672936</c:v>
                </c:pt>
                <c:pt idx="13">
                  <c:v>-218.85114981232812</c:v>
                </c:pt>
                <c:pt idx="14">
                  <c:v>-226.3747185719329</c:v>
                </c:pt>
                <c:pt idx="15">
                  <c:v>-234.06983540394793</c:v>
                </c:pt>
                <c:pt idx="16">
                  <c:v>-241.97643990488743</c:v>
                </c:pt>
                <c:pt idx="17">
                  <c:v>-249.93885341550592</c:v>
                </c:pt>
                <c:pt idx="18">
                  <c:v>-258.15210319445413</c:v>
                </c:pt>
                <c:pt idx="19">
                  <c:v>-266.35255490756589</c:v>
                </c:pt>
                <c:pt idx="20">
                  <c:v>-274.67913097273538</c:v>
                </c:pt>
                <c:pt idx="21">
                  <c:v>-283.15601130880697</c:v>
                </c:pt>
                <c:pt idx="22">
                  <c:v>-318.91341797993584</c:v>
                </c:pt>
                <c:pt idx="23">
                  <c:v>-357.05634946701252</c:v>
                </c:pt>
                <c:pt idx="24">
                  <c:v>-366.94561575360683</c:v>
                </c:pt>
                <c:pt idx="25">
                  <c:v>-376.84834063605808</c:v>
                </c:pt>
                <c:pt idx="26">
                  <c:v>-386.85493020329841</c:v>
                </c:pt>
                <c:pt idx="27">
                  <c:v>-396.86574884622581</c:v>
                </c:pt>
                <c:pt idx="28">
                  <c:v>-407.0433326343279</c:v>
                </c:pt>
                <c:pt idx="29">
                  <c:v>-414.7675228630539</c:v>
                </c:pt>
                <c:pt idx="30">
                  <c:v>-423.41455065238</c:v>
                </c:pt>
                <c:pt idx="31">
                  <c:v>-432.63023378893905</c:v>
                </c:pt>
                <c:pt idx="32">
                  <c:v>-472.78366118751887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-152.03948624034498</c:v>
                </c:pt>
                <c:pt idx="1">
                  <c:v>-154.00293394315176</c:v>
                </c:pt>
                <c:pt idx="2">
                  <c:v>-156.04708052646609</c:v>
                </c:pt>
                <c:pt idx="3">
                  <c:v>-158.43297173319891</c:v>
                </c:pt>
                <c:pt idx="4">
                  <c:v>-161.16067631927277</c:v>
                </c:pt>
                <c:pt idx="5">
                  <c:v>-175.04230586490877</c:v>
                </c:pt>
                <c:pt idx="6">
                  <c:v>-178.95494781052045</c:v>
                </c:pt>
                <c:pt idx="7">
                  <c:v>-183.13596321176772</c:v>
                </c:pt>
                <c:pt idx="8">
                  <c:v>-187.71199304889328</c:v>
                </c:pt>
                <c:pt idx="9">
                  <c:v>-192.74218316419257</c:v>
                </c:pt>
                <c:pt idx="10">
                  <c:v>-198.38520965896166</c:v>
                </c:pt>
                <c:pt idx="11">
                  <c:v>-204.68729515117855</c:v>
                </c:pt>
                <c:pt idx="12">
                  <c:v>-211.57025401672936</c:v>
                </c:pt>
                <c:pt idx="13">
                  <c:v>-218.85114981232812</c:v>
                </c:pt>
                <c:pt idx="14">
                  <c:v>-226.3747185719329</c:v>
                </c:pt>
                <c:pt idx="15">
                  <c:v>-234.06983540394793</c:v>
                </c:pt>
                <c:pt idx="16">
                  <c:v>-241.97643990488743</c:v>
                </c:pt>
                <c:pt idx="17">
                  <c:v>-249.93885341550592</c:v>
                </c:pt>
                <c:pt idx="18">
                  <c:v>-258.15210319445413</c:v>
                </c:pt>
                <c:pt idx="19">
                  <c:v>-266.35255490756589</c:v>
                </c:pt>
                <c:pt idx="20">
                  <c:v>-274.67913097273538</c:v>
                </c:pt>
                <c:pt idx="21">
                  <c:v>-283.15601130880697</c:v>
                </c:pt>
                <c:pt idx="22">
                  <c:v>-318.91341797993584</c:v>
                </c:pt>
                <c:pt idx="23">
                  <c:v>-357.05634946701252</c:v>
                </c:pt>
                <c:pt idx="24">
                  <c:v>-366.94561575360683</c:v>
                </c:pt>
                <c:pt idx="25">
                  <c:v>-376.84834063607781</c:v>
                </c:pt>
                <c:pt idx="26">
                  <c:v>-386.85493037905377</c:v>
                </c:pt>
                <c:pt idx="27">
                  <c:v>-396.86577989999813</c:v>
                </c:pt>
                <c:pt idx="28">
                  <c:v>-407.16096612231996</c:v>
                </c:pt>
                <c:pt idx="29">
                  <c:v>-417.49056408525638</c:v>
                </c:pt>
                <c:pt idx="30">
                  <c:v>-427.93754581833753</c:v>
                </c:pt>
                <c:pt idx="31">
                  <c:v>-438.48775725766313</c:v>
                </c:pt>
                <c:pt idx="32">
                  <c:v>-482.04557909567279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-482.04501535714286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-152.03891136642861</c:v>
                </c:pt>
                <c:pt idx="1">
                  <c:v>-154.00607693057142</c:v>
                </c:pt>
                <c:pt idx="2">
                  <c:v>-156.04911587057143</c:v>
                </c:pt>
                <c:pt idx="3">
                  <c:v>-158.43258132299999</c:v>
                </c:pt>
                <c:pt idx="4">
                  <c:v>-161.15876571428572</c:v>
                </c:pt>
                <c:pt idx="5">
                  <c:v>-175.04147519909998</c:v>
                </c:pt>
                <c:pt idx="6">
                  <c:v>-178.95455161470002</c:v>
                </c:pt>
                <c:pt idx="7">
                  <c:v>-183.13790581890004</c:v>
                </c:pt>
                <c:pt idx="8">
                  <c:v>-187.71008179544998</c:v>
                </c:pt>
                <c:pt idx="9">
                  <c:v>-192.74201398842857</c:v>
                </c:pt>
                <c:pt idx="10">
                  <c:v>-198.38092938734999</c:v>
                </c:pt>
                <c:pt idx="11">
                  <c:v>-204.68664891925712</c:v>
                </c:pt>
                <c:pt idx="12">
                  <c:v>-211.57047599250004</c:v>
                </c:pt>
                <c:pt idx="13">
                  <c:v>-218.85162617678571</c:v>
                </c:pt>
                <c:pt idx="14">
                  <c:v>-226.37463685157141</c:v>
                </c:pt>
                <c:pt idx="15">
                  <c:v>-234.06891434849999</c:v>
                </c:pt>
                <c:pt idx="16">
                  <c:v>-241.97792924914287</c:v>
                </c:pt>
                <c:pt idx="17">
                  <c:v>-249.94023950089291</c:v>
                </c:pt>
                <c:pt idx="18">
                  <c:v>-258.15271654742145</c:v>
                </c:pt>
                <c:pt idx="19">
                  <c:v>-266.35261601224289</c:v>
                </c:pt>
                <c:pt idx="20">
                  <c:v>-274.68123427080002</c:v>
                </c:pt>
                <c:pt idx="21">
                  <c:v>-283.1542333467429</c:v>
                </c:pt>
                <c:pt idx="22">
                  <c:v>-318.91649446830002</c:v>
                </c:pt>
                <c:pt idx="23">
                  <c:v>-357.05651848307139</c:v>
                </c:pt>
                <c:pt idx="24">
                  <c:v>-366.94693729155</c:v>
                </c:pt>
                <c:pt idx="25">
                  <c:v>-376.84470516779999</c:v>
                </c:pt>
                <c:pt idx="26">
                  <c:v>-386.85742789570713</c:v>
                </c:pt>
                <c:pt idx="27">
                  <c:v>-396.86544722974287</c:v>
                </c:pt>
                <c:pt idx="28">
                  <c:v>-407.16199954979993</c:v>
                </c:pt>
                <c:pt idx="29">
                  <c:v>-417.4934201509501</c:v>
                </c:pt>
                <c:pt idx="30">
                  <c:v>-427.94028354612857</c:v>
                </c:pt>
                <c:pt idx="31">
                  <c:v>-438.48566450157853</c:v>
                </c:pt>
                <c:pt idx="32">
                  <c:v>-482.04501535714286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-3.4708607412758862E-20</c:v>
                      </c:pt>
                      <c:pt idx="24">
                        <c:v>-1.1355133014573897E-15</c:v>
                      </c:pt>
                      <c:pt idx="25">
                        <c:v>-1.9743216113992303E-11</c:v>
                      </c:pt>
                      <c:pt idx="26">
                        <c:v>-1.7575537705058117E-7</c:v>
                      </c:pt>
                      <c:pt idx="27">
                        <c:v>-3.1053772332817487E-5</c:v>
                      </c:pt>
                      <c:pt idx="28">
                        <c:v>-0.11763348799203781</c:v>
                      </c:pt>
                      <c:pt idx="29">
                        <c:v>-2.7230412222024829</c:v>
                      </c:pt>
                      <c:pt idx="30">
                        <c:v>-4.5229951659575507</c:v>
                      </c:pt>
                      <c:pt idx="31">
                        <c:v>-5.8575234687240929</c:v>
                      </c:pt>
                      <c:pt idx="32">
                        <c:v>-9.2619179081539276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-13.780150021182845</c:v>
                      </c:pt>
                      <c:pt idx="1">
                        <c:v>-13.719479910013501</c:v>
                      </c:pt>
                      <c:pt idx="2">
                        <c:v>-13.420019657028917</c:v>
                      </c:pt>
                      <c:pt idx="3">
                        <c:v>-12.850262219715306</c:v>
                      </c:pt>
                      <c:pt idx="4">
                        <c:v>-12.205759711700876</c:v>
                      </c:pt>
                      <c:pt idx="5">
                        <c:v>-11.384343010479316</c:v>
                      </c:pt>
                      <c:pt idx="6">
                        <c:v>-11.295328576592365</c:v>
                      </c:pt>
                      <c:pt idx="7">
                        <c:v>-11.075155435931345</c:v>
                      </c:pt>
                      <c:pt idx="8">
                        <c:v>-10.681785004024798</c:v>
                      </c:pt>
                      <c:pt idx="9">
                        <c:v>-10.14672345141866</c:v>
                      </c:pt>
                      <c:pt idx="10">
                        <c:v>-9.5915813718371989</c:v>
                      </c:pt>
                      <c:pt idx="11">
                        <c:v>-9.1428980735247798</c:v>
                      </c:pt>
                      <c:pt idx="12">
                        <c:v>-8.8555133327458044</c:v>
                      </c:pt>
                      <c:pt idx="13">
                        <c:v>-8.7125339362070093</c:v>
                      </c:pt>
                      <c:pt idx="14">
                        <c:v>-8.6648553223124036</c:v>
                      </c:pt>
                      <c:pt idx="15">
                        <c:v>-8.672928977111436</c:v>
                      </c:pt>
                      <c:pt idx="16">
                        <c:v>-8.712698153134907</c:v>
                      </c:pt>
                      <c:pt idx="17">
                        <c:v>-8.766045474232163</c:v>
                      </c:pt>
                      <c:pt idx="18">
                        <c:v>-8.8263372659871226</c:v>
                      </c:pt>
                      <c:pt idx="19">
                        <c:v>-8.8565818740510522</c:v>
                      </c:pt>
                      <c:pt idx="20">
                        <c:v>-8.7837564986522931</c:v>
                      </c:pt>
                      <c:pt idx="21">
                        <c:v>-8.3727740302004339</c:v>
                      </c:pt>
                      <c:pt idx="22">
                        <c:v>-0.99418124664108398</c:v>
                      </c:pt>
                      <c:pt idx="23">
                        <c:v>-1.7062927963174535E-2</c:v>
                      </c:pt>
                      <c:pt idx="24">
                        <c:v>-6.2011101265737993E-3</c:v>
                      </c:pt>
                      <c:pt idx="25">
                        <c:v>-2.2679971290620023E-3</c:v>
                      </c:pt>
                      <c:pt idx="26">
                        <c:v>-8.4131853743693444E-4</c:v>
                      </c:pt>
                      <c:pt idx="27">
                        <c:v>-3.2818675877928556E-4</c:v>
                      </c:pt>
                      <c:pt idx="28">
                        <c:v>-1.514817653685323E-4</c:v>
                      </c:pt>
                      <c:pt idx="29">
                        <c:v>-6.6367650121287367E-5</c:v>
                      </c:pt>
                      <c:pt idx="30">
                        <c:v>-4.7871631901840948E-5</c:v>
                      </c:pt>
                      <c:pt idx="31">
                        <c:v>-4.427337200441796E-5</c:v>
                      </c:pt>
                      <c:pt idx="32">
                        <c:v>-4.3585590670203575E-5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-13.780150021182845</c:v>
                      </c:pt>
                      <c:pt idx="1">
                        <c:v>-13.719479910013501</c:v>
                      </c:pt>
                      <c:pt idx="2">
                        <c:v>-13.420019657028917</c:v>
                      </c:pt>
                      <c:pt idx="3">
                        <c:v>-12.850262219715306</c:v>
                      </c:pt>
                      <c:pt idx="4">
                        <c:v>-12.205759711700876</c:v>
                      </c:pt>
                      <c:pt idx="5">
                        <c:v>-11.384343010479316</c:v>
                      </c:pt>
                      <c:pt idx="6">
                        <c:v>-11.295328576592365</c:v>
                      </c:pt>
                      <c:pt idx="7">
                        <c:v>-11.075155435931345</c:v>
                      </c:pt>
                      <c:pt idx="8">
                        <c:v>-10.681785004024798</c:v>
                      </c:pt>
                      <c:pt idx="9">
                        <c:v>-10.14672345141866</c:v>
                      </c:pt>
                      <c:pt idx="10">
                        <c:v>-9.5915813718371989</c:v>
                      </c:pt>
                      <c:pt idx="11">
                        <c:v>-9.1428980735247798</c:v>
                      </c:pt>
                      <c:pt idx="12">
                        <c:v>-8.8555133327458044</c:v>
                      </c:pt>
                      <c:pt idx="13">
                        <c:v>-8.7125339362070093</c:v>
                      </c:pt>
                      <c:pt idx="14">
                        <c:v>-8.6648553223124036</c:v>
                      </c:pt>
                      <c:pt idx="15">
                        <c:v>-8.672928977111436</c:v>
                      </c:pt>
                      <c:pt idx="16">
                        <c:v>-8.712698153134907</c:v>
                      </c:pt>
                      <c:pt idx="17">
                        <c:v>-8.766045474232163</c:v>
                      </c:pt>
                      <c:pt idx="18">
                        <c:v>-8.8263372659871226</c:v>
                      </c:pt>
                      <c:pt idx="19">
                        <c:v>-8.8565818740510522</c:v>
                      </c:pt>
                      <c:pt idx="20">
                        <c:v>-8.7837564986522931</c:v>
                      </c:pt>
                      <c:pt idx="21">
                        <c:v>-8.3727740302004339</c:v>
                      </c:pt>
                      <c:pt idx="22">
                        <c:v>-0.99418124664108398</c:v>
                      </c:pt>
                      <c:pt idx="23">
                        <c:v>-1.7062927963174535E-2</c:v>
                      </c:pt>
                      <c:pt idx="24">
                        <c:v>-6.2011101265749347E-3</c:v>
                      </c:pt>
                      <c:pt idx="25">
                        <c:v>-2.2679971488052185E-3</c:v>
                      </c:pt>
                      <c:pt idx="26">
                        <c:v>-8.41494292813985E-4</c:v>
                      </c:pt>
                      <c:pt idx="27">
                        <c:v>-3.5924053111210306E-4</c:v>
                      </c:pt>
                      <c:pt idx="28">
                        <c:v>-0.11778496975740634</c:v>
                      </c:pt>
                      <c:pt idx="29">
                        <c:v>-2.7231075898526043</c:v>
                      </c:pt>
                      <c:pt idx="30">
                        <c:v>-4.5230430375894528</c:v>
                      </c:pt>
                      <c:pt idx="31">
                        <c:v>-5.857567742096097</c:v>
                      </c:pt>
                      <c:pt idx="32">
                        <c:v>-9.2619614937445984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-1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2.9827000000000001E-9</c:v>
                </c:pt>
                <c:pt idx="1">
                  <c:v>5.4655999999999998E-9</c:v>
                </c:pt>
                <c:pt idx="2">
                  <c:v>8.6291999999999999E-9</c:v>
                </c:pt>
                <c:pt idx="3">
                  <c:v>1.5218000000000001E-8</c:v>
                </c:pt>
                <c:pt idx="4">
                  <c:v>2.2297999999999999E-8</c:v>
                </c:pt>
                <c:pt idx="5">
                  <c:v>3.6994E-8</c:v>
                </c:pt>
                <c:pt idx="6">
                  <c:v>2.3000000000000001E-8</c:v>
                </c:pt>
                <c:pt idx="7">
                  <c:v>1.1274000000000001E-8</c:v>
                </c:pt>
                <c:pt idx="8">
                  <c:v>3.6984E-9</c:v>
                </c:pt>
                <c:pt idx="9">
                  <c:v>4.7711999999999997E-12</c:v>
                </c:pt>
                <c:pt idx="10">
                  <c:v>7.1197000000000007E-18</c:v>
                </c:pt>
                <c:pt idx="11">
                  <c:v>5.4020999999999997E-25</c:v>
                </c:pt>
                <c:pt idx="12">
                  <c:v>1.4035000000000001E-32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6.1428999999999998E-28</c:v>
                </c:pt>
                <c:pt idx="24">
                  <c:v>1.8061E-22</c:v>
                </c:pt>
                <c:pt idx="25">
                  <c:v>2.1782E-17</c:v>
                </c:pt>
                <c:pt idx="26">
                  <c:v>1.0454999999999999E-12</c:v>
                </c:pt>
                <c:pt idx="27">
                  <c:v>5.7881999999999997E-10</c:v>
                </c:pt>
                <c:pt idx="28">
                  <c:v>1.8897999999999999E-7</c:v>
                </c:pt>
                <c:pt idx="29">
                  <c:v>6.7478E-6</c:v>
                </c:pt>
                <c:pt idx="30">
                  <c:v>5.5303999999999996E-6</c:v>
                </c:pt>
                <c:pt idx="31">
                  <c:v>4.3992000000000002E-6</c:v>
                </c:pt>
                <c:pt idx="32">
                  <c:v>2.1291999999999999E-6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5.8711000000000001E-31</c:v>
                </c:pt>
                <c:pt idx="3">
                  <c:v>6.2772999999999996E-25</c:v>
                </c:pt>
                <c:pt idx="4">
                  <c:v>8.6447999999999994E-22</c:v>
                </c:pt>
                <c:pt idx="5">
                  <c:v>2.0010999999999999E-17</c:v>
                </c:pt>
                <c:pt idx="6">
                  <c:v>7.7615999999999997E-16</c:v>
                </c:pt>
                <c:pt idx="7">
                  <c:v>3.5560999999999999E-13</c:v>
                </c:pt>
                <c:pt idx="8">
                  <c:v>4.4159000000000002E-10</c:v>
                </c:pt>
                <c:pt idx="9">
                  <c:v>5.0248000000000003E-9</c:v>
                </c:pt>
                <c:pt idx="10">
                  <c:v>6.2596000000000002E-9</c:v>
                </c:pt>
                <c:pt idx="11">
                  <c:v>1.0265E-8</c:v>
                </c:pt>
                <c:pt idx="12">
                  <c:v>2.1635999999999999E-8</c:v>
                </c:pt>
                <c:pt idx="13">
                  <c:v>1.5935E-8</c:v>
                </c:pt>
                <c:pt idx="14">
                  <c:v>2.6362000000000001E-8</c:v>
                </c:pt>
                <c:pt idx="15">
                  <c:v>2.0599000000000001E-8</c:v>
                </c:pt>
                <c:pt idx="16">
                  <c:v>2.3733000000000001E-8</c:v>
                </c:pt>
                <c:pt idx="17">
                  <c:v>2.3631999999999999E-8</c:v>
                </c:pt>
                <c:pt idx="18">
                  <c:v>2.2979E-8</c:v>
                </c:pt>
                <c:pt idx="19">
                  <c:v>2.3184999999999999E-8</c:v>
                </c:pt>
                <c:pt idx="20">
                  <c:v>2.3359000000000001E-8</c:v>
                </c:pt>
                <c:pt idx="21">
                  <c:v>2.4491999999999999E-8</c:v>
                </c:pt>
                <c:pt idx="22">
                  <c:v>3.1211000000000001E-8</c:v>
                </c:pt>
                <c:pt idx="23">
                  <c:v>3.2555000000000003E-8</c:v>
                </c:pt>
                <c:pt idx="24">
                  <c:v>3.2135999999999997E-8</c:v>
                </c:pt>
                <c:pt idx="25">
                  <c:v>3.1651999999999998E-8</c:v>
                </c:pt>
                <c:pt idx="26">
                  <c:v>3.1298E-8</c:v>
                </c:pt>
                <c:pt idx="27">
                  <c:v>1.2007000000000001E-10</c:v>
                </c:pt>
                <c:pt idx="28">
                  <c:v>1.5713E-29</c:v>
                </c:pt>
                <c:pt idx="29">
                  <c:v>1.8893E-29</c:v>
                </c:pt>
                <c:pt idx="30">
                  <c:v>3.5658999999999998E-30</c:v>
                </c:pt>
                <c:pt idx="31">
                  <c:v>2.3366000000000001E-29</c:v>
                </c:pt>
                <c:pt idx="32">
                  <c:v>4.121E-23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0.13761999999999999</c:v>
                </c:pt>
                <c:pt idx="1">
                  <c:v>0.13184000000000001</c:v>
                </c:pt>
                <c:pt idx="2">
                  <c:v>0.1173</c:v>
                </c:pt>
                <c:pt idx="3">
                  <c:v>9.0985999999999997E-2</c:v>
                </c:pt>
                <c:pt idx="4">
                  <c:v>5.8673000000000003E-2</c:v>
                </c:pt>
                <c:pt idx="5">
                  <c:v>3.5301E-3</c:v>
                </c:pt>
                <c:pt idx="6">
                  <c:v>1.7362E-3</c:v>
                </c:pt>
                <c:pt idx="7">
                  <c:v>8.7681E-4</c:v>
                </c:pt>
                <c:pt idx="8">
                  <c:v>4.4354000000000003E-4</c:v>
                </c:pt>
                <c:pt idx="9">
                  <c:v>2.1458999999999999E-4</c:v>
                </c:pt>
                <c:pt idx="10">
                  <c:v>9.4772999999999995E-5</c:v>
                </c:pt>
                <c:pt idx="11">
                  <c:v>3.7471000000000001E-5</c:v>
                </c:pt>
                <c:pt idx="12">
                  <c:v>1.3517E-5</c:v>
                </c:pt>
                <c:pt idx="13">
                  <c:v>4.6341999999999996E-6</c:v>
                </c:pt>
                <c:pt idx="14">
                  <c:v>1.5689999999999999E-6</c:v>
                </c:pt>
                <c:pt idx="15">
                  <c:v>5.3781999999999998E-7</c:v>
                </c:pt>
                <c:pt idx="16">
                  <c:v>1.8911999999999999E-7</c:v>
                </c:pt>
                <c:pt idx="17">
                  <c:v>6.8608000000000001E-8</c:v>
                </c:pt>
                <c:pt idx="18">
                  <c:v>2.5722E-8</c:v>
                </c:pt>
                <c:pt idx="19">
                  <c:v>9.9647999999999993E-9</c:v>
                </c:pt>
                <c:pt idx="20">
                  <c:v>3.9866999999999999E-9</c:v>
                </c:pt>
                <c:pt idx="21">
                  <c:v>1.6471E-9</c:v>
                </c:pt>
                <c:pt idx="22">
                  <c:v>6.4954000000000001E-11</c:v>
                </c:pt>
                <c:pt idx="23">
                  <c:v>3.496E-12</c:v>
                </c:pt>
                <c:pt idx="24">
                  <c:v>1.7611E-12</c:v>
                </c:pt>
                <c:pt idx="25">
                  <c:v>9.0203999999999996E-13</c:v>
                </c:pt>
                <c:pt idx="26">
                  <c:v>4.6937999999999996E-13</c:v>
                </c:pt>
                <c:pt idx="27">
                  <c:v>2.4795999999999999E-13</c:v>
                </c:pt>
                <c:pt idx="28">
                  <c:v>1.3305E-13</c:v>
                </c:pt>
                <c:pt idx="29">
                  <c:v>7.4307999999999995E-14</c:v>
                </c:pt>
                <c:pt idx="30">
                  <c:v>4.1655E-14</c:v>
                </c:pt>
                <c:pt idx="31">
                  <c:v>2.3510999999999999E-14</c:v>
                </c:pt>
                <c:pt idx="32">
                  <c:v>2.6029999999999999E-15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0.14238000000000001</c:v>
                </c:pt>
                <c:pt idx="1">
                  <c:v>0.14815</c:v>
                </c:pt>
                <c:pt idx="2">
                  <c:v>0.16269</c:v>
                </c:pt>
                <c:pt idx="3">
                  <c:v>0.189</c:v>
                </c:pt>
                <c:pt idx="4">
                  <c:v>0.22128</c:v>
                </c:pt>
                <c:pt idx="5">
                  <c:v>0.27118999999999999</c:v>
                </c:pt>
                <c:pt idx="6">
                  <c:v>0.26468999999999998</c:v>
                </c:pt>
                <c:pt idx="7">
                  <c:v>0.24837999999999999</c:v>
                </c:pt>
                <c:pt idx="8">
                  <c:v>0.21926999999999999</c:v>
                </c:pt>
                <c:pt idx="9">
                  <c:v>0.17757000000000001</c:v>
                </c:pt>
                <c:pt idx="10">
                  <c:v>0.12916</c:v>
                </c:pt>
                <c:pt idx="11">
                  <c:v>8.4039000000000003E-2</c:v>
                </c:pt>
                <c:pt idx="12">
                  <c:v>4.9964000000000001E-2</c:v>
                </c:pt>
                <c:pt idx="13">
                  <c:v>2.8131E-2</c:v>
                </c:pt>
                <c:pt idx="14">
                  <c:v>1.5495999999999999E-2</c:v>
                </c:pt>
                <c:pt idx="15">
                  <c:v>8.5325999999999996E-3</c:v>
                </c:pt>
                <c:pt idx="16">
                  <c:v>4.7505999999999998E-3</c:v>
                </c:pt>
                <c:pt idx="17">
                  <c:v>2.6887999999999999E-3</c:v>
                </c:pt>
                <c:pt idx="18">
                  <c:v>1.5502999999999999E-3</c:v>
                </c:pt>
                <c:pt idx="19">
                  <c:v>9.1091999999999996E-4</c:v>
                </c:pt>
                <c:pt idx="20">
                  <c:v>5.4536999999999999E-4</c:v>
                </c:pt>
                <c:pt idx="21">
                  <c:v>3.3270000000000001E-4</c:v>
                </c:pt>
                <c:pt idx="22">
                  <c:v>5.4917000000000003E-5</c:v>
                </c:pt>
                <c:pt idx="23">
                  <c:v>1.0937999999999999E-5</c:v>
                </c:pt>
                <c:pt idx="24">
                  <c:v>7.5044999999999999E-6</c:v>
                </c:pt>
                <c:pt idx="25">
                  <c:v>5.1990999999999999E-6</c:v>
                </c:pt>
                <c:pt idx="26">
                  <c:v>3.6355000000000002E-6</c:v>
                </c:pt>
                <c:pt idx="27">
                  <c:v>2.5647000000000002E-6</c:v>
                </c:pt>
                <c:pt idx="28">
                  <c:v>1.8256999999999999E-6</c:v>
                </c:pt>
                <c:pt idx="29">
                  <c:v>1.3259000000000001E-6</c:v>
                </c:pt>
                <c:pt idx="30">
                  <c:v>9.660599999999999E-7</c:v>
                </c:pt>
                <c:pt idx="31">
                  <c:v>7.0707999999999995E-7</c:v>
                </c:pt>
                <c:pt idx="32">
                  <c:v>2.1397999999999999E-7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1.1708E-2</c:v>
                </c:pt>
                <c:pt idx="1">
                  <c:v>1.1806000000000001E-2</c:v>
                </c:pt>
                <c:pt idx="2">
                  <c:v>1.2043E-2</c:v>
                </c:pt>
                <c:pt idx="3">
                  <c:v>1.2439E-2</c:v>
                </c:pt>
                <c:pt idx="4">
                  <c:v>1.2874999999999999E-2</c:v>
                </c:pt>
                <c:pt idx="5">
                  <c:v>1.3566999999999999E-2</c:v>
                </c:pt>
                <c:pt idx="6">
                  <c:v>1.3669000000000001E-2</c:v>
                </c:pt>
                <c:pt idx="7">
                  <c:v>1.3845E-2</c:v>
                </c:pt>
                <c:pt idx="8">
                  <c:v>1.4116E-2</c:v>
                </c:pt>
                <c:pt idx="9">
                  <c:v>1.4460000000000001E-2</c:v>
                </c:pt>
                <c:pt idx="10">
                  <c:v>1.481E-2</c:v>
                </c:pt>
                <c:pt idx="11">
                  <c:v>1.5096999999999999E-2</c:v>
                </c:pt>
                <c:pt idx="12">
                  <c:v>1.5294E-2</c:v>
                </c:pt>
                <c:pt idx="13">
                  <c:v>1.5412E-2</c:v>
                </c:pt>
                <c:pt idx="14">
                  <c:v>1.5478E-2</c:v>
                </c:pt>
                <c:pt idx="15">
                  <c:v>1.5513000000000001E-2</c:v>
                </c:pt>
                <c:pt idx="16">
                  <c:v>1.5531E-2</c:v>
                </c:pt>
                <c:pt idx="17">
                  <c:v>1.5537E-2</c:v>
                </c:pt>
                <c:pt idx="18">
                  <c:v>1.5526E-2</c:v>
                </c:pt>
                <c:pt idx="19">
                  <c:v>1.5462999999999999E-2</c:v>
                </c:pt>
                <c:pt idx="20">
                  <c:v>1.5226E-2</c:v>
                </c:pt>
                <c:pt idx="21">
                  <c:v>1.4445E-2</c:v>
                </c:pt>
                <c:pt idx="22">
                  <c:v>1.7378999999999999E-3</c:v>
                </c:pt>
                <c:pt idx="23">
                  <c:v>2.8085E-5</c:v>
                </c:pt>
                <c:pt idx="24">
                  <c:v>1.0037000000000001E-5</c:v>
                </c:pt>
                <c:pt idx="25">
                  <c:v>3.6059000000000001E-6</c:v>
                </c:pt>
                <c:pt idx="26">
                  <c:v>1.3024E-6</c:v>
                </c:pt>
                <c:pt idx="27">
                  <c:v>4.7406E-7</c:v>
                </c:pt>
                <c:pt idx="28">
                  <c:v>1.7140000000000001E-7</c:v>
                </c:pt>
                <c:pt idx="29">
                  <c:v>3.7789000000000002E-8</c:v>
                </c:pt>
                <c:pt idx="30">
                  <c:v>8.4633000000000007E-9</c:v>
                </c:pt>
                <c:pt idx="31">
                  <c:v>1.9569000000000001E-9</c:v>
                </c:pt>
                <c:pt idx="32">
                  <c:v>7.7382000000000003E-12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7.5756000000000005E-29</c:v>
                </c:pt>
                <c:pt idx="1">
                  <c:v>2.9401999999999999E-27</c:v>
                </c:pt>
                <c:pt idx="2">
                  <c:v>9.9583000000000004E-26</c:v>
                </c:pt>
                <c:pt idx="3">
                  <c:v>3.5787999999999998E-24</c:v>
                </c:pt>
                <c:pt idx="4">
                  <c:v>1.4182000000000001E-22</c:v>
                </c:pt>
                <c:pt idx="5">
                  <c:v>1.2896E-16</c:v>
                </c:pt>
                <c:pt idx="6">
                  <c:v>2.2897000000000001E-15</c:v>
                </c:pt>
                <c:pt idx="7">
                  <c:v>3.1573000000000001E-14</c:v>
                </c:pt>
                <c:pt idx="8">
                  <c:v>3.4560000000000001E-13</c:v>
                </c:pt>
                <c:pt idx="9">
                  <c:v>3.1638999999999999E-12</c:v>
                </c:pt>
                <c:pt idx="10">
                  <c:v>2.5638999999999999E-11</c:v>
                </c:pt>
                <c:pt idx="11">
                  <c:v>1.9056999999999999E-10</c:v>
                </c:pt>
                <c:pt idx="12">
                  <c:v>1.3130999999999999E-9</c:v>
                </c:pt>
                <c:pt idx="13">
                  <c:v>8.3702999999999995E-9</c:v>
                </c:pt>
                <c:pt idx="14">
                  <c:v>4.9187999999999997E-8</c:v>
                </c:pt>
                <c:pt idx="15">
                  <c:v>2.664E-7</c:v>
                </c:pt>
                <c:pt idx="16">
                  <c:v>1.3331E-6</c:v>
                </c:pt>
                <c:pt idx="17">
                  <c:v>6.1879999999999999E-6</c:v>
                </c:pt>
                <c:pt idx="18">
                  <c:v>2.6750999999999998E-5</c:v>
                </c:pt>
                <c:pt idx="19">
                  <c:v>1.0794999999999999E-4</c:v>
                </c:pt>
                <c:pt idx="20">
                  <c:v>4.0492000000000002E-4</c:v>
                </c:pt>
                <c:pt idx="21">
                  <c:v>1.3795999999999999E-3</c:v>
                </c:pt>
                <c:pt idx="22">
                  <c:v>1.6258999999999999E-2</c:v>
                </c:pt>
                <c:pt idx="23">
                  <c:v>1.4115000000000001E-2</c:v>
                </c:pt>
                <c:pt idx="24">
                  <c:v>1.2591E-2</c:v>
                </c:pt>
                <c:pt idx="25">
                  <c:v>1.0965000000000001E-2</c:v>
                </c:pt>
                <c:pt idx="26">
                  <c:v>9.3370999999999992E-3</c:v>
                </c:pt>
                <c:pt idx="27">
                  <c:v>7.8056000000000002E-3</c:v>
                </c:pt>
                <c:pt idx="28">
                  <c:v>6.3140999999999996E-3</c:v>
                </c:pt>
                <c:pt idx="29">
                  <c:v>2.9566000000000002E-3</c:v>
                </c:pt>
                <c:pt idx="30">
                  <c:v>1.3887999999999999E-3</c:v>
                </c:pt>
                <c:pt idx="31">
                  <c:v>6.6326999999999998E-4</c:v>
                </c:pt>
                <c:pt idx="32">
                  <c:v>4.0513999999999999E-5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5.2854000000000005E-7</c:v>
                </c:pt>
                <c:pt idx="1">
                  <c:v>1.1217E-6</c:v>
                </c:pt>
                <c:pt idx="2">
                  <c:v>2.6616999999999999E-6</c:v>
                </c:pt>
                <c:pt idx="3">
                  <c:v>7.6415999999999998E-6</c:v>
                </c:pt>
                <c:pt idx="4">
                  <c:v>2.5486E-5</c:v>
                </c:pt>
                <c:pt idx="5">
                  <c:v>2.6394000000000001E-3</c:v>
                </c:pt>
                <c:pt idx="6">
                  <c:v>6.7882000000000003E-3</c:v>
                </c:pt>
                <c:pt idx="7">
                  <c:v>1.537E-2</c:v>
                </c:pt>
                <c:pt idx="8">
                  <c:v>3.0145000000000002E-2</c:v>
                </c:pt>
                <c:pt idx="9">
                  <c:v>5.1109000000000002E-2</c:v>
                </c:pt>
                <c:pt idx="10">
                  <c:v>7.5374999999999998E-2</c:v>
                </c:pt>
                <c:pt idx="11">
                  <c:v>9.7961999999999994E-2</c:v>
                </c:pt>
                <c:pt idx="12">
                  <c:v>0.11501</c:v>
                </c:pt>
                <c:pt idx="13">
                  <c:v>0.12592999999999999</c:v>
                </c:pt>
                <c:pt idx="14">
                  <c:v>0.13225000000000001</c:v>
                </c:pt>
                <c:pt idx="15">
                  <c:v>0.13572999999999999</c:v>
                </c:pt>
                <c:pt idx="16">
                  <c:v>0.13761999999999999</c:v>
                </c:pt>
                <c:pt idx="17">
                  <c:v>0.13866000000000001</c:v>
                </c:pt>
                <c:pt idx="18">
                  <c:v>0.13922000000000001</c:v>
                </c:pt>
                <c:pt idx="19">
                  <c:v>0.13954</c:v>
                </c:pt>
                <c:pt idx="20">
                  <c:v>0.13972999999999999</c:v>
                </c:pt>
                <c:pt idx="21">
                  <c:v>0.13983000000000001</c:v>
                </c:pt>
                <c:pt idx="22">
                  <c:v>0.13997000000000001</c:v>
                </c:pt>
                <c:pt idx="23">
                  <c:v>0.13999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0.14000000000000001</c:v>
                </c:pt>
                <c:pt idx="28">
                  <c:v>0.13999</c:v>
                </c:pt>
                <c:pt idx="29">
                  <c:v>0.13966999999999999</c:v>
                </c:pt>
                <c:pt idx="30">
                  <c:v>0.13941000000000001</c:v>
                </c:pt>
                <c:pt idx="31">
                  <c:v>0.13919000000000001</c:v>
                </c:pt>
                <c:pt idx="32">
                  <c:v>0.13839000000000001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2.7998999999999999E-28</c:v>
                </c:pt>
                <c:pt idx="1">
                  <c:v>1.0385999999999999E-26</c:v>
                </c:pt>
                <c:pt idx="2">
                  <c:v>3.2712999999999998E-25</c:v>
                </c:pt>
                <c:pt idx="3">
                  <c:v>1.026E-23</c:v>
                </c:pt>
                <c:pt idx="4">
                  <c:v>3.2961E-22</c:v>
                </c:pt>
                <c:pt idx="5">
                  <c:v>1.0036000000000001E-16</c:v>
                </c:pt>
                <c:pt idx="6">
                  <c:v>1.4244E-15</c:v>
                </c:pt>
                <c:pt idx="7">
                  <c:v>1.6396999999999999E-14</c:v>
                </c:pt>
                <c:pt idx="8">
                  <c:v>1.5638000000000001E-13</c:v>
                </c:pt>
                <c:pt idx="9">
                  <c:v>1.2856000000000001E-12</c:v>
                </c:pt>
                <c:pt idx="10">
                  <c:v>9.4622000000000006E-12</c:v>
                </c:pt>
                <c:pt idx="11">
                  <c:v>6.3634E-11</c:v>
                </c:pt>
                <c:pt idx="12">
                  <c:v>3.9289000000000003E-10</c:v>
                </c:pt>
                <c:pt idx="13">
                  <c:v>2.2262E-9</c:v>
                </c:pt>
                <c:pt idx="14">
                  <c:v>1.1587E-8</c:v>
                </c:pt>
                <c:pt idx="15">
                  <c:v>5.5549000000000003E-8</c:v>
                </c:pt>
                <c:pt idx="16">
                  <c:v>2.4629999999999998E-7</c:v>
                </c:pt>
                <c:pt idx="17">
                  <c:v>1.0144E-6</c:v>
                </c:pt>
                <c:pt idx="18">
                  <c:v>3.8963999999999997E-6</c:v>
                </c:pt>
                <c:pt idx="19">
                  <c:v>1.3995999999999999E-5</c:v>
                </c:pt>
                <c:pt idx="20">
                  <c:v>4.6999000000000002E-5</c:v>
                </c:pt>
                <c:pt idx="21">
                  <c:v>1.4606999999999999E-4</c:v>
                </c:pt>
                <c:pt idx="22">
                  <c:v>3.0864999999999998E-3</c:v>
                </c:pt>
                <c:pt idx="23">
                  <c:v>1.1698999999999999E-2</c:v>
                </c:pt>
                <c:pt idx="24">
                  <c:v>1.4792E-2</c:v>
                </c:pt>
                <c:pt idx="25">
                  <c:v>1.8062000000000002E-2</c:v>
                </c:pt>
                <c:pt idx="26">
                  <c:v>2.1322000000000001E-2</c:v>
                </c:pt>
                <c:pt idx="27">
                  <c:v>2.4386999999999999E-2</c:v>
                </c:pt>
                <c:pt idx="28">
                  <c:v>2.682E-2</c:v>
                </c:pt>
                <c:pt idx="29">
                  <c:v>2.1689E-2</c:v>
                </c:pt>
                <c:pt idx="30">
                  <c:v>1.7243999999999999E-2</c:v>
                </c:pt>
                <c:pt idx="31">
                  <c:v>1.3558000000000001E-2</c:v>
                </c:pt>
                <c:pt idx="32">
                  <c:v>4.5989000000000004E-3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2.8265000000000001E-9</c:v>
                </c:pt>
                <c:pt idx="1">
                  <c:v>8.0000999999999993E-9</c:v>
                </c:pt>
                <c:pt idx="2">
                  <c:v>1.8224000000000002E-8</c:v>
                </c:pt>
                <c:pt idx="3">
                  <c:v>3.2019999999999998E-8</c:v>
                </c:pt>
                <c:pt idx="4">
                  <c:v>4.3060000000000003E-8</c:v>
                </c:pt>
                <c:pt idx="5">
                  <c:v>3.1809999999999998E-8</c:v>
                </c:pt>
                <c:pt idx="6">
                  <c:v>2.7503000000000001E-8</c:v>
                </c:pt>
                <c:pt idx="7">
                  <c:v>2.4861E-8</c:v>
                </c:pt>
                <c:pt idx="8">
                  <c:v>2.3668999999999998E-8</c:v>
                </c:pt>
                <c:pt idx="9">
                  <c:v>2.3231999999999999E-8</c:v>
                </c:pt>
                <c:pt idx="10">
                  <c:v>2.2659000000000001E-8</c:v>
                </c:pt>
                <c:pt idx="11">
                  <c:v>2.1959999999999999E-8</c:v>
                </c:pt>
                <c:pt idx="12">
                  <c:v>2.0686999999999999E-8</c:v>
                </c:pt>
                <c:pt idx="13">
                  <c:v>1.8737999999999999E-8</c:v>
                </c:pt>
                <c:pt idx="14">
                  <c:v>1.6546000000000001E-8</c:v>
                </c:pt>
                <c:pt idx="15">
                  <c:v>1.4403E-8</c:v>
                </c:pt>
                <c:pt idx="16">
                  <c:v>1.2445E-8</c:v>
                </c:pt>
                <c:pt idx="17">
                  <c:v>1.0713E-8</c:v>
                </c:pt>
                <c:pt idx="18">
                  <c:v>9.2080999999999993E-9</c:v>
                </c:pt>
                <c:pt idx="19">
                  <c:v>7.9125999999999993E-9</c:v>
                </c:pt>
                <c:pt idx="20">
                  <c:v>6.8070999999999998E-9</c:v>
                </c:pt>
                <c:pt idx="21">
                  <c:v>5.8781999999999998E-9</c:v>
                </c:pt>
                <c:pt idx="22">
                  <c:v>3.4846000000000001E-9</c:v>
                </c:pt>
                <c:pt idx="23">
                  <c:v>1.9703000000000001E-9</c:v>
                </c:pt>
                <c:pt idx="24">
                  <c:v>1.7096E-9</c:v>
                </c:pt>
                <c:pt idx="25">
                  <c:v>1.4847000000000001E-9</c:v>
                </c:pt>
                <c:pt idx="26">
                  <c:v>1.2903E-9</c:v>
                </c:pt>
                <c:pt idx="27">
                  <c:v>1.1219E-9</c:v>
                </c:pt>
                <c:pt idx="28">
                  <c:v>9.7606000000000004E-10</c:v>
                </c:pt>
                <c:pt idx="29">
                  <c:v>8.5312000000000005E-10</c:v>
                </c:pt>
                <c:pt idx="30">
                  <c:v>7.4336000000000001E-10</c:v>
                </c:pt>
                <c:pt idx="31">
                  <c:v>6.4702000000000001E-10</c:v>
                </c:pt>
                <c:pt idx="32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6.5148000000000001E-10</c:v>
                </c:pt>
                <c:pt idx="1">
                  <c:v>2.0896999999999999E-9</c:v>
                </c:pt>
                <c:pt idx="2">
                  <c:v>5.3268000000000003E-9</c:v>
                </c:pt>
                <c:pt idx="3">
                  <c:v>1.036E-8</c:v>
                </c:pt>
                <c:pt idx="4">
                  <c:v>1.5276999999999998E-8</c:v>
                </c:pt>
                <c:pt idx="5">
                  <c:v>1.5183000000000001E-8</c:v>
                </c:pt>
                <c:pt idx="6">
                  <c:v>1.3939999999999999E-8</c:v>
                </c:pt>
                <c:pt idx="7">
                  <c:v>1.3321000000000001E-8</c:v>
                </c:pt>
                <c:pt idx="8">
                  <c:v>1.3354E-8</c:v>
                </c:pt>
                <c:pt idx="9">
                  <c:v>1.3752E-8</c:v>
                </c:pt>
                <c:pt idx="10">
                  <c:v>1.4025999999999999E-8</c:v>
                </c:pt>
                <c:pt idx="11">
                  <c:v>1.3751E-8</c:v>
                </c:pt>
                <c:pt idx="12">
                  <c:v>1.2843E-8</c:v>
                </c:pt>
                <c:pt idx="13">
                  <c:v>1.1528000000000001E-8</c:v>
                </c:pt>
                <c:pt idx="14">
                  <c:v>1.0085000000000001E-8</c:v>
                </c:pt>
                <c:pt idx="15">
                  <c:v>8.6941000000000004E-9</c:v>
                </c:pt>
                <c:pt idx="16">
                  <c:v>7.4380999999999998E-9</c:v>
                </c:pt>
                <c:pt idx="17">
                  <c:v>6.3395000000000003E-9</c:v>
                </c:pt>
                <c:pt idx="18">
                  <c:v>5.3942000000000003E-9</c:v>
                </c:pt>
                <c:pt idx="19">
                  <c:v>4.5885E-9</c:v>
                </c:pt>
                <c:pt idx="20">
                  <c:v>3.9075000000000004E-9</c:v>
                </c:pt>
                <c:pt idx="21">
                  <c:v>3.3401000000000001E-9</c:v>
                </c:pt>
                <c:pt idx="22">
                  <c:v>1.9017000000000002E-9</c:v>
                </c:pt>
                <c:pt idx="23">
                  <c:v>1.0337000000000001E-9</c:v>
                </c:pt>
                <c:pt idx="24">
                  <c:v>8.8833999999999995E-10</c:v>
                </c:pt>
                <c:pt idx="25">
                  <c:v>7.6410999999999996E-10</c:v>
                </c:pt>
                <c:pt idx="26">
                  <c:v>6.5776000000000001E-10</c:v>
                </c:pt>
                <c:pt idx="27">
                  <c:v>5.6653999999999999E-10</c:v>
                </c:pt>
                <c:pt idx="28">
                  <c:v>4.8829999999999996E-10</c:v>
                </c:pt>
                <c:pt idx="29">
                  <c:v>4.2284000000000001E-10</c:v>
                </c:pt>
                <c:pt idx="30">
                  <c:v>3.6505E-10</c:v>
                </c:pt>
                <c:pt idx="31">
                  <c:v>3.1482999999999999E-10</c:v>
                </c:pt>
                <c:pt idx="32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2.3804999999999998E-3</c:v>
                </c:pt>
                <c:pt idx="1">
                  <c:v>8.1585000000000008E-3</c:v>
                </c:pt>
                <c:pt idx="2">
                  <c:v>2.2703000000000001E-2</c:v>
                </c:pt>
                <c:pt idx="3">
                  <c:v>4.9029000000000003E-2</c:v>
                </c:pt>
                <c:pt idx="4">
                  <c:v>8.1378000000000006E-2</c:v>
                </c:pt>
                <c:pt idx="5">
                  <c:v>0.14174999999999999</c:v>
                </c:pt>
                <c:pt idx="6">
                  <c:v>0.15184</c:v>
                </c:pt>
                <c:pt idx="7">
                  <c:v>0.16986000000000001</c:v>
                </c:pt>
                <c:pt idx="8">
                  <c:v>0.19985</c:v>
                </c:pt>
                <c:pt idx="9">
                  <c:v>0.24199999999999999</c:v>
                </c:pt>
                <c:pt idx="10">
                  <c:v>0.29065999999999997</c:v>
                </c:pt>
                <c:pt idx="11">
                  <c:v>0.33589000000000002</c:v>
                </c:pt>
                <c:pt idx="12">
                  <c:v>0.37001000000000001</c:v>
                </c:pt>
                <c:pt idx="13">
                  <c:v>0.39185999999999999</c:v>
                </c:pt>
                <c:pt idx="14">
                  <c:v>0.40450000000000003</c:v>
                </c:pt>
                <c:pt idx="15">
                  <c:v>0.41147</c:v>
                </c:pt>
                <c:pt idx="16">
                  <c:v>0.41525000000000001</c:v>
                </c:pt>
                <c:pt idx="17">
                  <c:v>0.41732000000000002</c:v>
                </c:pt>
                <c:pt idx="18">
                  <c:v>0.41850999999999999</c:v>
                </c:pt>
                <c:pt idx="19">
                  <c:v>0.41932999999999998</c:v>
                </c:pt>
                <c:pt idx="20">
                  <c:v>0.42032999999999998</c:v>
                </c:pt>
                <c:pt idx="21">
                  <c:v>0.42265000000000003</c:v>
                </c:pt>
                <c:pt idx="22">
                  <c:v>0.45709</c:v>
                </c:pt>
                <c:pt idx="23">
                  <c:v>0.46577000000000002</c:v>
                </c:pt>
                <c:pt idx="24">
                  <c:v>0.46736</c:v>
                </c:pt>
                <c:pt idx="25">
                  <c:v>0.46901999999999999</c:v>
                </c:pt>
                <c:pt idx="26">
                  <c:v>0.47065000000000001</c:v>
                </c:pt>
                <c:pt idx="27">
                  <c:v>0.47219</c:v>
                </c:pt>
                <c:pt idx="28">
                  <c:v>0.47367999999999999</c:v>
                </c:pt>
                <c:pt idx="29">
                  <c:v>0.47704000000000002</c:v>
                </c:pt>
                <c:pt idx="30">
                  <c:v>0.47860999999999998</c:v>
                </c:pt>
                <c:pt idx="31">
                  <c:v>0.47933999999999999</c:v>
                </c:pt>
                <c:pt idx="32">
                  <c:v>0.47996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7.2273000000000001E-12</c:v>
                </c:pt>
                <c:pt idx="1">
                  <c:v>3.0615999999999998E-11</c:v>
                </c:pt>
                <c:pt idx="2">
                  <c:v>1.0052000000000001E-10</c:v>
                </c:pt>
                <c:pt idx="3">
                  <c:v>2.4645999999999999E-10</c:v>
                </c:pt>
                <c:pt idx="4">
                  <c:v>4.4978000000000002E-10</c:v>
                </c:pt>
                <c:pt idx="5">
                  <c:v>9.0864999999999996E-10</c:v>
                </c:pt>
                <c:pt idx="6">
                  <c:v>9.6864999999999996E-10</c:v>
                </c:pt>
                <c:pt idx="7">
                  <c:v>1.0653E-9</c:v>
                </c:pt>
                <c:pt idx="8">
                  <c:v>1.2192000000000001E-9</c:v>
                </c:pt>
                <c:pt idx="9">
                  <c:v>1.4232E-9</c:v>
                </c:pt>
                <c:pt idx="10">
                  <c:v>1.6345000000000001E-9</c:v>
                </c:pt>
                <c:pt idx="11">
                  <c:v>1.7936000000000001E-9</c:v>
                </c:pt>
                <c:pt idx="12">
                  <c:v>1.8648E-9</c:v>
                </c:pt>
                <c:pt idx="13">
                  <c:v>1.854E-9</c:v>
                </c:pt>
                <c:pt idx="14">
                  <c:v>1.7882000000000001E-9</c:v>
                </c:pt>
                <c:pt idx="15">
                  <c:v>1.6925000000000001E-9</c:v>
                </c:pt>
                <c:pt idx="16">
                  <c:v>1.5835E-9</c:v>
                </c:pt>
                <c:pt idx="17">
                  <c:v>1.4704E-9</c:v>
                </c:pt>
                <c:pt idx="18">
                  <c:v>1.3586E-9</c:v>
                </c:pt>
                <c:pt idx="19">
                  <c:v>1.2509999999999999E-9</c:v>
                </c:pt>
                <c:pt idx="20">
                  <c:v>1.1497000000000001E-9</c:v>
                </c:pt>
                <c:pt idx="21">
                  <c:v>1.0578E-9</c:v>
                </c:pt>
                <c:pt idx="22">
                  <c:v>7.8874999999999999E-10</c:v>
                </c:pt>
                <c:pt idx="23">
                  <c:v>5.4359999999999996E-10</c:v>
                </c:pt>
                <c:pt idx="24">
                  <c:v>4.9357999999999996E-10</c:v>
                </c:pt>
                <c:pt idx="25">
                  <c:v>4.4790000000000002E-10</c:v>
                </c:pt>
                <c:pt idx="26">
                  <c:v>4.0617E-10</c:v>
                </c:pt>
                <c:pt idx="27">
                  <c:v>3.6803000000000002E-10</c:v>
                </c:pt>
                <c:pt idx="28">
                  <c:v>3.3325000000000001E-10</c:v>
                </c:pt>
                <c:pt idx="29">
                  <c:v>3.0279999999999998E-10</c:v>
                </c:pt>
                <c:pt idx="30">
                  <c:v>2.7396999999999999E-10</c:v>
                </c:pt>
                <c:pt idx="31">
                  <c:v>2.4734E-10</c:v>
                </c:pt>
                <c:pt idx="32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(1)Geic]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5.2854000000000005E-7</c:v>
                </c:pt>
                <c:pt idx="1">
                  <c:v>1.1217E-6</c:v>
                </c:pt>
                <c:pt idx="2">
                  <c:v>2.6616999999999999E-6</c:v>
                </c:pt>
                <c:pt idx="3">
                  <c:v>7.6415999999999998E-6</c:v>
                </c:pt>
                <c:pt idx="4">
                  <c:v>2.5486E-5</c:v>
                </c:pt>
                <c:pt idx="5">
                  <c:v>2.6394000000000001E-3</c:v>
                </c:pt>
                <c:pt idx="6">
                  <c:v>6.7882000000000003E-3</c:v>
                </c:pt>
                <c:pt idx="7">
                  <c:v>1.537E-2</c:v>
                </c:pt>
                <c:pt idx="8">
                  <c:v>3.0145000000000002E-2</c:v>
                </c:pt>
                <c:pt idx="9">
                  <c:v>5.1109000000000002E-2</c:v>
                </c:pt>
                <c:pt idx="10">
                  <c:v>7.5374999999999998E-2</c:v>
                </c:pt>
                <c:pt idx="11">
                  <c:v>9.7961999999999994E-2</c:v>
                </c:pt>
                <c:pt idx="12">
                  <c:v>0.11501</c:v>
                </c:pt>
                <c:pt idx="13">
                  <c:v>0.12592999999999999</c:v>
                </c:pt>
                <c:pt idx="14">
                  <c:v>0.13225000000000001</c:v>
                </c:pt>
                <c:pt idx="15">
                  <c:v>0.13572999999999999</c:v>
                </c:pt>
                <c:pt idx="16">
                  <c:v>0.13761999999999999</c:v>
                </c:pt>
                <c:pt idx="17">
                  <c:v>0.13866000000000001</c:v>
                </c:pt>
                <c:pt idx="18">
                  <c:v>0.13922000000000001</c:v>
                </c:pt>
                <c:pt idx="19">
                  <c:v>0.13954</c:v>
                </c:pt>
                <c:pt idx="20">
                  <c:v>0.13972999999999999</c:v>
                </c:pt>
                <c:pt idx="21">
                  <c:v>0.13983000000000001</c:v>
                </c:pt>
                <c:pt idx="22">
                  <c:v>0.13997000000000001</c:v>
                </c:pt>
                <c:pt idx="23">
                  <c:v>0.13999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0.14000000000000001</c:v>
                </c:pt>
                <c:pt idx="28">
                  <c:v>0.13999</c:v>
                </c:pt>
                <c:pt idx="29">
                  <c:v>0.13966999999999999</c:v>
                </c:pt>
                <c:pt idx="30">
                  <c:v>0.13941000000000001</c:v>
                </c:pt>
                <c:pt idx="31">
                  <c:v>0.13919000000000001</c:v>
                </c:pt>
                <c:pt idx="32">
                  <c:v>0.13839000000000001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1.4259E-22</c:v>
                </c:pt>
                <c:pt idx="24">
                  <c:v>4.8393000000000001E-18</c:v>
                </c:pt>
                <c:pt idx="25">
                  <c:v>8.6730999999999997E-14</c:v>
                </c:pt>
                <c:pt idx="26">
                  <c:v>7.9190000000000003E-10</c:v>
                </c:pt>
                <c:pt idx="27">
                  <c:v>1.4299000000000001E-7</c:v>
                </c:pt>
                <c:pt idx="28">
                  <c:v>5.5106000000000003E-4</c:v>
                </c:pt>
                <c:pt idx="29">
                  <c:v>1.2390999999999999E-2</c:v>
                </c:pt>
                <c:pt idx="30">
                  <c:v>1.9973000000000001E-2</c:v>
                </c:pt>
                <c:pt idx="31">
                  <c:v>2.5111000000000001E-2</c:v>
                </c:pt>
                <c:pt idx="32">
                  <c:v>3.5318000000000002E-2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1.4458999999999999E-9</c:v>
                      </c:pt>
                      <c:pt idx="1">
                        <c:v>2.5027000000000001E-10</c:v>
                      </c:pt>
                      <c:pt idx="2">
                        <c:v>1.1699000000000001E-12</c:v>
                      </c:pt>
                      <c:pt idx="3">
                        <c:v>1.2121E-17</c:v>
                      </c:pt>
                      <c:pt idx="4">
                        <c:v>2.3451999999999999E-26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8.2921999999999996E-3</c:v>
                      </c:pt>
                      <c:pt idx="1">
                        <c:v>8.1940999999999993E-3</c:v>
                      </c:pt>
                      <c:pt idx="2">
                        <c:v>7.9570000000000005E-3</c:v>
                      </c:pt>
                      <c:pt idx="3">
                        <c:v>7.561E-3</c:v>
                      </c:pt>
                      <c:pt idx="4">
                        <c:v>7.1253000000000002E-3</c:v>
                      </c:pt>
                      <c:pt idx="5">
                        <c:v>6.4335E-3</c:v>
                      </c:pt>
                      <c:pt idx="6">
                        <c:v>6.3306999999999999E-3</c:v>
                      </c:pt>
                      <c:pt idx="7">
                        <c:v>6.1551000000000002E-3</c:v>
                      </c:pt>
                      <c:pt idx="8">
                        <c:v>5.8837000000000004E-3</c:v>
                      </c:pt>
                      <c:pt idx="9">
                        <c:v>5.5401000000000001E-3</c:v>
                      </c:pt>
                      <c:pt idx="10">
                        <c:v>5.1904000000000004E-3</c:v>
                      </c:pt>
                      <c:pt idx="11">
                        <c:v>4.9026E-3</c:v>
                      </c:pt>
                      <c:pt idx="12">
                        <c:v>4.7057999999999996E-3</c:v>
                      </c:pt>
                      <c:pt idx="13">
                        <c:v>4.5878999999999998E-3</c:v>
                      </c:pt>
                      <c:pt idx="14">
                        <c:v>4.5222999999999999E-3</c:v>
                      </c:pt>
                      <c:pt idx="15">
                        <c:v>4.4869000000000003E-3</c:v>
                      </c:pt>
                      <c:pt idx="16">
                        <c:v>4.4676999999999998E-3</c:v>
                      </c:pt>
                      <c:pt idx="17">
                        <c:v>4.4561999999999996E-3</c:v>
                      </c:pt>
                      <c:pt idx="18">
                        <c:v>4.4453000000000001E-3</c:v>
                      </c:pt>
                      <c:pt idx="19">
                        <c:v>4.4216000000000004E-3</c:v>
                      </c:pt>
                      <c:pt idx="20">
                        <c:v>4.3454000000000001E-3</c:v>
                      </c:pt>
                      <c:pt idx="21">
                        <c:v>4.1025999999999996E-3</c:v>
                      </c:pt>
                      <c:pt idx="22">
                        <c:v>4.5949000000000001E-4</c:v>
                      </c:pt>
                      <c:pt idx="23">
                        <c:v>7.2798000000000002E-6</c:v>
                      </c:pt>
                      <c:pt idx="24">
                        <c:v>2.5911999999999999E-6</c:v>
                      </c:pt>
                      <c:pt idx="25">
                        <c:v>9.2691999999999999E-7</c:v>
                      </c:pt>
                      <c:pt idx="26">
                        <c:v>3.3339E-7</c:v>
                      </c:pt>
                      <c:pt idx="27">
                        <c:v>1.2088000000000001E-7</c:v>
                      </c:pt>
                      <c:pt idx="28">
                        <c:v>4.3569999999999999E-8</c:v>
                      </c:pt>
                      <c:pt idx="29">
                        <c:v>9.6765999999999994E-9</c:v>
                      </c:pt>
                      <c:pt idx="30">
                        <c:v>2.1810999999999998E-9</c:v>
                      </c:pt>
                      <c:pt idx="31">
                        <c:v>5.0700000000000001E-10</c:v>
                      </c:pt>
                      <c:pt idx="32">
                        <c:v>2.0327E-12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7.4465000000000001E-35</c:v>
                      </c:pt>
                      <c:pt idx="9">
                        <c:v>9.0942999999999997E-33</c:v>
                      </c:pt>
                      <c:pt idx="10">
                        <c:v>8.2290000000000008E-31</c:v>
                      </c:pt>
                      <c:pt idx="11">
                        <c:v>5.9169000000000003E-29</c:v>
                      </c:pt>
                      <c:pt idx="12">
                        <c:v>3.5006000000000002E-27</c:v>
                      </c:pt>
                      <c:pt idx="13">
                        <c:v>1.7198000000000001E-25</c:v>
                      </c:pt>
                      <c:pt idx="14">
                        <c:v>7.0269E-24</c:v>
                      </c:pt>
                      <c:pt idx="15">
                        <c:v>2.3967999999999999E-22</c:v>
                      </c:pt>
                      <c:pt idx="16">
                        <c:v>6.8768000000000004E-21</c:v>
                      </c:pt>
                      <c:pt idx="17">
                        <c:v>1.6759E-19</c:v>
                      </c:pt>
                      <c:pt idx="18">
                        <c:v>3.5032999999999997E-18</c:v>
                      </c:pt>
                      <c:pt idx="19">
                        <c:v>6.3313999999999995E-17</c:v>
                      </c:pt>
                      <c:pt idx="20">
                        <c:v>9.8978000000000008E-16</c:v>
                      </c:pt>
                      <c:pt idx="21">
                        <c:v>1.3115E-14</c:v>
                      </c:pt>
                      <c:pt idx="22">
                        <c:v>1.8892E-11</c:v>
                      </c:pt>
                      <c:pt idx="23">
                        <c:v>9.9455999999999992E-10</c:v>
                      </c:pt>
                      <c:pt idx="24">
                        <c:v>2.2495000000000001E-9</c:v>
                      </c:pt>
                      <c:pt idx="25">
                        <c:v>4.7989E-9</c:v>
                      </c:pt>
                      <c:pt idx="26">
                        <c:v>9.6941999999999999E-9</c:v>
                      </c:pt>
                      <c:pt idx="27">
                        <c:v>1.8652000000000001E-8</c:v>
                      </c:pt>
                      <c:pt idx="28">
                        <c:v>3.3769000000000003E-8</c:v>
                      </c:pt>
                      <c:pt idx="29">
                        <c:v>3.4797999999999998E-8</c:v>
                      </c:pt>
                      <c:pt idx="30">
                        <c:v>3.5021E-8</c:v>
                      </c:pt>
                      <c:pt idx="31">
                        <c:v>3.4928E-8</c:v>
                      </c:pt>
                      <c:pt idx="32">
                        <c:v>3.2273000000000001E-8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1.2616E-34</c:v>
                      </c:pt>
                      <c:pt idx="11">
                        <c:v>7.1091E-33</c:v>
                      </c:pt>
                      <c:pt idx="12">
                        <c:v>3.2809E-31</c:v>
                      </c:pt>
                      <c:pt idx="13">
                        <c:v>1.2545E-29</c:v>
                      </c:pt>
                      <c:pt idx="14">
                        <c:v>3.9983999999999998E-28</c:v>
                      </c:pt>
                      <c:pt idx="15">
                        <c:v>1.0702999999999999E-26</c:v>
                      </c:pt>
                      <c:pt idx="16">
                        <c:v>2.4292999999999999E-25</c:v>
                      </c:pt>
                      <c:pt idx="17">
                        <c:v>4.7242999999999998E-24</c:v>
                      </c:pt>
                      <c:pt idx="18">
                        <c:v>7.9534999999999998E-23</c:v>
                      </c:pt>
                      <c:pt idx="19">
                        <c:v>1.1693999999999999E-21</c:v>
                      </c:pt>
                      <c:pt idx="20">
                        <c:v>1.5085999999999999E-20</c:v>
                      </c:pt>
                      <c:pt idx="21">
                        <c:v>1.6962000000000001E-19</c:v>
                      </c:pt>
                      <c:pt idx="22">
                        <c:v>3.6142999999999999E-16</c:v>
                      </c:pt>
                      <c:pt idx="23">
                        <c:v>8.1400999999999996E-14</c:v>
                      </c:pt>
                      <c:pt idx="24">
                        <c:v>2.6731E-13</c:v>
                      </c:pt>
                      <c:pt idx="25">
                        <c:v>8.2919000000000002E-13</c:v>
                      </c:pt>
                      <c:pt idx="26">
                        <c:v>2.4381999999999998E-12</c:v>
                      </c:pt>
                      <c:pt idx="27">
                        <c:v>6.8258000000000003E-12</c:v>
                      </c:pt>
                      <c:pt idx="28">
                        <c:v>1.8101E-11</c:v>
                      </c:pt>
                      <c:pt idx="29">
                        <c:v>3.5168999999999998E-11</c:v>
                      </c:pt>
                      <c:pt idx="30">
                        <c:v>6.6286000000000003E-11</c:v>
                      </c:pt>
                      <c:pt idx="31">
                        <c:v>1.221E-10</c:v>
                      </c:pt>
                      <c:pt idx="32">
                        <c:v>1.1423999999999999E-9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2.2449000000000001E-23</c:v>
                      </c:pt>
                      <c:pt idx="24">
                        <c:v>5.7803000000000002E-19</c:v>
                      </c:pt>
                      <c:pt idx="25">
                        <c:v>8.0229000000000003E-15</c:v>
                      </c:pt>
                      <c:pt idx="26">
                        <c:v>5.7836000000000002E-11</c:v>
                      </c:pt>
                      <c:pt idx="27">
                        <c:v>8.3879E-9</c:v>
                      </c:pt>
                      <c:pt idx="28">
                        <c:v>2.6605999999999999E-5</c:v>
                      </c:pt>
                      <c:pt idx="29">
                        <c:v>6.5841999999999995E-4</c:v>
                      </c:pt>
                      <c:pt idx="30">
                        <c:v>1.1711E-3</c:v>
                      </c:pt>
                      <c:pt idx="31">
                        <c:v>1.6188000000000001E-3</c:v>
                      </c:pt>
                      <c:pt idx="32">
                        <c:v>3.2217000000000001E-3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-18.66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-18.66</c:v>
                      </c:pt>
                      <c:pt idx="4">
                        <c:v>-18.670000000000002</c:v>
                      </c:pt>
                      <c:pt idx="5">
                        <c:v>-18.75</c:v>
                      </c:pt>
                      <c:pt idx="6">
                        <c:v>-18.78</c:v>
                      </c:pt>
                      <c:pt idx="7">
                        <c:v>-18.809999999999999</c:v>
                      </c:pt>
                      <c:pt idx="8">
                        <c:v>-18.829999999999998</c:v>
                      </c:pt>
                      <c:pt idx="9">
                        <c:v>-18.86</c:v>
                      </c:pt>
                      <c:pt idx="10">
                        <c:v>-18.899999999999999</c:v>
                      </c:pt>
                      <c:pt idx="11">
                        <c:v>-18.93</c:v>
                      </c:pt>
                      <c:pt idx="12">
                        <c:v>-18.96</c:v>
                      </c:pt>
                      <c:pt idx="13">
                        <c:v>-18.989999999999998</c:v>
                      </c:pt>
                      <c:pt idx="14">
                        <c:v>-19.03</c:v>
                      </c:pt>
                      <c:pt idx="15">
                        <c:v>-19.059999999999999</c:v>
                      </c:pt>
                      <c:pt idx="16">
                        <c:v>-19.100000000000001</c:v>
                      </c:pt>
                      <c:pt idx="17">
                        <c:v>-19.13</c:v>
                      </c:pt>
                      <c:pt idx="18">
                        <c:v>-19.170000000000002</c:v>
                      </c:pt>
                      <c:pt idx="19">
                        <c:v>-19.2</c:v>
                      </c:pt>
                      <c:pt idx="20">
                        <c:v>-19.23</c:v>
                      </c:pt>
                      <c:pt idx="21">
                        <c:v>-19.27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-67.12</c:v>
                      </c:pt>
                      <c:pt idx="1">
                        <c:v>-63.52</c:v>
                      </c:pt>
                      <c:pt idx="2">
                        <c:v>-60.12</c:v>
                      </c:pt>
                      <c:pt idx="3">
                        <c:v>-56.76</c:v>
                      </c:pt>
                      <c:pt idx="4">
                        <c:v>-53.4</c:v>
                      </c:pt>
                      <c:pt idx="5">
                        <c:v>-41.04</c:v>
                      </c:pt>
                      <c:pt idx="6">
                        <c:v>-38.450000000000003</c:v>
                      </c:pt>
                      <c:pt idx="7">
                        <c:v>-36.08</c:v>
                      </c:pt>
                      <c:pt idx="8">
                        <c:v>-33.93</c:v>
                      </c:pt>
                      <c:pt idx="9">
                        <c:v>-31.94</c:v>
                      </c:pt>
                      <c:pt idx="10">
                        <c:v>-30.07</c:v>
                      </c:pt>
                      <c:pt idx="11">
                        <c:v>-28.28</c:v>
                      </c:pt>
                      <c:pt idx="12">
                        <c:v>-26.54</c:v>
                      </c:pt>
                      <c:pt idx="13">
                        <c:v>-24.87</c:v>
                      </c:pt>
                      <c:pt idx="14">
                        <c:v>-23.27</c:v>
                      </c:pt>
                      <c:pt idx="15">
                        <c:v>-21.74</c:v>
                      </c:pt>
                      <c:pt idx="16">
                        <c:v>-20.27</c:v>
                      </c:pt>
                      <c:pt idx="17">
                        <c:v>-18.87</c:v>
                      </c:pt>
                      <c:pt idx="18">
                        <c:v>-17.54</c:v>
                      </c:pt>
                      <c:pt idx="19">
                        <c:v>-16.260000000000002</c:v>
                      </c:pt>
                      <c:pt idx="20">
                        <c:v>-15.05</c:v>
                      </c:pt>
                      <c:pt idx="21">
                        <c:v>-13.91</c:v>
                      </c:pt>
                      <c:pt idx="22">
                        <c:v>-10.79</c:v>
                      </c:pt>
                      <c:pt idx="23">
                        <c:v>-9.1989999999999998</c:v>
                      </c:pt>
                      <c:pt idx="24">
                        <c:v>-8.8740000000000006</c:v>
                      </c:pt>
                      <c:pt idx="25">
                        <c:v>-8.5730000000000004</c:v>
                      </c:pt>
                      <c:pt idx="26">
                        <c:v>-8.2949999999999999</c:v>
                      </c:pt>
                      <c:pt idx="27">
                        <c:v>-8.0359999999999996</c:v>
                      </c:pt>
                      <c:pt idx="28">
                        <c:v>-7.8040000000000003</c:v>
                      </c:pt>
                      <c:pt idx="29">
                        <c:v>-7.8559999999999999</c:v>
                      </c:pt>
                      <c:pt idx="30">
                        <c:v>-7.915</c:v>
                      </c:pt>
                      <c:pt idx="31">
                        <c:v>-7.9720000000000004</c:v>
                      </c:pt>
                      <c:pt idx="32">
                        <c:v>-8.1969999999999992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-16.98</c:v>
                      </c:pt>
                      <c:pt idx="1">
                        <c:v>-16.239999999999998</c:v>
                      </c:pt>
                      <c:pt idx="2">
                        <c:v>-15.42</c:v>
                      </c:pt>
                      <c:pt idx="3">
                        <c:v>-14.46</c:v>
                      </c:pt>
                      <c:pt idx="4">
                        <c:v>-13.36</c:v>
                      </c:pt>
                      <c:pt idx="5">
                        <c:v>-8.9659999999999993</c:v>
                      </c:pt>
                      <c:pt idx="6">
                        <c:v>-8.077</c:v>
                      </c:pt>
                      <c:pt idx="7">
                        <c:v>-7.3339999999999996</c:v>
                      </c:pt>
                      <c:pt idx="8">
                        <c:v>-6.7590000000000003</c:v>
                      </c:pt>
                      <c:pt idx="9">
                        <c:v>-6.35</c:v>
                      </c:pt>
                      <c:pt idx="10">
                        <c:v>-6.0869999999999997</c:v>
                      </c:pt>
                      <c:pt idx="11">
                        <c:v>-5.9379999999999997</c:v>
                      </c:pt>
                      <c:pt idx="12">
                        <c:v>-5.87</c:v>
                      </c:pt>
                      <c:pt idx="13">
                        <c:v>-5.8520000000000003</c:v>
                      </c:pt>
                      <c:pt idx="14">
                        <c:v>-5.8609999999999998</c:v>
                      </c:pt>
                      <c:pt idx="15">
                        <c:v>-5.8860000000000001</c:v>
                      </c:pt>
                      <c:pt idx="16">
                        <c:v>-5.9180000000000001</c:v>
                      </c:pt>
                      <c:pt idx="17">
                        <c:v>-5.9550000000000001</c:v>
                      </c:pt>
                      <c:pt idx="18">
                        <c:v>-5.9930000000000003</c:v>
                      </c:pt>
                      <c:pt idx="19">
                        <c:v>-6.0330000000000004</c:v>
                      </c:pt>
                      <c:pt idx="20">
                        <c:v>-6.0739999999999998</c:v>
                      </c:pt>
                      <c:pt idx="21">
                        <c:v>-6.1180000000000003</c:v>
                      </c:pt>
                      <c:pt idx="22">
                        <c:v>-6.3319999999999999</c:v>
                      </c:pt>
                      <c:pt idx="23">
                        <c:v>-6.508</c:v>
                      </c:pt>
                      <c:pt idx="24">
                        <c:v>-6.5510000000000002</c:v>
                      </c:pt>
                      <c:pt idx="25">
                        <c:v>-6.5940000000000003</c:v>
                      </c:pt>
                      <c:pt idx="26">
                        <c:v>-6.6360000000000001</c:v>
                      </c:pt>
                      <c:pt idx="27">
                        <c:v>-6.6779999999999999</c:v>
                      </c:pt>
                      <c:pt idx="28">
                        <c:v>-6.7190000000000003</c:v>
                      </c:pt>
                      <c:pt idx="29">
                        <c:v>-6.7510000000000003</c:v>
                      </c:pt>
                      <c:pt idx="30">
                        <c:v>-6.7839999999999998</c:v>
                      </c:pt>
                      <c:pt idx="31">
                        <c:v>-6.8170000000000002</c:v>
                      </c:pt>
                      <c:pt idx="32">
                        <c:v>-6.9539999999999997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-22.53</c:v>
                      </c:pt>
                      <c:pt idx="2">
                        <c:v>-21.75</c:v>
                      </c:pt>
                      <c:pt idx="3">
                        <c:v>-21.28</c:v>
                      </c:pt>
                      <c:pt idx="4">
                        <c:v>-21.09</c:v>
                      </c:pt>
                      <c:pt idx="5">
                        <c:v>-21.65</c:v>
                      </c:pt>
                      <c:pt idx="6">
                        <c:v>-21.85</c:v>
                      </c:pt>
                      <c:pt idx="7">
                        <c:v>-22.03</c:v>
                      </c:pt>
                      <c:pt idx="8">
                        <c:v>-22.18</c:v>
                      </c:pt>
                      <c:pt idx="9">
                        <c:v>-22.32</c:v>
                      </c:pt>
                      <c:pt idx="10">
                        <c:v>-22.47</c:v>
                      </c:pt>
                      <c:pt idx="11">
                        <c:v>-22.65</c:v>
                      </c:pt>
                      <c:pt idx="12">
                        <c:v>-22.86</c:v>
                      </c:pt>
                      <c:pt idx="13">
                        <c:v>-23.08</c:v>
                      </c:pt>
                      <c:pt idx="14">
                        <c:v>-23.31</c:v>
                      </c:pt>
                      <c:pt idx="15">
                        <c:v>-23.54</c:v>
                      </c:pt>
                      <c:pt idx="16">
                        <c:v>-23.78</c:v>
                      </c:pt>
                      <c:pt idx="17">
                        <c:v>-24.01</c:v>
                      </c:pt>
                      <c:pt idx="18">
                        <c:v>-24.25</c:v>
                      </c:pt>
                      <c:pt idx="19">
                        <c:v>-24.48</c:v>
                      </c:pt>
                      <c:pt idx="20">
                        <c:v>-24.71</c:v>
                      </c:pt>
                      <c:pt idx="21">
                        <c:v>-24.94</c:v>
                      </c:pt>
                      <c:pt idx="22">
                        <c:v>-25.82</c:v>
                      </c:pt>
                      <c:pt idx="23">
                        <c:v>-26.68</c:v>
                      </c:pt>
                      <c:pt idx="24">
                        <c:v>-26.9</c:v>
                      </c:pt>
                      <c:pt idx="25">
                        <c:v>-27.11</c:v>
                      </c:pt>
                      <c:pt idx="26">
                        <c:v>-27.32</c:v>
                      </c:pt>
                      <c:pt idx="27">
                        <c:v>-27.52</c:v>
                      </c:pt>
                      <c:pt idx="28">
                        <c:v>-27.73</c:v>
                      </c:pt>
                      <c:pt idx="29">
                        <c:v>-27.92</c:v>
                      </c:pt>
                      <c:pt idx="30">
                        <c:v>-28.11</c:v>
                      </c:pt>
                      <c:pt idx="31">
                        <c:v>-28.3</c:v>
                      </c:pt>
                      <c:pt idx="32">
                        <c:v>-29.08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-3.7222436745000009</c:v>
                </c:pt>
                <c:pt idx="1">
                  <c:v>-15.149326874057142</c:v>
                </c:pt>
                <c:pt idx="2">
                  <c:v>-27.859652068050003</c:v>
                </c:pt>
                <c:pt idx="3">
                  <c:v>-41.608545519270002</c:v>
                </c:pt>
                <c:pt idx="4">
                  <c:v>-56.234041349732145</c:v>
                </c:pt>
                <c:pt idx="5">
                  <c:v>-71.589680128928578</c:v>
                </c:pt>
                <c:pt idx="6">
                  <c:v>-87.616389864342864</c:v>
                </c:pt>
                <c:pt idx="7">
                  <c:v>-104.25864092055002</c:v>
                </c:pt>
                <c:pt idx="8">
                  <c:v>-121.45816777589998</c:v>
                </c:pt>
                <c:pt idx="9">
                  <c:v>-139.16812119235715</c:v>
                </c:pt>
                <c:pt idx="10">
                  <c:v>-157.46353204937142</c:v>
                </c:pt>
                <c:pt idx="11">
                  <c:v>-176.48238921428572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 formatCode="0.00E+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2.2783E-8</c:v>
                </c:pt>
                <c:pt idx="1">
                  <c:v>2.3207999999999998E-8</c:v>
                </c:pt>
                <c:pt idx="2">
                  <c:v>3.0831E-8</c:v>
                </c:pt>
                <c:pt idx="3">
                  <c:v>1.9866000000000001E-8</c:v>
                </c:pt>
                <c:pt idx="4">
                  <c:v>2.0292999999999998E-8</c:v>
                </c:pt>
                <c:pt idx="5">
                  <c:v>2.1535000000000001E-8</c:v>
                </c:pt>
                <c:pt idx="6">
                  <c:v>2.3738000000000001E-8</c:v>
                </c:pt>
                <c:pt idx="7">
                  <c:v>2.6975999999999999E-8</c:v>
                </c:pt>
                <c:pt idx="8">
                  <c:v>2.6417999999999999E-8</c:v>
                </c:pt>
                <c:pt idx="9">
                  <c:v>2.7024000000000001E-8</c:v>
                </c:pt>
                <c:pt idx="10">
                  <c:v>2.0041999999999998E-8</c:v>
                </c:pt>
                <c:pt idx="11">
                  <c:v>1.3179E-8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4.1284999999999998E-19</c:v>
                </c:pt>
                <c:pt idx="2">
                  <c:v>4.7391E-15</c:v>
                </c:pt>
                <c:pt idx="3">
                  <c:v>3.3814000000000001E-12</c:v>
                </c:pt>
                <c:pt idx="4">
                  <c:v>4.3065999999999999E-10</c:v>
                </c:pt>
                <c:pt idx="5">
                  <c:v>1.7616E-8</c:v>
                </c:pt>
                <c:pt idx="6">
                  <c:v>3.2985000000000001E-7</c:v>
                </c:pt>
                <c:pt idx="7">
                  <c:v>3.5267999999999998E-6</c:v>
                </c:pt>
                <c:pt idx="8">
                  <c:v>2.4674000000000001E-5</c:v>
                </c:pt>
                <c:pt idx="9">
                  <c:v>1.2306E-4</c:v>
                </c:pt>
                <c:pt idx="10">
                  <c:v>4.5855000000000001E-4</c:v>
                </c:pt>
                <c:pt idx="11">
                  <c:v>1.2537E-3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1.0815E-17</c:v>
                </c:pt>
                <c:pt idx="2">
                  <c:v>4.5678000000000001E-14</c:v>
                </c:pt>
                <c:pt idx="3">
                  <c:v>1.5258999999999999E-11</c:v>
                </c:pt>
                <c:pt idx="4">
                  <c:v>1.0687E-9</c:v>
                </c:pt>
                <c:pt idx="5">
                  <c:v>2.6931000000000001E-8</c:v>
                </c:pt>
                <c:pt idx="6">
                  <c:v>3.3792E-7</c:v>
                </c:pt>
                <c:pt idx="7">
                  <c:v>2.5795E-6</c:v>
                </c:pt>
                <c:pt idx="8">
                  <c:v>1.3482000000000001E-5</c:v>
                </c:pt>
                <c:pt idx="9">
                  <c:v>5.1613999999999997E-5</c:v>
                </c:pt>
                <c:pt idx="10">
                  <c:v>1.4820999999999999E-4</c:v>
                </c:pt>
                <c:pt idx="11">
                  <c:v>3.0273000000000002E-4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1.0203E-14</c:v>
                </c:pt>
                <c:pt idx="2">
                  <c:v>1.9244000000000002E-11</c:v>
                </c:pt>
                <c:pt idx="3">
                  <c:v>3.4791000000000001E-9</c:v>
                </c:pt>
                <c:pt idx="4">
                  <c:v>1.4992000000000001E-7</c:v>
                </c:pt>
                <c:pt idx="5">
                  <c:v>2.5457999999999998E-6</c:v>
                </c:pt>
                <c:pt idx="6">
                  <c:v>2.3031999999999999E-5</c:v>
                </c:pt>
                <c:pt idx="7">
                  <c:v>1.3339E-4</c:v>
                </c:pt>
                <c:pt idx="8">
                  <c:v>5.4830999999999999E-4</c:v>
                </c:pt>
                <c:pt idx="9">
                  <c:v>1.6838000000000001E-3</c:v>
                </c:pt>
                <c:pt idx="10">
                  <c:v>3.8706999999999999E-3</c:v>
                </c:pt>
                <c:pt idx="11">
                  <c:v>6.1057000000000004E-3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5.6344999999999999E-13</c:v>
                </c:pt>
                <c:pt idx="2">
                  <c:v>2.7175000000000002E-10</c:v>
                </c:pt>
                <c:pt idx="3">
                  <c:v>1.7757000000000001E-8</c:v>
                </c:pt>
                <c:pt idx="4">
                  <c:v>3.4676999999999997E-7</c:v>
                </c:pt>
                <c:pt idx="5">
                  <c:v>3.1225000000000002E-6</c:v>
                </c:pt>
                <c:pt idx="6">
                  <c:v>1.6796E-5</c:v>
                </c:pt>
                <c:pt idx="7">
                  <c:v>6.2982000000000001E-5</c:v>
                </c:pt>
                <c:pt idx="8">
                  <c:v>1.7830999999999999E-4</c:v>
                </c:pt>
                <c:pt idx="9">
                  <c:v>3.9241999999999999E-4</c:v>
                </c:pt>
                <c:pt idx="10">
                  <c:v>6.5547999999999995E-4</c:v>
                </c:pt>
                <c:pt idx="11">
                  <c:v>7.3410000000000001E-4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8.4466000000000006E-14</c:v>
                </c:pt>
                <c:pt idx="2">
                  <c:v>5.5912000000000002E-11</c:v>
                </c:pt>
                <c:pt idx="3">
                  <c:v>4.4193000000000002E-9</c:v>
                </c:pt>
                <c:pt idx="4">
                  <c:v>9.7182000000000003E-8</c:v>
                </c:pt>
                <c:pt idx="5">
                  <c:v>9.4422000000000002E-7</c:v>
                </c:pt>
                <c:pt idx="6">
                  <c:v>5.3391000000000003E-6</c:v>
                </c:pt>
                <c:pt idx="7">
                  <c:v>2.0684999999999999E-5</c:v>
                </c:pt>
                <c:pt idx="8">
                  <c:v>5.9579E-5</c:v>
                </c:pt>
                <c:pt idx="9">
                  <c:v>1.3079000000000001E-4</c:v>
                </c:pt>
                <c:pt idx="10">
                  <c:v>2.1085E-4</c:v>
                </c:pt>
                <c:pt idx="11">
                  <c:v>2.1446E-4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2.3718E-15</c:v>
                </c:pt>
                <c:pt idx="2">
                  <c:v>2.0001999999999999E-12</c:v>
                </c:pt>
                <c:pt idx="3">
                  <c:v>1.8133000000000001E-10</c:v>
                </c:pt>
                <c:pt idx="4">
                  <c:v>4.3148999999999996E-9</c:v>
                </c:pt>
                <c:pt idx="5">
                  <c:v>4.3858000000000001E-8</c:v>
                </c:pt>
                <c:pt idx="6">
                  <c:v>2.5432000000000002E-7</c:v>
                </c:pt>
                <c:pt idx="7">
                  <c:v>9.9755999999999994E-7</c:v>
                </c:pt>
                <c:pt idx="8">
                  <c:v>2.8744E-6</c:v>
                </c:pt>
                <c:pt idx="9">
                  <c:v>6.2053999999999999E-6</c:v>
                </c:pt>
                <c:pt idx="10">
                  <c:v>9.5367999999999999E-6</c:v>
                </c:pt>
                <c:pt idx="11">
                  <c:v>8.7167999999999993E-6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4.4898999999999999E-15</c:v>
                </c:pt>
                <c:pt idx="2">
                  <c:v>1.0202999999999999E-11</c:v>
                </c:pt>
                <c:pt idx="3">
                  <c:v>2.4183999999999998E-9</c:v>
                </c:pt>
                <c:pt idx="4">
                  <c:v>1.4000999999999999E-7</c:v>
                </c:pt>
                <c:pt idx="5">
                  <c:v>3.1868000000000001E-6</c:v>
                </c:pt>
                <c:pt idx="6">
                  <c:v>3.8056000000000003E-5</c:v>
                </c:pt>
                <c:pt idx="7">
                  <c:v>2.8582E-4</c:v>
                </c:pt>
                <c:pt idx="8">
                  <c:v>1.5125E-3</c:v>
                </c:pt>
                <c:pt idx="9">
                  <c:v>6.0857999999999997E-3</c:v>
                </c:pt>
                <c:pt idx="10">
                  <c:v>1.9578000000000002E-2</c:v>
                </c:pt>
                <c:pt idx="11">
                  <c:v>5.0479999999999997E-2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5.7083999999999999E-31</c:v>
                </c:pt>
                <c:pt idx="2">
                  <c:v>3.8902999999999999E-25</c:v>
                </c:pt>
                <c:pt idx="3">
                  <c:v>5.8614000000000001E-21</c:v>
                </c:pt>
                <c:pt idx="4">
                  <c:v>8.0426999999999996E-18</c:v>
                </c:pt>
                <c:pt idx="5">
                  <c:v>2.2259000000000001E-15</c:v>
                </c:pt>
                <c:pt idx="6">
                  <c:v>2.0128999999999999E-13</c:v>
                </c:pt>
                <c:pt idx="7">
                  <c:v>8.0862E-12</c:v>
                </c:pt>
                <c:pt idx="8">
                  <c:v>1.7658E-10</c:v>
                </c:pt>
                <c:pt idx="9">
                  <c:v>2.4185999999999999E-9</c:v>
                </c:pt>
                <c:pt idx="10">
                  <c:v>2.3157E-8</c:v>
                </c:pt>
                <c:pt idx="11">
                  <c:v>1.6509E-7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5.0018E-12</c:v>
                </c:pt>
                <c:pt idx="1">
                  <c:v>5.1719999999999999E-9</c:v>
                </c:pt>
                <c:pt idx="2">
                  <c:v>4.7672E-7</c:v>
                </c:pt>
                <c:pt idx="3">
                  <c:v>1.1173E-5</c:v>
                </c:pt>
                <c:pt idx="4">
                  <c:v>1.1153E-4</c:v>
                </c:pt>
                <c:pt idx="5">
                  <c:v>6.1563000000000004E-4</c:v>
                </c:pt>
                <c:pt idx="6">
                  <c:v>2.1047000000000001E-3</c:v>
                </c:pt>
                <c:pt idx="7">
                  <c:v>4.7291E-3</c:v>
                </c:pt>
                <c:pt idx="8">
                  <c:v>7.7929999999999996E-3</c:v>
                </c:pt>
                <c:pt idx="9">
                  <c:v>1.0592000000000001E-2</c:v>
                </c:pt>
                <c:pt idx="10">
                  <c:v>1.2978999999999999E-2</c:v>
                </c:pt>
                <c:pt idx="11">
                  <c:v>1.4978E-2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3.9999E-2</c:v>
                      </c:pt>
                      <c:pt idx="3">
                        <c:v>3.9978E-2</c:v>
                      </c:pt>
                      <c:pt idx="4">
                        <c:v>3.9777E-2</c:v>
                      </c:pt>
                      <c:pt idx="5">
                        <c:v>3.8768999999999998E-2</c:v>
                      </c:pt>
                      <c:pt idx="6">
                        <c:v>3.5791000000000003E-2</c:v>
                      </c:pt>
                      <c:pt idx="7">
                        <c:v>3.0542E-2</c:v>
                      </c:pt>
                      <c:pt idx="8">
                        <c:v>2.4414000000000002E-2</c:v>
                      </c:pt>
                      <c:pt idx="9">
                        <c:v>1.8815999999999999E-2</c:v>
                      </c:pt>
                      <c:pt idx="10">
                        <c:v>1.4041E-2</c:v>
                      </c:pt>
                      <c:pt idx="11">
                        <c:v>1.0044000000000001E-2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0.28000000000000003</c:v>
                      </c:pt>
                      <c:pt idx="1">
                        <c:v>0.28000000000000003</c:v>
                      </c:pt>
                      <c:pt idx="2">
                        <c:v>0.28000000000000003</c:v>
                      </c:pt>
                      <c:pt idx="3">
                        <c:v>0.28000000000000003</c:v>
                      </c:pt>
                      <c:pt idx="4">
                        <c:v>0.28000000000000003</c:v>
                      </c:pt>
                      <c:pt idx="5">
                        <c:v>0.28000000000000003</c:v>
                      </c:pt>
                      <c:pt idx="6">
                        <c:v>0.28000000000000003</c:v>
                      </c:pt>
                      <c:pt idx="7">
                        <c:v>0.28000000000000003</c:v>
                      </c:pt>
                      <c:pt idx="8">
                        <c:v>0.28000000000000003</c:v>
                      </c:pt>
                      <c:pt idx="9">
                        <c:v>0.28000000000000003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0.47999000000000003</c:v>
                      </c:pt>
                      <c:pt idx="4">
                        <c:v>0.47987999999999997</c:v>
                      </c:pt>
                      <c:pt idx="5">
                        <c:v>0.47933999999999999</c:v>
                      </c:pt>
                      <c:pt idx="6">
                        <c:v>0.47755999999999998</c:v>
                      </c:pt>
                      <c:pt idx="7">
                        <c:v>0.47348000000000001</c:v>
                      </c:pt>
                      <c:pt idx="8">
                        <c:v>0.46479999999999999</c:v>
                      </c:pt>
                      <c:pt idx="9">
                        <c:v>0.44491999999999998</c:v>
                      </c:pt>
                      <c:pt idx="10">
                        <c:v>0.40106000000000003</c:v>
                      </c:pt>
                      <c:pt idx="11">
                        <c:v>0.32258999999999999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-19.260000000000002</c:v>
                      </c:pt>
                      <c:pt idx="7">
                        <c:v>-19.41</c:v>
                      </c:pt>
                      <c:pt idx="8">
                        <c:v>-19.559999999999999</c:v>
                      </c:pt>
                      <c:pt idx="9">
                        <c:v>-19.73</c:v>
                      </c:pt>
                      <c:pt idx="10">
                        <c:v>-19.940000000000001</c:v>
                      </c:pt>
                      <c:pt idx="11">
                        <c:v>-20.2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-7.6630000000000003</c:v>
                      </c:pt>
                      <c:pt idx="1">
                        <c:v>-8.1549999999999994</c:v>
                      </c:pt>
                      <c:pt idx="2">
                        <c:v>-8.5950000000000006</c:v>
                      </c:pt>
                      <c:pt idx="3">
                        <c:v>-8.9879999999999995</c:v>
                      </c:pt>
                      <c:pt idx="4">
                        <c:v>-9.3450000000000006</c:v>
                      </c:pt>
                      <c:pt idx="5">
                        <c:v>-9.6869999999999994</c:v>
                      </c:pt>
                      <c:pt idx="6">
                        <c:v>-10.050000000000001</c:v>
                      </c:pt>
                      <c:pt idx="7">
                        <c:v>-10.47</c:v>
                      </c:pt>
                      <c:pt idx="8">
                        <c:v>-10.92</c:v>
                      </c:pt>
                      <c:pt idx="9">
                        <c:v>-11.37</c:v>
                      </c:pt>
                      <c:pt idx="10">
                        <c:v>-11.81</c:v>
                      </c:pt>
                      <c:pt idx="11">
                        <c:v>-12.22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7.5119999999999996</c:v>
                      </c:pt>
                      <c:pt idx="1">
                        <c:v>4.4539999999999997</c:v>
                      </c:pt>
                      <c:pt idx="2">
                        <c:v>2.2879999999999998</c:v>
                      </c:pt>
                      <c:pt idx="3">
                        <c:v>0.65210000000000001</c:v>
                      </c:pt>
                      <c:pt idx="4">
                        <c:v>-0.63829999999999998</c:v>
                      </c:pt>
                      <c:pt idx="5">
                        <c:v>-1.6890000000000001</c:v>
                      </c:pt>
                      <c:pt idx="6">
                        <c:v>-2.5640000000000001</c:v>
                      </c:pt>
                      <c:pt idx="7">
                        <c:v>-3.3050000000000002</c:v>
                      </c:pt>
                      <c:pt idx="8">
                        <c:v>-3.9390000000000001</c:v>
                      </c:pt>
                      <c:pt idx="9">
                        <c:v>-4.4790000000000001</c:v>
                      </c:pt>
                      <c:pt idx="10">
                        <c:v>-4.9219999999999997</c:v>
                      </c:pt>
                      <c:pt idx="11">
                        <c:v>-5.2549999999999999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-5.4409999999999998</c:v>
                      </c:pt>
                      <c:pt idx="3">
                        <c:v>-5.8239999999999998</c:v>
                      </c:pt>
                      <c:pt idx="4">
                        <c:v>-6.1890000000000001</c:v>
                      </c:pt>
                      <c:pt idx="5">
                        <c:v>-6.53</c:v>
                      </c:pt>
                      <c:pt idx="6">
                        <c:v>-6.8470000000000004</c:v>
                      </c:pt>
                      <c:pt idx="7">
                        <c:v>-7.1420000000000003</c:v>
                      </c:pt>
                      <c:pt idx="8">
                        <c:v>-7.42</c:v>
                      </c:pt>
                      <c:pt idx="9">
                        <c:v>-7.6909999999999998</c:v>
                      </c:pt>
                      <c:pt idx="10">
                        <c:v>-7.9740000000000002</c:v>
                      </c:pt>
                      <c:pt idx="11">
                        <c:v>-8.298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-3.7222436745000009</c:v>
                </c:pt>
                <c:pt idx="1">
                  <c:v>-15.149326874057143</c:v>
                </c:pt>
                <c:pt idx="2">
                  <c:v>-27.859548625172945</c:v>
                </c:pt>
                <c:pt idx="3">
                  <c:v>-41.60496235323474</c:v>
                </c:pt>
                <c:pt idx="4">
                  <c:v>-56.188926113662831</c:v>
                </c:pt>
                <c:pt idx="5">
                  <c:v>-71.298746303134024</c:v>
                </c:pt>
                <c:pt idx="6">
                  <c:v>-86.443119656182162</c:v>
                </c:pt>
                <c:pt idx="7">
                  <c:v>-101.07800697505387</c:v>
                </c:pt>
                <c:pt idx="8">
                  <c:v>-114.7205760806706</c:v>
                </c:pt>
                <c:pt idx="9">
                  <c:v>-126.00885718375527</c:v>
                </c:pt>
                <c:pt idx="10">
                  <c:v>-131.50533983610111</c:v>
                </c:pt>
                <c:pt idx="11">
                  <c:v>-126.82550784910714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-3.7222436753120189</c:v>
                </c:pt>
                <c:pt idx="1">
                  <c:v>-15.149327987107506</c:v>
                </c:pt>
                <c:pt idx="2">
                  <c:v>-27.859678610253695</c:v>
                </c:pt>
                <c:pt idx="3">
                  <c:v>-41.608697823852488</c:v>
                </c:pt>
                <c:pt idx="4">
                  <c:v>-56.233592010578633</c:v>
                </c:pt>
                <c:pt idx="5">
                  <c:v>-71.589794140911508</c:v>
                </c:pt>
                <c:pt idx="6">
                  <c:v>-87.616265240630341</c:v>
                </c:pt>
                <c:pt idx="7">
                  <c:v>-104.25857056553539</c:v>
                </c:pt>
                <c:pt idx="8">
                  <c:v>-121.45770992933585</c:v>
                </c:pt>
                <c:pt idx="9">
                  <c:v>-139.1677112609558</c:v>
                </c:pt>
                <c:pt idx="10">
                  <c:v>-157.46367722214441</c:v>
                </c:pt>
                <c:pt idx="11">
                  <c:v>-176.48343385067943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-176.48343385067943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-3.7222436745000009</c:v>
                </c:pt>
                <c:pt idx="1">
                  <c:v>-15.149326874057142</c:v>
                </c:pt>
                <c:pt idx="2">
                  <c:v>-27.859652068050003</c:v>
                </c:pt>
                <c:pt idx="3">
                  <c:v>-41.608545519270002</c:v>
                </c:pt>
                <c:pt idx="4">
                  <c:v>-56.234041349732145</c:v>
                </c:pt>
                <c:pt idx="5">
                  <c:v>-71.589680128928578</c:v>
                </c:pt>
                <c:pt idx="6">
                  <c:v>-87.616389864342864</c:v>
                </c:pt>
                <c:pt idx="7">
                  <c:v>-104.25864092055002</c:v>
                </c:pt>
                <c:pt idx="8">
                  <c:v>-121.45816777589998</c:v>
                </c:pt>
                <c:pt idx="9">
                  <c:v>-139.16812119235715</c:v>
                </c:pt>
                <c:pt idx="10">
                  <c:v>-157.46353204937142</c:v>
                </c:pt>
                <c:pt idx="11">
                  <c:v>-176.48238921428572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 formatCode="0.00E+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-8.1201783230074353E-10</c:v>
                      </c:pt>
                      <c:pt idx="1">
                        <c:v>-1.1130503635325961E-6</c:v>
                      </c:pt>
                      <c:pt idx="2">
                        <c:v>-1.2998508075172759E-4</c:v>
                      </c:pt>
                      <c:pt idx="3">
                        <c:v>-3.7354706177456978E-3</c:v>
                      </c:pt>
                      <c:pt idx="4">
                        <c:v>-4.4665896915799939E-2</c:v>
                      </c:pt>
                      <c:pt idx="5">
                        <c:v>-0.29104783777748572</c:v>
                      </c:pt>
                      <c:pt idx="6">
                        <c:v>-1.1731455844481815</c:v>
                      </c:pt>
                      <c:pt idx="7">
                        <c:v>-3.1805635904815328</c:v>
                      </c:pt>
                      <c:pt idx="8">
                        <c:v>-6.7371338486652519</c:v>
                      </c:pt>
                      <c:pt idx="9">
                        <c:v>-13.158854077200516</c:v>
                      </c:pt>
                      <c:pt idx="10">
                        <c:v>-25.958337386043304</c:v>
                      </c:pt>
                      <c:pt idx="11">
                        <c:v>-49.657926001572292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-1.1697537137293148E-9</c:v>
                      </c:pt>
                      <c:pt idx="1">
                        <c:v>-1.5076370206754533E-6</c:v>
                      </c:pt>
                      <c:pt idx="2">
                        <c:v>-1.685159747517276E-4</c:v>
                      </c:pt>
                      <c:pt idx="3">
                        <c:v>-4.6851756177456972E-3</c:v>
                      </c:pt>
                      <c:pt idx="4">
                        <c:v>-5.4575735737228515E-2</c:v>
                      </c:pt>
                      <c:pt idx="5">
                        <c:v>-0.34800240749177141</c:v>
                      </c:pt>
                      <c:pt idx="6">
                        <c:v>-1.3757004090910387</c:v>
                      </c:pt>
                      <c:pt idx="7">
                        <c:v>-3.6548585411958188</c:v>
                      </c:pt>
                      <c:pt idx="8">
                        <c:v>-7.5515023486652515</c:v>
                      </c:pt>
                      <c:pt idx="9">
                        <c:v>-14.310015334343372</c:v>
                      </c:pt>
                      <c:pt idx="10">
                        <c:v>-27.42283212175759</c:v>
                      </c:pt>
                      <c:pt idx="11">
                        <c:v>-51.409175158715151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-3.7222436756697546</c:v>
                      </c:pt>
                      <c:pt idx="1">
                        <c:v>-15.149328381694165</c:v>
                      </c:pt>
                      <c:pt idx="2">
                        <c:v>-27.859717141147698</c:v>
                      </c:pt>
                      <c:pt idx="3">
                        <c:v>-41.609647528852484</c:v>
                      </c:pt>
                      <c:pt idx="4">
                        <c:v>-56.243501849400062</c:v>
                      </c:pt>
                      <c:pt idx="5">
                        <c:v>-71.646748710625801</c:v>
                      </c:pt>
                      <c:pt idx="6">
                        <c:v>-87.818820065273201</c:v>
                      </c:pt>
                      <c:pt idx="7">
                        <c:v>-104.73286551624969</c:v>
                      </c:pt>
                      <c:pt idx="8">
                        <c:v>-122.27207842933585</c:v>
                      </c:pt>
                      <c:pt idx="9">
                        <c:v>-140.31887251809863</c:v>
                      </c:pt>
                      <c:pt idx="10">
                        <c:v>-158.92817195785869</c:v>
                      </c:pt>
                      <c:pt idx="11">
                        <c:v>-178.2346830078223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1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3.9999E-2</c:v>
                </c:pt>
                <c:pt idx="3">
                  <c:v>3.9978E-2</c:v>
                </c:pt>
                <c:pt idx="4">
                  <c:v>3.9777E-2</c:v>
                </c:pt>
                <c:pt idx="5">
                  <c:v>3.8768999999999998E-2</c:v>
                </c:pt>
                <c:pt idx="6">
                  <c:v>3.5791000000000003E-2</c:v>
                </c:pt>
                <c:pt idx="7">
                  <c:v>3.0542E-2</c:v>
                </c:pt>
                <c:pt idx="8">
                  <c:v>2.4414000000000002E-2</c:v>
                </c:pt>
                <c:pt idx="9">
                  <c:v>1.8815999999999999E-2</c:v>
                </c:pt>
                <c:pt idx="10">
                  <c:v>1.4041E-2</c:v>
                </c:pt>
                <c:pt idx="11">
                  <c:v>1.0044000000000001E-2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0.47999000000000003</c:v>
                </c:pt>
                <c:pt idx="4">
                  <c:v>0.47987999999999997</c:v>
                </c:pt>
                <c:pt idx="5">
                  <c:v>0.47933999999999999</c:v>
                </c:pt>
                <c:pt idx="6">
                  <c:v>0.47755999999999998</c:v>
                </c:pt>
                <c:pt idx="7">
                  <c:v>0.47348000000000001</c:v>
                </c:pt>
                <c:pt idx="8">
                  <c:v>0.46479999999999999</c:v>
                </c:pt>
                <c:pt idx="9">
                  <c:v>0.44491999999999998</c:v>
                </c:pt>
                <c:pt idx="10">
                  <c:v>0.40106000000000003</c:v>
                </c:pt>
                <c:pt idx="11">
                  <c:v>0.32258999999999999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2.2783E-8</c:v>
                      </c:pt>
                      <c:pt idx="1">
                        <c:v>2.3207999999999998E-8</c:v>
                      </c:pt>
                      <c:pt idx="2">
                        <c:v>3.0831E-8</c:v>
                      </c:pt>
                      <c:pt idx="3">
                        <c:v>1.9866000000000001E-8</c:v>
                      </c:pt>
                      <c:pt idx="4">
                        <c:v>2.0292999999999998E-8</c:v>
                      </c:pt>
                      <c:pt idx="5">
                        <c:v>2.1535000000000001E-8</c:v>
                      </c:pt>
                      <c:pt idx="6">
                        <c:v>2.3738000000000001E-8</c:v>
                      </c:pt>
                      <c:pt idx="7">
                        <c:v>2.6975999999999999E-8</c:v>
                      </c:pt>
                      <c:pt idx="8">
                        <c:v>2.6417999999999999E-8</c:v>
                      </c:pt>
                      <c:pt idx="9">
                        <c:v>2.7024000000000001E-8</c:v>
                      </c:pt>
                      <c:pt idx="10">
                        <c:v>2.0041999999999998E-8</c:v>
                      </c:pt>
                      <c:pt idx="11">
                        <c:v>1.3179E-8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4.1284999999999998E-19</c:v>
                      </c:pt>
                      <c:pt idx="2">
                        <c:v>4.7391E-15</c:v>
                      </c:pt>
                      <c:pt idx="3">
                        <c:v>3.3814000000000001E-12</c:v>
                      </c:pt>
                      <c:pt idx="4">
                        <c:v>4.3065999999999999E-10</c:v>
                      </c:pt>
                      <c:pt idx="5">
                        <c:v>1.7616E-8</c:v>
                      </c:pt>
                      <c:pt idx="6">
                        <c:v>3.2985000000000001E-7</c:v>
                      </c:pt>
                      <c:pt idx="7">
                        <c:v>3.5267999999999998E-6</c:v>
                      </c:pt>
                      <c:pt idx="8">
                        <c:v>2.4674000000000001E-5</c:v>
                      </c:pt>
                      <c:pt idx="9">
                        <c:v>1.2306E-4</c:v>
                      </c:pt>
                      <c:pt idx="10">
                        <c:v>4.5855000000000001E-4</c:v>
                      </c:pt>
                      <c:pt idx="11">
                        <c:v>1.2537E-3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1.0815E-17</c:v>
                      </c:pt>
                      <c:pt idx="2">
                        <c:v>4.5678000000000001E-14</c:v>
                      </c:pt>
                      <c:pt idx="3">
                        <c:v>1.5258999999999999E-11</c:v>
                      </c:pt>
                      <c:pt idx="4">
                        <c:v>1.0687E-9</c:v>
                      </c:pt>
                      <c:pt idx="5">
                        <c:v>2.6931000000000001E-8</c:v>
                      </c:pt>
                      <c:pt idx="6">
                        <c:v>3.3792E-7</c:v>
                      </c:pt>
                      <c:pt idx="7">
                        <c:v>2.5795E-6</c:v>
                      </c:pt>
                      <c:pt idx="8">
                        <c:v>1.3482000000000001E-5</c:v>
                      </c:pt>
                      <c:pt idx="9">
                        <c:v>5.1613999999999997E-5</c:v>
                      </c:pt>
                      <c:pt idx="10">
                        <c:v>1.4820999999999999E-4</c:v>
                      </c:pt>
                      <c:pt idx="11">
                        <c:v>3.0273000000000002E-4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1.0203E-14</c:v>
                      </c:pt>
                      <c:pt idx="2">
                        <c:v>1.9244000000000002E-11</c:v>
                      </c:pt>
                      <c:pt idx="3">
                        <c:v>3.4791000000000001E-9</c:v>
                      </c:pt>
                      <c:pt idx="4">
                        <c:v>1.4992000000000001E-7</c:v>
                      </c:pt>
                      <c:pt idx="5">
                        <c:v>2.5457999999999998E-6</c:v>
                      </c:pt>
                      <c:pt idx="6">
                        <c:v>2.3031999999999999E-5</c:v>
                      </c:pt>
                      <c:pt idx="7">
                        <c:v>1.3339E-4</c:v>
                      </c:pt>
                      <c:pt idx="8">
                        <c:v>5.4830999999999999E-4</c:v>
                      </c:pt>
                      <c:pt idx="9">
                        <c:v>1.6838000000000001E-3</c:v>
                      </c:pt>
                      <c:pt idx="10">
                        <c:v>3.8706999999999999E-3</c:v>
                      </c:pt>
                      <c:pt idx="11">
                        <c:v>6.1057000000000004E-3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5.6344999999999999E-13</c:v>
                      </c:pt>
                      <c:pt idx="2">
                        <c:v>2.7175000000000002E-10</c:v>
                      </c:pt>
                      <c:pt idx="3">
                        <c:v>1.7757000000000001E-8</c:v>
                      </c:pt>
                      <c:pt idx="4">
                        <c:v>3.4676999999999997E-7</c:v>
                      </c:pt>
                      <c:pt idx="5">
                        <c:v>3.1225000000000002E-6</c:v>
                      </c:pt>
                      <c:pt idx="6">
                        <c:v>1.6796E-5</c:v>
                      </c:pt>
                      <c:pt idx="7">
                        <c:v>6.2982000000000001E-5</c:v>
                      </c:pt>
                      <c:pt idx="8">
                        <c:v>1.7830999999999999E-4</c:v>
                      </c:pt>
                      <c:pt idx="9">
                        <c:v>3.9241999999999999E-4</c:v>
                      </c:pt>
                      <c:pt idx="10">
                        <c:v>6.5547999999999995E-4</c:v>
                      </c:pt>
                      <c:pt idx="11">
                        <c:v>7.3410000000000001E-4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8.4466000000000006E-14</c:v>
                      </c:pt>
                      <c:pt idx="2">
                        <c:v>5.5912000000000002E-11</c:v>
                      </c:pt>
                      <c:pt idx="3">
                        <c:v>4.4193000000000002E-9</c:v>
                      </c:pt>
                      <c:pt idx="4">
                        <c:v>9.7182000000000003E-8</c:v>
                      </c:pt>
                      <c:pt idx="5">
                        <c:v>9.4422000000000002E-7</c:v>
                      </c:pt>
                      <c:pt idx="6">
                        <c:v>5.3391000000000003E-6</c:v>
                      </c:pt>
                      <c:pt idx="7">
                        <c:v>2.0684999999999999E-5</c:v>
                      </c:pt>
                      <c:pt idx="8">
                        <c:v>5.9579E-5</c:v>
                      </c:pt>
                      <c:pt idx="9">
                        <c:v>1.3079000000000001E-4</c:v>
                      </c:pt>
                      <c:pt idx="10">
                        <c:v>2.1085E-4</c:v>
                      </c:pt>
                      <c:pt idx="11">
                        <c:v>2.1446E-4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2.3718E-15</c:v>
                      </c:pt>
                      <c:pt idx="2">
                        <c:v>2.0001999999999999E-12</c:v>
                      </c:pt>
                      <c:pt idx="3">
                        <c:v>1.8133000000000001E-10</c:v>
                      </c:pt>
                      <c:pt idx="4">
                        <c:v>4.3148999999999996E-9</c:v>
                      </c:pt>
                      <c:pt idx="5">
                        <c:v>4.3858000000000001E-8</c:v>
                      </c:pt>
                      <c:pt idx="6">
                        <c:v>2.5432000000000002E-7</c:v>
                      </c:pt>
                      <c:pt idx="7">
                        <c:v>9.9755999999999994E-7</c:v>
                      </c:pt>
                      <c:pt idx="8">
                        <c:v>2.8744E-6</c:v>
                      </c:pt>
                      <c:pt idx="9">
                        <c:v>6.2053999999999999E-6</c:v>
                      </c:pt>
                      <c:pt idx="10">
                        <c:v>9.5367999999999999E-6</c:v>
                      </c:pt>
                      <c:pt idx="11">
                        <c:v>8.7167999999999993E-6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4.4898999999999999E-15</c:v>
                      </c:pt>
                      <c:pt idx="2">
                        <c:v>1.0202999999999999E-11</c:v>
                      </c:pt>
                      <c:pt idx="3">
                        <c:v>2.4183999999999998E-9</c:v>
                      </c:pt>
                      <c:pt idx="4">
                        <c:v>1.4000999999999999E-7</c:v>
                      </c:pt>
                      <c:pt idx="5">
                        <c:v>3.1868000000000001E-6</c:v>
                      </c:pt>
                      <c:pt idx="6">
                        <c:v>3.8056000000000003E-5</c:v>
                      </c:pt>
                      <c:pt idx="7">
                        <c:v>2.8582E-4</c:v>
                      </c:pt>
                      <c:pt idx="8">
                        <c:v>1.5125E-3</c:v>
                      </c:pt>
                      <c:pt idx="9">
                        <c:v>6.0857999999999997E-3</c:v>
                      </c:pt>
                      <c:pt idx="10">
                        <c:v>1.9578000000000002E-2</c:v>
                      </c:pt>
                      <c:pt idx="11">
                        <c:v>5.0479999999999997E-2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5.7083999999999999E-31</c:v>
                      </c:pt>
                      <c:pt idx="2">
                        <c:v>3.8902999999999999E-25</c:v>
                      </c:pt>
                      <c:pt idx="3">
                        <c:v>5.8614000000000001E-21</c:v>
                      </c:pt>
                      <c:pt idx="4">
                        <c:v>8.0426999999999996E-18</c:v>
                      </c:pt>
                      <c:pt idx="5">
                        <c:v>2.2259000000000001E-15</c:v>
                      </c:pt>
                      <c:pt idx="6">
                        <c:v>2.0128999999999999E-13</c:v>
                      </c:pt>
                      <c:pt idx="7">
                        <c:v>8.0862E-12</c:v>
                      </c:pt>
                      <c:pt idx="8">
                        <c:v>1.7658E-10</c:v>
                      </c:pt>
                      <c:pt idx="9">
                        <c:v>2.4185999999999999E-9</c:v>
                      </c:pt>
                      <c:pt idx="10">
                        <c:v>2.3157E-8</c:v>
                      </c:pt>
                      <c:pt idx="11">
                        <c:v>1.6509E-7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5.0018E-12</c:v>
                      </c:pt>
                      <c:pt idx="1">
                        <c:v>5.1719999999999999E-9</c:v>
                      </c:pt>
                      <c:pt idx="2">
                        <c:v>4.7672E-7</c:v>
                      </c:pt>
                      <c:pt idx="3">
                        <c:v>1.1173E-5</c:v>
                      </c:pt>
                      <c:pt idx="4">
                        <c:v>1.1153E-4</c:v>
                      </c:pt>
                      <c:pt idx="5">
                        <c:v>6.1563000000000004E-4</c:v>
                      </c:pt>
                      <c:pt idx="6">
                        <c:v>2.1047000000000001E-3</c:v>
                      </c:pt>
                      <c:pt idx="7">
                        <c:v>4.7291E-3</c:v>
                      </c:pt>
                      <c:pt idx="8">
                        <c:v>7.7929999999999996E-3</c:v>
                      </c:pt>
                      <c:pt idx="9">
                        <c:v>1.0592000000000001E-2</c:v>
                      </c:pt>
                      <c:pt idx="10">
                        <c:v>1.2978999999999999E-2</c:v>
                      </c:pt>
                      <c:pt idx="11">
                        <c:v>1.4978E-2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-19.260000000000002</c:v>
                      </c:pt>
                      <c:pt idx="7">
                        <c:v>-19.41</c:v>
                      </c:pt>
                      <c:pt idx="8">
                        <c:v>-19.559999999999999</c:v>
                      </c:pt>
                      <c:pt idx="9">
                        <c:v>-19.73</c:v>
                      </c:pt>
                      <c:pt idx="10">
                        <c:v>-19.940000000000001</c:v>
                      </c:pt>
                      <c:pt idx="11">
                        <c:v>-20.2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-7.6630000000000003</c:v>
                      </c:pt>
                      <c:pt idx="1">
                        <c:v>-8.1549999999999994</c:v>
                      </c:pt>
                      <c:pt idx="2">
                        <c:v>-8.5950000000000006</c:v>
                      </c:pt>
                      <c:pt idx="3">
                        <c:v>-8.9879999999999995</c:v>
                      </c:pt>
                      <c:pt idx="4">
                        <c:v>-9.3450000000000006</c:v>
                      </c:pt>
                      <c:pt idx="5">
                        <c:v>-9.6869999999999994</c:v>
                      </c:pt>
                      <c:pt idx="6">
                        <c:v>-10.050000000000001</c:v>
                      </c:pt>
                      <c:pt idx="7">
                        <c:v>-10.47</c:v>
                      </c:pt>
                      <c:pt idx="8">
                        <c:v>-10.92</c:v>
                      </c:pt>
                      <c:pt idx="9">
                        <c:v>-11.37</c:v>
                      </c:pt>
                      <c:pt idx="10">
                        <c:v>-11.81</c:v>
                      </c:pt>
                      <c:pt idx="11">
                        <c:v>-12.22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7.5119999999999996</c:v>
                      </c:pt>
                      <c:pt idx="1">
                        <c:v>4.4539999999999997</c:v>
                      </c:pt>
                      <c:pt idx="2">
                        <c:v>2.2879999999999998</c:v>
                      </c:pt>
                      <c:pt idx="3">
                        <c:v>0.65210000000000001</c:v>
                      </c:pt>
                      <c:pt idx="4">
                        <c:v>-0.63829999999999998</c:v>
                      </c:pt>
                      <c:pt idx="5">
                        <c:v>-1.6890000000000001</c:v>
                      </c:pt>
                      <c:pt idx="6">
                        <c:v>-2.5640000000000001</c:v>
                      </c:pt>
                      <c:pt idx="7">
                        <c:v>-3.3050000000000002</c:v>
                      </c:pt>
                      <c:pt idx="8">
                        <c:v>-3.9390000000000001</c:v>
                      </c:pt>
                      <c:pt idx="9">
                        <c:v>-4.4790000000000001</c:v>
                      </c:pt>
                      <c:pt idx="10">
                        <c:v>-4.9219999999999997</c:v>
                      </c:pt>
                      <c:pt idx="11">
                        <c:v>-5.2549999999999999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-5.4409999999999998</c:v>
                      </c:pt>
                      <c:pt idx="3">
                        <c:v>-5.8239999999999998</c:v>
                      </c:pt>
                      <c:pt idx="4">
                        <c:v>-6.1890000000000001</c:v>
                      </c:pt>
                      <c:pt idx="5">
                        <c:v>-6.53</c:v>
                      </c:pt>
                      <c:pt idx="6">
                        <c:v>-6.8470000000000004</c:v>
                      </c:pt>
                      <c:pt idx="7">
                        <c:v>-7.1420000000000003</c:v>
                      </c:pt>
                      <c:pt idx="8">
                        <c:v>-7.42</c:v>
                      </c:pt>
                      <c:pt idx="9">
                        <c:v>-7.6909999999999998</c:v>
                      </c:pt>
                      <c:pt idx="10">
                        <c:v>-7.9740000000000002</c:v>
                      </c:pt>
                      <c:pt idx="11">
                        <c:v>-8.298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-150.19965250692857</c:v>
                </c:pt>
                <c:pt idx="1">
                  <c:v>-152.00684709107145</c:v>
                </c:pt>
                <c:pt idx="2">
                  <c:v>-153.7905389592857</c:v>
                </c:pt>
                <c:pt idx="3">
                  <c:v>-155.62300368449999</c:v>
                </c:pt>
                <c:pt idx="4">
                  <c:v>-157.59312802285712</c:v>
                </c:pt>
                <c:pt idx="5">
                  <c:v>-160.64119284042857</c:v>
                </c:pt>
                <c:pt idx="6">
                  <c:v>-164.11837019078575</c:v>
                </c:pt>
                <c:pt idx="7">
                  <c:v>-167.68822333371429</c:v>
                </c:pt>
                <c:pt idx="8">
                  <c:v>-171.25422626925001</c:v>
                </c:pt>
                <c:pt idx="9">
                  <c:v>-186.48208395214283</c:v>
                </c:pt>
                <c:pt idx="10">
                  <c:v>-190.46062066380003</c:v>
                </c:pt>
                <c:pt idx="11">
                  <c:v>-194.51061076311427</c:v>
                </c:pt>
                <c:pt idx="12">
                  <c:v>-199.7127535991786</c:v>
                </c:pt>
                <c:pt idx="13">
                  <c:v>-206.99652997767859</c:v>
                </c:pt>
                <c:pt idx="14">
                  <c:v>-237.22656605775003</c:v>
                </c:pt>
                <c:pt idx="15">
                  <c:v>-269.01386012005719</c:v>
                </c:pt>
                <c:pt idx="16">
                  <c:v>-302.28967536164998</c:v>
                </c:pt>
                <c:pt idx="17">
                  <c:v>-310.81690623895719</c:v>
                </c:pt>
                <c:pt idx="18">
                  <c:v>-319.8508532723572</c:v>
                </c:pt>
                <c:pt idx="19">
                  <c:v>-328.94635587505724</c:v>
                </c:pt>
                <c:pt idx="20">
                  <c:v>-338.47298929602852</c:v>
                </c:pt>
                <c:pt idx="21">
                  <c:v>-348.23077828875</c:v>
                </c:pt>
                <c:pt idx="22">
                  <c:v>-358.09523067617147</c:v>
                </c:pt>
                <c:pt idx="23">
                  <c:v>-368.08116111561429</c:v>
                </c:pt>
                <c:pt idx="24">
                  <c:v>-378.1736373589714</c:v>
                </c:pt>
                <c:pt idx="25">
                  <c:v>-419.31298861155</c:v>
                </c:pt>
                <c:pt idx="26">
                  <c:v>-461.93936657142854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8"/>
          <c:order val="8"/>
          <c:tx>
            <c:strRef>
              <c:f>SOLID!$E$12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7.7565999999999998E-3</c:v>
                </c:pt>
                <c:pt idx="19" formatCode="General">
                  <c:v>2.8487E-3</c:v>
                </c:pt>
                <c:pt idx="20" formatCode="General">
                  <c:v>7.5883000000000005E-4</c:v>
                </c:pt>
                <c:pt idx="21" formatCode="General">
                  <c:v>1.1998999999999999E-4</c:v>
                </c:pt>
                <c:pt idx="22" formatCode="General">
                  <c:v>2.0021E-5</c:v>
                </c:pt>
                <c:pt idx="23" formatCode="General">
                  <c:v>3.5053000000000001E-6</c:v>
                </c:pt>
                <c:pt idx="24" formatCode="General">
                  <c:v>6.4165000000000003E-7</c:v>
                </c:pt>
                <c:pt idx="25" formatCode="General">
                  <c:v>1.0583E-9</c:v>
                </c:pt>
                <c:pt idx="26" formatCode="General">
                  <c:v>2.8184000000000002E-12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6.6809999999999997E-33</c:v>
                </c:pt>
                <c:pt idx="10">
                  <c:v>7.8149999999999998E-31</c:v>
                </c:pt>
                <c:pt idx="11">
                  <c:v>6.8396999999999999E-29</c:v>
                </c:pt>
                <c:pt idx="12">
                  <c:v>4.6017E-27</c:v>
                </c:pt>
                <c:pt idx="13">
                  <c:v>2.4372999999999999E-25</c:v>
                </c:pt>
                <c:pt idx="14">
                  <c:v>2.5777E-19</c:v>
                </c:pt>
                <c:pt idx="15">
                  <c:v>2.2115999999999999E-14</c:v>
                </c:pt>
                <c:pt idx="16">
                  <c:v>2.9888000000000001E-10</c:v>
                </c:pt>
                <c:pt idx="17">
                  <c:v>2.5529000000000001E-9</c:v>
                </c:pt>
                <c:pt idx="18">
                  <c:v>7.7960999999999996E-9</c:v>
                </c:pt>
                <c:pt idx="19" formatCode="General">
                  <c:v>2.0885999999999999E-8</c:v>
                </c:pt>
                <c:pt idx="20" formatCode="General">
                  <c:v>3.7773999999999998E-8</c:v>
                </c:pt>
                <c:pt idx="21" formatCode="General">
                  <c:v>3.7906000000000002E-8</c:v>
                </c:pt>
                <c:pt idx="22" formatCode="General">
                  <c:v>3.7667000000000002E-8</c:v>
                </c:pt>
                <c:pt idx="23" formatCode="General">
                  <c:v>3.6985999999999998E-8</c:v>
                </c:pt>
                <c:pt idx="24" formatCode="General">
                  <c:v>3.5881000000000002E-8</c:v>
                </c:pt>
                <c:pt idx="25" formatCode="General">
                  <c:v>2.8110999999999999E-8</c:v>
                </c:pt>
                <c:pt idx="26" formatCode="General">
                  <c:v>1.7782E-8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6.6855000000000004E-18</c:v>
                      </c:pt>
                      <c:pt idx="15">
                        <c:v>1.762E-13</c:v>
                      </c:pt>
                      <c:pt idx="16">
                        <c:v>5.8739999999999998E-14</c:v>
                      </c:pt>
                      <c:pt idx="17">
                        <c:v>4.9521000000000001E-21</c:v>
                      </c:pt>
                      <c:pt idx="18">
                        <c:v>3.5675999999999999E-28</c:v>
                      </c:pt>
                      <c:pt idx="19" formatCode="General">
                        <c:v>0</c:v>
                      </c:pt>
                      <c:pt idx="20" formatCode="General">
                        <c:v>5.1645000000000003E-20</c:v>
                      </c:pt>
                      <c:pt idx="21" formatCode="General">
                        <c:v>2.3851000000000001E-13</c:v>
                      </c:pt>
                      <c:pt idx="22" formatCode="General">
                        <c:v>1.8062000000000001E-17</c:v>
                      </c:pt>
                      <c:pt idx="23" formatCode="General">
                        <c:v>8.5727999999999997E-20</c:v>
                      </c:pt>
                      <c:pt idx="24" formatCode="General">
                        <c:v>6.7719000000000002E-20</c:v>
                      </c:pt>
                      <c:pt idx="25" formatCode="General">
                        <c:v>2.1051999999999999E-14</c:v>
                      </c:pt>
                      <c:pt idx="26" formatCode="General">
                        <c:v>4.6006999999999996E-9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1.6387999999999999E-33</c:v>
                      </c:pt>
                      <c:pt idx="8">
                        <c:v>5.0901000000000002E-26</c:v>
                      </c:pt>
                      <c:pt idx="9">
                        <c:v>1.5335000000000001E-11</c:v>
                      </c:pt>
                      <c:pt idx="10">
                        <c:v>4.4230000000000001E-10</c:v>
                      </c:pt>
                      <c:pt idx="11">
                        <c:v>1.8701E-8</c:v>
                      </c:pt>
                      <c:pt idx="12">
                        <c:v>0.14000000000000001</c:v>
                      </c:pt>
                      <c:pt idx="13">
                        <c:v>0.14000000000000001</c:v>
                      </c:pt>
                      <c:pt idx="14">
                        <c:v>0.14000000000000001</c:v>
                      </c:pt>
                      <c:pt idx="15">
                        <c:v>0.14000000000000001</c:v>
                      </c:pt>
                      <c:pt idx="16">
                        <c:v>0.14000000000000001</c:v>
                      </c:pt>
                      <c:pt idx="17">
                        <c:v>0.14000000000000001</c:v>
                      </c:pt>
                      <c:pt idx="18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0.13650999999999999</c:v>
                      </c:pt>
                      <c:pt idx="21" formatCode="General">
                        <c:v>0.13588</c:v>
                      </c:pt>
                      <c:pt idx="22" formatCode="General">
                        <c:v>0.13528000000000001</c:v>
                      </c:pt>
                      <c:pt idx="23" formatCode="General">
                        <c:v>0.13461999999999999</c:v>
                      </c:pt>
                      <c:pt idx="24" formatCode="General">
                        <c:v>0.13389000000000001</c:v>
                      </c:pt>
                      <c:pt idx="25" formatCode="General">
                        <c:v>0.12989000000000001</c:v>
                      </c:pt>
                      <c:pt idx="26" formatCode="General">
                        <c:v>0.12297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>
                        <c:v>0.14000000000000001</c:v>
                      </c:pt>
                      <c:pt idx="5">
                        <c:v>0.28000000000000003</c:v>
                      </c:pt>
                      <c:pt idx="6">
                        <c:v>0.28000000000000003</c:v>
                      </c:pt>
                      <c:pt idx="7">
                        <c:v>0.28000000000000003</c:v>
                      </c:pt>
                      <c:pt idx="8">
                        <c:v>0.28000000000000003</c:v>
                      </c:pt>
                      <c:pt idx="9">
                        <c:v>0.28000000000000003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2.0335E-7</c:v>
                      </c:pt>
                      <c:pt idx="13">
                        <c:v>1.9375E-9</c:v>
                      </c:pt>
                      <c:pt idx="14">
                        <c:v>2.8928000000000001E-13</c:v>
                      </c:pt>
                      <c:pt idx="15">
                        <c:v>5.8773E-21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3.8944000000000003E-36</c:v>
                      </c:pt>
                      <c:pt idx="16">
                        <c:v>1.0914999999999999E-20</c:v>
                      </c:pt>
                      <c:pt idx="17">
                        <c:v>2.7170000000000003E-20</c:v>
                      </c:pt>
                      <c:pt idx="18">
                        <c:v>2.7481999999999999E-17</c:v>
                      </c:pt>
                      <c:pt idx="19" formatCode="General">
                        <c:v>2.1655999999999999E-17</c:v>
                      </c:pt>
                      <c:pt idx="20" formatCode="General">
                        <c:v>4.1360000000000001E-8</c:v>
                      </c:pt>
                      <c:pt idx="21" formatCode="General">
                        <c:v>3.4271999999999999E-7</c:v>
                      </c:pt>
                      <c:pt idx="22" formatCode="General">
                        <c:v>2.5522999999999999E-7</c:v>
                      </c:pt>
                      <c:pt idx="23" formatCode="General">
                        <c:v>1.8946E-7</c:v>
                      </c:pt>
                      <c:pt idx="24" formatCode="General">
                        <c:v>1.6390000000000001E-7</c:v>
                      </c:pt>
                      <c:pt idx="25" formatCode="General">
                        <c:v>5.6700999999999999E-8</c:v>
                      </c:pt>
                      <c:pt idx="26" formatCode="General">
                        <c:v>1.6385000000000001E-8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3.1006E-29</c:v>
                      </c:pt>
                      <c:pt idx="16">
                        <c:v>4.1882000000000003E-12</c:v>
                      </c:pt>
                      <c:pt idx="17">
                        <c:v>4.2325999999999999E-7</c:v>
                      </c:pt>
                      <c:pt idx="18">
                        <c:v>1.2243E-2</c:v>
                      </c:pt>
                      <c:pt idx="19" formatCode="General">
                        <c:v>1.7151E-2</c:v>
                      </c:pt>
                      <c:pt idx="20" formatCode="General">
                        <c:v>2.6225000000000002E-8</c:v>
                      </c:pt>
                      <c:pt idx="21" formatCode="General">
                        <c:v>6.3299000000000001E-13</c:v>
                      </c:pt>
                      <c:pt idx="22" formatCode="General">
                        <c:v>5.1691999999999997E-25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1.6387999999999999E-33</c:v>
                      </c:pt>
                      <c:pt idx="8">
                        <c:v>5.0901000000000002E-26</c:v>
                      </c:pt>
                      <c:pt idx="9">
                        <c:v>1.5335000000000001E-11</c:v>
                      </c:pt>
                      <c:pt idx="10">
                        <c:v>4.4230000000000001E-10</c:v>
                      </c:pt>
                      <c:pt idx="11">
                        <c:v>1.8701E-8</c:v>
                      </c:pt>
                      <c:pt idx="12">
                        <c:v>0.14000000000000001</c:v>
                      </c:pt>
                      <c:pt idx="13">
                        <c:v>0.14000000000000001</c:v>
                      </c:pt>
                      <c:pt idx="14">
                        <c:v>0.14000000000000001</c:v>
                      </c:pt>
                      <c:pt idx="15">
                        <c:v>0.14000000000000001</c:v>
                      </c:pt>
                      <c:pt idx="16">
                        <c:v>0.14000000000000001</c:v>
                      </c:pt>
                      <c:pt idx="17">
                        <c:v>0.14000000000000001</c:v>
                      </c:pt>
                      <c:pt idx="18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0.13650999999999999</c:v>
                      </c:pt>
                      <c:pt idx="21" formatCode="General">
                        <c:v>0.13588</c:v>
                      </c:pt>
                      <c:pt idx="22" formatCode="General">
                        <c:v>0.13528000000000001</c:v>
                      </c:pt>
                      <c:pt idx="23" formatCode="General">
                        <c:v>0.13461999999999999</c:v>
                      </c:pt>
                      <c:pt idx="24" formatCode="General">
                        <c:v>0.13389000000000001</c:v>
                      </c:pt>
                      <c:pt idx="25" formatCode="General">
                        <c:v>0.12989000000000001</c:v>
                      </c:pt>
                      <c:pt idx="26" formatCode="General">
                        <c:v>0.12297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1.5275E-21</c:v>
                      </c:pt>
                      <c:pt idx="1">
                        <c:v>1.3022000000000001E-17</c:v>
                      </c:pt>
                      <c:pt idx="2">
                        <c:v>4.1226999999999998E-12</c:v>
                      </c:pt>
                      <c:pt idx="3">
                        <c:v>1.4575E-9</c:v>
                      </c:pt>
                      <c:pt idx="4">
                        <c:v>3.051E-7</c:v>
                      </c:pt>
                      <c:pt idx="5">
                        <c:v>0.14000000000000001</c:v>
                      </c:pt>
                      <c:pt idx="6">
                        <c:v>0.14000000000000001</c:v>
                      </c:pt>
                      <c:pt idx="7">
                        <c:v>0.14000000000000001</c:v>
                      </c:pt>
                      <c:pt idx="8">
                        <c:v>0.14000000000000001</c:v>
                      </c:pt>
                      <c:pt idx="9">
                        <c:v>0.14000000000000001</c:v>
                      </c:pt>
                      <c:pt idx="10">
                        <c:v>0.14000000000000001</c:v>
                      </c:pt>
                      <c:pt idx="11">
                        <c:v>0.14000000000000001</c:v>
                      </c:pt>
                      <c:pt idx="12">
                        <c:v>0.42</c:v>
                      </c:pt>
                      <c:pt idx="13">
                        <c:v>0.42</c:v>
                      </c:pt>
                      <c:pt idx="14">
                        <c:v>0.42</c:v>
                      </c:pt>
                      <c:pt idx="15">
                        <c:v>0.42</c:v>
                      </c:pt>
                      <c:pt idx="16">
                        <c:v>0.42</c:v>
                      </c:pt>
                      <c:pt idx="17">
                        <c:v>0.42</c:v>
                      </c:pt>
                      <c:pt idx="18">
                        <c:v>0.44449</c:v>
                      </c:pt>
                      <c:pt idx="19" formatCode="General">
                        <c:v>0.45429999999999998</c:v>
                      </c:pt>
                      <c:pt idx="20" formatCode="General">
                        <c:v>0.47771999999999998</c:v>
                      </c:pt>
                      <c:pt idx="21" formatCode="General">
                        <c:v>0.47964000000000001</c:v>
                      </c:pt>
                      <c:pt idx="22" formatCode="General">
                        <c:v>0.47993999999999998</c:v>
                      </c:pt>
                      <c:pt idx="23" formatCode="General">
                        <c:v>0.47999000000000003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>
                        <c:v>0.14000000000000001</c:v>
                      </c:pt>
                      <c:pt idx="5">
                        <c:v>3.2209999999999999E-9</c:v>
                      </c:pt>
                      <c:pt idx="6">
                        <c:v>1.9975999999999999E-10</c:v>
                      </c:pt>
                      <c:pt idx="7">
                        <c:v>9.6340999999999999E-12</c:v>
                      </c:pt>
                      <c:pt idx="8">
                        <c:v>1.4116999999999999E-13</c:v>
                      </c:pt>
                      <c:pt idx="9">
                        <c:v>2.8361000000000002E-26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3.6238000000000002E-20</c:v>
                      </c:pt>
                      <c:pt idx="15">
                        <c:v>7.0432999999999999E-14</c:v>
                      </c:pt>
                      <c:pt idx="16">
                        <c:v>2.9604999999999998E-10</c:v>
                      </c:pt>
                      <c:pt idx="17">
                        <c:v>1.039E-10</c:v>
                      </c:pt>
                      <c:pt idx="18">
                        <c:v>1.5157999999999999E-8</c:v>
                      </c:pt>
                      <c:pt idx="19" formatCode="General">
                        <c:v>2.1476E-7</c:v>
                      </c:pt>
                      <c:pt idx="20" formatCode="General">
                        <c:v>3.8482000000000002E-2</c:v>
                      </c:pt>
                      <c:pt idx="21" formatCode="General">
                        <c:v>3.9759999999999997E-2</c:v>
                      </c:pt>
                      <c:pt idx="22" formatCode="General">
                        <c:v>3.9960000000000002E-2</c:v>
                      </c:pt>
                      <c:pt idx="23" formatCode="General">
                        <c:v>3.9993000000000001E-2</c:v>
                      </c:pt>
                      <c:pt idx="24" formatCode="General">
                        <c:v>3.9997999999999999E-2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(1)Ge[1]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7.4125999999999999E-36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2.0193000000000001E-16</c:v>
                      </c:pt>
                      <c:pt idx="15">
                        <c:v>4.0033000000000001E-12</c:v>
                      </c:pt>
                      <c:pt idx="16">
                        <c:v>3.3269000000000002E-10</c:v>
                      </c:pt>
                      <c:pt idx="17">
                        <c:v>4.7667000000000002E-11</c:v>
                      </c:pt>
                      <c:pt idx="18">
                        <c:v>4.5630999999999997E-9</c:v>
                      </c:pt>
                      <c:pt idx="19" formatCode="General">
                        <c:v>4.5578E-8</c:v>
                      </c:pt>
                      <c:pt idx="20" formatCode="General">
                        <c:v>6.9871999999999998E-3</c:v>
                      </c:pt>
                      <c:pt idx="21" formatCode="General">
                        <c:v>8.2457999999999993E-3</c:v>
                      </c:pt>
                      <c:pt idx="22" formatCode="General">
                        <c:v>9.4445999999999992E-3</c:v>
                      </c:pt>
                      <c:pt idx="23" formatCode="General">
                        <c:v>1.0753E-2</c:v>
                      </c:pt>
                      <c:pt idx="24" formatCode="General">
                        <c:v>1.2215999999999999E-2</c:v>
                      </c:pt>
                      <c:pt idx="25" formatCode="General">
                        <c:v>2.0229E-2</c:v>
                      </c:pt>
                      <c:pt idx="26" formatCode="General">
                        <c:v>3.4062000000000002E-2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-18.72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>
                        <c:v>-18.73</c:v>
                      </c:pt>
                      <c:pt idx="5">
                        <c:v>-18.739999999999998</c:v>
                      </c:pt>
                      <c:pt idx="6">
                        <c:v>-18.760000000000002</c:v>
                      </c:pt>
                      <c:pt idx="7">
                        <c:v>-18.79</c:v>
                      </c:pt>
                      <c:pt idx="8">
                        <c:v>-18.809999999999999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</c:v>
                      </c:pt>
                      <c:pt idx="12">
                        <c:v>-19.03</c:v>
                      </c:pt>
                      <c:pt idx="13">
                        <c:v>-19.07</c:v>
                      </c:pt>
                      <c:pt idx="14">
                        <c:v>-19.2</c:v>
                      </c:pt>
                      <c:pt idx="15">
                        <c:v>-19.34</c:v>
                      </c:pt>
                      <c:pt idx="16">
                        <c:v>-19.48</c:v>
                      </c:pt>
                      <c:pt idx="17">
                        <c:v>-19.510000000000002</c:v>
                      </c:pt>
                      <c:pt idx="18">
                        <c:v>-19.489999999999998</c:v>
                      </c:pt>
                      <c:pt idx="19" formatCode="General">
                        <c:v>-19.5</c:v>
                      </c:pt>
                      <c:pt idx="20" formatCode="General">
                        <c:v>-19.52</c:v>
                      </c:pt>
                      <c:pt idx="21" formatCode="General">
                        <c:v>-19.55</c:v>
                      </c:pt>
                      <c:pt idx="22" formatCode="General">
                        <c:v>-19.579999999999998</c:v>
                      </c:pt>
                      <c:pt idx="23" formatCode="General">
                        <c:v>-19.61</c:v>
                      </c:pt>
                      <c:pt idx="24" formatCode="General">
                        <c:v>-19.64</c:v>
                      </c:pt>
                      <c:pt idx="25" formatCode="General">
                        <c:v>-19.760000000000002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-66.760000000000005</c:v>
                      </c:pt>
                      <c:pt idx="1">
                        <c:v>-63.28</c:v>
                      </c:pt>
                      <c:pt idx="2">
                        <c:v>-60.18</c:v>
                      </c:pt>
                      <c:pt idx="3">
                        <c:v>-57.4</c:v>
                      </c:pt>
                      <c:pt idx="4">
                        <c:v>-54.91</c:v>
                      </c:pt>
                      <c:pt idx="5">
                        <c:v>-51.53</c:v>
                      </c:pt>
                      <c:pt idx="6">
                        <c:v>-48.17</c:v>
                      </c:pt>
                      <c:pt idx="7">
                        <c:v>-45.06</c:v>
                      </c:pt>
                      <c:pt idx="8">
                        <c:v>-42.19</c:v>
                      </c:pt>
                      <c:pt idx="9">
                        <c:v>-32.53</c:v>
                      </c:pt>
                      <c:pt idx="10">
                        <c:v>-30.48</c:v>
                      </c:pt>
                      <c:pt idx="11">
                        <c:v>-28.55</c:v>
                      </c:pt>
                      <c:pt idx="12">
                        <c:v>-26.74</c:v>
                      </c:pt>
                      <c:pt idx="13">
                        <c:v>-25.02</c:v>
                      </c:pt>
                      <c:pt idx="14">
                        <c:v>-18.96</c:v>
                      </c:pt>
                      <c:pt idx="15">
                        <c:v>-13.95</c:v>
                      </c:pt>
                      <c:pt idx="16">
                        <c:v>-9.7059999999999995</c:v>
                      </c:pt>
                      <c:pt idx="17">
                        <c:v>-8.7420000000000009</c:v>
                      </c:pt>
                      <c:pt idx="18">
                        <c:v>-8.2560000000000002</c:v>
                      </c:pt>
                      <c:pt idx="19" formatCode="General">
                        <c:v>-7.8470000000000004</c:v>
                      </c:pt>
                      <c:pt idx="20" formatCode="General">
                        <c:v>-7.6349999999999998</c:v>
                      </c:pt>
                      <c:pt idx="21" formatCode="General">
                        <c:v>-7.7149999999999999</c:v>
                      </c:pt>
                      <c:pt idx="22" formatCode="General">
                        <c:v>-7.7960000000000003</c:v>
                      </c:pt>
                      <c:pt idx="23" formatCode="General">
                        <c:v>-7.8789999999999996</c:v>
                      </c:pt>
                      <c:pt idx="24" formatCode="General">
                        <c:v>-7.9630000000000001</c:v>
                      </c:pt>
                      <c:pt idx="25" formatCode="General">
                        <c:v>-8.3190000000000008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-4.5529999999999999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-4.3170000000000002</c:v>
                      </c:pt>
                      <c:pt idx="15">
                        <c:v>-4.4809999999999999</c:v>
                      </c:pt>
                      <c:pt idx="16">
                        <c:v>-4.6429999999999998</c:v>
                      </c:pt>
                      <c:pt idx="17">
                        <c:v>-4.6829999999999998</c:v>
                      </c:pt>
                      <c:pt idx="18">
                        <c:v>-4.7220000000000004</c:v>
                      </c:pt>
                      <c:pt idx="19" formatCode="General">
                        <c:v>-4.7619999999999996</c:v>
                      </c:pt>
                      <c:pt idx="20" formatCode="General">
                        <c:v>-4.8010000000000002</c:v>
                      </c:pt>
                      <c:pt idx="21" formatCode="General">
                        <c:v>-4.84</c:v>
                      </c:pt>
                      <c:pt idx="22" formatCode="General">
                        <c:v>-4.8780000000000001</c:v>
                      </c:pt>
                      <c:pt idx="23" formatCode="General">
                        <c:v>-4.9169999999999998</c:v>
                      </c:pt>
                      <c:pt idx="24" formatCode="General">
                        <c:v>-4.9550000000000001</c:v>
                      </c:pt>
                      <c:pt idx="25" formatCode="General">
                        <c:v>-5.1040000000000001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-22.51</c:v>
                      </c:pt>
                      <c:pt idx="14">
                        <c:v>-23.48</c:v>
                      </c:pt>
                      <c:pt idx="15">
                        <c:v>-24.41</c:v>
                      </c:pt>
                      <c:pt idx="16">
                        <c:v>-25.31</c:v>
                      </c:pt>
                      <c:pt idx="17">
                        <c:v>-25.53</c:v>
                      </c:pt>
                      <c:pt idx="18">
                        <c:v>-25.75</c:v>
                      </c:pt>
                      <c:pt idx="19">
                        <c:v>-25.96</c:v>
                      </c:pt>
                      <c:pt idx="20">
                        <c:v>-26.18</c:v>
                      </c:pt>
                      <c:pt idx="21">
                        <c:v>-26.39</c:v>
                      </c:pt>
                      <c:pt idx="22">
                        <c:v>-26.6</c:v>
                      </c:pt>
                      <c:pt idx="23">
                        <c:v>-26.81</c:v>
                      </c:pt>
                      <c:pt idx="24">
                        <c:v>-27.02</c:v>
                      </c:pt>
                      <c:pt idx="25">
                        <c:v>-27.83</c:v>
                      </c:pt>
                      <c:pt idx="26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-30.36236847428572</c:v>
                </c:pt>
                <c:pt idx="1">
                  <c:v>-32.190697329642859</c:v>
                </c:pt>
                <c:pt idx="2">
                  <c:v>-34.024133663571433</c:v>
                </c:pt>
                <c:pt idx="3">
                  <c:v>-35.857569997500008</c:v>
                </c:pt>
                <c:pt idx="4">
                  <c:v>-37.731296022857144</c:v>
                </c:pt>
                <c:pt idx="5">
                  <c:v>-39.587816972142853</c:v>
                </c:pt>
                <c:pt idx="6">
                  <c:v>-41.479543890000016</c:v>
                </c:pt>
                <c:pt idx="7">
                  <c:v>-43.387151502857144</c:v>
                </c:pt>
                <c:pt idx="8">
                  <c:v>-45.276568177500003</c:v>
                </c:pt>
                <c:pt idx="9">
                  <c:v>-52.996634877857147</c:v>
                </c:pt>
                <c:pt idx="10">
                  <c:v>-54.967533652499995</c:v>
                </c:pt>
                <c:pt idx="11">
                  <c:v>-56.916315857142855</c:v>
                </c:pt>
                <c:pt idx="12">
                  <c:v>-58.870977601071424</c:v>
                </c:pt>
                <c:pt idx="13">
                  <c:v>-60.874760223214295</c:v>
                </c:pt>
                <c:pt idx="14">
                  <c:v>-68.815553142857141</c:v>
                </c:pt>
                <c:pt idx="15">
                  <c:v>-76.909505091448111</c:v>
                </c:pt>
                <c:pt idx="16">
                  <c:v>-85.11337479277465</c:v>
                </c:pt>
                <c:pt idx="17">
                  <c:v>-87.156283033859381</c:v>
                </c:pt>
                <c:pt idx="18">
                  <c:v>-88.976810973366909</c:v>
                </c:pt>
                <c:pt idx="19">
                  <c:v>-90.933350221594679</c:v>
                </c:pt>
                <c:pt idx="20">
                  <c:v>-99.946351096073656</c:v>
                </c:pt>
                <c:pt idx="21">
                  <c:v>-102.46330173608551</c:v>
                </c:pt>
                <c:pt idx="22">
                  <c:v>-104.79656697678547</c:v>
                </c:pt>
                <c:pt idx="23">
                  <c:v>-107.10998301267776</c:v>
                </c:pt>
                <c:pt idx="24">
                  <c:v>-109.42821049777254</c:v>
                </c:pt>
                <c:pt idx="25">
                  <c:v>-118.8242229034929</c:v>
                </c:pt>
                <c:pt idx="26">
                  <c:v>-128.42933035714285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-135.3639375264643</c:v>
                </c:pt>
                <c:pt idx="1">
                  <c:v>-138.35978075121432</c:v>
                </c:pt>
                <c:pt idx="2">
                  <c:v>-141.33926994835716</c:v>
                </c:pt>
                <c:pt idx="3">
                  <c:v>-144.35211276225002</c:v>
                </c:pt>
                <c:pt idx="4">
                  <c:v>-147.4925023817143</c:v>
                </c:pt>
                <c:pt idx="5">
                  <c:v>-73.900780932689401</c:v>
                </c:pt>
                <c:pt idx="6">
                  <c:v>-76.067204189563867</c:v>
                </c:pt>
                <c:pt idx="7">
                  <c:v>-78.244652258269667</c:v>
                </c:pt>
                <c:pt idx="8">
                  <c:v>-80.405023041086068</c:v>
                </c:pt>
                <c:pt idx="9">
                  <c:v>-89.285191734000009</c:v>
                </c:pt>
                <c:pt idx="10">
                  <c:v>-91.555569890249998</c:v>
                </c:pt>
                <c:pt idx="11">
                  <c:v>-93.810070914857135</c:v>
                </c:pt>
                <c:pt idx="12">
                  <c:v>-96.083746364249976</c:v>
                </c:pt>
                <c:pt idx="13">
                  <c:v>-98.405151200892874</c:v>
                </c:pt>
                <c:pt idx="14">
                  <c:v>-107.65333094785714</c:v>
                </c:pt>
                <c:pt idx="15">
                  <c:v>-117.12593864830525</c:v>
                </c:pt>
                <c:pt idx="16">
                  <c:v>-126.77086644322463</c:v>
                </c:pt>
                <c:pt idx="17">
                  <c:v>-129.18160424461655</c:v>
                </c:pt>
                <c:pt idx="18">
                  <c:v>-105.57777260432957</c:v>
                </c:pt>
                <c:pt idx="19">
                  <c:v>-97.148624624989054</c:v>
                </c:pt>
                <c:pt idx="20">
                  <c:v>-101.64122653563481</c:v>
                </c:pt>
                <c:pt idx="21">
                  <c:v>-102.73912243030207</c:v>
                </c:pt>
                <c:pt idx="22">
                  <c:v>-104.84391024845689</c:v>
                </c:pt>
                <c:pt idx="23">
                  <c:v>-107.11850629408072</c:v>
                </c:pt>
                <c:pt idx="24">
                  <c:v>-109.42981413082447</c:v>
                </c:pt>
                <c:pt idx="25">
                  <c:v>-118.82422584210876</c:v>
                </c:pt>
                <c:pt idx="26">
                  <c:v>-128.42933036578901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-461.93936657142854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-150.19965250692857</c:v>
                </c:pt>
                <c:pt idx="1">
                  <c:v>-152.00684709107145</c:v>
                </c:pt>
                <c:pt idx="2">
                  <c:v>-153.7905389592857</c:v>
                </c:pt>
                <c:pt idx="3">
                  <c:v>-155.62300368449999</c:v>
                </c:pt>
                <c:pt idx="4">
                  <c:v>-157.59312802285712</c:v>
                </c:pt>
                <c:pt idx="5">
                  <c:v>-160.64119284042857</c:v>
                </c:pt>
                <c:pt idx="6">
                  <c:v>-164.11837019078575</c:v>
                </c:pt>
                <c:pt idx="7">
                  <c:v>-167.68822333371429</c:v>
                </c:pt>
                <c:pt idx="8">
                  <c:v>-171.25422626925001</c:v>
                </c:pt>
                <c:pt idx="9">
                  <c:v>-186.48208395214283</c:v>
                </c:pt>
                <c:pt idx="10">
                  <c:v>-190.46062066380003</c:v>
                </c:pt>
                <c:pt idx="11">
                  <c:v>-194.51061076311427</c:v>
                </c:pt>
                <c:pt idx="12">
                  <c:v>-199.7127535991786</c:v>
                </c:pt>
                <c:pt idx="13">
                  <c:v>-206.99652997767859</c:v>
                </c:pt>
                <c:pt idx="14">
                  <c:v>-237.22656605775003</c:v>
                </c:pt>
                <c:pt idx="15">
                  <c:v>-269.01386012005719</c:v>
                </c:pt>
                <c:pt idx="16">
                  <c:v>-302.28967536164998</c:v>
                </c:pt>
                <c:pt idx="17">
                  <c:v>-310.81690623895719</c:v>
                </c:pt>
                <c:pt idx="18">
                  <c:v>-319.8508532723572</c:v>
                </c:pt>
                <c:pt idx="19">
                  <c:v>-328.94635587505724</c:v>
                </c:pt>
                <c:pt idx="20">
                  <c:v>-338.47298929602852</c:v>
                </c:pt>
                <c:pt idx="21">
                  <c:v>-348.23077828875</c:v>
                </c:pt>
                <c:pt idx="22">
                  <c:v>-358.09523067617147</c:v>
                </c:pt>
                <c:pt idx="23">
                  <c:v>-368.08116111561429</c:v>
                </c:pt>
                <c:pt idx="24">
                  <c:v>-378.1736373589714</c:v>
                </c:pt>
                <c:pt idx="25">
                  <c:v>-419.31298861155</c:v>
                </c:pt>
                <c:pt idx="26">
                  <c:v>-461.93936657142854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-105.00156905217857</c:v>
                      </c:pt>
                      <c:pt idx="1">
                        <c:v>-106.16908342157144</c:v>
                      </c:pt>
                      <c:pt idx="2">
                        <c:v>-107.31513628478572</c:v>
                      </c:pt>
                      <c:pt idx="3">
                        <c:v>-108.49454276475001</c:v>
                      </c:pt>
                      <c:pt idx="4">
                        <c:v>-109.76120635885717</c:v>
                      </c:pt>
                      <c:pt idx="5">
                        <c:v>-34.312963960546547</c:v>
                      </c:pt>
                      <c:pt idx="6">
                        <c:v>-34.587660299563851</c:v>
                      </c:pt>
                      <c:pt idx="7">
                        <c:v>-34.857500755412516</c:v>
                      </c:pt>
                      <c:pt idx="8">
                        <c:v>-35.128454863586065</c:v>
                      </c:pt>
                      <c:pt idx="9">
                        <c:v>-36.288556856142861</c:v>
                      </c:pt>
                      <c:pt idx="10">
                        <c:v>-36.588036237750003</c:v>
                      </c:pt>
                      <c:pt idx="11">
                        <c:v>-36.893755057714287</c:v>
                      </c:pt>
                      <c:pt idx="12">
                        <c:v>-37.212768763178559</c:v>
                      </c:pt>
                      <c:pt idx="13">
                        <c:v>-37.530390977678572</c:v>
                      </c:pt>
                      <c:pt idx="14">
                        <c:v>-38.837777804999995</c:v>
                      </c:pt>
                      <c:pt idx="15">
                        <c:v>-40.21643355685714</c:v>
                      </c:pt>
                      <c:pt idx="16">
                        <c:v>-41.657491650449991</c:v>
                      </c:pt>
                      <c:pt idx="17">
                        <c:v>-42.025321210757156</c:v>
                      </c:pt>
                      <c:pt idx="18">
                        <c:v>-16.600961630962662</c:v>
                      </c:pt>
                      <c:pt idx="19">
                        <c:v>-6.2152744033943677</c:v>
                      </c:pt>
                      <c:pt idx="20">
                        <c:v>-1.6948754395611645</c:v>
                      </c:pt>
                      <c:pt idx="21">
                        <c:v>-0.27582069421656752</c:v>
                      </c:pt>
                      <c:pt idx="22">
                        <c:v>-4.7343271671417671E-2</c:v>
                      </c:pt>
                      <c:pt idx="23">
                        <c:v>-8.5232814029598137E-3</c:v>
                      </c:pt>
                      <c:pt idx="24">
                        <c:v>-1.6036330519329123E-3</c:v>
                      </c:pt>
                      <c:pt idx="25">
                        <c:v>-2.9386158674673239E-6</c:v>
                      </c:pt>
                      <c:pt idx="26">
                        <c:v>-8.6461566153857137E-9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-105.00156905217857</c:v>
                      </c:pt>
                      <c:pt idx="1">
                        <c:v>-106.16908342157144</c:v>
                      </c:pt>
                      <c:pt idx="2">
                        <c:v>-107.31513628478572</c:v>
                      </c:pt>
                      <c:pt idx="3">
                        <c:v>-108.49454276475001</c:v>
                      </c:pt>
                      <c:pt idx="4">
                        <c:v>-109.76120635885717</c:v>
                      </c:pt>
                      <c:pt idx="5">
                        <c:v>-34.312963960546547</c:v>
                      </c:pt>
                      <c:pt idx="6">
                        <c:v>-34.587660299563851</c:v>
                      </c:pt>
                      <c:pt idx="7">
                        <c:v>-34.857500755412516</c:v>
                      </c:pt>
                      <c:pt idx="8">
                        <c:v>-35.128454863586065</c:v>
                      </c:pt>
                      <c:pt idx="9">
                        <c:v>-36.288556856142861</c:v>
                      </c:pt>
                      <c:pt idx="10">
                        <c:v>-36.588036237750003</c:v>
                      </c:pt>
                      <c:pt idx="11">
                        <c:v>-36.893755057714287</c:v>
                      </c:pt>
                      <c:pt idx="12">
                        <c:v>-37.212768763178559</c:v>
                      </c:pt>
                      <c:pt idx="13">
                        <c:v>-37.530390977678572</c:v>
                      </c:pt>
                      <c:pt idx="14">
                        <c:v>-38.837777804999995</c:v>
                      </c:pt>
                      <c:pt idx="15">
                        <c:v>-40.216433556880148</c:v>
                      </c:pt>
                      <c:pt idx="16">
                        <c:v>-41.657491942459465</c:v>
                      </c:pt>
                      <c:pt idx="17">
                        <c:v>-42.025323663517234</c:v>
                      </c:pt>
                      <c:pt idx="18">
                        <c:v>-16.600969151734859</c:v>
                      </c:pt>
                      <c:pt idx="19">
                        <c:v>-6.2152946881781839</c:v>
                      </c:pt>
                      <c:pt idx="20">
                        <c:v>-1.6949127183392816</c:v>
                      </c:pt>
                      <c:pt idx="21">
                        <c:v>-0.27585921389422974</c:v>
                      </c:pt>
                      <c:pt idx="22">
                        <c:v>-4.738266763172478E-2</c:v>
                      </c:pt>
                      <c:pt idx="23">
                        <c:v>-8.5630812452307699E-3</c:v>
                      </c:pt>
                      <c:pt idx="24">
                        <c:v>-1.6433416916759736E-3</c:v>
                      </c:pt>
                      <c:pt idx="25">
                        <c:v>-3.7604507403848038E-5</c:v>
                      </c:pt>
                      <c:pt idx="26">
                        <c:v>-2.433499467350824E-5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4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6.6855000000000004E-18</c:v>
                </c:pt>
                <c:pt idx="15">
                  <c:v>1.762E-13</c:v>
                </c:pt>
                <c:pt idx="16">
                  <c:v>5.8739999999999998E-14</c:v>
                </c:pt>
                <c:pt idx="17">
                  <c:v>4.9521000000000001E-21</c:v>
                </c:pt>
                <c:pt idx="18">
                  <c:v>3.5675999999999999E-28</c:v>
                </c:pt>
                <c:pt idx="19" formatCode="General">
                  <c:v>0</c:v>
                </c:pt>
                <c:pt idx="20" formatCode="General">
                  <c:v>5.1645000000000003E-20</c:v>
                </c:pt>
                <c:pt idx="21" formatCode="General">
                  <c:v>2.3851000000000001E-13</c:v>
                </c:pt>
                <c:pt idx="22" formatCode="General">
                  <c:v>1.8062000000000001E-17</c:v>
                </c:pt>
                <c:pt idx="23" formatCode="General">
                  <c:v>8.5727999999999997E-20</c:v>
                </c:pt>
                <c:pt idx="24" formatCode="General">
                  <c:v>6.7719000000000002E-20</c:v>
                </c:pt>
                <c:pt idx="25" formatCode="General">
                  <c:v>2.1051999999999999E-14</c:v>
                </c:pt>
                <c:pt idx="26" formatCode="General">
                  <c:v>4.6006999999999996E-9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1.6387999999999999E-33</c:v>
                </c:pt>
                <c:pt idx="8">
                  <c:v>5.0901000000000002E-26</c:v>
                </c:pt>
                <c:pt idx="9">
                  <c:v>1.5335000000000001E-11</c:v>
                </c:pt>
                <c:pt idx="10">
                  <c:v>4.4230000000000001E-10</c:v>
                </c:pt>
                <c:pt idx="11">
                  <c:v>1.8701E-8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0.13650999999999999</c:v>
                </c:pt>
                <c:pt idx="21" formatCode="General">
                  <c:v>0.13588</c:v>
                </c:pt>
                <c:pt idx="22" formatCode="General">
                  <c:v>0.13528000000000001</c:v>
                </c:pt>
                <c:pt idx="23" formatCode="General">
                  <c:v>0.13461999999999999</c:v>
                </c:pt>
                <c:pt idx="24" formatCode="General">
                  <c:v>0.13389000000000001</c:v>
                </c:pt>
                <c:pt idx="25" formatCode="General">
                  <c:v>0.12989000000000001</c:v>
                </c:pt>
                <c:pt idx="26" formatCode="General">
                  <c:v>0.12297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2.0335E-7</c:v>
                </c:pt>
                <c:pt idx="13">
                  <c:v>1.9375E-9</c:v>
                </c:pt>
                <c:pt idx="14">
                  <c:v>2.8928000000000001E-13</c:v>
                </c:pt>
                <c:pt idx="15">
                  <c:v>5.8773E-21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3.8944000000000003E-36</c:v>
                </c:pt>
                <c:pt idx="16">
                  <c:v>1.0914999999999999E-20</c:v>
                </c:pt>
                <c:pt idx="17">
                  <c:v>2.7170000000000003E-20</c:v>
                </c:pt>
                <c:pt idx="18">
                  <c:v>2.7481999999999999E-17</c:v>
                </c:pt>
                <c:pt idx="19" formatCode="General">
                  <c:v>2.1655999999999999E-17</c:v>
                </c:pt>
                <c:pt idx="20" formatCode="General">
                  <c:v>4.1360000000000001E-8</c:v>
                </c:pt>
                <c:pt idx="21" formatCode="General">
                  <c:v>3.4271999999999999E-7</c:v>
                </c:pt>
                <c:pt idx="22" formatCode="General">
                  <c:v>2.5522999999999999E-7</c:v>
                </c:pt>
                <c:pt idx="23" formatCode="General">
                  <c:v>1.8946E-7</c:v>
                </c:pt>
                <c:pt idx="24" formatCode="General">
                  <c:v>1.6390000000000001E-7</c:v>
                </c:pt>
                <c:pt idx="25" formatCode="General">
                  <c:v>5.6700999999999999E-8</c:v>
                </c:pt>
                <c:pt idx="26" formatCode="General">
                  <c:v>1.6385000000000001E-8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1.6387999999999999E-33</c:v>
                </c:pt>
                <c:pt idx="8">
                  <c:v>5.0901000000000002E-26</c:v>
                </c:pt>
                <c:pt idx="9">
                  <c:v>1.5335000000000001E-11</c:v>
                </c:pt>
                <c:pt idx="10">
                  <c:v>4.4230000000000001E-10</c:v>
                </c:pt>
                <c:pt idx="11">
                  <c:v>1.8701E-8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0.13650999999999999</c:v>
                </c:pt>
                <c:pt idx="21" formatCode="General">
                  <c:v>0.13588</c:v>
                </c:pt>
                <c:pt idx="22" formatCode="General">
                  <c:v>0.13528000000000001</c:v>
                </c:pt>
                <c:pt idx="23" formatCode="General">
                  <c:v>0.13461999999999999</c:v>
                </c:pt>
                <c:pt idx="24" formatCode="General">
                  <c:v>0.13389000000000001</c:v>
                </c:pt>
                <c:pt idx="25" formatCode="General">
                  <c:v>0.12989000000000001</c:v>
                </c:pt>
                <c:pt idx="26" formatCode="General">
                  <c:v>0.12297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1.5275E-21</c:v>
                </c:pt>
                <c:pt idx="1">
                  <c:v>1.3022000000000001E-17</c:v>
                </c:pt>
                <c:pt idx="2">
                  <c:v>4.1226999999999998E-12</c:v>
                </c:pt>
                <c:pt idx="3">
                  <c:v>1.4575E-9</c:v>
                </c:pt>
                <c:pt idx="4">
                  <c:v>3.051E-7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0.42</c:v>
                </c:pt>
                <c:pt idx="13">
                  <c:v>0.42</c:v>
                </c:pt>
                <c:pt idx="14">
                  <c:v>0.42</c:v>
                </c:pt>
                <c:pt idx="15">
                  <c:v>0.42</c:v>
                </c:pt>
                <c:pt idx="16">
                  <c:v>0.42</c:v>
                </c:pt>
                <c:pt idx="17">
                  <c:v>0.42</c:v>
                </c:pt>
                <c:pt idx="18">
                  <c:v>0.44449</c:v>
                </c:pt>
                <c:pt idx="19" formatCode="General">
                  <c:v>0.45429999999999998</c:v>
                </c:pt>
                <c:pt idx="20" formatCode="General">
                  <c:v>0.47771999999999998</c:v>
                </c:pt>
                <c:pt idx="21" formatCode="General">
                  <c:v>0.47964000000000001</c:v>
                </c:pt>
                <c:pt idx="22" formatCode="General">
                  <c:v>0.47993999999999998</c:v>
                </c:pt>
                <c:pt idx="23" formatCode="General">
                  <c:v>0.47999000000000003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3.2209999999999999E-9</c:v>
                </c:pt>
                <c:pt idx="6">
                  <c:v>1.9975999999999999E-10</c:v>
                </c:pt>
                <c:pt idx="7">
                  <c:v>9.6340999999999999E-12</c:v>
                </c:pt>
                <c:pt idx="8">
                  <c:v>1.4116999999999999E-13</c:v>
                </c:pt>
                <c:pt idx="9">
                  <c:v>2.8361000000000002E-26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(1)Ga[1]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3.6238000000000002E-20</c:v>
                </c:pt>
                <c:pt idx="15">
                  <c:v>7.0432999999999999E-14</c:v>
                </c:pt>
                <c:pt idx="16">
                  <c:v>2.9604999999999998E-10</c:v>
                </c:pt>
                <c:pt idx="17">
                  <c:v>1.039E-10</c:v>
                </c:pt>
                <c:pt idx="18">
                  <c:v>1.5157999999999999E-8</c:v>
                </c:pt>
                <c:pt idx="19" formatCode="General">
                  <c:v>2.1476E-7</c:v>
                </c:pt>
                <c:pt idx="20" formatCode="General">
                  <c:v>3.8482000000000002E-2</c:v>
                </c:pt>
                <c:pt idx="21" formatCode="General">
                  <c:v>3.9759999999999997E-2</c:v>
                </c:pt>
                <c:pt idx="22" formatCode="General">
                  <c:v>3.9960000000000002E-2</c:v>
                </c:pt>
                <c:pt idx="23" formatCode="General">
                  <c:v>3.9993000000000001E-2</c:v>
                </c:pt>
                <c:pt idx="24" formatCode="General">
                  <c:v>3.9997999999999999E-2</c:v>
                </c:pt>
                <c:pt idx="25" formatCode="General">
                  <c:v>0.04</c:v>
                </c:pt>
                <c:pt idx="26" formatCode="General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(1)Ge[1]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7.4125999999999999E-36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2.0193000000000001E-16</c:v>
                </c:pt>
                <c:pt idx="15">
                  <c:v>4.0033000000000001E-12</c:v>
                </c:pt>
                <c:pt idx="16">
                  <c:v>3.3269000000000002E-10</c:v>
                </c:pt>
                <c:pt idx="17">
                  <c:v>4.7667000000000002E-11</c:v>
                </c:pt>
                <c:pt idx="18">
                  <c:v>4.5630999999999997E-9</c:v>
                </c:pt>
                <c:pt idx="19" formatCode="General">
                  <c:v>4.5578E-8</c:v>
                </c:pt>
                <c:pt idx="20" formatCode="General">
                  <c:v>6.9871999999999998E-3</c:v>
                </c:pt>
                <c:pt idx="21" formatCode="General">
                  <c:v>8.2457999999999993E-3</c:v>
                </c:pt>
                <c:pt idx="22" formatCode="General">
                  <c:v>9.4445999999999992E-3</c:v>
                </c:pt>
                <c:pt idx="23" formatCode="General">
                  <c:v>1.0753E-2</c:v>
                </c:pt>
                <c:pt idx="24" formatCode="General">
                  <c:v>1.2215999999999999E-2</c:v>
                </c:pt>
                <c:pt idx="25" formatCode="General">
                  <c:v>2.0229E-2</c:v>
                </c:pt>
                <c:pt idx="26" formatCode="General">
                  <c:v>3.4062000000000002E-2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3.1006E-29</c:v>
                      </c:pt>
                      <c:pt idx="16">
                        <c:v>4.1882000000000003E-12</c:v>
                      </c:pt>
                      <c:pt idx="17">
                        <c:v>4.2325999999999999E-7</c:v>
                      </c:pt>
                      <c:pt idx="18">
                        <c:v>1.2243E-2</c:v>
                      </c:pt>
                      <c:pt idx="19" formatCode="General">
                        <c:v>1.7151E-2</c:v>
                      </c:pt>
                      <c:pt idx="20" formatCode="General">
                        <c:v>2.6225000000000002E-8</c:v>
                      </c:pt>
                      <c:pt idx="21" formatCode="General">
                        <c:v>6.3299000000000001E-13</c:v>
                      </c:pt>
                      <c:pt idx="22" formatCode="General">
                        <c:v>5.1691999999999997E-25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>
                        <c:v>0.02</c:v>
                      </c:pt>
                      <c:pt idx="5">
                        <c:v>0.02</c:v>
                      </c:pt>
                      <c:pt idx="6">
                        <c:v>0.02</c:v>
                      </c:pt>
                      <c:pt idx="7">
                        <c:v>0.02</c:v>
                      </c:pt>
                      <c:pt idx="8">
                        <c:v>0.02</c:v>
                      </c:pt>
                      <c:pt idx="9">
                        <c:v>0.02</c:v>
                      </c:pt>
                      <c:pt idx="10">
                        <c:v>0.02</c:v>
                      </c:pt>
                      <c:pt idx="11">
                        <c:v>0.02</c:v>
                      </c:pt>
                      <c:pt idx="12">
                        <c:v>0.02</c:v>
                      </c:pt>
                      <c:pt idx="13">
                        <c:v>0.02</c:v>
                      </c:pt>
                      <c:pt idx="14">
                        <c:v>0.02</c:v>
                      </c:pt>
                      <c:pt idx="15">
                        <c:v>0.02</c:v>
                      </c:pt>
                      <c:pt idx="16">
                        <c:v>0.02</c:v>
                      </c:pt>
                      <c:pt idx="17">
                        <c:v>0.02</c:v>
                      </c:pt>
                      <c:pt idx="18">
                        <c:v>7.7565999999999998E-3</c:v>
                      </c:pt>
                      <c:pt idx="19" formatCode="General">
                        <c:v>2.8487E-3</c:v>
                      </c:pt>
                      <c:pt idx="20" formatCode="General">
                        <c:v>7.5883000000000005E-4</c:v>
                      </c:pt>
                      <c:pt idx="21" formatCode="General">
                        <c:v>1.1998999999999999E-4</c:v>
                      </c:pt>
                      <c:pt idx="22" formatCode="General">
                        <c:v>2.0021E-5</c:v>
                      </c:pt>
                      <c:pt idx="23" formatCode="General">
                        <c:v>3.5053000000000001E-6</c:v>
                      </c:pt>
                      <c:pt idx="24" formatCode="General">
                        <c:v>6.4165000000000003E-7</c:v>
                      </c:pt>
                      <c:pt idx="25" formatCode="General">
                        <c:v>1.0583E-9</c:v>
                      </c:pt>
                      <c:pt idx="26" formatCode="General">
                        <c:v>2.8184000000000002E-12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C9-4F8E-93A1-524E66C52F6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6.6809999999999997E-33</c:v>
                      </c:pt>
                      <c:pt idx="10">
                        <c:v>7.8149999999999998E-31</c:v>
                      </c:pt>
                      <c:pt idx="11">
                        <c:v>6.8396999999999999E-29</c:v>
                      </c:pt>
                      <c:pt idx="12">
                        <c:v>4.6017E-27</c:v>
                      </c:pt>
                      <c:pt idx="13">
                        <c:v>2.4372999999999999E-25</c:v>
                      </c:pt>
                      <c:pt idx="14">
                        <c:v>2.5777E-19</c:v>
                      </c:pt>
                      <c:pt idx="15">
                        <c:v>2.2115999999999999E-14</c:v>
                      </c:pt>
                      <c:pt idx="16">
                        <c:v>2.9888000000000001E-10</c:v>
                      </c:pt>
                      <c:pt idx="17">
                        <c:v>2.5529000000000001E-9</c:v>
                      </c:pt>
                      <c:pt idx="18">
                        <c:v>7.7960999999999996E-9</c:v>
                      </c:pt>
                      <c:pt idx="19" formatCode="General">
                        <c:v>2.0885999999999999E-8</c:v>
                      </c:pt>
                      <c:pt idx="20" formatCode="General">
                        <c:v>3.7773999999999998E-8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3.7667000000000002E-8</c:v>
                      </c:pt>
                      <c:pt idx="23" formatCode="General">
                        <c:v>3.6985999999999998E-8</c:v>
                      </c:pt>
                      <c:pt idx="24" formatCode="General">
                        <c:v>3.5881000000000002E-8</c:v>
                      </c:pt>
                      <c:pt idx="25" formatCode="General">
                        <c:v>2.8110999999999999E-8</c:v>
                      </c:pt>
                      <c:pt idx="26" formatCode="General">
                        <c:v>1.7782E-8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C9-4F8E-93A1-524E66C52F6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C9-4F8E-93A1-524E66C52F6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-18.72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>
                        <c:v>-18.73</c:v>
                      </c:pt>
                      <c:pt idx="5">
                        <c:v>-18.739999999999998</c:v>
                      </c:pt>
                      <c:pt idx="6">
                        <c:v>-18.760000000000002</c:v>
                      </c:pt>
                      <c:pt idx="7">
                        <c:v>-18.79</c:v>
                      </c:pt>
                      <c:pt idx="8">
                        <c:v>-18.809999999999999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</c:v>
                      </c:pt>
                      <c:pt idx="12">
                        <c:v>-19.03</c:v>
                      </c:pt>
                      <c:pt idx="13">
                        <c:v>-19.07</c:v>
                      </c:pt>
                      <c:pt idx="14">
                        <c:v>-19.2</c:v>
                      </c:pt>
                      <c:pt idx="15">
                        <c:v>-19.34</c:v>
                      </c:pt>
                      <c:pt idx="16">
                        <c:v>-19.48</c:v>
                      </c:pt>
                      <c:pt idx="17">
                        <c:v>-19.510000000000002</c:v>
                      </c:pt>
                      <c:pt idx="18">
                        <c:v>-19.489999999999998</c:v>
                      </c:pt>
                      <c:pt idx="19" formatCode="General">
                        <c:v>-19.5</c:v>
                      </c:pt>
                      <c:pt idx="20" formatCode="General">
                        <c:v>-19.52</c:v>
                      </c:pt>
                      <c:pt idx="21" formatCode="General">
                        <c:v>-19.55</c:v>
                      </c:pt>
                      <c:pt idx="22" formatCode="General">
                        <c:v>-19.579999999999998</c:v>
                      </c:pt>
                      <c:pt idx="23" formatCode="General">
                        <c:v>-19.61</c:v>
                      </c:pt>
                      <c:pt idx="24" formatCode="General">
                        <c:v>-19.64</c:v>
                      </c:pt>
                      <c:pt idx="25" formatCode="General">
                        <c:v>-19.760000000000002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7C9-4F8E-93A1-524E66C52F6C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-66.760000000000005</c:v>
                      </c:pt>
                      <c:pt idx="1">
                        <c:v>-63.28</c:v>
                      </c:pt>
                      <c:pt idx="2">
                        <c:v>-60.18</c:v>
                      </c:pt>
                      <c:pt idx="3">
                        <c:v>-57.4</c:v>
                      </c:pt>
                      <c:pt idx="4">
                        <c:v>-54.91</c:v>
                      </c:pt>
                      <c:pt idx="5">
                        <c:v>-51.53</c:v>
                      </c:pt>
                      <c:pt idx="6">
                        <c:v>-48.17</c:v>
                      </c:pt>
                      <c:pt idx="7">
                        <c:v>-45.06</c:v>
                      </c:pt>
                      <c:pt idx="8">
                        <c:v>-42.19</c:v>
                      </c:pt>
                      <c:pt idx="9">
                        <c:v>-32.53</c:v>
                      </c:pt>
                      <c:pt idx="10">
                        <c:v>-30.48</c:v>
                      </c:pt>
                      <c:pt idx="11">
                        <c:v>-28.55</c:v>
                      </c:pt>
                      <c:pt idx="12">
                        <c:v>-26.74</c:v>
                      </c:pt>
                      <c:pt idx="13">
                        <c:v>-25.02</c:v>
                      </c:pt>
                      <c:pt idx="14">
                        <c:v>-18.96</c:v>
                      </c:pt>
                      <c:pt idx="15">
                        <c:v>-13.95</c:v>
                      </c:pt>
                      <c:pt idx="16">
                        <c:v>-9.7059999999999995</c:v>
                      </c:pt>
                      <c:pt idx="17">
                        <c:v>-8.7420000000000009</c:v>
                      </c:pt>
                      <c:pt idx="18">
                        <c:v>-8.2560000000000002</c:v>
                      </c:pt>
                      <c:pt idx="19" formatCode="General">
                        <c:v>-7.8470000000000004</c:v>
                      </c:pt>
                      <c:pt idx="20" formatCode="General">
                        <c:v>-7.6349999999999998</c:v>
                      </c:pt>
                      <c:pt idx="21" formatCode="General">
                        <c:v>-7.7149999999999999</c:v>
                      </c:pt>
                      <c:pt idx="22" formatCode="General">
                        <c:v>-7.7960000000000003</c:v>
                      </c:pt>
                      <c:pt idx="23" formatCode="General">
                        <c:v>-7.8789999999999996</c:v>
                      </c:pt>
                      <c:pt idx="24" formatCode="General">
                        <c:v>-7.9630000000000001</c:v>
                      </c:pt>
                      <c:pt idx="25" formatCode="General">
                        <c:v>-8.3190000000000008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-4.5529999999999999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-4.3170000000000002</c:v>
                      </c:pt>
                      <c:pt idx="15">
                        <c:v>-4.4809999999999999</c:v>
                      </c:pt>
                      <c:pt idx="16">
                        <c:v>-4.6429999999999998</c:v>
                      </c:pt>
                      <c:pt idx="17">
                        <c:v>-4.6829999999999998</c:v>
                      </c:pt>
                      <c:pt idx="18">
                        <c:v>-4.7220000000000004</c:v>
                      </c:pt>
                      <c:pt idx="19" formatCode="General">
                        <c:v>-4.7619999999999996</c:v>
                      </c:pt>
                      <c:pt idx="20" formatCode="General">
                        <c:v>-4.8010000000000002</c:v>
                      </c:pt>
                      <c:pt idx="21" formatCode="General">
                        <c:v>-4.84</c:v>
                      </c:pt>
                      <c:pt idx="22" formatCode="General">
                        <c:v>-4.8780000000000001</c:v>
                      </c:pt>
                      <c:pt idx="23" formatCode="General">
                        <c:v>-4.9169999999999998</c:v>
                      </c:pt>
                      <c:pt idx="24" formatCode="General">
                        <c:v>-4.9550000000000001</c:v>
                      </c:pt>
                      <c:pt idx="25" formatCode="General">
                        <c:v>-5.1040000000000001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-22.51</c:v>
                      </c:pt>
                      <c:pt idx="14">
                        <c:v>-23.48</c:v>
                      </c:pt>
                      <c:pt idx="15">
                        <c:v>-24.41</c:v>
                      </c:pt>
                      <c:pt idx="16">
                        <c:v>-25.31</c:v>
                      </c:pt>
                      <c:pt idx="17">
                        <c:v>-25.53</c:v>
                      </c:pt>
                      <c:pt idx="18">
                        <c:v>-25.75</c:v>
                      </c:pt>
                      <c:pt idx="19">
                        <c:v>-25.96</c:v>
                      </c:pt>
                      <c:pt idx="20">
                        <c:v>-26.18</c:v>
                      </c:pt>
                      <c:pt idx="21">
                        <c:v>-26.39</c:v>
                      </c:pt>
                      <c:pt idx="22">
                        <c:v>-26.6</c:v>
                      </c:pt>
                      <c:pt idx="23">
                        <c:v>-26.81</c:v>
                      </c:pt>
                      <c:pt idx="24">
                        <c:v>-27.02</c:v>
                      </c:pt>
                      <c:pt idx="25">
                        <c:v>-27.83</c:v>
                      </c:pt>
                      <c:pt idx="26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EVALUATION!$B$101:$BT$101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2.5323863636363638E-19</c:v>
                </c:pt>
                <c:pt idx="25" formatCode="General">
                  <c:v>1.2661931818181818E-18</c:v>
                </c:pt>
                <c:pt idx="26" formatCode="General">
                  <c:v>2.2791477272727273E-18</c:v>
                </c:pt>
                <c:pt idx="27" formatCode="General">
                  <c:v>3.2921022727272726E-18</c:v>
                </c:pt>
                <c:pt idx="28" formatCode="General">
                  <c:v>4.3050568181818183E-18</c:v>
                </c:pt>
                <c:pt idx="29" formatCode="General">
                  <c:v>5.3180113636363633E-18</c:v>
                </c:pt>
                <c:pt idx="30" formatCode="General">
                  <c:v>6.330965909090909E-18</c:v>
                </c:pt>
                <c:pt idx="31" formatCode="General">
                  <c:v>1.7332805685325256E-14</c:v>
                </c:pt>
                <c:pt idx="32" formatCode="General">
                  <c:v>4.398837520121027E-14</c:v>
                </c:pt>
                <c:pt idx="33" formatCode="General">
                  <c:v>7.0643944717095287E-14</c:v>
                </c:pt>
                <c:pt idx="34" formatCode="General">
                  <c:v>9.7299514232980298E-14</c:v>
                </c:pt>
                <c:pt idx="35" formatCode="General">
                  <c:v>1.2395508374886532E-13</c:v>
                </c:pt>
                <c:pt idx="36" formatCode="General">
                  <c:v>1.5061065326475033E-13</c:v>
                </c:pt>
                <c:pt idx="37" formatCode="General">
                  <c:v>1.7548919818456886E-13</c:v>
                </c:pt>
                <c:pt idx="38" formatCode="General">
                  <c:v>1.5771915279878976E-13</c:v>
                </c:pt>
                <c:pt idx="39" formatCode="General">
                  <c:v>1.3994910741301065E-13</c:v>
                </c:pt>
                <c:pt idx="40" formatCode="General">
                  <c:v>1.2217906202723152E-13</c:v>
                </c:pt>
                <c:pt idx="41" formatCode="General">
                  <c:v>1.0440901664145241E-13</c:v>
                </c:pt>
                <c:pt idx="42" formatCode="General">
                  <c:v>8.663897125567329E-14</c:v>
                </c:pt>
                <c:pt idx="43" formatCode="General">
                  <c:v>6.8868925869894173E-14</c:v>
                </c:pt>
                <c:pt idx="44" formatCode="General">
                  <c:v>4.3432001290547433E-14</c:v>
                </c:pt>
                <c:pt idx="45" formatCode="General">
                  <c:v>7.8320042918201611E-15</c:v>
                </c:pt>
                <c:pt idx="46" formatCode="General">
                  <c:v>2.6111074413774684E-21</c:v>
                </c:pt>
                <c:pt idx="47" formatCode="General">
                  <c:v>3.2865163636363735E-28</c:v>
                </c:pt>
                <c:pt idx="48" formatCode="General">
                  <c:v>1.1243345454545551E-28</c:v>
                </c:pt>
                <c:pt idx="49" formatCode="General">
                  <c:v>1.4933493975903557E-20</c:v>
                </c:pt>
                <c:pt idx="50" formatCode="General">
                  <c:v>4.6044939759036258E-20</c:v>
                </c:pt>
                <c:pt idx="51" formatCode="General">
                  <c:v>1.185322684032431E-13</c:v>
                </c:pt>
                <c:pt idx="52" formatCode="General">
                  <c:v>2.1393810335757511E-13</c:v>
                </c:pt>
                <c:pt idx="53" formatCode="General">
                  <c:v>6.9397534872726628E-14</c:v>
                </c:pt>
                <c:pt idx="54" formatCode="General">
                  <c:v>1.2396750642424195E-17</c:v>
                </c:pt>
                <c:pt idx="55" formatCode="General">
                  <c:v>1.5020403393938913E-18</c:v>
                </c:pt>
                <c:pt idx="56" formatCode="General">
                  <c:v>7.6232345454545409E-20</c:v>
                </c:pt>
                <c:pt idx="57" formatCode="General">
                  <c:v>7.0073717464600512E-16</c:v>
                </c:pt>
                <c:pt idx="58" formatCode="General">
                  <c:v>3.8855983366732349E-15</c:v>
                </c:pt>
                <c:pt idx="59" formatCode="General">
                  <c:v>7.0704594987004655E-15</c:v>
                </c:pt>
                <c:pt idx="60" formatCode="General">
                  <c:v>1.0255320660727694E-14</c:v>
                </c:pt>
                <c:pt idx="61" formatCode="General">
                  <c:v>1.3440181822754924E-14</c:v>
                </c:pt>
                <c:pt idx="62" formatCode="General">
                  <c:v>1.6625042984782154E-14</c:v>
                </c:pt>
                <c:pt idx="63" formatCode="General">
                  <c:v>1.9809904146809385E-14</c:v>
                </c:pt>
                <c:pt idx="64" formatCode="General">
                  <c:v>4.2459202904689998E-10</c:v>
                </c:pt>
                <c:pt idx="65" formatCode="General">
                  <c:v>1.1206100242057498E-9</c:v>
                </c:pt>
                <c:pt idx="66" formatCode="General">
                  <c:v>1.8166280193645998E-9</c:v>
                </c:pt>
                <c:pt idx="67" formatCode="General">
                  <c:v>2.5126460145234498E-9</c:v>
                </c:pt>
                <c:pt idx="68" formatCode="General">
                  <c:v>3.2086640096822996E-9</c:v>
                </c:pt>
                <c:pt idx="69" formatCode="General">
                  <c:v>3.9046820048411494E-9</c:v>
                </c:pt>
                <c:pt idx="70" formatCode="General">
                  <c:v>4.6006999999999996E-9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7"/>
          <c:order val="39"/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EVALUATION!$B$140:$BT$140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 formatCode="General">
                  <c:v>0.2</c:v>
                </c:pt>
                <c:pt idx="5" formatCode="General">
                  <c:v>0.2</c:v>
                </c:pt>
                <c:pt idx="6" formatCode="General">
                  <c:v>0.2</c:v>
                </c:pt>
                <c:pt idx="7" formatCode="General">
                  <c:v>0.2</c:v>
                </c:pt>
                <c:pt idx="8" formatCode="General">
                  <c:v>0.2</c:v>
                </c:pt>
                <c:pt idx="9" formatCode="General">
                  <c:v>0.2</c:v>
                </c:pt>
                <c:pt idx="10" formatCode="General">
                  <c:v>0.2</c:v>
                </c:pt>
                <c:pt idx="11" formatCode="General">
                  <c:v>0.2</c:v>
                </c:pt>
                <c:pt idx="12" formatCode="General">
                  <c:v>0.2</c:v>
                </c:pt>
                <c:pt idx="13" formatCode="General">
                  <c:v>0.2</c:v>
                </c:pt>
                <c:pt idx="14" formatCode="General">
                  <c:v>0.2</c:v>
                </c:pt>
                <c:pt idx="15" formatCode="General">
                  <c:v>0.2</c:v>
                </c:pt>
                <c:pt idx="16" formatCode="General">
                  <c:v>0.2</c:v>
                </c:pt>
                <c:pt idx="17" formatCode="General">
                  <c:v>0.2</c:v>
                </c:pt>
                <c:pt idx="18" formatCode="General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  <c:pt idx="30" formatCode="General">
                  <c:v>0.2</c:v>
                </c:pt>
                <c:pt idx="31" formatCode="General">
                  <c:v>0.2</c:v>
                </c:pt>
                <c:pt idx="32" formatCode="General">
                  <c:v>0.2</c:v>
                </c:pt>
                <c:pt idx="33" formatCode="General">
                  <c:v>0.2</c:v>
                </c:pt>
                <c:pt idx="34" formatCode="General">
                  <c:v>0.2</c:v>
                </c:pt>
                <c:pt idx="35" formatCode="General">
                  <c:v>0.2</c:v>
                </c:pt>
                <c:pt idx="36" formatCode="General">
                  <c:v>0.2</c:v>
                </c:pt>
                <c:pt idx="37" formatCode="General">
                  <c:v>0.2</c:v>
                </c:pt>
                <c:pt idx="38" formatCode="General">
                  <c:v>0.2</c:v>
                </c:pt>
                <c:pt idx="39" formatCode="General">
                  <c:v>0.2</c:v>
                </c:pt>
                <c:pt idx="40" formatCode="General">
                  <c:v>0.2</c:v>
                </c:pt>
                <c:pt idx="41" formatCode="General">
                  <c:v>0.2</c:v>
                </c:pt>
                <c:pt idx="42" formatCode="General">
                  <c:v>0.2</c:v>
                </c:pt>
                <c:pt idx="43" formatCode="General">
                  <c:v>0.2</c:v>
                </c:pt>
                <c:pt idx="44" formatCode="General">
                  <c:v>0.2</c:v>
                </c:pt>
                <c:pt idx="45" formatCode="General">
                  <c:v>0.2</c:v>
                </c:pt>
                <c:pt idx="46" formatCode="General">
                  <c:v>0.2</c:v>
                </c:pt>
                <c:pt idx="47" formatCode="General">
                  <c:v>0.2</c:v>
                </c:pt>
                <c:pt idx="48" formatCode="General">
                  <c:v>0.2</c:v>
                </c:pt>
                <c:pt idx="49" formatCode="General">
                  <c:v>0.2</c:v>
                </c:pt>
                <c:pt idx="50" formatCode="General">
                  <c:v>0.2</c:v>
                </c:pt>
                <c:pt idx="51" formatCode="General">
                  <c:v>0.2</c:v>
                </c:pt>
                <c:pt idx="52" formatCode="General">
                  <c:v>0.2</c:v>
                </c:pt>
                <c:pt idx="53" formatCode="General">
                  <c:v>0.2</c:v>
                </c:pt>
                <c:pt idx="54" formatCode="General">
                  <c:v>0.2</c:v>
                </c:pt>
                <c:pt idx="55" formatCode="General">
                  <c:v>0.2</c:v>
                </c:pt>
                <c:pt idx="56" formatCode="General">
                  <c:v>0.2</c:v>
                </c:pt>
                <c:pt idx="57" formatCode="General">
                  <c:v>0.2</c:v>
                </c:pt>
                <c:pt idx="58" formatCode="General">
                  <c:v>0.2</c:v>
                </c:pt>
                <c:pt idx="59" formatCode="General">
                  <c:v>0.2</c:v>
                </c:pt>
                <c:pt idx="60" formatCode="General">
                  <c:v>0.2</c:v>
                </c:pt>
                <c:pt idx="61" formatCode="General">
                  <c:v>0.2</c:v>
                </c:pt>
                <c:pt idx="62" formatCode="General">
                  <c:v>0.2</c:v>
                </c:pt>
                <c:pt idx="63" formatCode="General">
                  <c:v>0.2</c:v>
                </c:pt>
                <c:pt idx="64" formatCode="General">
                  <c:v>0.2</c:v>
                </c:pt>
                <c:pt idx="65" formatCode="General">
                  <c:v>0.2</c:v>
                </c:pt>
                <c:pt idx="66" formatCode="General">
                  <c:v>0.2</c:v>
                </c:pt>
                <c:pt idx="67" formatCode="General">
                  <c:v>0.2</c:v>
                </c:pt>
                <c:pt idx="68" formatCode="General">
                  <c:v>0.2</c:v>
                </c:pt>
                <c:pt idx="69" formatCode="General">
                  <c:v>0.2</c:v>
                </c:pt>
                <c:pt idx="70" formatCode="General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42"/>
          <c:order val="43"/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EVALUATION!$B$144:$BT$144</c:f>
              <c:numCache>
                <c:formatCode>0</c:formatCode>
                <c:ptCount val="71"/>
                <c:pt idx="0">
                  <c:v>6.3268735757575825E-26</c:v>
                </c:pt>
                <c:pt idx="1">
                  <c:v>9.0085721818182058E-25</c:v>
                </c:pt>
                <c:pt idx="2">
                  <c:v>3.0094735818181841E-24</c:v>
                </c:pt>
                <c:pt idx="3">
                  <c:v>6.4740058181818279E-23</c:v>
                </c:pt>
                <c:pt idx="4" formatCode="General">
                  <c:v>1.5609267904084935E-18</c:v>
                </c:pt>
                <c:pt idx="5" formatCode="General">
                  <c:v>2.1070738920514385E-17</c:v>
                </c:pt>
                <c:pt idx="6" formatCode="General">
                  <c:v>4.0580551050620279E-17</c:v>
                </c:pt>
                <c:pt idx="7" formatCode="General">
                  <c:v>6.0090363180726172E-17</c:v>
                </c:pt>
                <c:pt idx="8" formatCode="General">
                  <c:v>7.9600175310832059E-17</c:v>
                </c:pt>
                <c:pt idx="9" formatCode="General">
                  <c:v>9.9109987440937959E-17</c:v>
                </c:pt>
                <c:pt idx="10" formatCode="General">
                  <c:v>1.1861979957104385E-16</c:v>
                </c:pt>
                <c:pt idx="11" formatCode="General">
                  <c:v>7.4444351515151374E-16</c:v>
                </c:pt>
                <c:pt idx="12" formatCode="General">
                  <c:v>2.0539829090909078E-15</c:v>
                </c:pt>
                <c:pt idx="13" formatCode="General">
                  <c:v>1.6842612727272708E-14</c:v>
                </c:pt>
                <c:pt idx="14" formatCode="General">
                  <c:v>6.3732391566264908E-14</c:v>
                </c:pt>
                <c:pt idx="15" formatCode="General">
                  <c:v>2.5290528313253038E-13</c:v>
                </c:pt>
                <c:pt idx="16" formatCode="General">
                  <c:v>1.2167109090909129E-12</c:v>
                </c:pt>
                <c:pt idx="17" formatCode="General">
                  <c:v>2.9247715151515189E-12</c:v>
                </c:pt>
                <c:pt idx="18" formatCode="General">
                  <c:v>1.4878194545454576E-11</c:v>
                </c:pt>
                <c:pt idx="19" formatCode="General">
                  <c:v>4.6630218181818403E-11</c:v>
                </c:pt>
                <c:pt idx="20" formatCode="General">
                  <c:v>1.4658840000000022E-10</c:v>
                </c:pt>
                <c:pt idx="21" formatCode="General">
                  <c:v>5.7154987878788028E-10</c:v>
                </c:pt>
                <c:pt idx="22" formatCode="General">
                  <c:v>1.2518710909090924E-9</c:v>
                </c:pt>
                <c:pt idx="23" formatCode="General">
                  <c:v>5.181806024096389E-9</c:v>
                </c:pt>
                <c:pt idx="24" formatCode="General">
                  <c:v>1.4554799999999999E-8</c:v>
                </c:pt>
                <c:pt idx="25" formatCode="General">
                  <c:v>3.9292799999999996E-8</c:v>
                </c:pt>
                <c:pt idx="26" formatCode="General">
                  <c:v>1.2817418181818183E-7</c:v>
                </c:pt>
                <c:pt idx="27" formatCode="General">
                  <c:v>2.598178181818182E-7</c:v>
                </c:pt>
                <c:pt idx="28" formatCode="General">
                  <c:v>8.8056060606060607E-7</c:v>
                </c:pt>
                <c:pt idx="29" formatCode="General">
                  <c:v>2.215809090909091E-6</c:v>
                </c:pt>
                <c:pt idx="30" formatCode="General">
                  <c:v>5.1581727272727275E-6</c:v>
                </c:pt>
                <c:pt idx="31" formatCode="General">
                  <c:v>1.4239777108433725E-5</c:v>
                </c:pt>
                <c:pt idx="32" formatCode="General">
                  <c:v>2.6627126506024065E-5</c:v>
                </c:pt>
                <c:pt idx="33" formatCode="General">
                  <c:v>7.5470399999999886E-5</c:v>
                </c:pt>
                <c:pt idx="34" formatCode="General">
                  <c:v>1.6914381818181778E-4</c:v>
                </c:pt>
                <c:pt idx="35" formatCode="General">
                  <c:v>3.4912563636363598E-4</c:v>
                </c:pt>
                <c:pt idx="36" formatCode="General">
                  <c:v>8.125134545454532E-4</c:v>
                </c:pt>
                <c:pt idx="37" formatCode="General">
                  <c:v>1.4696417549167875E-3</c:v>
                </c:pt>
                <c:pt idx="38" formatCode="General">
                  <c:v>3.7206856278366048E-3</c:v>
                </c:pt>
                <c:pt idx="39" formatCode="General">
                  <c:v>5.9717295007564227E-3</c:v>
                </c:pt>
                <c:pt idx="40" formatCode="General">
                  <c:v>8.2227733736762402E-3</c:v>
                </c:pt>
                <c:pt idx="41" formatCode="General">
                  <c:v>1.0473817246596058E-2</c:v>
                </c:pt>
                <c:pt idx="42" formatCode="General">
                  <c:v>1.2724861119515875E-2</c:v>
                </c:pt>
                <c:pt idx="43" formatCode="General">
                  <c:v>1.4975904992435693E-2</c:v>
                </c:pt>
                <c:pt idx="44" formatCode="General">
                  <c:v>1.6119526475037824E-2</c:v>
                </c:pt>
                <c:pt idx="45" formatCode="General">
                  <c:v>1.5795169440242059E-2</c:v>
                </c:pt>
                <c:pt idx="46" formatCode="General">
                  <c:v>1.5470812405446293E-2</c:v>
                </c:pt>
                <c:pt idx="47" formatCode="General">
                  <c:v>1.5146455370650529E-2</c:v>
                </c:pt>
                <c:pt idx="48" formatCode="General">
                  <c:v>1.4822098335854765E-2</c:v>
                </c:pt>
                <c:pt idx="49" formatCode="General">
                  <c:v>1.4497741301059E-2</c:v>
                </c:pt>
                <c:pt idx="50" formatCode="General">
                  <c:v>1.4173384266263238E-2</c:v>
                </c:pt>
                <c:pt idx="51" formatCode="General">
                  <c:v>1.3357618181818178E-2</c:v>
                </c:pt>
                <c:pt idx="52" formatCode="General">
                  <c:v>1.2423472727272723E-2</c:v>
                </c:pt>
                <c:pt idx="53" formatCode="General">
                  <c:v>1.1438018181818178E-2</c:v>
                </c:pt>
                <c:pt idx="54" formatCode="General">
                  <c:v>1.0451964848484844E-2</c:v>
                </c:pt>
                <c:pt idx="55" formatCode="General">
                  <c:v>9.4653587878787832E-3</c:v>
                </c:pt>
                <c:pt idx="56" formatCode="General">
                  <c:v>8.5295818181818136E-3</c:v>
                </c:pt>
                <c:pt idx="57" formatCode="General">
                  <c:v>7.607931325301201E-3</c:v>
                </c:pt>
                <c:pt idx="58" formatCode="General">
                  <c:v>6.7094373493975876E-3</c:v>
                </c:pt>
                <c:pt idx="59" formatCode="General">
                  <c:v>5.1745848484848435E-3</c:v>
                </c:pt>
                <c:pt idx="60" formatCode="General">
                  <c:v>3.1397363636363595E-3</c:v>
                </c:pt>
                <c:pt idx="61" formatCode="General">
                  <c:v>2.0919345454545432E-3</c:v>
                </c:pt>
                <c:pt idx="62" formatCode="General">
                  <c:v>1.2744740606060595E-3</c:v>
                </c:pt>
                <c:pt idx="63" formatCode="General">
                  <c:v>8.3475890909090803E-4</c:v>
                </c:pt>
                <c:pt idx="64" formatCode="General">
                  <c:v>6.0579932526475021E-4</c:v>
                </c:pt>
                <c:pt idx="65" formatCode="General">
                  <c:v>5.1158510438729184E-4</c:v>
                </c:pt>
                <c:pt idx="66" formatCode="General">
                  <c:v>4.1737088350983346E-4</c:v>
                </c:pt>
                <c:pt idx="67" formatCode="General">
                  <c:v>3.2315666263237508E-4</c:v>
                </c:pt>
                <c:pt idx="68" formatCode="General">
                  <c:v>2.2894244175491671E-4</c:v>
                </c:pt>
                <c:pt idx="69" formatCode="General">
                  <c:v>1.3472822087745833E-4</c:v>
                </c:pt>
                <c:pt idx="70" formatCode="General">
                  <c:v>4.0513999999999958E-5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0.14678787878787891</c:v>
                      </c:pt>
                      <c:pt idx="5" formatCode="General">
                        <c:v>0.23163636363636375</c:v>
                      </c:pt>
                      <c:pt idx="6" formatCode="General">
                        <c:v>0.28000000000000003</c:v>
                      </c:pt>
                      <c:pt idx="7" formatCode="General">
                        <c:v>0.28000000000000003</c:v>
                      </c:pt>
                      <c:pt idx="8" formatCode="General">
                        <c:v>0.28000000000000003</c:v>
                      </c:pt>
                      <c:pt idx="9" formatCode="General">
                        <c:v>0.28000000000000003</c:v>
                      </c:pt>
                      <c:pt idx="10" formatCode="General">
                        <c:v>0.28000000000000003</c:v>
                      </c:pt>
                      <c:pt idx="11" formatCode="General">
                        <c:v>0.28000000000000003</c:v>
                      </c:pt>
                      <c:pt idx="12" formatCode="General">
                        <c:v>0.28000000000000003</c:v>
                      </c:pt>
                      <c:pt idx="13" formatCode="General">
                        <c:v>0.28000000000000003</c:v>
                      </c:pt>
                      <c:pt idx="14" formatCode="General">
                        <c:v>0.28000000000000003</c:v>
                      </c:pt>
                      <c:pt idx="15" formatCode="General">
                        <c:v>0.28000000000000003</c:v>
                      </c:pt>
                      <c:pt idx="16" formatCode="General">
                        <c:v>0.28000000000000003</c:v>
                      </c:pt>
                      <c:pt idx="17" formatCode="General">
                        <c:v>0.28000000000000003</c:v>
                      </c:pt>
                      <c:pt idx="18" formatCode="General">
                        <c:v>0.28000000000000003</c:v>
                      </c:pt>
                      <c:pt idx="19" formatCode="General">
                        <c:v>0.28000000000000003</c:v>
                      </c:pt>
                      <c:pt idx="20" formatCode="General">
                        <c:v>0.28000000000000003</c:v>
                      </c:pt>
                      <c:pt idx="21" formatCode="General">
                        <c:v>0.18496976598545417</c:v>
                      </c:pt>
                      <c:pt idx="22" formatCode="General">
                        <c:v>1.5272919530908702E-2</c:v>
                      </c:pt>
                      <c:pt idx="23" formatCode="General">
                        <c:v>9.2937123493975774E-8</c:v>
                      </c:pt>
                      <c:pt idx="24" formatCode="General">
                        <c:v>1.8641208060606062E-9</c:v>
                      </c:pt>
                      <c:pt idx="25" formatCode="General">
                        <c:v>1.5706040303030303E-9</c:v>
                      </c:pt>
                      <c:pt idx="26" formatCode="General">
                        <c:v>1.2770872545454544E-9</c:v>
                      </c:pt>
                      <c:pt idx="27" formatCode="General">
                        <c:v>9.835704787878787E-10</c:v>
                      </c:pt>
                      <c:pt idx="28" formatCode="General">
                        <c:v>6.9005370303030281E-10</c:v>
                      </c:pt>
                      <c:pt idx="29" formatCode="General">
                        <c:v>3.9653692727272713E-10</c:v>
                      </c:pt>
                      <c:pt idx="30" formatCode="General">
                        <c:v>1.0302015151515124E-10</c:v>
                      </c:pt>
                      <c:pt idx="31" formatCode="General">
                        <c:v>2.6083340451138354E-13</c:v>
                      </c:pt>
                      <c:pt idx="32" formatCode="General">
                        <c:v>2.1706941145197357E-13</c:v>
                      </c:pt>
                      <c:pt idx="33" formatCode="General">
                        <c:v>1.7330541839256359E-13</c:v>
                      </c:pt>
                      <c:pt idx="34" formatCode="General">
                        <c:v>1.2954142533315362E-13</c:v>
                      </c:pt>
                      <c:pt idx="35" formatCode="General">
                        <c:v>8.5777432273743667E-14</c:v>
                      </c:pt>
                      <c:pt idx="36" formatCode="General">
                        <c:v>4.2013439214333693E-14</c:v>
                      </c:pt>
                      <c:pt idx="37" formatCode="General">
                        <c:v>5.8417338880484137E-21</c:v>
                      </c:pt>
                      <c:pt idx="38" formatCode="General">
                        <c:v>4.9525810892587012E-21</c:v>
                      </c:pt>
                      <c:pt idx="39" formatCode="General">
                        <c:v>4.0634282904689888E-21</c:v>
                      </c:pt>
                      <c:pt idx="40" formatCode="General">
                        <c:v>3.1742754916792768E-21</c:v>
                      </c:pt>
                      <c:pt idx="41" formatCode="General">
                        <c:v>2.2851226928895648E-21</c:v>
                      </c:pt>
                      <c:pt idx="42" formatCode="General">
                        <c:v>1.3959698940998524E-21</c:v>
                      </c:pt>
                      <c:pt idx="43" formatCode="General">
                        <c:v>5.0681709531013994E-22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3.8295915279878965E-37</c:v>
                      </c:pt>
                      <c:pt idx="32" formatCode="General">
                        <c:v>9.7212708018154291E-37</c:v>
                      </c:pt>
                      <c:pt idx="33" formatCode="General">
                        <c:v>1.5612950075642961E-36</c:v>
                      </c:pt>
                      <c:pt idx="34" formatCode="General">
                        <c:v>2.1504629349470494E-36</c:v>
                      </c:pt>
                      <c:pt idx="35" formatCode="General">
                        <c:v>2.7396308623298028E-36</c:v>
                      </c:pt>
                      <c:pt idx="36" formatCode="General">
                        <c:v>3.3287987897125558E-36</c:v>
                      </c:pt>
                      <c:pt idx="37" formatCode="General">
                        <c:v>6.6051437216338959E-23</c:v>
                      </c:pt>
                      <c:pt idx="38" formatCode="General">
                        <c:v>1.7173373676248096E-21</c:v>
                      </c:pt>
                      <c:pt idx="39" formatCode="General">
                        <c:v>3.3686232980332803E-21</c:v>
                      </c:pt>
                      <c:pt idx="40" formatCode="General">
                        <c:v>5.0199092284417509E-21</c:v>
                      </c:pt>
                      <c:pt idx="41" formatCode="General">
                        <c:v>6.671195158850222E-21</c:v>
                      </c:pt>
                      <c:pt idx="42" formatCode="General">
                        <c:v>8.322481089258693E-21</c:v>
                      </c:pt>
                      <c:pt idx="43" formatCode="General">
                        <c:v>9.973767019667164E-21</c:v>
                      </c:pt>
                      <c:pt idx="44" formatCode="General">
                        <c:v>1.515115151515147E-20</c:v>
                      </c:pt>
                      <c:pt idx="45" formatCode="General">
                        <c:v>2.5002666666666624E-20</c:v>
                      </c:pt>
                      <c:pt idx="46" formatCode="General">
                        <c:v>1.3005816909090833E-17</c:v>
                      </c:pt>
                      <c:pt idx="47" formatCode="General">
                        <c:v>2.7022981818181833E-17</c:v>
                      </c:pt>
                      <c:pt idx="48" formatCode="General">
                        <c:v>2.3492072727272744E-17</c:v>
                      </c:pt>
                      <c:pt idx="49" formatCode="General">
                        <c:v>1.1959518087683135E-8</c:v>
                      </c:pt>
                      <c:pt idx="50" formatCode="General">
                        <c:v>3.6875180725239895E-8</c:v>
                      </c:pt>
                      <c:pt idx="51" formatCode="General">
                        <c:v>1.911267878787887E-7</c:v>
                      </c:pt>
                      <c:pt idx="52" formatCode="General">
                        <c:v>3.3370587878787851E-7</c:v>
                      </c:pt>
                      <c:pt idx="53" formatCode="General">
                        <c:v>2.8068163636363612E-7</c:v>
                      </c:pt>
                      <c:pt idx="54" formatCode="General">
                        <c:v>2.3450248484848466E-7</c:v>
                      </c:pt>
                      <c:pt idx="55" formatCode="General">
                        <c:v>1.9464187878787859E-7</c:v>
                      </c:pt>
                      <c:pt idx="56" formatCode="General">
                        <c:v>1.7598290909090901E-7</c:v>
                      </c:pt>
                      <c:pt idx="57" formatCode="General">
                        <c:v>1.6033210590015122E-7</c:v>
                      </c:pt>
                      <c:pt idx="58" formatCode="General">
                        <c:v>1.4411440544629343E-7</c:v>
                      </c:pt>
                      <c:pt idx="59" formatCode="General">
                        <c:v>1.2789670499243564E-7</c:v>
                      </c:pt>
                      <c:pt idx="60" formatCode="General">
                        <c:v>1.1167900453857786E-7</c:v>
                      </c:pt>
                      <c:pt idx="61" formatCode="General">
                        <c:v>9.5461304084720078E-8</c:v>
                      </c:pt>
                      <c:pt idx="62" formatCode="General">
                        <c:v>7.9243603630862285E-8</c:v>
                      </c:pt>
                      <c:pt idx="63" formatCode="General">
                        <c:v>6.3025903177004505E-8</c:v>
                      </c:pt>
                      <c:pt idx="64" formatCode="General">
                        <c:v>5.2980461422087734E-8</c:v>
                      </c:pt>
                      <c:pt idx="65" formatCode="General">
                        <c:v>4.6881217851739778E-8</c:v>
                      </c:pt>
                      <c:pt idx="66" formatCode="General">
                        <c:v>4.0781974281391822E-8</c:v>
                      </c:pt>
                      <c:pt idx="67" formatCode="General">
                        <c:v>3.4682730711043866E-8</c:v>
                      </c:pt>
                      <c:pt idx="68" formatCode="General">
                        <c:v>2.8583487140695906E-8</c:v>
                      </c:pt>
                      <c:pt idx="69" formatCode="General">
                        <c:v>2.2484243570347954E-8</c:v>
                      </c:pt>
                      <c:pt idx="70" formatCode="General">
                        <c:v>1.6384999999999997E-8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2.573569135539396E-12</c:v>
                      </c:pt>
                      <c:pt idx="1">
                        <c:v>3.3883989636363737E-10</c:v>
                      </c:pt>
                      <c:pt idx="2">
                        <c:v>1.2196746236363646E-9</c:v>
                      </c:pt>
                      <c:pt idx="3">
                        <c:v>1.3579630303030326E-7</c:v>
                      </c:pt>
                      <c:pt idx="4" formatCode="General">
                        <c:v>6.7881690951516133E-3</c:v>
                      </c:pt>
                      <c:pt idx="5" formatCode="General">
                        <c:v>9.1636469034545573E-2</c:v>
                      </c:pt>
                      <c:pt idx="6" formatCode="General">
                        <c:v>0.14000000000000001</c:v>
                      </c:pt>
                      <c:pt idx="7" formatCode="General">
                        <c:v>0.14000000000000001</c:v>
                      </c:pt>
                      <c:pt idx="8" formatCode="General">
                        <c:v>0.14000000000000001</c:v>
                      </c:pt>
                      <c:pt idx="9" formatCode="General">
                        <c:v>0.14000000000000001</c:v>
                      </c:pt>
                      <c:pt idx="10" formatCode="General">
                        <c:v>0.14000000000000001</c:v>
                      </c:pt>
                      <c:pt idx="11" formatCode="General">
                        <c:v>0.14000000000000001</c:v>
                      </c:pt>
                      <c:pt idx="12" formatCode="General">
                        <c:v>0.14000000000000001</c:v>
                      </c:pt>
                      <c:pt idx="13" formatCode="General">
                        <c:v>0.14000000000000001</c:v>
                      </c:pt>
                      <c:pt idx="14" formatCode="General">
                        <c:v>0.14000000000000001</c:v>
                      </c:pt>
                      <c:pt idx="15" formatCode="General">
                        <c:v>0.14000000000000001</c:v>
                      </c:pt>
                      <c:pt idx="16" formatCode="General">
                        <c:v>0.14000000000000001</c:v>
                      </c:pt>
                      <c:pt idx="17" formatCode="General">
                        <c:v>0.14000000000000001</c:v>
                      </c:pt>
                      <c:pt idx="18" formatCode="General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0.14000000000000001</c:v>
                      </c:pt>
                      <c:pt idx="21" formatCode="General">
                        <c:v>0.23503030303030342</c:v>
                      </c:pt>
                      <c:pt idx="22" formatCode="General">
                        <c:v>0.4047272727272731</c:v>
                      </c:pt>
                      <c:pt idx="23" formatCode="General">
                        <c:v>0.42</c:v>
                      </c:pt>
                      <c:pt idx="24" formatCode="General">
                        <c:v>0.42</c:v>
                      </c:pt>
                      <c:pt idx="25" formatCode="General">
                        <c:v>0.42</c:v>
                      </c:pt>
                      <c:pt idx="26" formatCode="General">
                        <c:v>0.42</c:v>
                      </c:pt>
                      <c:pt idx="27" formatCode="General">
                        <c:v>0.42</c:v>
                      </c:pt>
                      <c:pt idx="28" formatCode="General">
                        <c:v>0.42</c:v>
                      </c:pt>
                      <c:pt idx="29" formatCode="General">
                        <c:v>0.42</c:v>
                      </c:pt>
                      <c:pt idx="30" formatCode="General">
                        <c:v>0.42</c:v>
                      </c:pt>
                      <c:pt idx="31" formatCode="General">
                        <c:v>0.42</c:v>
                      </c:pt>
                      <c:pt idx="32" formatCode="General">
                        <c:v>0.42</c:v>
                      </c:pt>
                      <c:pt idx="33" formatCode="General">
                        <c:v>0.42</c:v>
                      </c:pt>
                      <c:pt idx="34" formatCode="General">
                        <c:v>0.42</c:v>
                      </c:pt>
                      <c:pt idx="35" formatCode="General">
                        <c:v>0.42</c:v>
                      </c:pt>
                      <c:pt idx="36" formatCode="General">
                        <c:v>0.42</c:v>
                      </c:pt>
                      <c:pt idx="37" formatCode="General">
                        <c:v>0.42</c:v>
                      </c:pt>
                      <c:pt idx="38" formatCode="General">
                        <c:v>0.42</c:v>
                      </c:pt>
                      <c:pt idx="39" formatCode="General">
                        <c:v>0.42</c:v>
                      </c:pt>
                      <c:pt idx="40" formatCode="General">
                        <c:v>0.42</c:v>
                      </c:pt>
                      <c:pt idx="41" formatCode="General">
                        <c:v>0.42</c:v>
                      </c:pt>
                      <c:pt idx="42" formatCode="General">
                        <c:v>0.42</c:v>
                      </c:pt>
                      <c:pt idx="43" formatCode="General">
                        <c:v>0.42</c:v>
                      </c:pt>
                      <c:pt idx="44" formatCode="General">
                        <c:v>0.42</c:v>
                      </c:pt>
                      <c:pt idx="45" formatCode="General">
                        <c:v>0.42</c:v>
                      </c:pt>
                      <c:pt idx="46" formatCode="General">
                        <c:v>0.43157709090909085</c:v>
                      </c:pt>
                      <c:pt idx="47" formatCode="General">
                        <c:v>0.44526290909090904</c:v>
                      </c:pt>
                      <c:pt idx="48" formatCode="General">
                        <c:v>0.45120836363636357</c:v>
                      </c:pt>
                      <c:pt idx="49" formatCode="General">
                        <c:v>0.46107204819277103</c:v>
                      </c:pt>
                      <c:pt idx="50" formatCode="General">
                        <c:v>0.4751804819277109</c:v>
                      </c:pt>
                      <c:pt idx="51" formatCode="General">
                        <c:v>0.47867418181818183</c:v>
                      </c:pt>
                      <c:pt idx="52" formatCode="General">
                        <c:v>0.47967090909090909</c:v>
                      </c:pt>
                      <c:pt idx="53" formatCode="General">
                        <c:v>0.47985272727272726</c:v>
                      </c:pt>
                      <c:pt idx="54" formatCode="General">
                        <c:v>0.47995575757575759</c:v>
                      </c:pt>
                      <c:pt idx="55" formatCode="General">
                        <c:v>0.47998606060606064</c:v>
                      </c:pt>
                      <c:pt idx="56" formatCode="General">
                        <c:v>0.47999527272727271</c:v>
                      </c:pt>
                      <c:pt idx="57" formatCode="General">
                        <c:v>0.48</c:v>
                      </c:pt>
                      <c:pt idx="58" formatCode="General">
                        <c:v>0.48</c:v>
                      </c:pt>
                      <c:pt idx="59" formatCode="General">
                        <c:v>0.48</c:v>
                      </c:pt>
                      <c:pt idx="60" formatCode="General">
                        <c:v>0.48</c:v>
                      </c:pt>
                      <c:pt idx="61" formatCode="General">
                        <c:v>0.48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0.13321212136829083</c:v>
                      </c:pt>
                      <c:pt idx="5" formatCode="General">
                        <c:v>4.8363638471927178E-2</c:v>
                      </c:pt>
                      <c:pt idx="6" formatCode="General">
                        <c:v>2.438389638554216E-9</c:v>
                      </c:pt>
                      <c:pt idx="7" formatCode="General">
                        <c:v>6.1836554216867627E-10</c:v>
                      </c:pt>
                      <c:pt idx="8" formatCode="General">
                        <c:v>1.1103458000000013E-10</c:v>
                      </c:pt>
                      <c:pt idx="9" formatCode="General">
                        <c:v>8.9437050909090977E-12</c:v>
                      </c:pt>
                      <c:pt idx="10" formatCode="General">
                        <c:v>3.1904141818181896E-12</c:v>
                      </c:pt>
                      <c:pt idx="11" formatCode="General">
                        <c:v>1.3113219364599294E-13</c:v>
                      </c:pt>
                      <c:pt idx="12" formatCode="General">
                        <c:v>1.0977515885023324E-13</c:v>
                      </c:pt>
                      <c:pt idx="13" formatCode="General">
                        <c:v>8.8418124054473509E-14</c:v>
                      </c:pt>
                      <c:pt idx="14" formatCode="General">
                        <c:v>6.7061089258713806E-14</c:v>
                      </c:pt>
                      <c:pt idx="15" formatCode="General">
                        <c:v>4.5704054462954091E-14</c:v>
                      </c:pt>
                      <c:pt idx="16" formatCode="General">
                        <c:v>2.4347019667194375E-14</c:v>
                      </c:pt>
                      <c:pt idx="17" formatCode="General">
                        <c:v>2.9899848714346473E-15</c:v>
                      </c:pt>
                      <c:pt idx="18" formatCode="General">
                        <c:v>1.3578903030302993E-26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 formatCode="General">
                        <c:v>0.02</c:v>
                      </c:pt>
                      <c:pt idx="5" formatCode="General">
                        <c:v>0.02</c:v>
                      </c:pt>
                      <c:pt idx="6" formatCode="General">
                        <c:v>0.02</c:v>
                      </c:pt>
                      <c:pt idx="7" formatCode="General">
                        <c:v>0.02</c:v>
                      </c:pt>
                      <c:pt idx="8" formatCode="General">
                        <c:v>0.02</c:v>
                      </c:pt>
                      <c:pt idx="9" formatCode="General">
                        <c:v>0.02</c:v>
                      </c:pt>
                      <c:pt idx="10" formatCode="General">
                        <c:v>0.02</c:v>
                      </c:pt>
                      <c:pt idx="11" formatCode="General">
                        <c:v>0.02</c:v>
                      </c:pt>
                      <c:pt idx="12" formatCode="General">
                        <c:v>0.02</c:v>
                      </c:pt>
                      <c:pt idx="13" formatCode="General">
                        <c:v>0.02</c:v>
                      </c:pt>
                      <c:pt idx="14" formatCode="General">
                        <c:v>0.02</c:v>
                      </c:pt>
                      <c:pt idx="15" formatCode="General">
                        <c:v>0.02</c:v>
                      </c:pt>
                      <c:pt idx="16" formatCode="General">
                        <c:v>0.02</c:v>
                      </c:pt>
                      <c:pt idx="17" formatCode="General">
                        <c:v>0.02</c:v>
                      </c:pt>
                      <c:pt idx="18" formatCode="General">
                        <c:v>0.02</c:v>
                      </c:pt>
                      <c:pt idx="19" formatCode="General">
                        <c:v>0.02</c:v>
                      </c:pt>
                      <c:pt idx="20" formatCode="General">
                        <c:v>0.02</c:v>
                      </c:pt>
                      <c:pt idx="21" formatCode="General">
                        <c:v>0.02</c:v>
                      </c:pt>
                      <c:pt idx="22" formatCode="General">
                        <c:v>0.02</c:v>
                      </c:pt>
                      <c:pt idx="23" formatCode="General">
                        <c:v>0.02</c:v>
                      </c:pt>
                      <c:pt idx="24" formatCode="General">
                        <c:v>0.02</c:v>
                      </c:pt>
                      <c:pt idx="25" formatCode="General">
                        <c:v>0.02</c:v>
                      </c:pt>
                      <c:pt idx="26" formatCode="General">
                        <c:v>0.02</c:v>
                      </c:pt>
                      <c:pt idx="27" formatCode="General">
                        <c:v>0.02</c:v>
                      </c:pt>
                      <c:pt idx="28" formatCode="General">
                        <c:v>0.02</c:v>
                      </c:pt>
                      <c:pt idx="29" formatCode="General">
                        <c:v>0.02</c:v>
                      </c:pt>
                      <c:pt idx="30" formatCode="General">
                        <c:v>0.02</c:v>
                      </c:pt>
                      <c:pt idx="31" formatCode="General">
                        <c:v>0.02</c:v>
                      </c:pt>
                      <c:pt idx="32" formatCode="General">
                        <c:v>0.02</c:v>
                      </c:pt>
                      <c:pt idx="33" formatCode="General">
                        <c:v>0.02</c:v>
                      </c:pt>
                      <c:pt idx="34" formatCode="General">
                        <c:v>0.02</c:v>
                      </c:pt>
                      <c:pt idx="35" formatCode="General">
                        <c:v>0.02</c:v>
                      </c:pt>
                      <c:pt idx="36" formatCode="General">
                        <c:v>0.02</c:v>
                      </c:pt>
                      <c:pt idx="37" formatCode="General">
                        <c:v>0.02</c:v>
                      </c:pt>
                      <c:pt idx="38" formatCode="General">
                        <c:v>0.02</c:v>
                      </c:pt>
                      <c:pt idx="39" formatCode="General">
                        <c:v>0.02</c:v>
                      </c:pt>
                      <c:pt idx="40" formatCode="General">
                        <c:v>0.02</c:v>
                      </c:pt>
                      <c:pt idx="41" formatCode="General">
                        <c:v>0.02</c:v>
                      </c:pt>
                      <c:pt idx="42" formatCode="General">
                        <c:v>0.02</c:v>
                      </c:pt>
                      <c:pt idx="43" formatCode="General">
                        <c:v>0.02</c:v>
                      </c:pt>
                      <c:pt idx="44" formatCode="General">
                        <c:v>0.02</c:v>
                      </c:pt>
                      <c:pt idx="45" formatCode="General">
                        <c:v>0.02</c:v>
                      </c:pt>
                      <c:pt idx="46" formatCode="General">
                        <c:v>1.4212210909090943E-2</c:v>
                      </c:pt>
                      <c:pt idx="47" formatCode="General">
                        <c:v>7.3699169696969831E-3</c:v>
                      </c:pt>
                      <c:pt idx="48" formatCode="General">
                        <c:v>4.3954321212121353E-3</c:v>
                      </c:pt>
                      <c:pt idx="49" formatCode="General">
                        <c:v>2.2444002409638579E-3</c:v>
                      </c:pt>
                      <c:pt idx="50" formatCode="General">
                        <c:v>9.8544240963854986E-4</c:v>
                      </c:pt>
                      <c:pt idx="51" formatCode="General">
                        <c:v>4.4134587878787699E-4</c:v>
                      </c:pt>
                      <c:pt idx="52" formatCode="General">
                        <c:v>1.0969016363636336E-4</c:v>
                      </c:pt>
                      <c:pt idx="53" formatCode="General">
                        <c:v>4.9102890909090633E-5</c:v>
                      </c:pt>
                      <c:pt idx="54" formatCode="General">
                        <c:v>1.4816052121212076E-5</c:v>
                      </c:pt>
                      <c:pt idx="55" formatCode="General">
                        <c:v>4.806536969696922E-6</c:v>
                      </c:pt>
                      <c:pt idx="56" formatCode="General">
                        <c:v>1.9953754545454465E-6</c:v>
                      </c:pt>
                      <c:pt idx="57" formatCode="General">
                        <c:v>6.2032924750378176E-7</c:v>
                      </c:pt>
                      <c:pt idx="58" formatCode="General">
                        <c:v>5.2341673615733698E-7</c:v>
                      </c:pt>
                      <c:pt idx="59" formatCode="General">
                        <c:v>4.2650422481089226E-7</c:v>
                      </c:pt>
                      <c:pt idx="60" formatCode="General">
                        <c:v>3.2959171346444754E-7</c:v>
                      </c:pt>
                      <c:pt idx="61" formatCode="General">
                        <c:v>2.3267920211800276E-7</c:v>
                      </c:pt>
                      <c:pt idx="62" formatCode="General">
                        <c:v>1.3576669077155798E-7</c:v>
                      </c:pt>
                      <c:pt idx="63" formatCode="General">
                        <c:v>3.8854179425113315E-8</c:v>
                      </c:pt>
                      <c:pt idx="64" formatCode="General">
                        <c:v>9.6089549531013581E-10</c:v>
                      </c:pt>
                      <c:pt idx="65" formatCode="General">
                        <c:v>8.0121597942511312E-10</c:v>
                      </c:pt>
                      <c:pt idx="66" formatCode="General">
                        <c:v>6.4153646354009044E-10</c:v>
                      </c:pt>
                      <c:pt idx="67" formatCode="General">
                        <c:v>4.8185694765506786E-10</c:v>
                      </c:pt>
                      <c:pt idx="68" formatCode="General">
                        <c:v>3.2217743177004517E-10</c:v>
                      </c:pt>
                      <c:pt idx="69" formatCode="General">
                        <c:v>1.6249791588502259E-10</c:v>
                      </c:pt>
                      <c:pt idx="70" formatCode="General">
                        <c:v>2.8183999999999E-12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4.750484114977298E-34</c:v>
                      </c:pt>
                      <c:pt idx="12" formatCode="General">
                        <c:v>1.4857897125567317E-33</c:v>
                      </c:pt>
                      <c:pt idx="13" formatCode="General">
                        <c:v>2.4965310136157337E-33</c:v>
                      </c:pt>
                      <c:pt idx="14" formatCode="General">
                        <c:v>3.5072723146747357E-33</c:v>
                      </c:pt>
                      <c:pt idx="15" formatCode="General">
                        <c:v>4.5180136157337374E-33</c:v>
                      </c:pt>
                      <c:pt idx="16" formatCode="General">
                        <c:v>5.5287549167927397E-33</c:v>
                      </c:pt>
                      <c:pt idx="17" formatCode="General">
                        <c:v>6.539496217851742E-33</c:v>
                      </c:pt>
                      <c:pt idx="18" formatCode="General">
                        <c:v>4.1052605454545557E-31</c:v>
                      </c:pt>
                      <c:pt idx="19" formatCode="General">
                        <c:v>9.387109090909183E-30</c:v>
                      </c:pt>
                      <c:pt idx="20" formatCode="General">
                        <c:v>5.0366200000000086E-29</c:v>
                      </c:pt>
                      <c:pt idx="21" formatCode="General">
                        <c:v>1.6069725636363698E-27</c:v>
                      </c:pt>
                      <c:pt idx="22" formatCode="General">
                        <c:v>4.3544289272727339E-27</c:v>
                      </c:pt>
                      <c:pt idx="23" formatCode="General">
                        <c:v>1.3569010542168692E-25</c:v>
                      </c:pt>
                      <c:pt idx="24" formatCode="General">
                        <c:v>9.7642496493181815E-21</c:v>
                      </c:pt>
                      <c:pt idx="25" formatCode="General">
                        <c:v>4.8820273326590917E-20</c:v>
                      </c:pt>
                      <c:pt idx="26" formatCode="General">
                        <c:v>8.7876297003863633E-20</c:v>
                      </c:pt>
                      <c:pt idx="27" formatCode="General">
                        <c:v>1.2693232068113638E-19</c:v>
                      </c:pt>
                      <c:pt idx="28" formatCode="General">
                        <c:v>1.659883443584091E-19</c:v>
                      </c:pt>
                      <c:pt idx="29" formatCode="General">
                        <c:v>2.0504436803568185E-19</c:v>
                      </c:pt>
                      <c:pt idx="30" formatCode="General">
                        <c:v>2.4410039171295454E-19</c:v>
                      </c:pt>
                      <c:pt idx="31" formatCode="General">
                        <c:v>2.175028185960665E-15</c:v>
                      </c:pt>
                      <c:pt idx="32" formatCode="General">
                        <c:v>5.5208288259001491E-15</c:v>
                      </c:pt>
                      <c:pt idx="33" formatCode="General">
                        <c:v>8.8666294658396331E-15</c:v>
                      </c:pt>
                      <c:pt idx="34" formatCode="General">
                        <c:v>1.2212430105779116E-14</c:v>
                      </c:pt>
                      <c:pt idx="35" formatCode="General">
                        <c:v>1.55582307457186E-14</c:v>
                      </c:pt>
                      <c:pt idx="36" formatCode="General">
                        <c:v>1.8904031385658086E-14</c:v>
                      </c:pt>
                      <c:pt idx="37" formatCode="General">
                        <c:v>1.8306357216337844E-12</c:v>
                      </c:pt>
                      <c:pt idx="38" formatCode="General">
                        <c:v>4.7043628762480969E-11</c:v>
                      </c:pt>
                      <c:pt idx="39" formatCode="General">
                        <c:v>9.2256621803328156E-11</c:v>
                      </c:pt>
                      <c:pt idx="40" formatCode="General">
                        <c:v>1.3746961484417534E-10</c:v>
                      </c:pt>
                      <c:pt idx="41" formatCode="General">
                        <c:v>1.8268260788502253E-10</c:v>
                      </c:pt>
                      <c:pt idx="42" formatCode="General">
                        <c:v>2.278956009258697E-10</c:v>
                      </c:pt>
                      <c:pt idx="43" formatCode="General">
                        <c:v>2.7310859396671694E-10</c:v>
                      </c:pt>
                      <c:pt idx="44" formatCode="General">
                        <c:v>8.8629127272726661E-10</c:v>
                      </c:pt>
                      <c:pt idx="45" formatCode="General">
                        <c:v>2.2523639999999941E-9</c:v>
                      </c:pt>
                      <c:pt idx="46" formatCode="General">
                        <c:v>5.0315036363636213E-9</c:v>
                      </c:pt>
                      <c:pt idx="47" formatCode="General">
                        <c:v>8.827425454545418E-9</c:v>
                      </c:pt>
                      <c:pt idx="48" formatCode="General">
                        <c:v>1.6760698181818147E-8</c:v>
                      </c:pt>
                      <c:pt idx="49" formatCode="General">
                        <c:v>2.5769277108433713E-8</c:v>
                      </c:pt>
                      <c:pt idx="50" formatCode="General">
                        <c:v>3.5942771084337386E-8</c:v>
                      </c:pt>
                      <c:pt idx="51" formatCode="General">
                        <c:v>3.7839599999999998E-8</c:v>
                      </c:pt>
                      <c:pt idx="52" formatCode="General">
                        <c:v>3.7881375757575757E-8</c:v>
                      </c:pt>
                      <c:pt idx="53" formatCode="General">
                        <c:v>3.7736527272727272E-8</c:v>
                      </c:pt>
                      <c:pt idx="54" formatCode="General">
                        <c:v>3.7452381818181816E-8</c:v>
                      </c:pt>
                      <c:pt idx="55" formatCode="General">
                        <c:v>3.7039654545454544E-8</c:v>
                      </c:pt>
                      <c:pt idx="56" formatCode="General">
                        <c:v>3.6403363636363636E-8</c:v>
                      </c:pt>
                      <c:pt idx="57" formatCode="General">
                        <c:v>3.5622391830559753E-8</c:v>
                      </c:pt>
                      <c:pt idx="58" formatCode="General">
                        <c:v>3.4446900151285926E-8</c:v>
                      </c:pt>
                      <c:pt idx="59" formatCode="General">
                        <c:v>3.3271408472012099E-8</c:v>
                      </c:pt>
                      <c:pt idx="60" formatCode="General">
                        <c:v>3.2095916792738272E-8</c:v>
                      </c:pt>
                      <c:pt idx="61" formatCode="General">
                        <c:v>3.0920425113464445E-8</c:v>
                      </c:pt>
                      <c:pt idx="62" formatCode="General">
                        <c:v>2.9744933434190619E-8</c:v>
                      </c:pt>
                      <c:pt idx="63" formatCode="General">
                        <c:v>2.8569441754916792E-8</c:v>
                      </c:pt>
                      <c:pt idx="64" formatCode="General">
                        <c:v>2.7157794251134639E-8</c:v>
                      </c:pt>
                      <c:pt idx="65" formatCode="General">
                        <c:v>2.5595161875945534E-8</c:v>
                      </c:pt>
                      <c:pt idx="66" formatCode="General">
                        <c:v>2.4032529500756428E-8</c:v>
                      </c:pt>
                      <c:pt idx="67" formatCode="General">
                        <c:v>2.246989712556732E-8</c:v>
                      </c:pt>
                      <c:pt idx="68" formatCode="General">
                        <c:v>2.0907264750378214E-8</c:v>
                      </c:pt>
                      <c:pt idx="69" formatCode="General">
                        <c:v>1.9344632375189109E-8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0.12276351515151515</c:v>
                      </c:pt>
                      <c:pt idx="1">
                        <c:v>0.11123980606060604</c:v>
                      </c:pt>
                      <c:pt idx="2">
                        <c:v>9.5291927272727256E-2</c:v>
                      </c:pt>
                      <c:pt idx="3">
                        <c:v>7.6689945454545438E-2</c:v>
                      </c:pt>
                      <c:pt idx="4" formatCode="General">
                        <c:v>5.8005612405446286E-2</c:v>
                      </c:pt>
                      <c:pt idx="5" formatCode="General">
                        <c:v>4.9663267473524959E-2</c:v>
                      </c:pt>
                      <c:pt idx="6" formatCode="General">
                        <c:v>4.1320922541603633E-2</c:v>
                      </c:pt>
                      <c:pt idx="7" formatCode="General">
                        <c:v>3.29785776096823E-2</c:v>
                      </c:pt>
                      <c:pt idx="8" formatCode="General">
                        <c:v>2.4636232677760973E-2</c:v>
                      </c:pt>
                      <c:pt idx="9" formatCode="General">
                        <c:v>1.6293887745839647E-2</c:v>
                      </c:pt>
                      <c:pt idx="10" formatCode="General">
                        <c:v>7.9515428139183136E-3</c:v>
                      </c:pt>
                      <c:pt idx="11" formatCode="General">
                        <c:v>3.0191103030303042E-3</c:v>
                      </c:pt>
                      <c:pt idx="12" formatCode="General">
                        <c:v>1.9318981818181832E-3</c:v>
                      </c:pt>
                      <c:pt idx="13" formatCode="General">
                        <c:v>1.3091092121212127E-3</c:v>
                      </c:pt>
                      <c:pt idx="14" formatCode="General">
                        <c:v>8.3243897590361466E-4</c:v>
                      </c:pt>
                      <c:pt idx="15" formatCode="General">
                        <c:v>5.714329518072286E-4</c:v>
                      </c:pt>
                      <c:pt idx="16" formatCode="General">
                        <c:v>3.7277363636363607E-4</c:v>
                      </c:pt>
                      <c:pt idx="17" formatCode="General">
                        <c:v>2.3401606060606029E-4</c:v>
                      </c:pt>
                      <c:pt idx="18" formatCode="General">
                        <c:v>1.5213992727272711E-4</c:v>
                      </c:pt>
                      <c:pt idx="19" formatCode="General">
                        <c:v>8.7480018181818094E-5</c:v>
                      </c:pt>
                      <c:pt idx="20" formatCode="General">
                        <c:v>5.2751533333333257E-5</c:v>
                      </c:pt>
                      <c:pt idx="21" formatCode="General">
                        <c:v>2.9341157575757543E-5</c:v>
                      </c:pt>
                      <c:pt idx="22" formatCode="General">
                        <c:v>1.4823581818181785E-5</c:v>
                      </c:pt>
                      <c:pt idx="23" formatCode="General">
                        <c:v>8.6475132530120417E-6</c:v>
                      </c:pt>
                      <c:pt idx="24" formatCode="General">
                        <c:v>4.1697757575757574E-6</c:v>
                      </c:pt>
                      <c:pt idx="25" formatCode="General">
                        <c:v>2.3120787878787875E-6</c:v>
                      </c:pt>
                      <c:pt idx="26" formatCode="General">
                        <c:v>1.1940254545454546E-6</c:v>
                      </c:pt>
                      <c:pt idx="27" formatCode="General">
                        <c:v>5.6906787878787884E-7</c:v>
                      </c:pt>
                      <c:pt idx="28" formatCode="General">
                        <c:v>3.3705333333333334E-7</c:v>
                      </c:pt>
                      <c:pt idx="29" formatCode="General">
                        <c:v>1.6720872727272726E-7</c:v>
                      </c:pt>
                      <c:pt idx="30" formatCode="General">
                        <c:v>9.4171151515151524E-8</c:v>
                      </c:pt>
                      <c:pt idx="31" formatCode="General">
                        <c:v>5.181528915662653E-8</c:v>
                      </c:pt>
                      <c:pt idx="32" formatCode="General">
                        <c:v>2.5980349397590417E-8</c:v>
                      </c:pt>
                      <c:pt idx="33" formatCode="General">
                        <c:v>1.6267680000000021E-8</c:v>
                      </c:pt>
                      <c:pt idx="34" formatCode="General">
                        <c:v>8.732949090909098E-9</c:v>
                      </c:pt>
                      <c:pt idx="35" formatCode="General">
                        <c:v>5.1098581818181899E-9</c:v>
                      </c:pt>
                      <c:pt idx="36" formatCode="General">
                        <c:v>3.0083218181818215E-9</c:v>
                      </c:pt>
                      <c:pt idx="37" formatCode="General">
                        <c:v>1.6375257428139188E-9</c:v>
                      </c:pt>
                      <c:pt idx="38" formatCode="General">
                        <c:v>1.3981693131618766E-9</c:v>
                      </c:pt>
                      <c:pt idx="39" formatCode="General">
                        <c:v>1.1588128835098343E-9</c:v>
                      </c:pt>
                      <c:pt idx="40" formatCode="General">
                        <c:v>9.1945645385779207E-10</c:v>
                      </c:pt>
                      <c:pt idx="41" formatCode="General">
                        <c:v>6.8010002420574983E-10</c:v>
                      </c:pt>
                      <c:pt idx="42" formatCode="General">
                        <c:v>4.4074359455370758E-10</c:v>
                      </c:pt>
                      <c:pt idx="43" formatCode="General">
                        <c:v>2.0138716490166534E-10</c:v>
                      </c:pt>
                      <c:pt idx="44" formatCode="General">
                        <c:v>6.0955975794251171E-11</c:v>
                      </c:pt>
                      <c:pt idx="45" formatCode="General">
                        <c:v>5.1658245083207288E-11</c:v>
                      </c:pt>
                      <c:pt idx="46" formatCode="General">
                        <c:v>4.2360514372163404E-11</c:v>
                      </c:pt>
                      <c:pt idx="47" formatCode="General">
                        <c:v>3.3062783661119514E-11</c:v>
                      </c:pt>
                      <c:pt idx="48" formatCode="General">
                        <c:v>2.376505295007563E-11</c:v>
                      </c:pt>
                      <c:pt idx="49" formatCode="General">
                        <c:v>1.446732223903174E-11</c:v>
                      </c:pt>
                      <c:pt idx="50" formatCode="General">
                        <c:v>5.1695915279878564E-12</c:v>
                      </c:pt>
                      <c:pt idx="51" formatCode="General">
                        <c:v>2.6338072727272681E-12</c:v>
                      </c:pt>
                      <c:pt idx="52" formatCode="General">
                        <c:v>1.6725907878787856E-12</c:v>
                      </c:pt>
                      <c:pt idx="53" formatCode="General">
                        <c:v>1.1519483636363612E-12</c:v>
                      </c:pt>
                      <c:pt idx="54" formatCode="General">
                        <c:v>7.6568654545454426E-13</c:v>
                      </c:pt>
                      <c:pt idx="55" formatCode="General">
                        <c:v>5.0346836363636243E-13</c:v>
                      </c:pt>
                      <c:pt idx="56" formatCode="General">
                        <c:v>3.526312727272721E-13</c:v>
                      </c:pt>
                      <c:pt idx="57" formatCode="General">
                        <c:v>2.3273096385542137E-13</c:v>
                      </c:pt>
                      <c:pt idx="58" formatCode="General">
                        <c:v>1.6350807228915644E-13</c:v>
                      </c:pt>
                      <c:pt idx="59" formatCode="General">
                        <c:v>1.1311332121212112E-13</c:v>
                      </c:pt>
                      <c:pt idx="60" formatCode="General">
                        <c:v>7.7512109090909007E-14</c:v>
                      </c:pt>
                      <c:pt idx="61" formatCode="General">
                        <c:v>5.6299375757575713E-14</c:v>
                      </c:pt>
                      <c:pt idx="62" formatCode="General">
                        <c:v>3.8795945454545428E-14</c:v>
                      </c:pt>
                      <c:pt idx="63" formatCode="General">
                        <c:v>2.7799581818181791E-14</c:v>
                      </c:pt>
                      <c:pt idx="64" formatCode="General">
                        <c:v>2.158151739788199E-14</c:v>
                      </c:pt>
                      <c:pt idx="65" formatCode="General">
                        <c:v>1.8418431164901657E-14</c:v>
                      </c:pt>
                      <c:pt idx="66" formatCode="General">
                        <c:v>1.5255344931921324E-14</c:v>
                      </c:pt>
                      <c:pt idx="67" formatCode="General">
                        <c:v>1.2092258698940994E-14</c:v>
                      </c:pt>
                      <c:pt idx="68" formatCode="General">
                        <c:v>8.9291724659606648E-15</c:v>
                      </c:pt>
                      <c:pt idx="69" formatCode="General">
                        <c:v>5.766086232980332E-15</c:v>
                      </c:pt>
                      <c:pt idx="70" formatCode="General">
                        <c:v>2.6029999999999991E-15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0.15722648484848487</c:v>
                      </c:pt>
                      <c:pt idx="1">
                        <c:v>0.16874927272727275</c:v>
                      </c:pt>
                      <c:pt idx="2">
                        <c:v>0.18469472727272729</c:v>
                      </c:pt>
                      <c:pt idx="3">
                        <c:v>0.20328145454545457</c:v>
                      </c:pt>
                      <c:pt idx="4" formatCode="General">
                        <c:v>0.22188405446293497</c:v>
                      </c:pt>
                      <c:pt idx="5" formatCode="General">
                        <c:v>0.2294347352496218</c:v>
                      </c:pt>
                      <c:pt idx="6" formatCode="General">
                        <c:v>0.23698541603630863</c:v>
                      </c:pt>
                      <c:pt idx="7" formatCode="General">
                        <c:v>0.24453609682299546</c:v>
                      </c:pt>
                      <c:pt idx="8" formatCode="General">
                        <c:v>0.25208677760968229</c:v>
                      </c:pt>
                      <c:pt idx="9" formatCode="General">
                        <c:v>0.25963745839636909</c:v>
                      </c:pt>
                      <c:pt idx="10" formatCode="General">
                        <c:v>0.26718813918305595</c:v>
                      </c:pt>
                      <c:pt idx="11" formatCode="General">
                        <c:v>0.26933848484848483</c:v>
                      </c:pt>
                      <c:pt idx="12" formatCode="General">
                        <c:v>0.26539909090909092</c:v>
                      </c:pt>
                      <c:pt idx="13" formatCode="General">
                        <c:v>0.25658442424242422</c:v>
                      </c:pt>
                      <c:pt idx="14" formatCode="General">
                        <c:v>0.24539885542168674</c:v>
                      </c:pt>
                      <c:pt idx="15" formatCode="General">
                        <c:v>0.22786271084337345</c:v>
                      </c:pt>
                      <c:pt idx="16" formatCode="General">
                        <c:v>0.20638090909090903</c:v>
                      </c:pt>
                      <c:pt idx="17" formatCode="General">
                        <c:v>0.18110818181818178</c:v>
                      </c:pt>
                      <c:pt idx="18" formatCode="General">
                        <c:v>0.15233812121212115</c:v>
                      </c:pt>
                      <c:pt idx="19" formatCode="General">
                        <c:v>0.12341732727272721</c:v>
                      </c:pt>
                      <c:pt idx="20" formatCode="General">
                        <c:v>9.6071266666666599E-2</c:v>
                      </c:pt>
                      <c:pt idx="21" formatCode="General">
                        <c:v>7.2474151515151464E-2</c:v>
                      </c:pt>
                      <c:pt idx="22" formatCode="General">
                        <c:v>5.1822636363636321E-2</c:v>
                      </c:pt>
                      <c:pt idx="23" formatCode="General">
                        <c:v>3.7995307228915649E-2</c:v>
                      </c:pt>
                      <c:pt idx="24" formatCode="General">
                        <c:v>2.6216606060606062E-2</c:v>
                      </c:pt>
                      <c:pt idx="25" formatCode="General">
                        <c:v>1.8559030303030303E-2</c:v>
                      </c:pt>
                      <c:pt idx="26" formatCode="General">
                        <c:v>1.2963854545454545E-2</c:v>
                      </c:pt>
                      <c:pt idx="27" formatCode="General">
                        <c:v>8.7436121212121215E-3</c:v>
                      </c:pt>
                      <c:pt idx="28" formatCode="General">
                        <c:v>6.3550848484848488E-3</c:v>
                      </c:pt>
                      <c:pt idx="29" formatCode="General">
                        <c:v>4.3757272727272725E-3</c:v>
                      </c:pt>
                      <c:pt idx="30" formatCode="General">
                        <c:v>3.126151515151515E-3</c:v>
                      </c:pt>
                      <c:pt idx="31" formatCode="General">
                        <c:v>2.2430018072289162E-3</c:v>
                      </c:pt>
                      <c:pt idx="32" formatCode="General">
                        <c:v>1.5571584337349411E-3</c:v>
                      </c:pt>
                      <c:pt idx="33" formatCode="General">
                        <c:v>1.1666720000000008E-3</c:v>
                      </c:pt>
                      <c:pt idx="34" formatCode="General">
                        <c:v>8.3559454545454595E-4</c:v>
                      </c:pt>
                      <c:pt idx="35" formatCode="General">
                        <c:v>6.1404909090909143E-4</c:v>
                      </c:pt>
                      <c:pt idx="36" formatCode="General">
                        <c:v>4.5643527272727299E-4</c:v>
                      </c:pt>
                      <c:pt idx="37" formatCode="General">
                        <c:v>3.3101901361573386E-4</c:v>
                      </c:pt>
                      <c:pt idx="38" formatCode="General">
                        <c:v>2.8899435400907725E-4</c:v>
                      </c:pt>
                      <c:pt idx="39" formatCode="General">
                        <c:v>2.4696969440242075E-4</c:v>
                      </c:pt>
                      <c:pt idx="40" formatCode="General">
                        <c:v>2.0494503479576417E-4</c:v>
                      </c:pt>
                      <c:pt idx="41" formatCode="General">
                        <c:v>1.6292037518910758E-4</c:v>
                      </c:pt>
                      <c:pt idx="42" formatCode="General">
                        <c:v>1.2089571558245103E-4</c:v>
                      </c:pt>
                      <c:pt idx="43" formatCode="General">
                        <c:v>7.8871055975794472E-5</c:v>
                      </c:pt>
                      <c:pt idx="44" formatCode="General">
                        <c:v>5.2056036308623328E-5</c:v>
                      </c:pt>
                      <c:pt idx="45" formatCode="General">
                        <c:v>4.540263237518913E-5</c:v>
                      </c:pt>
                      <c:pt idx="46" formatCode="General">
                        <c:v>3.8749228441754924E-5</c:v>
                      </c:pt>
                      <c:pt idx="47" formatCode="General">
                        <c:v>3.2095824508320725E-5</c:v>
                      </c:pt>
                      <c:pt idx="48" formatCode="General">
                        <c:v>2.5442420574886523E-5</c:v>
                      </c:pt>
                      <c:pt idx="49" formatCode="General">
                        <c:v>1.8789016641452321E-5</c:v>
                      </c:pt>
                      <c:pt idx="50" formatCode="General">
                        <c:v>1.2135612708018123E-5</c:v>
                      </c:pt>
                      <c:pt idx="51" formatCode="General">
                        <c:v>9.2316545454545363E-6</c:v>
                      </c:pt>
                      <c:pt idx="52" formatCode="General">
                        <c:v>7.2669739393939326E-6</c:v>
                      </c:pt>
                      <c:pt idx="53" formatCode="General">
                        <c:v>5.8697618181818117E-6</c:v>
                      </c:pt>
                      <c:pt idx="54" formatCode="General">
                        <c:v>4.706329090909087E-6</c:v>
                      </c:pt>
                      <c:pt idx="55" formatCode="General">
                        <c:v>3.7586927272727231E-6</c:v>
                      </c:pt>
                      <c:pt idx="56" formatCode="General">
                        <c:v>3.0708963636363608E-6</c:v>
                      </c:pt>
                      <c:pt idx="57" formatCode="General">
                        <c:v>2.4667602409638536E-6</c:v>
                      </c:pt>
                      <c:pt idx="58" formatCode="General">
                        <c:v>2.0215795180722878E-6</c:v>
                      </c:pt>
                      <c:pt idx="59" formatCode="General">
                        <c:v>1.6560709090909084E-6</c:v>
                      </c:pt>
                      <c:pt idx="60" formatCode="General">
                        <c:v>1.3531618181818175E-6</c:v>
                      </c:pt>
                      <c:pt idx="61" formatCode="General">
                        <c:v>1.1274427878787875E-6</c:v>
                      </c:pt>
                      <c:pt idx="62" formatCode="General">
                        <c:v>9.2525103030302983E-7</c:v>
                      </c:pt>
                      <c:pt idx="63" formatCode="General">
                        <c:v>7.6829345454545416E-7</c:v>
                      </c:pt>
                      <c:pt idx="64" formatCode="General">
                        <c:v>6.6157455370650506E-7</c:v>
                      </c:pt>
                      <c:pt idx="65" formatCode="General">
                        <c:v>5.8697546142208761E-7</c:v>
                      </c:pt>
                      <c:pt idx="66" formatCode="General">
                        <c:v>5.1237636913767006E-7</c:v>
                      </c:pt>
                      <c:pt idx="67" formatCode="General">
                        <c:v>4.3777727685325251E-7</c:v>
                      </c:pt>
                      <c:pt idx="68" formatCode="General">
                        <c:v>3.6317818456883496E-7</c:v>
                      </c:pt>
                      <c:pt idx="69" formatCode="General">
                        <c:v>2.8857909228441746E-7</c:v>
                      </c:pt>
                      <c:pt idx="70" formatCode="General">
                        <c:v>2.1397999999999996E-7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1.1953945454545456E-2</c:v>
                      </c:pt>
                      <c:pt idx="1">
                        <c:v>1.21342E-2</c:v>
                      </c:pt>
                      <c:pt idx="2">
                        <c:v>1.23742E-2</c:v>
                      </c:pt>
                      <c:pt idx="3">
                        <c:v>1.263189696969697E-2</c:v>
                      </c:pt>
                      <c:pt idx="4" formatCode="General">
                        <c:v>1.2883375189107413E-2</c:v>
                      </c:pt>
                      <c:pt idx="5" formatCode="General">
                        <c:v>1.2988065052950075E-2</c:v>
                      </c:pt>
                      <c:pt idx="6" formatCode="General">
                        <c:v>1.3092754916792737E-2</c:v>
                      </c:pt>
                      <c:pt idx="7" formatCode="General">
                        <c:v>1.3197444780635401E-2</c:v>
                      </c:pt>
                      <c:pt idx="8" formatCode="General">
                        <c:v>1.3302134644478063E-2</c:v>
                      </c:pt>
                      <c:pt idx="9" formatCode="General">
                        <c:v>1.3406824508320725E-2</c:v>
                      </c:pt>
                      <c:pt idx="10" formatCode="General">
                        <c:v>1.3511514372163387E-2</c:v>
                      </c:pt>
                      <c:pt idx="11" formatCode="General">
                        <c:v>1.3596054545454544E-2</c:v>
                      </c:pt>
                      <c:pt idx="12" formatCode="General">
                        <c:v>1.3657872727272728E-2</c:v>
                      </c:pt>
                      <c:pt idx="13" formatCode="General">
                        <c:v>1.3756466666666666E-2</c:v>
                      </c:pt>
                      <c:pt idx="14" formatCode="General">
                        <c:v>1.3872753012048192E-2</c:v>
                      </c:pt>
                      <c:pt idx="15" formatCode="General">
                        <c:v>1.4036006024096387E-2</c:v>
                      </c:pt>
                      <c:pt idx="16" formatCode="General">
                        <c:v>1.4222327272727273E-2</c:v>
                      </c:pt>
                      <c:pt idx="17" formatCode="General">
                        <c:v>1.4430812121212121E-2</c:v>
                      </c:pt>
                      <c:pt idx="18" formatCode="General">
                        <c:v>1.4642424242424243E-2</c:v>
                      </c:pt>
                      <c:pt idx="19" formatCode="General">
                        <c:v>1.4846527272727273E-2</c:v>
                      </c:pt>
                      <c:pt idx="20" formatCode="General">
                        <c:v>1.5020466666666666E-2</c:v>
                      </c:pt>
                      <c:pt idx="21" formatCode="General">
                        <c:v>1.5163860606060606E-2</c:v>
                      </c:pt>
                      <c:pt idx="22" formatCode="General">
                        <c:v>1.5283254545454546E-2</c:v>
                      </c:pt>
                      <c:pt idx="23" formatCode="General">
                        <c:v>1.5358686746987952E-2</c:v>
                      </c:pt>
                      <c:pt idx="24" formatCode="General">
                        <c:v>1.5422E-2</c:v>
                      </c:pt>
                      <c:pt idx="25" formatCode="General">
                        <c:v>1.5462E-2</c:v>
                      </c:pt>
                      <c:pt idx="26" formatCode="General">
                        <c:v>1.5490727272727274E-2</c:v>
                      </c:pt>
                      <c:pt idx="27" formatCode="General">
                        <c:v>1.5511939393939394E-2</c:v>
                      </c:pt>
                      <c:pt idx="28" formatCode="General">
                        <c:v>1.5523363636363637E-2</c:v>
                      </c:pt>
                      <c:pt idx="29" formatCode="General">
                        <c:v>1.5532090909090909E-2</c:v>
                      </c:pt>
                      <c:pt idx="30" formatCode="General">
                        <c:v>1.5535727272727272E-2</c:v>
                      </c:pt>
                      <c:pt idx="31" formatCode="General">
                        <c:v>1.5532692771084338E-2</c:v>
                      </c:pt>
                      <c:pt idx="32" formatCode="General">
                        <c:v>1.5526066265060241E-2</c:v>
                      </c:pt>
                      <c:pt idx="33" formatCode="General">
                        <c:v>1.5488199999999999E-2</c:v>
                      </c:pt>
                      <c:pt idx="34" formatCode="General">
                        <c:v>1.5414163636363637E-2</c:v>
                      </c:pt>
                      <c:pt idx="35" formatCode="General">
                        <c:v>1.5270527272727272E-2</c:v>
                      </c:pt>
                      <c:pt idx="36" formatCode="General">
                        <c:v>1.48994E-2</c:v>
                      </c:pt>
                      <c:pt idx="37" formatCode="General">
                        <c:v>1.4368103782148265E-2</c:v>
                      </c:pt>
                      <c:pt idx="38" formatCode="General">
                        <c:v>1.2445698335854769E-2</c:v>
                      </c:pt>
                      <c:pt idx="39" formatCode="General">
                        <c:v>1.0523292889561275E-2</c:v>
                      </c:pt>
                      <c:pt idx="40" formatCode="General">
                        <c:v>8.6008874432677816E-3</c:v>
                      </c:pt>
                      <c:pt idx="41" formatCode="General">
                        <c:v>6.6784819969742887E-3</c:v>
                      </c:pt>
                      <c:pt idx="42" formatCode="General">
                        <c:v>4.7560765506807941E-3</c:v>
                      </c:pt>
                      <c:pt idx="43" formatCode="General">
                        <c:v>2.8336711043873003E-3</c:v>
                      </c:pt>
                      <c:pt idx="44" formatCode="General">
                        <c:v>1.6266714901664154E-3</c:v>
                      </c:pt>
                      <c:pt idx="45" formatCode="General">
                        <c:v>1.3680005370650535E-3</c:v>
                      </c:pt>
                      <c:pt idx="46" formatCode="General">
                        <c:v>1.1093295839636917E-3</c:v>
                      </c:pt>
                      <c:pt idx="47" formatCode="General">
                        <c:v>8.5065863086232973E-4</c:v>
                      </c:pt>
                      <c:pt idx="48" formatCode="General">
                        <c:v>5.9198767776096777E-4</c:v>
                      </c:pt>
                      <c:pt idx="49" formatCode="General">
                        <c:v>3.3331672465960593E-4</c:v>
                      </c:pt>
                      <c:pt idx="50" formatCode="General">
                        <c:v>7.4645771558243864E-5</c:v>
                      </c:pt>
                      <c:pt idx="51" formatCode="General">
                        <c:v>1.911569090909086E-5</c:v>
                      </c:pt>
                      <c:pt idx="52" formatCode="General">
                        <c:v>9.3744018181818012E-6</c:v>
                      </c:pt>
                      <c:pt idx="53" formatCode="General">
                        <c:v>5.4767654545454376E-6</c:v>
                      </c:pt>
                      <c:pt idx="54" formatCode="General">
                        <c:v>2.8799484848484783E-6</c:v>
                      </c:pt>
                      <c:pt idx="55" formatCode="General">
                        <c:v>1.4838878787878725E-6</c:v>
                      </c:pt>
                      <c:pt idx="56" formatCode="General">
                        <c:v>8.6563890909090678E-7</c:v>
                      </c:pt>
                      <c:pt idx="57" formatCode="General">
                        <c:v>4.3394843373493896E-7</c:v>
                      </c:pt>
                      <c:pt idx="58" formatCode="General">
                        <c:v>2.5162313253011997E-7</c:v>
                      </c:pt>
                      <c:pt idx="59" formatCode="General">
                        <c:v>1.260532363636362E-7</c:v>
                      </c:pt>
                      <c:pt idx="60" formatCode="General">
                        <c:v>4.5076872727272533E-8</c:v>
                      </c:pt>
                      <c:pt idx="61" formatCode="General">
                        <c:v>2.1615432121212083E-8</c:v>
                      </c:pt>
                      <c:pt idx="62" formatCode="General">
                        <c:v>7.4380490909090825E-9</c:v>
                      </c:pt>
                      <c:pt idx="63" formatCode="General">
                        <c:v>3.4947763636363552E-9</c:v>
                      </c:pt>
                      <c:pt idx="64" formatCode="General">
                        <c:v>1.7770227385779119E-9</c:v>
                      </c:pt>
                      <c:pt idx="65" formatCode="General">
                        <c:v>1.4821419821482597E-9</c:v>
                      </c:pt>
                      <c:pt idx="66" formatCode="General">
                        <c:v>1.1872612257186079E-9</c:v>
                      </c:pt>
                      <c:pt idx="67" formatCode="General">
                        <c:v>8.9238046928895596E-10</c:v>
                      </c:pt>
                      <c:pt idx="68" formatCode="General">
                        <c:v>5.9749971285930385E-10</c:v>
                      </c:pt>
                      <c:pt idx="69" formatCode="General">
                        <c:v>3.0261895642965196E-10</c:v>
                      </c:pt>
                      <c:pt idx="70" formatCode="General">
                        <c:v>7.7382000000000633E-12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2.0811104242424264E-25</c:v>
                      </c:pt>
                      <c:pt idx="1">
                        <c:v>2.6147000606060674E-24</c:v>
                      </c:pt>
                      <c:pt idx="2">
                        <c:v>8.6346212727272787E-24</c:v>
                      </c:pt>
                      <c:pt idx="3">
                        <c:v>1.5154818181818205E-22</c:v>
                      </c:pt>
                      <c:pt idx="4" formatCode="General">
                        <c:v>1.2149700988351153E-18</c:v>
                      </c:pt>
                      <c:pt idx="5" formatCode="General">
                        <c:v>1.6397976209273838E-17</c:v>
                      </c:pt>
                      <c:pt idx="6" formatCode="General">
                        <c:v>3.1580982319712566E-17</c:v>
                      </c:pt>
                      <c:pt idx="7" formatCode="General">
                        <c:v>4.676398843015129E-17</c:v>
                      </c:pt>
                      <c:pt idx="8" formatCode="General">
                        <c:v>6.1946994540590014E-17</c:v>
                      </c:pt>
                      <c:pt idx="9" formatCode="General">
                        <c:v>7.7130000651028745E-17</c:v>
                      </c:pt>
                      <c:pt idx="10" formatCode="General">
                        <c:v>9.2313006761467463E-17</c:v>
                      </c:pt>
                      <c:pt idx="11" formatCode="General">
                        <c:v>4.7751078787878695E-16</c:v>
                      </c:pt>
                      <c:pt idx="12" formatCode="General">
                        <c:v>1.2799592727272717E-15</c:v>
                      </c:pt>
                      <c:pt idx="13" formatCode="General">
                        <c:v>8.8653284848484727E-15</c:v>
                      </c:pt>
                      <c:pt idx="14" formatCode="General">
                        <c:v>3.0732608433734876E-14</c:v>
                      </c:pt>
                      <c:pt idx="15" formatCode="General">
                        <c:v>1.1505971686747002E-13</c:v>
                      </c:pt>
                      <c:pt idx="16" formatCode="General">
                        <c:v>5.0541163636363802E-13</c:v>
                      </c:pt>
                      <c:pt idx="17" formatCode="General">
                        <c:v>1.1897873939393955E-12</c:v>
                      </c:pt>
                      <c:pt idx="18" formatCode="General">
                        <c:v>5.5473430303030418E-12</c:v>
                      </c:pt>
                      <c:pt idx="19" formatCode="General">
                        <c:v>1.6356792727272803E-11</c:v>
                      </c:pt>
                      <c:pt idx="20" formatCode="General">
                        <c:v>4.9188186666666738E-11</c:v>
                      </c:pt>
                      <c:pt idx="21" formatCode="General">
                        <c:v>1.7538149090909136E-10</c:v>
                      </c:pt>
                      <c:pt idx="22" formatCode="General">
                        <c:v>3.7493058181818229E-10</c:v>
                      </c:pt>
                      <c:pt idx="23" formatCode="General">
                        <c:v>1.3978972891566278E-9</c:v>
                      </c:pt>
                      <c:pt idx="24" formatCode="General">
                        <c:v>3.6445030303030302E-9</c:v>
                      </c:pt>
                      <c:pt idx="25" formatCode="General">
                        <c:v>9.3177151515151522E-9</c:v>
                      </c:pt>
                      <c:pt idx="26" formatCode="General">
                        <c:v>2.757318181818182E-8</c:v>
                      </c:pt>
                      <c:pt idx="27" formatCode="General">
                        <c:v>5.4216818181818193E-8</c:v>
                      </c:pt>
                      <c:pt idx="28" formatCode="General">
                        <c:v>1.6537533333333333E-7</c:v>
                      </c:pt>
                      <c:pt idx="29" formatCode="General">
                        <c:v>3.8595454545454542E-7</c:v>
                      </c:pt>
                      <c:pt idx="30" formatCode="General">
                        <c:v>8.5146969696969687E-7</c:v>
                      </c:pt>
                      <c:pt idx="31" formatCode="General">
                        <c:v>2.1428939759036127E-6</c:v>
                      </c:pt>
                      <c:pt idx="32" formatCode="General">
                        <c:v>3.8790385542168628E-6</c:v>
                      </c:pt>
                      <c:pt idx="33" formatCode="General">
                        <c:v>9.9561599999999867E-6</c:v>
                      </c:pt>
                      <c:pt idx="34" formatCode="General">
                        <c:v>2.0796618181818135E-5</c:v>
                      </c:pt>
                      <c:pt idx="35" formatCode="General">
                        <c:v>4.0798436363636317E-5</c:v>
                      </c:pt>
                      <c:pt idx="36" formatCode="General">
                        <c:v>8.8428690909090777E-5</c:v>
                      </c:pt>
                      <c:pt idx="37" formatCode="General">
                        <c:v>1.638638275340383E-4</c:v>
                      </c:pt>
                      <c:pt idx="38" formatCode="General">
                        <c:v>6.0870951588502147E-4</c:v>
                      </c:pt>
                      <c:pt idx="39" formatCode="General">
                        <c:v>1.0535552042360047E-3</c:v>
                      </c:pt>
                      <c:pt idx="40" formatCode="General">
                        <c:v>1.4984008925869878E-3</c:v>
                      </c:pt>
                      <c:pt idx="41" formatCode="General">
                        <c:v>1.9432465809379709E-3</c:v>
                      </c:pt>
                      <c:pt idx="42" formatCode="General">
                        <c:v>2.3880922692889541E-3</c:v>
                      </c:pt>
                      <c:pt idx="43" formatCode="General">
                        <c:v>2.8329379576399372E-3</c:v>
                      </c:pt>
                      <c:pt idx="44" formatCode="General">
                        <c:v>3.6467685325264699E-3</c:v>
                      </c:pt>
                      <c:pt idx="45" formatCode="General">
                        <c:v>4.9497186081694363E-3</c:v>
                      </c:pt>
                      <c:pt idx="46" formatCode="General">
                        <c:v>6.2526686838124037E-3</c:v>
                      </c:pt>
                      <c:pt idx="47" formatCode="General">
                        <c:v>7.5556187594553702E-3</c:v>
                      </c:pt>
                      <c:pt idx="48" formatCode="General">
                        <c:v>8.8585688350983367E-3</c:v>
                      </c:pt>
                      <c:pt idx="49" formatCode="General">
                        <c:v>1.0161518910741303E-2</c:v>
                      </c:pt>
                      <c:pt idx="50" formatCode="General">
                        <c:v>1.1464468986384271E-2</c:v>
                      </c:pt>
                      <c:pt idx="51" formatCode="General">
                        <c:v>1.323612727272728E-2</c:v>
                      </c:pt>
                      <c:pt idx="52" formatCode="General">
                        <c:v>1.5128909090909099E-2</c:v>
                      </c:pt>
                      <c:pt idx="53" formatCode="General">
                        <c:v>1.7110727272727284E-2</c:v>
                      </c:pt>
                      <c:pt idx="54" formatCode="General">
                        <c:v>1.9089393939393951E-2</c:v>
                      </c:pt>
                      <c:pt idx="55" formatCode="General">
                        <c:v>2.1065151515151526E-2</c:v>
                      </c:pt>
                      <c:pt idx="56" formatCode="General">
                        <c:v>2.2938090909090918E-2</c:v>
                      </c:pt>
                      <c:pt idx="57" formatCode="General">
                        <c:v>2.4709445783132535E-2</c:v>
                      </c:pt>
                      <c:pt idx="58" formatCode="General">
                        <c:v>2.6175108433734943E-2</c:v>
                      </c:pt>
                      <c:pt idx="59" formatCode="General">
                        <c:v>2.5078569696969689E-2</c:v>
                      </c:pt>
                      <c:pt idx="60" formatCode="General">
                        <c:v>2.1968872727272722E-2</c:v>
                      </c:pt>
                      <c:pt idx="61" formatCode="General">
                        <c:v>1.9237515151515144E-2</c:v>
                      </c:pt>
                      <c:pt idx="62" formatCode="General">
                        <c:v>1.6663175757575751E-2</c:v>
                      </c:pt>
                      <c:pt idx="63" formatCode="General">
                        <c:v>1.4429236363636359E-2</c:v>
                      </c:pt>
                      <c:pt idx="64" formatCode="General">
                        <c:v>1.2731214674735248E-2</c:v>
                      </c:pt>
                      <c:pt idx="65" formatCode="General">
                        <c:v>1.1375828895612707E-2</c:v>
                      </c:pt>
                      <c:pt idx="66" formatCode="General">
                        <c:v>1.0020443116490165E-2</c:v>
                      </c:pt>
                      <c:pt idx="67" formatCode="General">
                        <c:v>8.6650573373676237E-3</c:v>
                      </c:pt>
                      <c:pt idx="68" formatCode="General">
                        <c:v>7.3096715582450823E-3</c:v>
                      </c:pt>
                      <c:pt idx="69" formatCode="General">
                        <c:v>5.9542857791225418E-3</c:v>
                      </c:pt>
                      <c:pt idx="70" formatCode="General">
                        <c:v>4.5988999999999995E-3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3.8295915279878965E-37</c:v>
                </c:pt>
                <c:pt idx="32" formatCode="General">
                  <c:v>9.7212708018154291E-37</c:v>
                </c:pt>
                <c:pt idx="33" formatCode="General">
                  <c:v>1.5612950075642961E-36</c:v>
                </c:pt>
                <c:pt idx="34" formatCode="General">
                  <c:v>2.1504629349470494E-36</c:v>
                </c:pt>
                <c:pt idx="35" formatCode="General">
                  <c:v>2.7396308623298028E-36</c:v>
                </c:pt>
                <c:pt idx="36" formatCode="General">
                  <c:v>3.3287987897125558E-36</c:v>
                </c:pt>
                <c:pt idx="37" formatCode="General">
                  <c:v>6.6051437216338959E-23</c:v>
                </c:pt>
                <c:pt idx="38" formatCode="General">
                  <c:v>1.7173373676248096E-21</c:v>
                </c:pt>
                <c:pt idx="39" formatCode="General">
                  <c:v>3.3686232980332803E-21</c:v>
                </c:pt>
                <c:pt idx="40" formatCode="General">
                  <c:v>5.0199092284417509E-21</c:v>
                </c:pt>
                <c:pt idx="41" formatCode="General">
                  <c:v>6.671195158850222E-21</c:v>
                </c:pt>
                <c:pt idx="42" formatCode="General">
                  <c:v>8.322481089258693E-21</c:v>
                </c:pt>
                <c:pt idx="43" formatCode="General">
                  <c:v>9.973767019667164E-21</c:v>
                </c:pt>
                <c:pt idx="44" formatCode="General">
                  <c:v>1.515115151515147E-20</c:v>
                </c:pt>
                <c:pt idx="45" formatCode="General">
                  <c:v>2.5002666666666624E-20</c:v>
                </c:pt>
                <c:pt idx="46" formatCode="General">
                  <c:v>1.3005816909090833E-17</c:v>
                </c:pt>
                <c:pt idx="47" formatCode="General">
                  <c:v>2.7022981818181833E-17</c:v>
                </c:pt>
                <c:pt idx="48" formatCode="General">
                  <c:v>2.3492072727272744E-17</c:v>
                </c:pt>
                <c:pt idx="49" formatCode="General">
                  <c:v>1.1959518087683135E-8</c:v>
                </c:pt>
                <c:pt idx="50" formatCode="General">
                  <c:v>3.6875180725239895E-8</c:v>
                </c:pt>
                <c:pt idx="51" formatCode="General">
                  <c:v>1.911267878787887E-7</c:v>
                </c:pt>
                <c:pt idx="52" formatCode="General">
                  <c:v>3.3370587878787851E-7</c:v>
                </c:pt>
                <c:pt idx="53" formatCode="General">
                  <c:v>2.8068163636363612E-7</c:v>
                </c:pt>
                <c:pt idx="54" formatCode="General">
                  <c:v>2.3450248484848466E-7</c:v>
                </c:pt>
                <c:pt idx="55" formatCode="General">
                  <c:v>1.9464187878787859E-7</c:v>
                </c:pt>
                <c:pt idx="56" formatCode="General">
                  <c:v>1.7598290909090901E-7</c:v>
                </c:pt>
                <c:pt idx="57" formatCode="General">
                  <c:v>1.6033210590015122E-7</c:v>
                </c:pt>
                <c:pt idx="58" formatCode="General">
                  <c:v>1.4411440544629343E-7</c:v>
                </c:pt>
                <c:pt idx="59" formatCode="General">
                  <c:v>1.2789670499243564E-7</c:v>
                </c:pt>
                <c:pt idx="60" formatCode="General">
                  <c:v>1.1167900453857786E-7</c:v>
                </c:pt>
                <c:pt idx="61" formatCode="General">
                  <c:v>9.5461304084720078E-8</c:v>
                </c:pt>
                <c:pt idx="62" formatCode="General">
                  <c:v>7.9243603630862285E-8</c:v>
                </c:pt>
                <c:pt idx="63" formatCode="General">
                  <c:v>6.3025903177004505E-8</c:v>
                </c:pt>
                <c:pt idx="64" formatCode="General">
                  <c:v>5.2980461422087734E-8</c:v>
                </c:pt>
                <c:pt idx="65" formatCode="General">
                  <c:v>4.6881217851739778E-8</c:v>
                </c:pt>
                <c:pt idx="66" formatCode="General">
                  <c:v>4.0781974281391822E-8</c:v>
                </c:pt>
                <c:pt idx="67" formatCode="General">
                  <c:v>3.4682730711043866E-8</c:v>
                </c:pt>
                <c:pt idx="68" formatCode="General">
                  <c:v>2.8583487140695906E-8</c:v>
                </c:pt>
                <c:pt idx="69" formatCode="General">
                  <c:v>2.2484243570347954E-8</c:v>
                </c:pt>
                <c:pt idx="70" formatCode="General">
                  <c:v>1.6384999999999997E-8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43"/>
          <c:order val="44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EVALUATION!$B$145:$BT$145</c:f>
              <c:numCache>
                <c:formatCode>0</c:formatCode>
                <c:ptCount val="71"/>
                <c:pt idx="0">
                  <c:v>2.0830333333333345E-6</c:v>
                </c:pt>
                <c:pt idx="1">
                  <c:v>3.808586060606064E-6</c:v>
                </c:pt>
                <c:pt idx="2">
                  <c:v>6.8267072727272764E-6</c:v>
                </c:pt>
                <c:pt idx="3">
                  <c:v>1.5536395151515162E-5</c:v>
                </c:pt>
                <c:pt idx="4" formatCode="General">
                  <c:v>5.7121872919818898E-5</c:v>
                </c:pt>
                <c:pt idx="5" formatCode="General">
                  <c:v>4.5257028441754947E-4</c:v>
                </c:pt>
                <c:pt idx="6" formatCode="General">
                  <c:v>8.4801869591528002E-4</c:v>
                </c:pt>
                <c:pt idx="7" formatCode="General">
                  <c:v>1.2434671074130106E-3</c:v>
                </c:pt>
                <c:pt idx="8" formatCode="General">
                  <c:v>1.6389155189107411E-3</c:v>
                </c:pt>
                <c:pt idx="9" formatCode="General">
                  <c:v>2.0343639304084716E-3</c:v>
                </c:pt>
                <c:pt idx="10" formatCode="General">
                  <c:v>2.4298123419062021E-3</c:v>
                </c:pt>
                <c:pt idx="11" formatCode="General">
                  <c:v>3.8211793939393916E-3</c:v>
                </c:pt>
                <c:pt idx="12" formatCode="General">
                  <c:v>6.3356036363636341E-3</c:v>
                </c:pt>
                <c:pt idx="13" formatCode="General">
                  <c:v>1.105309454545454E-2</c:v>
                </c:pt>
                <c:pt idx="14" formatCode="General">
                  <c:v>1.6883102409638546E-2</c:v>
                </c:pt>
                <c:pt idx="15" formatCode="General">
                  <c:v>2.5783704819277123E-2</c:v>
                </c:pt>
                <c:pt idx="16" formatCode="General">
                  <c:v>3.6624781818181851E-2</c:v>
                </c:pt>
                <c:pt idx="17" formatCode="General">
                  <c:v>4.9330236363636398E-2</c:v>
                </c:pt>
                <c:pt idx="18" formatCode="General">
                  <c:v>6.3756733333333371E-2</c:v>
                </c:pt>
                <c:pt idx="19" formatCode="General">
                  <c:v>7.8249709090909114E-2</c:v>
                </c:pt>
                <c:pt idx="20" formatCode="General">
                  <c:v>9.1938800000000029E-2</c:v>
                </c:pt>
                <c:pt idx="21" formatCode="General">
                  <c:v>0.1037479878787879</c:v>
                </c:pt>
                <c:pt idx="22" formatCode="General">
                  <c:v>0.11408010909090911</c:v>
                </c:pt>
                <c:pt idx="23" formatCode="General">
                  <c:v>0.12099626506024097</c:v>
                </c:pt>
                <c:pt idx="24" formatCode="General">
                  <c:v>0.12688757575757575</c:v>
                </c:pt>
                <c:pt idx="25" formatCode="General">
                  <c:v>0.1307178787878788</c:v>
                </c:pt>
                <c:pt idx="26" formatCode="General">
                  <c:v>0.13351545454545455</c:v>
                </c:pt>
                <c:pt idx="27" formatCode="General">
                  <c:v>0.13562454545454544</c:v>
                </c:pt>
                <c:pt idx="28" formatCode="General">
                  <c:v>0.13681818181818181</c:v>
                </c:pt>
                <c:pt idx="29" formatCode="General">
                  <c:v>0.13780909090909091</c:v>
                </c:pt>
                <c:pt idx="30" formatCode="General">
                  <c:v>0.13843939393939395</c:v>
                </c:pt>
                <c:pt idx="31" formatCode="General">
                  <c:v>0.13887927710843373</c:v>
                </c:pt>
                <c:pt idx="32" formatCode="General">
                  <c:v>0.13921662650602409</c:v>
                </c:pt>
                <c:pt idx="33" formatCode="General">
                  <c:v>0.13941200000000001</c:v>
                </c:pt>
                <c:pt idx="34" formatCode="General">
                  <c:v>0.13957915151515152</c:v>
                </c:pt>
                <c:pt idx="35" formatCode="General">
                  <c:v>0.13969430303030303</c:v>
                </c:pt>
                <c:pt idx="36" formatCode="General">
                  <c:v>0.13977181818181819</c:v>
                </c:pt>
                <c:pt idx="37" formatCode="General">
                  <c:v>0.13983084720121031</c:v>
                </c:pt>
                <c:pt idx="38" formatCode="General">
                  <c:v>0.13985202723146747</c:v>
                </c:pt>
                <c:pt idx="39" formatCode="General">
                  <c:v>0.13987320726172467</c:v>
                </c:pt>
                <c:pt idx="40" formatCode="General">
                  <c:v>0.13989438729198186</c:v>
                </c:pt>
                <c:pt idx="41" formatCode="General">
                  <c:v>0.13991556732223903</c:v>
                </c:pt>
                <c:pt idx="42" formatCode="General">
                  <c:v>0.13993674735249623</c:v>
                </c:pt>
                <c:pt idx="43" formatCode="General">
                  <c:v>0.13995792738275342</c:v>
                </c:pt>
                <c:pt idx="44" formatCode="General">
                  <c:v>0.13997130105900152</c:v>
                </c:pt>
                <c:pt idx="45" formatCode="General">
                  <c:v>0.13997432677760968</c:v>
                </c:pt>
                <c:pt idx="46" formatCode="General">
                  <c:v>0.13997735249621787</c:v>
                </c:pt>
                <c:pt idx="47" formatCode="General">
                  <c:v>0.13998037821482603</c:v>
                </c:pt>
                <c:pt idx="48" formatCode="General">
                  <c:v>0.1399834039334342</c:v>
                </c:pt>
                <c:pt idx="49" formatCode="General">
                  <c:v>0.13998642965204236</c:v>
                </c:pt>
                <c:pt idx="50" formatCode="General">
                  <c:v>0.13998945537065052</c:v>
                </c:pt>
                <c:pt idx="51" formatCode="General">
                  <c:v>0.1399949696969697</c:v>
                </c:pt>
                <c:pt idx="52" formatCode="General">
                  <c:v>0.14000000000000001</c:v>
                </c:pt>
                <c:pt idx="53" formatCode="General">
                  <c:v>0.14000000000000001</c:v>
                </c:pt>
                <c:pt idx="54" formatCode="General">
                  <c:v>0.14000000000000001</c:v>
                </c:pt>
                <c:pt idx="55" formatCode="General">
                  <c:v>0.14000000000000001</c:v>
                </c:pt>
                <c:pt idx="56" formatCode="General">
                  <c:v>0.14000000000000001</c:v>
                </c:pt>
                <c:pt idx="57" formatCode="General">
                  <c:v>0.13999867469879521</c:v>
                </c:pt>
                <c:pt idx="58" formatCode="General">
                  <c:v>0.13999265060240965</c:v>
                </c:pt>
                <c:pt idx="59" formatCode="General">
                  <c:v>0.13988139393939394</c:v>
                </c:pt>
                <c:pt idx="60" formatCode="General">
                  <c:v>0.13968745454545453</c:v>
                </c:pt>
                <c:pt idx="61" formatCode="General">
                  <c:v>0.13952660606060605</c:v>
                </c:pt>
                <c:pt idx="62" formatCode="General">
                  <c:v>0.13937533333333335</c:v>
                </c:pt>
                <c:pt idx="63" formatCode="General">
                  <c:v>0.139242</c:v>
                </c:pt>
                <c:pt idx="64" formatCode="General">
                  <c:v>0.13911617246596067</c:v>
                </c:pt>
                <c:pt idx="65" formatCode="General">
                  <c:v>0.13899514372163391</c:v>
                </c:pt>
                <c:pt idx="66" formatCode="General">
                  <c:v>0.13887411497730712</c:v>
                </c:pt>
                <c:pt idx="67" formatCode="General">
                  <c:v>0.13875308623298035</c:v>
                </c:pt>
                <c:pt idx="68" formatCode="General">
                  <c:v>0.13863205748865357</c:v>
                </c:pt>
                <c:pt idx="69" formatCode="General">
                  <c:v>0.1385110287443268</c:v>
                </c:pt>
                <c:pt idx="70" formatCode="General">
                  <c:v>0.13839000000000001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2.5323863636363638E-19</c:v>
                      </c:pt>
                      <c:pt idx="25" formatCode="General">
                        <c:v>1.2661931818181818E-18</c:v>
                      </c:pt>
                      <c:pt idx="26" formatCode="General">
                        <c:v>2.2791477272727273E-18</c:v>
                      </c:pt>
                      <c:pt idx="27" formatCode="General">
                        <c:v>3.2921022727272726E-18</c:v>
                      </c:pt>
                      <c:pt idx="28" formatCode="General">
                        <c:v>4.3050568181818183E-18</c:v>
                      </c:pt>
                      <c:pt idx="29" formatCode="General">
                        <c:v>5.3180113636363633E-18</c:v>
                      </c:pt>
                      <c:pt idx="30" formatCode="General">
                        <c:v>6.330965909090909E-18</c:v>
                      </c:pt>
                      <c:pt idx="31" formatCode="General">
                        <c:v>1.7332805685325256E-14</c:v>
                      </c:pt>
                      <c:pt idx="32" formatCode="General">
                        <c:v>4.398837520121027E-14</c:v>
                      </c:pt>
                      <c:pt idx="33" formatCode="General">
                        <c:v>7.0643944717095287E-14</c:v>
                      </c:pt>
                      <c:pt idx="34" formatCode="General">
                        <c:v>9.7299514232980298E-14</c:v>
                      </c:pt>
                      <c:pt idx="35" formatCode="General">
                        <c:v>1.2395508374886532E-13</c:v>
                      </c:pt>
                      <c:pt idx="36" formatCode="General">
                        <c:v>1.5061065326475033E-13</c:v>
                      </c:pt>
                      <c:pt idx="37" formatCode="General">
                        <c:v>1.7548919818456886E-13</c:v>
                      </c:pt>
                      <c:pt idx="38" formatCode="General">
                        <c:v>1.5771915279878976E-13</c:v>
                      </c:pt>
                      <c:pt idx="39" formatCode="General">
                        <c:v>1.3994910741301065E-13</c:v>
                      </c:pt>
                      <c:pt idx="40" formatCode="General">
                        <c:v>1.2217906202723152E-13</c:v>
                      </c:pt>
                      <c:pt idx="41" formatCode="General">
                        <c:v>1.0440901664145241E-13</c:v>
                      </c:pt>
                      <c:pt idx="42" formatCode="General">
                        <c:v>8.663897125567329E-14</c:v>
                      </c:pt>
                      <c:pt idx="43" formatCode="General">
                        <c:v>6.8868925869894173E-14</c:v>
                      </c:pt>
                      <c:pt idx="44" formatCode="General">
                        <c:v>4.3432001290547433E-14</c:v>
                      </c:pt>
                      <c:pt idx="45" formatCode="General">
                        <c:v>7.8320042918201611E-15</c:v>
                      </c:pt>
                      <c:pt idx="46" formatCode="General">
                        <c:v>2.6111074413774684E-21</c:v>
                      </c:pt>
                      <c:pt idx="47" formatCode="General">
                        <c:v>3.2865163636363735E-28</c:v>
                      </c:pt>
                      <c:pt idx="48" formatCode="General">
                        <c:v>1.1243345454545551E-28</c:v>
                      </c:pt>
                      <c:pt idx="49" formatCode="General">
                        <c:v>1.4933493975903557E-20</c:v>
                      </c:pt>
                      <c:pt idx="50" formatCode="General">
                        <c:v>4.6044939759036258E-20</c:v>
                      </c:pt>
                      <c:pt idx="51" formatCode="General">
                        <c:v>1.185322684032431E-13</c:v>
                      </c:pt>
                      <c:pt idx="52" formatCode="General">
                        <c:v>2.1393810335757511E-13</c:v>
                      </c:pt>
                      <c:pt idx="53" formatCode="General">
                        <c:v>6.9397534872726628E-14</c:v>
                      </c:pt>
                      <c:pt idx="54" formatCode="General">
                        <c:v>1.2396750642424195E-17</c:v>
                      </c:pt>
                      <c:pt idx="55" formatCode="General">
                        <c:v>1.5020403393938913E-18</c:v>
                      </c:pt>
                      <c:pt idx="56" formatCode="General">
                        <c:v>7.6232345454545409E-20</c:v>
                      </c:pt>
                      <c:pt idx="57" formatCode="General">
                        <c:v>7.0073717464600512E-16</c:v>
                      </c:pt>
                      <c:pt idx="58" formatCode="General">
                        <c:v>3.8855983366732349E-15</c:v>
                      </c:pt>
                      <c:pt idx="59" formatCode="General">
                        <c:v>7.0704594987004655E-15</c:v>
                      </c:pt>
                      <c:pt idx="60" formatCode="General">
                        <c:v>1.0255320660727694E-14</c:v>
                      </c:pt>
                      <c:pt idx="61" formatCode="General">
                        <c:v>1.3440181822754924E-14</c:v>
                      </c:pt>
                      <c:pt idx="62" formatCode="General">
                        <c:v>1.6625042984782154E-14</c:v>
                      </c:pt>
                      <c:pt idx="63" formatCode="General">
                        <c:v>1.9809904146809385E-14</c:v>
                      </c:pt>
                      <c:pt idx="64" formatCode="General">
                        <c:v>4.2459202904689998E-10</c:v>
                      </c:pt>
                      <c:pt idx="65" formatCode="General">
                        <c:v>1.1206100242057498E-9</c:v>
                      </c:pt>
                      <c:pt idx="66" formatCode="General">
                        <c:v>1.8166280193645998E-9</c:v>
                      </c:pt>
                      <c:pt idx="67" formatCode="General">
                        <c:v>2.5126460145234498E-9</c:v>
                      </c:pt>
                      <c:pt idx="68" formatCode="General">
                        <c:v>3.2086640096822996E-9</c:v>
                      </c:pt>
                      <c:pt idx="69" formatCode="General">
                        <c:v>3.9046820048411494E-9</c:v>
                      </c:pt>
                      <c:pt idx="70" formatCode="General">
                        <c:v>4.6006999999999996E-9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0.14678787878787891</c:v>
                      </c:pt>
                      <c:pt idx="5" formatCode="General">
                        <c:v>0.23163636363636375</c:v>
                      </c:pt>
                      <c:pt idx="6" formatCode="General">
                        <c:v>0.28000000000000003</c:v>
                      </c:pt>
                      <c:pt idx="7" formatCode="General">
                        <c:v>0.28000000000000003</c:v>
                      </c:pt>
                      <c:pt idx="8" formatCode="General">
                        <c:v>0.28000000000000003</c:v>
                      </c:pt>
                      <c:pt idx="9" formatCode="General">
                        <c:v>0.28000000000000003</c:v>
                      </c:pt>
                      <c:pt idx="10" formatCode="General">
                        <c:v>0.28000000000000003</c:v>
                      </c:pt>
                      <c:pt idx="11" formatCode="General">
                        <c:v>0.28000000000000003</c:v>
                      </c:pt>
                      <c:pt idx="12" formatCode="General">
                        <c:v>0.28000000000000003</c:v>
                      </c:pt>
                      <c:pt idx="13" formatCode="General">
                        <c:v>0.28000000000000003</c:v>
                      </c:pt>
                      <c:pt idx="14" formatCode="General">
                        <c:v>0.28000000000000003</c:v>
                      </c:pt>
                      <c:pt idx="15" formatCode="General">
                        <c:v>0.28000000000000003</c:v>
                      </c:pt>
                      <c:pt idx="16" formatCode="General">
                        <c:v>0.28000000000000003</c:v>
                      </c:pt>
                      <c:pt idx="17" formatCode="General">
                        <c:v>0.28000000000000003</c:v>
                      </c:pt>
                      <c:pt idx="18" formatCode="General">
                        <c:v>0.28000000000000003</c:v>
                      </c:pt>
                      <c:pt idx="19" formatCode="General">
                        <c:v>0.28000000000000003</c:v>
                      </c:pt>
                      <c:pt idx="20" formatCode="General">
                        <c:v>0.28000000000000003</c:v>
                      </c:pt>
                      <c:pt idx="21" formatCode="General">
                        <c:v>0.18496976598545417</c:v>
                      </c:pt>
                      <c:pt idx="22" formatCode="General">
                        <c:v>1.5272919530908702E-2</c:v>
                      </c:pt>
                      <c:pt idx="23" formatCode="General">
                        <c:v>9.2937123493975774E-8</c:v>
                      </c:pt>
                      <c:pt idx="24" formatCode="General">
                        <c:v>1.8641208060606062E-9</c:v>
                      </c:pt>
                      <c:pt idx="25" formatCode="General">
                        <c:v>1.5706040303030303E-9</c:v>
                      </c:pt>
                      <c:pt idx="26" formatCode="General">
                        <c:v>1.2770872545454544E-9</c:v>
                      </c:pt>
                      <c:pt idx="27" formatCode="General">
                        <c:v>9.835704787878787E-10</c:v>
                      </c:pt>
                      <c:pt idx="28" formatCode="General">
                        <c:v>6.9005370303030281E-10</c:v>
                      </c:pt>
                      <c:pt idx="29" formatCode="General">
                        <c:v>3.9653692727272713E-10</c:v>
                      </c:pt>
                      <c:pt idx="30" formatCode="General">
                        <c:v>1.0302015151515124E-10</c:v>
                      </c:pt>
                      <c:pt idx="31" formatCode="General">
                        <c:v>2.6083340451138354E-13</c:v>
                      </c:pt>
                      <c:pt idx="32" formatCode="General">
                        <c:v>2.1706941145197357E-13</c:v>
                      </c:pt>
                      <c:pt idx="33" formatCode="General">
                        <c:v>1.7330541839256359E-13</c:v>
                      </c:pt>
                      <c:pt idx="34" formatCode="General">
                        <c:v>1.2954142533315362E-13</c:v>
                      </c:pt>
                      <c:pt idx="35" formatCode="General">
                        <c:v>8.5777432273743667E-14</c:v>
                      </c:pt>
                      <c:pt idx="36" formatCode="General">
                        <c:v>4.2013439214333693E-14</c:v>
                      </c:pt>
                      <c:pt idx="37" formatCode="General">
                        <c:v>5.8417338880484137E-21</c:v>
                      </c:pt>
                      <c:pt idx="38" formatCode="General">
                        <c:v>4.9525810892587012E-21</c:v>
                      </c:pt>
                      <c:pt idx="39" formatCode="General">
                        <c:v>4.0634282904689888E-21</c:v>
                      </c:pt>
                      <c:pt idx="40" formatCode="General">
                        <c:v>3.1742754916792768E-21</c:v>
                      </c:pt>
                      <c:pt idx="41" formatCode="General">
                        <c:v>2.2851226928895648E-21</c:v>
                      </c:pt>
                      <c:pt idx="42" formatCode="General">
                        <c:v>1.3959698940998524E-21</c:v>
                      </c:pt>
                      <c:pt idx="43" formatCode="General">
                        <c:v>5.0681709531013994E-22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2.573569135539396E-12</c:v>
                      </c:pt>
                      <c:pt idx="1">
                        <c:v>3.3883989636363737E-10</c:v>
                      </c:pt>
                      <c:pt idx="2">
                        <c:v>1.2196746236363646E-9</c:v>
                      </c:pt>
                      <c:pt idx="3">
                        <c:v>1.3579630303030326E-7</c:v>
                      </c:pt>
                      <c:pt idx="4" formatCode="General">
                        <c:v>6.7881690951516133E-3</c:v>
                      </c:pt>
                      <c:pt idx="5" formatCode="General">
                        <c:v>9.1636469034545573E-2</c:v>
                      </c:pt>
                      <c:pt idx="6" formatCode="General">
                        <c:v>0.14000000000000001</c:v>
                      </c:pt>
                      <c:pt idx="7" formatCode="General">
                        <c:v>0.14000000000000001</c:v>
                      </c:pt>
                      <c:pt idx="8" formatCode="General">
                        <c:v>0.14000000000000001</c:v>
                      </c:pt>
                      <c:pt idx="9" formatCode="General">
                        <c:v>0.14000000000000001</c:v>
                      </c:pt>
                      <c:pt idx="10" formatCode="General">
                        <c:v>0.14000000000000001</c:v>
                      </c:pt>
                      <c:pt idx="11" formatCode="General">
                        <c:v>0.14000000000000001</c:v>
                      </c:pt>
                      <c:pt idx="12" formatCode="General">
                        <c:v>0.14000000000000001</c:v>
                      </c:pt>
                      <c:pt idx="13" formatCode="General">
                        <c:v>0.14000000000000001</c:v>
                      </c:pt>
                      <c:pt idx="14" formatCode="General">
                        <c:v>0.14000000000000001</c:v>
                      </c:pt>
                      <c:pt idx="15" formatCode="General">
                        <c:v>0.14000000000000001</c:v>
                      </c:pt>
                      <c:pt idx="16" formatCode="General">
                        <c:v>0.14000000000000001</c:v>
                      </c:pt>
                      <c:pt idx="17" formatCode="General">
                        <c:v>0.14000000000000001</c:v>
                      </c:pt>
                      <c:pt idx="18" formatCode="General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0.14000000000000001</c:v>
                      </c:pt>
                      <c:pt idx="21" formatCode="General">
                        <c:v>0.23503030303030342</c:v>
                      </c:pt>
                      <c:pt idx="22" formatCode="General">
                        <c:v>0.4047272727272731</c:v>
                      </c:pt>
                      <c:pt idx="23" formatCode="General">
                        <c:v>0.42</c:v>
                      </c:pt>
                      <c:pt idx="24" formatCode="General">
                        <c:v>0.42</c:v>
                      </c:pt>
                      <c:pt idx="25" formatCode="General">
                        <c:v>0.42</c:v>
                      </c:pt>
                      <c:pt idx="26" formatCode="General">
                        <c:v>0.42</c:v>
                      </c:pt>
                      <c:pt idx="27" formatCode="General">
                        <c:v>0.42</c:v>
                      </c:pt>
                      <c:pt idx="28" formatCode="General">
                        <c:v>0.42</c:v>
                      </c:pt>
                      <c:pt idx="29" formatCode="General">
                        <c:v>0.42</c:v>
                      </c:pt>
                      <c:pt idx="30" formatCode="General">
                        <c:v>0.42</c:v>
                      </c:pt>
                      <c:pt idx="31" formatCode="General">
                        <c:v>0.42</c:v>
                      </c:pt>
                      <c:pt idx="32" formatCode="General">
                        <c:v>0.42</c:v>
                      </c:pt>
                      <c:pt idx="33" formatCode="General">
                        <c:v>0.42</c:v>
                      </c:pt>
                      <c:pt idx="34" formatCode="General">
                        <c:v>0.42</c:v>
                      </c:pt>
                      <c:pt idx="35" formatCode="General">
                        <c:v>0.42</c:v>
                      </c:pt>
                      <c:pt idx="36" formatCode="General">
                        <c:v>0.42</c:v>
                      </c:pt>
                      <c:pt idx="37" formatCode="General">
                        <c:v>0.42</c:v>
                      </c:pt>
                      <c:pt idx="38" formatCode="General">
                        <c:v>0.42</c:v>
                      </c:pt>
                      <c:pt idx="39" formatCode="General">
                        <c:v>0.42</c:v>
                      </c:pt>
                      <c:pt idx="40" formatCode="General">
                        <c:v>0.42</c:v>
                      </c:pt>
                      <c:pt idx="41" formatCode="General">
                        <c:v>0.42</c:v>
                      </c:pt>
                      <c:pt idx="42" formatCode="General">
                        <c:v>0.42</c:v>
                      </c:pt>
                      <c:pt idx="43" formatCode="General">
                        <c:v>0.42</c:v>
                      </c:pt>
                      <c:pt idx="44" formatCode="General">
                        <c:v>0.42</c:v>
                      </c:pt>
                      <c:pt idx="45" formatCode="General">
                        <c:v>0.42</c:v>
                      </c:pt>
                      <c:pt idx="46" formatCode="General">
                        <c:v>0.43157709090909085</c:v>
                      </c:pt>
                      <c:pt idx="47" formatCode="General">
                        <c:v>0.44526290909090904</c:v>
                      </c:pt>
                      <c:pt idx="48" formatCode="General">
                        <c:v>0.45120836363636357</c:v>
                      </c:pt>
                      <c:pt idx="49" formatCode="General">
                        <c:v>0.46107204819277103</c:v>
                      </c:pt>
                      <c:pt idx="50" formatCode="General">
                        <c:v>0.4751804819277109</c:v>
                      </c:pt>
                      <c:pt idx="51" formatCode="General">
                        <c:v>0.47867418181818183</c:v>
                      </c:pt>
                      <c:pt idx="52" formatCode="General">
                        <c:v>0.47967090909090909</c:v>
                      </c:pt>
                      <c:pt idx="53" formatCode="General">
                        <c:v>0.47985272727272726</c:v>
                      </c:pt>
                      <c:pt idx="54" formatCode="General">
                        <c:v>0.47995575757575759</c:v>
                      </c:pt>
                      <c:pt idx="55" formatCode="General">
                        <c:v>0.47998606060606064</c:v>
                      </c:pt>
                      <c:pt idx="56" formatCode="General">
                        <c:v>0.47999527272727271</c:v>
                      </c:pt>
                      <c:pt idx="57" formatCode="General">
                        <c:v>0.48</c:v>
                      </c:pt>
                      <c:pt idx="58" formatCode="General">
                        <c:v>0.48</c:v>
                      </c:pt>
                      <c:pt idx="59" formatCode="General">
                        <c:v>0.48</c:v>
                      </c:pt>
                      <c:pt idx="60" formatCode="General">
                        <c:v>0.48</c:v>
                      </c:pt>
                      <c:pt idx="61" formatCode="General">
                        <c:v>0.48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0.13321212136829083</c:v>
                      </c:pt>
                      <c:pt idx="5" formatCode="General">
                        <c:v>4.8363638471927178E-2</c:v>
                      </c:pt>
                      <c:pt idx="6" formatCode="General">
                        <c:v>2.438389638554216E-9</c:v>
                      </c:pt>
                      <c:pt idx="7" formatCode="General">
                        <c:v>6.1836554216867627E-10</c:v>
                      </c:pt>
                      <c:pt idx="8" formatCode="General">
                        <c:v>1.1103458000000013E-10</c:v>
                      </c:pt>
                      <c:pt idx="9" formatCode="General">
                        <c:v>8.9437050909090977E-12</c:v>
                      </c:pt>
                      <c:pt idx="10" formatCode="General">
                        <c:v>3.1904141818181896E-12</c:v>
                      </c:pt>
                      <c:pt idx="11" formatCode="General">
                        <c:v>1.3113219364599294E-13</c:v>
                      </c:pt>
                      <c:pt idx="12" formatCode="General">
                        <c:v>1.0977515885023324E-13</c:v>
                      </c:pt>
                      <c:pt idx="13" formatCode="General">
                        <c:v>8.8418124054473509E-14</c:v>
                      </c:pt>
                      <c:pt idx="14" formatCode="General">
                        <c:v>6.7061089258713806E-14</c:v>
                      </c:pt>
                      <c:pt idx="15" formatCode="General">
                        <c:v>4.5704054462954091E-14</c:v>
                      </c:pt>
                      <c:pt idx="16" formatCode="General">
                        <c:v>2.4347019667194375E-14</c:v>
                      </c:pt>
                      <c:pt idx="17" formatCode="General">
                        <c:v>2.9899848714346473E-15</c:v>
                      </c:pt>
                      <c:pt idx="18" formatCode="General">
                        <c:v>1.3578903030302993E-26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 formatCode="General">
                        <c:v>0.02</c:v>
                      </c:pt>
                      <c:pt idx="5" formatCode="General">
                        <c:v>0.02</c:v>
                      </c:pt>
                      <c:pt idx="6" formatCode="General">
                        <c:v>0.02</c:v>
                      </c:pt>
                      <c:pt idx="7" formatCode="General">
                        <c:v>0.02</c:v>
                      </c:pt>
                      <c:pt idx="8" formatCode="General">
                        <c:v>0.02</c:v>
                      </c:pt>
                      <c:pt idx="9" formatCode="General">
                        <c:v>0.02</c:v>
                      </c:pt>
                      <c:pt idx="10" formatCode="General">
                        <c:v>0.02</c:v>
                      </c:pt>
                      <c:pt idx="11" formatCode="General">
                        <c:v>0.02</c:v>
                      </c:pt>
                      <c:pt idx="12" formatCode="General">
                        <c:v>0.02</c:v>
                      </c:pt>
                      <c:pt idx="13" formatCode="General">
                        <c:v>0.02</c:v>
                      </c:pt>
                      <c:pt idx="14" formatCode="General">
                        <c:v>0.02</c:v>
                      </c:pt>
                      <c:pt idx="15" formatCode="General">
                        <c:v>0.02</c:v>
                      </c:pt>
                      <c:pt idx="16" formatCode="General">
                        <c:v>0.02</c:v>
                      </c:pt>
                      <c:pt idx="17" formatCode="General">
                        <c:v>0.02</c:v>
                      </c:pt>
                      <c:pt idx="18" formatCode="General">
                        <c:v>0.02</c:v>
                      </c:pt>
                      <c:pt idx="19" formatCode="General">
                        <c:v>0.02</c:v>
                      </c:pt>
                      <c:pt idx="20" formatCode="General">
                        <c:v>0.02</c:v>
                      </c:pt>
                      <c:pt idx="21" formatCode="General">
                        <c:v>0.02</c:v>
                      </c:pt>
                      <c:pt idx="22" formatCode="General">
                        <c:v>0.02</c:v>
                      </c:pt>
                      <c:pt idx="23" formatCode="General">
                        <c:v>0.02</c:v>
                      </c:pt>
                      <c:pt idx="24" formatCode="General">
                        <c:v>0.02</c:v>
                      </c:pt>
                      <c:pt idx="25" formatCode="General">
                        <c:v>0.02</c:v>
                      </c:pt>
                      <c:pt idx="26" formatCode="General">
                        <c:v>0.02</c:v>
                      </c:pt>
                      <c:pt idx="27" formatCode="General">
                        <c:v>0.02</c:v>
                      </c:pt>
                      <c:pt idx="28" formatCode="General">
                        <c:v>0.02</c:v>
                      </c:pt>
                      <c:pt idx="29" formatCode="General">
                        <c:v>0.02</c:v>
                      </c:pt>
                      <c:pt idx="30" formatCode="General">
                        <c:v>0.02</c:v>
                      </c:pt>
                      <c:pt idx="31" formatCode="General">
                        <c:v>0.02</c:v>
                      </c:pt>
                      <c:pt idx="32" formatCode="General">
                        <c:v>0.02</c:v>
                      </c:pt>
                      <c:pt idx="33" formatCode="General">
                        <c:v>0.02</c:v>
                      </c:pt>
                      <c:pt idx="34" formatCode="General">
                        <c:v>0.02</c:v>
                      </c:pt>
                      <c:pt idx="35" formatCode="General">
                        <c:v>0.02</c:v>
                      </c:pt>
                      <c:pt idx="36" formatCode="General">
                        <c:v>0.02</c:v>
                      </c:pt>
                      <c:pt idx="37" formatCode="General">
                        <c:v>0.02</c:v>
                      </c:pt>
                      <c:pt idx="38" formatCode="General">
                        <c:v>0.02</c:v>
                      </c:pt>
                      <c:pt idx="39" formatCode="General">
                        <c:v>0.02</c:v>
                      </c:pt>
                      <c:pt idx="40" formatCode="General">
                        <c:v>0.02</c:v>
                      </c:pt>
                      <c:pt idx="41" formatCode="General">
                        <c:v>0.02</c:v>
                      </c:pt>
                      <c:pt idx="42" formatCode="General">
                        <c:v>0.02</c:v>
                      </c:pt>
                      <c:pt idx="43" formatCode="General">
                        <c:v>0.02</c:v>
                      </c:pt>
                      <c:pt idx="44" formatCode="General">
                        <c:v>0.02</c:v>
                      </c:pt>
                      <c:pt idx="45" formatCode="General">
                        <c:v>0.02</c:v>
                      </c:pt>
                      <c:pt idx="46" formatCode="General">
                        <c:v>1.4212210909090943E-2</c:v>
                      </c:pt>
                      <c:pt idx="47" formatCode="General">
                        <c:v>7.3699169696969831E-3</c:v>
                      </c:pt>
                      <c:pt idx="48" formatCode="General">
                        <c:v>4.3954321212121353E-3</c:v>
                      </c:pt>
                      <c:pt idx="49" formatCode="General">
                        <c:v>2.2444002409638579E-3</c:v>
                      </c:pt>
                      <c:pt idx="50" formatCode="General">
                        <c:v>9.8544240963854986E-4</c:v>
                      </c:pt>
                      <c:pt idx="51" formatCode="General">
                        <c:v>4.4134587878787699E-4</c:v>
                      </c:pt>
                      <c:pt idx="52" formatCode="General">
                        <c:v>1.0969016363636336E-4</c:v>
                      </c:pt>
                      <c:pt idx="53" formatCode="General">
                        <c:v>4.9102890909090633E-5</c:v>
                      </c:pt>
                      <c:pt idx="54" formatCode="General">
                        <c:v>1.4816052121212076E-5</c:v>
                      </c:pt>
                      <c:pt idx="55" formatCode="General">
                        <c:v>4.806536969696922E-6</c:v>
                      </c:pt>
                      <c:pt idx="56" formatCode="General">
                        <c:v>1.9953754545454465E-6</c:v>
                      </c:pt>
                      <c:pt idx="57" formatCode="General">
                        <c:v>6.2032924750378176E-7</c:v>
                      </c:pt>
                      <c:pt idx="58" formatCode="General">
                        <c:v>5.2341673615733698E-7</c:v>
                      </c:pt>
                      <c:pt idx="59" formatCode="General">
                        <c:v>4.2650422481089226E-7</c:v>
                      </c:pt>
                      <c:pt idx="60" formatCode="General">
                        <c:v>3.2959171346444754E-7</c:v>
                      </c:pt>
                      <c:pt idx="61" formatCode="General">
                        <c:v>2.3267920211800276E-7</c:v>
                      </c:pt>
                      <c:pt idx="62" formatCode="General">
                        <c:v>1.3576669077155798E-7</c:v>
                      </c:pt>
                      <c:pt idx="63" formatCode="General">
                        <c:v>3.8854179425113315E-8</c:v>
                      </c:pt>
                      <c:pt idx="64" formatCode="General">
                        <c:v>9.6089549531013581E-10</c:v>
                      </c:pt>
                      <c:pt idx="65" formatCode="General">
                        <c:v>8.0121597942511312E-10</c:v>
                      </c:pt>
                      <c:pt idx="66" formatCode="General">
                        <c:v>6.4153646354009044E-10</c:v>
                      </c:pt>
                      <c:pt idx="67" formatCode="General">
                        <c:v>4.8185694765506786E-10</c:v>
                      </c:pt>
                      <c:pt idx="68" formatCode="General">
                        <c:v>3.2217743177004517E-10</c:v>
                      </c:pt>
                      <c:pt idx="69" formatCode="General">
                        <c:v>1.6249791588502259E-10</c:v>
                      </c:pt>
                      <c:pt idx="70" formatCode="General">
                        <c:v>2.8183999999999E-12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4.750484114977298E-34</c:v>
                      </c:pt>
                      <c:pt idx="12" formatCode="General">
                        <c:v>1.4857897125567317E-33</c:v>
                      </c:pt>
                      <c:pt idx="13" formatCode="General">
                        <c:v>2.4965310136157337E-33</c:v>
                      </c:pt>
                      <c:pt idx="14" formatCode="General">
                        <c:v>3.5072723146747357E-33</c:v>
                      </c:pt>
                      <c:pt idx="15" formatCode="General">
                        <c:v>4.5180136157337374E-33</c:v>
                      </c:pt>
                      <c:pt idx="16" formatCode="General">
                        <c:v>5.5287549167927397E-33</c:v>
                      </c:pt>
                      <c:pt idx="17" formatCode="General">
                        <c:v>6.539496217851742E-33</c:v>
                      </c:pt>
                      <c:pt idx="18" formatCode="General">
                        <c:v>4.1052605454545557E-31</c:v>
                      </c:pt>
                      <c:pt idx="19" formatCode="General">
                        <c:v>9.387109090909183E-30</c:v>
                      </c:pt>
                      <c:pt idx="20" formatCode="General">
                        <c:v>5.0366200000000086E-29</c:v>
                      </c:pt>
                      <c:pt idx="21" formatCode="General">
                        <c:v>1.6069725636363698E-27</c:v>
                      </c:pt>
                      <c:pt idx="22" formatCode="General">
                        <c:v>4.3544289272727339E-27</c:v>
                      </c:pt>
                      <c:pt idx="23" formatCode="General">
                        <c:v>1.3569010542168692E-25</c:v>
                      </c:pt>
                      <c:pt idx="24" formatCode="General">
                        <c:v>9.7642496493181815E-21</c:v>
                      </c:pt>
                      <c:pt idx="25" formatCode="General">
                        <c:v>4.8820273326590917E-20</c:v>
                      </c:pt>
                      <c:pt idx="26" formatCode="General">
                        <c:v>8.7876297003863633E-20</c:v>
                      </c:pt>
                      <c:pt idx="27" formatCode="General">
                        <c:v>1.2693232068113638E-19</c:v>
                      </c:pt>
                      <c:pt idx="28" formatCode="General">
                        <c:v>1.659883443584091E-19</c:v>
                      </c:pt>
                      <c:pt idx="29" formatCode="General">
                        <c:v>2.0504436803568185E-19</c:v>
                      </c:pt>
                      <c:pt idx="30" formatCode="General">
                        <c:v>2.4410039171295454E-19</c:v>
                      </c:pt>
                      <c:pt idx="31" formatCode="General">
                        <c:v>2.175028185960665E-15</c:v>
                      </c:pt>
                      <c:pt idx="32" formatCode="General">
                        <c:v>5.5208288259001491E-15</c:v>
                      </c:pt>
                      <c:pt idx="33" formatCode="General">
                        <c:v>8.8666294658396331E-15</c:v>
                      </c:pt>
                      <c:pt idx="34" formatCode="General">
                        <c:v>1.2212430105779116E-14</c:v>
                      </c:pt>
                      <c:pt idx="35" formatCode="General">
                        <c:v>1.55582307457186E-14</c:v>
                      </c:pt>
                      <c:pt idx="36" formatCode="General">
                        <c:v>1.8904031385658086E-14</c:v>
                      </c:pt>
                      <c:pt idx="37" formatCode="General">
                        <c:v>1.8306357216337844E-12</c:v>
                      </c:pt>
                      <c:pt idx="38" formatCode="General">
                        <c:v>4.7043628762480969E-11</c:v>
                      </c:pt>
                      <c:pt idx="39" formatCode="General">
                        <c:v>9.2256621803328156E-11</c:v>
                      </c:pt>
                      <c:pt idx="40" formatCode="General">
                        <c:v>1.3746961484417534E-10</c:v>
                      </c:pt>
                      <c:pt idx="41" formatCode="General">
                        <c:v>1.8268260788502253E-10</c:v>
                      </c:pt>
                      <c:pt idx="42" formatCode="General">
                        <c:v>2.278956009258697E-10</c:v>
                      </c:pt>
                      <c:pt idx="43" formatCode="General">
                        <c:v>2.7310859396671694E-10</c:v>
                      </c:pt>
                      <c:pt idx="44" formatCode="General">
                        <c:v>8.8629127272726661E-10</c:v>
                      </c:pt>
                      <c:pt idx="45" formatCode="General">
                        <c:v>2.2523639999999941E-9</c:v>
                      </c:pt>
                      <c:pt idx="46" formatCode="General">
                        <c:v>5.0315036363636213E-9</c:v>
                      </c:pt>
                      <c:pt idx="47" formatCode="General">
                        <c:v>8.827425454545418E-9</c:v>
                      </c:pt>
                      <c:pt idx="48" formatCode="General">
                        <c:v>1.6760698181818147E-8</c:v>
                      </c:pt>
                      <c:pt idx="49" formatCode="General">
                        <c:v>2.5769277108433713E-8</c:v>
                      </c:pt>
                      <c:pt idx="50" formatCode="General">
                        <c:v>3.5942771084337386E-8</c:v>
                      </c:pt>
                      <c:pt idx="51" formatCode="General">
                        <c:v>3.7839599999999998E-8</c:v>
                      </c:pt>
                      <c:pt idx="52" formatCode="General">
                        <c:v>3.7881375757575757E-8</c:v>
                      </c:pt>
                      <c:pt idx="53" formatCode="General">
                        <c:v>3.7736527272727272E-8</c:v>
                      </c:pt>
                      <c:pt idx="54" formatCode="General">
                        <c:v>3.7452381818181816E-8</c:v>
                      </c:pt>
                      <c:pt idx="55" formatCode="General">
                        <c:v>3.7039654545454544E-8</c:v>
                      </c:pt>
                      <c:pt idx="56" formatCode="General">
                        <c:v>3.6403363636363636E-8</c:v>
                      </c:pt>
                      <c:pt idx="57" formatCode="General">
                        <c:v>3.5622391830559753E-8</c:v>
                      </c:pt>
                      <c:pt idx="58" formatCode="General">
                        <c:v>3.4446900151285926E-8</c:v>
                      </c:pt>
                      <c:pt idx="59" formatCode="General">
                        <c:v>3.3271408472012099E-8</c:v>
                      </c:pt>
                      <c:pt idx="60" formatCode="General">
                        <c:v>3.2095916792738272E-8</c:v>
                      </c:pt>
                      <c:pt idx="61" formatCode="General">
                        <c:v>3.0920425113464445E-8</c:v>
                      </c:pt>
                      <c:pt idx="62" formatCode="General">
                        <c:v>2.9744933434190619E-8</c:v>
                      </c:pt>
                      <c:pt idx="63" formatCode="General">
                        <c:v>2.8569441754916792E-8</c:v>
                      </c:pt>
                      <c:pt idx="64" formatCode="General">
                        <c:v>2.7157794251134639E-8</c:v>
                      </c:pt>
                      <c:pt idx="65" formatCode="General">
                        <c:v>2.5595161875945534E-8</c:v>
                      </c:pt>
                      <c:pt idx="66" formatCode="General">
                        <c:v>2.4032529500756428E-8</c:v>
                      </c:pt>
                      <c:pt idx="67" formatCode="General">
                        <c:v>2.246989712556732E-8</c:v>
                      </c:pt>
                      <c:pt idx="68" formatCode="General">
                        <c:v>2.0907264750378214E-8</c:v>
                      </c:pt>
                      <c:pt idx="69" formatCode="General">
                        <c:v>1.9344632375189109E-8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0.12276351515151515</c:v>
                      </c:pt>
                      <c:pt idx="1">
                        <c:v>0.11123980606060604</c:v>
                      </c:pt>
                      <c:pt idx="2">
                        <c:v>9.5291927272727256E-2</c:v>
                      </c:pt>
                      <c:pt idx="3">
                        <c:v>7.6689945454545438E-2</c:v>
                      </c:pt>
                      <c:pt idx="4" formatCode="General">
                        <c:v>5.8005612405446286E-2</c:v>
                      </c:pt>
                      <c:pt idx="5" formatCode="General">
                        <c:v>4.9663267473524959E-2</c:v>
                      </c:pt>
                      <c:pt idx="6" formatCode="General">
                        <c:v>4.1320922541603633E-2</c:v>
                      </c:pt>
                      <c:pt idx="7" formatCode="General">
                        <c:v>3.29785776096823E-2</c:v>
                      </c:pt>
                      <c:pt idx="8" formatCode="General">
                        <c:v>2.4636232677760973E-2</c:v>
                      </c:pt>
                      <c:pt idx="9" formatCode="General">
                        <c:v>1.6293887745839647E-2</c:v>
                      </c:pt>
                      <c:pt idx="10" formatCode="General">
                        <c:v>7.9515428139183136E-3</c:v>
                      </c:pt>
                      <c:pt idx="11" formatCode="General">
                        <c:v>3.0191103030303042E-3</c:v>
                      </c:pt>
                      <c:pt idx="12" formatCode="General">
                        <c:v>1.9318981818181832E-3</c:v>
                      </c:pt>
                      <c:pt idx="13" formatCode="General">
                        <c:v>1.3091092121212127E-3</c:v>
                      </c:pt>
                      <c:pt idx="14" formatCode="General">
                        <c:v>8.3243897590361466E-4</c:v>
                      </c:pt>
                      <c:pt idx="15" formatCode="General">
                        <c:v>5.714329518072286E-4</c:v>
                      </c:pt>
                      <c:pt idx="16" formatCode="General">
                        <c:v>3.7277363636363607E-4</c:v>
                      </c:pt>
                      <c:pt idx="17" formatCode="General">
                        <c:v>2.3401606060606029E-4</c:v>
                      </c:pt>
                      <c:pt idx="18" formatCode="General">
                        <c:v>1.5213992727272711E-4</c:v>
                      </c:pt>
                      <c:pt idx="19" formatCode="General">
                        <c:v>8.7480018181818094E-5</c:v>
                      </c:pt>
                      <c:pt idx="20" formatCode="General">
                        <c:v>5.2751533333333257E-5</c:v>
                      </c:pt>
                      <c:pt idx="21" formatCode="General">
                        <c:v>2.9341157575757543E-5</c:v>
                      </c:pt>
                      <c:pt idx="22" formatCode="General">
                        <c:v>1.4823581818181785E-5</c:v>
                      </c:pt>
                      <c:pt idx="23" formatCode="General">
                        <c:v>8.6475132530120417E-6</c:v>
                      </c:pt>
                      <c:pt idx="24" formatCode="General">
                        <c:v>4.1697757575757574E-6</c:v>
                      </c:pt>
                      <c:pt idx="25" formatCode="General">
                        <c:v>2.3120787878787875E-6</c:v>
                      </c:pt>
                      <c:pt idx="26" formatCode="General">
                        <c:v>1.1940254545454546E-6</c:v>
                      </c:pt>
                      <c:pt idx="27" formatCode="General">
                        <c:v>5.6906787878787884E-7</c:v>
                      </c:pt>
                      <c:pt idx="28" formatCode="General">
                        <c:v>3.3705333333333334E-7</c:v>
                      </c:pt>
                      <c:pt idx="29" formatCode="General">
                        <c:v>1.6720872727272726E-7</c:v>
                      </c:pt>
                      <c:pt idx="30" formatCode="General">
                        <c:v>9.4171151515151524E-8</c:v>
                      </c:pt>
                      <c:pt idx="31" formatCode="General">
                        <c:v>5.181528915662653E-8</c:v>
                      </c:pt>
                      <c:pt idx="32" formatCode="General">
                        <c:v>2.5980349397590417E-8</c:v>
                      </c:pt>
                      <c:pt idx="33" formatCode="General">
                        <c:v>1.6267680000000021E-8</c:v>
                      </c:pt>
                      <c:pt idx="34" formatCode="General">
                        <c:v>8.732949090909098E-9</c:v>
                      </c:pt>
                      <c:pt idx="35" formatCode="General">
                        <c:v>5.1098581818181899E-9</c:v>
                      </c:pt>
                      <c:pt idx="36" formatCode="General">
                        <c:v>3.0083218181818215E-9</c:v>
                      </c:pt>
                      <c:pt idx="37" formatCode="General">
                        <c:v>1.6375257428139188E-9</c:v>
                      </c:pt>
                      <c:pt idx="38" formatCode="General">
                        <c:v>1.3981693131618766E-9</c:v>
                      </c:pt>
                      <c:pt idx="39" formatCode="General">
                        <c:v>1.1588128835098343E-9</c:v>
                      </c:pt>
                      <c:pt idx="40" formatCode="General">
                        <c:v>9.1945645385779207E-10</c:v>
                      </c:pt>
                      <c:pt idx="41" formatCode="General">
                        <c:v>6.8010002420574983E-10</c:v>
                      </c:pt>
                      <c:pt idx="42" formatCode="General">
                        <c:v>4.4074359455370758E-10</c:v>
                      </c:pt>
                      <c:pt idx="43" formatCode="General">
                        <c:v>2.0138716490166534E-10</c:v>
                      </c:pt>
                      <c:pt idx="44" formatCode="General">
                        <c:v>6.0955975794251171E-11</c:v>
                      </c:pt>
                      <c:pt idx="45" formatCode="General">
                        <c:v>5.1658245083207288E-11</c:v>
                      </c:pt>
                      <c:pt idx="46" formatCode="General">
                        <c:v>4.2360514372163404E-11</c:v>
                      </c:pt>
                      <c:pt idx="47" formatCode="General">
                        <c:v>3.3062783661119514E-11</c:v>
                      </c:pt>
                      <c:pt idx="48" formatCode="General">
                        <c:v>2.376505295007563E-11</c:v>
                      </c:pt>
                      <c:pt idx="49" formatCode="General">
                        <c:v>1.446732223903174E-11</c:v>
                      </c:pt>
                      <c:pt idx="50" formatCode="General">
                        <c:v>5.1695915279878564E-12</c:v>
                      </c:pt>
                      <c:pt idx="51" formatCode="General">
                        <c:v>2.6338072727272681E-12</c:v>
                      </c:pt>
                      <c:pt idx="52" formatCode="General">
                        <c:v>1.6725907878787856E-12</c:v>
                      </c:pt>
                      <c:pt idx="53" formatCode="General">
                        <c:v>1.1519483636363612E-12</c:v>
                      </c:pt>
                      <c:pt idx="54" formatCode="General">
                        <c:v>7.6568654545454426E-13</c:v>
                      </c:pt>
                      <c:pt idx="55" formatCode="General">
                        <c:v>5.0346836363636243E-13</c:v>
                      </c:pt>
                      <c:pt idx="56" formatCode="General">
                        <c:v>3.526312727272721E-13</c:v>
                      </c:pt>
                      <c:pt idx="57" formatCode="General">
                        <c:v>2.3273096385542137E-13</c:v>
                      </c:pt>
                      <c:pt idx="58" formatCode="General">
                        <c:v>1.6350807228915644E-13</c:v>
                      </c:pt>
                      <c:pt idx="59" formatCode="General">
                        <c:v>1.1311332121212112E-13</c:v>
                      </c:pt>
                      <c:pt idx="60" formatCode="General">
                        <c:v>7.7512109090909007E-14</c:v>
                      </c:pt>
                      <c:pt idx="61" formatCode="General">
                        <c:v>5.6299375757575713E-14</c:v>
                      </c:pt>
                      <c:pt idx="62" formatCode="General">
                        <c:v>3.8795945454545428E-14</c:v>
                      </c:pt>
                      <c:pt idx="63" formatCode="General">
                        <c:v>2.7799581818181791E-14</c:v>
                      </c:pt>
                      <c:pt idx="64" formatCode="General">
                        <c:v>2.158151739788199E-14</c:v>
                      </c:pt>
                      <c:pt idx="65" formatCode="General">
                        <c:v>1.8418431164901657E-14</c:v>
                      </c:pt>
                      <c:pt idx="66" formatCode="General">
                        <c:v>1.5255344931921324E-14</c:v>
                      </c:pt>
                      <c:pt idx="67" formatCode="General">
                        <c:v>1.2092258698940994E-14</c:v>
                      </c:pt>
                      <c:pt idx="68" formatCode="General">
                        <c:v>8.9291724659606648E-15</c:v>
                      </c:pt>
                      <c:pt idx="69" formatCode="General">
                        <c:v>5.766086232980332E-15</c:v>
                      </c:pt>
                      <c:pt idx="70" formatCode="General">
                        <c:v>2.6029999999999991E-15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0.15722648484848487</c:v>
                      </c:pt>
                      <c:pt idx="1">
                        <c:v>0.16874927272727275</c:v>
                      </c:pt>
                      <c:pt idx="2">
                        <c:v>0.18469472727272729</c:v>
                      </c:pt>
                      <c:pt idx="3">
                        <c:v>0.20328145454545457</c:v>
                      </c:pt>
                      <c:pt idx="4" formatCode="General">
                        <c:v>0.22188405446293497</c:v>
                      </c:pt>
                      <c:pt idx="5" formatCode="General">
                        <c:v>0.2294347352496218</c:v>
                      </c:pt>
                      <c:pt idx="6" formatCode="General">
                        <c:v>0.23698541603630863</c:v>
                      </c:pt>
                      <c:pt idx="7" formatCode="General">
                        <c:v>0.24453609682299546</c:v>
                      </c:pt>
                      <c:pt idx="8" formatCode="General">
                        <c:v>0.25208677760968229</c:v>
                      </c:pt>
                      <c:pt idx="9" formatCode="General">
                        <c:v>0.25963745839636909</c:v>
                      </c:pt>
                      <c:pt idx="10" formatCode="General">
                        <c:v>0.26718813918305595</c:v>
                      </c:pt>
                      <c:pt idx="11" formatCode="General">
                        <c:v>0.26933848484848483</c:v>
                      </c:pt>
                      <c:pt idx="12" formatCode="General">
                        <c:v>0.26539909090909092</c:v>
                      </c:pt>
                      <c:pt idx="13" formatCode="General">
                        <c:v>0.25658442424242422</c:v>
                      </c:pt>
                      <c:pt idx="14" formatCode="General">
                        <c:v>0.24539885542168674</c:v>
                      </c:pt>
                      <c:pt idx="15" formatCode="General">
                        <c:v>0.22786271084337345</c:v>
                      </c:pt>
                      <c:pt idx="16" formatCode="General">
                        <c:v>0.20638090909090903</c:v>
                      </c:pt>
                      <c:pt idx="17" formatCode="General">
                        <c:v>0.18110818181818178</c:v>
                      </c:pt>
                      <c:pt idx="18" formatCode="General">
                        <c:v>0.15233812121212115</c:v>
                      </c:pt>
                      <c:pt idx="19" formatCode="General">
                        <c:v>0.12341732727272721</c:v>
                      </c:pt>
                      <c:pt idx="20" formatCode="General">
                        <c:v>9.6071266666666599E-2</c:v>
                      </c:pt>
                      <c:pt idx="21" formatCode="General">
                        <c:v>7.2474151515151464E-2</c:v>
                      </c:pt>
                      <c:pt idx="22" formatCode="General">
                        <c:v>5.1822636363636321E-2</c:v>
                      </c:pt>
                      <c:pt idx="23" formatCode="General">
                        <c:v>3.7995307228915649E-2</c:v>
                      </c:pt>
                      <c:pt idx="24" formatCode="General">
                        <c:v>2.6216606060606062E-2</c:v>
                      </c:pt>
                      <c:pt idx="25" formatCode="General">
                        <c:v>1.8559030303030303E-2</c:v>
                      </c:pt>
                      <c:pt idx="26" formatCode="General">
                        <c:v>1.2963854545454545E-2</c:v>
                      </c:pt>
                      <c:pt idx="27" formatCode="General">
                        <c:v>8.7436121212121215E-3</c:v>
                      </c:pt>
                      <c:pt idx="28" formatCode="General">
                        <c:v>6.3550848484848488E-3</c:v>
                      </c:pt>
                      <c:pt idx="29" formatCode="General">
                        <c:v>4.3757272727272725E-3</c:v>
                      </c:pt>
                      <c:pt idx="30" formatCode="General">
                        <c:v>3.126151515151515E-3</c:v>
                      </c:pt>
                      <c:pt idx="31" formatCode="General">
                        <c:v>2.2430018072289162E-3</c:v>
                      </c:pt>
                      <c:pt idx="32" formatCode="General">
                        <c:v>1.5571584337349411E-3</c:v>
                      </c:pt>
                      <c:pt idx="33" formatCode="General">
                        <c:v>1.1666720000000008E-3</c:v>
                      </c:pt>
                      <c:pt idx="34" formatCode="General">
                        <c:v>8.3559454545454595E-4</c:v>
                      </c:pt>
                      <c:pt idx="35" formatCode="General">
                        <c:v>6.1404909090909143E-4</c:v>
                      </c:pt>
                      <c:pt idx="36" formatCode="General">
                        <c:v>4.5643527272727299E-4</c:v>
                      </c:pt>
                      <c:pt idx="37" formatCode="General">
                        <c:v>3.3101901361573386E-4</c:v>
                      </c:pt>
                      <c:pt idx="38" formatCode="General">
                        <c:v>2.8899435400907725E-4</c:v>
                      </c:pt>
                      <c:pt idx="39" formatCode="General">
                        <c:v>2.4696969440242075E-4</c:v>
                      </c:pt>
                      <c:pt idx="40" formatCode="General">
                        <c:v>2.0494503479576417E-4</c:v>
                      </c:pt>
                      <c:pt idx="41" formatCode="General">
                        <c:v>1.6292037518910758E-4</c:v>
                      </c:pt>
                      <c:pt idx="42" formatCode="General">
                        <c:v>1.2089571558245103E-4</c:v>
                      </c:pt>
                      <c:pt idx="43" formatCode="General">
                        <c:v>7.8871055975794472E-5</c:v>
                      </c:pt>
                      <c:pt idx="44" formatCode="General">
                        <c:v>5.2056036308623328E-5</c:v>
                      </c:pt>
                      <c:pt idx="45" formatCode="General">
                        <c:v>4.540263237518913E-5</c:v>
                      </c:pt>
                      <c:pt idx="46" formatCode="General">
                        <c:v>3.8749228441754924E-5</c:v>
                      </c:pt>
                      <c:pt idx="47" formatCode="General">
                        <c:v>3.2095824508320725E-5</c:v>
                      </c:pt>
                      <c:pt idx="48" formatCode="General">
                        <c:v>2.5442420574886523E-5</c:v>
                      </c:pt>
                      <c:pt idx="49" formatCode="General">
                        <c:v>1.8789016641452321E-5</c:v>
                      </c:pt>
                      <c:pt idx="50" formatCode="General">
                        <c:v>1.2135612708018123E-5</c:v>
                      </c:pt>
                      <c:pt idx="51" formatCode="General">
                        <c:v>9.2316545454545363E-6</c:v>
                      </c:pt>
                      <c:pt idx="52" formatCode="General">
                        <c:v>7.2669739393939326E-6</c:v>
                      </c:pt>
                      <c:pt idx="53" formatCode="General">
                        <c:v>5.8697618181818117E-6</c:v>
                      </c:pt>
                      <c:pt idx="54" formatCode="General">
                        <c:v>4.706329090909087E-6</c:v>
                      </c:pt>
                      <c:pt idx="55" formatCode="General">
                        <c:v>3.7586927272727231E-6</c:v>
                      </c:pt>
                      <c:pt idx="56" formatCode="General">
                        <c:v>3.0708963636363608E-6</c:v>
                      </c:pt>
                      <c:pt idx="57" formatCode="General">
                        <c:v>2.4667602409638536E-6</c:v>
                      </c:pt>
                      <c:pt idx="58" formatCode="General">
                        <c:v>2.0215795180722878E-6</c:v>
                      </c:pt>
                      <c:pt idx="59" formatCode="General">
                        <c:v>1.6560709090909084E-6</c:v>
                      </c:pt>
                      <c:pt idx="60" formatCode="General">
                        <c:v>1.3531618181818175E-6</c:v>
                      </c:pt>
                      <c:pt idx="61" formatCode="General">
                        <c:v>1.1274427878787875E-6</c:v>
                      </c:pt>
                      <c:pt idx="62" formatCode="General">
                        <c:v>9.2525103030302983E-7</c:v>
                      </c:pt>
                      <c:pt idx="63" formatCode="General">
                        <c:v>7.6829345454545416E-7</c:v>
                      </c:pt>
                      <c:pt idx="64" formatCode="General">
                        <c:v>6.6157455370650506E-7</c:v>
                      </c:pt>
                      <c:pt idx="65" formatCode="General">
                        <c:v>5.8697546142208761E-7</c:v>
                      </c:pt>
                      <c:pt idx="66" formatCode="General">
                        <c:v>5.1237636913767006E-7</c:v>
                      </c:pt>
                      <c:pt idx="67" formatCode="General">
                        <c:v>4.3777727685325251E-7</c:v>
                      </c:pt>
                      <c:pt idx="68" formatCode="General">
                        <c:v>3.6317818456883496E-7</c:v>
                      </c:pt>
                      <c:pt idx="69" formatCode="General">
                        <c:v>2.8857909228441746E-7</c:v>
                      </c:pt>
                      <c:pt idx="70" formatCode="General">
                        <c:v>2.1397999999999996E-7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1.1953945454545456E-2</c:v>
                      </c:pt>
                      <c:pt idx="1">
                        <c:v>1.21342E-2</c:v>
                      </c:pt>
                      <c:pt idx="2">
                        <c:v>1.23742E-2</c:v>
                      </c:pt>
                      <c:pt idx="3">
                        <c:v>1.263189696969697E-2</c:v>
                      </c:pt>
                      <c:pt idx="4" formatCode="General">
                        <c:v>1.2883375189107413E-2</c:v>
                      </c:pt>
                      <c:pt idx="5" formatCode="General">
                        <c:v>1.2988065052950075E-2</c:v>
                      </c:pt>
                      <c:pt idx="6" formatCode="General">
                        <c:v>1.3092754916792737E-2</c:v>
                      </c:pt>
                      <c:pt idx="7" formatCode="General">
                        <c:v>1.3197444780635401E-2</c:v>
                      </c:pt>
                      <c:pt idx="8" formatCode="General">
                        <c:v>1.3302134644478063E-2</c:v>
                      </c:pt>
                      <c:pt idx="9" formatCode="General">
                        <c:v>1.3406824508320725E-2</c:v>
                      </c:pt>
                      <c:pt idx="10" formatCode="General">
                        <c:v>1.3511514372163387E-2</c:v>
                      </c:pt>
                      <c:pt idx="11" formatCode="General">
                        <c:v>1.3596054545454544E-2</c:v>
                      </c:pt>
                      <c:pt idx="12" formatCode="General">
                        <c:v>1.3657872727272728E-2</c:v>
                      </c:pt>
                      <c:pt idx="13" formatCode="General">
                        <c:v>1.3756466666666666E-2</c:v>
                      </c:pt>
                      <c:pt idx="14" formatCode="General">
                        <c:v>1.3872753012048192E-2</c:v>
                      </c:pt>
                      <c:pt idx="15" formatCode="General">
                        <c:v>1.4036006024096387E-2</c:v>
                      </c:pt>
                      <c:pt idx="16" formatCode="General">
                        <c:v>1.4222327272727273E-2</c:v>
                      </c:pt>
                      <c:pt idx="17" formatCode="General">
                        <c:v>1.4430812121212121E-2</c:v>
                      </c:pt>
                      <c:pt idx="18" formatCode="General">
                        <c:v>1.4642424242424243E-2</c:v>
                      </c:pt>
                      <c:pt idx="19" formatCode="General">
                        <c:v>1.4846527272727273E-2</c:v>
                      </c:pt>
                      <c:pt idx="20" formatCode="General">
                        <c:v>1.5020466666666666E-2</c:v>
                      </c:pt>
                      <c:pt idx="21" formatCode="General">
                        <c:v>1.5163860606060606E-2</c:v>
                      </c:pt>
                      <c:pt idx="22" formatCode="General">
                        <c:v>1.5283254545454546E-2</c:v>
                      </c:pt>
                      <c:pt idx="23" formatCode="General">
                        <c:v>1.5358686746987952E-2</c:v>
                      </c:pt>
                      <c:pt idx="24" formatCode="General">
                        <c:v>1.5422E-2</c:v>
                      </c:pt>
                      <c:pt idx="25" formatCode="General">
                        <c:v>1.5462E-2</c:v>
                      </c:pt>
                      <c:pt idx="26" formatCode="General">
                        <c:v>1.5490727272727274E-2</c:v>
                      </c:pt>
                      <c:pt idx="27" formatCode="General">
                        <c:v>1.5511939393939394E-2</c:v>
                      </c:pt>
                      <c:pt idx="28" formatCode="General">
                        <c:v>1.5523363636363637E-2</c:v>
                      </c:pt>
                      <c:pt idx="29" formatCode="General">
                        <c:v>1.5532090909090909E-2</c:v>
                      </c:pt>
                      <c:pt idx="30" formatCode="General">
                        <c:v>1.5535727272727272E-2</c:v>
                      </c:pt>
                      <c:pt idx="31" formatCode="General">
                        <c:v>1.5532692771084338E-2</c:v>
                      </c:pt>
                      <c:pt idx="32" formatCode="General">
                        <c:v>1.5526066265060241E-2</c:v>
                      </c:pt>
                      <c:pt idx="33" formatCode="General">
                        <c:v>1.5488199999999999E-2</c:v>
                      </c:pt>
                      <c:pt idx="34" formatCode="General">
                        <c:v>1.5414163636363637E-2</c:v>
                      </c:pt>
                      <c:pt idx="35" formatCode="General">
                        <c:v>1.5270527272727272E-2</c:v>
                      </c:pt>
                      <c:pt idx="36" formatCode="General">
                        <c:v>1.48994E-2</c:v>
                      </c:pt>
                      <c:pt idx="37" formatCode="General">
                        <c:v>1.4368103782148265E-2</c:v>
                      </c:pt>
                      <c:pt idx="38" formatCode="General">
                        <c:v>1.2445698335854769E-2</c:v>
                      </c:pt>
                      <c:pt idx="39" formatCode="General">
                        <c:v>1.0523292889561275E-2</c:v>
                      </c:pt>
                      <c:pt idx="40" formatCode="General">
                        <c:v>8.6008874432677816E-3</c:v>
                      </c:pt>
                      <c:pt idx="41" formatCode="General">
                        <c:v>6.6784819969742887E-3</c:v>
                      </c:pt>
                      <c:pt idx="42" formatCode="General">
                        <c:v>4.7560765506807941E-3</c:v>
                      </c:pt>
                      <c:pt idx="43" formatCode="General">
                        <c:v>2.8336711043873003E-3</c:v>
                      </c:pt>
                      <c:pt idx="44" formatCode="General">
                        <c:v>1.6266714901664154E-3</c:v>
                      </c:pt>
                      <c:pt idx="45" formatCode="General">
                        <c:v>1.3680005370650535E-3</c:v>
                      </c:pt>
                      <c:pt idx="46" formatCode="General">
                        <c:v>1.1093295839636917E-3</c:v>
                      </c:pt>
                      <c:pt idx="47" formatCode="General">
                        <c:v>8.5065863086232973E-4</c:v>
                      </c:pt>
                      <c:pt idx="48" formatCode="General">
                        <c:v>5.9198767776096777E-4</c:v>
                      </c:pt>
                      <c:pt idx="49" formatCode="General">
                        <c:v>3.3331672465960593E-4</c:v>
                      </c:pt>
                      <c:pt idx="50" formatCode="General">
                        <c:v>7.4645771558243864E-5</c:v>
                      </c:pt>
                      <c:pt idx="51" formatCode="General">
                        <c:v>1.911569090909086E-5</c:v>
                      </c:pt>
                      <c:pt idx="52" formatCode="General">
                        <c:v>9.3744018181818012E-6</c:v>
                      </c:pt>
                      <c:pt idx="53" formatCode="General">
                        <c:v>5.4767654545454376E-6</c:v>
                      </c:pt>
                      <c:pt idx="54" formatCode="General">
                        <c:v>2.8799484848484783E-6</c:v>
                      </c:pt>
                      <c:pt idx="55" formatCode="General">
                        <c:v>1.4838878787878725E-6</c:v>
                      </c:pt>
                      <c:pt idx="56" formatCode="General">
                        <c:v>8.6563890909090678E-7</c:v>
                      </c:pt>
                      <c:pt idx="57" formatCode="General">
                        <c:v>4.3394843373493896E-7</c:v>
                      </c:pt>
                      <c:pt idx="58" formatCode="General">
                        <c:v>2.5162313253011997E-7</c:v>
                      </c:pt>
                      <c:pt idx="59" formatCode="General">
                        <c:v>1.260532363636362E-7</c:v>
                      </c:pt>
                      <c:pt idx="60" formatCode="General">
                        <c:v>4.5076872727272533E-8</c:v>
                      </c:pt>
                      <c:pt idx="61" formatCode="General">
                        <c:v>2.1615432121212083E-8</c:v>
                      </c:pt>
                      <c:pt idx="62" formatCode="General">
                        <c:v>7.4380490909090825E-9</c:v>
                      </c:pt>
                      <c:pt idx="63" formatCode="General">
                        <c:v>3.4947763636363552E-9</c:v>
                      </c:pt>
                      <c:pt idx="64" formatCode="General">
                        <c:v>1.7770227385779119E-9</c:v>
                      </c:pt>
                      <c:pt idx="65" formatCode="General">
                        <c:v>1.4821419821482597E-9</c:v>
                      </c:pt>
                      <c:pt idx="66" formatCode="General">
                        <c:v>1.1872612257186079E-9</c:v>
                      </c:pt>
                      <c:pt idx="67" formatCode="General">
                        <c:v>8.9238046928895596E-10</c:v>
                      </c:pt>
                      <c:pt idx="68" formatCode="General">
                        <c:v>5.9749971285930385E-10</c:v>
                      </c:pt>
                      <c:pt idx="69" formatCode="General">
                        <c:v>3.0261895642965196E-10</c:v>
                      </c:pt>
                      <c:pt idx="70" formatCode="General">
                        <c:v>7.7382000000000633E-12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6.3268735757575825E-26</c:v>
                      </c:pt>
                      <c:pt idx="1">
                        <c:v>9.0085721818182058E-25</c:v>
                      </c:pt>
                      <c:pt idx="2">
                        <c:v>3.0094735818181841E-24</c:v>
                      </c:pt>
                      <c:pt idx="3">
                        <c:v>6.4740058181818279E-23</c:v>
                      </c:pt>
                      <c:pt idx="4" formatCode="General">
                        <c:v>1.5609267904084935E-18</c:v>
                      </c:pt>
                      <c:pt idx="5" formatCode="General">
                        <c:v>2.1070738920514385E-17</c:v>
                      </c:pt>
                      <c:pt idx="6" formatCode="General">
                        <c:v>4.0580551050620279E-17</c:v>
                      </c:pt>
                      <c:pt idx="7" formatCode="General">
                        <c:v>6.0090363180726172E-17</c:v>
                      </c:pt>
                      <c:pt idx="8" formatCode="General">
                        <c:v>7.9600175310832059E-17</c:v>
                      </c:pt>
                      <c:pt idx="9" formatCode="General">
                        <c:v>9.9109987440937959E-17</c:v>
                      </c:pt>
                      <c:pt idx="10" formatCode="General">
                        <c:v>1.1861979957104385E-16</c:v>
                      </c:pt>
                      <c:pt idx="11" formatCode="General">
                        <c:v>7.4444351515151374E-16</c:v>
                      </c:pt>
                      <c:pt idx="12" formatCode="General">
                        <c:v>2.0539829090909078E-15</c:v>
                      </c:pt>
                      <c:pt idx="13" formatCode="General">
                        <c:v>1.6842612727272708E-14</c:v>
                      </c:pt>
                      <c:pt idx="14" formatCode="General">
                        <c:v>6.3732391566264908E-14</c:v>
                      </c:pt>
                      <c:pt idx="15" formatCode="General">
                        <c:v>2.5290528313253038E-13</c:v>
                      </c:pt>
                      <c:pt idx="16" formatCode="General">
                        <c:v>1.2167109090909129E-12</c:v>
                      </c:pt>
                      <c:pt idx="17" formatCode="General">
                        <c:v>2.9247715151515189E-12</c:v>
                      </c:pt>
                      <c:pt idx="18" formatCode="General">
                        <c:v>1.4878194545454576E-11</c:v>
                      </c:pt>
                      <c:pt idx="19" formatCode="General">
                        <c:v>4.6630218181818403E-11</c:v>
                      </c:pt>
                      <c:pt idx="20" formatCode="General">
                        <c:v>1.4658840000000022E-10</c:v>
                      </c:pt>
                      <c:pt idx="21" formatCode="General">
                        <c:v>5.7154987878788028E-10</c:v>
                      </c:pt>
                      <c:pt idx="22" formatCode="General">
                        <c:v>1.2518710909090924E-9</c:v>
                      </c:pt>
                      <c:pt idx="23" formatCode="General">
                        <c:v>5.181806024096389E-9</c:v>
                      </c:pt>
                      <c:pt idx="24" formatCode="General">
                        <c:v>1.4554799999999999E-8</c:v>
                      </c:pt>
                      <c:pt idx="25" formatCode="General">
                        <c:v>3.9292799999999996E-8</c:v>
                      </c:pt>
                      <c:pt idx="26" formatCode="General">
                        <c:v>1.2817418181818183E-7</c:v>
                      </c:pt>
                      <c:pt idx="27" formatCode="General">
                        <c:v>2.598178181818182E-7</c:v>
                      </c:pt>
                      <c:pt idx="28" formatCode="General">
                        <c:v>8.8056060606060607E-7</c:v>
                      </c:pt>
                      <c:pt idx="29" formatCode="General">
                        <c:v>2.215809090909091E-6</c:v>
                      </c:pt>
                      <c:pt idx="30" formatCode="General">
                        <c:v>5.1581727272727275E-6</c:v>
                      </c:pt>
                      <c:pt idx="31" formatCode="General">
                        <c:v>1.4239777108433725E-5</c:v>
                      </c:pt>
                      <c:pt idx="32" formatCode="General">
                        <c:v>2.6627126506024065E-5</c:v>
                      </c:pt>
                      <c:pt idx="33" formatCode="General">
                        <c:v>7.5470399999999886E-5</c:v>
                      </c:pt>
                      <c:pt idx="34" formatCode="General">
                        <c:v>1.6914381818181778E-4</c:v>
                      </c:pt>
                      <c:pt idx="35" formatCode="General">
                        <c:v>3.4912563636363598E-4</c:v>
                      </c:pt>
                      <c:pt idx="36" formatCode="General">
                        <c:v>8.125134545454532E-4</c:v>
                      </c:pt>
                      <c:pt idx="37" formatCode="General">
                        <c:v>1.4696417549167875E-3</c:v>
                      </c:pt>
                      <c:pt idx="38" formatCode="General">
                        <c:v>3.7206856278366048E-3</c:v>
                      </c:pt>
                      <c:pt idx="39" formatCode="General">
                        <c:v>5.9717295007564227E-3</c:v>
                      </c:pt>
                      <c:pt idx="40" formatCode="General">
                        <c:v>8.2227733736762402E-3</c:v>
                      </c:pt>
                      <c:pt idx="41" formatCode="General">
                        <c:v>1.0473817246596058E-2</c:v>
                      </c:pt>
                      <c:pt idx="42" formatCode="General">
                        <c:v>1.2724861119515875E-2</c:v>
                      </c:pt>
                      <c:pt idx="43" formatCode="General">
                        <c:v>1.4975904992435693E-2</c:v>
                      </c:pt>
                      <c:pt idx="44" formatCode="General">
                        <c:v>1.6119526475037824E-2</c:v>
                      </c:pt>
                      <c:pt idx="45" formatCode="General">
                        <c:v>1.5795169440242059E-2</c:v>
                      </c:pt>
                      <c:pt idx="46" formatCode="General">
                        <c:v>1.5470812405446293E-2</c:v>
                      </c:pt>
                      <c:pt idx="47" formatCode="General">
                        <c:v>1.5146455370650529E-2</c:v>
                      </c:pt>
                      <c:pt idx="48" formatCode="General">
                        <c:v>1.4822098335854765E-2</c:v>
                      </c:pt>
                      <c:pt idx="49" formatCode="General">
                        <c:v>1.4497741301059E-2</c:v>
                      </c:pt>
                      <c:pt idx="50" formatCode="General">
                        <c:v>1.4173384266263238E-2</c:v>
                      </c:pt>
                      <c:pt idx="51" formatCode="General">
                        <c:v>1.3357618181818178E-2</c:v>
                      </c:pt>
                      <c:pt idx="52" formatCode="General">
                        <c:v>1.2423472727272723E-2</c:v>
                      </c:pt>
                      <c:pt idx="53" formatCode="General">
                        <c:v>1.1438018181818178E-2</c:v>
                      </c:pt>
                      <c:pt idx="54" formatCode="General">
                        <c:v>1.0451964848484844E-2</c:v>
                      </c:pt>
                      <c:pt idx="55" formatCode="General">
                        <c:v>9.4653587878787832E-3</c:v>
                      </c:pt>
                      <c:pt idx="56" formatCode="General">
                        <c:v>8.5295818181818136E-3</c:v>
                      </c:pt>
                      <c:pt idx="57" formatCode="General">
                        <c:v>7.607931325301201E-3</c:v>
                      </c:pt>
                      <c:pt idx="58" formatCode="General">
                        <c:v>6.7094373493975876E-3</c:v>
                      </c:pt>
                      <c:pt idx="59" formatCode="General">
                        <c:v>5.1745848484848435E-3</c:v>
                      </c:pt>
                      <c:pt idx="60" formatCode="General">
                        <c:v>3.1397363636363595E-3</c:v>
                      </c:pt>
                      <c:pt idx="61" formatCode="General">
                        <c:v>2.0919345454545432E-3</c:v>
                      </c:pt>
                      <c:pt idx="62" formatCode="General">
                        <c:v>1.2744740606060595E-3</c:v>
                      </c:pt>
                      <c:pt idx="63" formatCode="General">
                        <c:v>8.3475890909090803E-4</c:v>
                      </c:pt>
                      <c:pt idx="64" formatCode="General">
                        <c:v>6.0579932526475021E-4</c:v>
                      </c:pt>
                      <c:pt idx="65" formatCode="General">
                        <c:v>5.1158510438729184E-4</c:v>
                      </c:pt>
                      <c:pt idx="66" formatCode="General">
                        <c:v>4.1737088350983346E-4</c:v>
                      </c:pt>
                      <c:pt idx="67" formatCode="General">
                        <c:v>3.2315666263237508E-4</c:v>
                      </c:pt>
                      <c:pt idx="68" formatCode="General">
                        <c:v>2.2894244175491671E-4</c:v>
                      </c:pt>
                      <c:pt idx="69" formatCode="General">
                        <c:v>1.3472822087745833E-4</c:v>
                      </c:pt>
                      <c:pt idx="70" formatCode="General">
                        <c:v>4.0513999999999958E-5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2.0811104242424264E-25</c:v>
                      </c:pt>
                      <c:pt idx="1">
                        <c:v>2.6147000606060674E-24</c:v>
                      </c:pt>
                      <c:pt idx="2">
                        <c:v>8.6346212727272787E-24</c:v>
                      </c:pt>
                      <c:pt idx="3">
                        <c:v>1.5154818181818205E-22</c:v>
                      </c:pt>
                      <c:pt idx="4" formatCode="General">
                        <c:v>1.2149700988351153E-18</c:v>
                      </c:pt>
                      <c:pt idx="5" formatCode="General">
                        <c:v>1.6397976209273838E-17</c:v>
                      </c:pt>
                      <c:pt idx="6" formatCode="General">
                        <c:v>3.1580982319712566E-17</c:v>
                      </c:pt>
                      <c:pt idx="7" formatCode="General">
                        <c:v>4.676398843015129E-17</c:v>
                      </c:pt>
                      <c:pt idx="8" formatCode="General">
                        <c:v>6.1946994540590014E-17</c:v>
                      </c:pt>
                      <c:pt idx="9" formatCode="General">
                        <c:v>7.7130000651028745E-17</c:v>
                      </c:pt>
                      <c:pt idx="10" formatCode="General">
                        <c:v>9.2313006761467463E-17</c:v>
                      </c:pt>
                      <c:pt idx="11" formatCode="General">
                        <c:v>4.7751078787878695E-16</c:v>
                      </c:pt>
                      <c:pt idx="12" formatCode="General">
                        <c:v>1.2799592727272717E-15</c:v>
                      </c:pt>
                      <c:pt idx="13" formatCode="General">
                        <c:v>8.8653284848484727E-15</c:v>
                      </c:pt>
                      <c:pt idx="14" formatCode="General">
                        <c:v>3.0732608433734876E-14</c:v>
                      </c:pt>
                      <c:pt idx="15" formatCode="General">
                        <c:v>1.1505971686747002E-13</c:v>
                      </c:pt>
                      <c:pt idx="16" formatCode="General">
                        <c:v>5.0541163636363802E-13</c:v>
                      </c:pt>
                      <c:pt idx="17" formatCode="General">
                        <c:v>1.1897873939393955E-12</c:v>
                      </c:pt>
                      <c:pt idx="18" formatCode="General">
                        <c:v>5.5473430303030418E-12</c:v>
                      </c:pt>
                      <c:pt idx="19" formatCode="General">
                        <c:v>1.6356792727272803E-11</c:v>
                      </c:pt>
                      <c:pt idx="20" formatCode="General">
                        <c:v>4.9188186666666738E-11</c:v>
                      </c:pt>
                      <c:pt idx="21" formatCode="General">
                        <c:v>1.7538149090909136E-10</c:v>
                      </c:pt>
                      <c:pt idx="22" formatCode="General">
                        <c:v>3.7493058181818229E-10</c:v>
                      </c:pt>
                      <c:pt idx="23" formatCode="General">
                        <c:v>1.3978972891566278E-9</c:v>
                      </c:pt>
                      <c:pt idx="24" formatCode="General">
                        <c:v>3.6445030303030302E-9</c:v>
                      </c:pt>
                      <c:pt idx="25" formatCode="General">
                        <c:v>9.3177151515151522E-9</c:v>
                      </c:pt>
                      <c:pt idx="26" formatCode="General">
                        <c:v>2.757318181818182E-8</c:v>
                      </c:pt>
                      <c:pt idx="27" formatCode="General">
                        <c:v>5.4216818181818193E-8</c:v>
                      </c:pt>
                      <c:pt idx="28" formatCode="General">
                        <c:v>1.6537533333333333E-7</c:v>
                      </c:pt>
                      <c:pt idx="29" formatCode="General">
                        <c:v>3.8595454545454542E-7</c:v>
                      </c:pt>
                      <c:pt idx="30" formatCode="General">
                        <c:v>8.5146969696969687E-7</c:v>
                      </c:pt>
                      <c:pt idx="31" formatCode="General">
                        <c:v>2.1428939759036127E-6</c:v>
                      </c:pt>
                      <c:pt idx="32" formatCode="General">
                        <c:v>3.8790385542168628E-6</c:v>
                      </c:pt>
                      <c:pt idx="33" formatCode="General">
                        <c:v>9.9561599999999867E-6</c:v>
                      </c:pt>
                      <c:pt idx="34" formatCode="General">
                        <c:v>2.0796618181818135E-5</c:v>
                      </c:pt>
                      <c:pt idx="35" formatCode="General">
                        <c:v>4.0798436363636317E-5</c:v>
                      </c:pt>
                      <c:pt idx="36" formatCode="General">
                        <c:v>8.8428690909090777E-5</c:v>
                      </c:pt>
                      <c:pt idx="37" formatCode="General">
                        <c:v>1.638638275340383E-4</c:v>
                      </c:pt>
                      <c:pt idx="38" formatCode="General">
                        <c:v>6.0870951588502147E-4</c:v>
                      </c:pt>
                      <c:pt idx="39" formatCode="General">
                        <c:v>1.0535552042360047E-3</c:v>
                      </c:pt>
                      <c:pt idx="40" formatCode="General">
                        <c:v>1.4984008925869878E-3</c:v>
                      </c:pt>
                      <c:pt idx="41" formatCode="General">
                        <c:v>1.9432465809379709E-3</c:v>
                      </c:pt>
                      <c:pt idx="42" formatCode="General">
                        <c:v>2.3880922692889541E-3</c:v>
                      </c:pt>
                      <c:pt idx="43" formatCode="General">
                        <c:v>2.8329379576399372E-3</c:v>
                      </c:pt>
                      <c:pt idx="44" formatCode="General">
                        <c:v>3.6467685325264699E-3</c:v>
                      </c:pt>
                      <c:pt idx="45" formatCode="General">
                        <c:v>4.9497186081694363E-3</c:v>
                      </c:pt>
                      <c:pt idx="46" formatCode="General">
                        <c:v>6.2526686838124037E-3</c:v>
                      </c:pt>
                      <c:pt idx="47" formatCode="General">
                        <c:v>7.5556187594553702E-3</c:v>
                      </c:pt>
                      <c:pt idx="48" formatCode="General">
                        <c:v>8.8585688350983367E-3</c:v>
                      </c:pt>
                      <c:pt idx="49" formatCode="General">
                        <c:v>1.0161518910741303E-2</c:v>
                      </c:pt>
                      <c:pt idx="50" formatCode="General">
                        <c:v>1.1464468986384271E-2</c:v>
                      </c:pt>
                      <c:pt idx="51" formatCode="General">
                        <c:v>1.323612727272728E-2</c:v>
                      </c:pt>
                      <c:pt idx="52" formatCode="General">
                        <c:v>1.5128909090909099E-2</c:v>
                      </c:pt>
                      <c:pt idx="53" formatCode="General">
                        <c:v>1.7110727272727284E-2</c:v>
                      </c:pt>
                      <c:pt idx="54" formatCode="General">
                        <c:v>1.9089393939393951E-2</c:v>
                      </c:pt>
                      <c:pt idx="55" formatCode="General">
                        <c:v>2.1065151515151526E-2</c:v>
                      </c:pt>
                      <c:pt idx="56" formatCode="General">
                        <c:v>2.2938090909090918E-2</c:v>
                      </c:pt>
                      <c:pt idx="57" formatCode="General">
                        <c:v>2.4709445783132535E-2</c:v>
                      </c:pt>
                      <c:pt idx="58" formatCode="General">
                        <c:v>2.6175108433734943E-2</c:v>
                      </c:pt>
                      <c:pt idx="59" formatCode="General">
                        <c:v>2.5078569696969689E-2</c:v>
                      </c:pt>
                      <c:pt idx="60" formatCode="General">
                        <c:v>2.1968872727272722E-2</c:v>
                      </c:pt>
                      <c:pt idx="61" formatCode="General">
                        <c:v>1.9237515151515144E-2</c:v>
                      </c:pt>
                      <c:pt idx="62" formatCode="General">
                        <c:v>1.6663175757575751E-2</c:v>
                      </c:pt>
                      <c:pt idx="63" formatCode="General">
                        <c:v>1.4429236363636359E-2</c:v>
                      </c:pt>
                      <c:pt idx="64" formatCode="General">
                        <c:v>1.2731214674735248E-2</c:v>
                      </c:pt>
                      <c:pt idx="65" formatCode="General">
                        <c:v>1.1375828895612707E-2</c:v>
                      </c:pt>
                      <c:pt idx="66" formatCode="General">
                        <c:v>1.0020443116490165E-2</c:v>
                      </c:pt>
                      <c:pt idx="67" formatCode="General">
                        <c:v>8.6650573373676237E-3</c:v>
                      </c:pt>
                      <c:pt idx="68" formatCode="General">
                        <c:v>7.3096715582450823E-3</c:v>
                      </c:pt>
                      <c:pt idx="69" formatCode="General">
                        <c:v>5.9542857791225418E-3</c:v>
                      </c:pt>
                      <c:pt idx="70" formatCode="General">
                        <c:v>4.5988999999999995E-3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EVALUATION!$B$107:$BT$107</c:f>
              <c:numCache>
                <c:formatCode>0</c:formatCode>
                <c:ptCount val="71"/>
                <c:pt idx="0">
                  <c:v>2.573569135539396E-12</c:v>
                </c:pt>
                <c:pt idx="1">
                  <c:v>3.3883989636363737E-10</c:v>
                </c:pt>
                <c:pt idx="2">
                  <c:v>1.2196746236363646E-9</c:v>
                </c:pt>
                <c:pt idx="3">
                  <c:v>1.3579630303030326E-7</c:v>
                </c:pt>
                <c:pt idx="4" formatCode="General">
                  <c:v>6.7881690951516133E-3</c:v>
                </c:pt>
                <c:pt idx="5" formatCode="General">
                  <c:v>9.1636469034545573E-2</c:v>
                </c:pt>
                <c:pt idx="6" formatCode="General">
                  <c:v>0.14000000000000001</c:v>
                </c:pt>
                <c:pt idx="7" formatCode="General">
                  <c:v>0.14000000000000001</c:v>
                </c:pt>
                <c:pt idx="8" formatCode="General">
                  <c:v>0.14000000000000001</c:v>
                </c:pt>
                <c:pt idx="9" formatCode="General">
                  <c:v>0.14000000000000001</c:v>
                </c:pt>
                <c:pt idx="10" formatCode="General">
                  <c:v>0.14000000000000001</c:v>
                </c:pt>
                <c:pt idx="11" formatCode="General">
                  <c:v>0.14000000000000001</c:v>
                </c:pt>
                <c:pt idx="12" formatCode="General">
                  <c:v>0.14000000000000001</c:v>
                </c:pt>
                <c:pt idx="13" formatCode="General">
                  <c:v>0.14000000000000001</c:v>
                </c:pt>
                <c:pt idx="14" formatCode="General">
                  <c:v>0.14000000000000001</c:v>
                </c:pt>
                <c:pt idx="15" formatCode="General">
                  <c:v>0.14000000000000001</c:v>
                </c:pt>
                <c:pt idx="16" formatCode="General">
                  <c:v>0.14000000000000001</c:v>
                </c:pt>
                <c:pt idx="17" formatCode="General">
                  <c:v>0.14000000000000001</c:v>
                </c:pt>
                <c:pt idx="18" formatCode="General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0.14000000000000001</c:v>
                </c:pt>
                <c:pt idx="21" formatCode="General">
                  <c:v>0.23503030303030342</c:v>
                </c:pt>
                <c:pt idx="22" formatCode="General">
                  <c:v>0.4047272727272731</c:v>
                </c:pt>
                <c:pt idx="23" formatCode="General">
                  <c:v>0.42</c:v>
                </c:pt>
                <c:pt idx="24" formatCode="General">
                  <c:v>0.42</c:v>
                </c:pt>
                <c:pt idx="25" formatCode="General">
                  <c:v>0.42</c:v>
                </c:pt>
                <c:pt idx="26" formatCode="General">
                  <c:v>0.42</c:v>
                </c:pt>
                <c:pt idx="27" formatCode="General">
                  <c:v>0.42</c:v>
                </c:pt>
                <c:pt idx="28" formatCode="General">
                  <c:v>0.42</c:v>
                </c:pt>
                <c:pt idx="29" formatCode="General">
                  <c:v>0.42</c:v>
                </c:pt>
                <c:pt idx="30" formatCode="General">
                  <c:v>0.42</c:v>
                </c:pt>
                <c:pt idx="31" formatCode="General">
                  <c:v>0.42</c:v>
                </c:pt>
                <c:pt idx="32" formatCode="General">
                  <c:v>0.42</c:v>
                </c:pt>
                <c:pt idx="33" formatCode="General">
                  <c:v>0.42</c:v>
                </c:pt>
                <c:pt idx="34" formatCode="General">
                  <c:v>0.42</c:v>
                </c:pt>
                <c:pt idx="35" formatCode="General">
                  <c:v>0.42</c:v>
                </c:pt>
                <c:pt idx="36" formatCode="General">
                  <c:v>0.42</c:v>
                </c:pt>
                <c:pt idx="37" formatCode="General">
                  <c:v>0.42</c:v>
                </c:pt>
                <c:pt idx="38" formatCode="General">
                  <c:v>0.42</c:v>
                </c:pt>
                <c:pt idx="39" formatCode="General">
                  <c:v>0.42</c:v>
                </c:pt>
                <c:pt idx="40" formatCode="General">
                  <c:v>0.42</c:v>
                </c:pt>
                <c:pt idx="41" formatCode="General">
                  <c:v>0.42</c:v>
                </c:pt>
                <c:pt idx="42" formatCode="General">
                  <c:v>0.42</c:v>
                </c:pt>
                <c:pt idx="43" formatCode="General">
                  <c:v>0.42</c:v>
                </c:pt>
                <c:pt idx="44" formatCode="General">
                  <c:v>0.42</c:v>
                </c:pt>
                <c:pt idx="45" formatCode="General">
                  <c:v>0.42</c:v>
                </c:pt>
                <c:pt idx="46" formatCode="General">
                  <c:v>0.43157709090909085</c:v>
                </c:pt>
                <c:pt idx="47" formatCode="General">
                  <c:v>0.44526290909090904</c:v>
                </c:pt>
                <c:pt idx="48" formatCode="General">
                  <c:v>0.45120836363636357</c:v>
                </c:pt>
                <c:pt idx="49" formatCode="General">
                  <c:v>0.46107204819277103</c:v>
                </c:pt>
                <c:pt idx="50" formatCode="General">
                  <c:v>0.4751804819277109</c:v>
                </c:pt>
                <c:pt idx="51" formatCode="General">
                  <c:v>0.47867418181818183</c:v>
                </c:pt>
                <c:pt idx="52" formatCode="General">
                  <c:v>0.47967090909090909</c:v>
                </c:pt>
                <c:pt idx="53" formatCode="General">
                  <c:v>0.47985272727272726</c:v>
                </c:pt>
                <c:pt idx="54" formatCode="General">
                  <c:v>0.47995575757575759</c:v>
                </c:pt>
                <c:pt idx="55" formatCode="General">
                  <c:v>0.47998606060606064</c:v>
                </c:pt>
                <c:pt idx="56" formatCode="General">
                  <c:v>0.47999527272727271</c:v>
                </c:pt>
                <c:pt idx="57" formatCode="General">
                  <c:v>0.48</c:v>
                </c:pt>
                <c:pt idx="58" formatCode="General">
                  <c:v>0.48</c:v>
                </c:pt>
                <c:pt idx="59" formatCode="General">
                  <c:v>0.48</c:v>
                </c:pt>
                <c:pt idx="60" formatCode="General">
                  <c:v>0.48</c:v>
                </c:pt>
                <c:pt idx="61" formatCode="General">
                  <c:v>0.48</c:v>
                </c:pt>
                <c:pt idx="62" formatCode="General">
                  <c:v>0.48</c:v>
                </c:pt>
                <c:pt idx="63" formatCode="General">
                  <c:v>0.48</c:v>
                </c:pt>
                <c:pt idx="64" formatCode="General">
                  <c:v>0.48</c:v>
                </c:pt>
                <c:pt idx="65" formatCode="General">
                  <c:v>0.48</c:v>
                </c:pt>
                <c:pt idx="66" formatCode="General">
                  <c:v>0.48</c:v>
                </c:pt>
                <c:pt idx="67" formatCode="General">
                  <c:v>0.48</c:v>
                </c:pt>
                <c:pt idx="68" formatCode="General">
                  <c:v>0.48</c:v>
                </c:pt>
                <c:pt idx="69" formatCode="General">
                  <c:v>0.48</c:v>
                </c:pt>
                <c:pt idx="70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22F-4A2F-976F-7C3C2CD148C5}"/>
            </c:ext>
          </c:extLst>
        </c:ser>
        <c:ser>
          <c:idx val="40"/>
          <c:order val="41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EVALUATION!$B$142:$BT$142</c:f>
              <c:numCache>
                <c:formatCode>0</c:formatCode>
                <c:ptCount val="71"/>
                <c:pt idx="0">
                  <c:v>0.15722648484848487</c:v>
                </c:pt>
                <c:pt idx="1">
                  <c:v>0.16874927272727275</c:v>
                </c:pt>
                <c:pt idx="2">
                  <c:v>0.18469472727272729</c:v>
                </c:pt>
                <c:pt idx="3">
                  <c:v>0.20328145454545457</c:v>
                </c:pt>
                <c:pt idx="4" formatCode="General">
                  <c:v>0.22188405446293497</c:v>
                </c:pt>
                <c:pt idx="5" formatCode="General">
                  <c:v>0.2294347352496218</c:v>
                </c:pt>
                <c:pt idx="6" formatCode="General">
                  <c:v>0.23698541603630863</c:v>
                </c:pt>
                <c:pt idx="7" formatCode="General">
                  <c:v>0.24453609682299546</c:v>
                </c:pt>
                <c:pt idx="8" formatCode="General">
                  <c:v>0.25208677760968229</c:v>
                </c:pt>
                <c:pt idx="9" formatCode="General">
                  <c:v>0.25963745839636909</c:v>
                </c:pt>
                <c:pt idx="10" formatCode="General">
                  <c:v>0.26718813918305595</c:v>
                </c:pt>
                <c:pt idx="11" formatCode="General">
                  <c:v>0.26933848484848483</c:v>
                </c:pt>
                <c:pt idx="12" formatCode="General">
                  <c:v>0.26539909090909092</c:v>
                </c:pt>
                <c:pt idx="13" formatCode="General">
                  <c:v>0.25658442424242422</c:v>
                </c:pt>
                <c:pt idx="14" formatCode="General">
                  <c:v>0.24539885542168674</c:v>
                </c:pt>
                <c:pt idx="15" formatCode="General">
                  <c:v>0.22786271084337345</c:v>
                </c:pt>
                <c:pt idx="16" formatCode="General">
                  <c:v>0.20638090909090903</c:v>
                </c:pt>
                <c:pt idx="17" formatCode="General">
                  <c:v>0.18110818181818178</c:v>
                </c:pt>
                <c:pt idx="18" formatCode="General">
                  <c:v>0.15233812121212115</c:v>
                </c:pt>
                <c:pt idx="19" formatCode="General">
                  <c:v>0.12341732727272721</c:v>
                </c:pt>
                <c:pt idx="20" formatCode="General">
                  <c:v>9.6071266666666599E-2</c:v>
                </c:pt>
                <c:pt idx="21" formatCode="General">
                  <c:v>7.2474151515151464E-2</c:v>
                </c:pt>
                <c:pt idx="22" formatCode="General">
                  <c:v>5.1822636363636321E-2</c:v>
                </c:pt>
                <c:pt idx="23" formatCode="General">
                  <c:v>3.7995307228915649E-2</c:v>
                </c:pt>
                <c:pt idx="24" formatCode="General">
                  <c:v>2.6216606060606062E-2</c:v>
                </c:pt>
                <c:pt idx="25" formatCode="General">
                  <c:v>1.8559030303030303E-2</c:v>
                </c:pt>
                <c:pt idx="26" formatCode="General">
                  <c:v>1.2963854545454545E-2</c:v>
                </c:pt>
                <c:pt idx="27" formatCode="General">
                  <c:v>8.7436121212121215E-3</c:v>
                </c:pt>
                <c:pt idx="28" formatCode="General">
                  <c:v>6.3550848484848488E-3</c:v>
                </c:pt>
                <c:pt idx="29" formatCode="General">
                  <c:v>4.3757272727272725E-3</c:v>
                </c:pt>
                <c:pt idx="30" formatCode="General">
                  <c:v>3.126151515151515E-3</c:v>
                </c:pt>
                <c:pt idx="31" formatCode="General">
                  <c:v>2.2430018072289162E-3</c:v>
                </c:pt>
                <c:pt idx="32" formatCode="General">
                  <c:v>1.5571584337349411E-3</c:v>
                </c:pt>
                <c:pt idx="33" formatCode="General">
                  <c:v>1.1666720000000008E-3</c:v>
                </c:pt>
                <c:pt idx="34" formatCode="General">
                  <c:v>8.3559454545454595E-4</c:v>
                </c:pt>
                <c:pt idx="35" formatCode="General">
                  <c:v>6.1404909090909143E-4</c:v>
                </c:pt>
                <c:pt idx="36" formatCode="General">
                  <c:v>4.5643527272727299E-4</c:v>
                </c:pt>
                <c:pt idx="37" formatCode="General">
                  <c:v>3.3101901361573386E-4</c:v>
                </c:pt>
                <c:pt idx="38" formatCode="General">
                  <c:v>2.8899435400907725E-4</c:v>
                </c:pt>
                <c:pt idx="39" formatCode="General">
                  <c:v>2.4696969440242075E-4</c:v>
                </c:pt>
                <c:pt idx="40" formatCode="General">
                  <c:v>2.0494503479576417E-4</c:v>
                </c:pt>
                <c:pt idx="41" formatCode="General">
                  <c:v>1.6292037518910758E-4</c:v>
                </c:pt>
                <c:pt idx="42" formatCode="General">
                  <c:v>1.2089571558245103E-4</c:v>
                </c:pt>
                <c:pt idx="43" formatCode="General">
                  <c:v>7.8871055975794472E-5</c:v>
                </c:pt>
                <c:pt idx="44" formatCode="General">
                  <c:v>5.2056036308623328E-5</c:v>
                </c:pt>
                <c:pt idx="45" formatCode="General">
                  <c:v>4.540263237518913E-5</c:v>
                </c:pt>
                <c:pt idx="46" formatCode="General">
                  <c:v>3.8749228441754924E-5</c:v>
                </c:pt>
                <c:pt idx="47" formatCode="General">
                  <c:v>3.2095824508320725E-5</c:v>
                </c:pt>
                <c:pt idx="48" formatCode="General">
                  <c:v>2.5442420574886523E-5</c:v>
                </c:pt>
                <c:pt idx="49" formatCode="General">
                  <c:v>1.8789016641452321E-5</c:v>
                </c:pt>
                <c:pt idx="50" formatCode="General">
                  <c:v>1.2135612708018123E-5</c:v>
                </c:pt>
                <c:pt idx="51" formatCode="General">
                  <c:v>9.2316545454545363E-6</c:v>
                </c:pt>
                <c:pt idx="52" formatCode="General">
                  <c:v>7.2669739393939326E-6</c:v>
                </c:pt>
                <c:pt idx="53" formatCode="General">
                  <c:v>5.8697618181818117E-6</c:v>
                </c:pt>
                <c:pt idx="54" formatCode="General">
                  <c:v>4.706329090909087E-6</c:v>
                </c:pt>
                <c:pt idx="55" formatCode="General">
                  <c:v>3.7586927272727231E-6</c:v>
                </c:pt>
                <c:pt idx="56" formatCode="General">
                  <c:v>3.0708963636363608E-6</c:v>
                </c:pt>
                <c:pt idx="57" formatCode="General">
                  <c:v>2.4667602409638536E-6</c:v>
                </c:pt>
                <c:pt idx="58" formatCode="General">
                  <c:v>2.0215795180722878E-6</c:v>
                </c:pt>
                <c:pt idx="59" formatCode="General">
                  <c:v>1.6560709090909084E-6</c:v>
                </c:pt>
                <c:pt idx="60" formatCode="General">
                  <c:v>1.3531618181818175E-6</c:v>
                </c:pt>
                <c:pt idx="61" formatCode="General">
                  <c:v>1.1274427878787875E-6</c:v>
                </c:pt>
                <c:pt idx="62" formatCode="General">
                  <c:v>9.2525103030302983E-7</c:v>
                </c:pt>
                <c:pt idx="63" formatCode="General">
                  <c:v>7.6829345454545416E-7</c:v>
                </c:pt>
                <c:pt idx="64" formatCode="General">
                  <c:v>6.6157455370650506E-7</c:v>
                </c:pt>
                <c:pt idx="65" formatCode="General">
                  <c:v>5.8697546142208761E-7</c:v>
                </c:pt>
                <c:pt idx="66" formatCode="General">
                  <c:v>5.1237636913767006E-7</c:v>
                </c:pt>
                <c:pt idx="67" formatCode="General">
                  <c:v>4.3777727685325251E-7</c:v>
                </c:pt>
                <c:pt idx="68" formatCode="General">
                  <c:v>3.6317818456883496E-7</c:v>
                </c:pt>
                <c:pt idx="69" formatCode="General">
                  <c:v>2.8857909228441746E-7</c:v>
                </c:pt>
                <c:pt idx="70" formatCode="General">
                  <c:v>2.1397999999999996E-7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F-4A2F-976F-7C3C2CD148C5}"/>
            </c:ext>
          </c:extLst>
        </c:ser>
        <c:ser>
          <c:idx val="44"/>
          <c:order val="45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EVALUATION!$B$146:$BT$146</c:f>
              <c:numCache>
                <c:formatCode>0</c:formatCode>
                <c:ptCount val="71"/>
                <c:pt idx="0">
                  <c:v>2.0811104242424264E-25</c:v>
                </c:pt>
                <c:pt idx="1">
                  <c:v>2.6147000606060674E-24</c:v>
                </c:pt>
                <c:pt idx="2">
                  <c:v>8.6346212727272787E-24</c:v>
                </c:pt>
                <c:pt idx="3">
                  <c:v>1.5154818181818205E-22</c:v>
                </c:pt>
                <c:pt idx="4" formatCode="General">
                  <c:v>1.2149700988351153E-18</c:v>
                </c:pt>
                <c:pt idx="5" formatCode="General">
                  <c:v>1.6397976209273838E-17</c:v>
                </c:pt>
                <c:pt idx="6" formatCode="General">
                  <c:v>3.1580982319712566E-17</c:v>
                </c:pt>
                <c:pt idx="7" formatCode="General">
                  <c:v>4.676398843015129E-17</c:v>
                </c:pt>
                <c:pt idx="8" formatCode="General">
                  <c:v>6.1946994540590014E-17</c:v>
                </c:pt>
                <c:pt idx="9" formatCode="General">
                  <c:v>7.7130000651028745E-17</c:v>
                </c:pt>
                <c:pt idx="10" formatCode="General">
                  <c:v>9.2313006761467463E-17</c:v>
                </c:pt>
                <c:pt idx="11" formatCode="General">
                  <c:v>4.7751078787878695E-16</c:v>
                </c:pt>
                <c:pt idx="12" formatCode="General">
                  <c:v>1.2799592727272717E-15</c:v>
                </c:pt>
                <c:pt idx="13" formatCode="General">
                  <c:v>8.8653284848484727E-15</c:v>
                </c:pt>
                <c:pt idx="14" formatCode="General">
                  <c:v>3.0732608433734876E-14</c:v>
                </c:pt>
                <c:pt idx="15" formatCode="General">
                  <c:v>1.1505971686747002E-13</c:v>
                </c:pt>
                <c:pt idx="16" formatCode="General">
                  <c:v>5.0541163636363802E-13</c:v>
                </c:pt>
                <c:pt idx="17" formatCode="General">
                  <c:v>1.1897873939393955E-12</c:v>
                </c:pt>
                <c:pt idx="18" formatCode="General">
                  <c:v>5.5473430303030418E-12</c:v>
                </c:pt>
                <c:pt idx="19" formatCode="General">
                  <c:v>1.6356792727272803E-11</c:v>
                </c:pt>
                <c:pt idx="20" formatCode="General">
                  <c:v>4.9188186666666738E-11</c:v>
                </c:pt>
                <c:pt idx="21" formatCode="General">
                  <c:v>1.7538149090909136E-10</c:v>
                </c:pt>
                <c:pt idx="22" formatCode="General">
                  <c:v>3.7493058181818229E-10</c:v>
                </c:pt>
                <c:pt idx="23" formatCode="General">
                  <c:v>1.3978972891566278E-9</c:v>
                </c:pt>
                <c:pt idx="24" formatCode="General">
                  <c:v>3.6445030303030302E-9</c:v>
                </c:pt>
                <c:pt idx="25" formatCode="General">
                  <c:v>9.3177151515151522E-9</c:v>
                </c:pt>
                <c:pt idx="26" formatCode="General">
                  <c:v>2.757318181818182E-8</c:v>
                </c:pt>
                <c:pt idx="27" formatCode="General">
                  <c:v>5.4216818181818193E-8</c:v>
                </c:pt>
                <c:pt idx="28" formatCode="General">
                  <c:v>1.6537533333333333E-7</c:v>
                </c:pt>
                <c:pt idx="29" formatCode="General">
                  <c:v>3.8595454545454542E-7</c:v>
                </c:pt>
                <c:pt idx="30" formatCode="General">
                  <c:v>8.5146969696969687E-7</c:v>
                </c:pt>
                <c:pt idx="31" formatCode="General">
                  <c:v>2.1428939759036127E-6</c:v>
                </c:pt>
                <c:pt idx="32" formatCode="General">
                  <c:v>3.8790385542168628E-6</c:v>
                </c:pt>
                <c:pt idx="33" formatCode="General">
                  <c:v>9.9561599999999867E-6</c:v>
                </c:pt>
                <c:pt idx="34" formatCode="General">
                  <c:v>2.0796618181818135E-5</c:v>
                </c:pt>
                <c:pt idx="35" formatCode="General">
                  <c:v>4.0798436363636317E-5</c:v>
                </c:pt>
                <c:pt idx="36" formatCode="General">
                  <c:v>8.8428690909090777E-5</c:v>
                </c:pt>
                <c:pt idx="37" formatCode="General">
                  <c:v>1.638638275340383E-4</c:v>
                </c:pt>
                <c:pt idx="38" formatCode="General">
                  <c:v>6.0870951588502147E-4</c:v>
                </c:pt>
                <c:pt idx="39" formatCode="General">
                  <c:v>1.0535552042360047E-3</c:v>
                </c:pt>
                <c:pt idx="40" formatCode="General">
                  <c:v>1.4984008925869878E-3</c:v>
                </c:pt>
                <c:pt idx="41" formatCode="General">
                  <c:v>1.9432465809379709E-3</c:v>
                </c:pt>
                <c:pt idx="42" formatCode="General">
                  <c:v>2.3880922692889541E-3</c:v>
                </c:pt>
                <c:pt idx="43" formatCode="General">
                  <c:v>2.8329379576399372E-3</c:v>
                </c:pt>
                <c:pt idx="44" formatCode="General">
                  <c:v>3.6467685325264699E-3</c:v>
                </c:pt>
                <c:pt idx="45" formatCode="General">
                  <c:v>4.9497186081694363E-3</c:v>
                </c:pt>
                <c:pt idx="46" formatCode="General">
                  <c:v>6.2526686838124037E-3</c:v>
                </c:pt>
                <c:pt idx="47" formatCode="General">
                  <c:v>7.5556187594553702E-3</c:v>
                </c:pt>
                <c:pt idx="48" formatCode="General">
                  <c:v>8.8585688350983367E-3</c:v>
                </c:pt>
                <c:pt idx="49" formatCode="General">
                  <c:v>1.0161518910741303E-2</c:v>
                </c:pt>
                <c:pt idx="50" formatCode="General">
                  <c:v>1.1464468986384271E-2</c:v>
                </c:pt>
                <c:pt idx="51" formatCode="General">
                  <c:v>1.323612727272728E-2</c:v>
                </c:pt>
                <c:pt idx="52" formatCode="General">
                  <c:v>1.5128909090909099E-2</c:v>
                </c:pt>
                <c:pt idx="53" formatCode="General">
                  <c:v>1.7110727272727284E-2</c:v>
                </c:pt>
                <c:pt idx="54" formatCode="General">
                  <c:v>1.9089393939393951E-2</c:v>
                </c:pt>
                <c:pt idx="55" formatCode="General">
                  <c:v>2.1065151515151526E-2</c:v>
                </c:pt>
                <c:pt idx="56" formatCode="General">
                  <c:v>2.2938090909090918E-2</c:v>
                </c:pt>
                <c:pt idx="57" formatCode="General">
                  <c:v>2.4709445783132535E-2</c:v>
                </c:pt>
                <c:pt idx="58" formatCode="General">
                  <c:v>2.6175108433734943E-2</c:v>
                </c:pt>
                <c:pt idx="59" formatCode="General">
                  <c:v>2.5078569696969689E-2</c:v>
                </c:pt>
                <c:pt idx="60" formatCode="General">
                  <c:v>2.1968872727272722E-2</c:v>
                </c:pt>
                <c:pt idx="61" formatCode="General">
                  <c:v>1.9237515151515144E-2</c:v>
                </c:pt>
                <c:pt idx="62" formatCode="General">
                  <c:v>1.6663175757575751E-2</c:v>
                </c:pt>
                <c:pt idx="63" formatCode="General">
                  <c:v>1.4429236363636359E-2</c:v>
                </c:pt>
                <c:pt idx="64" formatCode="General">
                  <c:v>1.2731214674735248E-2</c:v>
                </c:pt>
                <c:pt idx="65" formatCode="General">
                  <c:v>1.1375828895612707E-2</c:v>
                </c:pt>
                <c:pt idx="66" formatCode="General">
                  <c:v>1.0020443116490165E-2</c:v>
                </c:pt>
                <c:pt idx="67" formatCode="General">
                  <c:v>8.6650573373676237E-3</c:v>
                </c:pt>
                <c:pt idx="68" formatCode="General">
                  <c:v>7.3096715582450823E-3</c:v>
                </c:pt>
                <c:pt idx="69" formatCode="General">
                  <c:v>5.9542857791225418E-3</c:v>
                </c:pt>
                <c:pt idx="70" formatCode="General">
                  <c:v>4.5988999999999995E-3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2.5323863636363638E-19</c:v>
                      </c:pt>
                      <c:pt idx="25" formatCode="General">
                        <c:v>1.2661931818181818E-18</c:v>
                      </c:pt>
                      <c:pt idx="26" formatCode="General">
                        <c:v>2.2791477272727273E-18</c:v>
                      </c:pt>
                      <c:pt idx="27" formatCode="General">
                        <c:v>3.2921022727272726E-18</c:v>
                      </c:pt>
                      <c:pt idx="28" formatCode="General">
                        <c:v>4.3050568181818183E-18</c:v>
                      </c:pt>
                      <c:pt idx="29" formatCode="General">
                        <c:v>5.3180113636363633E-18</c:v>
                      </c:pt>
                      <c:pt idx="30" formatCode="General">
                        <c:v>6.330965909090909E-18</c:v>
                      </c:pt>
                      <c:pt idx="31" formatCode="General">
                        <c:v>1.7332805685325256E-14</c:v>
                      </c:pt>
                      <c:pt idx="32" formatCode="General">
                        <c:v>4.398837520121027E-14</c:v>
                      </c:pt>
                      <c:pt idx="33" formatCode="General">
                        <c:v>7.0643944717095287E-14</c:v>
                      </c:pt>
                      <c:pt idx="34" formatCode="General">
                        <c:v>9.7299514232980298E-14</c:v>
                      </c:pt>
                      <c:pt idx="35" formatCode="General">
                        <c:v>1.2395508374886532E-13</c:v>
                      </c:pt>
                      <c:pt idx="36" formatCode="General">
                        <c:v>1.5061065326475033E-13</c:v>
                      </c:pt>
                      <c:pt idx="37" formatCode="General">
                        <c:v>1.7548919818456886E-13</c:v>
                      </c:pt>
                      <c:pt idx="38" formatCode="General">
                        <c:v>1.5771915279878976E-13</c:v>
                      </c:pt>
                      <c:pt idx="39" formatCode="General">
                        <c:v>1.3994910741301065E-13</c:v>
                      </c:pt>
                      <c:pt idx="40" formatCode="General">
                        <c:v>1.2217906202723152E-13</c:v>
                      </c:pt>
                      <c:pt idx="41" formatCode="General">
                        <c:v>1.0440901664145241E-13</c:v>
                      </c:pt>
                      <c:pt idx="42" formatCode="General">
                        <c:v>8.663897125567329E-14</c:v>
                      </c:pt>
                      <c:pt idx="43" formatCode="General">
                        <c:v>6.8868925869894173E-14</c:v>
                      </c:pt>
                      <c:pt idx="44" formatCode="General">
                        <c:v>4.3432001290547433E-14</c:v>
                      </c:pt>
                      <c:pt idx="45" formatCode="General">
                        <c:v>7.8320042918201611E-15</c:v>
                      </c:pt>
                      <c:pt idx="46" formatCode="General">
                        <c:v>2.6111074413774684E-21</c:v>
                      </c:pt>
                      <c:pt idx="47" formatCode="General">
                        <c:v>3.2865163636363735E-28</c:v>
                      </c:pt>
                      <c:pt idx="48" formatCode="General">
                        <c:v>1.1243345454545551E-28</c:v>
                      </c:pt>
                      <c:pt idx="49" formatCode="General">
                        <c:v>1.4933493975903557E-20</c:v>
                      </c:pt>
                      <c:pt idx="50" formatCode="General">
                        <c:v>4.6044939759036258E-20</c:v>
                      </c:pt>
                      <c:pt idx="51" formatCode="General">
                        <c:v>1.185322684032431E-13</c:v>
                      </c:pt>
                      <c:pt idx="52" formatCode="General">
                        <c:v>2.1393810335757511E-13</c:v>
                      </c:pt>
                      <c:pt idx="53" formatCode="General">
                        <c:v>6.9397534872726628E-14</c:v>
                      </c:pt>
                      <c:pt idx="54" formatCode="General">
                        <c:v>1.2396750642424195E-17</c:v>
                      </c:pt>
                      <c:pt idx="55" formatCode="General">
                        <c:v>1.5020403393938913E-18</c:v>
                      </c:pt>
                      <c:pt idx="56" formatCode="General">
                        <c:v>7.6232345454545409E-20</c:v>
                      </c:pt>
                      <c:pt idx="57" formatCode="General">
                        <c:v>7.0073717464600512E-16</c:v>
                      </c:pt>
                      <c:pt idx="58" formatCode="General">
                        <c:v>3.8855983366732349E-15</c:v>
                      </c:pt>
                      <c:pt idx="59" formatCode="General">
                        <c:v>7.0704594987004655E-15</c:v>
                      </c:pt>
                      <c:pt idx="60" formatCode="General">
                        <c:v>1.0255320660727694E-14</c:v>
                      </c:pt>
                      <c:pt idx="61" formatCode="General">
                        <c:v>1.3440181822754924E-14</c:v>
                      </c:pt>
                      <c:pt idx="62" formatCode="General">
                        <c:v>1.6625042984782154E-14</c:v>
                      </c:pt>
                      <c:pt idx="63" formatCode="General">
                        <c:v>1.9809904146809385E-14</c:v>
                      </c:pt>
                      <c:pt idx="64" formatCode="General">
                        <c:v>4.2459202904689998E-10</c:v>
                      </c:pt>
                      <c:pt idx="65" formatCode="General">
                        <c:v>1.1206100242057498E-9</c:v>
                      </c:pt>
                      <c:pt idx="66" formatCode="General">
                        <c:v>1.8166280193645998E-9</c:v>
                      </c:pt>
                      <c:pt idx="67" formatCode="General">
                        <c:v>2.5126460145234498E-9</c:v>
                      </c:pt>
                      <c:pt idx="68" formatCode="General">
                        <c:v>3.2086640096822996E-9</c:v>
                      </c:pt>
                      <c:pt idx="69" formatCode="General">
                        <c:v>3.9046820048411494E-9</c:v>
                      </c:pt>
                      <c:pt idx="70" formatCode="General">
                        <c:v>4.6006999999999996E-9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0.14678787878787891</c:v>
                      </c:pt>
                      <c:pt idx="5" formatCode="General">
                        <c:v>0.23163636363636375</c:v>
                      </c:pt>
                      <c:pt idx="6" formatCode="General">
                        <c:v>0.28000000000000003</c:v>
                      </c:pt>
                      <c:pt idx="7" formatCode="General">
                        <c:v>0.28000000000000003</c:v>
                      </c:pt>
                      <c:pt idx="8" formatCode="General">
                        <c:v>0.28000000000000003</c:v>
                      </c:pt>
                      <c:pt idx="9" formatCode="General">
                        <c:v>0.28000000000000003</c:v>
                      </c:pt>
                      <c:pt idx="10" formatCode="General">
                        <c:v>0.28000000000000003</c:v>
                      </c:pt>
                      <c:pt idx="11" formatCode="General">
                        <c:v>0.28000000000000003</c:v>
                      </c:pt>
                      <c:pt idx="12" formatCode="General">
                        <c:v>0.28000000000000003</c:v>
                      </c:pt>
                      <c:pt idx="13" formatCode="General">
                        <c:v>0.28000000000000003</c:v>
                      </c:pt>
                      <c:pt idx="14" formatCode="General">
                        <c:v>0.28000000000000003</c:v>
                      </c:pt>
                      <c:pt idx="15" formatCode="General">
                        <c:v>0.28000000000000003</c:v>
                      </c:pt>
                      <c:pt idx="16" formatCode="General">
                        <c:v>0.28000000000000003</c:v>
                      </c:pt>
                      <c:pt idx="17" formatCode="General">
                        <c:v>0.28000000000000003</c:v>
                      </c:pt>
                      <c:pt idx="18" formatCode="General">
                        <c:v>0.28000000000000003</c:v>
                      </c:pt>
                      <c:pt idx="19" formatCode="General">
                        <c:v>0.28000000000000003</c:v>
                      </c:pt>
                      <c:pt idx="20" formatCode="General">
                        <c:v>0.28000000000000003</c:v>
                      </c:pt>
                      <c:pt idx="21" formatCode="General">
                        <c:v>0.18496976598545417</c:v>
                      </c:pt>
                      <c:pt idx="22" formatCode="General">
                        <c:v>1.5272919530908702E-2</c:v>
                      </c:pt>
                      <c:pt idx="23" formatCode="General">
                        <c:v>9.2937123493975774E-8</c:v>
                      </c:pt>
                      <c:pt idx="24" formatCode="General">
                        <c:v>1.8641208060606062E-9</c:v>
                      </c:pt>
                      <c:pt idx="25" formatCode="General">
                        <c:v>1.5706040303030303E-9</c:v>
                      </c:pt>
                      <c:pt idx="26" formatCode="General">
                        <c:v>1.2770872545454544E-9</c:v>
                      </c:pt>
                      <c:pt idx="27" formatCode="General">
                        <c:v>9.835704787878787E-10</c:v>
                      </c:pt>
                      <c:pt idx="28" formatCode="General">
                        <c:v>6.9005370303030281E-10</c:v>
                      </c:pt>
                      <c:pt idx="29" formatCode="General">
                        <c:v>3.9653692727272713E-10</c:v>
                      </c:pt>
                      <c:pt idx="30" formatCode="General">
                        <c:v>1.0302015151515124E-10</c:v>
                      </c:pt>
                      <c:pt idx="31" formatCode="General">
                        <c:v>2.6083340451138354E-13</c:v>
                      </c:pt>
                      <c:pt idx="32" formatCode="General">
                        <c:v>2.1706941145197357E-13</c:v>
                      </c:pt>
                      <c:pt idx="33" formatCode="General">
                        <c:v>1.7330541839256359E-13</c:v>
                      </c:pt>
                      <c:pt idx="34" formatCode="General">
                        <c:v>1.2954142533315362E-13</c:v>
                      </c:pt>
                      <c:pt idx="35" formatCode="General">
                        <c:v>8.5777432273743667E-14</c:v>
                      </c:pt>
                      <c:pt idx="36" formatCode="General">
                        <c:v>4.2013439214333693E-14</c:v>
                      </c:pt>
                      <c:pt idx="37" formatCode="General">
                        <c:v>5.8417338880484137E-21</c:v>
                      </c:pt>
                      <c:pt idx="38" formatCode="General">
                        <c:v>4.9525810892587012E-21</c:v>
                      </c:pt>
                      <c:pt idx="39" formatCode="General">
                        <c:v>4.0634282904689888E-21</c:v>
                      </c:pt>
                      <c:pt idx="40" formatCode="General">
                        <c:v>3.1742754916792768E-21</c:v>
                      </c:pt>
                      <c:pt idx="41" formatCode="General">
                        <c:v>2.2851226928895648E-21</c:v>
                      </c:pt>
                      <c:pt idx="42" formatCode="General">
                        <c:v>1.3959698940998524E-21</c:v>
                      </c:pt>
                      <c:pt idx="43" formatCode="General">
                        <c:v>5.0681709531013994E-22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3.8295915279878965E-37</c:v>
                      </c:pt>
                      <c:pt idx="32" formatCode="General">
                        <c:v>9.7212708018154291E-37</c:v>
                      </c:pt>
                      <c:pt idx="33" formatCode="General">
                        <c:v>1.5612950075642961E-36</c:v>
                      </c:pt>
                      <c:pt idx="34" formatCode="General">
                        <c:v>2.1504629349470494E-36</c:v>
                      </c:pt>
                      <c:pt idx="35" formatCode="General">
                        <c:v>2.7396308623298028E-36</c:v>
                      </c:pt>
                      <c:pt idx="36" formatCode="General">
                        <c:v>3.3287987897125558E-36</c:v>
                      </c:pt>
                      <c:pt idx="37" formatCode="General">
                        <c:v>6.6051437216338959E-23</c:v>
                      </c:pt>
                      <c:pt idx="38" formatCode="General">
                        <c:v>1.7173373676248096E-21</c:v>
                      </c:pt>
                      <c:pt idx="39" formatCode="General">
                        <c:v>3.3686232980332803E-21</c:v>
                      </c:pt>
                      <c:pt idx="40" formatCode="General">
                        <c:v>5.0199092284417509E-21</c:v>
                      </c:pt>
                      <c:pt idx="41" formatCode="General">
                        <c:v>6.671195158850222E-21</c:v>
                      </c:pt>
                      <c:pt idx="42" formatCode="General">
                        <c:v>8.322481089258693E-21</c:v>
                      </c:pt>
                      <c:pt idx="43" formatCode="General">
                        <c:v>9.973767019667164E-21</c:v>
                      </c:pt>
                      <c:pt idx="44" formatCode="General">
                        <c:v>1.515115151515147E-20</c:v>
                      </c:pt>
                      <c:pt idx="45" formatCode="General">
                        <c:v>2.5002666666666624E-20</c:v>
                      </c:pt>
                      <c:pt idx="46" formatCode="General">
                        <c:v>1.3005816909090833E-17</c:v>
                      </c:pt>
                      <c:pt idx="47" formatCode="General">
                        <c:v>2.7022981818181833E-17</c:v>
                      </c:pt>
                      <c:pt idx="48" formatCode="General">
                        <c:v>2.3492072727272744E-17</c:v>
                      </c:pt>
                      <c:pt idx="49" formatCode="General">
                        <c:v>1.1959518087683135E-8</c:v>
                      </c:pt>
                      <c:pt idx="50" formatCode="General">
                        <c:v>3.6875180725239895E-8</c:v>
                      </c:pt>
                      <c:pt idx="51" formatCode="General">
                        <c:v>1.911267878787887E-7</c:v>
                      </c:pt>
                      <c:pt idx="52" formatCode="General">
                        <c:v>3.3370587878787851E-7</c:v>
                      </c:pt>
                      <c:pt idx="53" formatCode="General">
                        <c:v>2.8068163636363612E-7</c:v>
                      </c:pt>
                      <c:pt idx="54" formatCode="General">
                        <c:v>2.3450248484848466E-7</c:v>
                      </c:pt>
                      <c:pt idx="55" formatCode="General">
                        <c:v>1.9464187878787859E-7</c:v>
                      </c:pt>
                      <c:pt idx="56" formatCode="General">
                        <c:v>1.7598290909090901E-7</c:v>
                      </c:pt>
                      <c:pt idx="57" formatCode="General">
                        <c:v>1.6033210590015122E-7</c:v>
                      </c:pt>
                      <c:pt idx="58" formatCode="General">
                        <c:v>1.4411440544629343E-7</c:v>
                      </c:pt>
                      <c:pt idx="59" formatCode="General">
                        <c:v>1.2789670499243564E-7</c:v>
                      </c:pt>
                      <c:pt idx="60" formatCode="General">
                        <c:v>1.1167900453857786E-7</c:v>
                      </c:pt>
                      <c:pt idx="61" formatCode="General">
                        <c:v>9.5461304084720078E-8</c:v>
                      </c:pt>
                      <c:pt idx="62" formatCode="General">
                        <c:v>7.9243603630862285E-8</c:v>
                      </c:pt>
                      <c:pt idx="63" formatCode="General">
                        <c:v>6.3025903177004505E-8</c:v>
                      </c:pt>
                      <c:pt idx="64" formatCode="General">
                        <c:v>5.2980461422087734E-8</c:v>
                      </c:pt>
                      <c:pt idx="65" formatCode="General">
                        <c:v>4.6881217851739778E-8</c:v>
                      </c:pt>
                      <c:pt idx="66" formatCode="General">
                        <c:v>4.0781974281391822E-8</c:v>
                      </c:pt>
                      <c:pt idx="67" formatCode="General">
                        <c:v>3.4682730711043866E-8</c:v>
                      </c:pt>
                      <c:pt idx="68" formatCode="General">
                        <c:v>2.8583487140695906E-8</c:v>
                      </c:pt>
                      <c:pt idx="69" formatCode="General">
                        <c:v>2.2484243570347954E-8</c:v>
                      </c:pt>
                      <c:pt idx="70" formatCode="General">
                        <c:v>1.6384999999999997E-8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3"/>
                <c:order val="5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0.13321212136829083</c:v>
                      </c:pt>
                      <c:pt idx="5" formatCode="General">
                        <c:v>4.8363638471927178E-2</c:v>
                      </c:pt>
                      <c:pt idx="6" formatCode="General">
                        <c:v>2.438389638554216E-9</c:v>
                      </c:pt>
                      <c:pt idx="7" formatCode="General">
                        <c:v>6.1836554216867627E-10</c:v>
                      </c:pt>
                      <c:pt idx="8" formatCode="General">
                        <c:v>1.1103458000000013E-10</c:v>
                      </c:pt>
                      <c:pt idx="9" formatCode="General">
                        <c:v>8.9437050909090977E-12</c:v>
                      </c:pt>
                      <c:pt idx="10" formatCode="General">
                        <c:v>3.1904141818181896E-12</c:v>
                      </c:pt>
                      <c:pt idx="11" formatCode="General">
                        <c:v>1.3113219364599294E-13</c:v>
                      </c:pt>
                      <c:pt idx="12" formatCode="General">
                        <c:v>1.0977515885023324E-13</c:v>
                      </c:pt>
                      <c:pt idx="13" formatCode="General">
                        <c:v>8.8418124054473509E-14</c:v>
                      </c:pt>
                      <c:pt idx="14" formatCode="General">
                        <c:v>6.7061089258713806E-14</c:v>
                      </c:pt>
                      <c:pt idx="15" formatCode="General">
                        <c:v>4.5704054462954091E-14</c:v>
                      </c:pt>
                      <c:pt idx="16" formatCode="General">
                        <c:v>2.4347019667194375E-14</c:v>
                      </c:pt>
                      <c:pt idx="17" formatCode="General">
                        <c:v>2.9899848714346473E-15</c:v>
                      </c:pt>
                      <c:pt idx="18" formatCode="General">
                        <c:v>1.3578903030302993E-26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 formatCode="General">
                        <c:v>0.02</c:v>
                      </c:pt>
                      <c:pt idx="5" formatCode="General">
                        <c:v>0.02</c:v>
                      </c:pt>
                      <c:pt idx="6" formatCode="General">
                        <c:v>0.02</c:v>
                      </c:pt>
                      <c:pt idx="7" formatCode="General">
                        <c:v>0.02</c:v>
                      </c:pt>
                      <c:pt idx="8" formatCode="General">
                        <c:v>0.02</c:v>
                      </c:pt>
                      <c:pt idx="9" formatCode="General">
                        <c:v>0.02</c:v>
                      </c:pt>
                      <c:pt idx="10" formatCode="General">
                        <c:v>0.02</c:v>
                      </c:pt>
                      <c:pt idx="11" formatCode="General">
                        <c:v>0.02</c:v>
                      </c:pt>
                      <c:pt idx="12" formatCode="General">
                        <c:v>0.02</c:v>
                      </c:pt>
                      <c:pt idx="13" formatCode="General">
                        <c:v>0.02</c:v>
                      </c:pt>
                      <c:pt idx="14" formatCode="General">
                        <c:v>0.02</c:v>
                      </c:pt>
                      <c:pt idx="15" formatCode="General">
                        <c:v>0.02</c:v>
                      </c:pt>
                      <c:pt idx="16" formatCode="General">
                        <c:v>0.02</c:v>
                      </c:pt>
                      <c:pt idx="17" formatCode="General">
                        <c:v>0.02</c:v>
                      </c:pt>
                      <c:pt idx="18" formatCode="General">
                        <c:v>0.02</c:v>
                      </c:pt>
                      <c:pt idx="19" formatCode="General">
                        <c:v>0.02</c:v>
                      </c:pt>
                      <c:pt idx="20" formatCode="General">
                        <c:v>0.02</c:v>
                      </c:pt>
                      <c:pt idx="21" formatCode="General">
                        <c:v>0.02</c:v>
                      </c:pt>
                      <c:pt idx="22" formatCode="General">
                        <c:v>0.02</c:v>
                      </c:pt>
                      <c:pt idx="23" formatCode="General">
                        <c:v>0.02</c:v>
                      </c:pt>
                      <c:pt idx="24" formatCode="General">
                        <c:v>0.02</c:v>
                      </c:pt>
                      <c:pt idx="25" formatCode="General">
                        <c:v>0.02</c:v>
                      </c:pt>
                      <c:pt idx="26" formatCode="General">
                        <c:v>0.02</c:v>
                      </c:pt>
                      <c:pt idx="27" formatCode="General">
                        <c:v>0.02</c:v>
                      </c:pt>
                      <c:pt idx="28" formatCode="General">
                        <c:v>0.02</c:v>
                      </c:pt>
                      <c:pt idx="29" formatCode="General">
                        <c:v>0.02</c:v>
                      </c:pt>
                      <c:pt idx="30" formatCode="General">
                        <c:v>0.02</c:v>
                      </c:pt>
                      <c:pt idx="31" formatCode="General">
                        <c:v>0.02</c:v>
                      </c:pt>
                      <c:pt idx="32" formatCode="General">
                        <c:v>0.02</c:v>
                      </c:pt>
                      <c:pt idx="33" formatCode="General">
                        <c:v>0.02</c:v>
                      </c:pt>
                      <c:pt idx="34" formatCode="General">
                        <c:v>0.02</c:v>
                      </c:pt>
                      <c:pt idx="35" formatCode="General">
                        <c:v>0.02</c:v>
                      </c:pt>
                      <c:pt idx="36" formatCode="General">
                        <c:v>0.02</c:v>
                      </c:pt>
                      <c:pt idx="37" formatCode="General">
                        <c:v>0.02</c:v>
                      </c:pt>
                      <c:pt idx="38" formatCode="General">
                        <c:v>0.02</c:v>
                      </c:pt>
                      <c:pt idx="39" formatCode="General">
                        <c:v>0.02</c:v>
                      </c:pt>
                      <c:pt idx="40" formatCode="General">
                        <c:v>0.02</c:v>
                      </c:pt>
                      <c:pt idx="41" formatCode="General">
                        <c:v>0.02</c:v>
                      </c:pt>
                      <c:pt idx="42" formatCode="General">
                        <c:v>0.02</c:v>
                      </c:pt>
                      <c:pt idx="43" formatCode="General">
                        <c:v>0.02</c:v>
                      </c:pt>
                      <c:pt idx="44" formatCode="General">
                        <c:v>0.02</c:v>
                      </c:pt>
                      <c:pt idx="45" formatCode="General">
                        <c:v>0.02</c:v>
                      </c:pt>
                      <c:pt idx="46" formatCode="General">
                        <c:v>1.4212210909090943E-2</c:v>
                      </c:pt>
                      <c:pt idx="47" formatCode="General">
                        <c:v>7.3699169696969831E-3</c:v>
                      </c:pt>
                      <c:pt idx="48" formatCode="General">
                        <c:v>4.3954321212121353E-3</c:v>
                      </c:pt>
                      <c:pt idx="49" formatCode="General">
                        <c:v>2.2444002409638579E-3</c:v>
                      </c:pt>
                      <c:pt idx="50" formatCode="General">
                        <c:v>9.8544240963854986E-4</c:v>
                      </c:pt>
                      <c:pt idx="51" formatCode="General">
                        <c:v>4.4134587878787699E-4</c:v>
                      </c:pt>
                      <c:pt idx="52" formatCode="General">
                        <c:v>1.0969016363636336E-4</c:v>
                      </c:pt>
                      <c:pt idx="53" formatCode="General">
                        <c:v>4.9102890909090633E-5</c:v>
                      </c:pt>
                      <c:pt idx="54" formatCode="General">
                        <c:v>1.4816052121212076E-5</c:v>
                      </c:pt>
                      <c:pt idx="55" formatCode="General">
                        <c:v>4.806536969696922E-6</c:v>
                      </c:pt>
                      <c:pt idx="56" formatCode="General">
                        <c:v>1.9953754545454465E-6</c:v>
                      </c:pt>
                      <c:pt idx="57" formatCode="General">
                        <c:v>6.2032924750378176E-7</c:v>
                      </c:pt>
                      <c:pt idx="58" formatCode="General">
                        <c:v>5.2341673615733698E-7</c:v>
                      </c:pt>
                      <c:pt idx="59" formatCode="General">
                        <c:v>4.2650422481089226E-7</c:v>
                      </c:pt>
                      <c:pt idx="60" formatCode="General">
                        <c:v>3.2959171346444754E-7</c:v>
                      </c:pt>
                      <c:pt idx="61" formatCode="General">
                        <c:v>2.3267920211800276E-7</c:v>
                      </c:pt>
                      <c:pt idx="62" formatCode="General">
                        <c:v>1.3576669077155798E-7</c:v>
                      </c:pt>
                      <c:pt idx="63" formatCode="General">
                        <c:v>3.8854179425113315E-8</c:v>
                      </c:pt>
                      <c:pt idx="64" formatCode="General">
                        <c:v>9.6089549531013581E-10</c:v>
                      </c:pt>
                      <c:pt idx="65" formatCode="General">
                        <c:v>8.0121597942511312E-10</c:v>
                      </c:pt>
                      <c:pt idx="66" formatCode="General">
                        <c:v>6.4153646354009044E-10</c:v>
                      </c:pt>
                      <c:pt idx="67" formatCode="General">
                        <c:v>4.8185694765506786E-10</c:v>
                      </c:pt>
                      <c:pt idx="68" formatCode="General">
                        <c:v>3.2217743177004517E-10</c:v>
                      </c:pt>
                      <c:pt idx="69" formatCode="General">
                        <c:v>1.6249791588502259E-10</c:v>
                      </c:pt>
                      <c:pt idx="70" formatCode="General">
                        <c:v>2.8183999999999E-12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4.750484114977298E-34</c:v>
                      </c:pt>
                      <c:pt idx="12" formatCode="General">
                        <c:v>1.4857897125567317E-33</c:v>
                      </c:pt>
                      <c:pt idx="13" formatCode="General">
                        <c:v>2.4965310136157337E-33</c:v>
                      </c:pt>
                      <c:pt idx="14" formatCode="General">
                        <c:v>3.5072723146747357E-33</c:v>
                      </c:pt>
                      <c:pt idx="15" formatCode="General">
                        <c:v>4.5180136157337374E-33</c:v>
                      </c:pt>
                      <c:pt idx="16" formatCode="General">
                        <c:v>5.5287549167927397E-33</c:v>
                      </c:pt>
                      <c:pt idx="17" formatCode="General">
                        <c:v>6.539496217851742E-33</c:v>
                      </c:pt>
                      <c:pt idx="18" formatCode="General">
                        <c:v>4.1052605454545557E-31</c:v>
                      </c:pt>
                      <c:pt idx="19" formatCode="General">
                        <c:v>9.387109090909183E-30</c:v>
                      </c:pt>
                      <c:pt idx="20" formatCode="General">
                        <c:v>5.0366200000000086E-29</c:v>
                      </c:pt>
                      <c:pt idx="21" formatCode="General">
                        <c:v>1.6069725636363698E-27</c:v>
                      </c:pt>
                      <c:pt idx="22" formatCode="General">
                        <c:v>4.3544289272727339E-27</c:v>
                      </c:pt>
                      <c:pt idx="23" formatCode="General">
                        <c:v>1.3569010542168692E-25</c:v>
                      </c:pt>
                      <c:pt idx="24" formatCode="General">
                        <c:v>9.7642496493181815E-21</c:v>
                      </c:pt>
                      <c:pt idx="25" formatCode="General">
                        <c:v>4.8820273326590917E-20</c:v>
                      </c:pt>
                      <c:pt idx="26" formatCode="General">
                        <c:v>8.7876297003863633E-20</c:v>
                      </c:pt>
                      <c:pt idx="27" formatCode="General">
                        <c:v>1.2693232068113638E-19</c:v>
                      </c:pt>
                      <c:pt idx="28" formatCode="General">
                        <c:v>1.659883443584091E-19</c:v>
                      </c:pt>
                      <c:pt idx="29" formatCode="General">
                        <c:v>2.0504436803568185E-19</c:v>
                      </c:pt>
                      <c:pt idx="30" formatCode="General">
                        <c:v>2.4410039171295454E-19</c:v>
                      </c:pt>
                      <c:pt idx="31" formatCode="General">
                        <c:v>2.175028185960665E-15</c:v>
                      </c:pt>
                      <c:pt idx="32" formatCode="General">
                        <c:v>5.5208288259001491E-15</c:v>
                      </c:pt>
                      <c:pt idx="33" formatCode="General">
                        <c:v>8.8666294658396331E-15</c:v>
                      </c:pt>
                      <c:pt idx="34" formatCode="General">
                        <c:v>1.2212430105779116E-14</c:v>
                      </c:pt>
                      <c:pt idx="35" formatCode="General">
                        <c:v>1.55582307457186E-14</c:v>
                      </c:pt>
                      <c:pt idx="36" formatCode="General">
                        <c:v>1.8904031385658086E-14</c:v>
                      </c:pt>
                      <c:pt idx="37" formatCode="General">
                        <c:v>1.8306357216337844E-12</c:v>
                      </c:pt>
                      <c:pt idx="38" formatCode="General">
                        <c:v>4.7043628762480969E-11</c:v>
                      </c:pt>
                      <c:pt idx="39" formatCode="General">
                        <c:v>9.2256621803328156E-11</c:v>
                      </c:pt>
                      <c:pt idx="40" formatCode="General">
                        <c:v>1.3746961484417534E-10</c:v>
                      </c:pt>
                      <c:pt idx="41" formatCode="General">
                        <c:v>1.8268260788502253E-10</c:v>
                      </c:pt>
                      <c:pt idx="42" formatCode="General">
                        <c:v>2.278956009258697E-10</c:v>
                      </c:pt>
                      <c:pt idx="43" formatCode="General">
                        <c:v>2.7310859396671694E-10</c:v>
                      </c:pt>
                      <c:pt idx="44" formatCode="General">
                        <c:v>8.8629127272726661E-10</c:v>
                      </c:pt>
                      <c:pt idx="45" formatCode="General">
                        <c:v>2.2523639999999941E-9</c:v>
                      </c:pt>
                      <c:pt idx="46" formatCode="General">
                        <c:v>5.0315036363636213E-9</c:v>
                      </c:pt>
                      <c:pt idx="47" formatCode="General">
                        <c:v>8.827425454545418E-9</c:v>
                      </c:pt>
                      <c:pt idx="48" formatCode="General">
                        <c:v>1.6760698181818147E-8</c:v>
                      </c:pt>
                      <c:pt idx="49" formatCode="General">
                        <c:v>2.5769277108433713E-8</c:v>
                      </c:pt>
                      <c:pt idx="50" formatCode="General">
                        <c:v>3.5942771084337386E-8</c:v>
                      </c:pt>
                      <c:pt idx="51" formatCode="General">
                        <c:v>3.7839599999999998E-8</c:v>
                      </c:pt>
                      <c:pt idx="52" formatCode="General">
                        <c:v>3.7881375757575757E-8</c:v>
                      </c:pt>
                      <c:pt idx="53" formatCode="General">
                        <c:v>3.7736527272727272E-8</c:v>
                      </c:pt>
                      <c:pt idx="54" formatCode="General">
                        <c:v>3.7452381818181816E-8</c:v>
                      </c:pt>
                      <c:pt idx="55" formatCode="General">
                        <c:v>3.7039654545454544E-8</c:v>
                      </c:pt>
                      <c:pt idx="56" formatCode="General">
                        <c:v>3.6403363636363636E-8</c:v>
                      </c:pt>
                      <c:pt idx="57" formatCode="General">
                        <c:v>3.5622391830559753E-8</c:v>
                      </c:pt>
                      <c:pt idx="58" formatCode="General">
                        <c:v>3.4446900151285926E-8</c:v>
                      </c:pt>
                      <c:pt idx="59" formatCode="General">
                        <c:v>3.3271408472012099E-8</c:v>
                      </c:pt>
                      <c:pt idx="60" formatCode="General">
                        <c:v>3.2095916792738272E-8</c:v>
                      </c:pt>
                      <c:pt idx="61" formatCode="General">
                        <c:v>3.0920425113464445E-8</c:v>
                      </c:pt>
                      <c:pt idx="62" formatCode="General">
                        <c:v>2.9744933434190619E-8</c:v>
                      </c:pt>
                      <c:pt idx="63" formatCode="General">
                        <c:v>2.8569441754916792E-8</c:v>
                      </c:pt>
                      <c:pt idx="64" formatCode="General">
                        <c:v>2.7157794251134639E-8</c:v>
                      </c:pt>
                      <c:pt idx="65" formatCode="General">
                        <c:v>2.5595161875945534E-8</c:v>
                      </c:pt>
                      <c:pt idx="66" formatCode="General">
                        <c:v>2.4032529500756428E-8</c:v>
                      </c:pt>
                      <c:pt idx="67" formatCode="General">
                        <c:v>2.246989712556732E-8</c:v>
                      </c:pt>
                      <c:pt idx="68" formatCode="General">
                        <c:v>2.0907264750378214E-8</c:v>
                      </c:pt>
                      <c:pt idx="69" formatCode="General">
                        <c:v>1.9344632375189109E-8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0.12276351515151515</c:v>
                      </c:pt>
                      <c:pt idx="1">
                        <c:v>0.11123980606060604</c:v>
                      </c:pt>
                      <c:pt idx="2">
                        <c:v>9.5291927272727256E-2</c:v>
                      </c:pt>
                      <c:pt idx="3">
                        <c:v>7.6689945454545438E-2</c:v>
                      </c:pt>
                      <c:pt idx="4" formatCode="General">
                        <c:v>5.8005612405446286E-2</c:v>
                      </c:pt>
                      <c:pt idx="5" formatCode="General">
                        <c:v>4.9663267473524959E-2</c:v>
                      </c:pt>
                      <c:pt idx="6" formatCode="General">
                        <c:v>4.1320922541603633E-2</c:v>
                      </c:pt>
                      <c:pt idx="7" formatCode="General">
                        <c:v>3.29785776096823E-2</c:v>
                      </c:pt>
                      <c:pt idx="8" formatCode="General">
                        <c:v>2.4636232677760973E-2</c:v>
                      </c:pt>
                      <c:pt idx="9" formatCode="General">
                        <c:v>1.6293887745839647E-2</c:v>
                      </c:pt>
                      <c:pt idx="10" formatCode="General">
                        <c:v>7.9515428139183136E-3</c:v>
                      </c:pt>
                      <c:pt idx="11" formatCode="General">
                        <c:v>3.0191103030303042E-3</c:v>
                      </c:pt>
                      <c:pt idx="12" formatCode="General">
                        <c:v>1.9318981818181832E-3</c:v>
                      </c:pt>
                      <c:pt idx="13" formatCode="General">
                        <c:v>1.3091092121212127E-3</c:v>
                      </c:pt>
                      <c:pt idx="14" formatCode="General">
                        <c:v>8.3243897590361466E-4</c:v>
                      </c:pt>
                      <c:pt idx="15" formatCode="General">
                        <c:v>5.714329518072286E-4</c:v>
                      </c:pt>
                      <c:pt idx="16" formatCode="General">
                        <c:v>3.7277363636363607E-4</c:v>
                      </c:pt>
                      <c:pt idx="17" formatCode="General">
                        <c:v>2.3401606060606029E-4</c:v>
                      </c:pt>
                      <c:pt idx="18" formatCode="General">
                        <c:v>1.5213992727272711E-4</c:v>
                      </c:pt>
                      <c:pt idx="19" formatCode="General">
                        <c:v>8.7480018181818094E-5</c:v>
                      </c:pt>
                      <c:pt idx="20" formatCode="General">
                        <c:v>5.2751533333333257E-5</c:v>
                      </c:pt>
                      <c:pt idx="21" formatCode="General">
                        <c:v>2.9341157575757543E-5</c:v>
                      </c:pt>
                      <c:pt idx="22" formatCode="General">
                        <c:v>1.4823581818181785E-5</c:v>
                      </c:pt>
                      <c:pt idx="23" formatCode="General">
                        <c:v>8.6475132530120417E-6</c:v>
                      </c:pt>
                      <c:pt idx="24" formatCode="General">
                        <c:v>4.1697757575757574E-6</c:v>
                      </c:pt>
                      <c:pt idx="25" formatCode="General">
                        <c:v>2.3120787878787875E-6</c:v>
                      </c:pt>
                      <c:pt idx="26" formatCode="General">
                        <c:v>1.1940254545454546E-6</c:v>
                      </c:pt>
                      <c:pt idx="27" formatCode="General">
                        <c:v>5.6906787878787884E-7</c:v>
                      </c:pt>
                      <c:pt idx="28" formatCode="General">
                        <c:v>3.3705333333333334E-7</c:v>
                      </c:pt>
                      <c:pt idx="29" formatCode="General">
                        <c:v>1.6720872727272726E-7</c:v>
                      </c:pt>
                      <c:pt idx="30" formatCode="General">
                        <c:v>9.4171151515151524E-8</c:v>
                      </c:pt>
                      <c:pt idx="31" formatCode="General">
                        <c:v>5.181528915662653E-8</c:v>
                      </c:pt>
                      <c:pt idx="32" formatCode="General">
                        <c:v>2.5980349397590417E-8</c:v>
                      </c:pt>
                      <c:pt idx="33" formatCode="General">
                        <c:v>1.6267680000000021E-8</c:v>
                      </c:pt>
                      <c:pt idx="34" formatCode="General">
                        <c:v>8.732949090909098E-9</c:v>
                      </c:pt>
                      <c:pt idx="35" formatCode="General">
                        <c:v>5.1098581818181899E-9</c:v>
                      </c:pt>
                      <c:pt idx="36" formatCode="General">
                        <c:v>3.0083218181818215E-9</c:v>
                      </c:pt>
                      <c:pt idx="37" formatCode="General">
                        <c:v>1.6375257428139188E-9</c:v>
                      </c:pt>
                      <c:pt idx="38" formatCode="General">
                        <c:v>1.3981693131618766E-9</c:v>
                      </c:pt>
                      <c:pt idx="39" formatCode="General">
                        <c:v>1.1588128835098343E-9</c:v>
                      </c:pt>
                      <c:pt idx="40" formatCode="General">
                        <c:v>9.1945645385779207E-10</c:v>
                      </c:pt>
                      <c:pt idx="41" formatCode="General">
                        <c:v>6.8010002420574983E-10</c:v>
                      </c:pt>
                      <c:pt idx="42" formatCode="General">
                        <c:v>4.4074359455370758E-10</c:v>
                      </c:pt>
                      <c:pt idx="43" formatCode="General">
                        <c:v>2.0138716490166534E-10</c:v>
                      </c:pt>
                      <c:pt idx="44" formatCode="General">
                        <c:v>6.0955975794251171E-11</c:v>
                      </c:pt>
                      <c:pt idx="45" formatCode="General">
                        <c:v>5.1658245083207288E-11</c:v>
                      </c:pt>
                      <c:pt idx="46" formatCode="General">
                        <c:v>4.2360514372163404E-11</c:v>
                      </c:pt>
                      <c:pt idx="47" formatCode="General">
                        <c:v>3.3062783661119514E-11</c:v>
                      </c:pt>
                      <c:pt idx="48" formatCode="General">
                        <c:v>2.376505295007563E-11</c:v>
                      </c:pt>
                      <c:pt idx="49" formatCode="General">
                        <c:v>1.446732223903174E-11</c:v>
                      </c:pt>
                      <c:pt idx="50" formatCode="General">
                        <c:v>5.1695915279878564E-12</c:v>
                      </c:pt>
                      <c:pt idx="51" formatCode="General">
                        <c:v>2.6338072727272681E-12</c:v>
                      </c:pt>
                      <c:pt idx="52" formatCode="General">
                        <c:v>1.6725907878787856E-12</c:v>
                      </c:pt>
                      <c:pt idx="53" formatCode="General">
                        <c:v>1.1519483636363612E-12</c:v>
                      </c:pt>
                      <c:pt idx="54" formatCode="General">
                        <c:v>7.6568654545454426E-13</c:v>
                      </c:pt>
                      <c:pt idx="55" formatCode="General">
                        <c:v>5.0346836363636243E-13</c:v>
                      </c:pt>
                      <c:pt idx="56" formatCode="General">
                        <c:v>3.526312727272721E-13</c:v>
                      </c:pt>
                      <c:pt idx="57" formatCode="General">
                        <c:v>2.3273096385542137E-13</c:v>
                      </c:pt>
                      <c:pt idx="58" formatCode="General">
                        <c:v>1.6350807228915644E-13</c:v>
                      </c:pt>
                      <c:pt idx="59" formatCode="General">
                        <c:v>1.1311332121212112E-13</c:v>
                      </c:pt>
                      <c:pt idx="60" formatCode="General">
                        <c:v>7.7512109090909007E-14</c:v>
                      </c:pt>
                      <c:pt idx="61" formatCode="General">
                        <c:v>5.6299375757575713E-14</c:v>
                      </c:pt>
                      <c:pt idx="62" formatCode="General">
                        <c:v>3.8795945454545428E-14</c:v>
                      </c:pt>
                      <c:pt idx="63" formatCode="General">
                        <c:v>2.7799581818181791E-14</c:v>
                      </c:pt>
                      <c:pt idx="64" formatCode="General">
                        <c:v>2.158151739788199E-14</c:v>
                      </c:pt>
                      <c:pt idx="65" formatCode="General">
                        <c:v>1.8418431164901657E-14</c:v>
                      </c:pt>
                      <c:pt idx="66" formatCode="General">
                        <c:v>1.5255344931921324E-14</c:v>
                      </c:pt>
                      <c:pt idx="67" formatCode="General">
                        <c:v>1.2092258698940994E-14</c:v>
                      </c:pt>
                      <c:pt idx="68" formatCode="General">
                        <c:v>8.9291724659606648E-15</c:v>
                      </c:pt>
                      <c:pt idx="69" formatCode="General">
                        <c:v>5.766086232980332E-15</c:v>
                      </c:pt>
                      <c:pt idx="70" formatCode="General">
                        <c:v>2.6029999999999991E-15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1.1953945454545456E-2</c:v>
                      </c:pt>
                      <c:pt idx="1">
                        <c:v>1.21342E-2</c:v>
                      </c:pt>
                      <c:pt idx="2">
                        <c:v>1.23742E-2</c:v>
                      </c:pt>
                      <c:pt idx="3">
                        <c:v>1.263189696969697E-2</c:v>
                      </c:pt>
                      <c:pt idx="4" formatCode="General">
                        <c:v>1.2883375189107413E-2</c:v>
                      </c:pt>
                      <c:pt idx="5" formatCode="General">
                        <c:v>1.2988065052950075E-2</c:v>
                      </c:pt>
                      <c:pt idx="6" formatCode="General">
                        <c:v>1.3092754916792737E-2</c:v>
                      </c:pt>
                      <c:pt idx="7" formatCode="General">
                        <c:v>1.3197444780635401E-2</c:v>
                      </c:pt>
                      <c:pt idx="8" formatCode="General">
                        <c:v>1.3302134644478063E-2</c:v>
                      </c:pt>
                      <c:pt idx="9" formatCode="General">
                        <c:v>1.3406824508320725E-2</c:v>
                      </c:pt>
                      <c:pt idx="10" formatCode="General">
                        <c:v>1.3511514372163387E-2</c:v>
                      </c:pt>
                      <c:pt idx="11" formatCode="General">
                        <c:v>1.3596054545454544E-2</c:v>
                      </c:pt>
                      <c:pt idx="12" formatCode="General">
                        <c:v>1.3657872727272728E-2</c:v>
                      </c:pt>
                      <c:pt idx="13" formatCode="General">
                        <c:v>1.3756466666666666E-2</c:v>
                      </c:pt>
                      <c:pt idx="14" formatCode="General">
                        <c:v>1.3872753012048192E-2</c:v>
                      </c:pt>
                      <c:pt idx="15" formatCode="General">
                        <c:v>1.4036006024096387E-2</c:v>
                      </c:pt>
                      <c:pt idx="16" formatCode="General">
                        <c:v>1.4222327272727273E-2</c:v>
                      </c:pt>
                      <c:pt idx="17" formatCode="General">
                        <c:v>1.4430812121212121E-2</c:v>
                      </c:pt>
                      <c:pt idx="18" formatCode="General">
                        <c:v>1.4642424242424243E-2</c:v>
                      </c:pt>
                      <c:pt idx="19" formatCode="General">
                        <c:v>1.4846527272727273E-2</c:v>
                      </c:pt>
                      <c:pt idx="20" formatCode="General">
                        <c:v>1.5020466666666666E-2</c:v>
                      </c:pt>
                      <c:pt idx="21" formatCode="General">
                        <c:v>1.5163860606060606E-2</c:v>
                      </c:pt>
                      <c:pt idx="22" formatCode="General">
                        <c:v>1.5283254545454546E-2</c:v>
                      </c:pt>
                      <c:pt idx="23" formatCode="General">
                        <c:v>1.5358686746987952E-2</c:v>
                      </c:pt>
                      <c:pt idx="24" formatCode="General">
                        <c:v>1.5422E-2</c:v>
                      </c:pt>
                      <c:pt idx="25" formatCode="General">
                        <c:v>1.5462E-2</c:v>
                      </c:pt>
                      <c:pt idx="26" formatCode="General">
                        <c:v>1.5490727272727274E-2</c:v>
                      </c:pt>
                      <c:pt idx="27" formatCode="General">
                        <c:v>1.5511939393939394E-2</c:v>
                      </c:pt>
                      <c:pt idx="28" formatCode="General">
                        <c:v>1.5523363636363637E-2</c:v>
                      </c:pt>
                      <c:pt idx="29" formatCode="General">
                        <c:v>1.5532090909090909E-2</c:v>
                      </c:pt>
                      <c:pt idx="30" formatCode="General">
                        <c:v>1.5535727272727272E-2</c:v>
                      </c:pt>
                      <c:pt idx="31" formatCode="General">
                        <c:v>1.5532692771084338E-2</c:v>
                      </c:pt>
                      <c:pt idx="32" formatCode="General">
                        <c:v>1.5526066265060241E-2</c:v>
                      </c:pt>
                      <c:pt idx="33" formatCode="General">
                        <c:v>1.5488199999999999E-2</c:v>
                      </c:pt>
                      <c:pt idx="34" formatCode="General">
                        <c:v>1.5414163636363637E-2</c:v>
                      </c:pt>
                      <c:pt idx="35" formatCode="General">
                        <c:v>1.5270527272727272E-2</c:v>
                      </c:pt>
                      <c:pt idx="36" formatCode="General">
                        <c:v>1.48994E-2</c:v>
                      </c:pt>
                      <c:pt idx="37" formatCode="General">
                        <c:v>1.4368103782148265E-2</c:v>
                      </c:pt>
                      <c:pt idx="38" formatCode="General">
                        <c:v>1.2445698335854769E-2</c:v>
                      </c:pt>
                      <c:pt idx="39" formatCode="General">
                        <c:v>1.0523292889561275E-2</c:v>
                      </c:pt>
                      <c:pt idx="40" formatCode="General">
                        <c:v>8.6008874432677816E-3</c:v>
                      </c:pt>
                      <c:pt idx="41" formatCode="General">
                        <c:v>6.6784819969742887E-3</c:v>
                      </c:pt>
                      <c:pt idx="42" formatCode="General">
                        <c:v>4.7560765506807941E-3</c:v>
                      </c:pt>
                      <c:pt idx="43" formatCode="General">
                        <c:v>2.8336711043873003E-3</c:v>
                      </c:pt>
                      <c:pt idx="44" formatCode="General">
                        <c:v>1.6266714901664154E-3</c:v>
                      </c:pt>
                      <c:pt idx="45" formatCode="General">
                        <c:v>1.3680005370650535E-3</c:v>
                      </c:pt>
                      <c:pt idx="46" formatCode="General">
                        <c:v>1.1093295839636917E-3</c:v>
                      </c:pt>
                      <c:pt idx="47" formatCode="General">
                        <c:v>8.5065863086232973E-4</c:v>
                      </c:pt>
                      <c:pt idx="48" formatCode="General">
                        <c:v>5.9198767776096777E-4</c:v>
                      </c:pt>
                      <c:pt idx="49" formatCode="General">
                        <c:v>3.3331672465960593E-4</c:v>
                      </c:pt>
                      <c:pt idx="50" formatCode="General">
                        <c:v>7.4645771558243864E-5</c:v>
                      </c:pt>
                      <c:pt idx="51" formatCode="General">
                        <c:v>1.911569090909086E-5</c:v>
                      </c:pt>
                      <c:pt idx="52" formatCode="General">
                        <c:v>9.3744018181818012E-6</c:v>
                      </c:pt>
                      <c:pt idx="53" formatCode="General">
                        <c:v>5.4767654545454376E-6</c:v>
                      </c:pt>
                      <c:pt idx="54" formatCode="General">
                        <c:v>2.8799484848484783E-6</c:v>
                      </c:pt>
                      <c:pt idx="55" formatCode="General">
                        <c:v>1.4838878787878725E-6</c:v>
                      </c:pt>
                      <c:pt idx="56" formatCode="General">
                        <c:v>8.6563890909090678E-7</c:v>
                      </c:pt>
                      <c:pt idx="57" formatCode="General">
                        <c:v>4.3394843373493896E-7</c:v>
                      </c:pt>
                      <c:pt idx="58" formatCode="General">
                        <c:v>2.5162313253011997E-7</c:v>
                      </c:pt>
                      <c:pt idx="59" formatCode="General">
                        <c:v>1.260532363636362E-7</c:v>
                      </c:pt>
                      <c:pt idx="60" formatCode="General">
                        <c:v>4.5076872727272533E-8</c:v>
                      </c:pt>
                      <c:pt idx="61" formatCode="General">
                        <c:v>2.1615432121212083E-8</c:v>
                      </c:pt>
                      <c:pt idx="62" formatCode="General">
                        <c:v>7.4380490909090825E-9</c:v>
                      </c:pt>
                      <c:pt idx="63" formatCode="General">
                        <c:v>3.4947763636363552E-9</c:v>
                      </c:pt>
                      <c:pt idx="64" formatCode="General">
                        <c:v>1.7770227385779119E-9</c:v>
                      </c:pt>
                      <c:pt idx="65" formatCode="General">
                        <c:v>1.4821419821482597E-9</c:v>
                      </c:pt>
                      <c:pt idx="66" formatCode="General">
                        <c:v>1.1872612257186079E-9</c:v>
                      </c:pt>
                      <c:pt idx="67" formatCode="General">
                        <c:v>8.9238046928895596E-10</c:v>
                      </c:pt>
                      <c:pt idx="68" formatCode="General">
                        <c:v>5.9749971285930385E-10</c:v>
                      </c:pt>
                      <c:pt idx="69" formatCode="General">
                        <c:v>3.0261895642965196E-10</c:v>
                      </c:pt>
                      <c:pt idx="70" formatCode="General">
                        <c:v>7.7382000000000633E-12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6.3268735757575825E-26</c:v>
                      </c:pt>
                      <c:pt idx="1">
                        <c:v>9.0085721818182058E-25</c:v>
                      </c:pt>
                      <c:pt idx="2">
                        <c:v>3.0094735818181841E-24</c:v>
                      </c:pt>
                      <c:pt idx="3">
                        <c:v>6.4740058181818279E-23</c:v>
                      </c:pt>
                      <c:pt idx="4" formatCode="General">
                        <c:v>1.5609267904084935E-18</c:v>
                      </c:pt>
                      <c:pt idx="5" formatCode="General">
                        <c:v>2.1070738920514385E-17</c:v>
                      </c:pt>
                      <c:pt idx="6" formatCode="General">
                        <c:v>4.0580551050620279E-17</c:v>
                      </c:pt>
                      <c:pt idx="7" formatCode="General">
                        <c:v>6.0090363180726172E-17</c:v>
                      </c:pt>
                      <c:pt idx="8" formatCode="General">
                        <c:v>7.9600175310832059E-17</c:v>
                      </c:pt>
                      <c:pt idx="9" formatCode="General">
                        <c:v>9.9109987440937959E-17</c:v>
                      </c:pt>
                      <c:pt idx="10" formatCode="General">
                        <c:v>1.1861979957104385E-16</c:v>
                      </c:pt>
                      <c:pt idx="11" formatCode="General">
                        <c:v>7.4444351515151374E-16</c:v>
                      </c:pt>
                      <c:pt idx="12" formatCode="General">
                        <c:v>2.0539829090909078E-15</c:v>
                      </c:pt>
                      <c:pt idx="13" formatCode="General">
                        <c:v>1.6842612727272708E-14</c:v>
                      </c:pt>
                      <c:pt idx="14" formatCode="General">
                        <c:v>6.3732391566264908E-14</c:v>
                      </c:pt>
                      <c:pt idx="15" formatCode="General">
                        <c:v>2.5290528313253038E-13</c:v>
                      </c:pt>
                      <c:pt idx="16" formatCode="General">
                        <c:v>1.2167109090909129E-12</c:v>
                      </c:pt>
                      <c:pt idx="17" formatCode="General">
                        <c:v>2.9247715151515189E-12</c:v>
                      </c:pt>
                      <c:pt idx="18" formatCode="General">
                        <c:v>1.4878194545454576E-11</c:v>
                      </c:pt>
                      <c:pt idx="19" formatCode="General">
                        <c:v>4.6630218181818403E-11</c:v>
                      </c:pt>
                      <c:pt idx="20" formatCode="General">
                        <c:v>1.4658840000000022E-10</c:v>
                      </c:pt>
                      <c:pt idx="21" formatCode="General">
                        <c:v>5.7154987878788028E-10</c:v>
                      </c:pt>
                      <c:pt idx="22" formatCode="General">
                        <c:v>1.2518710909090924E-9</c:v>
                      </c:pt>
                      <c:pt idx="23" formatCode="General">
                        <c:v>5.181806024096389E-9</c:v>
                      </c:pt>
                      <c:pt idx="24" formatCode="General">
                        <c:v>1.4554799999999999E-8</c:v>
                      </c:pt>
                      <c:pt idx="25" formatCode="General">
                        <c:v>3.9292799999999996E-8</c:v>
                      </c:pt>
                      <c:pt idx="26" formatCode="General">
                        <c:v>1.2817418181818183E-7</c:v>
                      </c:pt>
                      <c:pt idx="27" formatCode="General">
                        <c:v>2.598178181818182E-7</c:v>
                      </c:pt>
                      <c:pt idx="28" formatCode="General">
                        <c:v>8.8056060606060607E-7</c:v>
                      </c:pt>
                      <c:pt idx="29" formatCode="General">
                        <c:v>2.215809090909091E-6</c:v>
                      </c:pt>
                      <c:pt idx="30" formatCode="General">
                        <c:v>5.1581727272727275E-6</c:v>
                      </c:pt>
                      <c:pt idx="31" formatCode="General">
                        <c:v>1.4239777108433725E-5</c:v>
                      </c:pt>
                      <c:pt idx="32" formatCode="General">
                        <c:v>2.6627126506024065E-5</c:v>
                      </c:pt>
                      <c:pt idx="33" formatCode="General">
                        <c:v>7.5470399999999886E-5</c:v>
                      </c:pt>
                      <c:pt idx="34" formatCode="General">
                        <c:v>1.6914381818181778E-4</c:v>
                      </c:pt>
                      <c:pt idx="35" formatCode="General">
                        <c:v>3.4912563636363598E-4</c:v>
                      </c:pt>
                      <c:pt idx="36" formatCode="General">
                        <c:v>8.125134545454532E-4</c:v>
                      </c:pt>
                      <c:pt idx="37" formatCode="General">
                        <c:v>1.4696417549167875E-3</c:v>
                      </c:pt>
                      <c:pt idx="38" formatCode="General">
                        <c:v>3.7206856278366048E-3</c:v>
                      </c:pt>
                      <c:pt idx="39" formatCode="General">
                        <c:v>5.9717295007564227E-3</c:v>
                      </c:pt>
                      <c:pt idx="40" formatCode="General">
                        <c:v>8.2227733736762402E-3</c:v>
                      </c:pt>
                      <c:pt idx="41" formatCode="General">
                        <c:v>1.0473817246596058E-2</c:v>
                      </c:pt>
                      <c:pt idx="42" formatCode="General">
                        <c:v>1.2724861119515875E-2</c:v>
                      </c:pt>
                      <c:pt idx="43" formatCode="General">
                        <c:v>1.4975904992435693E-2</c:v>
                      </c:pt>
                      <c:pt idx="44" formatCode="General">
                        <c:v>1.6119526475037824E-2</c:v>
                      </c:pt>
                      <c:pt idx="45" formatCode="General">
                        <c:v>1.5795169440242059E-2</c:v>
                      </c:pt>
                      <c:pt idx="46" formatCode="General">
                        <c:v>1.5470812405446293E-2</c:v>
                      </c:pt>
                      <c:pt idx="47" formatCode="General">
                        <c:v>1.5146455370650529E-2</c:v>
                      </c:pt>
                      <c:pt idx="48" formatCode="General">
                        <c:v>1.4822098335854765E-2</c:v>
                      </c:pt>
                      <c:pt idx="49" formatCode="General">
                        <c:v>1.4497741301059E-2</c:v>
                      </c:pt>
                      <c:pt idx="50" formatCode="General">
                        <c:v>1.4173384266263238E-2</c:v>
                      </c:pt>
                      <c:pt idx="51" formatCode="General">
                        <c:v>1.3357618181818178E-2</c:v>
                      </c:pt>
                      <c:pt idx="52" formatCode="General">
                        <c:v>1.2423472727272723E-2</c:v>
                      </c:pt>
                      <c:pt idx="53" formatCode="General">
                        <c:v>1.1438018181818178E-2</c:v>
                      </c:pt>
                      <c:pt idx="54" formatCode="General">
                        <c:v>1.0451964848484844E-2</c:v>
                      </c:pt>
                      <c:pt idx="55" formatCode="General">
                        <c:v>9.4653587878787832E-3</c:v>
                      </c:pt>
                      <c:pt idx="56" formatCode="General">
                        <c:v>8.5295818181818136E-3</c:v>
                      </c:pt>
                      <c:pt idx="57" formatCode="General">
                        <c:v>7.607931325301201E-3</c:v>
                      </c:pt>
                      <c:pt idx="58" formatCode="General">
                        <c:v>6.7094373493975876E-3</c:v>
                      </c:pt>
                      <c:pt idx="59" formatCode="General">
                        <c:v>5.1745848484848435E-3</c:v>
                      </c:pt>
                      <c:pt idx="60" formatCode="General">
                        <c:v>3.1397363636363595E-3</c:v>
                      </c:pt>
                      <c:pt idx="61" formatCode="General">
                        <c:v>2.0919345454545432E-3</c:v>
                      </c:pt>
                      <c:pt idx="62" formatCode="General">
                        <c:v>1.2744740606060595E-3</c:v>
                      </c:pt>
                      <c:pt idx="63" formatCode="General">
                        <c:v>8.3475890909090803E-4</c:v>
                      </c:pt>
                      <c:pt idx="64" formatCode="General">
                        <c:v>6.0579932526475021E-4</c:v>
                      </c:pt>
                      <c:pt idx="65" formatCode="General">
                        <c:v>5.1158510438729184E-4</c:v>
                      </c:pt>
                      <c:pt idx="66" formatCode="General">
                        <c:v>4.1737088350983346E-4</c:v>
                      </c:pt>
                      <c:pt idx="67" formatCode="General">
                        <c:v>3.2315666263237508E-4</c:v>
                      </c:pt>
                      <c:pt idx="68" formatCode="General">
                        <c:v>2.2894244175491671E-4</c:v>
                      </c:pt>
                      <c:pt idx="69" formatCode="General">
                        <c:v>1.3472822087745833E-4</c:v>
                      </c:pt>
                      <c:pt idx="70" formatCode="General">
                        <c:v>4.0513999999999958E-5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9729-4FC8-BC53-4E6B694307CE}"/>
              </c:ext>
            </c:extLst>
          </c:dPt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EVALUATION!$B$103:$BT$103</c:f>
              <c:numCache>
                <c:formatCode>0</c:formatCode>
                <c:ptCount val="71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 formatCode="General">
                  <c:v>0.14678787878787891</c:v>
                </c:pt>
                <c:pt idx="5" formatCode="General">
                  <c:v>0.23163636363636375</c:v>
                </c:pt>
                <c:pt idx="6" formatCode="General">
                  <c:v>0.28000000000000003</c:v>
                </c:pt>
                <c:pt idx="7" formatCode="General">
                  <c:v>0.28000000000000003</c:v>
                </c:pt>
                <c:pt idx="8" formatCode="General">
                  <c:v>0.28000000000000003</c:v>
                </c:pt>
                <c:pt idx="9" formatCode="General">
                  <c:v>0.28000000000000003</c:v>
                </c:pt>
                <c:pt idx="10" formatCode="General">
                  <c:v>0.28000000000000003</c:v>
                </c:pt>
                <c:pt idx="11" formatCode="General">
                  <c:v>0.28000000000000003</c:v>
                </c:pt>
                <c:pt idx="12" formatCode="General">
                  <c:v>0.28000000000000003</c:v>
                </c:pt>
                <c:pt idx="13" formatCode="General">
                  <c:v>0.28000000000000003</c:v>
                </c:pt>
                <c:pt idx="14" formatCode="General">
                  <c:v>0.28000000000000003</c:v>
                </c:pt>
                <c:pt idx="15" formatCode="General">
                  <c:v>0.28000000000000003</c:v>
                </c:pt>
                <c:pt idx="16" formatCode="General">
                  <c:v>0.28000000000000003</c:v>
                </c:pt>
                <c:pt idx="17" formatCode="General">
                  <c:v>0.28000000000000003</c:v>
                </c:pt>
                <c:pt idx="18" formatCode="General">
                  <c:v>0.28000000000000003</c:v>
                </c:pt>
                <c:pt idx="19" formatCode="General">
                  <c:v>0.28000000000000003</c:v>
                </c:pt>
                <c:pt idx="20" formatCode="General">
                  <c:v>0.28000000000000003</c:v>
                </c:pt>
                <c:pt idx="21" formatCode="General">
                  <c:v>0.18496976598545417</c:v>
                </c:pt>
                <c:pt idx="22" formatCode="General">
                  <c:v>1.5272919530908702E-2</c:v>
                </c:pt>
                <c:pt idx="23" formatCode="General">
                  <c:v>9.2937123493975774E-8</c:v>
                </c:pt>
                <c:pt idx="24" formatCode="General">
                  <c:v>1.8641208060606062E-9</c:v>
                </c:pt>
                <c:pt idx="25" formatCode="General">
                  <c:v>1.5706040303030303E-9</c:v>
                </c:pt>
                <c:pt idx="26" formatCode="General">
                  <c:v>1.2770872545454544E-9</c:v>
                </c:pt>
                <c:pt idx="27" formatCode="General">
                  <c:v>9.835704787878787E-10</c:v>
                </c:pt>
                <c:pt idx="28" formatCode="General">
                  <c:v>6.9005370303030281E-10</c:v>
                </c:pt>
                <c:pt idx="29" formatCode="General">
                  <c:v>3.9653692727272713E-10</c:v>
                </c:pt>
                <c:pt idx="30" formatCode="General">
                  <c:v>1.0302015151515124E-10</c:v>
                </c:pt>
                <c:pt idx="31" formatCode="General">
                  <c:v>2.6083340451138354E-13</c:v>
                </c:pt>
                <c:pt idx="32" formatCode="General">
                  <c:v>2.1706941145197357E-13</c:v>
                </c:pt>
                <c:pt idx="33" formatCode="General">
                  <c:v>1.7330541839256359E-13</c:v>
                </c:pt>
                <c:pt idx="34" formatCode="General">
                  <c:v>1.2954142533315362E-13</c:v>
                </c:pt>
                <c:pt idx="35" formatCode="General">
                  <c:v>8.5777432273743667E-14</c:v>
                </c:pt>
                <c:pt idx="36" formatCode="General">
                  <c:v>4.2013439214333693E-14</c:v>
                </c:pt>
                <c:pt idx="37" formatCode="General">
                  <c:v>5.8417338880484137E-21</c:v>
                </c:pt>
                <c:pt idx="38" formatCode="General">
                  <c:v>4.9525810892587012E-21</c:v>
                </c:pt>
                <c:pt idx="39" formatCode="General">
                  <c:v>4.0634282904689888E-21</c:v>
                </c:pt>
                <c:pt idx="40" formatCode="General">
                  <c:v>3.1742754916792768E-21</c:v>
                </c:pt>
                <c:pt idx="41" formatCode="General">
                  <c:v>2.2851226928895648E-21</c:v>
                </c:pt>
                <c:pt idx="42" formatCode="General">
                  <c:v>1.3959698940998524E-21</c:v>
                </c:pt>
                <c:pt idx="43" formatCode="General">
                  <c:v>5.0681709531013994E-22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9-4FC8-BC53-4E6B694307CE}"/>
            </c:ext>
          </c:extLst>
        </c:ser>
        <c:ser>
          <c:idx val="38"/>
          <c:order val="40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EVALUATION!$B$141:$BT$141</c:f>
              <c:numCache>
                <c:formatCode>0</c:formatCode>
                <c:ptCount val="71"/>
                <c:pt idx="0">
                  <c:v>0.12276351515151515</c:v>
                </c:pt>
                <c:pt idx="1">
                  <c:v>0.11123980606060604</c:v>
                </c:pt>
                <c:pt idx="2">
                  <c:v>9.5291927272727256E-2</c:v>
                </c:pt>
                <c:pt idx="3">
                  <c:v>7.6689945454545438E-2</c:v>
                </c:pt>
                <c:pt idx="4" formatCode="General">
                  <c:v>5.8005612405446286E-2</c:v>
                </c:pt>
                <c:pt idx="5" formatCode="General">
                  <c:v>4.9663267473524959E-2</c:v>
                </c:pt>
                <c:pt idx="6" formatCode="General">
                  <c:v>4.1320922541603633E-2</c:v>
                </c:pt>
                <c:pt idx="7" formatCode="General">
                  <c:v>3.29785776096823E-2</c:v>
                </c:pt>
                <c:pt idx="8" formatCode="General">
                  <c:v>2.4636232677760973E-2</c:v>
                </c:pt>
                <c:pt idx="9" formatCode="General">
                  <c:v>1.6293887745839647E-2</c:v>
                </c:pt>
                <c:pt idx="10" formatCode="General">
                  <c:v>7.9515428139183136E-3</c:v>
                </c:pt>
                <c:pt idx="11" formatCode="General">
                  <c:v>3.0191103030303042E-3</c:v>
                </c:pt>
                <c:pt idx="12" formatCode="General">
                  <c:v>1.9318981818181832E-3</c:v>
                </c:pt>
                <c:pt idx="13" formatCode="General">
                  <c:v>1.3091092121212127E-3</c:v>
                </c:pt>
                <c:pt idx="14" formatCode="General">
                  <c:v>8.3243897590361466E-4</c:v>
                </c:pt>
                <c:pt idx="15" formatCode="General">
                  <c:v>5.714329518072286E-4</c:v>
                </c:pt>
                <c:pt idx="16" formatCode="General">
                  <c:v>3.7277363636363607E-4</c:v>
                </c:pt>
                <c:pt idx="17" formatCode="General">
                  <c:v>2.3401606060606029E-4</c:v>
                </c:pt>
                <c:pt idx="18" formatCode="General">
                  <c:v>1.5213992727272711E-4</c:v>
                </c:pt>
                <c:pt idx="19" formatCode="General">
                  <c:v>8.7480018181818094E-5</c:v>
                </c:pt>
                <c:pt idx="20" formatCode="General">
                  <c:v>5.2751533333333257E-5</c:v>
                </c:pt>
                <c:pt idx="21" formatCode="General">
                  <c:v>2.9341157575757543E-5</c:v>
                </c:pt>
                <c:pt idx="22" formatCode="General">
                  <c:v>1.4823581818181785E-5</c:v>
                </c:pt>
                <c:pt idx="23" formatCode="General">
                  <c:v>8.6475132530120417E-6</c:v>
                </c:pt>
                <c:pt idx="24" formatCode="General">
                  <c:v>4.1697757575757574E-6</c:v>
                </c:pt>
                <c:pt idx="25" formatCode="General">
                  <c:v>2.3120787878787875E-6</c:v>
                </c:pt>
                <c:pt idx="26" formatCode="General">
                  <c:v>1.1940254545454546E-6</c:v>
                </c:pt>
                <c:pt idx="27" formatCode="General">
                  <c:v>5.6906787878787884E-7</c:v>
                </c:pt>
                <c:pt idx="28" formatCode="General">
                  <c:v>3.3705333333333334E-7</c:v>
                </c:pt>
                <c:pt idx="29" formatCode="General">
                  <c:v>1.6720872727272726E-7</c:v>
                </c:pt>
                <c:pt idx="30" formatCode="General">
                  <c:v>9.4171151515151524E-8</c:v>
                </c:pt>
                <c:pt idx="31" formatCode="General">
                  <c:v>5.181528915662653E-8</c:v>
                </c:pt>
                <c:pt idx="32" formatCode="General">
                  <c:v>2.5980349397590417E-8</c:v>
                </c:pt>
                <c:pt idx="33" formatCode="General">
                  <c:v>1.6267680000000021E-8</c:v>
                </c:pt>
                <c:pt idx="34" formatCode="General">
                  <c:v>8.732949090909098E-9</c:v>
                </c:pt>
                <c:pt idx="35" formatCode="General">
                  <c:v>5.1098581818181899E-9</c:v>
                </c:pt>
                <c:pt idx="36" formatCode="General">
                  <c:v>3.0083218181818215E-9</c:v>
                </c:pt>
                <c:pt idx="37" formatCode="General">
                  <c:v>1.6375257428139188E-9</c:v>
                </c:pt>
                <c:pt idx="38" formatCode="General">
                  <c:v>1.3981693131618766E-9</c:v>
                </c:pt>
                <c:pt idx="39" formatCode="General">
                  <c:v>1.1588128835098343E-9</c:v>
                </c:pt>
                <c:pt idx="40" formatCode="General">
                  <c:v>9.1945645385779207E-10</c:v>
                </c:pt>
                <c:pt idx="41" formatCode="General">
                  <c:v>6.8010002420574983E-10</c:v>
                </c:pt>
                <c:pt idx="42" formatCode="General">
                  <c:v>4.4074359455370758E-10</c:v>
                </c:pt>
                <c:pt idx="43" formatCode="General">
                  <c:v>2.0138716490166534E-10</c:v>
                </c:pt>
                <c:pt idx="44" formatCode="General">
                  <c:v>6.0955975794251171E-11</c:v>
                </c:pt>
                <c:pt idx="45" formatCode="General">
                  <c:v>5.1658245083207288E-11</c:v>
                </c:pt>
                <c:pt idx="46" formatCode="General">
                  <c:v>4.2360514372163404E-11</c:v>
                </c:pt>
                <c:pt idx="47" formatCode="General">
                  <c:v>3.3062783661119514E-11</c:v>
                </c:pt>
                <c:pt idx="48" formatCode="General">
                  <c:v>2.376505295007563E-11</c:v>
                </c:pt>
                <c:pt idx="49" formatCode="General">
                  <c:v>1.446732223903174E-11</c:v>
                </c:pt>
                <c:pt idx="50" formatCode="General">
                  <c:v>5.1695915279878564E-12</c:v>
                </c:pt>
                <c:pt idx="51" formatCode="General">
                  <c:v>2.6338072727272681E-12</c:v>
                </c:pt>
                <c:pt idx="52" formatCode="General">
                  <c:v>1.6725907878787856E-12</c:v>
                </c:pt>
                <c:pt idx="53" formatCode="General">
                  <c:v>1.1519483636363612E-12</c:v>
                </c:pt>
                <c:pt idx="54" formatCode="General">
                  <c:v>7.6568654545454426E-13</c:v>
                </c:pt>
                <c:pt idx="55" formatCode="General">
                  <c:v>5.0346836363636243E-13</c:v>
                </c:pt>
                <c:pt idx="56" formatCode="General">
                  <c:v>3.526312727272721E-13</c:v>
                </c:pt>
                <c:pt idx="57" formatCode="General">
                  <c:v>2.3273096385542137E-13</c:v>
                </c:pt>
                <c:pt idx="58" formatCode="General">
                  <c:v>1.6350807228915644E-13</c:v>
                </c:pt>
                <c:pt idx="59" formatCode="General">
                  <c:v>1.1311332121212112E-13</c:v>
                </c:pt>
                <c:pt idx="60" formatCode="General">
                  <c:v>7.7512109090909007E-14</c:v>
                </c:pt>
                <c:pt idx="61" formatCode="General">
                  <c:v>5.6299375757575713E-14</c:v>
                </c:pt>
                <c:pt idx="62" formatCode="General">
                  <c:v>3.8795945454545428E-14</c:v>
                </c:pt>
                <c:pt idx="63" formatCode="General">
                  <c:v>2.7799581818181791E-14</c:v>
                </c:pt>
                <c:pt idx="64" formatCode="General">
                  <c:v>2.158151739788199E-14</c:v>
                </c:pt>
                <c:pt idx="65" formatCode="General">
                  <c:v>1.8418431164901657E-14</c:v>
                </c:pt>
                <c:pt idx="66" formatCode="General">
                  <c:v>1.5255344931921324E-14</c:v>
                </c:pt>
                <c:pt idx="67" formatCode="General">
                  <c:v>1.2092258698940994E-14</c:v>
                </c:pt>
                <c:pt idx="68" formatCode="General">
                  <c:v>8.9291724659606648E-15</c:v>
                </c:pt>
                <c:pt idx="69" formatCode="General">
                  <c:v>5.766086232980332E-15</c:v>
                </c:pt>
                <c:pt idx="70" formatCode="General">
                  <c:v>2.6029999999999991E-15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9729-4FC8-BC53-4E6B694307CE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9-4FC8-BC53-4E6B6943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2.5323863636363638E-19</c:v>
                      </c:pt>
                      <c:pt idx="25" formatCode="General">
                        <c:v>1.2661931818181818E-18</c:v>
                      </c:pt>
                      <c:pt idx="26" formatCode="General">
                        <c:v>2.2791477272727273E-18</c:v>
                      </c:pt>
                      <c:pt idx="27" formatCode="General">
                        <c:v>3.2921022727272726E-18</c:v>
                      </c:pt>
                      <c:pt idx="28" formatCode="General">
                        <c:v>4.3050568181818183E-18</c:v>
                      </c:pt>
                      <c:pt idx="29" formatCode="General">
                        <c:v>5.3180113636363633E-18</c:v>
                      </c:pt>
                      <c:pt idx="30" formatCode="General">
                        <c:v>6.330965909090909E-18</c:v>
                      </c:pt>
                      <c:pt idx="31" formatCode="General">
                        <c:v>1.7332805685325256E-14</c:v>
                      </c:pt>
                      <c:pt idx="32" formatCode="General">
                        <c:v>4.398837520121027E-14</c:v>
                      </c:pt>
                      <c:pt idx="33" formatCode="General">
                        <c:v>7.0643944717095287E-14</c:v>
                      </c:pt>
                      <c:pt idx="34" formatCode="General">
                        <c:v>9.7299514232980298E-14</c:v>
                      </c:pt>
                      <c:pt idx="35" formatCode="General">
                        <c:v>1.2395508374886532E-13</c:v>
                      </c:pt>
                      <c:pt idx="36" formatCode="General">
                        <c:v>1.5061065326475033E-13</c:v>
                      </c:pt>
                      <c:pt idx="37" formatCode="General">
                        <c:v>1.7548919818456886E-13</c:v>
                      </c:pt>
                      <c:pt idx="38" formatCode="General">
                        <c:v>1.5771915279878976E-13</c:v>
                      </c:pt>
                      <c:pt idx="39" formatCode="General">
                        <c:v>1.3994910741301065E-13</c:v>
                      </c:pt>
                      <c:pt idx="40" formatCode="General">
                        <c:v>1.2217906202723152E-13</c:v>
                      </c:pt>
                      <c:pt idx="41" formatCode="General">
                        <c:v>1.0440901664145241E-13</c:v>
                      </c:pt>
                      <c:pt idx="42" formatCode="General">
                        <c:v>8.663897125567329E-14</c:v>
                      </c:pt>
                      <c:pt idx="43" formatCode="General">
                        <c:v>6.8868925869894173E-14</c:v>
                      </c:pt>
                      <c:pt idx="44" formatCode="General">
                        <c:v>4.3432001290547433E-14</c:v>
                      </c:pt>
                      <c:pt idx="45" formatCode="General">
                        <c:v>7.8320042918201611E-15</c:v>
                      </c:pt>
                      <c:pt idx="46" formatCode="General">
                        <c:v>2.6111074413774684E-21</c:v>
                      </c:pt>
                      <c:pt idx="47" formatCode="General">
                        <c:v>3.2865163636363735E-28</c:v>
                      </c:pt>
                      <c:pt idx="48" formatCode="General">
                        <c:v>1.1243345454545551E-28</c:v>
                      </c:pt>
                      <c:pt idx="49" formatCode="General">
                        <c:v>1.4933493975903557E-20</c:v>
                      </c:pt>
                      <c:pt idx="50" formatCode="General">
                        <c:v>4.6044939759036258E-20</c:v>
                      </c:pt>
                      <c:pt idx="51" formatCode="General">
                        <c:v>1.185322684032431E-13</c:v>
                      </c:pt>
                      <c:pt idx="52" formatCode="General">
                        <c:v>2.1393810335757511E-13</c:v>
                      </c:pt>
                      <c:pt idx="53" formatCode="General">
                        <c:v>6.9397534872726628E-14</c:v>
                      </c:pt>
                      <c:pt idx="54" formatCode="General">
                        <c:v>1.2396750642424195E-17</c:v>
                      </c:pt>
                      <c:pt idx="55" formatCode="General">
                        <c:v>1.5020403393938913E-18</c:v>
                      </c:pt>
                      <c:pt idx="56" formatCode="General">
                        <c:v>7.6232345454545409E-20</c:v>
                      </c:pt>
                      <c:pt idx="57" formatCode="General">
                        <c:v>7.0073717464600512E-16</c:v>
                      </c:pt>
                      <c:pt idx="58" formatCode="General">
                        <c:v>3.8855983366732349E-15</c:v>
                      </c:pt>
                      <c:pt idx="59" formatCode="General">
                        <c:v>7.0704594987004655E-15</c:v>
                      </c:pt>
                      <c:pt idx="60" formatCode="General">
                        <c:v>1.0255320660727694E-14</c:v>
                      </c:pt>
                      <c:pt idx="61" formatCode="General">
                        <c:v>1.3440181822754924E-14</c:v>
                      </c:pt>
                      <c:pt idx="62" formatCode="General">
                        <c:v>1.6625042984782154E-14</c:v>
                      </c:pt>
                      <c:pt idx="63" formatCode="General">
                        <c:v>1.9809904146809385E-14</c:v>
                      </c:pt>
                      <c:pt idx="64" formatCode="General">
                        <c:v>4.2459202904689998E-10</c:v>
                      </c:pt>
                      <c:pt idx="65" formatCode="General">
                        <c:v>1.1206100242057498E-9</c:v>
                      </c:pt>
                      <c:pt idx="66" formatCode="General">
                        <c:v>1.8166280193645998E-9</c:v>
                      </c:pt>
                      <c:pt idx="67" formatCode="General">
                        <c:v>2.5126460145234498E-9</c:v>
                      </c:pt>
                      <c:pt idx="68" formatCode="General">
                        <c:v>3.2086640096822996E-9</c:v>
                      </c:pt>
                      <c:pt idx="69" formatCode="General">
                        <c:v>3.9046820048411494E-9</c:v>
                      </c:pt>
                      <c:pt idx="70" formatCode="General">
                        <c:v>4.6006999999999996E-9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729-4FC8-BC53-4E6B694307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729-4FC8-BC53-4E6B694307CE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3.8295915279878965E-37</c:v>
                      </c:pt>
                      <c:pt idx="32" formatCode="General">
                        <c:v>9.7212708018154291E-37</c:v>
                      </c:pt>
                      <c:pt idx="33" formatCode="General">
                        <c:v>1.5612950075642961E-36</c:v>
                      </c:pt>
                      <c:pt idx="34" formatCode="General">
                        <c:v>2.1504629349470494E-36</c:v>
                      </c:pt>
                      <c:pt idx="35" formatCode="General">
                        <c:v>2.7396308623298028E-36</c:v>
                      </c:pt>
                      <c:pt idx="36" formatCode="General">
                        <c:v>3.3287987897125558E-36</c:v>
                      </c:pt>
                      <c:pt idx="37" formatCode="General">
                        <c:v>6.6051437216338959E-23</c:v>
                      </c:pt>
                      <c:pt idx="38" formatCode="General">
                        <c:v>1.7173373676248096E-21</c:v>
                      </c:pt>
                      <c:pt idx="39" formatCode="General">
                        <c:v>3.3686232980332803E-21</c:v>
                      </c:pt>
                      <c:pt idx="40" formatCode="General">
                        <c:v>5.0199092284417509E-21</c:v>
                      </c:pt>
                      <c:pt idx="41" formatCode="General">
                        <c:v>6.671195158850222E-21</c:v>
                      </c:pt>
                      <c:pt idx="42" formatCode="General">
                        <c:v>8.322481089258693E-21</c:v>
                      </c:pt>
                      <c:pt idx="43" formatCode="General">
                        <c:v>9.973767019667164E-21</c:v>
                      </c:pt>
                      <c:pt idx="44" formatCode="General">
                        <c:v>1.515115151515147E-20</c:v>
                      </c:pt>
                      <c:pt idx="45" formatCode="General">
                        <c:v>2.5002666666666624E-20</c:v>
                      </c:pt>
                      <c:pt idx="46" formatCode="General">
                        <c:v>1.3005816909090833E-17</c:v>
                      </c:pt>
                      <c:pt idx="47" formatCode="General">
                        <c:v>2.7022981818181833E-17</c:v>
                      </c:pt>
                      <c:pt idx="48" formatCode="General">
                        <c:v>2.3492072727272744E-17</c:v>
                      </c:pt>
                      <c:pt idx="49" formatCode="General">
                        <c:v>1.1959518087683135E-8</c:v>
                      </c:pt>
                      <c:pt idx="50" formatCode="General">
                        <c:v>3.6875180725239895E-8</c:v>
                      </c:pt>
                      <c:pt idx="51" formatCode="General">
                        <c:v>1.911267878787887E-7</c:v>
                      </c:pt>
                      <c:pt idx="52" formatCode="General">
                        <c:v>3.3370587878787851E-7</c:v>
                      </c:pt>
                      <c:pt idx="53" formatCode="General">
                        <c:v>2.8068163636363612E-7</c:v>
                      </c:pt>
                      <c:pt idx="54" formatCode="General">
                        <c:v>2.3450248484848466E-7</c:v>
                      </c:pt>
                      <c:pt idx="55" formatCode="General">
                        <c:v>1.9464187878787859E-7</c:v>
                      </c:pt>
                      <c:pt idx="56" formatCode="General">
                        <c:v>1.7598290909090901E-7</c:v>
                      </c:pt>
                      <c:pt idx="57" formatCode="General">
                        <c:v>1.6033210590015122E-7</c:v>
                      </c:pt>
                      <c:pt idx="58" formatCode="General">
                        <c:v>1.4411440544629343E-7</c:v>
                      </c:pt>
                      <c:pt idx="59" formatCode="General">
                        <c:v>1.2789670499243564E-7</c:v>
                      </c:pt>
                      <c:pt idx="60" formatCode="General">
                        <c:v>1.1167900453857786E-7</c:v>
                      </c:pt>
                      <c:pt idx="61" formatCode="General">
                        <c:v>9.5461304084720078E-8</c:v>
                      </c:pt>
                      <c:pt idx="62" formatCode="General">
                        <c:v>7.9243603630862285E-8</c:v>
                      </c:pt>
                      <c:pt idx="63" formatCode="General">
                        <c:v>6.3025903177004505E-8</c:v>
                      </c:pt>
                      <c:pt idx="64" formatCode="General">
                        <c:v>5.2980461422087734E-8</c:v>
                      </c:pt>
                      <c:pt idx="65" formatCode="General">
                        <c:v>4.6881217851739778E-8</c:v>
                      </c:pt>
                      <c:pt idx="66" formatCode="General">
                        <c:v>4.0781974281391822E-8</c:v>
                      </c:pt>
                      <c:pt idx="67" formatCode="General">
                        <c:v>3.4682730711043866E-8</c:v>
                      </c:pt>
                      <c:pt idx="68" formatCode="General">
                        <c:v>2.8583487140695906E-8</c:v>
                      </c:pt>
                      <c:pt idx="69" formatCode="General">
                        <c:v>2.2484243570347954E-8</c:v>
                      </c:pt>
                      <c:pt idx="70" formatCode="General">
                        <c:v>1.6384999999999997E-8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729-4FC8-BC53-4E6B694307CE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729-4FC8-BC53-4E6B694307CE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729-4FC8-BC53-4E6B694307CE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2.573569135539396E-12</c:v>
                      </c:pt>
                      <c:pt idx="1">
                        <c:v>3.3883989636363737E-10</c:v>
                      </c:pt>
                      <c:pt idx="2">
                        <c:v>1.2196746236363646E-9</c:v>
                      </c:pt>
                      <c:pt idx="3">
                        <c:v>1.3579630303030326E-7</c:v>
                      </c:pt>
                      <c:pt idx="4" formatCode="General">
                        <c:v>6.7881690951516133E-3</c:v>
                      </c:pt>
                      <c:pt idx="5" formatCode="General">
                        <c:v>9.1636469034545573E-2</c:v>
                      </c:pt>
                      <c:pt idx="6" formatCode="General">
                        <c:v>0.14000000000000001</c:v>
                      </c:pt>
                      <c:pt idx="7" formatCode="General">
                        <c:v>0.14000000000000001</c:v>
                      </c:pt>
                      <c:pt idx="8" formatCode="General">
                        <c:v>0.14000000000000001</c:v>
                      </c:pt>
                      <c:pt idx="9" formatCode="General">
                        <c:v>0.14000000000000001</c:v>
                      </c:pt>
                      <c:pt idx="10" formatCode="General">
                        <c:v>0.14000000000000001</c:v>
                      </c:pt>
                      <c:pt idx="11" formatCode="General">
                        <c:v>0.14000000000000001</c:v>
                      </c:pt>
                      <c:pt idx="12" formatCode="General">
                        <c:v>0.14000000000000001</c:v>
                      </c:pt>
                      <c:pt idx="13" formatCode="General">
                        <c:v>0.14000000000000001</c:v>
                      </c:pt>
                      <c:pt idx="14" formatCode="General">
                        <c:v>0.14000000000000001</c:v>
                      </c:pt>
                      <c:pt idx="15" formatCode="General">
                        <c:v>0.14000000000000001</c:v>
                      </c:pt>
                      <c:pt idx="16" formatCode="General">
                        <c:v>0.14000000000000001</c:v>
                      </c:pt>
                      <c:pt idx="17" formatCode="General">
                        <c:v>0.14000000000000001</c:v>
                      </c:pt>
                      <c:pt idx="18" formatCode="General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0.14000000000000001</c:v>
                      </c:pt>
                      <c:pt idx="21" formatCode="General">
                        <c:v>0.23503030303030342</c:v>
                      </c:pt>
                      <c:pt idx="22" formatCode="General">
                        <c:v>0.4047272727272731</c:v>
                      </c:pt>
                      <c:pt idx="23" formatCode="General">
                        <c:v>0.42</c:v>
                      </c:pt>
                      <c:pt idx="24" formatCode="General">
                        <c:v>0.42</c:v>
                      </c:pt>
                      <c:pt idx="25" formatCode="General">
                        <c:v>0.42</c:v>
                      </c:pt>
                      <c:pt idx="26" formatCode="General">
                        <c:v>0.42</c:v>
                      </c:pt>
                      <c:pt idx="27" formatCode="General">
                        <c:v>0.42</c:v>
                      </c:pt>
                      <c:pt idx="28" formatCode="General">
                        <c:v>0.42</c:v>
                      </c:pt>
                      <c:pt idx="29" formatCode="General">
                        <c:v>0.42</c:v>
                      </c:pt>
                      <c:pt idx="30" formatCode="General">
                        <c:v>0.42</c:v>
                      </c:pt>
                      <c:pt idx="31" formatCode="General">
                        <c:v>0.42</c:v>
                      </c:pt>
                      <c:pt idx="32" formatCode="General">
                        <c:v>0.42</c:v>
                      </c:pt>
                      <c:pt idx="33" formatCode="General">
                        <c:v>0.42</c:v>
                      </c:pt>
                      <c:pt idx="34" formatCode="General">
                        <c:v>0.42</c:v>
                      </c:pt>
                      <c:pt idx="35" formatCode="General">
                        <c:v>0.42</c:v>
                      </c:pt>
                      <c:pt idx="36" formatCode="General">
                        <c:v>0.42</c:v>
                      </c:pt>
                      <c:pt idx="37" formatCode="General">
                        <c:v>0.42</c:v>
                      </c:pt>
                      <c:pt idx="38" formatCode="General">
                        <c:v>0.42</c:v>
                      </c:pt>
                      <c:pt idx="39" formatCode="General">
                        <c:v>0.42</c:v>
                      </c:pt>
                      <c:pt idx="40" formatCode="General">
                        <c:v>0.42</c:v>
                      </c:pt>
                      <c:pt idx="41" formatCode="General">
                        <c:v>0.42</c:v>
                      </c:pt>
                      <c:pt idx="42" formatCode="General">
                        <c:v>0.42</c:v>
                      </c:pt>
                      <c:pt idx="43" formatCode="General">
                        <c:v>0.42</c:v>
                      </c:pt>
                      <c:pt idx="44" formatCode="General">
                        <c:v>0.42</c:v>
                      </c:pt>
                      <c:pt idx="45" formatCode="General">
                        <c:v>0.42</c:v>
                      </c:pt>
                      <c:pt idx="46" formatCode="General">
                        <c:v>0.43157709090909085</c:v>
                      </c:pt>
                      <c:pt idx="47" formatCode="General">
                        <c:v>0.44526290909090904</c:v>
                      </c:pt>
                      <c:pt idx="48" formatCode="General">
                        <c:v>0.45120836363636357</c:v>
                      </c:pt>
                      <c:pt idx="49" formatCode="General">
                        <c:v>0.46107204819277103</c:v>
                      </c:pt>
                      <c:pt idx="50" formatCode="General">
                        <c:v>0.4751804819277109</c:v>
                      </c:pt>
                      <c:pt idx="51" formatCode="General">
                        <c:v>0.47867418181818183</c:v>
                      </c:pt>
                      <c:pt idx="52" formatCode="General">
                        <c:v>0.47967090909090909</c:v>
                      </c:pt>
                      <c:pt idx="53" formatCode="General">
                        <c:v>0.47985272727272726</c:v>
                      </c:pt>
                      <c:pt idx="54" formatCode="General">
                        <c:v>0.47995575757575759</c:v>
                      </c:pt>
                      <c:pt idx="55" formatCode="General">
                        <c:v>0.47998606060606064</c:v>
                      </c:pt>
                      <c:pt idx="56" formatCode="General">
                        <c:v>0.47999527272727271</c:v>
                      </c:pt>
                      <c:pt idx="57" formatCode="General">
                        <c:v>0.48</c:v>
                      </c:pt>
                      <c:pt idx="58" formatCode="General">
                        <c:v>0.48</c:v>
                      </c:pt>
                      <c:pt idx="59" formatCode="General">
                        <c:v>0.48</c:v>
                      </c:pt>
                      <c:pt idx="60" formatCode="General">
                        <c:v>0.48</c:v>
                      </c:pt>
                      <c:pt idx="61" formatCode="General">
                        <c:v>0.48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729-4FC8-BC53-4E6B694307CE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0.13321212136829083</c:v>
                      </c:pt>
                      <c:pt idx="5" formatCode="General">
                        <c:v>4.8363638471927178E-2</c:v>
                      </c:pt>
                      <c:pt idx="6" formatCode="General">
                        <c:v>2.438389638554216E-9</c:v>
                      </c:pt>
                      <c:pt idx="7" formatCode="General">
                        <c:v>6.1836554216867627E-10</c:v>
                      </c:pt>
                      <c:pt idx="8" formatCode="General">
                        <c:v>1.1103458000000013E-10</c:v>
                      </c:pt>
                      <c:pt idx="9" formatCode="General">
                        <c:v>8.9437050909090977E-12</c:v>
                      </c:pt>
                      <c:pt idx="10" formatCode="General">
                        <c:v>3.1904141818181896E-12</c:v>
                      </c:pt>
                      <c:pt idx="11" formatCode="General">
                        <c:v>1.3113219364599294E-13</c:v>
                      </c:pt>
                      <c:pt idx="12" formatCode="General">
                        <c:v>1.0977515885023324E-13</c:v>
                      </c:pt>
                      <c:pt idx="13" formatCode="General">
                        <c:v>8.8418124054473509E-14</c:v>
                      </c:pt>
                      <c:pt idx="14" formatCode="General">
                        <c:v>6.7061089258713806E-14</c:v>
                      </c:pt>
                      <c:pt idx="15" formatCode="General">
                        <c:v>4.5704054462954091E-14</c:v>
                      </c:pt>
                      <c:pt idx="16" formatCode="General">
                        <c:v>2.4347019667194375E-14</c:v>
                      </c:pt>
                      <c:pt idx="17" formatCode="General">
                        <c:v>2.9899848714346473E-15</c:v>
                      </c:pt>
                      <c:pt idx="18" formatCode="General">
                        <c:v>1.3578903030302993E-26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729-4FC8-BC53-4E6B694307CE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 formatCode="General">
                        <c:v>0.02</c:v>
                      </c:pt>
                      <c:pt idx="5" formatCode="General">
                        <c:v>0.02</c:v>
                      </c:pt>
                      <c:pt idx="6" formatCode="General">
                        <c:v>0.02</c:v>
                      </c:pt>
                      <c:pt idx="7" formatCode="General">
                        <c:v>0.02</c:v>
                      </c:pt>
                      <c:pt idx="8" formatCode="General">
                        <c:v>0.02</c:v>
                      </c:pt>
                      <c:pt idx="9" formatCode="General">
                        <c:v>0.02</c:v>
                      </c:pt>
                      <c:pt idx="10" formatCode="General">
                        <c:v>0.02</c:v>
                      </c:pt>
                      <c:pt idx="11" formatCode="General">
                        <c:v>0.02</c:v>
                      </c:pt>
                      <c:pt idx="12" formatCode="General">
                        <c:v>0.02</c:v>
                      </c:pt>
                      <c:pt idx="13" formatCode="General">
                        <c:v>0.02</c:v>
                      </c:pt>
                      <c:pt idx="14" formatCode="General">
                        <c:v>0.02</c:v>
                      </c:pt>
                      <c:pt idx="15" formatCode="General">
                        <c:v>0.02</c:v>
                      </c:pt>
                      <c:pt idx="16" formatCode="General">
                        <c:v>0.02</c:v>
                      </c:pt>
                      <c:pt idx="17" formatCode="General">
                        <c:v>0.02</c:v>
                      </c:pt>
                      <c:pt idx="18" formatCode="General">
                        <c:v>0.02</c:v>
                      </c:pt>
                      <c:pt idx="19" formatCode="General">
                        <c:v>0.02</c:v>
                      </c:pt>
                      <c:pt idx="20" formatCode="General">
                        <c:v>0.02</c:v>
                      </c:pt>
                      <c:pt idx="21" formatCode="General">
                        <c:v>0.02</c:v>
                      </c:pt>
                      <c:pt idx="22" formatCode="General">
                        <c:v>0.02</c:v>
                      </c:pt>
                      <c:pt idx="23" formatCode="General">
                        <c:v>0.02</c:v>
                      </c:pt>
                      <c:pt idx="24" formatCode="General">
                        <c:v>0.02</c:v>
                      </c:pt>
                      <c:pt idx="25" formatCode="General">
                        <c:v>0.02</c:v>
                      </c:pt>
                      <c:pt idx="26" formatCode="General">
                        <c:v>0.02</c:v>
                      </c:pt>
                      <c:pt idx="27" formatCode="General">
                        <c:v>0.02</c:v>
                      </c:pt>
                      <c:pt idx="28" formatCode="General">
                        <c:v>0.02</c:v>
                      </c:pt>
                      <c:pt idx="29" formatCode="General">
                        <c:v>0.02</c:v>
                      </c:pt>
                      <c:pt idx="30" formatCode="General">
                        <c:v>0.02</c:v>
                      </c:pt>
                      <c:pt idx="31" formatCode="General">
                        <c:v>0.02</c:v>
                      </c:pt>
                      <c:pt idx="32" formatCode="General">
                        <c:v>0.02</c:v>
                      </c:pt>
                      <c:pt idx="33" formatCode="General">
                        <c:v>0.02</c:v>
                      </c:pt>
                      <c:pt idx="34" formatCode="General">
                        <c:v>0.02</c:v>
                      </c:pt>
                      <c:pt idx="35" formatCode="General">
                        <c:v>0.02</c:v>
                      </c:pt>
                      <c:pt idx="36" formatCode="General">
                        <c:v>0.02</c:v>
                      </c:pt>
                      <c:pt idx="37" formatCode="General">
                        <c:v>0.02</c:v>
                      </c:pt>
                      <c:pt idx="38" formatCode="General">
                        <c:v>0.02</c:v>
                      </c:pt>
                      <c:pt idx="39" formatCode="General">
                        <c:v>0.02</c:v>
                      </c:pt>
                      <c:pt idx="40" formatCode="General">
                        <c:v>0.02</c:v>
                      </c:pt>
                      <c:pt idx="41" formatCode="General">
                        <c:v>0.02</c:v>
                      </c:pt>
                      <c:pt idx="42" formatCode="General">
                        <c:v>0.02</c:v>
                      </c:pt>
                      <c:pt idx="43" formatCode="General">
                        <c:v>0.02</c:v>
                      </c:pt>
                      <c:pt idx="44" formatCode="General">
                        <c:v>0.02</c:v>
                      </c:pt>
                      <c:pt idx="45" formatCode="General">
                        <c:v>0.02</c:v>
                      </c:pt>
                      <c:pt idx="46" formatCode="General">
                        <c:v>1.4212210909090943E-2</c:v>
                      </c:pt>
                      <c:pt idx="47" formatCode="General">
                        <c:v>7.3699169696969831E-3</c:v>
                      </c:pt>
                      <c:pt idx="48" formatCode="General">
                        <c:v>4.3954321212121353E-3</c:v>
                      </c:pt>
                      <c:pt idx="49" formatCode="General">
                        <c:v>2.2444002409638579E-3</c:v>
                      </c:pt>
                      <c:pt idx="50" formatCode="General">
                        <c:v>9.8544240963854986E-4</c:v>
                      </c:pt>
                      <c:pt idx="51" formatCode="General">
                        <c:v>4.4134587878787699E-4</c:v>
                      </c:pt>
                      <c:pt idx="52" formatCode="General">
                        <c:v>1.0969016363636336E-4</c:v>
                      </c:pt>
                      <c:pt idx="53" formatCode="General">
                        <c:v>4.9102890909090633E-5</c:v>
                      </c:pt>
                      <c:pt idx="54" formatCode="General">
                        <c:v>1.4816052121212076E-5</c:v>
                      </c:pt>
                      <c:pt idx="55" formatCode="General">
                        <c:v>4.806536969696922E-6</c:v>
                      </c:pt>
                      <c:pt idx="56" formatCode="General">
                        <c:v>1.9953754545454465E-6</c:v>
                      </c:pt>
                      <c:pt idx="57" formatCode="General">
                        <c:v>6.2032924750378176E-7</c:v>
                      </c:pt>
                      <c:pt idx="58" formatCode="General">
                        <c:v>5.2341673615733698E-7</c:v>
                      </c:pt>
                      <c:pt idx="59" formatCode="General">
                        <c:v>4.2650422481089226E-7</c:v>
                      </c:pt>
                      <c:pt idx="60" formatCode="General">
                        <c:v>3.2959171346444754E-7</c:v>
                      </c:pt>
                      <c:pt idx="61" formatCode="General">
                        <c:v>2.3267920211800276E-7</c:v>
                      </c:pt>
                      <c:pt idx="62" formatCode="General">
                        <c:v>1.3576669077155798E-7</c:v>
                      </c:pt>
                      <c:pt idx="63" formatCode="General">
                        <c:v>3.8854179425113315E-8</c:v>
                      </c:pt>
                      <c:pt idx="64" formatCode="General">
                        <c:v>9.6089549531013581E-10</c:v>
                      </c:pt>
                      <c:pt idx="65" formatCode="General">
                        <c:v>8.0121597942511312E-10</c:v>
                      </c:pt>
                      <c:pt idx="66" formatCode="General">
                        <c:v>6.4153646354009044E-10</c:v>
                      </c:pt>
                      <c:pt idx="67" formatCode="General">
                        <c:v>4.8185694765506786E-10</c:v>
                      </c:pt>
                      <c:pt idx="68" formatCode="General">
                        <c:v>3.2217743177004517E-10</c:v>
                      </c:pt>
                      <c:pt idx="69" formatCode="General">
                        <c:v>1.6249791588502259E-10</c:v>
                      </c:pt>
                      <c:pt idx="70" formatCode="General">
                        <c:v>2.8183999999999E-12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729-4FC8-BC53-4E6B694307CE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4.750484114977298E-34</c:v>
                      </c:pt>
                      <c:pt idx="12" formatCode="General">
                        <c:v>1.4857897125567317E-33</c:v>
                      </c:pt>
                      <c:pt idx="13" formatCode="General">
                        <c:v>2.4965310136157337E-33</c:v>
                      </c:pt>
                      <c:pt idx="14" formatCode="General">
                        <c:v>3.5072723146747357E-33</c:v>
                      </c:pt>
                      <c:pt idx="15" formatCode="General">
                        <c:v>4.5180136157337374E-33</c:v>
                      </c:pt>
                      <c:pt idx="16" formatCode="General">
                        <c:v>5.5287549167927397E-33</c:v>
                      </c:pt>
                      <c:pt idx="17" formatCode="General">
                        <c:v>6.539496217851742E-33</c:v>
                      </c:pt>
                      <c:pt idx="18" formatCode="General">
                        <c:v>4.1052605454545557E-31</c:v>
                      </c:pt>
                      <c:pt idx="19" formatCode="General">
                        <c:v>9.387109090909183E-30</c:v>
                      </c:pt>
                      <c:pt idx="20" formatCode="General">
                        <c:v>5.0366200000000086E-29</c:v>
                      </c:pt>
                      <c:pt idx="21" formatCode="General">
                        <c:v>1.6069725636363698E-27</c:v>
                      </c:pt>
                      <c:pt idx="22" formatCode="General">
                        <c:v>4.3544289272727339E-27</c:v>
                      </c:pt>
                      <c:pt idx="23" formatCode="General">
                        <c:v>1.3569010542168692E-25</c:v>
                      </c:pt>
                      <c:pt idx="24" formatCode="General">
                        <c:v>9.7642496493181815E-21</c:v>
                      </c:pt>
                      <c:pt idx="25" formatCode="General">
                        <c:v>4.8820273326590917E-20</c:v>
                      </c:pt>
                      <c:pt idx="26" formatCode="General">
                        <c:v>8.7876297003863633E-20</c:v>
                      </c:pt>
                      <c:pt idx="27" formatCode="General">
                        <c:v>1.2693232068113638E-19</c:v>
                      </c:pt>
                      <c:pt idx="28" formatCode="General">
                        <c:v>1.659883443584091E-19</c:v>
                      </c:pt>
                      <c:pt idx="29" formatCode="General">
                        <c:v>2.0504436803568185E-19</c:v>
                      </c:pt>
                      <c:pt idx="30" formatCode="General">
                        <c:v>2.4410039171295454E-19</c:v>
                      </c:pt>
                      <c:pt idx="31" formatCode="General">
                        <c:v>2.175028185960665E-15</c:v>
                      </c:pt>
                      <c:pt idx="32" formatCode="General">
                        <c:v>5.5208288259001491E-15</c:v>
                      </c:pt>
                      <c:pt idx="33" formatCode="General">
                        <c:v>8.8666294658396331E-15</c:v>
                      </c:pt>
                      <c:pt idx="34" formatCode="General">
                        <c:v>1.2212430105779116E-14</c:v>
                      </c:pt>
                      <c:pt idx="35" formatCode="General">
                        <c:v>1.55582307457186E-14</c:v>
                      </c:pt>
                      <c:pt idx="36" formatCode="General">
                        <c:v>1.8904031385658086E-14</c:v>
                      </c:pt>
                      <c:pt idx="37" formatCode="General">
                        <c:v>1.8306357216337844E-12</c:v>
                      </c:pt>
                      <c:pt idx="38" formatCode="General">
                        <c:v>4.7043628762480969E-11</c:v>
                      </c:pt>
                      <c:pt idx="39" formatCode="General">
                        <c:v>9.2256621803328156E-11</c:v>
                      </c:pt>
                      <c:pt idx="40" formatCode="General">
                        <c:v>1.3746961484417534E-10</c:v>
                      </c:pt>
                      <c:pt idx="41" formatCode="General">
                        <c:v>1.8268260788502253E-10</c:v>
                      </c:pt>
                      <c:pt idx="42" formatCode="General">
                        <c:v>2.278956009258697E-10</c:v>
                      </c:pt>
                      <c:pt idx="43" formatCode="General">
                        <c:v>2.7310859396671694E-10</c:v>
                      </c:pt>
                      <c:pt idx="44" formatCode="General">
                        <c:v>8.8629127272726661E-10</c:v>
                      </c:pt>
                      <c:pt idx="45" formatCode="General">
                        <c:v>2.2523639999999941E-9</c:v>
                      </c:pt>
                      <c:pt idx="46" formatCode="General">
                        <c:v>5.0315036363636213E-9</c:v>
                      </c:pt>
                      <c:pt idx="47" formatCode="General">
                        <c:v>8.827425454545418E-9</c:v>
                      </c:pt>
                      <c:pt idx="48" formatCode="General">
                        <c:v>1.6760698181818147E-8</c:v>
                      </c:pt>
                      <c:pt idx="49" formatCode="General">
                        <c:v>2.5769277108433713E-8</c:v>
                      </c:pt>
                      <c:pt idx="50" formatCode="General">
                        <c:v>3.5942771084337386E-8</c:v>
                      </c:pt>
                      <c:pt idx="51" formatCode="General">
                        <c:v>3.7839599999999998E-8</c:v>
                      </c:pt>
                      <c:pt idx="52" formatCode="General">
                        <c:v>3.7881375757575757E-8</c:v>
                      </c:pt>
                      <c:pt idx="53" formatCode="General">
                        <c:v>3.7736527272727272E-8</c:v>
                      </c:pt>
                      <c:pt idx="54" formatCode="General">
                        <c:v>3.7452381818181816E-8</c:v>
                      </c:pt>
                      <c:pt idx="55" formatCode="General">
                        <c:v>3.7039654545454544E-8</c:v>
                      </c:pt>
                      <c:pt idx="56" formatCode="General">
                        <c:v>3.6403363636363636E-8</c:v>
                      </c:pt>
                      <c:pt idx="57" formatCode="General">
                        <c:v>3.5622391830559753E-8</c:v>
                      </c:pt>
                      <c:pt idx="58" formatCode="General">
                        <c:v>3.4446900151285926E-8</c:v>
                      </c:pt>
                      <c:pt idx="59" formatCode="General">
                        <c:v>3.3271408472012099E-8</c:v>
                      </c:pt>
                      <c:pt idx="60" formatCode="General">
                        <c:v>3.2095916792738272E-8</c:v>
                      </c:pt>
                      <c:pt idx="61" formatCode="General">
                        <c:v>3.0920425113464445E-8</c:v>
                      </c:pt>
                      <c:pt idx="62" formatCode="General">
                        <c:v>2.9744933434190619E-8</c:v>
                      </c:pt>
                      <c:pt idx="63" formatCode="General">
                        <c:v>2.8569441754916792E-8</c:v>
                      </c:pt>
                      <c:pt idx="64" formatCode="General">
                        <c:v>2.7157794251134639E-8</c:v>
                      </c:pt>
                      <c:pt idx="65" formatCode="General">
                        <c:v>2.5595161875945534E-8</c:v>
                      </c:pt>
                      <c:pt idx="66" formatCode="General">
                        <c:v>2.4032529500756428E-8</c:v>
                      </c:pt>
                      <c:pt idx="67" formatCode="General">
                        <c:v>2.246989712556732E-8</c:v>
                      </c:pt>
                      <c:pt idx="68" formatCode="General">
                        <c:v>2.0907264750378214E-8</c:v>
                      </c:pt>
                      <c:pt idx="69" formatCode="General">
                        <c:v>1.9344632375189109E-8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729-4FC8-BC53-4E6B694307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729-4FC8-BC53-4E6B694307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729-4FC8-BC53-4E6B694307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729-4FC8-BC53-4E6B694307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729-4FC8-BC53-4E6B694307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729-4FC8-BC53-4E6B694307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729-4FC8-BC53-4E6B694307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729-4FC8-BC53-4E6B694307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729-4FC8-BC53-4E6B694307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729-4FC8-BC53-4E6B694307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729-4FC8-BC53-4E6B694307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729-4FC8-BC53-4E6B694307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729-4FC8-BC53-4E6B694307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729-4FC8-BC53-4E6B694307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729-4FC8-BC53-4E6B694307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729-4FC8-BC53-4E6B694307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729-4FC8-BC53-4E6B694307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729-4FC8-BC53-4E6B694307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729-4FC8-BC53-4E6B694307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729-4FC8-BC53-4E6B694307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729-4FC8-BC53-4E6B694307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729-4FC8-BC53-4E6B694307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729-4FC8-BC53-4E6B694307C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729-4FC8-BC53-4E6B694307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729-4FC8-BC53-4E6B694307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729-4FC8-BC53-4E6B694307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729-4FC8-BC53-4E6B694307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729-4FC8-BC53-4E6B694307C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29-4FC8-BC53-4E6B694307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729-4FC8-BC53-4E6B694307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729-4FC8-BC53-4E6B694307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0.15722648484848487</c:v>
                      </c:pt>
                      <c:pt idx="1">
                        <c:v>0.16874927272727275</c:v>
                      </c:pt>
                      <c:pt idx="2">
                        <c:v>0.18469472727272729</c:v>
                      </c:pt>
                      <c:pt idx="3">
                        <c:v>0.20328145454545457</c:v>
                      </c:pt>
                      <c:pt idx="4" formatCode="General">
                        <c:v>0.22188405446293497</c:v>
                      </c:pt>
                      <c:pt idx="5" formatCode="General">
                        <c:v>0.2294347352496218</c:v>
                      </c:pt>
                      <c:pt idx="6" formatCode="General">
                        <c:v>0.23698541603630863</c:v>
                      </c:pt>
                      <c:pt idx="7" formatCode="General">
                        <c:v>0.24453609682299546</c:v>
                      </c:pt>
                      <c:pt idx="8" formatCode="General">
                        <c:v>0.25208677760968229</c:v>
                      </c:pt>
                      <c:pt idx="9" formatCode="General">
                        <c:v>0.25963745839636909</c:v>
                      </c:pt>
                      <c:pt idx="10" formatCode="General">
                        <c:v>0.26718813918305595</c:v>
                      </c:pt>
                      <c:pt idx="11" formatCode="General">
                        <c:v>0.26933848484848483</c:v>
                      </c:pt>
                      <c:pt idx="12" formatCode="General">
                        <c:v>0.26539909090909092</c:v>
                      </c:pt>
                      <c:pt idx="13" formatCode="General">
                        <c:v>0.25658442424242422</c:v>
                      </c:pt>
                      <c:pt idx="14" formatCode="General">
                        <c:v>0.24539885542168674</c:v>
                      </c:pt>
                      <c:pt idx="15" formatCode="General">
                        <c:v>0.22786271084337345</c:v>
                      </c:pt>
                      <c:pt idx="16" formatCode="General">
                        <c:v>0.20638090909090903</c:v>
                      </c:pt>
                      <c:pt idx="17" formatCode="General">
                        <c:v>0.18110818181818178</c:v>
                      </c:pt>
                      <c:pt idx="18" formatCode="General">
                        <c:v>0.15233812121212115</c:v>
                      </c:pt>
                      <c:pt idx="19" formatCode="General">
                        <c:v>0.12341732727272721</c:v>
                      </c:pt>
                      <c:pt idx="20" formatCode="General">
                        <c:v>9.6071266666666599E-2</c:v>
                      </c:pt>
                      <c:pt idx="21" formatCode="General">
                        <c:v>7.2474151515151464E-2</c:v>
                      </c:pt>
                      <c:pt idx="22" formatCode="General">
                        <c:v>5.1822636363636321E-2</c:v>
                      </c:pt>
                      <c:pt idx="23" formatCode="General">
                        <c:v>3.7995307228915649E-2</c:v>
                      </c:pt>
                      <c:pt idx="24" formatCode="General">
                        <c:v>2.6216606060606062E-2</c:v>
                      </c:pt>
                      <c:pt idx="25" formatCode="General">
                        <c:v>1.8559030303030303E-2</c:v>
                      </c:pt>
                      <c:pt idx="26" formatCode="General">
                        <c:v>1.2963854545454545E-2</c:v>
                      </c:pt>
                      <c:pt idx="27" formatCode="General">
                        <c:v>8.7436121212121215E-3</c:v>
                      </c:pt>
                      <c:pt idx="28" formatCode="General">
                        <c:v>6.3550848484848488E-3</c:v>
                      </c:pt>
                      <c:pt idx="29" formatCode="General">
                        <c:v>4.3757272727272725E-3</c:v>
                      </c:pt>
                      <c:pt idx="30" formatCode="General">
                        <c:v>3.126151515151515E-3</c:v>
                      </c:pt>
                      <c:pt idx="31" formatCode="General">
                        <c:v>2.2430018072289162E-3</c:v>
                      </c:pt>
                      <c:pt idx="32" formatCode="General">
                        <c:v>1.5571584337349411E-3</c:v>
                      </c:pt>
                      <c:pt idx="33" formatCode="General">
                        <c:v>1.1666720000000008E-3</c:v>
                      </c:pt>
                      <c:pt idx="34" formatCode="General">
                        <c:v>8.3559454545454595E-4</c:v>
                      </c:pt>
                      <c:pt idx="35" formatCode="General">
                        <c:v>6.1404909090909143E-4</c:v>
                      </c:pt>
                      <c:pt idx="36" formatCode="General">
                        <c:v>4.5643527272727299E-4</c:v>
                      </c:pt>
                      <c:pt idx="37" formatCode="General">
                        <c:v>3.3101901361573386E-4</c:v>
                      </c:pt>
                      <c:pt idx="38" formatCode="General">
                        <c:v>2.8899435400907725E-4</c:v>
                      </c:pt>
                      <c:pt idx="39" formatCode="General">
                        <c:v>2.4696969440242075E-4</c:v>
                      </c:pt>
                      <c:pt idx="40" formatCode="General">
                        <c:v>2.0494503479576417E-4</c:v>
                      </c:pt>
                      <c:pt idx="41" formatCode="General">
                        <c:v>1.6292037518910758E-4</c:v>
                      </c:pt>
                      <c:pt idx="42" formatCode="General">
                        <c:v>1.2089571558245103E-4</c:v>
                      </c:pt>
                      <c:pt idx="43" formatCode="General">
                        <c:v>7.8871055975794472E-5</c:v>
                      </c:pt>
                      <c:pt idx="44" formatCode="General">
                        <c:v>5.2056036308623328E-5</c:v>
                      </c:pt>
                      <c:pt idx="45" formatCode="General">
                        <c:v>4.540263237518913E-5</c:v>
                      </c:pt>
                      <c:pt idx="46" formatCode="General">
                        <c:v>3.8749228441754924E-5</c:v>
                      </c:pt>
                      <c:pt idx="47" formatCode="General">
                        <c:v>3.2095824508320725E-5</c:v>
                      </c:pt>
                      <c:pt idx="48" formatCode="General">
                        <c:v>2.5442420574886523E-5</c:v>
                      </c:pt>
                      <c:pt idx="49" formatCode="General">
                        <c:v>1.8789016641452321E-5</c:v>
                      </c:pt>
                      <c:pt idx="50" formatCode="General">
                        <c:v>1.2135612708018123E-5</c:v>
                      </c:pt>
                      <c:pt idx="51" formatCode="General">
                        <c:v>9.2316545454545363E-6</c:v>
                      </c:pt>
                      <c:pt idx="52" formatCode="General">
                        <c:v>7.2669739393939326E-6</c:v>
                      </c:pt>
                      <c:pt idx="53" formatCode="General">
                        <c:v>5.8697618181818117E-6</c:v>
                      </c:pt>
                      <c:pt idx="54" formatCode="General">
                        <c:v>4.706329090909087E-6</c:v>
                      </c:pt>
                      <c:pt idx="55" formatCode="General">
                        <c:v>3.7586927272727231E-6</c:v>
                      </c:pt>
                      <c:pt idx="56" formatCode="General">
                        <c:v>3.0708963636363608E-6</c:v>
                      </c:pt>
                      <c:pt idx="57" formatCode="General">
                        <c:v>2.4667602409638536E-6</c:v>
                      </c:pt>
                      <c:pt idx="58" formatCode="General">
                        <c:v>2.0215795180722878E-6</c:v>
                      </c:pt>
                      <c:pt idx="59" formatCode="General">
                        <c:v>1.6560709090909084E-6</c:v>
                      </c:pt>
                      <c:pt idx="60" formatCode="General">
                        <c:v>1.3531618181818175E-6</c:v>
                      </c:pt>
                      <c:pt idx="61" formatCode="General">
                        <c:v>1.1274427878787875E-6</c:v>
                      </c:pt>
                      <c:pt idx="62" formatCode="General">
                        <c:v>9.2525103030302983E-7</c:v>
                      </c:pt>
                      <c:pt idx="63" formatCode="General">
                        <c:v>7.6829345454545416E-7</c:v>
                      </c:pt>
                      <c:pt idx="64" formatCode="General">
                        <c:v>6.6157455370650506E-7</c:v>
                      </c:pt>
                      <c:pt idx="65" formatCode="General">
                        <c:v>5.8697546142208761E-7</c:v>
                      </c:pt>
                      <c:pt idx="66" formatCode="General">
                        <c:v>5.1237636913767006E-7</c:v>
                      </c:pt>
                      <c:pt idx="67" formatCode="General">
                        <c:v>4.3777727685325251E-7</c:v>
                      </c:pt>
                      <c:pt idx="68" formatCode="General">
                        <c:v>3.6317818456883496E-7</c:v>
                      </c:pt>
                      <c:pt idx="69" formatCode="General">
                        <c:v>2.8857909228441746E-7</c:v>
                      </c:pt>
                      <c:pt idx="70" formatCode="General">
                        <c:v>2.1397999999999996E-7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729-4FC8-BC53-4E6B694307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1.1953945454545456E-2</c:v>
                      </c:pt>
                      <c:pt idx="1">
                        <c:v>1.21342E-2</c:v>
                      </c:pt>
                      <c:pt idx="2">
                        <c:v>1.23742E-2</c:v>
                      </c:pt>
                      <c:pt idx="3">
                        <c:v>1.263189696969697E-2</c:v>
                      </c:pt>
                      <c:pt idx="4" formatCode="General">
                        <c:v>1.2883375189107413E-2</c:v>
                      </c:pt>
                      <c:pt idx="5" formatCode="General">
                        <c:v>1.2988065052950075E-2</c:v>
                      </c:pt>
                      <c:pt idx="6" formatCode="General">
                        <c:v>1.3092754916792737E-2</c:v>
                      </c:pt>
                      <c:pt idx="7" formatCode="General">
                        <c:v>1.3197444780635401E-2</c:v>
                      </c:pt>
                      <c:pt idx="8" formatCode="General">
                        <c:v>1.3302134644478063E-2</c:v>
                      </c:pt>
                      <c:pt idx="9" formatCode="General">
                        <c:v>1.3406824508320725E-2</c:v>
                      </c:pt>
                      <c:pt idx="10" formatCode="General">
                        <c:v>1.3511514372163387E-2</c:v>
                      </c:pt>
                      <c:pt idx="11" formatCode="General">
                        <c:v>1.3596054545454544E-2</c:v>
                      </c:pt>
                      <c:pt idx="12" formatCode="General">
                        <c:v>1.3657872727272728E-2</c:v>
                      </c:pt>
                      <c:pt idx="13" formatCode="General">
                        <c:v>1.3756466666666666E-2</c:v>
                      </c:pt>
                      <c:pt idx="14" formatCode="General">
                        <c:v>1.3872753012048192E-2</c:v>
                      </c:pt>
                      <c:pt idx="15" formatCode="General">
                        <c:v>1.4036006024096387E-2</c:v>
                      </c:pt>
                      <c:pt idx="16" formatCode="General">
                        <c:v>1.4222327272727273E-2</c:v>
                      </c:pt>
                      <c:pt idx="17" formatCode="General">
                        <c:v>1.4430812121212121E-2</c:v>
                      </c:pt>
                      <c:pt idx="18" formatCode="General">
                        <c:v>1.4642424242424243E-2</c:v>
                      </c:pt>
                      <c:pt idx="19" formatCode="General">
                        <c:v>1.4846527272727273E-2</c:v>
                      </c:pt>
                      <c:pt idx="20" formatCode="General">
                        <c:v>1.5020466666666666E-2</c:v>
                      </c:pt>
                      <c:pt idx="21" formatCode="General">
                        <c:v>1.5163860606060606E-2</c:v>
                      </c:pt>
                      <c:pt idx="22" formatCode="General">
                        <c:v>1.5283254545454546E-2</c:v>
                      </c:pt>
                      <c:pt idx="23" formatCode="General">
                        <c:v>1.5358686746987952E-2</c:v>
                      </c:pt>
                      <c:pt idx="24" formatCode="General">
                        <c:v>1.5422E-2</c:v>
                      </c:pt>
                      <c:pt idx="25" formatCode="General">
                        <c:v>1.5462E-2</c:v>
                      </c:pt>
                      <c:pt idx="26" formatCode="General">
                        <c:v>1.5490727272727274E-2</c:v>
                      </c:pt>
                      <c:pt idx="27" formatCode="General">
                        <c:v>1.5511939393939394E-2</c:v>
                      </c:pt>
                      <c:pt idx="28" formatCode="General">
                        <c:v>1.5523363636363637E-2</c:v>
                      </c:pt>
                      <c:pt idx="29" formatCode="General">
                        <c:v>1.5532090909090909E-2</c:v>
                      </c:pt>
                      <c:pt idx="30" formatCode="General">
                        <c:v>1.5535727272727272E-2</c:v>
                      </c:pt>
                      <c:pt idx="31" formatCode="General">
                        <c:v>1.5532692771084338E-2</c:v>
                      </c:pt>
                      <c:pt idx="32" formatCode="General">
                        <c:v>1.5526066265060241E-2</c:v>
                      </c:pt>
                      <c:pt idx="33" formatCode="General">
                        <c:v>1.5488199999999999E-2</c:v>
                      </c:pt>
                      <c:pt idx="34" formatCode="General">
                        <c:v>1.5414163636363637E-2</c:v>
                      </c:pt>
                      <c:pt idx="35" formatCode="General">
                        <c:v>1.5270527272727272E-2</c:v>
                      </c:pt>
                      <c:pt idx="36" formatCode="General">
                        <c:v>1.48994E-2</c:v>
                      </c:pt>
                      <c:pt idx="37" formatCode="General">
                        <c:v>1.4368103782148265E-2</c:v>
                      </c:pt>
                      <c:pt idx="38" formatCode="General">
                        <c:v>1.2445698335854769E-2</c:v>
                      </c:pt>
                      <c:pt idx="39" formatCode="General">
                        <c:v>1.0523292889561275E-2</c:v>
                      </c:pt>
                      <c:pt idx="40" formatCode="General">
                        <c:v>8.6008874432677816E-3</c:v>
                      </c:pt>
                      <c:pt idx="41" formatCode="General">
                        <c:v>6.6784819969742887E-3</c:v>
                      </c:pt>
                      <c:pt idx="42" formatCode="General">
                        <c:v>4.7560765506807941E-3</c:v>
                      </c:pt>
                      <c:pt idx="43" formatCode="General">
                        <c:v>2.8336711043873003E-3</c:v>
                      </c:pt>
                      <c:pt idx="44" formatCode="General">
                        <c:v>1.6266714901664154E-3</c:v>
                      </c:pt>
                      <c:pt idx="45" formatCode="General">
                        <c:v>1.3680005370650535E-3</c:v>
                      </c:pt>
                      <c:pt idx="46" formatCode="General">
                        <c:v>1.1093295839636917E-3</c:v>
                      </c:pt>
                      <c:pt idx="47" formatCode="General">
                        <c:v>8.5065863086232973E-4</c:v>
                      </c:pt>
                      <c:pt idx="48" formatCode="General">
                        <c:v>5.9198767776096777E-4</c:v>
                      </c:pt>
                      <c:pt idx="49" formatCode="General">
                        <c:v>3.3331672465960593E-4</c:v>
                      </c:pt>
                      <c:pt idx="50" formatCode="General">
                        <c:v>7.4645771558243864E-5</c:v>
                      </c:pt>
                      <c:pt idx="51" formatCode="General">
                        <c:v>1.911569090909086E-5</c:v>
                      </c:pt>
                      <c:pt idx="52" formatCode="General">
                        <c:v>9.3744018181818012E-6</c:v>
                      </c:pt>
                      <c:pt idx="53" formatCode="General">
                        <c:v>5.4767654545454376E-6</c:v>
                      </c:pt>
                      <c:pt idx="54" formatCode="General">
                        <c:v>2.8799484848484783E-6</c:v>
                      </c:pt>
                      <c:pt idx="55" formatCode="General">
                        <c:v>1.4838878787878725E-6</c:v>
                      </c:pt>
                      <c:pt idx="56" formatCode="General">
                        <c:v>8.6563890909090678E-7</c:v>
                      </c:pt>
                      <c:pt idx="57" formatCode="General">
                        <c:v>4.3394843373493896E-7</c:v>
                      </c:pt>
                      <c:pt idx="58" formatCode="General">
                        <c:v>2.5162313253011997E-7</c:v>
                      </c:pt>
                      <c:pt idx="59" formatCode="General">
                        <c:v>1.260532363636362E-7</c:v>
                      </c:pt>
                      <c:pt idx="60" formatCode="General">
                        <c:v>4.5076872727272533E-8</c:v>
                      </c:pt>
                      <c:pt idx="61" formatCode="General">
                        <c:v>2.1615432121212083E-8</c:v>
                      </c:pt>
                      <c:pt idx="62" formatCode="General">
                        <c:v>7.4380490909090825E-9</c:v>
                      </c:pt>
                      <c:pt idx="63" formatCode="General">
                        <c:v>3.4947763636363552E-9</c:v>
                      </c:pt>
                      <c:pt idx="64" formatCode="General">
                        <c:v>1.7770227385779119E-9</c:v>
                      </c:pt>
                      <c:pt idx="65" formatCode="General">
                        <c:v>1.4821419821482597E-9</c:v>
                      </c:pt>
                      <c:pt idx="66" formatCode="General">
                        <c:v>1.1872612257186079E-9</c:v>
                      </c:pt>
                      <c:pt idx="67" formatCode="General">
                        <c:v>8.9238046928895596E-10</c:v>
                      </c:pt>
                      <c:pt idx="68" formatCode="General">
                        <c:v>5.9749971285930385E-10</c:v>
                      </c:pt>
                      <c:pt idx="69" formatCode="General">
                        <c:v>3.0261895642965196E-10</c:v>
                      </c:pt>
                      <c:pt idx="70" formatCode="General">
                        <c:v>7.7382000000000633E-12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729-4FC8-BC53-4E6B694307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6.3268735757575825E-26</c:v>
                      </c:pt>
                      <c:pt idx="1">
                        <c:v>9.0085721818182058E-25</c:v>
                      </c:pt>
                      <c:pt idx="2">
                        <c:v>3.0094735818181841E-24</c:v>
                      </c:pt>
                      <c:pt idx="3">
                        <c:v>6.4740058181818279E-23</c:v>
                      </c:pt>
                      <c:pt idx="4" formatCode="General">
                        <c:v>1.5609267904084935E-18</c:v>
                      </c:pt>
                      <c:pt idx="5" formatCode="General">
                        <c:v>2.1070738920514385E-17</c:v>
                      </c:pt>
                      <c:pt idx="6" formatCode="General">
                        <c:v>4.0580551050620279E-17</c:v>
                      </c:pt>
                      <c:pt idx="7" formatCode="General">
                        <c:v>6.0090363180726172E-17</c:v>
                      </c:pt>
                      <c:pt idx="8" formatCode="General">
                        <c:v>7.9600175310832059E-17</c:v>
                      </c:pt>
                      <c:pt idx="9" formatCode="General">
                        <c:v>9.9109987440937959E-17</c:v>
                      </c:pt>
                      <c:pt idx="10" formatCode="General">
                        <c:v>1.1861979957104385E-16</c:v>
                      </c:pt>
                      <c:pt idx="11" formatCode="General">
                        <c:v>7.4444351515151374E-16</c:v>
                      </c:pt>
                      <c:pt idx="12" formatCode="General">
                        <c:v>2.0539829090909078E-15</c:v>
                      </c:pt>
                      <c:pt idx="13" formatCode="General">
                        <c:v>1.6842612727272708E-14</c:v>
                      </c:pt>
                      <c:pt idx="14" formatCode="General">
                        <c:v>6.3732391566264908E-14</c:v>
                      </c:pt>
                      <c:pt idx="15" formatCode="General">
                        <c:v>2.5290528313253038E-13</c:v>
                      </c:pt>
                      <c:pt idx="16" formatCode="General">
                        <c:v>1.2167109090909129E-12</c:v>
                      </c:pt>
                      <c:pt idx="17" formatCode="General">
                        <c:v>2.9247715151515189E-12</c:v>
                      </c:pt>
                      <c:pt idx="18" formatCode="General">
                        <c:v>1.4878194545454576E-11</c:v>
                      </c:pt>
                      <c:pt idx="19" formatCode="General">
                        <c:v>4.6630218181818403E-11</c:v>
                      </c:pt>
                      <c:pt idx="20" formatCode="General">
                        <c:v>1.4658840000000022E-10</c:v>
                      </c:pt>
                      <c:pt idx="21" formatCode="General">
                        <c:v>5.7154987878788028E-10</c:v>
                      </c:pt>
                      <c:pt idx="22" formatCode="General">
                        <c:v>1.2518710909090924E-9</c:v>
                      </c:pt>
                      <c:pt idx="23" formatCode="General">
                        <c:v>5.181806024096389E-9</c:v>
                      </c:pt>
                      <c:pt idx="24" formatCode="General">
                        <c:v>1.4554799999999999E-8</c:v>
                      </c:pt>
                      <c:pt idx="25" formatCode="General">
                        <c:v>3.9292799999999996E-8</c:v>
                      </c:pt>
                      <c:pt idx="26" formatCode="General">
                        <c:v>1.2817418181818183E-7</c:v>
                      </c:pt>
                      <c:pt idx="27" formatCode="General">
                        <c:v>2.598178181818182E-7</c:v>
                      </c:pt>
                      <c:pt idx="28" formatCode="General">
                        <c:v>8.8056060606060607E-7</c:v>
                      </c:pt>
                      <c:pt idx="29" formatCode="General">
                        <c:v>2.215809090909091E-6</c:v>
                      </c:pt>
                      <c:pt idx="30" formatCode="General">
                        <c:v>5.1581727272727275E-6</c:v>
                      </c:pt>
                      <c:pt idx="31" formatCode="General">
                        <c:v>1.4239777108433725E-5</c:v>
                      </c:pt>
                      <c:pt idx="32" formatCode="General">
                        <c:v>2.6627126506024065E-5</c:v>
                      </c:pt>
                      <c:pt idx="33" formatCode="General">
                        <c:v>7.5470399999999886E-5</c:v>
                      </c:pt>
                      <c:pt idx="34" formatCode="General">
                        <c:v>1.6914381818181778E-4</c:v>
                      </c:pt>
                      <c:pt idx="35" formatCode="General">
                        <c:v>3.4912563636363598E-4</c:v>
                      </c:pt>
                      <c:pt idx="36" formatCode="General">
                        <c:v>8.125134545454532E-4</c:v>
                      </c:pt>
                      <c:pt idx="37" formatCode="General">
                        <c:v>1.4696417549167875E-3</c:v>
                      </c:pt>
                      <c:pt idx="38" formatCode="General">
                        <c:v>3.7206856278366048E-3</c:v>
                      </c:pt>
                      <c:pt idx="39" formatCode="General">
                        <c:v>5.9717295007564227E-3</c:v>
                      </c:pt>
                      <c:pt idx="40" formatCode="General">
                        <c:v>8.2227733736762402E-3</c:v>
                      </c:pt>
                      <c:pt idx="41" formatCode="General">
                        <c:v>1.0473817246596058E-2</c:v>
                      </c:pt>
                      <c:pt idx="42" formatCode="General">
                        <c:v>1.2724861119515875E-2</c:v>
                      </c:pt>
                      <c:pt idx="43" formatCode="General">
                        <c:v>1.4975904992435693E-2</c:v>
                      </c:pt>
                      <c:pt idx="44" formatCode="General">
                        <c:v>1.6119526475037824E-2</c:v>
                      </c:pt>
                      <c:pt idx="45" formatCode="General">
                        <c:v>1.5795169440242059E-2</c:v>
                      </c:pt>
                      <c:pt idx="46" formatCode="General">
                        <c:v>1.5470812405446293E-2</c:v>
                      </c:pt>
                      <c:pt idx="47" formatCode="General">
                        <c:v>1.5146455370650529E-2</c:v>
                      </c:pt>
                      <c:pt idx="48" formatCode="General">
                        <c:v>1.4822098335854765E-2</c:v>
                      </c:pt>
                      <c:pt idx="49" formatCode="General">
                        <c:v>1.4497741301059E-2</c:v>
                      </c:pt>
                      <c:pt idx="50" formatCode="General">
                        <c:v>1.4173384266263238E-2</c:v>
                      </c:pt>
                      <c:pt idx="51" formatCode="General">
                        <c:v>1.3357618181818178E-2</c:v>
                      </c:pt>
                      <c:pt idx="52" formatCode="General">
                        <c:v>1.2423472727272723E-2</c:v>
                      </c:pt>
                      <c:pt idx="53" formatCode="General">
                        <c:v>1.1438018181818178E-2</c:v>
                      </c:pt>
                      <c:pt idx="54" formatCode="General">
                        <c:v>1.0451964848484844E-2</c:v>
                      </c:pt>
                      <c:pt idx="55" formatCode="General">
                        <c:v>9.4653587878787832E-3</c:v>
                      </c:pt>
                      <c:pt idx="56" formatCode="General">
                        <c:v>8.5295818181818136E-3</c:v>
                      </c:pt>
                      <c:pt idx="57" formatCode="General">
                        <c:v>7.607931325301201E-3</c:v>
                      </c:pt>
                      <c:pt idx="58" formatCode="General">
                        <c:v>6.7094373493975876E-3</c:v>
                      </c:pt>
                      <c:pt idx="59" formatCode="General">
                        <c:v>5.1745848484848435E-3</c:v>
                      </c:pt>
                      <c:pt idx="60" formatCode="General">
                        <c:v>3.1397363636363595E-3</c:v>
                      </c:pt>
                      <c:pt idx="61" formatCode="General">
                        <c:v>2.0919345454545432E-3</c:v>
                      </c:pt>
                      <c:pt idx="62" formatCode="General">
                        <c:v>1.2744740606060595E-3</c:v>
                      </c:pt>
                      <c:pt idx="63" formatCode="General">
                        <c:v>8.3475890909090803E-4</c:v>
                      </c:pt>
                      <c:pt idx="64" formatCode="General">
                        <c:v>6.0579932526475021E-4</c:v>
                      </c:pt>
                      <c:pt idx="65" formatCode="General">
                        <c:v>5.1158510438729184E-4</c:v>
                      </c:pt>
                      <c:pt idx="66" formatCode="General">
                        <c:v>4.1737088350983346E-4</c:v>
                      </c:pt>
                      <c:pt idx="67" formatCode="General">
                        <c:v>3.2315666263237508E-4</c:v>
                      </c:pt>
                      <c:pt idx="68" formatCode="General">
                        <c:v>2.2894244175491671E-4</c:v>
                      </c:pt>
                      <c:pt idx="69" formatCode="General">
                        <c:v>1.3472822087745833E-4</c:v>
                      </c:pt>
                      <c:pt idx="70" formatCode="General">
                        <c:v>4.0513999999999958E-5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729-4FC8-BC53-4E6B694307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729-4FC8-BC53-4E6B694307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2.0811104242424264E-25</c:v>
                      </c:pt>
                      <c:pt idx="1">
                        <c:v>2.6147000606060674E-24</c:v>
                      </c:pt>
                      <c:pt idx="2">
                        <c:v>8.6346212727272787E-24</c:v>
                      </c:pt>
                      <c:pt idx="3">
                        <c:v>1.5154818181818205E-22</c:v>
                      </c:pt>
                      <c:pt idx="4" formatCode="General">
                        <c:v>1.2149700988351153E-18</c:v>
                      </c:pt>
                      <c:pt idx="5" formatCode="General">
                        <c:v>1.6397976209273838E-17</c:v>
                      </c:pt>
                      <c:pt idx="6" formatCode="General">
                        <c:v>3.1580982319712566E-17</c:v>
                      </c:pt>
                      <c:pt idx="7" formatCode="General">
                        <c:v>4.676398843015129E-17</c:v>
                      </c:pt>
                      <c:pt idx="8" formatCode="General">
                        <c:v>6.1946994540590014E-17</c:v>
                      </c:pt>
                      <c:pt idx="9" formatCode="General">
                        <c:v>7.7130000651028745E-17</c:v>
                      </c:pt>
                      <c:pt idx="10" formatCode="General">
                        <c:v>9.2313006761467463E-17</c:v>
                      </c:pt>
                      <c:pt idx="11" formatCode="General">
                        <c:v>4.7751078787878695E-16</c:v>
                      </c:pt>
                      <c:pt idx="12" formatCode="General">
                        <c:v>1.2799592727272717E-15</c:v>
                      </c:pt>
                      <c:pt idx="13" formatCode="General">
                        <c:v>8.8653284848484727E-15</c:v>
                      </c:pt>
                      <c:pt idx="14" formatCode="General">
                        <c:v>3.0732608433734876E-14</c:v>
                      </c:pt>
                      <c:pt idx="15" formatCode="General">
                        <c:v>1.1505971686747002E-13</c:v>
                      </c:pt>
                      <c:pt idx="16" formatCode="General">
                        <c:v>5.0541163636363802E-13</c:v>
                      </c:pt>
                      <c:pt idx="17" formatCode="General">
                        <c:v>1.1897873939393955E-12</c:v>
                      </c:pt>
                      <c:pt idx="18" formatCode="General">
                        <c:v>5.5473430303030418E-12</c:v>
                      </c:pt>
                      <c:pt idx="19" formatCode="General">
                        <c:v>1.6356792727272803E-11</c:v>
                      </c:pt>
                      <c:pt idx="20" formatCode="General">
                        <c:v>4.9188186666666738E-11</c:v>
                      </c:pt>
                      <c:pt idx="21" formatCode="General">
                        <c:v>1.7538149090909136E-10</c:v>
                      </c:pt>
                      <c:pt idx="22" formatCode="General">
                        <c:v>3.7493058181818229E-10</c:v>
                      </c:pt>
                      <c:pt idx="23" formatCode="General">
                        <c:v>1.3978972891566278E-9</c:v>
                      </c:pt>
                      <c:pt idx="24" formatCode="General">
                        <c:v>3.6445030303030302E-9</c:v>
                      </c:pt>
                      <c:pt idx="25" formatCode="General">
                        <c:v>9.3177151515151522E-9</c:v>
                      </c:pt>
                      <c:pt idx="26" formatCode="General">
                        <c:v>2.757318181818182E-8</c:v>
                      </c:pt>
                      <c:pt idx="27" formatCode="General">
                        <c:v>5.4216818181818193E-8</c:v>
                      </c:pt>
                      <c:pt idx="28" formatCode="General">
                        <c:v>1.6537533333333333E-7</c:v>
                      </c:pt>
                      <c:pt idx="29" formatCode="General">
                        <c:v>3.8595454545454542E-7</c:v>
                      </c:pt>
                      <c:pt idx="30" formatCode="General">
                        <c:v>8.5146969696969687E-7</c:v>
                      </c:pt>
                      <c:pt idx="31" formatCode="General">
                        <c:v>2.1428939759036127E-6</c:v>
                      </c:pt>
                      <c:pt idx="32" formatCode="General">
                        <c:v>3.8790385542168628E-6</c:v>
                      </c:pt>
                      <c:pt idx="33" formatCode="General">
                        <c:v>9.9561599999999867E-6</c:v>
                      </c:pt>
                      <c:pt idx="34" formatCode="General">
                        <c:v>2.0796618181818135E-5</c:v>
                      </c:pt>
                      <c:pt idx="35" formatCode="General">
                        <c:v>4.0798436363636317E-5</c:v>
                      </c:pt>
                      <c:pt idx="36" formatCode="General">
                        <c:v>8.8428690909090777E-5</c:v>
                      </c:pt>
                      <c:pt idx="37" formatCode="General">
                        <c:v>1.638638275340383E-4</c:v>
                      </c:pt>
                      <c:pt idx="38" formatCode="General">
                        <c:v>6.0870951588502147E-4</c:v>
                      </c:pt>
                      <c:pt idx="39" formatCode="General">
                        <c:v>1.0535552042360047E-3</c:v>
                      </c:pt>
                      <c:pt idx="40" formatCode="General">
                        <c:v>1.4984008925869878E-3</c:v>
                      </c:pt>
                      <c:pt idx="41" formatCode="General">
                        <c:v>1.9432465809379709E-3</c:v>
                      </c:pt>
                      <c:pt idx="42" formatCode="General">
                        <c:v>2.3880922692889541E-3</c:v>
                      </c:pt>
                      <c:pt idx="43" formatCode="General">
                        <c:v>2.8329379576399372E-3</c:v>
                      </c:pt>
                      <c:pt idx="44" formatCode="General">
                        <c:v>3.6467685325264699E-3</c:v>
                      </c:pt>
                      <c:pt idx="45" formatCode="General">
                        <c:v>4.9497186081694363E-3</c:v>
                      </c:pt>
                      <c:pt idx="46" formatCode="General">
                        <c:v>6.2526686838124037E-3</c:v>
                      </c:pt>
                      <c:pt idx="47" formatCode="General">
                        <c:v>7.5556187594553702E-3</c:v>
                      </c:pt>
                      <c:pt idx="48" formatCode="General">
                        <c:v>8.8585688350983367E-3</c:v>
                      </c:pt>
                      <c:pt idx="49" formatCode="General">
                        <c:v>1.0161518910741303E-2</c:v>
                      </c:pt>
                      <c:pt idx="50" formatCode="General">
                        <c:v>1.1464468986384271E-2</c:v>
                      </c:pt>
                      <c:pt idx="51" formatCode="General">
                        <c:v>1.323612727272728E-2</c:v>
                      </c:pt>
                      <c:pt idx="52" formatCode="General">
                        <c:v>1.5128909090909099E-2</c:v>
                      </c:pt>
                      <c:pt idx="53" formatCode="General">
                        <c:v>1.7110727272727284E-2</c:v>
                      </c:pt>
                      <c:pt idx="54" formatCode="General">
                        <c:v>1.9089393939393951E-2</c:v>
                      </c:pt>
                      <c:pt idx="55" formatCode="General">
                        <c:v>2.1065151515151526E-2</c:v>
                      </c:pt>
                      <c:pt idx="56" formatCode="General">
                        <c:v>2.2938090909090918E-2</c:v>
                      </c:pt>
                      <c:pt idx="57" formatCode="General">
                        <c:v>2.4709445783132535E-2</c:v>
                      </c:pt>
                      <c:pt idx="58" formatCode="General">
                        <c:v>2.6175108433734943E-2</c:v>
                      </c:pt>
                      <c:pt idx="59" formatCode="General">
                        <c:v>2.5078569696969689E-2</c:v>
                      </c:pt>
                      <c:pt idx="60" formatCode="General">
                        <c:v>2.1968872727272722E-2</c:v>
                      </c:pt>
                      <c:pt idx="61" formatCode="General">
                        <c:v>1.9237515151515144E-2</c:v>
                      </c:pt>
                      <c:pt idx="62" formatCode="General">
                        <c:v>1.6663175757575751E-2</c:v>
                      </c:pt>
                      <c:pt idx="63" formatCode="General">
                        <c:v>1.4429236363636359E-2</c:v>
                      </c:pt>
                      <c:pt idx="64" formatCode="General">
                        <c:v>1.2731214674735248E-2</c:v>
                      </c:pt>
                      <c:pt idx="65" formatCode="General">
                        <c:v>1.1375828895612707E-2</c:v>
                      </c:pt>
                      <c:pt idx="66" formatCode="General">
                        <c:v>1.0020443116490165E-2</c:v>
                      </c:pt>
                      <c:pt idx="67" formatCode="General">
                        <c:v>8.6650573373676237E-3</c:v>
                      </c:pt>
                      <c:pt idx="68" formatCode="General">
                        <c:v>7.3096715582450823E-3</c:v>
                      </c:pt>
                      <c:pt idx="69" formatCode="General">
                        <c:v>5.9542857791225418E-3</c:v>
                      </c:pt>
                      <c:pt idx="70" formatCode="General">
                        <c:v>4.5988999999999995E-3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729-4FC8-BC53-4E6B694307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729-4FC8-BC53-4E6B694307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729-4FC8-BC53-4E6B694307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729-4FC8-BC53-4E6B694307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729-4FC8-BC53-4E6B694307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729-4FC8-BC53-4E6B694307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729-4FC8-BC53-4E6B694307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729-4FC8-BC53-4E6B694307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729-4FC8-BC53-4E6B694307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EVALUATION!$B$108:$BT$108</c:f>
              <c:numCache>
                <c:formatCode>0</c:formatCode>
                <c:ptCount val="71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 formatCode="General">
                  <c:v>0.13321212136829083</c:v>
                </c:pt>
                <c:pt idx="5" formatCode="General">
                  <c:v>4.8363638471927178E-2</c:v>
                </c:pt>
                <c:pt idx="6" formatCode="General">
                  <c:v>2.438389638554216E-9</c:v>
                </c:pt>
                <c:pt idx="7" formatCode="General">
                  <c:v>6.1836554216867627E-10</c:v>
                </c:pt>
                <c:pt idx="8" formatCode="General">
                  <c:v>1.1103458000000013E-10</c:v>
                </c:pt>
                <c:pt idx="9" formatCode="General">
                  <c:v>8.9437050909090977E-12</c:v>
                </c:pt>
                <c:pt idx="10" formatCode="General">
                  <c:v>3.1904141818181896E-12</c:v>
                </c:pt>
                <c:pt idx="11" formatCode="General">
                  <c:v>1.3113219364599294E-13</c:v>
                </c:pt>
                <c:pt idx="12" formatCode="General">
                  <c:v>1.0977515885023324E-13</c:v>
                </c:pt>
                <c:pt idx="13" formatCode="General">
                  <c:v>8.8418124054473509E-14</c:v>
                </c:pt>
                <c:pt idx="14" formatCode="General">
                  <c:v>6.7061089258713806E-14</c:v>
                </c:pt>
                <c:pt idx="15" formatCode="General">
                  <c:v>4.5704054462954091E-14</c:v>
                </c:pt>
                <c:pt idx="16" formatCode="General">
                  <c:v>2.4347019667194375E-14</c:v>
                </c:pt>
                <c:pt idx="17" formatCode="General">
                  <c:v>2.9899848714346473E-15</c:v>
                </c:pt>
                <c:pt idx="18" formatCode="General">
                  <c:v>1.3578903030302993E-26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12-420D-849A-A4A865892EA1}"/>
            </c:ext>
          </c:extLst>
        </c:ser>
        <c:ser>
          <c:idx val="37"/>
          <c:order val="39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EVALUATION!$B$140:$BT$140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 formatCode="General">
                  <c:v>0.2</c:v>
                </c:pt>
                <c:pt idx="5" formatCode="General">
                  <c:v>0.2</c:v>
                </c:pt>
                <c:pt idx="6" formatCode="General">
                  <c:v>0.2</c:v>
                </c:pt>
                <c:pt idx="7" formatCode="General">
                  <c:v>0.2</c:v>
                </c:pt>
                <c:pt idx="8" formatCode="General">
                  <c:v>0.2</c:v>
                </c:pt>
                <c:pt idx="9" formatCode="General">
                  <c:v>0.2</c:v>
                </c:pt>
                <c:pt idx="10" formatCode="General">
                  <c:v>0.2</c:v>
                </c:pt>
                <c:pt idx="11" formatCode="General">
                  <c:v>0.2</c:v>
                </c:pt>
                <c:pt idx="12" formatCode="General">
                  <c:v>0.2</c:v>
                </c:pt>
                <c:pt idx="13" formatCode="General">
                  <c:v>0.2</c:v>
                </c:pt>
                <c:pt idx="14" formatCode="General">
                  <c:v>0.2</c:v>
                </c:pt>
                <c:pt idx="15" formatCode="General">
                  <c:v>0.2</c:v>
                </c:pt>
                <c:pt idx="16" formatCode="General">
                  <c:v>0.2</c:v>
                </c:pt>
                <c:pt idx="17" formatCode="General">
                  <c:v>0.2</c:v>
                </c:pt>
                <c:pt idx="18" formatCode="General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  <c:pt idx="30" formatCode="General">
                  <c:v>0.2</c:v>
                </c:pt>
                <c:pt idx="31" formatCode="General">
                  <c:v>0.2</c:v>
                </c:pt>
                <c:pt idx="32" formatCode="General">
                  <c:v>0.2</c:v>
                </c:pt>
                <c:pt idx="33" formatCode="General">
                  <c:v>0.2</c:v>
                </c:pt>
                <c:pt idx="34" formatCode="General">
                  <c:v>0.2</c:v>
                </c:pt>
                <c:pt idx="35" formatCode="General">
                  <c:v>0.2</c:v>
                </c:pt>
                <c:pt idx="36" formatCode="General">
                  <c:v>0.2</c:v>
                </c:pt>
                <c:pt idx="37" formatCode="General">
                  <c:v>0.2</c:v>
                </c:pt>
                <c:pt idx="38" formatCode="General">
                  <c:v>0.2</c:v>
                </c:pt>
                <c:pt idx="39" formatCode="General">
                  <c:v>0.2</c:v>
                </c:pt>
                <c:pt idx="40" formatCode="General">
                  <c:v>0.2</c:v>
                </c:pt>
                <c:pt idx="41" formatCode="General">
                  <c:v>0.2</c:v>
                </c:pt>
                <c:pt idx="42" formatCode="General">
                  <c:v>0.2</c:v>
                </c:pt>
                <c:pt idx="43" formatCode="General">
                  <c:v>0.2</c:v>
                </c:pt>
                <c:pt idx="44" formatCode="General">
                  <c:v>0.2</c:v>
                </c:pt>
                <c:pt idx="45" formatCode="General">
                  <c:v>0.2</c:v>
                </c:pt>
                <c:pt idx="46" formatCode="General">
                  <c:v>0.2</c:v>
                </c:pt>
                <c:pt idx="47" formatCode="General">
                  <c:v>0.2</c:v>
                </c:pt>
                <c:pt idx="48" formatCode="General">
                  <c:v>0.2</c:v>
                </c:pt>
                <c:pt idx="49" formatCode="General">
                  <c:v>0.2</c:v>
                </c:pt>
                <c:pt idx="50" formatCode="General">
                  <c:v>0.2</c:v>
                </c:pt>
                <c:pt idx="51" formatCode="General">
                  <c:v>0.2</c:v>
                </c:pt>
                <c:pt idx="52" formatCode="General">
                  <c:v>0.2</c:v>
                </c:pt>
                <c:pt idx="53" formatCode="General">
                  <c:v>0.2</c:v>
                </c:pt>
                <c:pt idx="54" formatCode="General">
                  <c:v>0.2</c:v>
                </c:pt>
                <c:pt idx="55" formatCode="General">
                  <c:v>0.2</c:v>
                </c:pt>
                <c:pt idx="56" formatCode="General">
                  <c:v>0.2</c:v>
                </c:pt>
                <c:pt idx="57" formatCode="General">
                  <c:v>0.2</c:v>
                </c:pt>
                <c:pt idx="58" formatCode="General">
                  <c:v>0.2</c:v>
                </c:pt>
                <c:pt idx="59" formatCode="General">
                  <c:v>0.2</c:v>
                </c:pt>
                <c:pt idx="60" formatCode="General">
                  <c:v>0.2</c:v>
                </c:pt>
                <c:pt idx="61" formatCode="General">
                  <c:v>0.2</c:v>
                </c:pt>
                <c:pt idx="62" formatCode="General">
                  <c:v>0.2</c:v>
                </c:pt>
                <c:pt idx="63" formatCode="General">
                  <c:v>0.2</c:v>
                </c:pt>
                <c:pt idx="64" formatCode="General">
                  <c:v>0.2</c:v>
                </c:pt>
                <c:pt idx="65" formatCode="General">
                  <c:v>0.2</c:v>
                </c:pt>
                <c:pt idx="66" formatCode="General">
                  <c:v>0.2</c:v>
                </c:pt>
                <c:pt idx="67" formatCode="General">
                  <c:v>0.2</c:v>
                </c:pt>
                <c:pt idx="68" formatCode="General">
                  <c:v>0.2</c:v>
                </c:pt>
                <c:pt idx="69" formatCode="General">
                  <c:v>0.2</c:v>
                </c:pt>
                <c:pt idx="70" formatCode="General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12-420D-849A-A4A865892EA1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12-420D-849A-A4A865892EA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12-420D-849A-A4A86589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2.5323863636363638E-19</c:v>
                      </c:pt>
                      <c:pt idx="25" formatCode="General">
                        <c:v>1.2661931818181818E-18</c:v>
                      </c:pt>
                      <c:pt idx="26" formatCode="General">
                        <c:v>2.2791477272727273E-18</c:v>
                      </c:pt>
                      <c:pt idx="27" formatCode="General">
                        <c:v>3.2921022727272726E-18</c:v>
                      </c:pt>
                      <c:pt idx="28" formatCode="General">
                        <c:v>4.3050568181818183E-18</c:v>
                      </c:pt>
                      <c:pt idx="29" formatCode="General">
                        <c:v>5.3180113636363633E-18</c:v>
                      </c:pt>
                      <c:pt idx="30" formatCode="General">
                        <c:v>6.330965909090909E-18</c:v>
                      </c:pt>
                      <c:pt idx="31" formatCode="General">
                        <c:v>1.7332805685325256E-14</c:v>
                      </c:pt>
                      <c:pt idx="32" formatCode="General">
                        <c:v>4.398837520121027E-14</c:v>
                      </c:pt>
                      <c:pt idx="33" formatCode="General">
                        <c:v>7.0643944717095287E-14</c:v>
                      </c:pt>
                      <c:pt idx="34" formatCode="General">
                        <c:v>9.7299514232980298E-14</c:v>
                      </c:pt>
                      <c:pt idx="35" formatCode="General">
                        <c:v>1.2395508374886532E-13</c:v>
                      </c:pt>
                      <c:pt idx="36" formatCode="General">
                        <c:v>1.5061065326475033E-13</c:v>
                      </c:pt>
                      <c:pt idx="37" formatCode="General">
                        <c:v>1.7548919818456886E-13</c:v>
                      </c:pt>
                      <c:pt idx="38" formatCode="General">
                        <c:v>1.5771915279878976E-13</c:v>
                      </c:pt>
                      <c:pt idx="39" formatCode="General">
                        <c:v>1.3994910741301065E-13</c:v>
                      </c:pt>
                      <c:pt idx="40" formatCode="General">
                        <c:v>1.2217906202723152E-13</c:v>
                      </c:pt>
                      <c:pt idx="41" formatCode="General">
                        <c:v>1.0440901664145241E-13</c:v>
                      </c:pt>
                      <c:pt idx="42" formatCode="General">
                        <c:v>8.663897125567329E-14</c:v>
                      </c:pt>
                      <c:pt idx="43" formatCode="General">
                        <c:v>6.8868925869894173E-14</c:v>
                      </c:pt>
                      <c:pt idx="44" formatCode="General">
                        <c:v>4.3432001290547433E-14</c:v>
                      </c:pt>
                      <c:pt idx="45" formatCode="General">
                        <c:v>7.8320042918201611E-15</c:v>
                      </c:pt>
                      <c:pt idx="46" formatCode="General">
                        <c:v>2.6111074413774684E-21</c:v>
                      </c:pt>
                      <c:pt idx="47" formatCode="General">
                        <c:v>3.2865163636363735E-28</c:v>
                      </c:pt>
                      <c:pt idx="48" formatCode="General">
                        <c:v>1.1243345454545551E-28</c:v>
                      </c:pt>
                      <c:pt idx="49" formatCode="General">
                        <c:v>1.4933493975903557E-20</c:v>
                      </c:pt>
                      <c:pt idx="50" formatCode="General">
                        <c:v>4.6044939759036258E-20</c:v>
                      </c:pt>
                      <c:pt idx="51" formatCode="General">
                        <c:v>1.185322684032431E-13</c:v>
                      </c:pt>
                      <c:pt idx="52" formatCode="General">
                        <c:v>2.1393810335757511E-13</c:v>
                      </c:pt>
                      <c:pt idx="53" formatCode="General">
                        <c:v>6.9397534872726628E-14</c:v>
                      </c:pt>
                      <c:pt idx="54" formatCode="General">
                        <c:v>1.2396750642424195E-17</c:v>
                      </c:pt>
                      <c:pt idx="55" formatCode="General">
                        <c:v>1.5020403393938913E-18</c:v>
                      </c:pt>
                      <c:pt idx="56" formatCode="General">
                        <c:v>7.6232345454545409E-20</c:v>
                      </c:pt>
                      <c:pt idx="57" formatCode="General">
                        <c:v>7.0073717464600512E-16</c:v>
                      </c:pt>
                      <c:pt idx="58" formatCode="General">
                        <c:v>3.8855983366732349E-15</c:v>
                      </c:pt>
                      <c:pt idx="59" formatCode="General">
                        <c:v>7.0704594987004655E-15</c:v>
                      </c:pt>
                      <c:pt idx="60" formatCode="General">
                        <c:v>1.0255320660727694E-14</c:v>
                      </c:pt>
                      <c:pt idx="61" formatCode="General">
                        <c:v>1.3440181822754924E-14</c:v>
                      </c:pt>
                      <c:pt idx="62" formatCode="General">
                        <c:v>1.6625042984782154E-14</c:v>
                      </c:pt>
                      <c:pt idx="63" formatCode="General">
                        <c:v>1.9809904146809385E-14</c:v>
                      </c:pt>
                      <c:pt idx="64" formatCode="General">
                        <c:v>4.2459202904689998E-10</c:v>
                      </c:pt>
                      <c:pt idx="65" formatCode="General">
                        <c:v>1.1206100242057498E-9</c:v>
                      </c:pt>
                      <c:pt idx="66" formatCode="General">
                        <c:v>1.8166280193645998E-9</c:v>
                      </c:pt>
                      <c:pt idx="67" formatCode="General">
                        <c:v>2.5126460145234498E-9</c:v>
                      </c:pt>
                      <c:pt idx="68" formatCode="General">
                        <c:v>3.2086640096822996E-9</c:v>
                      </c:pt>
                      <c:pt idx="69" formatCode="General">
                        <c:v>3.9046820048411494E-9</c:v>
                      </c:pt>
                      <c:pt idx="70" formatCode="General">
                        <c:v>4.6006999999999996E-9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12-420D-849A-A4A865892EA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12-420D-849A-A4A865892EA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12-420D-849A-A4A865892EA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0.14678787878787891</c:v>
                      </c:pt>
                      <c:pt idx="5" formatCode="General">
                        <c:v>0.23163636363636375</c:v>
                      </c:pt>
                      <c:pt idx="6" formatCode="General">
                        <c:v>0.28000000000000003</c:v>
                      </c:pt>
                      <c:pt idx="7" formatCode="General">
                        <c:v>0.28000000000000003</c:v>
                      </c:pt>
                      <c:pt idx="8" formatCode="General">
                        <c:v>0.28000000000000003</c:v>
                      </c:pt>
                      <c:pt idx="9" formatCode="General">
                        <c:v>0.28000000000000003</c:v>
                      </c:pt>
                      <c:pt idx="10" formatCode="General">
                        <c:v>0.28000000000000003</c:v>
                      </c:pt>
                      <c:pt idx="11" formatCode="General">
                        <c:v>0.28000000000000003</c:v>
                      </c:pt>
                      <c:pt idx="12" formatCode="General">
                        <c:v>0.28000000000000003</c:v>
                      </c:pt>
                      <c:pt idx="13" formatCode="General">
                        <c:v>0.28000000000000003</c:v>
                      </c:pt>
                      <c:pt idx="14" formatCode="General">
                        <c:v>0.28000000000000003</c:v>
                      </c:pt>
                      <c:pt idx="15" formatCode="General">
                        <c:v>0.28000000000000003</c:v>
                      </c:pt>
                      <c:pt idx="16" formatCode="General">
                        <c:v>0.28000000000000003</c:v>
                      </c:pt>
                      <c:pt idx="17" formatCode="General">
                        <c:v>0.28000000000000003</c:v>
                      </c:pt>
                      <c:pt idx="18" formatCode="General">
                        <c:v>0.28000000000000003</c:v>
                      </c:pt>
                      <c:pt idx="19" formatCode="General">
                        <c:v>0.28000000000000003</c:v>
                      </c:pt>
                      <c:pt idx="20" formatCode="General">
                        <c:v>0.28000000000000003</c:v>
                      </c:pt>
                      <c:pt idx="21" formatCode="General">
                        <c:v>0.18496976598545417</c:v>
                      </c:pt>
                      <c:pt idx="22" formatCode="General">
                        <c:v>1.5272919530908702E-2</c:v>
                      </c:pt>
                      <c:pt idx="23" formatCode="General">
                        <c:v>9.2937123493975774E-8</c:v>
                      </c:pt>
                      <c:pt idx="24" formatCode="General">
                        <c:v>1.8641208060606062E-9</c:v>
                      </c:pt>
                      <c:pt idx="25" formatCode="General">
                        <c:v>1.5706040303030303E-9</c:v>
                      </c:pt>
                      <c:pt idx="26" formatCode="General">
                        <c:v>1.2770872545454544E-9</c:v>
                      </c:pt>
                      <c:pt idx="27" formatCode="General">
                        <c:v>9.835704787878787E-10</c:v>
                      </c:pt>
                      <c:pt idx="28" formatCode="General">
                        <c:v>6.9005370303030281E-10</c:v>
                      </c:pt>
                      <c:pt idx="29" formatCode="General">
                        <c:v>3.9653692727272713E-10</c:v>
                      </c:pt>
                      <c:pt idx="30" formatCode="General">
                        <c:v>1.0302015151515124E-10</c:v>
                      </c:pt>
                      <c:pt idx="31" formatCode="General">
                        <c:v>2.6083340451138354E-13</c:v>
                      </c:pt>
                      <c:pt idx="32" formatCode="General">
                        <c:v>2.1706941145197357E-13</c:v>
                      </c:pt>
                      <c:pt idx="33" formatCode="General">
                        <c:v>1.7330541839256359E-13</c:v>
                      </c:pt>
                      <c:pt idx="34" formatCode="General">
                        <c:v>1.2954142533315362E-13</c:v>
                      </c:pt>
                      <c:pt idx="35" formatCode="General">
                        <c:v>8.5777432273743667E-14</c:v>
                      </c:pt>
                      <c:pt idx="36" formatCode="General">
                        <c:v>4.2013439214333693E-14</c:v>
                      </c:pt>
                      <c:pt idx="37" formatCode="General">
                        <c:v>5.8417338880484137E-21</c:v>
                      </c:pt>
                      <c:pt idx="38" formatCode="General">
                        <c:v>4.9525810892587012E-21</c:v>
                      </c:pt>
                      <c:pt idx="39" formatCode="General">
                        <c:v>4.0634282904689888E-21</c:v>
                      </c:pt>
                      <c:pt idx="40" formatCode="General">
                        <c:v>3.1742754916792768E-21</c:v>
                      </c:pt>
                      <c:pt idx="41" formatCode="General">
                        <c:v>2.2851226928895648E-21</c:v>
                      </c:pt>
                      <c:pt idx="42" formatCode="General">
                        <c:v>1.3959698940998524E-21</c:v>
                      </c:pt>
                      <c:pt idx="43" formatCode="General">
                        <c:v>5.0681709531013994E-22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12-420D-849A-A4A865892EA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3.8295915279878965E-37</c:v>
                      </c:pt>
                      <c:pt idx="32" formatCode="General">
                        <c:v>9.7212708018154291E-37</c:v>
                      </c:pt>
                      <c:pt idx="33" formatCode="General">
                        <c:v>1.5612950075642961E-36</c:v>
                      </c:pt>
                      <c:pt idx="34" formatCode="General">
                        <c:v>2.1504629349470494E-36</c:v>
                      </c:pt>
                      <c:pt idx="35" formatCode="General">
                        <c:v>2.7396308623298028E-36</c:v>
                      </c:pt>
                      <c:pt idx="36" formatCode="General">
                        <c:v>3.3287987897125558E-36</c:v>
                      </c:pt>
                      <c:pt idx="37" formatCode="General">
                        <c:v>6.6051437216338959E-23</c:v>
                      </c:pt>
                      <c:pt idx="38" formatCode="General">
                        <c:v>1.7173373676248096E-21</c:v>
                      </c:pt>
                      <c:pt idx="39" formatCode="General">
                        <c:v>3.3686232980332803E-21</c:v>
                      </c:pt>
                      <c:pt idx="40" formatCode="General">
                        <c:v>5.0199092284417509E-21</c:v>
                      </c:pt>
                      <c:pt idx="41" formatCode="General">
                        <c:v>6.671195158850222E-21</c:v>
                      </c:pt>
                      <c:pt idx="42" formatCode="General">
                        <c:v>8.322481089258693E-21</c:v>
                      </c:pt>
                      <c:pt idx="43" formatCode="General">
                        <c:v>9.973767019667164E-21</c:v>
                      </c:pt>
                      <c:pt idx="44" formatCode="General">
                        <c:v>1.515115151515147E-20</c:v>
                      </c:pt>
                      <c:pt idx="45" formatCode="General">
                        <c:v>2.5002666666666624E-20</c:v>
                      </c:pt>
                      <c:pt idx="46" formatCode="General">
                        <c:v>1.3005816909090833E-17</c:v>
                      </c:pt>
                      <c:pt idx="47" formatCode="General">
                        <c:v>2.7022981818181833E-17</c:v>
                      </c:pt>
                      <c:pt idx="48" formatCode="General">
                        <c:v>2.3492072727272744E-17</c:v>
                      </c:pt>
                      <c:pt idx="49" formatCode="General">
                        <c:v>1.1959518087683135E-8</c:v>
                      </c:pt>
                      <c:pt idx="50" formatCode="General">
                        <c:v>3.6875180725239895E-8</c:v>
                      </c:pt>
                      <c:pt idx="51" formatCode="General">
                        <c:v>1.911267878787887E-7</c:v>
                      </c:pt>
                      <c:pt idx="52" formatCode="General">
                        <c:v>3.3370587878787851E-7</c:v>
                      </c:pt>
                      <c:pt idx="53" formatCode="General">
                        <c:v>2.8068163636363612E-7</c:v>
                      </c:pt>
                      <c:pt idx="54" formatCode="General">
                        <c:v>2.3450248484848466E-7</c:v>
                      </c:pt>
                      <c:pt idx="55" formatCode="General">
                        <c:v>1.9464187878787859E-7</c:v>
                      </c:pt>
                      <c:pt idx="56" formatCode="General">
                        <c:v>1.7598290909090901E-7</c:v>
                      </c:pt>
                      <c:pt idx="57" formatCode="General">
                        <c:v>1.6033210590015122E-7</c:v>
                      </c:pt>
                      <c:pt idx="58" formatCode="General">
                        <c:v>1.4411440544629343E-7</c:v>
                      </c:pt>
                      <c:pt idx="59" formatCode="General">
                        <c:v>1.2789670499243564E-7</c:v>
                      </c:pt>
                      <c:pt idx="60" formatCode="General">
                        <c:v>1.1167900453857786E-7</c:v>
                      </c:pt>
                      <c:pt idx="61" formatCode="General">
                        <c:v>9.5461304084720078E-8</c:v>
                      </c:pt>
                      <c:pt idx="62" formatCode="General">
                        <c:v>7.9243603630862285E-8</c:v>
                      </c:pt>
                      <c:pt idx="63" formatCode="General">
                        <c:v>6.3025903177004505E-8</c:v>
                      </c:pt>
                      <c:pt idx="64" formatCode="General">
                        <c:v>5.2980461422087734E-8</c:v>
                      </c:pt>
                      <c:pt idx="65" formatCode="General">
                        <c:v>4.6881217851739778E-8</c:v>
                      </c:pt>
                      <c:pt idx="66" formatCode="General">
                        <c:v>4.0781974281391822E-8</c:v>
                      </c:pt>
                      <c:pt idx="67" formatCode="General">
                        <c:v>3.4682730711043866E-8</c:v>
                      </c:pt>
                      <c:pt idx="68" formatCode="General">
                        <c:v>2.8583487140695906E-8</c:v>
                      </c:pt>
                      <c:pt idx="69" formatCode="General">
                        <c:v>2.2484243570347954E-8</c:v>
                      </c:pt>
                      <c:pt idx="70" formatCode="General">
                        <c:v>1.6384999999999997E-8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12-420D-849A-A4A865892EA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12-420D-849A-A4A865892EA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12-420D-849A-A4A865892EA1}"/>
                  </c:ext>
                </c:extLst>
              </c15:ser>
            </c15:filteredScatterSeries>
            <c15:filteredScatterSeries>
              <c15:ser>
                <c:idx val="4"/>
                <c:order val="6"/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2.573569135539396E-12</c:v>
                      </c:pt>
                      <c:pt idx="1">
                        <c:v>3.3883989636363737E-10</c:v>
                      </c:pt>
                      <c:pt idx="2">
                        <c:v>1.2196746236363646E-9</c:v>
                      </c:pt>
                      <c:pt idx="3">
                        <c:v>1.3579630303030326E-7</c:v>
                      </c:pt>
                      <c:pt idx="4" formatCode="General">
                        <c:v>6.7881690951516133E-3</c:v>
                      </c:pt>
                      <c:pt idx="5" formatCode="General">
                        <c:v>9.1636469034545573E-2</c:v>
                      </c:pt>
                      <c:pt idx="6" formatCode="General">
                        <c:v>0.14000000000000001</c:v>
                      </c:pt>
                      <c:pt idx="7" formatCode="General">
                        <c:v>0.14000000000000001</c:v>
                      </c:pt>
                      <c:pt idx="8" formatCode="General">
                        <c:v>0.14000000000000001</c:v>
                      </c:pt>
                      <c:pt idx="9" formatCode="General">
                        <c:v>0.14000000000000001</c:v>
                      </c:pt>
                      <c:pt idx="10" formatCode="General">
                        <c:v>0.14000000000000001</c:v>
                      </c:pt>
                      <c:pt idx="11" formatCode="General">
                        <c:v>0.14000000000000001</c:v>
                      </c:pt>
                      <c:pt idx="12" formatCode="General">
                        <c:v>0.14000000000000001</c:v>
                      </c:pt>
                      <c:pt idx="13" formatCode="General">
                        <c:v>0.14000000000000001</c:v>
                      </c:pt>
                      <c:pt idx="14" formatCode="General">
                        <c:v>0.14000000000000001</c:v>
                      </c:pt>
                      <c:pt idx="15" formatCode="General">
                        <c:v>0.14000000000000001</c:v>
                      </c:pt>
                      <c:pt idx="16" formatCode="General">
                        <c:v>0.14000000000000001</c:v>
                      </c:pt>
                      <c:pt idx="17" formatCode="General">
                        <c:v>0.14000000000000001</c:v>
                      </c:pt>
                      <c:pt idx="18" formatCode="General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0.14000000000000001</c:v>
                      </c:pt>
                      <c:pt idx="21" formatCode="General">
                        <c:v>0.23503030303030342</c:v>
                      </c:pt>
                      <c:pt idx="22" formatCode="General">
                        <c:v>0.4047272727272731</c:v>
                      </c:pt>
                      <c:pt idx="23" formatCode="General">
                        <c:v>0.42</c:v>
                      </c:pt>
                      <c:pt idx="24" formatCode="General">
                        <c:v>0.42</c:v>
                      </c:pt>
                      <c:pt idx="25" formatCode="General">
                        <c:v>0.42</c:v>
                      </c:pt>
                      <c:pt idx="26" formatCode="General">
                        <c:v>0.42</c:v>
                      </c:pt>
                      <c:pt idx="27" formatCode="General">
                        <c:v>0.42</c:v>
                      </c:pt>
                      <c:pt idx="28" formatCode="General">
                        <c:v>0.42</c:v>
                      </c:pt>
                      <c:pt idx="29" formatCode="General">
                        <c:v>0.42</c:v>
                      </c:pt>
                      <c:pt idx="30" formatCode="General">
                        <c:v>0.42</c:v>
                      </c:pt>
                      <c:pt idx="31" formatCode="General">
                        <c:v>0.42</c:v>
                      </c:pt>
                      <c:pt idx="32" formatCode="General">
                        <c:v>0.42</c:v>
                      </c:pt>
                      <c:pt idx="33" formatCode="General">
                        <c:v>0.42</c:v>
                      </c:pt>
                      <c:pt idx="34" formatCode="General">
                        <c:v>0.42</c:v>
                      </c:pt>
                      <c:pt idx="35" formatCode="General">
                        <c:v>0.42</c:v>
                      </c:pt>
                      <c:pt idx="36" formatCode="General">
                        <c:v>0.42</c:v>
                      </c:pt>
                      <c:pt idx="37" formatCode="General">
                        <c:v>0.42</c:v>
                      </c:pt>
                      <c:pt idx="38" formatCode="General">
                        <c:v>0.42</c:v>
                      </c:pt>
                      <c:pt idx="39" formatCode="General">
                        <c:v>0.42</c:v>
                      </c:pt>
                      <c:pt idx="40" formatCode="General">
                        <c:v>0.42</c:v>
                      </c:pt>
                      <c:pt idx="41" formatCode="General">
                        <c:v>0.42</c:v>
                      </c:pt>
                      <c:pt idx="42" formatCode="General">
                        <c:v>0.42</c:v>
                      </c:pt>
                      <c:pt idx="43" formatCode="General">
                        <c:v>0.42</c:v>
                      </c:pt>
                      <c:pt idx="44" formatCode="General">
                        <c:v>0.42</c:v>
                      </c:pt>
                      <c:pt idx="45" formatCode="General">
                        <c:v>0.42</c:v>
                      </c:pt>
                      <c:pt idx="46" formatCode="General">
                        <c:v>0.43157709090909085</c:v>
                      </c:pt>
                      <c:pt idx="47" formatCode="General">
                        <c:v>0.44526290909090904</c:v>
                      </c:pt>
                      <c:pt idx="48" formatCode="General">
                        <c:v>0.45120836363636357</c:v>
                      </c:pt>
                      <c:pt idx="49" formatCode="General">
                        <c:v>0.46107204819277103</c:v>
                      </c:pt>
                      <c:pt idx="50" formatCode="General">
                        <c:v>0.4751804819277109</c:v>
                      </c:pt>
                      <c:pt idx="51" formatCode="General">
                        <c:v>0.47867418181818183</c:v>
                      </c:pt>
                      <c:pt idx="52" formatCode="General">
                        <c:v>0.47967090909090909</c:v>
                      </c:pt>
                      <c:pt idx="53" formatCode="General">
                        <c:v>0.47985272727272726</c:v>
                      </c:pt>
                      <c:pt idx="54" formatCode="General">
                        <c:v>0.47995575757575759</c:v>
                      </c:pt>
                      <c:pt idx="55" formatCode="General">
                        <c:v>0.47998606060606064</c:v>
                      </c:pt>
                      <c:pt idx="56" formatCode="General">
                        <c:v>0.47999527272727271</c:v>
                      </c:pt>
                      <c:pt idx="57" formatCode="General">
                        <c:v>0.48</c:v>
                      </c:pt>
                      <c:pt idx="58" formatCode="General">
                        <c:v>0.48</c:v>
                      </c:pt>
                      <c:pt idx="59" formatCode="General">
                        <c:v>0.48</c:v>
                      </c:pt>
                      <c:pt idx="60" formatCode="General">
                        <c:v>0.48</c:v>
                      </c:pt>
                      <c:pt idx="61" formatCode="General">
                        <c:v>0.48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512-420D-849A-A4A865892EA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 formatCode="General">
                        <c:v>0.02</c:v>
                      </c:pt>
                      <c:pt idx="5" formatCode="General">
                        <c:v>0.02</c:v>
                      </c:pt>
                      <c:pt idx="6" formatCode="General">
                        <c:v>0.02</c:v>
                      </c:pt>
                      <c:pt idx="7" formatCode="General">
                        <c:v>0.02</c:v>
                      </c:pt>
                      <c:pt idx="8" formatCode="General">
                        <c:v>0.02</c:v>
                      </c:pt>
                      <c:pt idx="9" formatCode="General">
                        <c:v>0.02</c:v>
                      </c:pt>
                      <c:pt idx="10" formatCode="General">
                        <c:v>0.02</c:v>
                      </c:pt>
                      <c:pt idx="11" formatCode="General">
                        <c:v>0.02</c:v>
                      </c:pt>
                      <c:pt idx="12" formatCode="General">
                        <c:v>0.02</c:v>
                      </c:pt>
                      <c:pt idx="13" formatCode="General">
                        <c:v>0.02</c:v>
                      </c:pt>
                      <c:pt idx="14" formatCode="General">
                        <c:v>0.02</c:v>
                      </c:pt>
                      <c:pt idx="15" formatCode="General">
                        <c:v>0.02</c:v>
                      </c:pt>
                      <c:pt idx="16" formatCode="General">
                        <c:v>0.02</c:v>
                      </c:pt>
                      <c:pt idx="17" formatCode="General">
                        <c:v>0.02</c:v>
                      </c:pt>
                      <c:pt idx="18" formatCode="General">
                        <c:v>0.02</c:v>
                      </c:pt>
                      <c:pt idx="19" formatCode="General">
                        <c:v>0.02</c:v>
                      </c:pt>
                      <c:pt idx="20" formatCode="General">
                        <c:v>0.02</c:v>
                      </c:pt>
                      <c:pt idx="21" formatCode="General">
                        <c:v>0.02</c:v>
                      </c:pt>
                      <c:pt idx="22" formatCode="General">
                        <c:v>0.02</c:v>
                      </c:pt>
                      <c:pt idx="23" formatCode="General">
                        <c:v>0.02</c:v>
                      </c:pt>
                      <c:pt idx="24" formatCode="General">
                        <c:v>0.02</c:v>
                      </c:pt>
                      <c:pt idx="25" formatCode="General">
                        <c:v>0.02</c:v>
                      </c:pt>
                      <c:pt idx="26" formatCode="General">
                        <c:v>0.02</c:v>
                      </c:pt>
                      <c:pt idx="27" formatCode="General">
                        <c:v>0.02</c:v>
                      </c:pt>
                      <c:pt idx="28" formatCode="General">
                        <c:v>0.02</c:v>
                      </c:pt>
                      <c:pt idx="29" formatCode="General">
                        <c:v>0.02</c:v>
                      </c:pt>
                      <c:pt idx="30" formatCode="General">
                        <c:v>0.02</c:v>
                      </c:pt>
                      <c:pt idx="31" formatCode="General">
                        <c:v>0.02</c:v>
                      </c:pt>
                      <c:pt idx="32" formatCode="General">
                        <c:v>0.02</c:v>
                      </c:pt>
                      <c:pt idx="33" formatCode="General">
                        <c:v>0.02</c:v>
                      </c:pt>
                      <c:pt idx="34" formatCode="General">
                        <c:v>0.02</c:v>
                      </c:pt>
                      <c:pt idx="35" formatCode="General">
                        <c:v>0.02</c:v>
                      </c:pt>
                      <c:pt idx="36" formatCode="General">
                        <c:v>0.02</c:v>
                      </c:pt>
                      <c:pt idx="37" formatCode="General">
                        <c:v>0.02</c:v>
                      </c:pt>
                      <c:pt idx="38" formatCode="General">
                        <c:v>0.02</c:v>
                      </c:pt>
                      <c:pt idx="39" formatCode="General">
                        <c:v>0.02</c:v>
                      </c:pt>
                      <c:pt idx="40" formatCode="General">
                        <c:v>0.02</c:v>
                      </c:pt>
                      <c:pt idx="41" formatCode="General">
                        <c:v>0.02</c:v>
                      </c:pt>
                      <c:pt idx="42" formatCode="General">
                        <c:v>0.02</c:v>
                      </c:pt>
                      <c:pt idx="43" formatCode="General">
                        <c:v>0.02</c:v>
                      </c:pt>
                      <c:pt idx="44" formatCode="General">
                        <c:v>0.02</c:v>
                      </c:pt>
                      <c:pt idx="45" formatCode="General">
                        <c:v>0.02</c:v>
                      </c:pt>
                      <c:pt idx="46" formatCode="General">
                        <c:v>1.4212210909090943E-2</c:v>
                      </c:pt>
                      <c:pt idx="47" formatCode="General">
                        <c:v>7.3699169696969831E-3</c:v>
                      </c:pt>
                      <c:pt idx="48" formatCode="General">
                        <c:v>4.3954321212121353E-3</c:v>
                      </c:pt>
                      <c:pt idx="49" formatCode="General">
                        <c:v>2.2444002409638579E-3</c:v>
                      </c:pt>
                      <c:pt idx="50" formatCode="General">
                        <c:v>9.8544240963854986E-4</c:v>
                      </c:pt>
                      <c:pt idx="51" formatCode="General">
                        <c:v>4.4134587878787699E-4</c:v>
                      </c:pt>
                      <c:pt idx="52" formatCode="General">
                        <c:v>1.0969016363636336E-4</c:v>
                      </c:pt>
                      <c:pt idx="53" formatCode="General">
                        <c:v>4.9102890909090633E-5</c:v>
                      </c:pt>
                      <c:pt idx="54" formatCode="General">
                        <c:v>1.4816052121212076E-5</c:v>
                      </c:pt>
                      <c:pt idx="55" formatCode="General">
                        <c:v>4.806536969696922E-6</c:v>
                      </c:pt>
                      <c:pt idx="56" formatCode="General">
                        <c:v>1.9953754545454465E-6</c:v>
                      </c:pt>
                      <c:pt idx="57" formatCode="General">
                        <c:v>6.2032924750378176E-7</c:v>
                      </c:pt>
                      <c:pt idx="58" formatCode="General">
                        <c:v>5.2341673615733698E-7</c:v>
                      </c:pt>
                      <c:pt idx="59" formatCode="General">
                        <c:v>4.2650422481089226E-7</c:v>
                      </c:pt>
                      <c:pt idx="60" formatCode="General">
                        <c:v>3.2959171346444754E-7</c:v>
                      </c:pt>
                      <c:pt idx="61" formatCode="General">
                        <c:v>2.3267920211800276E-7</c:v>
                      </c:pt>
                      <c:pt idx="62" formatCode="General">
                        <c:v>1.3576669077155798E-7</c:v>
                      </c:pt>
                      <c:pt idx="63" formatCode="General">
                        <c:v>3.8854179425113315E-8</c:v>
                      </c:pt>
                      <c:pt idx="64" formatCode="General">
                        <c:v>9.6089549531013581E-10</c:v>
                      </c:pt>
                      <c:pt idx="65" formatCode="General">
                        <c:v>8.0121597942511312E-10</c:v>
                      </c:pt>
                      <c:pt idx="66" formatCode="General">
                        <c:v>6.4153646354009044E-10</c:v>
                      </c:pt>
                      <c:pt idx="67" formatCode="General">
                        <c:v>4.8185694765506786E-10</c:v>
                      </c:pt>
                      <c:pt idx="68" formatCode="General">
                        <c:v>3.2217743177004517E-10</c:v>
                      </c:pt>
                      <c:pt idx="69" formatCode="General">
                        <c:v>1.6249791588502259E-10</c:v>
                      </c:pt>
                      <c:pt idx="70" formatCode="General">
                        <c:v>2.8183999999999E-12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12-420D-849A-A4A865892EA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4.750484114977298E-34</c:v>
                      </c:pt>
                      <c:pt idx="12" formatCode="General">
                        <c:v>1.4857897125567317E-33</c:v>
                      </c:pt>
                      <c:pt idx="13" formatCode="General">
                        <c:v>2.4965310136157337E-33</c:v>
                      </c:pt>
                      <c:pt idx="14" formatCode="General">
                        <c:v>3.5072723146747357E-33</c:v>
                      </c:pt>
                      <c:pt idx="15" formatCode="General">
                        <c:v>4.5180136157337374E-33</c:v>
                      </c:pt>
                      <c:pt idx="16" formatCode="General">
                        <c:v>5.5287549167927397E-33</c:v>
                      </c:pt>
                      <c:pt idx="17" formatCode="General">
                        <c:v>6.539496217851742E-33</c:v>
                      </c:pt>
                      <c:pt idx="18" formatCode="General">
                        <c:v>4.1052605454545557E-31</c:v>
                      </c:pt>
                      <c:pt idx="19" formatCode="General">
                        <c:v>9.387109090909183E-30</c:v>
                      </c:pt>
                      <c:pt idx="20" formatCode="General">
                        <c:v>5.0366200000000086E-29</c:v>
                      </c:pt>
                      <c:pt idx="21" formatCode="General">
                        <c:v>1.6069725636363698E-27</c:v>
                      </c:pt>
                      <c:pt idx="22" formatCode="General">
                        <c:v>4.3544289272727339E-27</c:v>
                      </c:pt>
                      <c:pt idx="23" formatCode="General">
                        <c:v>1.3569010542168692E-25</c:v>
                      </c:pt>
                      <c:pt idx="24" formatCode="General">
                        <c:v>9.7642496493181815E-21</c:v>
                      </c:pt>
                      <c:pt idx="25" formatCode="General">
                        <c:v>4.8820273326590917E-20</c:v>
                      </c:pt>
                      <c:pt idx="26" formatCode="General">
                        <c:v>8.7876297003863633E-20</c:v>
                      </c:pt>
                      <c:pt idx="27" formatCode="General">
                        <c:v>1.2693232068113638E-19</c:v>
                      </c:pt>
                      <c:pt idx="28" formatCode="General">
                        <c:v>1.659883443584091E-19</c:v>
                      </c:pt>
                      <c:pt idx="29" formatCode="General">
                        <c:v>2.0504436803568185E-19</c:v>
                      </c:pt>
                      <c:pt idx="30" formatCode="General">
                        <c:v>2.4410039171295454E-19</c:v>
                      </c:pt>
                      <c:pt idx="31" formatCode="General">
                        <c:v>2.175028185960665E-15</c:v>
                      </c:pt>
                      <c:pt idx="32" formatCode="General">
                        <c:v>5.5208288259001491E-15</c:v>
                      </c:pt>
                      <c:pt idx="33" formatCode="General">
                        <c:v>8.8666294658396331E-15</c:v>
                      </c:pt>
                      <c:pt idx="34" formatCode="General">
                        <c:v>1.2212430105779116E-14</c:v>
                      </c:pt>
                      <c:pt idx="35" formatCode="General">
                        <c:v>1.55582307457186E-14</c:v>
                      </c:pt>
                      <c:pt idx="36" formatCode="General">
                        <c:v>1.8904031385658086E-14</c:v>
                      </c:pt>
                      <c:pt idx="37" formatCode="General">
                        <c:v>1.8306357216337844E-12</c:v>
                      </c:pt>
                      <c:pt idx="38" formatCode="General">
                        <c:v>4.7043628762480969E-11</c:v>
                      </c:pt>
                      <c:pt idx="39" formatCode="General">
                        <c:v>9.2256621803328156E-11</c:v>
                      </c:pt>
                      <c:pt idx="40" formatCode="General">
                        <c:v>1.3746961484417534E-10</c:v>
                      </c:pt>
                      <c:pt idx="41" formatCode="General">
                        <c:v>1.8268260788502253E-10</c:v>
                      </c:pt>
                      <c:pt idx="42" formatCode="General">
                        <c:v>2.278956009258697E-10</c:v>
                      </c:pt>
                      <c:pt idx="43" formatCode="General">
                        <c:v>2.7310859396671694E-10</c:v>
                      </c:pt>
                      <c:pt idx="44" formatCode="General">
                        <c:v>8.8629127272726661E-10</c:v>
                      </c:pt>
                      <c:pt idx="45" formatCode="General">
                        <c:v>2.2523639999999941E-9</c:v>
                      </c:pt>
                      <c:pt idx="46" formatCode="General">
                        <c:v>5.0315036363636213E-9</c:v>
                      </c:pt>
                      <c:pt idx="47" formatCode="General">
                        <c:v>8.827425454545418E-9</c:v>
                      </c:pt>
                      <c:pt idx="48" formatCode="General">
                        <c:v>1.6760698181818147E-8</c:v>
                      </c:pt>
                      <c:pt idx="49" formatCode="General">
                        <c:v>2.5769277108433713E-8</c:v>
                      </c:pt>
                      <c:pt idx="50" formatCode="General">
                        <c:v>3.5942771084337386E-8</c:v>
                      </c:pt>
                      <c:pt idx="51" formatCode="General">
                        <c:v>3.7839599999999998E-8</c:v>
                      </c:pt>
                      <c:pt idx="52" formatCode="General">
                        <c:v>3.7881375757575757E-8</c:v>
                      </c:pt>
                      <c:pt idx="53" formatCode="General">
                        <c:v>3.7736527272727272E-8</c:v>
                      </c:pt>
                      <c:pt idx="54" formatCode="General">
                        <c:v>3.7452381818181816E-8</c:v>
                      </c:pt>
                      <c:pt idx="55" formatCode="General">
                        <c:v>3.7039654545454544E-8</c:v>
                      </c:pt>
                      <c:pt idx="56" formatCode="General">
                        <c:v>3.6403363636363636E-8</c:v>
                      </c:pt>
                      <c:pt idx="57" formatCode="General">
                        <c:v>3.5622391830559753E-8</c:v>
                      </c:pt>
                      <c:pt idx="58" formatCode="General">
                        <c:v>3.4446900151285926E-8</c:v>
                      </c:pt>
                      <c:pt idx="59" formatCode="General">
                        <c:v>3.3271408472012099E-8</c:v>
                      </c:pt>
                      <c:pt idx="60" formatCode="General">
                        <c:v>3.2095916792738272E-8</c:v>
                      </c:pt>
                      <c:pt idx="61" formatCode="General">
                        <c:v>3.0920425113464445E-8</c:v>
                      </c:pt>
                      <c:pt idx="62" formatCode="General">
                        <c:v>2.9744933434190619E-8</c:v>
                      </c:pt>
                      <c:pt idx="63" formatCode="General">
                        <c:v>2.8569441754916792E-8</c:v>
                      </c:pt>
                      <c:pt idx="64" formatCode="General">
                        <c:v>2.7157794251134639E-8</c:v>
                      </c:pt>
                      <c:pt idx="65" formatCode="General">
                        <c:v>2.5595161875945534E-8</c:v>
                      </c:pt>
                      <c:pt idx="66" formatCode="General">
                        <c:v>2.4032529500756428E-8</c:v>
                      </c:pt>
                      <c:pt idx="67" formatCode="General">
                        <c:v>2.246989712556732E-8</c:v>
                      </c:pt>
                      <c:pt idx="68" formatCode="General">
                        <c:v>2.0907264750378214E-8</c:v>
                      </c:pt>
                      <c:pt idx="69" formatCode="General">
                        <c:v>1.9344632375189109E-8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12-420D-849A-A4A865892EA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12-420D-849A-A4A865892EA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12-420D-849A-A4A865892EA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12-420D-849A-A4A865892EA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12-420D-849A-A4A865892EA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12-420D-849A-A4A865892EA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12-420D-849A-A4A865892EA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12-420D-849A-A4A865892EA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12-420D-849A-A4A865892EA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12-420D-849A-A4A865892EA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12-420D-849A-A4A865892EA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12-420D-849A-A4A865892EA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12-420D-849A-A4A865892EA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12-420D-849A-A4A865892EA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12-420D-849A-A4A865892EA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12-420D-849A-A4A865892EA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12-420D-849A-A4A865892EA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12-420D-849A-A4A865892EA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12-420D-849A-A4A865892EA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12-420D-849A-A4A865892EA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12-420D-849A-A4A865892EA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12-420D-849A-A4A865892EA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12-420D-849A-A4A865892EA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12-420D-849A-A4A865892EA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12-420D-849A-A4A865892EA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12-420D-849A-A4A865892EA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12-420D-849A-A4A865892EA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12-420D-849A-A4A865892EA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12-420D-849A-A4A865892EA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12-420D-849A-A4A865892EA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0.12276351515151515</c:v>
                      </c:pt>
                      <c:pt idx="1">
                        <c:v>0.11123980606060604</c:v>
                      </c:pt>
                      <c:pt idx="2">
                        <c:v>9.5291927272727256E-2</c:v>
                      </c:pt>
                      <c:pt idx="3">
                        <c:v>7.6689945454545438E-2</c:v>
                      </c:pt>
                      <c:pt idx="4" formatCode="General">
                        <c:v>5.8005612405446286E-2</c:v>
                      </c:pt>
                      <c:pt idx="5" formatCode="General">
                        <c:v>4.9663267473524959E-2</c:v>
                      </c:pt>
                      <c:pt idx="6" formatCode="General">
                        <c:v>4.1320922541603633E-2</c:v>
                      </c:pt>
                      <c:pt idx="7" formatCode="General">
                        <c:v>3.29785776096823E-2</c:v>
                      </c:pt>
                      <c:pt idx="8" formatCode="General">
                        <c:v>2.4636232677760973E-2</c:v>
                      </c:pt>
                      <c:pt idx="9" formatCode="General">
                        <c:v>1.6293887745839647E-2</c:v>
                      </c:pt>
                      <c:pt idx="10" formatCode="General">
                        <c:v>7.9515428139183136E-3</c:v>
                      </c:pt>
                      <c:pt idx="11" formatCode="General">
                        <c:v>3.0191103030303042E-3</c:v>
                      </c:pt>
                      <c:pt idx="12" formatCode="General">
                        <c:v>1.9318981818181832E-3</c:v>
                      </c:pt>
                      <c:pt idx="13" formatCode="General">
                        <c:v>1.3091092121212127E-3</c:v>
                      </c:pt>
                      <c:pt idx="14" formatCode="General">
                        <c:v>8.3243897590361466E-4</c:v>
                      </c:pt>
                      <c:pt idx="15" formatCode="General">
                        <c:v>5.714329518072286E-4</c:v>
                      </c:pt>
                      <c:pt idx="16" formatCode="General">
                        <c:v>3.7277363636363607E-4</c:v>
                      </c:pt>
                      <c:pt idx="17" formatCode="General">
                        <c:v>2.3401606060606029E-4</c:v>
                      </c:pt>
                      <c:pt idx="18" formatCode="General">
                        <c:v>1.5213992727272711E-4</c:v>
                      </c:pt>
                      <c:pt idx="19" formatCode="General">
                        <c:v>8.7480018181818094E-5</c:v>
                      </c:pt>
                      <c:pt idx="20" formatCode="General">
                        <c:v>5.2751533333333257E-5</c:v>
                      </c:pt>
                      <c:pt idx="21" formatCode="General">
                        <c:v>2.9341157575757543E-5</c:v>
                      </c:pt>
                      <c:pt idx="22" formatCode="General">
                        <c:v>1.4823581818181785E-5</c:v>
                      </c:pt>
                      <c:pt idx="23" formatCode="General">
                        <c:v>8.6475132530120417E-6</c:v>
                      </c:pt>
                      <c:pt idx="24" formatCode="General">
                        <c:v>4.1697757575757574E-6</c:v>
                      </c:pt>
                      <c:pt idx="25" formatCode="General">
                        <c:v>2.3120787878787875E-6</c:v>
                      </c:pt>
                      <c:pt idx="26" formatCode="General">
                        <c:v>1.1940254545454546E-6</c:v>
                      </c:pt>
                      <c:pt idx="27" formatCode="General">
                        <c:v>5.6906787878787884E-7</c:v>
                      </c:pt>
                      <c:pt idx="28" formatCode="General">
                        <c:v>3.3705333333333334E-7</c:v>
                      </c:pt>
                      <c:pt idx="29" formatCode="General">
                        <c:v>1.6720872727272726E-7</c:v>
                      </c:pt>
                      <c:pt idx="30" formatCode="General">
                        <c:v>9.4171151515151524E-8</c:v>
                      </c:pt>
                      <c:pt idx="31" formatCode="General">
                        <c:v>5.181528915662653E-8</c:v>
                      </c:pt>
                      <c:pt idx="32" formatCode="General">
                        <c:v>2.5980349397590417E-8</c:v>
                      </c:pt>
                      <c:pt idx="33" formatCode="General">
                        <c:v>1.6267680000000021E-8</c:v>
                      </c:pt>
                      <c:pt idx="34" formatCode="General">
                        <c:v>8.732949090909098E-9</c:v>
                      </c:pt>
                      <c:pt idx="35" formatCode="General">
                        <c:v>5.1098581818181899E-9</c:v>
                      </c:pt>
                      <c:pt idx="36" formatCode="General">
                        <c:v>3.0083218181818215E-9</c:v>
                      </c:pt>
                      <c:pt idx="37" formatCode="General">
                        <c:v>1.6375257428139188E-9</c:v>
                      </c:pt>
                      <c:pt idx="38" formatCode="General">
                        <c:v>1.3981693131618766E-9</c:v>
                      </c:pt>
                      <c:pt idx="39" formatCode="General">
                        <c:v>1.1588128835098343E-9</c:v>
                      </c:pt>
                      <c:pt idx="40" formatCode="General">
                        <c:v>9.1945645385779207E-10</c:v>
                      </c:pt>
                      <c:pt idx="41" formatCode="General">
                        <c:v>6.8010002420574983E-10</c:v>
                      </c:pt>
                      <c:pt idx="42" formatCode="General">
                        <c:v>4.4074359455370758E-10</c:v>
                      </c:pt>
                      <c:pt idx="43" formatCode="General">
                        <c:v>2.0138716490166534E-10</c:v>
                      </c:pt>
                      <c:pt idx="44" formatCode="General">
                        <c:v>6.0955975794251171E-11</c:v>
                      </c:pt>
                      <c:pt idx="45" formatCode="General">
                        <c:v>5.1658245083207288E-11</c:v>
                      </c:pt>
                      <c:pt idx="46" formatCode="General">
                        <c:v>4.2360514372163404E-11</c:v>
                      </c:pt>
                      <c:pt idx="47" formatCode="General">
                        <c:v>3.3062783661119514E-11</c:v>
                      </c:pt>
                      <c:pt idx="48" formatCode="General">
                        <c:v>2.376505295007563E-11</c:v>
                      </c:pt>
                      <c:pt idx="49" formatCode="General">
                        <c:v>1.446732223903174E-11</c:v>
                      </c:pt>
                      <c:pt idx="50" formatCode="General">
                        <c:v>5.1695915279878564E-12</c:v>
                      </c:pt>
                      <c:pt idx="51" formatCode="General">
                        <c:v>2.6338072727272681E-12</c:v>
                      </c:pt>
                      <c:pt idx="52" formatCode="General">
                        <c:v>1.6725907878787856E-12</c:v>
                      </c:pt>
                      <c:pt idx="53" formatCode="General">
                        <c:v>1.1519483636363612E-12</c:v>
                      </c:pt>
                      <c:pt idx="54" formatCode="General">
                        <c:v>7.6568654545454426E-13</c:v>
                      </c:pt>
                      <c:pt idx="55" formatCode="General">
                        <c:v>5.0346836363636243E-13</c:v>
                      </c:pt>
                      <c:pt idx="56" formatCode="General">
                        <c:v>3.526312727272721E-13</c:v>
                      </c:pt>
                      <c:pt idx="57" formatCode="General">
                        <c:v>2.3273096385542137E-13</c:v>
                      </c:pt>
                      <c:pt idx="58" formatCode="General">
                        <c:v>1.6350807228915644E-13</c:v>
                      </c:pt>
                      <c:pt idx="59" formatCode="General">
                        <c:v>1.1311332121212112E-13</c:v>
                      </c:pt>
                      <c:pt idx="60" formatCode="General">
                        <c:v>7.7512109090909007E-14</c:v>
                      </c:pt>
                      <c:pt idx="61" formatCode="General">
                        <c:v>5.6299375757575713E-14</c:v>
                      </c:pt>
                      <c:pt idx="62" formatCode="General">
                        <c:v>3.8795945454545428E-14</c:v>
                      </c:pt>
                      <c:pt idx="63" formatCode="General">
                        <c:v>2.7799581818181791E-14</c:v>
                      </c:pt>
                      <c:pt idx="64" formatCode="General">
                        <c:v>2.158151739788199E-14</c:v>
                      </c:pt>
                      <c:pt idx="65" formatCode="General">
                        <c:v>1.8418431164901657E-14</c:v>
                      </c:pt>
                      <c:pt idx="66" formatCode="General">
                        <c:v>1.5255344931921324E-14</c:v>
                      </c:pt>
                      <c:pt idx="67" formatCode="General">
                        <c:v>1.2092258698940994E-14</c:v>
                      </c:pt>
                      <c:pt idx="68" formatCode="General">
                        <c:v>8.9291724659606648E-15</c:v>
                      </c:pt>
                      <c:pt idx="69" formatCode="General">
                        <c:v>5.766086232980332E-15</c:v>
                      </c:pt>
                      <c:pt idx="70" formatCode="General">
                        <c:v>2.6029999999999991E-15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12-420D-849A-A4A865892EA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0.15722648484848487</c:v>
                      </c:pt>
                      <c:pt idx="1">
                        <c:v>0.16874927272727275</c:v>
                      </c:pt>
                      <c:pt idx="2">
                        <c:v>0.18469472727272729</c:v>
                      </c:pt>
                      <c:pt idx="3">
                        <c:v>0.20328145454545457</c:v>
                      </c:pt>
                      <c:pt idx="4" formatCode="General">
                        <c:v>0.22188405446293497</c:v>
                      </c:pt>
                      <c:pt idx="5" formatCode="General">
                        <c:v>0.2294347352496218</c:v>
                      </c:pt>
                      <c:pt idx="6" formatCode="General">
                        <c:v>0.23698541603630863</c:v>
                      </c:pt>
                      <c:pt idx="7" formatCode="General">
                        <c:v>0.24453609682299546</c:v>
                      </c:pt>
                      <c:pt idx="8" formatCode="General">
                        <c:v>0.25208677760968229</c:v>
                      </c:pt>
                      <c:pt idx="9" formatCode="General">
                        <c:v>0.25963745839636909</c:v>
                      </c:pt>
                      <c:pt idx="10" formatCode="General">
                        <c:v>0.26718813918305595</c:v>
                      </c:pt>
                      <c:pt idx="11" formatCode="General">
                        <c:v>0.26933848484848483</c:v>
                      </c:pt>
                      <c:pt idx="12" formatCode="General">
                        <c:v>0.26539909090909092</c:v>
                      </c:pt>
                      <c:pt idx="13" formatCode="General">
                        <c:v>0.25658442424242422</c:v>
                      </c:pt>
                      <c:pt idx="14" formatCode="General">
                        <c:v>0.24539885542168674</c:v>
                      </c:pt>
                      <c:pt idx="15" formatCode="General">
                        <c:v>0.22786271084337345</c:v>
                      </c:pt>
                      <c:pt idx="16" formatCode="General">
                        <c:v>0.20638090909090903</c:v>
                      </c:pt>
                      <c:pt idx="17" formatCode="General">
                        <c:v>0.18110818181818178</c:v>
                      </c:pt>
                      <c:pt idx="18" formatCode="General">
                        <c:v>0.15233812121212115</c:v>
                      </c:pt>
                      <c:pt idx="19" formatCode="General">
                        <c:v>0.12341732727272721</c:v>
                      </c:pt>
                      <c:pt idx="20" formatCode="General">
                        <c:v>9.6071266666666599E-2</c:v>
                      </c:pt>
                      <c:pt idx="21" formatCode="General">
                        <c:v>7.2474151515151464E-2</c:v>
                      </c:pt>
                      <c:pt idx="22" formatCode="General">
                        <c:v>5.1822636363636321E-2</c:v>
                      </c:pt>
                      <c:pt idx="23" formatCode="General">
                        <c:v>3.7995307228915649E-2</c:v>
                      </c:pt>
                      <c:pt idx="24" formatCode="General">
                        <c:v>2.6216606060606062E-2</c:v>
                      </c:pt>
                      <c:pt idx="25" formatCode="General">
                        <c:v>1.8559030303030303E-2</c:v>
                      </c:pt>
                      <c:pt idx="26" formatCode="General">
                        <c:v>1.2963854545454545E-2</c:v>
                      </c:pt>
                      <c:pt idx="27" formatCode="General">
                        <c:v>8.7436121212121215E-3</c:v>
                      </c:pt>
                      <c:pt idx="28" formatCode="General">
                        <c:v>6.3550848484848488E-3</c:v>
                      </c:pt>
                      <c:pt idx="29" formatCode="General">
                        <c:v>4.3757272727272725E-3</c:v>
                      </c:pt>
                      <c:pt idx="30" formatCode="General">
                        <c:v>3.126151515151515E-3</c:v>
                      </c:pt>
                      <c:pt idx="31" formatCode="General">
                        <c:v>2.2430018072289162E-3</c:v>
                      </c:pt>
                      <c:pt idx="32" formatCode="General">
                        <c:v>1.5571584337349411E-3</c:v>
                      </c:pt>
                      <c:pt idx="33" formatCode="General">
                        <c:v>1.1666720000000008E-3</c:v>
                      </c:pt>
                      <c:pt idx="34" formatCode="General">
                        <c:v>8.3559454545454595E-4</c:v>
                      </c:pt>
                      <c:pt idx="35" formatCode="General">
                        <c:v>6.1404909090909143E-4</c:v>
                      </c:pt>
                      <c:pt idx="36" formatCode="General">
                        <c:v>4.5643527272727299E-4</c:v>
                      </c:pt>
                      <c:pt idx="37" formatCode="General">
                        <c:v>3.3101901361573386E-4</c:v>
                      </c:pt>
                      <c:pt idx="38" formatCode="General">
                        <c:v>2.8899435400907725E-4</c:v>
                      </c:pt>
                      <c:pt idx="39" formatCode="General">
                        <c:v>2.4696969440242075E-4</c:v>
                      </c:pt>
                      <c:pt idx="40" formatCode="General">
                        <c:v>2.0494503479576417E-4</c:v>
                      </c:pt>
                      <c:pt idx="41" formatCode="General">
                        <c:v>1.6292037518910758E-4</c:v>
                      </c:pt>
                      <c:pt idx="42" formatCode="General">
                        <c:v>1.2089571558245103E-4</c:v>
                      </c:pt>
                      <c:pt idx="43" formatCode="General">
                        <c:v>7.8871055975794472E-5</c:v>
                      </c:pt>
                      <c:pt idx="44" formatCode="General">
                        <c:v>5.2056036308623328E-5</c:v>
                      </c:pt>
                      <c:pt idx="45" formatCode="General">
                        <c:v>4.540263237518913E-5</c:v>
                      </c:pt>
                      <c:pt idx="46" formatCode="General">
                        <c:v>3.8749228441754924E-5</c:v>
                      </c:pt>
                      <c:pt idx="47" formatCode="General">
                        <c:v>3.2095824508320725E-5</c:v>
                      </c:pt>
                      <c:pt idx="48" formatCode="General">
                        <c:v>2.5442420574886523E-5</c:v>
                      </c:pt>
                      <c:pt idx="49" formatCode="General">
                        <c:v>1.8789016641452321E-5</c:v>
                      </c:pt>
                      <c:pt idx="50" formatCode="General">
                        <c:v>1.2135612708018123E-5</c:v>
                      </c:pt>
                      <c:pt idx="51" formatCode="General">
                        <c:v>9.2316545454545363E-6</c:v>
                      </c:pt>
                      <c:pt idx="52" formatCode="General">
                        <c:v>7.2669739393939326E-6</c:v>
                      </c:pt>
                      <c:pt idx="53" formatCode="General">
                        <c:v>5.8697618181818117E-6</c:v>
                      </c:pt>
                      <c:pt idx="54" formatCode="General">
                        <c:v>4.706329090909087E-6</c:v>
                      </c:pt>
                      <c:pt idx="55" formatCode="General">
                        <c:v>3.7586927272727231E-6</c:v>
                      </c:pt>
                      <c:pt idx="56" formatCode="General">
                        <c:v>3.0708963636363608E-6</c:v>
                      </c:pt>
                      <c:pt idx="57" formatCode="General">
                        <c:v>2.4667602409638536E-6</c:v>
                      </c:pt>
                      <c:pt idx="58" formatCode="General">
                        <c:v>2.0215795180722878E-6</c:v>
                      </c:pt>
                      <c:pt idx="59" formatCode="General">
                        <c:v>1.6560709090909084E-6</c:v>
                      </c:pt>
                      <c:pt idx="60" formatCode="General">
                        <c:v>1.3531618181818175E-6</c:v>
                      </c:pt>
                      <c:pt idx="61" formatCode="General">
                        <c:v>1.1274427878787875E-6</c:v>
                      </c:pt>
                      <c:pt idx="62" formatCode="General">
                        <c:v>9.2525103030302983E-7</c:v>
                      </c:pt>
                      <c:pt idx="63" formatCode="General">
                        <c:v>7.6829345454545416E-7</c:v>
                      </c:pt>
                      <c:pt idx="64" formatCode="General">
                        <c:v>6.6157455370650506E-7</c:v>
                      </c:pt>
                      <c:pt idx="65" formatCode="General">
                        <c:v>5.8697546142208761E-7</c:v>
                      </c:pt>
                      <c:pt idx="66" formatCode="General">
                        <c:v>5.1237636913767006E-7</c:v>
                      </c:pt>
                      <c:pt idx="67" formatCode="General">
                        <c:v>4.3777727685325251E-7</c:v>
                      </c:pt>
                      <c:pt idx="68" formatCode="General">
                        <c:v>3.6317818456883496E-7</c:v>
                      </c:pt>
                      <c:pt idx="69" formatCode="General">
                        <c:v>2.8857909228441746E-7</c:v>
                      </c:pt>
                      <c:pt idx="70" formatCode="General">
                        <c:v>2.1397999999999996E-7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12-420D-849A-A4A865892EA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1.1953945454545456E-2</c:v>
                      </c:pt>
                      <c:pt idx="1">
                        <c:v>1.21342E-2</c:v>
                      </c:pt>
                      <c:pt idx="2">
                        <c:v>1.23742E-2</c:v>
                      </c:pt>
                      <c:pt idx="3">
                        <c:v>1.263189696969697E-2</c:v>
                      </c:pt>
                      <c:pt idx="4" formatCode="General">
                        <c:v>1.2883375189107413E-2</c:v>
                      </c:pt>
                      <c:pt idx="5" formatCode="General">
                        <c:v>1.2988065052950075E-2</c:v>
                      </c:pt>
                      <c:pt idx="6" formatCode="General">
                        <c:v>1.3092754916792737E-2</c:v>
                      </c:pt>
                      <c:pt idx="7" formatCode="General">
                        <c:v>1.3197444780635401E-2</c:v>
                      </c:pt>
                      <c:pt idx="8" formatCode="General">
                        <c:v>1.3302134644478063E-2</c:v>
                      </c:pt>
                      <c:pt idx="9" formatCode="General">
                        <c:v>1.3406824508320725E-2</c:v>
                      </c:pt>
                      <c:pt idx="10" formatCode="General">
                        <c:v>1.3511514372163387E-2</c:v>
                      </c:pt>
                      <c:pt idx="11" formatCode="General">
                        <c:v>1.3596054545454544E-2</c:v>
                      </c:pt>
                      <c:pt idx="12" formatCode="General">
                        <c:v>1.3657872727272728E-2</c:v>
                      </c:pt>
                      <c:pt idx="13" formatCode="General">
                        <c:v>1.3756466666666666E-2</c:v>
                      </c:pt>
                      <c:pt idx="14" formatCode="General">
                        <c:v>1.3872753012048192E-2</c:v>
                      </c:pt>
                      <c:pt idx="15" formatCode="General">
                        <c:v>1.4036006024096387E-2</c:v>
                      </c:pt>
                      <c:pt idx="16" formatCode="General">
                        <c:v>1.4222327272727273E-2</c:v>
                      </c:pt>
                      <c:pt idx="17" formatCode="General">
                        <c:v>1.4430812121212121E-2</c:v>
                      </c:pt>
                      <c:pt idx="18" formatCode="General">
                        <c:v>1.4642424242424243E-2</c:v>
                      </c:pt>
                      <c:pt idx="19" formatCode="General">
                        <c:v>1.4846527272727273E-2</c:v>
                      </c:pt>
                      <c:pt idx="20" formatCode="General">
                        <c:v>1.5020466666666666E-2</c:v>
                      </c:pt>
                      <c:pt idx="21" formatCode="General">
                        <c:v>1.5163860606060606E-2</c:v>
                      </c:pt>
                      <c:pt idx="22" formatCode="General">
                        <c:v>1.5283254545454546E-2</c:v>
                      </c:pt>
                      <c:pt idx="23" formatCode="General">
                        <c:v>1.5358686746987952E-2</c:v>
                      </c:pt>
                      <c:pt idx="24" formatCode="General">
                        <c:v>1.5422E-2</c:v>
                      </c:pt>
                      <c:pt idx="25" formatCode="General">
                        <c:v>1.5462E-2</c:v>
                      </c:pt>
                      <c:pt idx="26" formatCode="General">
                        <c:v>1.5490727272727274E-2</c:v>
                      </c:pt>
                      <c:pt idx="27" formatCode="General">
                        <c:v>1.5511939393939394E-2</c:v>
                      </c:pt>
                      <c:pt idx="28" formatCode="General">
                        <c:v>1.5523363636363637E-2</c:v>
                      </c:pt>
                      <c:pt idx="29" formatCode="General">
                        <c:v>1.5532090909090909E-2</c:v>
                      </c:pt>
                      <c:pt idx="30" formatCode="General">
                        <c:v>1.5535727272727272E-2</c:v>
                      </c:pt>
                      <c:pt idx="31" formatCode="General">
                        <c:v>1.5532692771084338E-2</c:v>
                      </c:pt>
                      <c:pt idx="32" formatCode="General">
                        <c:v>1.5526066265060241E-2</c:v>
                      </c:pt>
                      <c:pt idx="33" formatCode="General">
                        <c:v>1.5488199999999999E-2</c:v>
                      </c:pt>
                      <c:pt idx="34" formatCode="General">
                        <c:v>1.5414163636363637E-2</c:v>
                      </c:pt>
                      <c:pt idx="35" formatCode="General">
                        <c:v>1.5270527272727272E-2</c:v>
                      </c:pt>
                      <c:pt idx="36" formatCode="General">
                        <c:v>1.48994E-2</c:v>
                      </c:pt>
                      <c:pt idx="37" formatCode="General">
                        <c:v>1.4368103782148265E-2</c:v>
                      </c:pt>
                      <c:pt idx="38" formatCode="General">
                        <c:v>1.2445698335854769E-2</c:v>
                      </c:pt>
                      <c:pt idx="39" formatCode="General">
                        <c:v>1.0523292889561275E-2</c:v>
                      </c:pt>
                      <c:pt idx="40" formatCode="General">
                        <c:v>8.6008874432677816E-3</c:v>
                      </c:pt>
                      <c:pt idx="41" formatCode="General">
                        <c:v>6.6784819969742887E-3</c:v>
                      </c:pt>
                      <c:pt idx="42" formatCode="General">
                        <c:v>4.7560765506807941E-3</c:v>
                      </c:pt>
                      <c:pt idx="43" formatCode="General">
                        <c:v>2.8336711043873003E-3</c:v>
                      </c:pt>
                      <c:pt idx="44" formatCode="General">
                        <c:v>1.6266714901664154E-3</c:v>
                      </c:pt>
                      <c:pt idx="45" formatCode="General">
                        <c:v>1.3680005370650535E-3</c:v>
                      </c:pt>
                      <c:pt idx="46" formatCode="General">
                        <c:v>1.1093295839636917E-3</c:v>
                      </c:pt>
                      <c:pt idx="47" formatCode="General">
                        <c:v>8.5065863086232973E-4</c:v>
                      </c:pt>
                      <c:pt idx="48" formatCode="General">
                        <c:v>5.9198767776096777E-4</c:v>
                      </c:pt>
                      <c:pt idx="49" formatCode="General">
                        <c:v>3.3331672465960593E-4</c:v>
                      </c:pt>
                      <c:pt idx="50" formatCode="General">
                        <c:v>7.4645771558243864E-5</c:v>
                      </c:pt>
                      <c:pt idx="51" formatCode="General">
                        <c:v>1.911569090909086E-5</c:v>
                      </c:pt>
                      <c:pt idx="52" formatCode="General">
                        <c:v>9.3744018181818012E-6</c:v>
                      </c:pt>
                      <c:pt idx="53" formatCode="General">
                        <c:v>5.4767654545454376E-6</c:v>
                      </c:pt>
                      <c:pt idx="54" formatCode="General">
                        <c:v>2.8799484848484783E-6</c:v>
                      </c:pt>
                      <c:pt idx="55" formatCode="General">
                        <c:v>1.4838878787878725E-6</c:v>
                      </c:pt>
                      <c:pt idx="56" formatCode="General">
                        <c:v>8.6563890909090678E-7</c:v>
                      </c:pt>
                      <c:pt idx="57" formatCode="General">
                        <c:v>4.3394843373493896E-7</c:v>
                      </c:pt>
                      <c:pt idx="58" formatCode="General">
                        <c:v>2.5162313253011997E-7</c:v>
                      </c:pt>
                      <c:pt idx="59" formatCode="General">
                        <c:v>1.260532363636362E-7</c:v>
                      </c:pt>
                      <c:pt idx="60" formatCode="General">
                        <c:v>4.5076872727272533E-8</c:v>
                      </c:pt>
                      <c:pt idx="61" formatCode="General">
                        <c:v>2.1615432121212083E-8</c:v>
                      </c:pt>
                      <c:pt idx="62" formatCode="General">
                        <c:v>7.4380490909090825E-9</c:v>
                      </c:pt>
                      <c:pt idx="63" formatCode="General">
                        <c:v>3.4947763636363552E-9</c:v>
                      </c:pt>
                      <c:pt idx="64" formatCode="General">
                        <c:v>1.7770227385779119E-9</c:v>
                      </c:pt>
                      <c:pt idx="65" formatCode="General">
                        <c:v>1.4821419821482597E-9</c:v>
                      </c:pt>
                      <c:pt idx="66" formatCode="General">
                        <c:v>1.1872612257186079E-9</c:v>
                      </c:pt>
                      <c:pt idx="67" formatCode="General">
                        <c:v>8.9238046928895596E-10</c:v>
                      </c:pt>
                      <c:pt idx="68" formatCode="General">
                        <c:v>5.9749971285930385E-10</c:v>
                      </c:pt>
                      <c:pt idx="69" formatCode="General">
                        <c:v>3.0261895642965196E-10</c:v>
                      </c:pt>
                      <c:pt idx="70" formatCode="General">
                        <c:v>7.7382000000000633E-12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12-420D-849A-A4A865892EA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6.3268735757575825E-26</c:v>
                      </c:pt>
                      <c:pt idx="1">
                        <c:v>9.0085721818182058E-25</c:v>
                      </c:pt>
                      <c:pt idx="2">
                        <c:v>3.0094735818181841E-24</c:v>
                      </c:pt>
                      <c:pt idx="3">
                        <c:v>6.4740058181818279E-23</c:v>
                      </c:pt>
                      <c:pt idx="4" formatCode="General">
                        <c:v>1.5609267904084935E-18</c:v>
                      </c:pt>
                      <c:pt idx="5" formatCode="General">
                        <c:v>2.1070738920514385E-17</c:v>
                      </c:pt>
                      <c:pt idx="6" formatCode="General">
                        <c:v>4.0580551050620279E-17</c:v>
                      </c:pt>
                      <c:pt idx="7" formatCode="General">
                        <c:v>6.0090363180726172E-17</c:v>
                      </c:pt>
                      <c:pt idx="8" formatCode="General">
                        <c:v>7.9600175310832059E-17</c:v>
                      </c:pt>
                      <c:pt idx="9" formatCode="General">
                        <c:v>9.9109987440937959E-17</c:v>
                      </c:pt>
                      <c:pt idx="10" formatCode="General">
                        <c:v>1.1861979957104385E-16</c:v>
                      </c:pt>
                      <c:pt idx="11" formatCode="General">
                        <c:v>7.4444351515151374E-16</c:v>
                      </c:pt>
                      <c:pt idx="12" formatCode="General">
                        <c:v>2.0539829090909078E-15</c:v>
                      </c:pt>
                      <c:pt idx="13" formatCode="General">
                        <c:v>1.6842612727272708E-14</c:v>
                      </c:pt>
                      <c:pt idx="14" formatCode="General">
                        <c:v>6.3732391566264908E-14</c:v>
                      </c:pt>
                      <c:pt idx="15" formatCode="General">
                        <c:v>2.5290528313253038E-13</c:v>
                      </c:pt>
                      <c:pt idx="16" formatCode="General">
                        <c:v>1.2167109090909129E-12</c:v>
                      </c:pt>
                      <c:pt idx="17" formatCode="General">
                        <c:v>2.9247715151515189E-12</c:v>
                      </c:pt>
                      <c:pt idx="18" formatCode="General">
                        <c:v>1.4878194545454576E-11</c:v>
                      </c:pt>
                      <c:pt idx="19" formatCode="General">
                        <c:v>4.6630218181818403E-11</c:v>
                      </c:pt>
                      <c:pt idx="20" formatCode="General">
                        <c:v>1.4658840000000022E-10</c:v>
                      </c:pt>
                      <c:pt idx="21" formatCode="General">
                        <c:v>5.7154987878788028E-10</c:v>
                      </c:pt>
                      <c:pt idx="22" formatCode="General">
                        <c:v>1.2518710909090924E-9</c:v>
                      </c:pt>
                      <c:pt idx="23" formatCode="General">
                        <c:v>5.181806024096389E-9</c:v>
                      </c:pt>
                      <c:pt idx="24" formatCode="General">
                        <c:v>1.4554799999999999E-8</c:v>
                      </c:pt>
                      <c:pt idx="25" formatCode="General">
                        <c:v>3.9292799999999996E-8</c:v>
                      </c:pt>
                      <c:pt idx="26" formatCode="General">
                        <c:v>1.2817418181818183E-7</c:v>
                      </c:pt>
                      <c:pt idx="27" formatCode="General">
                        <c:v>2.598178181818182E-7</c:v>
                      </c:pt>
                      <c:pt idx="28" formatCode="General">
                        <c:v>8.8056060606060607E-7</c:v>
                      </c:pt>
                      <c:pt idx="29" formatCode="General">
                        <c:v>2.215809090909091E-6</c:v>
                      </c:pt>
                      <c:pt idx="30" formatCode="General">
                        <c:v>5.1581727272727275E-6</c:v>
                      </c:pt>
                      <c:pt idx="31" formatCode="General">
                        <c:v>1.4239777108433725E-5</c:v>
                      </c:pt>
                      <c:pt idx="32" formatCode="General">
                        <c:v>2.6627126506024065E-5</c:v>
                      </c:pt>
                      <c:pt idx="33" formatCode="General">
                        <c:v>7.5470399999999886E-5</c:v>
                      </c:pt>
                      <c:pt idx="34" formatCode="General">
                        <c:v>1.6914381818181778E-4</c:v>
                      </c:pt>
                      <c:pt idx="35" formatCode="General">
                        <c:v>3.4912563636363598E-4</c:v>
                      </c:pt>
                      <c:pt idx="36" formatCode="General">
                        <c:v>8.125134545454532E-4</c:v>
                      </c:pt>
                      <c:pt idx="37" formatCode="General">
                        <c:v>1.4696417549167875E-3</c:v>
                      </c:pt>
                      <c:pt idx="38" formatCode="General">
                        <c:v>3.7206856278366048E-3</c:v>
                      </c:pt>
                      <c:pt idx="39" formatCode="General">
                        <c:v>5.9717295007564227E-3</c:v>
                      </c:pt>
                      <c:pt idx="40" formatCode="General">
                        <c:v>8.2227733736762402E-3</c:v>
                      </c:pt>
                      <c:pt idx="41" formatCode="General">
                        <c:v>1.0473817246596058E-2</c:v>
                      </c:pt>
                      <c:pt idx="42" formatCode="General">
                        <c:v>1.2724861119515875E-2</c:v>
                      </c:pt>
                      <c:pt idx="43" formatCode="General">
                        <c:v>1.4975904992435693E-2</c:v>
                      </c:pt>
                      <c:pt idx="44" formatCode="General">
                        <c:v>1.6119526475037824E-2</c:v>
                      </c:pt>
                      <c:pt idx="45" formatCode="General">
                        <c:v>1.5795169440242059E-2</c:v>
                      </c:pt>
                      <c:pt idx="46" formatCode="General">
                        <c:v>1.5470812405446293E-2</c:v>
                      </c:pt>
                      <c:pt idx="47" formatCode="General">
                        <c:v>1.5146455370650529E-2</c:v>
                      </c:pt>
                      <c:pt idx="48" formatCode="General">
                        <c:v>1.4822098335854765E-2</c:v>
                      </c:pt>
                      <c:pt idx="49" formatCode="General">
                        <c:v>1.4497741301059E-2</c:v>
                      </c:pt>
                      <c:pt idx="50" formatCode="General">
                        <c:v>1.4173384266263238E-2</c:v>
                      </c:pt>
                      <c:pt idx="51" formatCode="General">
                        <c:v>1.3357618181818178E-2</c:v>
                      </c:pt>
                      <c:pt idx="52" formatCode="General">
                        <c:v>1.2423472727272723E-2</c:v>
                      </c:pt>
                      <c:pt idx="53" formatCode="General">
                        <c:v>1.1438018181818178E-2</c:v>
                      </c:pt>
                      <c:pt idx="54" formatCode="General">
                        <c:v>1.0451964848484844E-2</c:v>
                      </c:pt>
                      <c:pt idx="55" formatCode="General">
                        <c:v>9.4653587878787832E-3</c:v>
                      </c:pt>
                      <c:pt idx="56" formatCode="General">
                        <c:v>8.5295818181818136E-3</c:v>
                      </c:pt>
                      <c:pt idx="57" formatCode="General">
                        <c:v>7.607931325301201E-3</c:v>
                      </c:pt>
                      <c:pt idx="58" formatCode="General">
                        <c:v>6.7094373493975876E-3</c:v>
                      </c:pt>
                      <c:pt idx="59" formatCode="General">
                        <c:v>5.1745848484848435E-3</c:v>
                      </c:pt>
                      <c:pt idx="60" formatCode="General">
                        <c:v>3.1397363636363595E-3</c:v>
                      </c:pt>
                      <c:pt idx="61" formatCode="General">
                        <c:v>2.0919345454545432E-3</c:v>
                      </c:pt>
                      <c:pt idx="62" formatCode="General">
                        <c:v>1.2744740606060595E-3</c:v>
                      </c:pt>
                      <c:pt idx="63" formatCode="General">
                        <c:v>8.3475890909090803E-4</c:v>
                      </c:pt>
                      <c:pt idx="64" formatCode="General">
                        <c:v>6.0579932526475021E-4</c:v>
                      </c:pt>
                      <c:pt idx="65" formatCode="General">
                        <c:v>5.1158510438729184E-4</c:v>
                      </c:pt>
                      <c:pt idx="66" formatCode="General">
                        <c:v>4.1737088350983346E-4</c:v>
                      </c:pt>
                      <c:pt idx="67" formatCode="General">
                        <c:v>3.2315666263237508E-4</c:v>
                      </c:pt>
                      <c:pt idx="68" formatCode="General">
                        <c:v>2.2894244175491671E-4</c:v>
                      </c:pt>
                      <c:pt idx="69" formatCode="General">
                        <c:v>1.3472822087745833E-4</c:v>
                      </c:pt>
                      <c:pt idx="70" formatCode="General">
                        <c:v>4.0513999999999958E-5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12-420D-849A-A4A865892EA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12-420D-849A-A4A865892EA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2.0811104242424264E-25</c:v>
                      </c:pt>
                      <c:pt idx="1">
                        <c:v>2.6147000606060674E-24</c:v>
                      </c:pt>
                      <c:pt idx="2">
                        <c:v>8.6346212727272787E-24</c:v>
                      </c:pt>
                      <c:pt idx="3">
                        <c:v>1.5154818181818205E-22</c:v>
                      </c:pt>
                      <c:pt idx="4" formatCode="General">
                        <c:v>1.2149700988351153E-18</c:v>
                      </c:pt>
                      <c:pt idx="5" formatCode="General">
                        <c:v>1.6397976209273838E-17</c:v>
                      </c:pt>
                      <c:pt idx="6" formatCode="General">
                        <c:v>3.1580982319712566E-17</c:v>
                      </c:pt>
                      <c:pt idx="7" formatCode="General">
                        <c:v>4.676398843015129E-17</c:v>
                      </c:pt>
                      <c:pt idx="8" formatCode="General">
                        <c:v>6.1946994540590014E-17</c:v>
                      </c:pt>
                      <c:pt idx="9" formatCode="General">
                        <c:v>7.7130000651028745E-17</c:v>
                      </c:pt>
                      <c:pt idx="10" formatCode="General">
                        <c:v>9.2313006761467463E-17</c:v>
                      </c:pt>
                      <c:pt idx="11" formatCode="General">
                        <c:v>4.7751078787878695E-16</c:v>
                      </c:pt>
                      <c:pt idx="12" formatCode="General">
                        <c:v>1.2799592727272717E-15</c:v>
                      </c:pt>
                      <c:pt idx="13" formatCode="General">
                        <c:v>8.8653284848484727E-15</c:v>
                      </c:pt>
                      <c:pt idx="14" formatCode="General">
                        <c:v>3.0732608433734876E-14</c:v>
                      </c:pt>
                      <c:pt idx="15" formatCode="General">
                        <c:v>1.1505971686747002E-13</c:v>
                      </c:pt>
                      <c:pt idx="16" formatCode="General">
                        <c:v>5.0541163636363802E-13</c:v>
                      </c:pt>
                      <c:pt idx="17" formatCode="General">
                        <c:v>1.1897873939393955E-12</c:v>
                      </c:pt>
                      <c:pt idx="18" formatCode="General">
                        <c:v>5.5473430303030418E-12</c:v>
                      </c:pt>
                      <c:pt idx="19" formatCode="General">
                        <c:v>1.6356792727272803E-11</c:v>
                      </c:pt>
                      <c:pt idx="20" formatCode="General">
                        <c:v>4.9188186666666738E-11</c:v>
                      </c:pt>
                      <c:pt idx="21" formatCode="General">
                        <c:v>1.7538149090909136E-10</c:v>
                      </c:pt>
                      <c:pt idx="22" formatCode="General">
                        <c:v>3.7493058181818229E-10</c:v>
                      </c:pt>
                      <c:pt idx="23" formatCode="General">
                        <c:v>1.3978972891566278E-9</c:v>
                      </c:pt>
                      <c:pt idx="24" formatCode="General">
                        <c:v>3.6445030303030302E-9</c:v>
                      </c:pt>
                      <c:pt idx="25" formatCode="General">
                        <c:v>9.3177151515151522E-9</c:v>
                      </c:pt>
                      <c:pt idx="26" formatCode="General">
                        <c:v>2.757318181818182E-8</c:v>
                      </c:pt>
                      <c:pt idx="27" formatCode="General">
                        <c:v>5.4216818181818193E-8</c:v>
                      </c:pt>
                      <c:pt idx="28" formatCode="General">
                        <c:v>1.6537533333333333E-7</c:v>
                      </c:pt>
                      <c:pt idx="29" formatCode="General">
                        <c:v>3.8595454545454542E-7</c:v>
                      </c:pt>
                      <c:pt idx="30" formatCode="General">
                        <c:v>8.5146969696969687E-7</c:v>
                      </c:pt>
                      <c:pt idx="31" formatCode="General">
                        <c:v>2.1428939759036127E-6</c:v>
                      </c:pt>
                      <c:pt idx="32" formatCode="General">
                        <c:v>3.8790385542168628E-6</c:v>
                      </c:pt>
                      <c:pt idx="33" formatCode="General">
                        <c:v>9.9561599999999867E-6</c:v>
                      </c:pt>
                      <c:pt idx="34" formatCode="General">
                        <c:v>2.0796618181818135E-5</c:v>
                      </c:pt>
                      <c:pt idx="35" formatCode="General">
                        <c:v>4.0798436363636317E-5</c:v>
                      </c:pt>
                      <c:pt idx="36" formatCode="General">
                        <c:v>8.8428690909090777E-5</c:v>
                      </c:pt>
                      <c:pt idx="37" formatCode="General">
                        <c:v>1.638638275340383E-4</c:v>
                      </c:pt>
                      <c:pt idx="38" formatCode="General">
                        <c:v>6.0870951588502147E-4</c:v>
                      </c:pt>
                      <c:pt idx="39" formatCode="General">
                        <c:v>1.0535552042360047E-3</c:v>
                      </c:pt>
                      <c:pt idx="40" formatCode="General">
                        <c:v>1.4984008925869878E-3</c:v>
                      </c:pt>
                      <c:pt idx="41" formatCode="General">
                        <c:v>1.9432465809379709E-3</c:v>
                      </c:pt>
                      <c:pt idx="42" formatCode="General">
                        <c:v>2.3880922692889541E-3</c:v>
                      </c:pt>
                      <c:pt idx="43" formatCode="General">
                        <c:v>2.8329379576399372E-3</c:v>
                      </c:pt>
                      <c:pt idx="44" formatCode="General">
                        <c:v>3.6467685325264699E-3</c:v>
                      </c:pt>
                      <c:pt idx="45" formatCode="General">
                        <c:v>4.9497186081694363E-3</c:v>
                      </c:pt>
                      <c:pt idx="46" formatCode="General">
                        <c:v>6.2526686838124037E-3</c:v>
                      </c:pt>
                      <c:pt idx="47" formatCode="General">
                        <c:v>7.5556187594553702E-3</c:v>
                      </c:pt>
                      <c:pt idx="48" formatCode="General">
                        <c:v>8.8585688350983367E-3</c:v>
                      </c:pt>
                      <c:pt idx="49" formatCode="General">
                        <c:v>1.0161518910741303E-2</c:v>
                      </c:pt>
                      <c:pt idx="50" formatCode="General">
                        <c:v>1.1464468986384271E-2</c:v>
                      </c:pt>
                      <c:pt idx="51" formatCode="General">
                        <c:v>1.323612727272728E-2</c:v>
                      </c:pt>
                      <c:pt idx="52" formatCode="General">
                        <c:v>1.5128909090909099E-2</c:v>
                      </c:pt>
                      <c:pt idx="53" formatCode="General">
                        <c:v>1.7110727272727284E-2</c:v>
                      </c:pt>
                      <c:pt idx="54" formatCode="General">
                        <c:v>1.9089393939393951E-2</c:v>
                      </c:pt>
                      <c:pt idx="55" formatCode="General">
                        <c:v>2.1065151515151526E-2</c:v>
                      </c:pt>
                      <c:pt idx="56" formatCode="General">
                        <c:v>2.2938090909090918E-2</c:v>
                      </c:pt>
                      <c:pt idx="57" formatCode="General">
                        <c:v>2.4709445783132535E-2</c:v>
                      </c:pt>
                      <c:pt idx="58" formatCode="General">
                        <c:v>2.6175108433734943E-2</c:v>
                      </c:pt>
                      <c:pt idx="59" formatCode="General">
                        <c:v>2.5078569696969689E-2</c:v>
                      </c:pt>
                      <c:pt idx="60" formatCode="General">
                        <c:v>2.1968872727272722E-2</c:v>
                      </c:pt>
                      <c:pt idx="61" formatCode="General">
                        <c:v>1.9237515151515144E-2</c:v>
                      </c:pt>
                      <c:pt idx="62" formatCode="General">
                        <c:v>1.6663175757575751E-2</c:v>
                      </c:pt>
                      <c:pt idx="63" formatCode="General">
                        <c:v>1.4429236363636359E-2</c:v>
                      </c:pt>
                      <c:pt idx="64" formatCode="General">
                        <c:v>1.2731214674735248E-2</c:v>
                      </c:pt>
                      <c:pt idx="65" formatCode="General">
                        <c:v>1.1375828895612707E-2</c:v>
                      </c:pt>
                      <c:pt idx="66" formatCode="General">
                        <c:v>1.0020443116490165E-2</c:v>
                      </c:pt>
                      <c:pt idx="67" formatCode="General">
                        <c:v>8.6650573373676237E-3</c:v>
                      </c:pt>
                      <c:pt idx="68" formatCode="General">
                        <c:v>7.3096715582450823E-3</c:v>
                      </c:pt>
                      <c:pt idx="69" formatCode="General">
                        <c:v>5.9542857791225418E-3</c:v>
                      </c:pt>
                      <c:pt idx="70" formatCode="General">
                        <c:v>4.5988999999999995E-3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12-420D-849A-A4A865892EA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12-420D-849A-A4A865892EA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12-420D-849A-A4A865892EA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12-420D-849A-A4A865892EA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12-420D-849A-A4A865892EA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12-420D-849A-A4A865892EA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12-420D-849A-A4A865892EA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12-420D-849A-A4A865892EA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12-420D-849A-A4A865892EA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8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EVALUATION!$B$109:$BT$109</c:f>
              <c:numCache>
                <c:formatCode>0</c:formatCode>
                <c:ptCount val="71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 formatCode="General">
                  <c:v>0.02</c:v>
                </c:pt>
                <c:pt idx="5" formatCode="General">
                  <c:v>0.02</c:v>
                </c:pt>
                <c:pt idx="6" formatCode="General">
                  <c:v>0.02</c:v>
                </c:pt>
                <c:pt idx="7" formatCode="General">
                  <c:v>0.02</c:v>
                </c:pt>
                <c:pt idx="8" formatCode="General">
                  <c:v>0.02</c:v>
                </c:pt>
                <c:pt idx="9" formatCode="General">
                  <c:v>0.02</c:v>
                </c:pt>
                <c:pt idx="10" formatCode="General">
                  <c:v>0.02</c:v>
                </c:pt>
                <c:pt idx="11" formatCode="General">
                  <c:v>0.02</c:v>
                </c:pt>
                <c:pt idx="12" formatCode="General">
                  <c:v>0.02</c:v>
                </c:pt>
                <c:pt idx="13" formatCode="General">
                  <c:v>0.02</c:v>
                </c:pt>
                <c:pt idx="14" formatCode="General">
                  <c:v>0.02</c:v>
                </c:pt>
                <c:pt idx="15" formatCode="General">
                  <c:v>0.02</c:v>
                </c:pt>
                <c:pt idx="16" formatCode="General">
                  <c:v>0.02</c:v>
                </c:pt>
                <c:pt idx="17" formatCode="General">
                  <c:v>0.02</c:v>
                </c:pt>
                <c:pt idx="18" formatCode="General">
                  <c:v>0.02</c:v>
                </c:pt>
                <c:pt idx="19" formatCode="General">
                  <c:v>0.02</c:v>
                </c:pt>
                <c:pt idx="20" formatCode="General">
                  <c:v>0.02</c:v>
                </c:pt>
                <c:pt idx="21" formatCode="General">
                  <c:v>0.02</c:v>
                </c:pt>
                <c:pt idx="22" formatCode="General">
                  <c:v>0.02</c:v>
                </c:pt>
                <c:pt idx="23" formatCode="General">
                  <c:v>0.02</c:v>
                </c:pt>
                <c:pt idx="24" formatCode="General">
                  <c:v>0.02</c:v>
                </c:pt>
                <c:pt idx="25" formatCode="General">
                  <c:v>0.02</c:v>
                </c:pt>
                <c:pt idx="26" formatCode="General">
                  <c:v>0.02</c:v>
                </c:pt>
                <c:pt idx="27" formatCode="General">
                  <c:v>0.02</c:v>
                </c:pt>
                <c:pt idx="28" formatCode="General">
                  <c:v>0.02</c:v>
                </c:pt>
                <c:pt idx="29" formatCode="General">
                  <c:v>0.02</c:v>
                </c:pt>
                <c:pt idx="30" formatCode="General">
                  <c:v>0.02</c:v>
                </c:pt>
                <c:pt idx="31" formatCode="General">
                  <c:v>0.02</c:v>
                </c:pt>
                <c:pt idx="32" formatCode="General">
                  <c:v>0.02</c:v>
                </c:pt>
                <c:pt idx="33" formatCode="General">
                  <c:v>0.02</c:v>
                </c:pt>
                <c:pt idx="34" formatCode="General">
                  <c:v>0.02</c:v>
                </c:pt>
                <c:pt idx="35" formatCode="General">
                  <c:v>0.02</c:v>
                </c:pt>
                <c:pt idx="36" formatCode="General">
                  <c:v>0.02</c:v>
                </c:pt>
                <c:pt idx="37" formatCode="General">
                  <c:v>0.02</c:v>
                </c:pt>
                <c:pt idx="38" formatCode="General">
                  <c:v>0.02</c:v>
                </c:pt>
                <c:pt idx="39" formatCode="General">
                  <c:v>0.02</c:v>
                </c:pt>
                <c:pt idx="40" formatCode="General">
                  <c:v>0.02</c:v>
                </c:pt>
                <c:pt idx="41" formatCode="General">
                  <c:v>0.02</c:v>
                </c:pt>
                <c:pt idx="42" formatCode="General">
                  <c:v>0.02</c:v>
                </c:pt>
                <c:pt idx="43" formatCode="General">
                  <c:v>0.02</c:v>
                </c:pt>
                <c:pt idx="44" formatCode="General">
                  <c:v>0.02</c:v>
                </c:pt>
                <c:pt idx="45" formatCode="General">
                  <c:v>0.02</c:v>
                </c:pt>
                <c:pt idx="46" formatCode="General">
                  <c:v>1.4212210909090943E-2</c:v>
                </c:pt>
                <c:pt idx="47" formatCode="General">
                  <c:v>7.3699169696969831E-3</c:v>
                </c:pt>
                <c:pt idx="48" formatCode="General">
                  <c:v>4.3954321212121353E-3</c:v>
                </c:pt>
                <c:pt idx="49" formatCode="General">
                  <c:v>2.2444002409638579E-3</c:v>
                </c:pt>
                <c:pt idx="50" formatCode="General">
                  <c:v>9.8544240963854986E-4</c:v>
                </c:pt>
                <c:pt idx="51" formatCode="General">
                  <c:v>4.4134587878787699E-4</c:v>
                </c:pt>
                <c:pt idx="52" formatCode="General">
                  <c:v>1.0969016363636336E-4</c:v>
                </c:pt>
                <c:pt idx="53" formatCode="General">
                  <c:v>4.9102890909090633E-5</c:v>
                </c:pt>
                <c:pt idx="54" formatCode="General">
                  <c:v>1.4816052121212076E-5</c:v>
                </c:pt>
                <c:pt idx="55" formatCode="General">
                  <c:v>4.806536969696922E-6</c:v>
                </c:pt>
                <c:pt idx="56" formatCode="General">
                  <c:v>1.9953754545454465E-6</c:v>
                </c:pt>
                <c:pt idx="57" formatCode="General">
                  <c:v>6.2032924750378176E-7</c:v>
                </c:pt>
                <c:pt idx="58" formatCode="General">
                  <c:v>5.2341673615733698E-7</c:v>
                </c:pt>
                <c:pt idx="59" formatCode="General">
                  <c:v>4.2650422481089226E-7</c:v>
                </c:pt>
                <c:pt idx="60" formatCode="General">
                  <c:v>3.2959171346444754E-7</c:v>
                </c:pt>
                <c:pt idx="61" formatCode="General">
                  <c:v>2.3267920211800276E-7</c:v>
                </c:pt>
                <c:pt idx="62" formatCode="General">
                  <c:v>1.3576669077155798E-7</c:v>
                </c:pt>
                <c:pt idx="63" formatCode="General">
                  <c:v>3.8854179425113315E-8</c:v>
                </c:pt>
                <c:pt idx="64" formatCode="General">
                  <c:v>9.6089549531013581E-10</c:v>
                </c:pt>
                <c:pt idx="65" formatCode="General">
                  <c:v>8.0121597942511312E-10</c:v>
                </c:pt>
                <c:pt idx="66" formatCode="General">
                  <c:v>6.4153646354009044E-10</c:v>
                </c:pt>
                <c:pt idx="67" formatCode="General">
                  <c:v>4.8185694765506786E-10</c:v>
                </c:pt>
                <c:pt idx="68" formatCode="General">
                  <c:v>3.2217743177004517E-10</c:v>
                </c:pt>
                <c:pt idx="69" formatCode="General">
                  <c:v>1.6249791588502259E-10</c:v>
                </c:pt>
                <c:pt idx="70" formatCode="General">
                  <c:v>2.8183999999999E-12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EFE-44AB-BC11-EAB99CDED101}"/>
            </c:ext>
          </c:extLst>
        </c:ser>
        <c:ser>
          <c:idx val="40"/>
          <c:order val="41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EVALUATION!$B$142:$BT$142</c:f>
              <c:numCache>
                <c:formatCode>0</c:formatCode>
                <c:ptCount val="71"/>
                <c:pt idx="0">
                  <c:v>0.15722648484848487</c:v>
                </c:pt>
                <c:pt idx="1">
                  <c:v>0.16874927272727275</c:v>
                </c:pt>
                <c:pt idx="2">
                  <c:v>0.18469472727272729</c:v>
                </c:pt>
                <c:pt idx="3">
                  <c:v>0.20328145454545457</c:v>
                </c:pt>
                <c:pt idx="4" formatCode="General">
                  <c:v>0.22188405446293497</c:v>
                </c:pt>
                <c:pt idx="5" formatCode="General">
                  <c:v>0.2294347352496218</c:v>
                </c:pt>
                <c:pt idx="6" formatCode="General">
                  <c:v>0.23698541603630863</c:v>
                </c:pt>
                <c:pt idx="7" formatCode="General">
                  <c:v>0.24453609682299546</c:v>
                </c:pt>
                <c:pt idx="8" formatCode="General">
                  <c:v>0.25208677760968229</c:v>
                </c:pt>
                <c:pt idx="9" formatCode="General">
                  <c:v>0.25963745839636909</c:v>
                </c:pt>
                <c:pt idx="10" formatCode="General">
                  <c:v>0.26718813918305595</c:v>
                </c:pt>
                <c:pt idx="11" formatCode="General">
                  <c:v>0.26933848484848483</c:v>
                </c:pt>
                <c:pt idx="12" formatCode="General">
                  <c:v>0.26539909090909092</c:v>
                </c:pt>
                <c:pt idx="13" formatCode="General">
                  <c:v>0.25658442424242422</c:v>
                </c:pt>
                <c:pt idx="14" formatCode="General">
                  <c:v>0.24539885542168674</c:v>
                </c:pt>
                <c:pt idx="15" formatCode="General">
                  <c:v>0.22786271084337345</c:v>
                </c:pt>
                <c:pt idx="16" formatCode="General">
                  <c:v>0.20638090909090903</c:v>
                </c:pt>
                <c:pt idx="17" formatCode="General">
                  <c:v>0.18110818181818178</c:v>
                </c:pt>
                <c:pt idx="18" formatCode="General">
                  <c:v>0.15233812121212115</c:v>
                </c:pt>
                <c:pt idx="19" formatCode="General">
                  <c:v>0.12341732727272721</c:v>
                </c:pt>
                <c:pt idx="20" formatCode="General">
                  <c:v>9.6071266666666599E-2</c:v>
                </c:pt>
                <c:pt idx="21" formatCode="General">
                  <c:v>7.2474151515151464E-2</c:v>
                </c:pt>
                <c:pt idx="22" formatCode="General">
                  <c:v>5.1822636363636321E-2</c:v>
                </c:pt>
                <c:pt idx="23" formatCode="General">
                  <c:v>3.7995307228915649E-2</c:v>
                </c:pt>
                <c:pt idx="24" formatCode="General">
                  <c:v>2.6216606060606062E-2</c:v>
                </c:pt>
                <c:pt idx="25" formatCode="General">
                  <c:v>1.8559030303030303E-2</c:v>
                </c:pt>
                <c:pt idx="26" formatCode="General">
                  <c:v>1.2963854545454545E-2</c:v>
                </c:pt>
                <c:pt idx="27" formatCode="General">
                  <c:v>8.7436121212121215E-3</c:v>
                </c:pt>
                <c:pt idx="28" formatCode="General">
                  <c:v>6.3550848484848488E-3</c:v>
                </c:pt>
                <c:pt idx="29" formatCode="General">
                  <c:v>4.3757272727272725E-3</c:v>
                </c:pt>
                <c:pt idx="30" formatCode="General">
                  <c:v>3.126151515151515E-3</c:v>
                </c:pt>
                <c:pt idx="31" formatCode="General">
                  <c:v>2.2430018072289162E-3</c:v>
                </c:pt>
                <c:pt idx="32" formatCode="General">
                  <c:v>1.5571584337349411E-3</c:v>
                </c:pt>
                <c:pt idx="33" formatCode="General">
                  <c:v>1.1666720000000008E-3</c:v>
                </c:pt>
                <c:pt idx="34" formatCode="General">
                  <c:v>8.3559454545454595E-4</c:v>
                </c:pt>
                <c:pt idx="35" formatCode="General">
                  <c:v>6.1404909090909143E-4</c:v>
                </c:pt>
                <c:pt idx="36" formatCode="General">
                  <c:v>4.5643527272727299E-4</c:v>
                </c:pt>
                <c:pt idx="37" formatCode="General">
                  <c:v>3.3101901361573386E-4</c:v>
                </c:pt>
                <c:pt idx="38" formatCode="General">
                  <c:v>2.8899435400907725E-4</c:v>
                </c:pt>
                <c:pt idx="39" formatCode="General">
                  <c:v>2.4696969440242075E-4</c:v>
                </c:pt>
                <c:pt idx="40" formatCode="General">
                  <c:v>2.0494503479576417E-4</c:v>
                </c:pt>
                <c:pt idx="41" formatCode="General">
                  <c:v>1.6292037518910758E-4</c:v>
                </c:pt>
                <c:pt idx="42" formatCode="General">
                  <c:v>1.2089571558245103E-4</c:v>
                </c:pt>
                <c:pt idx="43" formatCode="General">
                  <c:v>7.8871055975794472E-5</c:v>
                </c:pt>
                <c:pt idx="44" formatCode="General">
                  <c:v>5.2056036308623328E-5</c:v>
                </c:pt>
                <c:pt idx="45" formatCode="General">
                  <c:v>4.540263237518913E-5</c:v>
                </c:pt>
                <c:pt idx="46" formatCode="General">
                  <c:v>3.8749228441754924E-5</c:v>
                </c:pt>
                <c:pt idx="47" formatCode="General">
                  <c:v>3.2095824508320725E-5</c:v>
                </c:pt>
                <c:pt idx="48" formatCode="General">
                  <c:v>2.5442420574886523E-5</c:v>
                </c:pt>
                <c:pt idx="49" formatCode="General">
                  <c:v>1.8789016641452321E-5</c:v>
                </c:pt>
                <c:pt idx="50" formatCode="General">
                  <c:v>1.2135612708018123E-5</c:v>
                </c:pt>
                <c:pt idx="51" formatCode="General">
                  <c:v>9.2316545454545363E-6</c:v>
                </c:pt>
                <c:pt idx="52" formatCode="General">
                  <c:v>7.2669739393939326E-6</c:v>
                </c:pt>
                <c:pt idx="53" formatCode="General">
                  <c:v>5.8697618181818117E-6</c:v>
                </c:pt>
                <c:pt idx="54" formatCode="General">
                  <c:v>4.706329090909087E-6</c:v>
                </c:pt>
                <c:pt idx="55" formatCode="General">
                  <c:v>3.7586927272727231E-6</c:v>
                </c:pt>
                <c:pt idx="56" formatCode="General">
                  <c:v>3.0708963636363608E-6</c:v>
                </c:pt>
                <c:pt idx="57" formatCode="General">
                  <c:v>2.4667602409638536E-6</c:v>
                </c:pt>
                <c:pt idx="58" formatCode="General">
                  <c:v>2.0215795180722878E-6</c:v>
                </c:pt>
                <c:pt idx="59" formatCode="General">
                  <c:v>1.6560709090909084E-6</c:v>
                </c:pt>
                <c:pt idx="60" formatCode="General">
                  <c:v>1.3531618181818175E-6</c:v>
                </c:pt>
                <c:pt idx="61" formatCode="General">
                  <c:v>1.1274427878787875E-6</c:v>
                </c:pt>
                <c:pt idx="62" formatCode="General">
                  <c:v>9.2525103030302983E-7</c:v>
                </c:pt>
                <c:pt idx="63" formatCode="General">
                  <c:v>7.6829345454545416E-7</c:v>
                </c:pt>
                <c:pt idx="64" formatCode="General">
                  <c:v>6.6157455370650506E-7</c:v>
                </c:pt>
                <c:pt idx="65" formatCode="General">
                  <c:v>5.8697546142208761E-7</c:v>
                </c:pt>
                <c:pt idx="66" formatCode="General">
                  <c:v>5.1237636913767006E-7</c:v>
                </c:pt>
                <c:pt idx="67" formatCode="General">
                  <c:v>4.3777727685325251E-7</c:v>
                </c:pt>
                <c:pt idx="68" formatCode="General">
                  <c:v>3.6317818456883496E-7</c:v>
                </c:pt>
                <c:pt idx="69" formatCode="General">
                  <c:v>2.8857909228441746E-7</c:v>
                </c:pt>
                <c:pt idx="70" formatCode="General">
                  <c:v>2.1397999999999996E-7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0EFE-44AB-BC11-EAB99CDED10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FE-44AB-BC11-EAB99CDED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2.5323863636363638E-19</c:v>
                      </c:pt>
                      <c:pt idx="25" formatCode="General">
                        <c:v>1.2661931818181818E-18</c:v>
                      </c:pt>
                      <c:pt idx="26" formatCode="General">
                        <c:v>2.2791477272727273E-18</c:v>
                      </c:pt>
                      <c:pt idx="27" formatCode="General">
                        <c:v>3.2921022727272726E-18</c:v>
                      </c:pt>
                      <c:pt idx="28" formatCode="General">
                        <c:v>4.3050568181818183E-18</c:v>
                      </c:pt>
                      <c:pt idx="29" formatCode="General">
                        <c:v>5.3180113636363633E-18</c:v>
                      </c:pt>
                      <c:pt idx="30" formatCode="General">
                        <c:v>6.330965909090909E-18</c:v>
                      </c:pt>
                      <c:pt idx="31" formatCode="General">
                        <c:v>1.7332805685325256E-14</c:v>
                      </c:pt>
                      <c:pt idx="32" formatCode="General">
                        <c:v>4.398837520121027E-14</c:v>
                      </c:pt>
                      <c:pt idx="33" formatCode="General">
                        <c:v>7.0643944717095287E-14</c:v>
                      </c:pt>
                      <c:pt idx="34" formatCode="General">
                        <c:v>9.7299514232980298E-14</c:v>
                      </c:pt>
                      <c:pt idx="35" formatCode="General">
                        <c:v>1.2395508374886532E-13</c:v>
                      </c:pt>
                      <c:pt idx="36" formatCode="General">
                        <c:v>1.5061065326475033E-13</c:v>
                      </c:pt>
                      <c:pt idx="37" formatCode="General">
                        <c:v>1.7548919818456886E-13</c:v>
                      </c:pt>
                      <c:pt idx="38" formatCode="General">
                        <c:v>1.5771915279878976E-13</c:v>
                      </c:pt>
                      <c:pt idx="39" formatCode="General">
                        <c:v>1.3994910741301065E-13</c:v>
                      </c:pt>
                      <c:pt idx="40" formatCode="General">
                        <c:v>1.2217906202723152E-13</c:v>
                      </c:pt>
                      <c:pt idx="41" formatCode="General">
                        <c:v>1.0440901664145241E-13</c:v>
                      </c:pt>
                      <c:pt idx="42" formatCode="General">
                        <c:v>8.663897125567329E-14</c:v>
                      </c:pt>
                      <c:pt idx="43" formatCode="General">
                        <c:v>6.8868925869894173E-14</c:v>
                      </c:pt>
                      <c:pt idx="44" formatCode="General">
                        <c:v>4.3432001290547433E-14</c:v>
                      </c:pt>
                      <c:pt idx="45" formatCode="General">
                        <c:v>7.8320042918201611E-15</c:v>
                      </c:pt>
                      <c:pt idx="46" formatCode="General">
                        <c:v>2.6111074413774684E-21</c:v>
                      </c:pt>
                      <c:pt idx="47" formatCode="General">
                        <c:v>3.2865163636363735E-28</c:v>
                      </c:pt>
                      <c:pt idx="48" formatCode="General">
                        <c:v>1.1243345454545551E-28</c:v>
                      </c:pt>
                      <c:pt idx="49" formatCode="General">
                        <c:v>1.4933493975903557E-20</c:v>
                      </c:pt>
                      <c:pt idx="50" formatCode="General">
                        <c:v>4.6044939759036258E-20</c:v>
                      </c:pt>
                      <c:pt idx="51" formatCode="General">
                        <c:v>1.185322684032431E-13</c:v>
                      </c:pt>
                      <c:pt idx="52" formatCode="General">
                        <c:v>2.1393810335757511E-13</c:v>
                      </c:pt>
                      <c:pt idx="53" formatCode="General">
                        <c:v>6.9397534872726628E-14</c:v>
                      </c:pt>
                      <c:pt idx="54" formatCode="General">
                        <c:v>1.2396750642424195E-17</c:v>
                      </c:pt>
                      <c:pt idx="55" formatCode="General">
                        <c:v>1.5020403393938913E-18</c:v>
                      </c:pt>
                      <c:pt idx="56" formatCode="General">
                        <c:v>7.6232345454545409E-20</c:v>
                      </c:pt>
                      <c:pt idx="57" formatCode="General">
                        <c:v>7.0073717464600512E-16</c:v>
                      </c:pt>
                      <c:pt idx="58" formatCode="General">
                        <c:v>3.8855983366732349E-15</c:v>
                      </c:pt>
                      <c:pt idx="59" formatCode="General">
                        <c:v>7.0704594987004655E-15</c:v>
                      </c:pt>
                      <c:pt idx="60" formatCode="General">
                        <c:v>1.0255320660727694E-14</c:v>
                      </c:pt>
                      <c:pt idx="61" formatCode="General">
                        <c:v>1.3440181822754924E-14</c:v>
                      </c:pt>
                      <c:pt idx="62" formatCode="General">
                        <c:v>1.6625042984782154E-14</c:v>
                      </c:pt>
                      <c:pt idx="63" formatCode="General">
                        <c:v>1.9809904146809385E-14</c:v>
                      </c:pt>
                      <c:pt idx="64" formatCode="General">
                        <c:v>4.2459202904689998E-10</c:v>
                      </c:pt>
                      <c:pt idx="65" formatCode="General">
                        <c:v>1.1206100242057498E-9</c:v>
                      </c:pt>
                      <c:pt idx="66" formatCode="General">
                        <c:v>1.8166280193645998E-9</c:v>
                      </c:pt>
                      <c:pt idx="67" formatCode="General">
                        <c:v>2.5126460145234498E-9</c:v>
                      </c:pt>
                      <c:pt idx="68" formatCode="General">
                        <c:v>3.2086640096822996E-9</c:v>
                      </c:pt>
                      <c:pt idx="69" formatCode="General">
                        <c:v>3.9046820048411494E-9</c:v>
                      </c:pt>
                      <c:pt idx="70" formatCode="General">
                        <c:v>4.6006999999999996E-9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EFE-44AB-BC11-EAB99CDED10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FE-44AB-BC11-EAB99CDED10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EFE-44AB-BC11-EAB99CDED10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0.14678787878787891</c:v>
                      </c:pt>
                      <c:pt idx="5" formatCode="General">
                        <c:v>0.23163636363636375</c:v>
                      </c:pt>
                      <c:pt idx="6" formatCode="General">
                        <c:v>0.28000000000000003</c:v>
                      </c:pt>
                      <c:pt idx="7" formatCode="General">
                        <c:v>0.28000000000000003</c:v>
                      </c:pt>
                      <c:pt idx="8" formatCode="General">
                        <c:v>0.28000000000000003</c:v>
                      </c:pt>
                      <c:pt idx="9" formatCode="General">
                        <c:v>0.28000000000000003</c:v>
                      </c:pt>
                      <c:pt idx="10" formatCode="General">
                        <c:v>0.28000000000000003</c:v>
                      </c:pt>
                      <c:pt idx="11" formatCode="General">
                        <c:v>0.28000000000000003</c:v>
                      </c:pt>
                      <c:pt idx="12" formatCode="General">
                        <c:v>0.28000000000000003</c:v>
                      </c:pt>
                      <c:pt idx="13" formatCode="General">
                        <c:v>0.28000000000000003</c:v>
                      </c:pt>
                      <c:pt idx="14" formatCode="General">
                        <c:v>0.28000000000000003</c:v>
                      </c:pt>
                      <c:pt idx="15" formatCode="General">
                        <c:v>0.28000000000000003</c:v>
                      </c:pt>
                      <c:pt idx="16" formatCode="General">
                        <c:v>0.28000000000000003</c:v>
                      </c:pt>
                      <c:pt idx="17" formatCode="General">
                        <c:v>0.28000000000000003</c:v>
                      </c:pt>
                      <c:pt idx="18" formatCode="General">
                        <c:v>0.28000000000000003</c:v>
                      </c:pt>
                      <c:pt idx="19" formatCode="General">
                        <c:v>0.28000000000000003</c:v>
                      </c:pt>
                      <c:pt idx="20" formatCode="General">
                        <c:v>0.28000000000000003</c:v>
                      </c:pt>
                      <c:pt idx="21" formatCode="General">
                        <c:v>0.18496976598545417</c:v>
                      </c:pt>
                      <c:pt idx="22" formatCode="General">
                        <c:v>1.5272919530908702E-2</c:v>
                      </c:pt>
                      <c:pt idx="23" formatCode="General">
                        <c:v>9.2937123493975774E-8</c:v>
                      </c:pt>
                      <c:pt idx="24" formatCode="General">
                        <c:v>1.8641208060606062E-9</c:v>
                      </c:pt>
                      <c:pt idx="25" formatCode="General">
                        <c:v>1.5706040303030303E-9</c:v>
                      </c:pt>
                      <c:pt idx="26" formatCode="General">
                        <c:v>1.2770872545454544E-9</c:v>
                      </c:pt>
                      <c:pt idx="27" formatCode="General">
                        <c:v>9.835704787878787E-10</c:v>
                      </c:pt>
                      <c:pt idx="28" formatCode="General">
                        <c:v>6.9005370303030281E-10</c:v>
                      </c:pt>
                      <c:pt idx="29" formatCode="General">
                        <c:v>3.9653692727272713E-10</c:v>
                      </c:pt>
                      <c:pt idx="30" formatCode="General">
                        <c:v>1.0302015151515124E-10</c:v>
                      </c:pt>
                      <c:pt idx="31" formatCode="General">
                        <c:v>2.6083340451138354E-13</c:v>
                      </c:pt>
                      <c:pt idx="32" formatCode="General">
                        <c:v>2.1706941145197357E-13</c:v>
                      </c:pt>
                      <c:pt idx="33" formatCode="General">
                        <c:v>1.7330541839256359E-13</c:v>
                      </c:pt>
                      <c:pt idx="34" formatCode="General">
                        <c:v>1.2954142533315362E-13</c:v>
                      </c:pt>
                      <c:pt idx="35" formatCode="General">
                        <c:v>8.5777432273743667E-14</c:v>
                      </c:pt>
                      <c:pt idx="36" formatCode="General">
                        <c:v>4.2013439214333693E-14</c:v>
                      </c:pt>
                      <c:pt idx="37" formatCode="General">
                        <c:v>5.8417338880484137E-21</c:v>
                      </c:pt>
                      <c:pt idx="38" formatCode="General">
                        <c:v>4.9525810892587012E-21</c:v>
                      </c:pt>
                      <c:pt idx="39" formatCode="General">
                        <c:v>4.0634282904689888E-21</c:v>
                      </c:pt>
                      <c:pt idx="40" formatCode="General">
                        <c:v>3.1742754916792768E-21</c:v>
                      </c:pt>
                      <c:pt idx="41" formatCode="General">
                        <c:v>2.2851226928895648E-21</c:v>
                      </c:pt>
                      <c:pt idx="42" formatCode="General">
                        <c:v>1.3959698940998524E-21</c:v>
                      </c:pt>
                      <c:pt idx="43" formatCode="General">
                        <c:v>5.0681709531013994E-22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FE-44AB-BC11-EAB99CDED10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3.8295915279878965E-37</c:v>
                      </c:pt>
                      <c:pt idx="32" formatCode="General">
                        <c:v>9.7212708018154291E-37</c:v>
                      </c:pt>
                      <c:pt idx="33" formatCode="General">
                        <c:v>1.5612950075642961E-36</c:v>
                      </c:pt>
                      <c:pt idx="34" formatCode="General">
                        <c:v>2.1504629349470494E-36</c:v>
                      </c:pt>
                      <c:pt idx="35" formatCode="General">
                        <c:v>2.7396308623298028E-36</c:v>
                      </c:pt>
                      <c:pt idx="36" formatCode="General">
                        <c:v>3.3287987897125558E-36</c:v>
                      </c:pt>
                      <c:pt idx="37" formatCode="General">
                        <c:v>6.6051437216338959E-23</c:v>
                      </c:pt>
                      <c:pt idx="38" formatCode="General">
                        <c:v>1.7173373676248096E-21</c:v>
                      </c:pt>
                      <c:pt idx="39" formatCode="General">
                        <c:v>3.3686232980332803E-21</c:v>
                      </c:pt>
                      <c:pt idx="40" formatCode="General">
                        <c:v>5.0199092284417509E-21</c:v>
                      </c:pt>
                      <c:pt idx="41" formatCode="General">
                        <c:v>6.671195158850222E-21</c:v>
                      </c:pt>
                      <c:pt idx="42" formatCode="General">
                        <c:v>8.322481089258693E-21</c:v>
                      </c:pt>
                      <c:pt idx="43" formatCode="General">
                        <c:v>9.973767019667164E-21</c:v>
                      </c:pt>
                      <c:pt idx="44" formatCode="General">
                        <c:v>1.515115151515147E-20</c:v>
                      </c:pt>
                      <c:pt idx="45" formatCode="General">
                        <c:v>2.5002666666666624E-20</c:v>
                      </c:pt>
                      <c:pt idx="46" formatCode="General">
                        <c:v>1.3005816909090833E-17</c:v>
                      </c:pt>
                      <c:pt idx="47" formatCode="General">
                        <c:v>2.7022981818181833E-17</c:v>
                      </c:pt>
                      <c:pt idx="48" formatCode="General">
                        <c:v>2.3492072727272744E-17</c:v>
                      </c:pt>
                      <c:pt idx="49" formatCode="General">
                        <c:v>1.1959518087683135E-8</c:v>
                      </c:pt>
                      <c:pt idx="50" formatCode="General">
                        <c:v>3.6875180725239895E-8</c:v>
                      </c:pt>
                      <c:pt idx="51" formatCode="General">
                        <c:v>1.911267878787887E-7</c:v>
                      </c:pt>
                      <c:pt idx="52" formatCode="General">
                        <c:v>3.3370587878787851E-7</c:v>
                      </c:pt>
                      <c:pt idx="53" formatCode="General">
                        <c:v>2.8068163636363612E-7</c:v>
                      </c:pt>
                      <c:pt idx="54" formatCode="General">
                        <c:v>2.3450248484848466E-7</c:v>
                      </c:pt>
                      <c:pt idx="55" formatCode="General">
                        <c:v>1.9464187878787859E-7</c:v>
                      </c:pt>
                      <c:pt idx="56" formatCode="General">
                        <c:v>1.7598290909090901E-7</c:v>
                      </c:pt>
                      <c:pt idx="57" formatCode="General">
                        <c:v>1.6033210590015122E-7</c:v>
                      </c:pt>
                      <c:pt idx="58" formatCode="General">
                        <c:v>1.4411440544629343E-7</c:v>
                      </c:pt>
                      <c:pt idx="59" formatCode="General">
                        <c:v>1.2789670499243564E-7</c:v>
                      </c:pt>
                      <c:pt idx="60" formatCode="General">
                        <c:v>1.1167900453857786E-7</c:v>
                      </c:pt>
                      <c:pt idx="61" formatCode="General">
                        <c:v>9.5461304084720078E-8</c:v>
                      </c:pt>
                      <c:pt idx="62" formatCode="General">
                        <c:v>7.9243603630862285E-8</c:v>
                      </c:pt>
                      <c:pt idx="63" formatCode="General">
                        <c:v>6.3025903177004505E-8</c:v>
                      </c:pt>
                      <c:pt idx="64" formatCode="General">
                        <c:v>5.2980461422087734E-8</c:v>
                      </c:pt>
                      <c:pt idx="65" formatCode="General">
                        <c:v>4.6881217851739778E-8</c:v>
                      </c:pt>
                      <c:pt idx="66" formatCode="General">
                        <c:v>4.0781974281391822E-8</c:v>
                      </c:pt>
                      <c:pt idx="67" formatCode="General">
                        <c:v>3.4682730711043866E-8</c:v>
                      </c:pt>
                      <c:pt idx="68" formatCode="General">
                        <c:v>2.8583487140695906E-8</c:v>
                      </c:pt>
                      <c:pt idx="69" formatCode="General">
                        <c:v>2.2484243570347954E-8</c:v>
                      </c:pt>
                      <c:pt idx="70" formatCode="General">
                        <c:v>1.6384999999999997E-8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FE-44AB-BC11-EAB99CDED10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FE-44AB-BC11-EAB99CDED10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FE-44AB-BC11-EAB99CDED10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2.573569135539396E-12</c:v>
                      </c:pt>
                      <c:pt idx="1">
                        <c:v>3.3883989636363737E-10</c:v>
                      </c:pt>
                      <c:pt idx="2">
                        <c:v>1.2196746236363646E-9</c:v>
                      </c:pt>
                      <c:pt idx="3">
                        <c:v>1.3579630303030326E-7</c:v>
                      </c:pt>
                      <c:pt idx="4" formatCode="General">
                        <c:v>6.7881690951516133E-3</c:v>
                      </c:pt>
                      <c:pt idx="5" formatCode="General">
                        <c:v>9.1636469034545573E-2</c:v>
                      </c:pt>
                      <c:pt idx="6" formatCode="General">
                        <c:v>0.14000000000000001</c:v>
                      </c:pt>
                      <c:pt idx="7" formatCode="General">
                        <c:v>0.14000000000000001</c:v>
                      </c:pt>
                      <c:pt idx="8" formatCode="General">
                        <c:v>0.14000000000000001</c:v>
                      </c:pt>
                      <c:pt idx="9" formatCode="General">
                        <c:v>0.14000000000000001</c:v>
                      </c:pt>
                      <c:pt idx="10" formatCode="General">
                        <c:v>0.14000000000000001</c:v>
                      </c:pt>
                      <c:pt idx="11" formatCode="General">
                        <c:v>0.14000000000000001</c:v>
                      </c:pt>
                      <c:pt idx="12" formatCode="General">
                        <c:v>0.14000000000000001</c:v>
                      </c:pt>
                      <c:pt idx="13" formatCode="General">
                        <c:v>0.14000000000000001</c:v>
                      </c:pt>
                      <c:pt idx="14" formatCode="General">
                        <c:v>0.14000000000000001</c:v>
                      </c:pt>
                      <c:pt idx="15" formatCode="General">
                        <c:v>0.14000000000000001</c:v>
                      </c:pt>
                      <c:pt idx="16" formatCode="General">
                        <c:v>0.14000000000000001</c:v>
                      </c:pt>
                      <c:pt idx="17" formatCode="General">
                        <c:v>0.14000000000000001</c:v>
                      </c:pt>
                      <c:pt idx="18" formatCode="General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0.14000000000000001</c:v>
                      </c:pt>
                      <c:pt idx="21" formatCode="General">
                        <c:v>0.23503030303030342</c:v>
                      </c:pt>
                      <c:pt idx="22" formatCode="General">
                        <c:v>0.4047272727272731</c:v>
                      </c:pt>
                      <c:pt idx="23" formatCode="General">
                        <c:v>0.42</c:v>
                      </c:pt>
                      <c:pt idx="24" formatCode="General">
                        <c:v>0.42</c:v>
                      </c:pt>
                      <c:pt idx="25" formatCode="General">
                        <c:v>0.42</c:v>
                      </c:pt>
                      <c:pt idx="26" formatCode="General">
                        <c:v>0.42</c:v>
                      </c:pt>
                      <c:pt idx="27" formatCode="General">
                        <c:v>0.42</c:v>
                      </c:pt>
                      <c:pt idx="28" formatCode="General">
                        <c:v>0.42</c:v>
                      </c:pt>
                      <c:pt idx="29" formatCode="General">
                        <c:v>0.42</c:v>
                      </c:pt>
                      <c:pt idx="30" formatCode="General">
                        <c:v>0.42</c:v>
                      </c:pt>
                      <c:pt idx="31" formatCode="General">
                        <c:v>0.42</c:v>
                      </c:pt>
                      <c:pt idx="32" formatCode="General">
                        <c:v>0.42</c:v>
                      </c:pt>
                      <c:pt idx="33" formatCode="General">
                        <c:v>0.42</c:v>
                      </c:pt>
                      <c:pt idx="34" formatCode="General">
                        <c:v>0.42</c:v>
                      </c:pt>
                      <c:pt idx="35" formatCode="General">
                        <c:v>0.42</c:v>
                      </c:pt>
                      <c:pt idx="36" formatCode="General">
                        <c:v>0.42</c:v>
                      </c:pt>
                      <c:pt idx="37" formatCode="General">
                        <c:v>0.42</c:v>
                      </c:pt>
                      <c:pt idx="38" formatCode="General">
                        <c:v>0.42</c:v>
                      </c:pt>
                      <c:pt idx="39" formatCode="General">
                        <c:v>0.42</c:v>
                      </c:pt>
                      <c:pt idx="40" formatCode="General">
                        <c:v>0.42</c:v>
                      </c:pt>
                      <c:pt idx="41" formatCode="General">
                        <c:v>0.42</c:v>
                      </c:pt>
                      <c:pt idx="42" formatCode="General">
                        <c:v>0.42</c:v>
                      </c:pt>
                      <c:pt idx="43" formatCode="General">
                        <c:v>0.42</c:v>
                      </c:pt>
                      <c:pt idx="44" formatCode="General">
                        <c:v>0.42</c:v>
                      </c:pt>
                      <c:pt idx="45" formatCode="General">
                        <c:v>0.42</c:v>
                      </c:pt>
                      <c:pt idx="46" formatCode="General">
                        <c:v>0.43157709090909085</c:v>
                      </c:pt>
                      <c:pt idx="47" formatCode="General">
                        <c:v>0.44526290909090904</c:v>
                      </c:pt>
                      <c:pt idx="48" formatCode="General">
                        <c:v>0.45120836363636357</c:v>
                      </c:pt>
                      <c:pt idx="49" formatCode="General">
                        <c:v>0.46107204819277103</c:v>
                      </c:pt>
                      <c:pt idx="50" formatCode="General">
                        <c:v>0.4751804819277109</c:v>
                      </c:pt>
                      <c:pt idx="51" formatCode="General">
                        <c:v>0.47867418181818183</c:v>
                      </c:pt>
                      <c:pt idx="52" formatCode="General">
                        <c:v>0.47967090909090909</c:v>
                      </c:pt>
                      <c:pt idx="53" formatCode="General">
                        <c:v>0.47985272727272726</c:v>
                      </c:pt>
                      <c:pt idx="54" formatCode="General">
                        <c:v>0.47995575757575759</c:v>
                      </c:pt>
                      <c:pt idx="55" formatCode="General">
                        <c:v>0.47998606060606064</c:v>
                      </c:pt>
                      <c:pt idx="56" formatCode="General">
                        <c:v>0.47999527272727271</c:v>
                      </c:pt>
                      <c:pt idx="57" formatCode="General">
                        <c:v>0.48</c:v>
                      </c:pt>
                      <c:pt idx="58" formatCode="General">
                        <c:v>0.48</c:v>
                      </c:pt>
                      <c:pt idx="59" formatCode="General">
                        <c:v>0.48</c:v>
                      </c:pt>
                      <c:pt idx="60" formatCode="General">
                        <c:v>0.48</c:v>
                      </c:pt>
                      <c:pt idx="61" formatCode="General">
                        <c:v>0.48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EFE-44AB-BC11-EAB99CDED101}"/>
                  </c:ext>
                </c:extLst>
              </c15:ser>
            </c15:filteredScatterSeries>
            <c15:filteredScatterSeries>
              <c15:ser>
                <c:idx val="5"/>
                <c:order val="7"/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0.13321212136829083</c:v>
                      </c:pt>
                      <c:pt idx="5" formatCode="General">
                        <c:v>4.8363638471927178E-2</c:v>
                      </c:pt>
                      <c:pt idx="6" formatCode="General">
                        <c:v>2.438389638554216E-9</c:v>
                      </c:pt>
                      <c:pt idx="7" formatCode="General">
                        <c:v>6.1836554216867627E-10</c:v>
                      </c:pt>
                      <c:pt idx="8" formatCode="General">
                        <c:v>1.1103458000000013E-10</c:v>
                      </c:pt>
                      <c:pt idx="9" formatCode="General">
                        <c:v>8.9437050909090977E-12</c:v>
                      </c:pt>
                      <c:pt idx="10" formatCode="General">
                        <c:v>3.1904141818181896E-12</c:v>
                      </c:pt>
                      <c:pt idx="11" formatCode="General">
                        <c:v>1.3113219364599294E-13</c:v>
                      </c:pt>
                      <c:pt idx="12" formatCode="General">
                        <c:v>1.0977515885023324E-13</c:v>
                      </c:pt>
                      <c:pt idx="13" formatCode="General">
                        <c:v>8.8418124054473509E-14</c:v>
                      </c:pt>
                      <c:pt idx="14" formatCode="General">
                        <c:v>6.7061089258713806E-14</c:v>
                      </c:pt>
                      <c:pt idx="15" formatCode="General">
                        <c:v>4.5704054462954091E-14</c:v>
                      </c:pt>
                      <c:pt idx="16" formatCode="General">
                        <c:v>2.4347019667194375E-14</c:v>
                      </c:pt>
                      <c:pt idx="17" formatCode="General">
                        <c:v>2.9899848714346473E-15</c:v>
                      </c:pt>
                      <c:pt idx="18" formatCode="General">
                        <c:v>1.3578903030302993E-26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EFE-44AB-BC11-EAB99CDED10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4.750484114977298E-34</c:v>
                      </c:pt>
                      <c:pt idx="12" formatCode="General">
                        <c:v>1.4857897125567317E-33</c:v>
                      </c:pt>
                      <c:pt idx="13" formatCode="General">
                        <c:v>2.4965310136157337E-33</c:v>
                      </c:pt>
                      <c:pt idx="14" formatCode="General">
                        <c:v>3.5072723146747357E-33</c:v>
                      </c:pt>
                      <c:pt idx="15" formatCode="General">
                        <c:v>4.5180136157337374E-33</c:v>
                      </c:pt>
                      <c:pt idx="16" formatCode="General">
                        <c:v>5.5287549167927397E-33</c:v>
                      </c:pt>
                      <c:pt idx="17" formatCode="General">
                        <c:v>6.539496217851742E-33</c:v>
                      </c:pt>
                      <c:pt idx="18" formatCode="General">
                        <c:v>4.1052605454545557E-31</c:v>
                      </c:pt>
                      <c:pt idx="19" formatCode="General">
                        <c:v>9.387109090909183E-30</c:v>
                      </c:pt>
                      <c:pt idx="20" formatCode="General">
                        <c:v>5.0366200000000086E-29</c:v>
                      </c:pt>
                      <c:pt idx="21" formatCode="General">
                        <c:v>1.6069725636363698E-27</c:v>
                      </c:pt>
                      <c:pt idx="22" formatCode="General">
                        <c:v>4.3544289272727339E-27</c:v>
                      </c:pt>
                      <c:pt idx="23" formatCode="General">
                        <c:v>1.3569010542168692E-25</c:v>
                      </c:pt>
                      <c:pt idx="24" formatCode="General">
                        <c:v>9.7642496493181815E-21</c:v>
                      </c:pt>
                      <c:pt idx="25" formatCode="General">
                        <c:v>4.8820273326590917E-20</c:v>
                      </c:pt>
                      <c:pt idx="26" formatCode="General">
                        <c:v>8.7876297003863633E-20</c:v>
                      </c:pt>
                      <c:pt idx="27" formatCode="General">
                        <c:v>1.2693232068113638E-19</c:v>
                      </c:pt>
                      <c:pt idx="28" formatCode="General">
                        <c:v>1.659883443584091E-19</c:v>
                      </c:pt>
                      <c:pt idx="29" formatCode="General">
                        <c:v>2.0504436803568185E-19</c:v>
                      </c:pt>
                      <c:pt idx="30" formatCode="General">
                        <c:v>2.4410039171295454E-19</c:v>
                      </c:pt>
                      <c:pt idx="31" formatCode="General">
                        <c:v>2.175028185960665E-15</c:v>
                      </c:pt>
                      <c:pt idx="32" formatCode="General">
                        <c:v>5.5208288259001491E-15</c:v>
                      </c:pt>
                      <c:pt idx="33" formatCode="General">
                        <c:v>8.8666294658396331E-15</c:v>
                      </c:pt>
                      <c:pt idx="34" formatCode="General">
                        <c:v>1.2212430105779116E-14</c:v>
                      </c:pt>
                      <c:pt idx="35" formatCode="General">
                        <c:v>1.55582307457186E-14</c:v>
                      </c:pt>
                      <c:pt idx="36" formatCode="General">
                        <c:v>1.8904031385658086E-14</c:v>
                      </c:pt>
                      <c:pt idx="37" formatCode="General">
                        <c:v>1.8306357216337844E-12</c:v>
                      </c:pt>
                      <c:pt idx="38" formatCode="General">
                        <c:v>4.7043628762480969E-11</c:v>
                      </c:pt>
                      <c:pt idx="39" formatCode="General">
                        <c:v>9.2256621803328156E-11</c:v>
                      </c:pt>
                      <c:pt idx="40" formatCode="General">
                        <c:v>1.3746961484417534E-10</c:v>
                      </c:pt>
                      <c:pt idx="41" formatCode="General">
                        <c:v>1.8268260788502253E-10</c:v>
                      </c:pt>
                      <c:pt idx="42" formatCode="General">
                        <c:v>2.278956009258697E-10</c:v>
                      </c:pt>
                      <c:pt idx="43" formatCode="General">
                        <c:v>2.7310859396671694E-10</c:v>
                      </c:pt>
                      <c:pt idx="44" formatCode="General">
                        <c:v>8.8629127272726661E-10</c:v>
                      </c:pt>
                      <c:pt idx="45" formatCode="General">
                        <c:v>2.2523639999999941E-9</c:v>
                      </c:pt>
                      <c:pt idx="46" formatCode="General">
                        <c:v>5.0315036363636213E-9</c:v>
                      </c:pt>
                      <c:pt idx="47" formatCode="General">
                        <c:v>8.827425454545418E-9</c:v>
                      </c:pt>
                      <c:pt idx="48" formatCode="General">
                        <c:v>1.6760698181818147E-8</c:v>
                      </c:pt>
                      <c:pt idx="49" formatCode="General">
                        <c:v>2.5769277108433713E-8</c:v>
                      </c:pt>
                      <c:pt idx="50" formatCode="General">
                        <c:v>3.5942771084337386E-8</c:v>
                      </c:pt>
                      <c:pt idx="51" formatCode="General">
                        <c:v>3.7839599999999998E-8</c:v>
                      </c:pt>
                      <c:pt idx="52" formatCode="General">
                        <c:v>3.7881375757575757E-8</c:v>
                      </c:pt>
                      <c:pt idx="53" formatCode="General">
                        <c:v>3.7736527272727272E-8</c:v>
                      </c:pt>
                      <c:pt idx="54" formatCode="General">
                        <c:v>3.7452381818181816E-8</c:v>
                      </c:pt>
                      <c:pt idx="55" formatCode="General">
                        <c:v>3.7039654545454544E-8</c:v>
                      </c:pt>
                      <c:pt idx="56" formatCode="General">
                        <c:v>3.6403363636363636E-8</c:v>
                      </c:pt>
                      <c:pt idx="57" formatCode="General">
                        <c:v>3.5622391830559753E-8</c:v>
                      </c:pt>
                      <c:pt idx="58" formatCode="General">
                        <c:v>3.4446900151285926E-8</c:v>
                      </c:pt>
                      <c:pt idx="59" formatCode="General">
                        <c:v>3.3271408472012099E-8</c:v>
                      </c:pt>
                      <c:pt idx="60" formatCode="General">
                        <c:v>3.2095916792738272E-8</c:v>
                      </c:pt>
                      <c:pt idx="61" formatCode="General">
                        <c:v>3.0920425113464445E-8</c:v>
                      </c:pt>
                      <c:pt idx="62" formatCode="General">
                        <c:v>2.9744933434190619E-8</c:v>
                      </c:pt>
                      <c:pt idx="63" formatCode="General">
                        <c:v>2.8569441754916792E-8</c:v>
                      </c:pt>
                      <c:pt idx="64" formatCode="General">
                        <c:v>2.7157794251134639E-8</c:v>
                      </c:pt>
                      <c:pt idx="65" formatCode="General">
                        <c:v>2.5595161875945534E-8</c:v>
                      </c:pt>
                      <c:pt idx="66" formatCode="General">
                        <c:v>2.4032529500756428E-8</c:v>
                      </c:pt>
                      <c:pt idx="67" formatCode="General">
                        <c:v>2.246989712556732E-8</c:v>
                      </c:pt>
                      <c:pt idx="68" formatCode="General">
                        <c:v>2.0907264750378214E-8</c:v>
                      </c:pt>
                      <c:pt idx="69" formatCode="General">
                        <c:v>1.9344632375189109E-8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EFE-44AB-BC11-EAB99CDED10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EFE-44AB-BC11-EAB99CDED10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EFE-44AB-BC11-EAB99CDED10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FE-44AB-BC11-EAB99CDED10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EFE-44AB-BC11-EAB99CDED10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FE-44AB-BC11-EAB99CDED10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FE-44AB-BC11-EAB99CDED10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EFE-44AB-BC11-EAB99CDED10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EFE-44AB-BC11-EAB99CDED10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FE-44AB-BC11-EAB99CDED10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EFE-44AB-BC11-EAB99CDED10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EFE-44AB-BC11-EAB99CDED10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EFE-44AB-BC11-EAB99CDED10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EFE-44AB-BC11-EAB99CDED10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EFE-44AB-BC11-EAB99CDED10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EFE-44AB-BC11-EAB99CDED10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EFE-44AB-BC11-EAB99CDED10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EFE-44AB-BC11-EAB99CDED10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EFE-44AB-BC11-EAB99CDED10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EFE-44AB-BC11-EAB99CDED10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EFE-44AB-BC11-EAB99CDED10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EFE-44AB-BC11-EAB99CDED10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EFE-44AB-BC11-EAB99CDED10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EFE-44AB-BC11-EAB99CDED10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EFE-44AB-BC11-EAB99CDED10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EFE-44AB-BC11-EAB99CDED10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EFE-44AB-BC11-EAB99CDED10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EFE-44AB-BC11-EAB99CDED10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EFE-44AB-BC11-EAB99CDED10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FE-44AB-BC11-EAB99CDED10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EFE-44AB-BC11-EAB99CDED10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0.12276351515151515</c:v>
                      </c:pt>
                      <c:pt idx="1">
                        <c:v>0.11123980606060604</c:v>
                      </c:pt>
                      <c:pt idx="2">
                        <c:v>9.5291927272727256E-2</c:v>
                      </c:pt>
                      <c:pt idx="3">
                        <c:v>7.6689945454545438E-2</c:v>
                      </c:pt>
                      <c:pt idx="4" formatCode="General">
                        <c:v>5.8005612405446286E-2</c:v>
                      </c:pt>
                      <c:pt idx="5" formatCode="General">
                        <c:v>4.9663267473524959E-2</c:v>
                      </c:pt>
                      <c:pt idx="6" formatCode="General">
                        <c:v>4.1320922541603633E-2</c:v>
                      </c:pt>
                      <c:pt idx="7" formatCode="General">
                        <c:v>3.29785776096823E-2</c:v>
                      </c:pt>
                      <c:pt idx="8" formatCode="General">
                        <c:v>2.4636232677760973E-2</c:v>
                      </c:pt>
                      <c:pt idx="9" formatCode="General">
                        <c:v>1.6293887745839647E-2</c:v>
                      </c:pt>
                      <c:pt idx="10" formatCode="General">
                        <c:v>7.9515428139183136E-3</c:v>
                      </c:pt>
                      <c:pt idx="11" formatCode="General">
                        <c:v>3.0191103030303042E-3</c:v>
                      </c:pt>
                      <c:pt idx="12" formatCode="General">
                        <c:v>1.9318981818181832E-3</c:v>
                      </c:pt>
                      <c:pt idx="13" formatCode="General">
                        <c:v>1.3091092121212127E-3</c:v>
                      </c:pt>
                      <c:pt idx="14" formatCode="General">
                        <c:v>8.3243897590361466E-4</c:v>
                      </c:pt>
                      <c:pt idx="15" formatCode="General">
                        <c:v>5.714329518072286E-4</c:v>
                      </c:pt>
                      <c:pt idx="16" formatCode="General">
                        <c:v>3.7277363636363607E-4</c:v>
                      </c:pt>
                      <c:pt idx="17" formatCode="General">
                        <c:v>2.3401606060606029E-4</c:v>
                      </c:pt>
                      <c:pt idx="18" formatCode="General">
                        <c:v>1.5213992727272711E-4</c:v>
                      </c:pt>
                      <c:pt idx="19" formatCode="General">
                        <c:v>8.7480018181818094E-5</c:v>
                      </c:pt>
                      <c:pt idx="20" formatCode="General">
                        <c:v>5.2751533333333257E-5</c:v>
                      </c:pt>
                      <c:pt idx="21" formatCode="General">
                        <c:v>2.9341157575757543E-5</c:v>
                      </c:pt>
                      <c:pt idx="22" formatCode="General">
                        <c:v>1.4823581818181785E-5</c:v>
                      </c:pt>
                      <c:pt idx="23" formatCode="General">
                        <c:v>8.6475132530120417E-6</c:v>
                      </c:pt>
                      <c:pt idx="24" formatCode="General">
                        <c:v>4.1697757575757574E-6</c:v>
                      </c:pt>
                      <c:pt idx="25" formatCode="General">
                        <c:v>2.3120787878787875E-6</c:v>
                      </c:pt>
                      <c:pt idx="26" formatCode="General">
                        <c:v>1.1940254545454546E-6</c:v>
                      </c:pt>
                      <c:pt idx="27" formatCode="General">
                        <c:v>5.6906787878787884E-7</c:v>
                      </c:pt>
                      <c:pt idx="28" formatCode="General">
                        <c:v>3.3705333333333334E-7</c:v>
                      </c:pt>
                      <c:pt idx="29" formatCode="General">
                        <c:v>1.6720872727272726E-7</c:v>
                      </c:pt>
                      <c:pt idx="30" formatCode="General">
                        <c:v>9.4171151515151524E-8</c:v>
                      </c:pt>
                      <c:pt idx="31" formatCode="General">
                        <c:v>5.181528915662653E-8</c:v>
                      </c:pt>
                      <c:pt idx="32" formatCode="General">
                        <c:v>2.5980349397590417E-8</c:v>
                      </c:pt>
                      <c:pt idx="33" formatCode="General">
                        <c:v>1.6267680000000021E-8</c:v>
                      </c:pt>
                      <c:pt idx="34" formatCode="General">
                        <c:v>8.732949090909098E-9</c:v>
                      </c:pt>
                      <c:pt idx="35" formatCode="General">
                        <c:v>5.1098581818181899E-9</c:v>
                      </c:pt>
                      <c:pt idx="36" formatCode="General">
                        <c:v>3.0083218181818215E-9</c:v>
                      </c:pt>
                      <c:pt idx="37" formatCode="General">
                        <c:v>1.6375257428139188E-9</c:v>
                      </c:pt>
                      <c:pt idx="38" formatCode="General">
                        <c:v>1.3981693131618766E-9</c:v>
                      </c:pt>
                      <c:pt idx="39" formatCode="General">
                        <c:v>1.1588128835098343E-9</c:v>
                      </c:pt>
                      <c:pt idx="40" formatCode="General">
                        <c:v>9.1945645385779207E-10</c:v>
                      </c:pt>
                      <c:pt idx="41" formatCode="General">
                        <c:v>6.8010002420574983E-10</c:v>
                      </c:pt>
                      <c:pt idx="42" formatCode="General">
                        <c:v>4.4074359455370758E-10</c:v>
                      </c:pt>
                      <c:pt idx="43" formatCode="General">
                        <c:v>2.0138716490166534E-10</c:v>
                      </c:pt>
                      <c:pt idx="44" formatCode="General">
                        <c:v>6.0955975794251171E-11</c:v>
                      </c:pt>
                      <c:pt idx="45" formatCode="General">
                        <c:v>5.1658245083207288E-11</c:v>
                      </c:pt>
                      <c:pt idx="46" formatCode="General">
                        <c:v>4.2360514372163404E-11</c:v>
                      </c:pt>
                      <c:pt idx="47" formatCode="General">
                        <c:v>3.3062783661119514E-11</c:v>
                      </c:pt>
                      <c:pt idx="48" formatCode="General">
                        <c:v>2.376505295007563E-11</c:v>
                      </c:pt>
                      <c:pt idx="49" formatCode="General">
                        <c:v>1.446732223903174E-11</c:v>
                      </c:pt>
                      <c:pt idx="50" formatCode="General">
                        <c:v>5.1695915279878564E-12</c:v>
                      </c:pt>
                      <c:pt idx="51" formatCode="General">
                        <c:v>2.6338072727272681E-12</c:v>
                      </c:pt>
                      <c:pt idx="52" formatCode="General">
                        <c:v>1.6725907878787856E-12</c:v>
                      </c:pt>
                      <c:pt idx="53" formatCode="General">
                        <c:v>1.1519483636363612E-12</c:v>
                      </c:pt>
                      <c:pt idx="54" formatCode="General">
                        <c:v>7.6568654545454426E-13</c:v>
                      </c:pt>
                      <c:pt idx="55" formatCode="General">
                        <c:v>5.0346836363636243E-13</c:v>
                      </c:pt>
                      <c:pt idx="56" formatCode="General">
                        <c:v>3.526312727272721E-13</c:v>
                      </c:pt>
                      <c:pt idx="57" formatCode="General">
                        <c:v>2.3273096385542137E-13</c:v>
                      </c:pt>
                      <c:pt idx="58" formatCode="General">
                        <c:v>1.6350807228915644E-13</c:v>
                      </c:pt>
                      <c:pt idx="59" formatCode="General">
                        <c:v>1.1311332121212112E-13</c:v>
                      </c:pt>
                      <c:pt idx="60" formatCode="General">
                        <c:v>7.7512109090909007E-14</c:v>
                      </c:pt>
                      <c:pt idx="61" formatCode="General">
                        <c:v>5.6299375757575713E-14</c:v>
                      </c:pt>
                      <c:pt idx="62" formatCode="General">
                        <c:v>3.8795945454545428E-14</c:v>
                      </c:pt>
                      <c:pt idx="63" formatCode="General">
                        <c:v>2.7799581818181791E-14</c:v>
                      </c:pt>
                      <c:pt idx="64" formatCode="General">
                        <c:v>2.158151739788199E-14</c:v>
                      </c:pt>
                      <c:pt idx="65" formatCode="General">
                        <c:v>1.8418431164901657E-14</c:v>
                      </c:pt>
                      <c:pt idx="66" formatCode="General">
                        <c:v>1.5255344931921324E-14</c:v>
                      </c:pt>
                      <c:pt idx="67" formatCode="General">
                        <c:v>1.2092258698940994E-14</c:v>
                      </c:pt>
                      <c:pt idx="68" formatCode="General">
                        <c:v>8.9291724659606648E-15</c:v>
                      </c:pt>
                      <c:pt idx="69" formatCode="General">
                        <c:v>5.766086232980332E-15</c:v>
                      </c:pt>
                      <c:pt idx="70" formatCode="General">
                        <c:v>2.6029999999999991E-15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EFE-44AB-BC11-EAB99CDED10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1.1953945454545456E-2</c:v>
                      </c:pt>
                      <c:pt idx="1">
                        <c:v>1.21342E-2</c:v>
                      </c:pt>
                      <c:pt idx="2">
                        <c:v>1.23742E-2</c:v>
                      </c:pt>
                      <c:pt idx="3">
                        <c:v>1.263189696969697E-2</c:v>
                      </c:pt>
                      <c:pt idx="4" formatCode="General">
                        <c:v>1.2883375189107413E-2</c:v>
                      </c:pt>
                      <c:pt idx="5" formatCode="General">
                        <c:v>1.2988065052950075E-2</c:v>
                      </c:pt>
                      <c:pt idx="6" formatCode="General">
                        <c:v>1.3092754916792737E-2</c:v>
                      </c:pt>
                      <c:pt idx="7" formatCode="General">
                        <c:v>1.3197444780635401E-2</c:v>
                      </c:pt>
                      <c:pt idx="8" formatCode="General">
                        <c:v>1.3302134644478063E-2</c:v>
                      </c:pt>
                      <c:pt idx="9" formatCode="General">
                        <c:v>1.3406824508320725E-2</c:v>
                      </c:pt>
                      <c:pt idx="10" formatCode="General">
                        <c:v>1.3511514372163387E-2</c:v>
                      </c:pt>
                      <c:pt idx="11" formatCode="General">
                        <c:v>1.3596054545454544E-2</c:v>
                      </c:pt>
                      <c:pt idx="12" formatCode="General">
                        <c:v>1.3657872727272728E-2</c:v>
                      </c:pt>
                      <c:pt idx="13" formatCode="General">
                        <c:v>1.3756466666666666E-2</c:v>
                      </c:pt>
                      <c:pt idx="14" formatCode="General">
                        <c:v>1.3872753012048192E-2</c:v>
                      </c:pt>
                      <c:pt idx="15" formatCode="General">
                        <c:v>1.4036006024096387E-2</c:v>
                      </c:pt>
                      <c:pt idx="16" formatCode="General">
                        <c:v>1.4222327272727273E-2</c:v>
                      </c:pt>
                      <c:pt idx="17" formatCode="General">
                        <c:v>1.4430812121212121E-2</c:v>
                      </c:pt>
                      <c:pt idx="18" formatCode="General">
                        <c:v>1.4642424242424243E-2</c:v>
                      </c:pt>
                      <c:pt idx="19" formatCode="General">
                        <c:v>1.4846527272727273E-2</c:v>
                      </c:pt>
                      <c:pt idx="20" formatCode="General">
                        <c:v>1.5020466666666666E-2</c:v>
                      </c:pt>
                      <c:pt idx="21" formatCode="General">
                        <c:v>1.5163860606060606E-2</c:v>
                      </c:pt>
                      <c:pt idx="22" formatCode="General">
                        <c:v>1.5283254545454546E-2</c:v>
                      </c:pt>
                      <c:pt idx="23" formatCode="General">
                        <c:v>1.5358686746987952E-2</c:v>
                      </c:pt>
                      <c:pt idx="24" formatCode="General">
                        <c:v>1.5422E-2</c:v>
                      </c:pt>
                      <c:pt idx="25" formatCode="General">
                        <c:v>1.5462E-2</c:v>
                      </c:pt>
                      <c:pt idx="26" formatCode="General">
                        <c:v>1.5490727272727274E-2</c:v>
                      </c:pt>
                      <c:pt idx="27" formatCode="General">
                        <c:v>1.5511939393939394E-2</c:v>
                      </c:pt>
                      <c:pt idx="28" formatCode="General">
                        <c:v>1.5523363636363637E-2</c:v>
                      </c:pt>
                      <c:pt idx="29" formatCode="General">
                        <c:v>1.5532090909090909E-2</c:v>
                      </c:pt>
                      <c:pt idx="30" formatCode="General">
                        <c:v>1.5535727272727272E-2</c:v>
                      </c:pt>
                      <c:pt idx="31" formatCode="General">
                        <c:v>1.5532692771084338E-2</c:v>
                      </c:pt>
                      <c:pt idx="32" formatCode="General">
                        <c:v>1.5526066265060241E-2</c:v>
                      </c:pt>
                      <c:pt idx="33" formatCode="General">
                        <c:v>1.5488199999999999E-2</c:v>
                      </c:pt>
                      <c:pt idx="34" formatCode="General">
                        <c:v>1.5414163636363637E-2</c:v>
                      </c:pt>
                      <c:pt idx="35" formatCode="General">
                        <c:v>1.5270527272727272E-2</c:v>
                      </c:pt>
                      <c:pt idx="36" formatCode="General">
                        <c:v>1.48994E-2</c:v>
                      </c:pt>
                      <c:pt idx="37" formatCode="General">
                        <c:v>1.4368103782148265E-2</c:v>
                      </c:pt>
                      <c:pt idx="38" formatCode="General">
                        <c:v>1.2445698335854769E-2</c:v>
                      </c:pt>
                      <c:pt idx="39" formatCode="General">
                        <c:v>1.0523292889561275E-2</c:v>
                      </c:pt>
                      <c:pt idx="40" formatCode="General">
                        <c:v>8.6008874432677816E-3</c:v>
                      </c:pt>
                      <c:pt idx="41" formatCode="General">
                        <c:v>6.6784819969742887E-3</c:v>
                      </c:pt>
                      <c:pt idx="42" formatCode="General">
                        <c:v>4.7560765506807941E-3</c:v>
                      </c:pt>
                      <c:pt idx="43" formatCode="General">
                        <c:v>2.8336711043873003E-3</c:v>
                      </c:pt>
                      <c:pt idx="44" formatCode="General">
                        <c:v>1.6266714901664154E-3</c:v>
                      </c:pt>
                      <c:pt idx="45" formatCode="General">
                        <c:v>1.3680005370650535E-3</c:v>
                      </c:pt>
                      <c:pt idx="46" formatCode="General">
                        <c:v>1.1093295839636917E-3</c:v>
                      </c:pt>
                      <c:pt idx="47" formatCode="General">
                        <c:v>8.5065863086232973E-4</c:v>
                      </c:pt>
                      <c:pt idx="48" formatCode="General">
                        <c:v>5.9198767776096777E-4</c:v>
                      </c:pt>
                      <c:pt idx="49" formatCode="General">
                        <c:v>3.3331672465960593E-4</c:v>
                      </c:pt>
                      <c:pt idx="50" formatCode="General">
                        <c:v>7.4645771558243864E-5</c:v>
                      </c:pt>
                      <c:pt idx="51" formatCode="General">
                        <c:v>1.911569090909086E-5</c:v>
                      </c:pt>
                      <c:pt idx="52" formatCode="General">
                        <c:v>9.3744018181818012E-6</c:v>
                      </c:pt>
                      <c:pt idx="53" formatCode="General">
                        <c:v>5.4767654545454376E-6</c:v>
                      </c:pt>
                      <c:pt idx="54" formatCode="General">
                        <c:v>2.8799484848484783E-6</c:v>
                      </c:pt>
                      <c:pt idx="55" formatCode="General">
                        <c:v>1.4838878787878725E-6</c:v>
                      </c:pt>
                      <c:pt idx="56" formatCode="General">
                        <c:v>8.6563890909090678E-7</c:v>
                      </c:pt>
                      <c:pt idx="57" formatCode="General">
                        <c:v>4.3394843373493896E-7</c:v>
                      </c:pt>
                      <c:pt idx="58" formatCode="General">
                        <c:v>2.5162313253011997E-7</c:v>
                      </c:pt>
                      <c:pt idx="59" formatCode="General">
                        <c:v>1.260532363636362E-7</c:v>
                      </c:pt>
                      <c:pt idx="60" formatCode="General">
                        <c:v>4.5076872727272533E-8</c:v>
                      </c:pt>
                      <c:pt idx="61" formatCode="General">
                        <c:v>2.1615432121212083E-8</c:v>
                      </c:pt>
                      <c:pt idx="62" formatCode="General">
                        <c:v>7.4380490909090825E-9</c:v>
                      </c:pt>
                      <c:pt idx="63" formatCode="General">
                        <c:v>3.4947763636363552E-9</c:v>
                      </c:pt>
                      <c:pt idx="64" formatCode="General">
                        <c:v>1.7770227385779119E-9</c:v>
                      </c:pt>
                      <c:pt idx="65" formatCode="General">
                        <c:v>1.4821419821482597E-9</c:v>
                      </c:pt>
                      <c:pt idx="66" formatCode="General">
                        <c:v>1.1872612257186079E-9</c:v>
                      </c:pt>
                      <c:pt idx="67" formatCode="General">
                        <c:v>8.9238046928895596E-10</c:v>
                      </c:pt>
                      <c:pt idx="68" formatCode="General">
                        <c:v>5.9749971285930385E-10</c:v>
                      </c:pt>
                      <c:pt idx="69" formatCode="General">
                        <c:v>3.0261895642965196E-10</c:v>
                      </c:pt>
                      <c:pt idx="70" formatCode="General">
                        <c:v>7.7382000000000633E-12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EFE-44AB-BC11-EAB99CDED10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6.3268735757575825E-26</c:v>
                      </c:pt>
                      <c:pt idx="1">
                        <c:v>9.0085721818182058E-25</c:v>
                      </c:pt>
                      <c:pt idx="2">
                        <c:v>3.0094735818181841E-24</c:v>
                      </c:pt>
                      <c:pt idx="3">
                        <c:v>6.4740058181818279E-23</c:v>
                      </c:pt>
                      <c:pt idx="4" formatCode="General">
                        <c:v>1.5609267904084935E-18</c:v>
                      </c:pt>
                      <c:pt idx="5" formatCode="General">
                        <c:v>2.1070738920514385E-17</c:v>
                      </c:pt>
                      <c:pt idx="6" formatCode="General">
                        <c:v>4.0580551050620279E-17</c:v>
                      </c:pt>
                      <c:pt idx="7" formatCode="General">
                        <c:v>6.0090363180726172E-17</c:v>
                      </c:pt>
                      <c:pt idx="8" formatCode="General">
                        <c:v>7.9600175310832059E-17</c:v>
                      </c:pt>
                      <c:pt idx="9" formatCode="General">
                        <c:v>9.9109987440937959E-17</c:v>
                      </c:pt>
                      <c:pt idx="10" formatCode="General">
                        <c:v>1.1861979957104385E-16</c:v>
                      </c:pt>
                      <c:pt idx="11" formatCode="General">
                        <c:v>7.4444351515151374E-16</c:v>
                      </c:pt>
                      <c:pt idx="12" formatCode="General">
                        <c:v>2.0539829090909078E-15</c:v>
                      </c:pt>
                      <c:pt idx="13" formatCode="General">
                        <c:v>1.6842612727272708E-14</c:v>
                      </c:pt>
                      <c:pt idx="14" formatCode="General">
                        <c:v>6.3732391566264908E-14</c:v>
                      </c:pt>
                      <c:pt idx="15" formatCode="General">
                        <c:v>2.5290528313253038E-13</c:v>
                      </c:pt>
                      <c:pt idx="16" formatCode="General">
                        <c:v>1.2167109090909129E-12</c:v>
                      </c:pt>
                      <c:pt idx="17" formatCode="General">
                        <c:v>2.9247715151515189E-12</c:v>
                      </c:pt>
                      <c:pt idx="18" formatCode="General">
                        <c:v>1.4878194545454576E-11</c:v>
                      </c:pt>
                      <c:pt idx="19" formatCode="General">
                        <c:v>4.6630218181818403E-11</c:v>
                      </c:pt>
                      <c:pt idx="20" formatCode="General">
                        <c:v>1.4658840000000022E-10</c:v>
                      </c:pt>
                      <c:pt idx="21" formatCode="General">
                        <c:v>5.7154987878788028E-10</c:v>
                      </c:pt>
                      <c:pt idx="22" formatCode="General">
                        <c:v>1.2518710909090924E-9</c:v>
                      </c:pt>
                      <c:pt idx="23" formatCode="General">
                        <c:v>5.181806024096389E-9</c:v>
                      </c:pt>
                      <c:pt idx="24" formatCode="General">
                        <c:v>1.4554799999999999E-8</c:v>
                      </c:pt>
                      <c:pt idx="25" formatCode="General">
                        <c:v>3.9292799999999996E-8</c:v>
                      </c:pt>
                      <c:pt idx="26" formatCode="General">
                        <c:v>1.2817418181818183E-7</c:v>
                      </c:pt>
                      <c:pt idx="27" formatCode="General">
                        <c:v>2.598178181818182E-7</c:v>
                      </c:pt>
                      <c:pt idx="28" formatCode="General">
                        <c:v>8.8056060606060607E-7</c:v>
                      </c:pt>
                      <c:pt idx="29" formatCode="General">
                        <c:v>2.215809090909091E-6</c:v>
                      </c:pt>
                      <c:pt idx="30" formatCode="General">
                        <c:v>5.1581727272727275E-6</c:v>
                      </c:pt>
                      <c:pt idx="31" formatCode="General">
                        <c:v>1.4239777108433725E-5</c:v>
                      </c:pt>
                      <c:pt idx="32" formatCode="General">
                        <c:v>2.6627126506024065E-5</c:v>
                      </c:pt>
                      <c:pt idx="33" formatCode="General">
                        <c:v>7.5470399999999886E-5</c:v>
                      </c:pt>
                      <c:pt idx="34" formatCode="General">
                        <c:v>1.6914381818181778E-4</c:v>
                      </c:pt>
                      <c:pt idx="35" formatCode="General">
                        <c:v>3.4912563636363598E-4</c:v>
                      </c:pt>
                      <c:pt idx="36" formatCode="General">
                        <c:v>8.125134545454532E-4</c:v>
                      </c:pt>
                      <c:pt idx="37" formatCode="General">
                        <c:v>1.4696417549167875E-3</c:v>
                      </c:pt>
                      <c:pt idx="38" formatCode="General">
                        <c:v>3.7206856278366048E-3</c:v>
                      </c:pt>
                      <c:pt idx="39" formatCode="General">
                        <c:v>5.9717295007564227E-3</c:v>
                      </c:pt>
                      <c:pt idx="40" formatCode="General">
                        <c:v>8.2227733736762402E-3</c:v>
                      </c:pt>
                      <c:pt idx="41" formatCode="General">
                        <c:v>1.0473817246596058E-2</c:v>
                      </c:pt>
                      <c:pt idx="42" formatCode="General">
                        <c:v>1.2724861119515875E-2</c:v>
                      </c:pt>
                      <c:pt idx="43" formatCode="General">
                        <c:v>1.4975904992435693E-2</c:v>
                      </c:pt>
                      <c:pt idx="44" formatCode="General">
                        <c:v>1.6119526475037824E-2</c:v>
                      </c:pt>
                      <c:pt idx="45" formatCode="General">
                        <c:v>1.5795169440242059E-2</c:v>
                      </c:pt>
                      <c:pt idx="46" formatCode="General">
                        <c:v>1.5470812405446293E-2</c:v>
                      </c:pt>
                      <c:pt idx="47" formatCode="General">
                        <c:v>1.5146455370650529E-2</c:v>
                      </c:pt>
                      <c:pt idx="48" formatCode="General">
                        <c:v>1.4822098335854765E-2</c:v>
                      </c:pt>
                      <c:pt idx="49" formatCode="General">
                        <c:v>1.4497741301059E-2</c:v>
                      </c:pt>
                      <c:pt idx="50" formatCode="General">
                        <c:v>1.4173384266263238E-2</c:v>
                      </c:pt>
                      <c:pt idx="51" formatCode="General">
                        <c:v>1.3357618181818178E-2</c:v>
                      </c:pt>
                      <c:pt idx="52" formatCode="General">
                        <c:v>1.2423472727272723E-2</c:v>
                      </c:pt>
                      <c:pt idx="53" formatCode="General">
                        <c:v>1.1438018181818178E-2</c:v>
                      </c:pt>
                      <c:pt idx="54" formatCode="General">
                        <c:v>1.0451964848484844E-2</c:v>
                      </c:pt>
                      <c:pt idx="55" formatCode="General">
                        <c:v>9.4653587878787832E-3</c:v>
                      </c:pt>
                      <c:pt idx="56" formatCode="General">
                        <c:v>8.5295818181818136E-3</c:v>
                      </c:pt>
                      <c:pt idx="57" formatCode="General">
                        <c:v>7.607931325301201E-3</c:v>
                      </c:pt>
                      <c:pt idx="58" formatCode="General">
                        <c:v>6.7094373493975876E-3</c:v>
                      </c:pt>
                      <c:pt idx="59" formatCode="General">
                        <c:v>5.1745848484848435E-3</c:v>
                      </c:pt>
                      <c:pt idx="60" formatCode="General">
                        <c:v>3.1397363636363595E-3</c:v>
                      </c:pt>
                      <c:pt idx="61" formatCode="General">
                        <c:v>2.0919345454545432E-3</c:v>
                      </c:pt>
                      <c:pt idx="62" formatCode="General">
                        <c:v>1.2744740606060595E-3</c:v>
                      </c:pt>
                      <c:pt idx="63" formatCode="General">
                        <c:v>8.3475890909090803E-4</c:v>
                      </c:pt>
                      <c:pt idx="64" formatCode="General">
                        <c:v>6.0579932526475021E-4</c:v>
                      </c:pt>
                      <c:pt idx="65" formatCode="General">
                        <c:v>5.1158510438729184E-4</c:v>
                      </c:pt>
                      <c:pt idx="66" formatCode="General">
                        <c:v>4.1737088350983346E-4</c:v>
                      </c:pt>
                      <c:pt idx="67" formatCode="General">
                        <c:v>3.2315666263237508E-4</c:v>
                      </c:pt>
                      <c:pt idx="68" formatCode="General">
                        <c:v>2.2894244175491671E-4</c:v>
                      </c:pt>
                      <c:pt idx="69" formatCode="General">
                        <c:v>1.3472822087745833E-4</c:v>
                      </c:pt>
                      <c:pt idx="70" formatCode="General">
                        <c:v>4.0513999999999958E-5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EFE-44AB-BC11-EAB99CDED10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EFE-44AB-BC11-EAB99CDED10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2.0811104242424264E-25</c:v>
                      </c:pt>
                      <c:pt idx="1">
                        <c:v>2.6147000606060674E-24</c:v>
                      </c:pt>
                      <c:pt idx="2">
                        <c:v>8.6346212727272787E-24</c:v>
                      </c:pt>
                      <c:pt idx="3">
                        <c:v>1.5154818181818205E-22</c:v>
                      </c:pt>
                      <c:pt idx="4" formatCode="General">
                        <c:v>1.2149700988351153E-18</c:v>
                      </c:pt>
                      <c:pt idx="5" formatCode="General">
                        <c:v>1.6397976209273838E-17</c:v>
                      </c:pt>
                      <c:pt idx="6" formatCode="General">
                        <c:v>3.1580982319712566E-17</c:v>
                      </c:pt>
                      <c:pt idx="7" formatCode="General">
                        <c:v>4.676398843015129E-17</c:v>
                      </c:pt>
                      <c:pt idx="8" formatCode="General">
                        <c:v>6.1946994540590014E-17</c:v>
                      </c:pt>
                      <c:pt idx="9" formatCode="General">
                        <c:v>7.7130000651028745E-17</c:v>
                      </c:pt>
                      <c:pt idx="10" formatCode="General">
                        <c:v>9.2313006761467463E-17</c:v>
                      </c:pt>
                      <c:pt idx="11" formatCode="General">
                        <c:v>4.7751078787878695E-16</c:v>
                      </c:pt>
                      <c:pt idx="12" formatCode="General">
                        <c:v>1.2799592727272717E-15</c:v>
                      </c:pt>
                      <c:pt idx="13" formatCode="General">
                        <c:v>8.8653284848484727E-15</c:v>
                      </c:pt>
                      <c:pt idx="14" formatCode="General">
                        <c:v>3.0732608433734876E-14</c:v>
                      </c:pt>
                      <c:pt idx="15" formatCode="General">
                        <c:v>1.1505971686747002E-13</c:v>
                      </c:pt>
                      <c:pt idx="16" formatCode="General">
                        <c:v>5.0541163636363802E-13</c:v>
                      </c:pt>
                      <c:pt idx="17" formatCode="General">
                        <c:v>1.1897873939393955E-12</c:v>
                      </c:pt>
                      <c:pt idx="18" formatCode="General">
                        <c:v>5.5473430303030418E-12</c:v>
                      </c:pt>
                      <c:pt idx="19" formatCode="General">
                        <c:v>1.6356792727272803E-11</c:v>
                      </c:pt>
                      <c:pt idx="20" formatCode="General">
                        <c:v>4.9188186666666738E-11</c:v>
                      </c:pt>
                      <c:pt idx="21" formatCode="General">
                        <c:v>1.7538149090909136E-10</c:v>
                      </c:pt>
                      <c:pt idx="22" formatCode="General">
                        <c:v>3.7493058181818229E-10</c:v>
                      </c:pt>
                      <c:pt idx="23" formatCode="General">
                        <c:v>1.3978972891566278E-9</c:v>
                      </c:pt>
                      <c:pt idx="24" formatCode="General">
                        <c:v>3.6445030303030302E-9</c:v>
                      </c:pt>
                      <c:pt idx="25" formatCode="General">
                        <c:v>9.3177151515151522E-9</c:v>
                      </c:pt>
                      <c:pt idx="26" formatCode="General">
                        <c:v>2.757318181818182E-8</c:v>
                      </c:pt>
                      <c:pt idx="27" formatCode="General">
                        <c:v>5.4216818181818193E-8</c:v>
                      </c:pt>
                      <c:pt idx="28" formatCode="General">
                        <c:v>1.6537533333333333E-7</c:v>
                      </c:pt>
                      <c:pt idx="29" formatCode="General">
                        <c:v>3.8595454545454542E-7</c:v>
                      </c:pt>
                      <c:pt idx="30" formatCode="General">
                        <c:v>8.5146969696969687E-7</c:v>
                      </c:pt>
                      <c:pt idx="31" formatCode="General">
                        <c:v>2.1428939759036127E-6</c:v>
                      </c:pt>
                      <c:pt idx="32" formatCode="General">
                        <c:v>3.8790385542168628E-6</c:v>
                      </c:pt>
                      <c:pt idx="33" formatCode="General">
                        <c:v>9.9561599999999867E-6</c:v>
                      </c:pt>
                      <c:pt idx="34" formatCode="General">
                        <c:v>2.0796618181818135E-5</c:v>
                      </c:pt>
                      <c:pt idx="35" formatCode="General">
                        <c:v>4.0798436363636317E-5</c:v>
                      </c:pt>
                      <c:pt idx="36" formatCode="General">
                        <c:v>8.8428690909090777E-5</c:v>
                      </c:pt>
                      <c:pt idx="37" formatCode="General">
                        <c:v>1.638638275340383E-4</c:v>
                      </c:pt>
                      <c:pt idx="38" formatCode="General">
                        <c:v>6.0870951588502147E-4</c:v>
                      </c:pt>
                      <c:pt idx="39" formatCode="General">
                        <c:v>1.0535552042360047E-3</c:v>
                      </c:pt>
                      <c:pt idx="40" formatCode="General">
                        <c:v>1.4984008925869878E-3</c:v>
                      </c:pt>
                      <c:pt idx="41" formatCode="General">
                        <c:v>1.9432465809379709E-3</c:v>
                      </c:pt>
                      <c:pt idx="42" formatCode="General">
                        <c:v>2.3880922692889541E-3</c:v>
                      </c:pt>
                      <c:pt idx="43" formatCode="General">
                        <c:v>2.8329379576399372E-3</c:v>
                      </c:pt>
                      <c:pt idx="44" formatCode="General">
                        <c:v>3.6467685325264699E-3</c:v>
                      </c:pt>
                      <c:pt idx="45" formatCode="General">
                        <c:v>4.9497186081694363E-3</c:v>
                      </c:pt>
                      <c:pt idx="46" formatCode="General">
                        <c:v>6.2526686838124037E-3</c:v>
                      </c:pt>
                      <c:pt idx="47" formatCode="General">
                        <c:v>7.5556187594553702E-3</c:v>
                      </c:pt>
                      <c:pt idx="48" formatCode="General">
                        <c:v>8.8585688350983367E-3</c:v>
                      </c:pt>
                      <c:pt idx="49" formatCode="General">
                        <c:v>1.0161518910741303E-2</c:v>
                      </c:pt>
                      <c:pt idx="50" formatCode="General">
                        <c:v>1.1464468986384271E-2</c:v>
                      </c:pt>
                      <c:pt idx="51" formatCode="General">
                        <c:v>1.323612727272728E-2</c:v>
                      </c:pt>
                      <c:pt idx="52" formatCode="General">
                        <c:v>1.5128909090909099E-2</c:v>
                      </c:pt>
                      <c:pt idx="53" formatCode="General">
                        <c:v>1.7110727272727284E-2</c:v>
                      </c:pt>
                      <c:pt idx="54" formatCode="General">
                        <c:v>1.9089393939393951E-2</c:v>
                      </c:pt>
                      <c:pt idx="55" formatCode="General">
                        <c:v>2.1065151515151526E-2</c:v>
                      </c:pt>
                      <c:pt idx="56" formatCode="General">
                        <c:v>2.2938090909090918E-2</c:v>
                      </c:pt>
                      <c:pt idx="57" formatCode="General">
                        <c:v>2.4709445783132535E-2</c:v>
                      </c:pt>
                      <c:pt idx="58" formatCode="General">
                        <c:v>2.6175108433734943E-2</c:v>
                      </c:pt>
                      <c:pt idx="59" formatCode="General">
                        <c:v>2.5078569696969689E-2</c:v>
                      </c:pt>
                      <c:pt idx="60" formatCode="General">
                        <c:v>2.1968872727272722E-2</c:v>
                      </c:pt>
                      <c:pt idx="61" formatCode="General">
                        <c:v>1.9237515151515144E-2</c:v>
                      </c:pt>
                      <c:pt idx="62" formatCode="General">
                        <c:v>1.6663175757575751E-2</c:v>
                      </c:pt>
                      <c:pt idx="63" formatCode="General">
                        <c:v>1.4429236363636359E-2</c:v>
                      </c:pt>
                      <c:pt idx="64" formatCode="General">
                        <c:v>1.2731214674735248E-2</c:v>
                      </c:pt>
                      <c:pt idx="65" formatCode="General">
                        <c:v>1.1375828895612707E-2</c:v>
                      </c:pt>
                      <c:pt idx="66" formatCode="General">
                        <c:v>1.0020443116490165E-2</c:v>
                      </c:pt>
                      <c:pt idx="67" formatCode="General">
                        <c:v>8.6650573373676237E-3</c:v>
                      </c:pt>
                      <c:pt idx="68" formatCode="General">
                        <c:v>7.3096715582450823E-3</c:v>
                      </c:pt>
                      <c:pt idx="69" formatCode="General">
                        <c:v>5.9542857791225418E-3</c:v>
                      </c:pt>
                      <c:pt idx="70" formatCode="General">
                        <c:v>4.5988999999999995E-3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EFE-44AB-BC11-EAB99CDED10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EFE-44AB-BC11-EAB99CDED10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EFE-44AB-BC11-EAB99CDED10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EFE-44AB-BC11-EAB99CDED10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EFE-44AB-BC11-EAB99CDED10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EFE-44AB-BC11-EAB99CDED10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EFE-44AB-BC11-EAB99CDED10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EFE-44AB-BC11-EAB99CDED10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EFE-44AB-BC11-EAB99CDED1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4.750484114977298E-34</c:v>
                </c:pt>
                <c:pt idx="12" formatCode="General">
                  <c:v>1.4857897125567317E-33</c:v>
                </c:pt>
                <c:pt idx="13" formatCode="General">
                  <c:v>2.4965310136157337E-33</c:v>
                </c:pt>
                <c:pt idx="14" formatCode="General">
                  <c:v>3.5072723146747357E-33</c:v>
                </c:pt>
                <c:pt idx="15" formatCode="General">
                  <c:v>4.5180136157337374E-33</c:v>
                </c:pt>
                <c:pt idx="16" formatCode="General">
                  <c:v>5.5287549167927397E-33</c:v>
                </c:pt>
                <c:pt idx="17" formatCode="General">
                  <c:v>6.539496217851742E-33</c:v>
                </c:pt>
                <c:pt idx="18" formatCode="General">
                  <c:v>4.1052605454545557E-31</c:v>
                </c:pt>
                <c:pt idx="19" formatCode="General">
                  <c:v>9.387109090909183E-30</c:v>
                </c:pt>
                <c:pt idx="20" formatCode="General">
                  <c:v>5.0366200000000086E-29</c:v>
                </c:pt>
                <c:pt idx="21" formatCode="General">
                  <c:v>1.6069725636363698E-27</c:v>
                </c:pt>
                <c:pt idx="22" formatCode="General">
                  <c:v>4.3544289272727339E-27</c:v>
                </c:pt>
                <c:pt idx="23" formatCode="General">
                  <c:v>1.3569010542168692E-25</c:v>
                </c:pt>
                <c:pt idx="24" formatCode="General">
                  <c:v>9.7642496493181815E-21</c:v>
                </c:pt>
                <c:pt idx="25" formatCode="General">
                  <c:v>4.8820273326590917E-20</c:v>
                </c:pt>
                <c:pt idx="26" formatCode="General">
                  <c:v>8.7876297003863633E-20</c:v>
                </c:pt>
                <c:pt idx="27" formatCode="General">
                  <c:v>1.2693232068113638E-19</c:v>
                </c:pt>
                <c:pt idx="28" formatCode="General">
                  <c:v>1.659883443584091E-19</c:v>
                </c:pt>
                <c:pt idx="29" formatCode="General">
                  <c:v>2.0504436803568185E-19</c:v>
                </c:pt>
                <c:pt idx="30" formatCode="General">
                  <c:v>2.4410039171295454E-19</c:v>
                </c:pt>
                <c:pt idx="31" formatCode="General">
                  <c:v>2.175028185960665E-15</c:v>
                </c:pt>
                <c:pt idx="32" formatCode="General">
                  <c:v>5.5208288259001491E-15</c:v>
                </c:pt>
                <c:pt idx="33" formatCode="General">
                  <c:v>8.8666294658396331E-15</c:v>
                </c:pt>
                <c:pt idx="34" formatCode="General">
                  <c:v>1.2212430105779116E-14</c:v>
                </c:pt>
                <c:pt idx="35" formatCode="General">
                  <c:v>1.55582307457186E-14</c:v>
                </c:pt>
                <c:pt idx="36" formatCode="General">
                  <c:v>1.8904031385658086E-14</c:v>
                </c:pt>
                <c:pt idx="37" formatCode="General">
                  <c:v>1.8306357216337844E-12</c:v>
                </c:pt>
                <c:pt idx="38" formatCode="General">
                  <c:v>4.7043628762480969E-11</c:v>
                </c:pt>
                <c:pt idx="39" formatCode="General">
                  <c:v>9.2256621803328156E-11</c:v>
                </c:pt>
                <c:pt idx="40" formatCode="General">
                  <c:v>1.3746961484417534E-10</c:v>
                </c:pt>
                <c:pt idx="41" formatCode="General">
                  <c:v>1.8268260788502253E-10</c:v>
                </c:pt>
                <c:pt idx="42" formatCode="General">
                  <c:v>2.278956009258697E-10</c:v>
                </c:pt>
                <c:pt idx="43" formatCode="General">
                  <c:v>2.7310859396671694E-10</c:v>
                </c:pt>
                <c:pt idx="44" formatCode="General">
                  <c:v>8.8629127272726661E-10</c:v>
                </c:pt>
                <c:pt idx="45" formatCode="General">
                  <c:v>2.2523639999999941E-9</c:v>
                </c:pt>
                <c:pt idx="46" formatCode="General">
                  <c:v>5.0315036363636213E-9</c:v>
                </c:pt>
                <c:pt idx="47" formatCode="General">
                  <c:v>8.827425454545418E-9</c:v>
                </c:pt>
                <c:pt idx="48" formatCode="General">
                  <c:v>1.6760698181818147E-8</c:v>
                </c:pt>
                <c:pt idx="49" formatCode="General">
                  <c:v>2.5769277108433713E-8</c:v>
                </c:pt>
                <c:pt idx="50" formatCode="General">
                  <c:v>3.5942771084337386E-8</c:v>
                </c:pt>
                <c:pt idx="51" formatCode="General">
                  <c:v>3.7839599999999998E-8</c:v>
                </c:pt>
                <c:pt idx="52" formatCode="General">
                  <c:v>3.7881375757575757E-8</c:v>
                </c:pt>
                <c:pt idx="53" formatCode="General">
                  <c:v>3.7736527272727272E-8</c:v>
                </c:pt>
                <c:pt idx="54" formatCode="General">
                  <c:v>3.7452381818181816E-8</c:v>
                </c:pt>
                <c:pt idx="55" formatCode="General">
                  <c:v>3.7039654545454544E-8</c:v>
                </c:pt>
                <c:pt idx="56" formatCode="General">
                  <c:v>3.6403363636363636E-8</c:v>
                </c:pt>
                <c:pt idx="57" formatCode="General">
                  <c:v>3.5622391830559753E-8</c:v>
                </c:pt>
                <c:pt idx="58" formatCode="General">
                  <c:v>3.4446900151285926E-8</c:v>
                </c:pt>
                <c:pt idx="59" formatCode="General">
                  <c:v>3.3271408472012099E-8</c:v>
                </c:pt>
                <c:pt idx="60" formatCode="General">
                  <c:v>3.2095916792738272E-8</c:v>
                </c:pt>
                <c:pt idx="61" formatCode="General">
                  <c:v>3.0920425113464445E-8</c:v>
                </c:pt>
                <c:pt idx="62" formatCode="General">
                  <c:v>2.9744933434190619E-8</c:v>
                </c:pt>
                <c:pt idx="63" formatCode="General">
                  <c:v>2.8569441754916792E-8</c:v>
                </c:pt>
                <c:pt idx="64" formatCode="General">
                  <c:v>2.7157794251134639E-8</c:v>
                </c:pt>
                <c:pt idx="65" formatCode="General">
                  <c:v>2.5595161875945534E-8</c:v>
                </c:pt>
                <c:pt idx="66" formatCode="General">
                  <c:v>2.4032529500756428E-8</c:v>
                </c:pt>
                <c:pt idx="67" formatCode="General">
                  <c:v>2.246989712556732E-8</c:v>
                </c:pt>
                <c:pt idx="68" formatCode="General">
                  <c:v>2.0907264750378214E-8</c:v>
                </c:pt>
                <c:pt idx="69" formatCode="General">
                  <c:v>1.9344632375189109E-8</c:v>
                </c:pt>
                <c:pt idx="70" formatCode="General">
                  <c:v>1.7782E-8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894-4356-9EB2-6A9076CBABE1}"/>
            </c:ext>
          </c:extLst>
        </c:ser>
        <c:ser>
          <c:idx val="41"/>
          <c:order val="42"/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EVALUATION!$B$143:$BT$143</c:f>
              <c:numCache>
                <c:formatCode>0</c:formatCode>
                <c:ptCount val="71"/>
                <c:pt idx="0">
                  <c:v>1.1953945454545456E-2</c:v>
                </c:pt>
                <c:pt idx="1">
                  <c:v>1.21342E-2</c:v>
                </c:pt>
                <c:pt idx="2">
                  <c:v>1.23742E-2</c:v>
                </c:pt>
                <c:pt idx="3">
                  <c:v>1.263189696969697E-2</c:v>
                </c:pt>
                <c:pt idx="4" formatCode="General">
                  <c:v>1.2883375189107413E-2</c:v>
                </c:pt>
                <c:pt idx="5" formatCode="General">
                  <c:v>1.2988065052950075E-2</c:v>
                </c:pt>
                <c:pt idx="6" formatCode="General">
                  <c:v>1.3092754916792737E-2</c:v>
                </c:pt>
                <c:pt idx="7" formatCode="General">
                  <c:v>1.3197444780635401E-2</c:v>
                </c:pt>
                <c:pt idx="8" formatCode="General">
                  <c:v>1.3302134644478063E-2</c:v>
                </c:pt>
                <c:pt idx="9" formatCode="General">
                  <c:v>1.3406824508320725E-2</c:v>
                </c:pt>
                <c:pt idx="10" formatCode="General">
                  <c:v>1.3511514372163387E-2</c:v>
                </c:pt>
                <c:pt idx="11" formatCode="General">
                  <c:v>1.3596054545454544E-2</c:v>
                </c:pt>
                <c:pt idx="12" formatCode="General">
                  <c:v>1.3657872727272728E-2</c:v>
                </c:pt>
                <c:pt idx="13" formatCode="General">
                  <c:v>1.3756466666666666E-2</c:v>
                </c:pt>
                <c:pt idx="14" formatCode="General">
                  <c:v>1.3872753012048192E-2</c:v>
                </c:pt>
                <c:pt idx="15" formatCode="General">
                  <c:v>1.4036006024096387E-2</c:v>
                </c:pt>
                <c:pt idx="16" formatCode="General">
                  <c:v>1.4222327272727273E-2</c:v>
                </c:pt>
                <c:pt idx="17" formatCode="General">
                  <c:v>1.4430812121212121E-2</c:v>
                </c:pt>
                <c:pt idx="18" formatCode="General">
                  <c:v>1.4642424242424243E-2</c:v>
                </c:pt>
                <c:pt idx="19" formatCode="General">
                  <c:v>1.4846527272727273E-2</c:v>
                </c:pt>
                <c:pt idx="20" formatCode="General">
                  <c:v>1.5020466666666666E-2</c:v>
                </c:pt>
                <c:pt idx="21" formatCode="General">
                  <c:v>1.5163860606060606E-2</c:v>
                </c:pt>
                <c:pt idx="22" formatCode="General">
                  <c:v>1.5283254545454546E-2</c:v>
                </c:pt>
                <c:pt idx="23" formatCode="General">
                  <c:v>1.5358686746987952E-2</c:v>
                </c:pt>
                <c:pt idx="24" formatCode="General">
                  <c:v>1.5422E-2</c:v>
                </c:pt>
                <c:pt idx="25" formatCode="General">
                  <c:v>1.5462E-2</c:v>
                </c:pt>
                <c:pt idx="26" formatCode="General">
                  <c:v>1.5490727272727274E-2</c:v>
                </c:pt>
                <c:pt idx="27" formatCode="General">
                  <c:v>1.5511939393939394E-2</c:v>
                </c:pt>
                <c:pt idx="28" formatCode="General">
                  <c:v>1.5523363636363637E-2</c:v>
                </c:pt>
                <c:pt idx="29" formatCode="General">
                  <c:v>1.5532090909090909E-2</c:v>
                </c:pt>
                <c:pt idx="30" formatCode="General">
                  <c:v>1.5535727272727272E-2</c:v>
                </c:pt>
                <c:pt idx="31" formatCode="General">
                  <c:v>1.5532692771084338E-2</c:v>
                </c:pt>
                <c:pt idx="32" formatCode="General">
                  <c:v>1.5526066265060241E-2</c:v>
                </c:pt>
                <c:pt idx="33" formatCode="General">
                  <c:v>1.5488199999999999E-2</c:v>
                </c:pt>
                <c:pt idx="34" formatCode="General">
                  <c:v>1.5414163636363637E-2</c:v>
                </c:pt>
                <c:pt idx="35" formatCode="General">
                  <c:v>1.5270527272727272E-2</c:v>
                </c:pt>
                <c:pt idx="36" formatCode="General">
                  <c:v>1.48994E-2</c:v>
                </c:pt>
                <c:pt idx="37" formatCode="General">
                  <c:v>1.4368103782148265E-2</c:v>
                </c:pt>
                <c:pt idx="38" formatCode="General">
                  <c:v>1.2445698335854769E-2</c:v>
                </c:pt>
                <c:pt idx="39" formatCode="General">
                  <c:v>1.0523292889561275E-2</c:v>
                </c:pt>
                <c:pt idx="40" formatCode="General">
                  <c:v>8.6008874432677816E-3</c:v>
                </c:pt>
                <c:pt idx="41" formatCode="General">
                  <c:v>6.6784819969742887E-3</c:v>
                </c:pt>
                <c:pt idx="42" formatCode="General">
                  <c:v>4.7560765506807941E-3</c:v>
                </c:pt>
                <c:pt idx="43" formatCode="General">
                  <c:v>2.8336711043873003E-3</c:v>
                </c:pt>
                <c:pt idx="44" formatCode="General">
                  <c:v>1.6266714901664154E-3</c:v>
                </c:pt>
                <c:pt idx="45" formatCode="General">
                  <c:v>1.3680005370650535E-3</c:v>
                </c:pt>
                <c:pt idx="46" formatCode="General">
                  <c:v>1.1093295839636917E-3</c:v>
                </c:pt>
                <c:pt idx="47" formatCode="General">
                  <c:v>8.5065863086232973E-4</c:v>
                </c:pt>
                <c:pt idx="48" formatCode="General">
                  <c:v>5.9198767776096777E-4</c:v>
                </c:pt>
                <c:pt idx="49" formatCode="General">
                  <c:v>3.3331672465960593E-4</c:v>
                </c:pt>
                <c:pt idx="50" formatCode="General">
                  <c:v>7.4645771558243864E-5</c:v>
                </c:pt>
                <c:pt idx="51" formatCode="General">
                  <c:v>1.911569090909086E-5</c:v>
                </c:pt>
                <c:pt idx="52" formatCode="General">
                  <c:v>9.3744018181818012E-6</c:v>
                </c:pt>
                <c:pt idx="53" formatCode="General">
                  <c:v>5.4767654545454376E-6</c:v>
                </c:pt>
                <c:pt idx="54" formatCode="General">
                  <c:v>2.8799484848484783E-6</c:v>
                </c:pt>
                <c:pt idx="55" formatCode="General">
                  <c:v>1.4838878787878725E-6</c:v>
                </c:pt>
                <c:pt idx="56" formatCode="General">
                  <c:v>8.6563890909090678E-7</c:v>
                </c:pt>
                <c:pt idx="57" formatCode="General">
                  <c:v>4.3394843373493896E-7</c:v>
                </c:pt>
                <c:pt idx="58" formatCode="General">
                  <c:v>2.5162313253011997E-7</c:v>
                </c:pt>
                <c:pt idx="59" formatCode="General">
                  <c:v>1.260532363636362E-7</c:v>
                </c:pt>
                <c:pt idx="60" formatCode="General">
                  <c:v>4.5076872727272533E-8</c:v>
                </c:pt>
                <c:pt idx="61" formatCode="General">
                  <c:v>2.1615432121212083E-8</c:v>
                </c:pt>
                <c:pt idx="62" formatCode="General">
                  <c:v>7.4380490909090825E-9</c:v>
                </c:pt>
                <c:pt idx="63" formatCode="General">
                  <c:v>3.4947763636363552E-9</c:v>
                </c:pt>
                <c:pt idx="64" formatCode="General">
                  <c:v>1.7770227385779119E-9</c:v>
                </c:pt>
                <c:pt idx="65" formatCode="General">
                  <c:v>1.4821419821482597E-9</c:v>
                </c:pt>
                <c:pt idx="66" formatCode="General">
                  <c:v>1.1872612257186079E-9</c:v>
                </c:pt>
                <c:pt idx="67" formatCode="General">
                  <c:v>8.9238046928895596E-10</c:v>
                </c:pt>
                <c:pt idx="68" formatCode="General">
                  <c:v>5.9749971285930385E-10</c:v>
                </c:pt>
                <c:pt idx="69" formatCode="General">
                  <c:v>3.0261895642965196E-10</c:v>
                </c:pt>
                <c:pt idx="70" formatCode="General">
                  <c:v>7.7382000000000633E-12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894-4356-9EB2-6A9076CBABE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-61.344848484848484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4-4356-9EB2-6A9076CBA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2.5323863636363638E-19</c:v>
                      </c:pt>
                      <c:pt idx="25" formatCode="General">
                        <c:v>1.2661931818181818E-18</c:v>
                      </c:pt>
                      <c:pt idx="26" formatCode="General">
                        <c:v>2.2791477272727273E-18</c:v>
                      </c:pt>
                      <c:pt idx="27" formatCode="General">
                        <c:v>3.2921022727272726E-18</c:v>
                      </c:pt>
                      <c:pt idx="28" formatCode="General">
                        <c:v>4.3050568181818183E-18</c:v>
                      </c:pt>
                      <c:pt idx="29" formatCode="General">
                        <c:v>5.3180113636363633E-18</c:v>
                      </c:pt>
                      <c:pt idx="30" formatCode="General">
                        <c:v>6.330965909090909E-18</c:v>
                      </c:pt>
                      <c:pt idx="31" formatCode="General">
                        <c:v>1.7332805685325256E-14</c:v>
                      </c:pt>
                      <c:pt idx="32" formatCode="General">
                        <c:v>4.398837520121027E-14</c:v>
                      </c:pt>
                      <c:pt idx="33" formatCode="General">
                        <c:v>7.0643944717095287E-14</c:v>
                      </c:pt>
                      <c:pt idx="34" formatCode="General">
                        <c:v>9.7299514232980298E-14</c:v>
                      </c:pt>
                      <c:pt idx="35" formatCode="General">
                        <c:v>1.2395508374886532E-13</c:v>
                      </c:pt>
                      <c:pt idx="36" formatCode="General">
                        <c:v>1.5061065326475033E-13</c:v>
                      </c:pt>
                      <c:pt idx="37" formatCode="General">
                        <c:v>1.7548919818456886E-13</c:v>
                      </c:pt>
                      <c:pt idx="38" formatCode="General">
                        <c:v>1.5771915279878976E-13</c:v>
                      </c:pt>
                      <c:pt idx="39" formatCode="General">
                        <c:v>1.3994910741301065E-13</c:v>
                      </c:pt>
                      <c:pt idx="40" formatCode="General">
                        <c:v>1.2217906202723152E-13</c:v>
                      </c:pt>
                      <c:pt idx="41" formatCode="General">
                        <c:v>1.0440901664145241E-13</c:v>
                      </c:pt>
                      <c:pt idx="42" formatCode="General">
                        <c:v>8.663897125567329E-14</c:v>
                      </c:pt>
                      <c:pt idx="43" formatCode="General">
                        <c:v>6.8868925869894173E-14</c:v>
                      </c:pt>
                      <c:pt idx="44" formatCode="General">
                        <c:v>4.3432001290547433E-14</c:v>
                      </c:pt>
                      <c:pt idx="45" formatCode="General">
                        <c:v>7.8320042918201611E-15</c:v>
                      </c:pt>
                      <c:pt idx="46" formatCode="General">
                        <c:v>2.6111074413774684E-21</c:v>
                      </c:pt>
                      <c:pt idx="47" formatCode="General">
                        <c:v>3.2865163636363735E-28</c:v>
                      </c:pt>
                      <c:pt idx="48" formatCode="General">
                        <c:v>1.1243345454545551E-28</c:v>
                      </c:pt>
                      <c:pt idx="49" formatCode="General">
                        <c:v>1.4933493975903557E-20</c:v>
                      </c:pt>
                      <c:pt idx="50" formatCode="General">
                        <c:v>4.6044939759036258E-20</c:v>
                      </c:pt>
                      <c:pt idx="51" formatCode="General">
                        <c:v>1.185322684032431E-13</c:v>
                      </c:pt>
                      <c:pt idx="52" formatCode="General">
                        <c:v>2.1393810335757511E-13</c:v>
                      </c:pt>
                      <c:pt idx="53" formatCode="General">
                        <c:v>6.9397534872726628E-14</c:v>
                      </c:pt>
                      <c:pt idx="54" formatCode="General">
                        <c:v>1.2396750642424195E-17</c:v>
                      </c:pt>
                      <c:pt idx="55" formatCode="General">
                        <c:v>1.5020403393938913E-18</c:v>
                      </c:pt>
                      <c:pt idx="56" formatCode="General">
                        <c:v>7.6232345454545409E-20</c:v>
                      </c:pt>
                      <c:pt idx="57" formatCode="General">
                        <c:v>7.0073717464600512E-16</c:v>
                      </c:pt>
                      <c:pt idx="58" formatCode="General">
                        <c:v>3.8855983366732349E-15</c:v>
                      </c:pt>
                      <c:pt idx="59" formatCode="General">
                        <c:v>7.0704594987004655E-15</c:v>
                      </c:pt>
                      <c:pt idx="60" formatCode="General">
                        <c:v>1.0255320660727694E-14</c:v>
                      </c:pt>
                      <c:pt idx="61" formatCode="General">
                        <c:v>1.3440181822754924E-14</c:v>
                      </c:pt>
                      <c:pt idx="62" formatCode="General">
                        <c:v>1.6625042984782154E-14</c:v>
                      </c:pt>
                      <c:pt idx="63" formatCode="General">
                        <c:v>1.9809904146809385E-14</c:v>
                      </c:pt>
                      <c:pt idx="64" formatCode="General">
                        <c:v>4.2459202904689998E-10</c:v>
                      </c:pt>
                      <c:pt idx="65" formatCode="General">
                        <c:v>1.1206100242057498E-9</c:v>
                      </c:pt>
                      <c:pt idx="66" formatCode="General">
                        <c:v>1.8166280193645998E-9</c:v>
                      </c:pt>
                      <c:pt idx="67" formatCode="General">
                        <c:v>2.5126460145234498E-9</c:v>
                      </c:pt>
                      <c:pt idx="68" formatCode="General">
                        <c:v>3.2086640096822996E-9</c:v>
                      </c:pt>
                      <c:pt idx="69" formatCode="General">
                        <c:v>3.9046820048411494E-9</c:v>
                      </c:pt>
                      <c:pt idx="70" formatCode="General">
                        <c:v>4.6006999999999996E-9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8894-4356-9EB2-6A9076CBABE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94-4356-9EB2-6A9076CBABE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8894-4356-9EB2-6A9076CBABE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0.14678787878787891</c:v>
                      </c:pt>
                      <c:pt idx="5" formatCode="General">
                        <c:v>0.23163636363636375</c:v>
                      </c:pt>
                      <c:pt idx="6" formatCode="General">
                        <c:v>0.28000000000000003</c:v>
                      </c:pt>
                      <c:pt idx="7" formatCode="General">
                        <c:v>0.28000000000000003</c:v>
                      </c:pt>
                      <c:pt idx="8" formatCode="General">
                        <c:v>0.28000000000000003</c:v>
                      </c:pt>
                      <c:pt idx="9" formatCode="General">
                        <c:v>0.28000000000000003</c:v>
                      </c:pt>
                      <c:pt idx="10" formatCode="General">
                        <c:v>0.28000000000000003</c:v>
                      </c:pt>
                      <c:pt idx="11" formatCode="General">
                        <c:v>0.28000000000000003</c:v>
                      </c:pt>
                      <c:pt idx="12" formatCode="General">
                        <c:v>0.28000000000000003</c:v>
                      </c:pt>
                      <c:pt idx="13" formatCode="General">
                        <c:v>0.28000000000000003</c:v>
                      </c:pt>
                      <c:pt idx="14" formatCode="General">
                        <c:v>0.28000000000000003</c:v>
                      </c:pt>
                      <c:pt idx="15" formatCode="General">
                        <c:v>0.28000000000000003</c:v>
                      </c:pt>
                      <c:pt idx="16" formatCode="General">
                        <c:v>0.28000000000000003</c:v>
                      </c:pt>
                      <c:pt idx="17" formatCode="General">
                        <c:v>0.28000000000000003</c:v>
                      </c:pt>
                      <c:pt idx="18" formatCode="General">
                        <c:v>0.28000000000000003</c:v>
                      </c:pt>
                      <c:pt idx="19" formatCode="General">
                        <c:v>0.28000000000000003</c:v>
                      </c:pt>
                      <c:pt idx="20" formatCode="General">
                        <c:v>0.28000000000000003</c:v>
                      </c:pt>
                      <c:pt idx="21" formatCode="General">
                        <c:v>0.18496976598545417</c:v>
                      </c:pt>
                      <c:pt idx="22" formatCode="General">
                        <c:v>1.5272919530908702E-2</c:v>
                      </c:pt>
                      <c:pt idx="23" formatCode="General">
                        <c:v>9.2937123493975774E-8</c:v>
                      </c:pt>
                      <c:pt idx="24" formatCode="General">
                        <c:v>1.8641208060606062E-9</c:v>
                      </c:pt>
                      <c:pt idx="25" formatCode="General">
                        <c:v>1.5706040303030303E-9</c:v>
                      </c:pt>
                      <c:pt idx="26" formatCode="General">
                        <c:v>1.2770872545454544E-9</c:v>
                      </c:pt>
                      <c:pt idx="27" formatCode="General">
                        <c:v>9.835704787878787E-10</c:v>
                      </c:pt>
                      <c:pt idx="28" formatCode="General">
                        <c:v>6.9005370303030281E-10</c:v>
                      </c:pt>
                      <c:pt idx="29" formatCode="General">
                        <c:v>3.9653692727272713E-10</c:v>
                      </c:pt>
                      <c:pt idx="30" formatCode="General">
                        <c:v>1.0302015151515124E-10</c:v>
                      </c:pt>
                      <c:pt idx="31" formatCode="General">
                        <c:v>2.6083340451138354E-13</c:v>
                      </c:pt>
                      <c:pt idx="32" formatCode="General">
                        <c:v>2.1706941145197357E-13</c:v>
                      </c:pt>
                      <c:pt idx="33" formatCode="General">
                        <c:v>1.7330541839256359E-13</c:v>
                      </c:pt>
                      <c:pt idx="34" formatCode="General">
                        <c:v>1.2954142533315362E-13</c:v>
                      </c:pt>
                      <c:pt idx="35" formatCode="General">
                        <c:v>8.5777432273743667E-14</c:v>
                      </c:pt>
                      <c:pt idx="36" formatCode="General">
                        <c:v>4.2013439214333693E-14</c:v>
                      </c:pt>
                      <c:pt idx="37" formatCode="General">
                        <c:v>5.8417338880484137E-21</c:v>
                      </c:pt>
                      <c:pt idx="38" formatCode="General">
                        <c:v>4.9525810892587012E-21</c:v>
                      </c:pt>
                      <c:pt idx="39" formatCode="General">
                        <c:v>4.0634282904689888E-21</c:v>
                      </c:pt>
                      <c:pt idx="40" formatCode="General">
                        <c:v>3.1742754916792768E-21</c:v>
                      </c:pt>
                      <c:pt idx="41" formatCode="General">
                        <c:v>2.2851226928895648E-21</c:v>
                      </c:pt>
                      <c:pt idx="42" formatCode="General">
                        <c:v>1.3959698940998524E-21</c:v>
                      </c:pt>
                      <c:pt idx="43" formatCode="General">
                        <c:v>5.0681709531013994E-22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94-4356-9EB2-6A9076CBABE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3.8295915279878965E-37</c:v>
                      </c:pt>
                      <c:pt idx="32" formatCode="General">
                        <c:v>9.7212708018154291E-37</c:v>
                      </c:pt>
                      <c:pt idx="33" formatCode="General">
                        <c:v>1.5612950075642961E-36</c:v>
                      </c:pt>
                      <c:pt idx="34" formatCode="General">
                        <c:v>2.1504629349470494E-36</c:v>
                      </c:pt>
                      <c:pt idx="35" formatCode="General">
                        <c:v>2.7396308623298028E-36</c:v>
                      </c:pt>
                      <c:pt idx="36" formatCode="General">
                        <c:v>3.3287987897125558E-36</c:v>
                      </c:pt>
                      <c:pt idx="37" formatCode="General">
                        <c:v>6.6051437216338959E-23</c:v>
                      </c:pt>
                      <c:pt idx="38" formatCode="General">
                        <c:v>1.7173373676248096E-21</c:v>
                      </c:pt>
                      <c:pt idx="39" formatCode="General">
                        <c:v>3.3686232980332803E-21</c:v>
                      </c:pt>
                      <c:pt idx="40" formatCode="General">
                        <c:v>5.0199092284417509E-21</c:v>
                      </c:pt>
                      <c:pt idx="41" formatCode="General">
                        <c:v>6.671195158850222E-21</c:v>
                      </c:pt>
                      <c:pt idx="42" formatCode="General">
                        <c:v>8.322481089258693E-21</c:v>
                      </c:pt>
                      <c:pt idx="43" formatCode="General">
                        <c:v>9.973767019667164E-21</c:v>
                      </c:pt>
                      <c:pt idx="44" formatCode="General">
                        <c:v>1.515115151515147E-20</c:v>
                      </c:pt>
                      <c:pt idx="45" formatCode="General">
                        <c:v>2.5002666666666624E-20</c:v>
                      </c:pt>
                      <c:pt idx="46" formatCode="General">
                        <c:v>1.3005816909090833E-17</c:v>
                      </c:pt>
                      <c:pt idx="47" formatCode="General">
                        <c:v>2.7022981818181833E-17</c:v>
                      </c:pt>
                      <c:pt idx="48" formatCode="General">
                        <c:v>2.3492072727272744E-17</c:v>
                      </c:pt>
                      <c:pt idx="49" formatCode="General">
                        <c:v>1.1959518087683135E-8</c:v>
                      </c:pt>
                      <c:pt idx="50" formatCode="General">
                        <c:v>3.6875180725239895E-8</c:v>
                      </c:pt>
                      <c:pt idx="51" formatCode="General">
                        <c:v>1.911267878787887E-7</c:v>
                      </c:pt>
                      <c:pt idx="52" formatCode="General">
                        <c:v>3.3370587878787851E-7</c:v>
                      </c:pt>
                      <c:pt idx="53" formatCode="General">
                        <c:v>2.8068163636363612E-7</c:v>
                      </c:pt>
                      <c:pt idx="54" formatCode="General">
                        <c:v>2.3450248484848466E-7</c:v>
                      </c:pt>
                      <c:pt idx="55" formatCode="General">
                        <c:v>1.9464187878787859E-7</c:v>
                      </c:pt>
                      <c:pt idx="56" formatCode="General">
                        <c:v>1.7598290909090901E-7</c:v>
                      </c:pt>
                      <c:pt idx="57" formatCode="General">
                        <c:v>1.6033210590015122E-7</c:v>
                      </c:pt>
                      <c:pt idx="58" formatCode="General">
                        <c:v>1.4411440544629343E-7</c:v>
                      </c:pt>
                      <c:pt idx="59" formatCode="General">
                        <c:v>1.2789670499243564E-7</c:v>
                      </c:pt>
                      <c:pt idx="60" formatCode="General">
                        <c:v>1.1167900453857786E-7</c:v>
                      </c:pt>
                      <c:pt idx="61" formatCode="General">
                        <c:v>9.5461304084720078E-8</c:v>
                      </c:pt>
                      <c:pt idx="62" formatCode="General">
                        <c:v>7.9243603630862285E-8</c:v>
                      </c:pt>
                      <c:pt idx="63" formatCode="General">
                        <c:v>6.3025903177004505E-8</c:v>
                      </c:pt>
                      <c:pt idx="64" formatCode="General">
                        <c:v>5.2980461422087734E-8</c:v>
                      </c:pt>
                      <c:pt idx="65" formatCode="General">
                        <c:v>4.6881217851739778E-8</c:v>
                      </c:pt>
                      <c:pt idx="66" formatCode="General">
                        <c:v>4.0781974281391822E-8</c:v>
                      </c:pt>
                      <c:pt idx="67" formatCode="General">
                        <c:v>3.4682730711043866E-8</c:v>
                      </c:pt>
                      <c:pt idx="68" formatCode="General">
                        <c:v>2.8583487140695906E-8</c:v>
                      </c:pt>
                      <c:pt idx="69" formatCode="General">
                        <c:v>2.2484243570347954E-8</c:v>
                      </c:pt>
                      <c:pt idx="70" formatCode="General">
                        <c:v>1.6384999999999997E-8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94-4356-9EB2-6A9076CBABE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3.0490015128593028E-30</c:v>
                      </c:pt>
                      <c:pt idx="32" formatCode="General">
                        <c:v>7.7397730711043845E-30</c:v>
                      </c:pt>
                      <c:pt idx="33" formatCode="General">
                        <c:v>1.2430544629349466E-29</c:v>
                      </c:pt>
                      <c:pt idx="34" formatCode="General">
                        <c:v>1.7121316187594548E-29</c:v>
                      </c:pt>
                      <c:pt idx="35" formatCode="General">
                        <c:v>2.1812087745839629E-29</c:v>
                      </c:pt>
                      <c:pt idx="36" formatCode="General">
                        <c:v>2.650285930408471E-29</c:v>
                      </c:pt>
                      <c:pt idx="37" formatCode="General">
                        <c:v>2.5344629349469081E-14</c:v>
                      </c:pt>
                      <c:pt idx="38" formatCode="General">
                        <c:v>6.589603630862313E-13</c:v>
                      </c:pt>
                      <c:pt idx="39" formatCode="General">
                        <c:v>1.2925760968229934E-12</c:v>
                      </c:pt>
                      <c:pt idx="40" formatCode="General">
                        <c:v>1.9261918305597557E-12</c:v>
                      </c:pt>
                      <c:pt idx="41" formatCode="General">
                        <c:v>2.5598075642965179E-12</c:v>
                      </c:pt>
                      <c:pt idx="42" formatCode="General">
                        <c:v>3.1934232980332802E-12</c:v>
                      </c:pt>
                      <c:pt idx="43" formatCode="General">
                        <c:v>3.8270390317700424E-12</c:v>
                      </c:pt>
                      <c:pt idx="44" formatCode="General">
                        <c:v>1.1030721794181701E-7</c:v>
                      </c:pt>
                      <c:pt idx="45" formatCode="General">
                        <c:v>3.6682589175999881E-7</c:v>
                      </c:pt>
                      <c:pt idx="46" formatCode="General">
                        <c:v>5.7878231734545121E-3</c:v>
                      </c:pt>
                      <c:pt idx="47" formatCode="General">
                        <c:v>1.2629690909090895E-2</c:v>
                      </c:pt>
                      <c:pt idx="48" formatCode="General">
                        <c:v>1.5604236363636351E-2</c:v>
                      </c:pt>
                      <c:pt idx="49" formatCode="General">
                        <c:v>1.219168228192773E-2</c:v>
                      </c:pt>
                      <c:pt idx="50" formatCode="General">
                        <c:v>1.8597703692770726E-3</c:v>
                      </c:pt>
                      <c:pt idx="51" formatCode="General">
                        <c:v>1.3192284273818109E-8</c:v>
                      </c:pt>
                      <c:pt idx="52" formatCode="General">
                        <c:v>5.6777284848490001E-13</c:v>
                      </c:pt>
                      <c:pt idx="53" formatCode="General">
                        <c:v>1.8414254545491024E-13</c:v>
                      </c:pt>
                      <c:pt idx="54" formatCode="General">
                        <c:v>3.5401187878787738E-25</c:v>
                      </c:pt>
                      <c:pt idx="55" formatCode="General">
                        <c:v>4.0727030303028926E-26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94-4356-9EB2-6A9076CBABE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7.6477333333333218E-34</c:v>
                      </c:pt>
                      <c:pt idx="9" formatCode="General">
                        <c:v>3.7018924287054201E-27</c:v>
                      </c:pt>
                      <c:pt idx="10" formatCode="General">
                        <c:v>3.4550982344584207E-26</c:v>
                      </c:pt>
                      <c:pt idx="11" formatCode="General">
                        <c:v>1.0903857791225867E-12</c:v>
                      </c:pt>
                      <c:pt idx="12" formatCode="General">
                        <c:v>3.4103555219364985E-12</c:v>
                      </c:pt>
                      <c:pt idx="13" formatCode="General">
                        <c:v>5.7303252647504103E-12</c:v>
                      </c:pt>
                      <c:pt idx="14" formatCode="General">
                        <c:v>8.0502950075643224E-12</c:v>
                      </c:pt>
                      <c:pt idx="15" formatCode="General">
                        <c:v>1.0370264750378235E-11</c:v>
                      </c:pt>
                      <c:pt idx="16" formatCode="General">
                        <c:v>1.2690234493192147E-11</c:v>
                      </c:pt>
                      <c:pt idx="17" formatCode="General">
                        <c:v>1.5010204236006057E-11</c:v>
                      </c:pt>
                      <c:pt idx="18" formatCode="General">
                        <c:v>2.3787433333333395E-10</c:v>
                      </c:pt>
                      <c:pt idx="19" formatCode="General">
                        <c:v>2.7661345454545706E-9</c:v>
                      </c:pt>
                      <c:pt idx="20" formatCode="General">
                        <c:v>1.3832013333333357E-8</c:v>
                      </c:pt>
                      <c:pt idx="21" formatCode="General">
                        <c:v>4.751516386914565E-2</c:v>
                      </c:pt>
                      <c:pt idx="22" formatCode="General">
                        <c:v>0.13236363738369111</c:v>
                      </c:pt>
                      <c:pt idx="23" formatCode="General">
                        <c:v>0.14000000000000001</c:v>
                      </c:pt>
                      <c:pt idx="24" formatCode="General">
                        <c:v>0.14000000000000001</c:v>
                      </c:pt>
                      <c:pt idx="25" formatCode="General">
                        <c:v>0.14000000000000001</c:v>
                      </c:pt>
                      <c:pt idx="26" formatCode="General">
                        <c:v>0.14000000000000001</c:v>
                      </c:pt>
                      <c:pt idx="27" formatCode="General">
                        <c:v>0.14000000000000001</c:v>
                      </c:pt>
                      <c:pt idx="28" formatCode="General">
                        <c:v>0.14000000000000001</c:v>
                      </c:pt>
                      <c:pt idx="29" formatCode="General">
                        <c:v>0.14000000000000001</c:v>
                      </c:pt>
                      <c:pt idx="30" formatCode="General">
                        <c:v>0.14000000000000001</c:v>
                      </c:pt>
                      <c:pt idx="31" formatCode="General">
                        <c:v>0.14000000000000001</c:v>
                      </c:pt>
                      <c:pt idx="32" formatCode="General">
                        <c:v>0.14000000000000001</c:v>
                      </c:pt>
                      <c:pt idx="33" formatCode="General">
                        <c:v>0.14000000000000001</c:v>
                      </c:pt>
                      <c:pt idx="34" formatCode="General">
                        <c:v>0.14000000000000001</c:v>
                      </c:pt>
                      <c:pt idx="35" formatCode="General">
                        <c:v>0.14000000000000001</c:v>
                      </c:pt>
                      <c:pt idx="36" formatCode="General">
                        <c:v>0.14000000000000001</c:v>
                      </c:pt>
                      <c:pt idx="37" formatCode="General">
                        <c:v>0.14000000000000001</c:v>
                      </c:pt>
                      <c:pt idx="38" formatCode="General">
                        <c:v>0.14000000000000001</c:v>
                      </c:pt>
                      <c:pt idx="39" formatCode="General">
                        <c:v>0.14000000000000001</c:v>
                      </c:pt>
                      <c:pt idx="40" formatCode="General">
                        <c:v>0.14000000000000001</c:v>
                      </c:pt>
                      <c:pt idx="41" formatCode="General">
                        <c:v>0.14000000000000001</c:v>
                      </c:pt>
                      <c:pt idx="42" formatCode="General">
                        <c:v>0.14000000000000001</c:v>
                      </c:pt>
                      <c:pt idx="43" formatCode="General">
                        <c:v>0.14000000000000001</c:v>
                      </c:pt>
                      <c:pt idx="44" formatCode="General">
                        <c:v>0.14000000000000001</c:v>
                      </c:pt>
                      <c:pt idx="45" formatCode="General">
                        <c:v>0.14000000000000001</c:v>
                      </c:pt>
                      <c:pt idx="46" formatCode="General">
                        <c:v>0.14000000000000001</c:v>
                      </c:pt>
                      <c:pt idx="47" formatCode="General">
                        <c:v>0.14000000000000001</c:v>
                      </c:pt>
                      <c:pt idx="48" formatCode="General">
                        <c:v>0.14000000000000001</c:v>
                      </c:pt>
                      <c:pt idx="49" formatCode="General">
                        <c:v>0.13899084337349399</c:v>
                      </c:pt>
                      <c:pt idx="50" formatCode="General">
                        <c:v>0.13688843373493975</c:v>
                      </c:pt>
                      <c:pt idx="51" formatCode="General">
                        <c:v>0.13619690909090909</c:v>
                      </c:pt>
                      <c:pt idx="52" formatCode="General">
                        <c:v>0.13581818181818181</c:v>
                      </c:pt>
                      <c:pt idx="53" formatCode="General">
                        <c:v>0.13545454545454547</c:v>
                      </c:pt>
                      <c:pt idx="54" formatCode="General">
                        <c:v>0.135072</c:v>
                      </c:pt>
                      <c:pt idx="55" formatCode="General">
                        <c:v>0.13467199999999999</c:v>
                      </c:pt>
                      <c:pt idx="56" formatCode="General">
                        <c:v>0.13423509090909092</c:v>
                      </c:pt>
                      <c:pt idx="57" formatCode="General">
                        <c:v>0.13375686838124054</c:v>
                      </c:pt>
                      <c:pt idx="58" formatCode="General">
                        <c:v>0.13315172465960667</c:v>
                      </c:pt>
                      <c:pt idx="59" formatCode="General">
                        <c:v>0.13254658093797278</c:v>
                      </c:pt>
                      <c:pt idx="60" formatCode="General">
                        <c:v>0.13194143721633889</c:v>
                      </c:pt>
                      <c:pt idx="61" formatCode="General">
                        <c:v>0.13133629349470499</c:v>
                      </c:pt>
                      <c:pt idx="62" formatCode="General">
                        <c:v>0.1307311497730711</c:v>
                      </c:pt>
                      <c:pt idx="63" formatCode="General">
                        <c:v>0.13012600605143723</c:v>
                      </c:pt>
                      <c:pt idx="64" formatCode="General">
                        <c:v>0.12925139183055975</c:v>
                      </c:pt>
                      <c:pt idx="65" formatCode="General">
                        <c:v>0.12820449319213315</c:v>
                      </c:pt>
                      <c:pt idx="66" formatCode="General">
                        <c:v>0.12715759455370651</c:v>
                      </c:pt>
                      <c:pt idx="67" formatCode="General">
                        <c:v>0.12611069591527987</c:v>
                      </c:pt>
                      <c:pt idx="68" formatCode="General">
                        <c:v>0.12506379727685324</c:v>
                      </c:pt>
                      <c:pt idx="69" formatCode="General">
                        <c:v>0.12401689863842662</c:v>
                      </c:pt>
                      <c:pt idx="70" formatCode="General">
                        <c:v>0.12297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94-4356-9EB2-6A9076CBABE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2.573569135539396E-12</c:v>
                      </c:pt>
                      <c:pt idx="1">
                        <c:v>3.3883989636363737E-10</c:v>
                      </c:pt>
                      <c:pt idx="2">
                        <c:v>1.2196746236363646E-9</c:v>
                      </c:pt>
                      <c:pt idx="3">
                        <c:v>1.3579630303030326E-7</c:v>
                      </c:pt>
                      <c:pt idx="4" formatCode="General">
                        <c:v>6.7881690951516133E-3</c:v>
                      </c:pt>
                      <c:pt idx="5" formatCode="General">
                        <c:v>9.1636469034545573E-2</c:v>
                      </c:pt>
                      <c:pt idx="6" formatCode="General">
                        <c:v>0.14000000000000001</c:v>
                      </c:pt>
                      <c:pt idx="7" formatCode="General">
                        <c:v>0.14000000000000001</c:v>
                      </c:pt>
                      <c:pt idx="8" formatCode="General">
                        <c:v>0.14000000000000001</c:v>
                      </c:pt>
                      <c:pt idx="9" formatCode="General">
                        <c:v>0.14000000000000001</c:v>
                      </c:pt>
                      <c:pt idx="10" formatCode="General">
                        <c:v>0.14000000000000001</c:v>
                      </c:pt>
                      <c:pt idx="11" formatCode="General">
                        <c:v>0.14000000000000001</c:v>
                      </c:pt>
                      <c:pt idx="12" formatCode="General">
                        <c:v>0.14000000000000001</c:v>
                      </c:pt>
                      <c:pt idx="13" formatCode="General">
                        <c:v>0.14000000000000001</c:v>
                      </c:pt>
                      <c:pt idx="14" formatCode="General">
                        <c:v>0.14000000000000001</c:v>
                      </c:pt>
                      <c:pt idx="15" formatCode="General">
                        <c:v>0.14000000000000001</c:v>
                      </c:pt>
                      <c:pt idx="16" formatCode="General">
                        <c:v>0.14000000000000001</c:v>
                      </c:pt>
                      <c:pt idx="17" formatCode="General">
                        <c:v>0.14000000000000001</c:v>
                      </c:pt>
                      <c:pt idx="18" formatCode="General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0.14000000000000001</c:v>
                      </c:pt>
                      <c:pt idx="21" formatCode="General">
                        <c:v>0.23503030303030342</c:v>
                      </c:pt>
                      <c:pt idx="22" formatCode="General">
                        <c:v>0.4047272727272731</c:v>
                      </c:pt>
                      <c:pt idx="23" formatCode="General">
                        <c:v>0.42</c:v>
                      </c:pt>
                      <c:pt idx="24" formatCode="General">
                        <c:v>0.42</c:v>
                      </c:pt>
                      <c:pt idx="25" formatCode="General">
                        <c:v>0.42</c:v>
                      </c:pt>
                      <c:pt idx="26" formatCode="General">
                        <c:v>0.42</c:v>
                      </c:pt>
                      <c:pt idx="27" formatCode="General">
                        <c:v>0.42</c:v>
                      </c:pt>
                      <c:pt idx="28" formatCode="General">
                        <c:v>0.42</c:v>
                      </c:pt>
                      <c:pt idx="29" formatCode="General">
                        <c:v>0.42</c:v>
                      </c:pt>
                      <c:pt idx="30" formatCode="General">
                        <c:v>0.42</c:v>
                      </c:pt>
                      <c:pt idx="31" formatCode="General">
                        <c:v>0.42</c:v>
                      </c:pt>
                      <c:pt idx="32" formatCode="General">
                        <c:v>0.42</c:v>
                      </c:pt>
                      <c:pt idx="33" formatCode="General">
                        <c:v>0.42</c:v>
                      </c:pt>
                      <c:pt idx="34" formatCode="General">
                        <c:v>0.42</c:v>
                      </c:pt>
                      <c:pt idx="35" formatCode="General">
                        <c:v>0.42</c:v>
                      </c:pt>
                      <c:pt idx="36" formatCode="General">
                        <c:v>0.42</c:v>
                      </c:pt>
                      <c:pt idx="37" formatCode="General">
                        <c:v>0.42</c:v>
                      </c:pt>
                      <c:pt idx="38" formatCode="General">
                        <c:v>0.42</c:v>
                      </c:pt>
                      <c:pt idx="39" formatCode="General">
                        <c:v>0.42</c:v>
                      </c:pt>
                      <c:pt idx="40" formatCode="General">
                        <c:v>0.42</c:v>
                      </c:pt>
                      <c:pt idx="41" formatCode="General">
                        <c:v>0.42</c:v>
                      </c:pt>
                      <c:pt idx="42" formatCode="General">
                        <c:v>0.42</c:v>
                      </c:pt>
                      <c:pt idx="43" formatCode="General">
                        <c:v>0.42</c:v>
                      </c:pt>
                      <c:pt idx="44" formatCode="General">
                        <c:v>0.42</c:v>
                      </c:pt>
                      <c:pt idx="45" formatCode="General">
                        <c:v>0.42</c:v>
                      </c:pt>
                      <c:pt idx="46" formatCode="General">
                        <c:v>0.43157709090909085</c:v>
                      </c:pt>
                      <c:pt idx="47" formatCode="General">
                        <c:v>0.44526290909090904</c:v>
                      </c:pt>
                      <c:pt idx="48" formatCode="General">
                        <c:v>0.45120836363636357</c:v>
                      </c:pt>
                      <c:pt idx="49" formatCode="General">
                        <c:v>0.46107204819277103</c:v>
                      </c:pt>
                      <c:pt idx="50" formatCode="General">
                        <c:v>0.4751804819277109</c:v>
                      </c:pt>
                      <c:pt idx="51" formatCode="General">
                        <c:v>0.47867418181818183</c:v>
                      </c:pt>
                      <c:pt idx="52" formatCode="General">
                        <c:v>0.47967090909090909</c:v>
                      </c:pt>
                      <c:pt idx="53" formatCode="General">
                        <c:v>0.47985272727272726</c:v>
                      </c:pt>
                      <c:pt idx="54" formatCode="General">
                        <c:v>0.47995575757575759</c:v>
                      </c:pt>
                      <c:pt idx="55" formatCode="General">
                        <c:v>0.47998606060606064</c:v>
                      </c:pt>
                      <c:pt idx="56" formatCode="General">
                        <c:v>0.47999527272727271</c:v>
                      </c:pt>
                      <c:pt idx="57" formatCode="General">
                        <c:v>0.48</c:v>
                      </c:pt>
                      <c:pt idx="58" formatCode="General">
                        <c:v>0.48</c:v>
                      </c:pt>
                      <c:pt idx="59" formatCode="General">
                        <c:v>0.48</c:v>
                      </c:pt>
                      <c:pt idx="60" formatCode="General">
                        <c:v>0.48</c:v>
                      </c:pt>
                      <c:pt idx="61" formatCode="General">
                        <c:v>0.48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94-4356-9EB2-6A9076CBABE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 formatCode="General">
                        <c:v>0.13321212136829083</c:v>
                      </c:pt>
                      <c:pt idx="5" formatCode="General">
                        <c:v>4.8363638471927178E-2</c:v>
                      </c:pt>
                      <c:pt idx="6" formatCode="General">
                        <c:v>2.438389638554216E-9</c:v>
                      </c:pt>
                      <c:pt idx="7" formatCode="General">
                        <c:v>6.1836554216867627E-10</c:v>
                      </c:pt>
                      <c:pt idx="8" formatCode="General">
                        <c:v>1.1103458000000013E-10</c:v>
                      </c:pt>
                      <c:pt idx="9" formatCode="General">
                        <c:v>8.9437050909090977E-12</c:v>
                      </c:pt>
                      <c:pt idx="10" formatCode="General">
                        <c:v>3.1904141818181896E-12</c:v>
                      </c:pt>
                      <c:pt idx="11" formatCode="General">
                        <c:v>1.3113219364599294E-13</c:v>
                      </c:pt>
                      <c:pt idx="12" formatCode="General">
                        <c:v>1.0977515885023324E-13</c:v>
                      </c:pt>
                      <c:pt idx="13" formatCode="General">
                        <c:v>8.8418124054473509E-14</c:v>
                      </c:pt>
                      <c:pt idx="14" formatCode="General">
                        <c:v>6.7061089258713806E-14</c:v>
                      </c:pt>
                      <c:pt idx="15" formatCode="General">
                        <c:v>4.5704054462954091E-14</c:v>
                      </c:pt>
                      <c:pt idx="16" formatCode="General">
                        <c:v>2.4347019667194375E-14</c:v>
                      </c:pt>
                      <c:pt idx="17" formatCode="General">
                        <c:v>2.9899848714346473E-15</c:v>
                      </c:pt>
                      <c:pt idx="18" formatCode="General">
                        <c:v>1.3578903030302993E-26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94-4356-9EB2-6A9076CBABE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 formatCode="General">
                        <c:v>0.02</c:v>
                      </c:pt>
                      <c:pt idx="5" formatCode="General">
                        <c:v>0.02</c:v>
                      </c:pt>
                      <c:pt idx="6" formatCode="General">
                        <c:v>0.02</c:v>
                      </c:pt>
                      <c:pt idx="7" formatCode="General">
                        <c:v>0.02</c:v>
                      </c:pt>
                      <c:pt idx="8" formatCode="General">
                        <c:v>0.02</c:v>
                      </c:pt>
                      <c:pt idx="9" formatCode="General">
                        <c:v>0.02</c:v>
                      </c:pt>
                      <c:pt idx="10" formatCode="General">
                        <c:v>0.02</c:v>
                      </c:pt>
                      <c:pt idx="11" formatCode="General">
                        <c:v>0.02</c:v>
                      </c:pt>
                      <c:pt idx="12" formatCode="General">
                        <c:v>0.02</c:v>
                      </c:pt>
                      <c:pt idx="13" formatCode="General">
                        <c:v>0.02</c:v>
                      </c:pt>
                      <c:pt idx="14" formatCode="General">
                        <c:v>0.02</c:v>
                      </c:pt>
                      <c:pt idx="15" formatCode="General">
                        <c:v>0.02</c:v>
                      </c:pt>
                      <c:pt idx="16" formatCode="General">
                        <c:v>0.02</c:v>
                      </c:pt>
                      <c:pt idx="17" formatCode="General">
                        <c:v>0.02</c:v>
                      </c:pt>
                      <c:pt idx="18" formatCode="General">
                        <c:v>0.02</c:v>
                      </c:pt>
                      <c:pt idx="19" formatCode="General">
                        <c:v>0.02</c:v>
                      </c:pt>
                      <c:pt idx="20" formatCode="General">
                        <c:v>0.02</c:v>
                      </c:pt>
                      <c:pt idx="21" formatCode="General">
                        <c:v>0.02</c:v>
                      </c:pt>
                      <c:pt idx="22" formatCode="General">
                        <c:v>0.02</c:v>
                      </c:pt>
                      <c:pt idx="23" formatCode="General">
                        <c:v>0.02</c:v>
                      </c:pt>
                      <c:pt idx="24" formatCode="General">
                        <c:v>0.02</c:v>
                      </c:pt>
                      <c:pt idx="25" formatCode="General">
                        <c:v>0.02</c:v>
                      </c:pt>
                      <c:pt idx="26" formatCode="General">
                        <c:v>0.02</c:v>
                      </c:pt>
                      <c:pt idx="27" formatCode="General">
                        <c:v>0.02</c:v>
                      </c:pt>
                      <c:pt idx="28" formatCode="General">
                        <c:v>0.02</c:v>
                      </c:pt>
                      <c:pt idx="29" formatCode="General">
                        <c:v>0.02</c:v>
                      </c:pt>
                      <c:pt idx="30" formatCode="General">
                        <c:v>0.02</c:v>
                      </c:pt>
                      <c:pt idx="31" formatCode="General">
                        <c:v>0.02</c:v>
                      </c:pt>
                      <c:pt idx="32" formatCode="General">
                        <c:v>0.02</c:v>
                      </c:pt>
                      <c:pt idx="33" formatCode="General">
                        <c:v>0.02</c:v>
                      </c:pt>
                      <c:pt idx="34" formatCode="General">
                        <c:v>0.02</c:v>
                      </c:pt>
                      <c:pt idx="35" formatCode="General">
                        <c:v>0.02</c:v>
                      </c:pt>
                      <c:pt idx="36" formatCode="General">
                        <c:v>0.02</c:v>
                      </c:pt>
                      <c:pt idx="37" formatCode="General">
                        <c:v>0.02</c:v>
                      </c:pt>
                      <c:pt idx="38" formatCode="General">
                        <c:v>0.02</c:v>
                      </c:pt>
                      <c:pt idx="39" formatCode="General">
                        <c:v>0.02</c:v>
                      </c:pt>
                      <c:pt idx="40" formatCode="General">
                        <c:v>0.02</c:v>
                      </c:pt>
                      <c:pt idx="41" formatCode="General">
                        <c:v>0.02</c:v>
                      </c:pt>
                      <c:pt idx="42" formatCode="General">
                        <c:v>0.02</c:v>
                      </c:pt>
                      <c:pt idx="43" formatCode="General">
                        <c:v>0.02</c:v>
                      </c:pt>
                      <c:pt idx="44" formatCode="General">
                        <c:v>0.02</c:v>
                      </c:pt>
                      <c:pt idx="45" formatCode="General">
                        <c:v>0.02</c:v>
                      </c:pt>
                      <c:pt idx="46" formatCode="General">
                        <c:v>1.4212210909090943E-2</c:v>
                      </c:pt>
                      <c:pt idx="47" formatCode="General">
                        <c:v>7.3699169696969831E-3</c:v>
                      </c:pt>
                      <c:pt idx="48" formatCode="General">
                        <c:v>4.3954321212121353E-3</c:v>
                      </c:pt>
                      <c:pt idx="49" formatCode="General">
                        <c:v>2.2444002409638579E-3</c:v>
                      </c:pt>
                      <c:pt idx="50" formatCode="General">
                        <c:v>9.8544240963854986E-4</c:v>
                      </c:pt>
                      <c:pt idx="51" formatCode="General">
                        <c:v>4.4134587878787699E-4</c:v>
                      </c:pt>
                      <c:pt idx="52" formatCode="General">
                        <c:v>1.0969016363636336E-4</c:v>
                      </c:pt>
                      <c:pt idx="53" formatCode="General">
                        <c:v>4.9102890909090633E-5</c:v>
                      </c:pt>
                      <c:pt idx="54" formatCode="General">
                        <c:v>1.4816052121212076E-5</c:v>
                      </c:pt>
                      <c:pt idx="55" formatCode="General">
                        <c:v>4.806536969696922E-6</c:v>
                      </c:pt>
                      <c:pt idx="56" formatCode="General">
                        <c:v>1.9953754545454465E-6</c:v>
                      </c:pt>
                      <c:pt idx="57" formatCode="General">
                        <c:v>6.2032924750378176E-7</c:v>
                      </c:pt>
                      <c:pt idx="58" formatCode="General">
                        <c:v>5.2341673615733698E-7</c:v>
                      </c:pt>
                      <c:pt idx="59" formatCode="General">
                        <c:v>4.2650422481089226E-7</c:v>
                      </c:pt>
                      <c:pt idx="60" formatCode="General">
                        <c:v>3.2959171346444754E-7</c:v>
                      </c:pt>
                      <c:pt idx="61" formatCode="General">
                        <c:v>2.3267920211800276E-7</c:v>
                      </c:pt>
                      <c:pt idx="62" formatCode="General">
                        <c:v>1.3576669077155798E-7</c:v>
                      </c:pt>
                      <c:pt idx="63" formatCode="General">
                        <c:v>3.8854179425113315E-8</c:v>
                      </c:pt>
                      <c:pt idx="64" formatCode="General">
                        <c:v>9.6089549531013581E-10</c:v>
                      </c:pt>
                      <c:pt idx="65" formatCode="General">
                        <c:v>8.0121597942511312E-10</c:v>
                      </c:pt>
                      <c:pt idx="66" formatCode="General">
                        <c:v>6.4153646354009044E-10</c:v>
                      </c:pt>
                      <c:pt idx="67" formatCode="General">
                        <c:v>4.8185694765506786E-10</c:v>
                      </c:pt>
                      <c:pt idx="68" formatCode="General">
                        <c:v>3.2217743177004517E-10</c:v>
                      </c:pt>
                      <c:pt idx="69" formatCode="General">
                        <c:v>1.6249791588502259E-10</c:v>
                      </c:pt>
                      <c:pt idx="70" formatCode="General">
                        <c:v>2.8183999999999E-12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94-4356-9EB2-6A9076CBABE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894-4356-9EB2-6A9076CBABE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1.3726515151515151E-21</c:v>
                      </c:pt>
                      <c:pt idx="25" formatCode="General">
                        <c:v>6.8632575757575751E-21</c:v>
                      </c:pt>
                      <c:pt idx="26" formatCode="General">
                        <c:v>1.2353863636363637E-20</c:v>
                      </c:pt>
                      <c:pt idx="27" formatCode="General">
                        <c:v>1.7844469696969697E-20</c:v>
                      </c:pt>
                      <c:pt idx="28" formatCode="General">
                        <c:v>2.3335075757575756E-20</c:v>
                      </c:pt>
                      <c:pt idx="29" formatCode="General">
                        <c:v>2.8825681818181815E-20</c:v>
                      </c:pt>
                      <c:pt idx="30" formatCode="General">
                        <c:v>3.431628787878788E-20</c:v>
                      </c:pt>
                      <c:pt idx="31" formatCode="General">
                        <c:v>6.9261219332042341E-15</c:v>
                      </c:pt>
                      <c:pt idx="32" formatCode="General">
                        <c:v>1.7581638387364595E-14</c:v>
                      </c:pt>
                      <c:pt idx="33" formatCode="General">
                        <c:v>2.8237154841524956E-14</c:v>
                      </c:pt>
                      <c:pt idx="34" formatCode="General">
                        <c:v>3.889267129568531E-14</c:v>
                      </c:pt>
                      <c:pt idx="35" formatCode="General">
                        <c:v>4.9548187749845674E-14</c:v>
                      </c:pt>
                      <c:pt idx="36" formatCode="General">
                        <c:v>6.0203704204006032E-14</c:v>
                      </c:pt>
                      <c:pt idx="37" formatCode="General">
                        <c:v>1.8615347670195642E-12</c:v>
                      </c:pt>
                      <c:pt idx="38" formatCode="General">
                        <c:v>4.6639078942511217E-11</c:v>
                      </c:pt>
                      <c:pt idx="39" formatCode="General">
                        <c:v>9.1416623118002874E-11</c:v>
                      </c:pt>
                      <c:pt idx="40" formatCode="General">
                        <c:v>1.3619416729349452E-10</c:v>
                      </c:pt>
                      <c:pt idx="41" formatCode="General">
                        <c:v>1.8097171146898619E-10</c:v>
                      </c:pt>
                      <c:pt idx="42" formatCode="General">
                        <c:v>2.2574925564447783E-10</c:v>
                      </c:pt>
                      <c:pt idx="43" formatCode="General">
                        <c:v>2.7052679981996953E-10</c:v>
                      </c:pt>
                      <c:pt idx="44" formatCode="General">
                        <c:v>2.4597454545454599E-10</c:v>
                      </c:pt>
                      <c:pt idx="45" formatCode="General">
                        <c:v>1.2952000000000053E-10</c:v>
                      </c:pt>
                      <c:pt idx="46" formatCode="General">
                        <c:v>7.2203836363635944E-9</c:v>
                      </c:pt>
                      <c:pt idx="47" formatCode="General">
                        <c:v>3.0884218181817631E-8</c:v>
                      </c:pt>
                      <c:pt idx="48" formatCode="General">
                        <c:v>1.5185512727272673E-7</c:v>
                      </c:pt>
                      <c:pt idx="49" formatCode="General">
                        <c:v>1.1127477961927668E-2</c:v>
                      </c:pt>
                      <c:pt idx="50" formatCode="General">
                        <c:v>3.4309276299277193E-2</c:v>
                      </c:pt>
                      <c:pt idx="51" formatCode="General">
                        <c:v>3.9117127272727273E-2</c:v>
                      </c:pt>
                      <c:pt idx="52" formatCode="General">
                        <c:v>3.9780606060606058E-2</c:v>
                      </c:pt>
                      <c:pt idx="53" formatCode="General">
                        <c:v>3.9901818181818184E-2</c:v>
                      </c:pt>
                      <c:pt idx="54" formatCode="General">
                        <c:v>3.9970400000000003E-2</c:v>
                      </c:pt>
                      <c:pt idx="55" formatCode="General">
                        <c:v>3.9990400000000002E-2</c:v>
                      </c:pt>
                      <c:pt idx="56" formatCode="General">
                        <c:v>3.9995636363636365E-2</c:v>
                      </c:pt>
                      <c:pt idx="57" formatCode="General">
                        <c:v>3.9998066565809377E-2</c:v>
                      </c:pt>
                      <c:pt idx="58" formatCode="General">
                        <c:v>3.9998369137670194E-2</c:v>
                      </c:pt>
                      <c:pt idx="59" formatCode="General">
                        <c:v>3.999867170953101E-2</c:v>
                      </c:pt>
                      <c:pt idx="60" formatCode="General">
                        <c:v>3.9998974281391833E-2</c:v>
                      </c:pt>
                      <c:pt idx="61" formatCode="General">
                        <c:v>3.9999276853252649E-2</c:v>
                      </c:pt>
                      <c:pt idx="62" formatCode="General">
                        <c:v>3.9999579425113466E-2</c:v>
                      </c:pt>
                      <c:pt idx="63" formatCode="General">
                        <c:v>3.9999881996974282E-2</c:v>
                      </c:pt>
                      <c:pt idx="64" formatCode="General">
                        <c:v>0.04</c:v>
                      </c:pt>
                      <c:pt idx="65" formatCode="General">
                        <c:v>0.04</c:v>
                      </c:pt>
                      <c:pt idx="66" formatCode="General">
                        <c:v>0.04</c:v>
                      </c:pt>
                      <c:pt idx="67" formatCode="General">
                        <c:v>0.04</c:v>
                      </c:pt>
                      <c:pt idx="68" formatCode="General">
                        <c:v>0.04</c:v>
                      </c:pt>
                      <c:pt idx="69" formatCode="General">
                        <c:v>0.04</c:v>
                      </c:pt>
                      <c:pt idx="70" formatCode="General">
                        <c:v>0.04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894-4356-9EB2-6A9076CBABE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5.2706838124054363E-37</c:v>
                      </c:pt>
                      <c:pt idx="12" formatCode="General">
                        <c:v>1.6484904689863837E-36</c:v>
                      </c:pt>
                      <c:pt idx="13" formatCode="General">
                        <c:v>2.7699125567322239E-36</c:v>
                      </c:pt>
                      <c:pt idx="14" formatCode="General">
                        <c:v>3.8913346444780645E-36</c:v>
                      </c:pt>
                      <c:pt idx="15" formatCode="General">
                        <c:v>5.0127567322239047E-36</c:v>
                      </c:pt>
                      <c:pt idx="16" formatCode="General">
                        <c:v>6.1341788199697449E-36</c:v>
                      </c:pt>
                      <c:pt idx="17" formatCode="General">
                        <c:v>7.2556009077155844E-36</c:v>
                      </c:pt>
                      <c:pt idx="18" formatCode="General">
                        <c:v>3.5490630303030199E-36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7.6488636363636373E-18</c:v>
                      </c:pt>
                      <c:pt idx="25" formatCode="General">
                        <c:v>3.8244318181818186E-17</c:v>
                      </c:pt>
                      <c:pt idx="26" formatCode="General">
                        <c:v>6.8839772727272729E-17</c:v>
                      </c:pt>
                      <c:pt idx="27" formatCode="General">
                        <c:v>9.9435227272727278E-17</c:v>
                      </c:pt>
                      <c:pt idx="28" formatCode="General">
                        <c:v>1.3003068181818182E-16</c:v>
                      </c:pt>
                      <c:pt idx="29" formatCode="General">
                        <c:v>1.6062613636363636E-16</c:v>
                      </c:pt>
                      <c:pt idx="30" formatCode="General">
                        <c:v>1.9122159090909091E-16</c:v>
                      </c:pt>
                      <c:pt idx="31" formatCode="General">
                        <c:v>3.9385000042360047E-13</c:v>
                      </c:pt>
                      <c:pt idx="32" formatCode="General">
                        <c:v>9.9946241645990892E-13</c:v>
                      </c:pt>
                      <c:pt idx="33" formatCode="General">
                        <c:v>1.6050748324962174E-12</c:v>
                      </c:pt>
                      <c:pt idx="34" formatCode="General">
                        <c:v>2.210687248532526E-12</c:v>
                      </c:pt>
                      <c:pt idx="35" formatCode="General">
                        <c:v>2.8162996645688343E-12</c:v>
                      </c:pt>
                      <c:pt idx="36" formatCode="General">
                        <c:v>3.4219120806051425E-12</c:v>
                      </c:pt>
                      <c:pt idx="37" formatCode="General">
                        <c:v>5.9923269288954989E-12</c:v>
                      </c:pt>
                      <c:pt idx="38" formatCode="General">
                        <c:v>5.5718000151285794E-11</c:v>
                      </c:pt>
                      <c:pt idx="39" formatCode="General">
                        <c:v>1.0544367337367611E-10</c:v>
                      </c:pt>
                      <c:pt idx="40" formatCode="General">
                        <c:v>1.5516934659606639E-10</c:v>
                      </c:pt>
                      <c:pt idx="41" formatCode="General">
                        <c:v>2.0489501981845671E-10</c:v>
                      </c:pt>
                      <c:pt idx="42" formatCode="General">
                        <c:v>2.5462069304084701E-10</c:v>
                      </c:pt>
                      <c:pt idx="43" formatCode="General">
                        <c:v>3.0434636626323733E-10</c:v>
                      </c:pt>
                      <c:pt idx="44" formatCode="General">
                        <c:v>2.5841127878787957E-10</c:v>
                      </c:pt>
                      <c:pt idx="45" formatCode="General">
                        <c:v>8.5670066666667455E-11</c:v>
                      </c:pt>
                      <c:pt idx="46" formatCode="General">
                        <c:v>2.1822353272727146E-9</c:v>
                      </c:pt>
                      <c:pt idx="47" formatCode="General">
                        <c:v>7.7945769696968558E-9</c:v>
                      </c:pt>
                      <c:pt idx="48" formatCode="General">
                        <c:v>3.2652092121212013E-8</c:v>
                      </c:pt>
                      <c:pt idx="49" formatCode="General">
                        <c:v>2.0204275795421608E-3</c:v>
                      </c:pt>
                      <c:pt idx="50" formatCode="General">
                        <c:v>6.2295567494217016E-3</c:v>
                      </c:pt>
                      <c:pt idx="51" formatCode="General">
                        <c:v>7.612686060606064E-3</c:v>
                      </c:pt>
                      <c:pt idx="52" formatCode="General">
                        <c:v>8.3693127272727302E-3</c:v>
                      </c:pt>
                      <c:pt idx="53" formatCode="General">
                        <c:v>9.0958581818181838E-3</c:v>
                      </c:pt>
                      <c:pt idx="54" formatCode="General">
                        <c:v>9.856944242424245E-3</c:v>
                      </c:pt>
                      <c:pt idx="55" formatCode="General">
                        <c:v>1.0649913939393943E-2</c:v>
                      </c:pt>
                      <c:pt idx="56" formatCode="General">
                        <c:v>1.1524400000000004E-2</c:v>
                      </c:pt>
                      <c:pt idx="57" formatCode="General">
                        <c:v>1.2482695915279883E-2</c:v>
                      </c:pt>
                      <c:pt idx="58" formatCode="General">
                        <c:v>1.369495007564297E-2</c:v>
                      </c:pt>
                      <c:pt idx="59" formatCode="General">
                        <c:v>1.4907204236006055E-2</c:v>
                      </c:pt>
                      <c:pt idx="60" formatCode="General">
                        <c:v>1.6119458396369142E-2</c:v>
                      </c:pt>
                      <c:pt idx="61" formatCode="General">
                        <c:v>1.7331712556732229E-2</c:v>
                      </c:pt>
                      <c:pt idx="62" formatCode="General">
                        <c:v>1.8543966717095316E-2</c:v>
                      </c:pt>
                      <c:pt idx="63" formatCode="General">
                        <c:v>1.9756220877458399E-2</c:v>
                      </c:pt>
                      <c:pt idx="64" formatCode="General">
                        <c:v>2.1505570347957643E-2</c:v>
                      </c:pt>
                      <c:pt idx="65" formatCode="General">
                        <c:v>2.3598308623298037E-2</c:v>
                      </c:pt>
                      <c:pt idx="66" formatCode="General">
                        <c:v>2.569104689863843E-2</c:v>
                      </c:pt>
                      <c:pt idx="67" formatCode="General">
                        <c:v>2.7783785173978823E-2</c:v>
                      </c:pt>
                      <c:pt idx="68" formatCode="General">
                        <c:v>2.9876523449319216E-2</c:v>
                      </c:pt>
                      <c:pt idx="69" formatCode="General">
                        <c:v>3.1969261724659609E-2</c:v>
                      </c:pt>
                      <c:pt idx="70" formatCode="General">
                        <c:v>3.4062000000000002E-2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894-4356-9EB2-6A9076CBABE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-18.718848484848486</c:v>
                      </c:pt>
                      <c:pt idx="4" formatCode="General">
                        <c:v>-18.730484848484849</c:v>
                      </c:pt>
                      <c:pt idx="5" formatCode="General">
                        <c:v>-18.736545454545453</c:v>
                      </c:pt>
                      <c:pt idx="6" formatCode="General">
                        <c:v>-18.745180722891565</c:v>
                      </c:pt>
                      <c:pt idx="7" formatCode="General">
                        <c:v>-18.757228915662651</c:v>
                      </c:pt>
                      <c:pt idx="8" formatCode="General">
                        <c:v>-18.774000000000001</c:v>
                      </c:pt>
                      <c:pt idx="9" formatCode="General">
                        <c:v>-18.791454545454545</c:v>
                      </c:pt>
                      <c:pt idx="10" formatCode="General">
                        <c:v>-18.803575757575757</c:v>
                      </c:pt>
                      <c:pt idx="11" formatCode="General">
                        <c:v>-18.818532526475035</c:v>
                      </c:pt>
                      <c:pt idx="12" formatCode="General">
                        <c:v>-18.836686838124052</c:v>
                      </c:pt>
                      <c:pt idx="13" formatCode="General">
                        <c:v>-18.854841149773069</c:v>
                      </c:pt>
                      <c:pt idx="14" formatCode="General">
                        <c:v>-18.872995461422086</c:v>
                      </c:pt>
                      <c:pt idx="15" formatCode="General">
                        <c:v>-18.891149773071103</c:v>
                      </c:pt>
                      <c:pt idx="16" formatCode="General">
                        <c:v>-18.909304084720119</c:v>
                      </c:pt>
                      <c:pt idx="17" formatCode="General">
                        <c:v>-18.927458396369136</c:v>
                      </c:pt>
                      <c:pt idx="18" formatCode="General">
                        <c:v>-18.950848484848485</c:v>
                      </c:pt>
                      <c:pt idx="19" formatCode="General">
                        <c:v>-18.973818181818181</c:v>
                      </c:pt>
                      <c:pt idx="20" formatCode="General">
                        <c:v>-18.992000000000001</c:v>
                      </c:pt>
                      <c:pt idx="21" formatCode="General">
                        <c:v>-19.01018181818182</c:v>
                      </c:pt>
                      <c:pt idx="22" formatCode="General">
                        <c:v>-19.028363636363636</c:v>
                      </c:pt>
                      <c:pt idx="23" formatCode="General">
                        <c:v>-19.051927710843373</c:v>
                      </c:pt>
                      <c:pt idx="24" formatCode="General">
                        <c:v>-19.074924242424242</c:v>
                      </c:pt>
                      <c:pt idx="25" formatCode="General">
                        <c:v>-19.094621212121211</c:v>
                      </c:pt>
                      <c:pt idx="26" formatCode="General">
                        <c:v>-19.114318181818181</c:v>
                      </c:pt>
                      <c:pt idx="27" formatCode="General">
                        <c:v>-19.13401515151515</c:v>
                      </c:pt>
                      <c:pt idx="28" formatCode="General">
                        <c:v>-19.15371212121212</c:v>
                      </c:pt>
                      <c:pt idx="29" formatCode="General">
                        <c:v>-19.17340909090909</c:v>
                      </c:pt>
                      <c:pt idx="30" formatCode="General">
                        <c:v>-19.193106060606059</c:v>
                      </c:pt>
                      <c:pt idx="31" formatCode="General">
                        <c:v>-19.21376701966717</c:v>
                      </c:pt>
                      <c:pt idx="32" formatCode="General">
                        <c:v>-19.234947049924358</c:v>
                      </c:pt>
                      <c:pt idx="33" formatCode="General">
                        <c:v>-19.256127080181543</c:v>
                      </c:pt>
                      <c:pt idx="34" formatCode="General">
                        <c:v>-19.277307110438727</c:v>
                      </c:pt>
                      <c:pt idx="35" formatCode="General">
                        <c:v>-19.298487140695915</c:v>
                      </c:pt>
                      <c:pt idx="36" formatCode="General">
                        <c:v>-19.3196671709531</c:v>
                      </c:pt>
                      <c:pt idx="37" formatCode="General">
                        <c:v>-19.340847201210288</c:v>
                      </c:pt>
                      <c:pt idx="38" formatCode="General">
                        <c:v>-19.362027231467472</c:v>
                      </c:pt>
                      <c:pt idx="39" formatCode="General">
                        <c:v>-19.38320726172466</c:v>
                      </c:pt>
                      <c:pt idx="40" formatCode="General">
                        <c:v>-19.404387291981845</c:v>
                      </c:pt>
                      <c:pt idx="41" formatCode="General">
                        <c:v>-19.425567322239033</c:v>
                      </c:pt>
                      <c:pt idx="42" formatCode="General">
                        <c:v>-19.446747352496217</c:v>
                      </c:pt>
                      <c:pt idx="43" formatCode="General">
                        <c:v>-19.467927382753405</c:v>
                      </c:pt>
                      <c:pt idx="44" formatCode="General">
                        <c:v>-19.487818181818181</c:v>
                      </c:pt>
                      <c:pt idx="45" formatCode="General">
                        <c:v>-19.506</c:v>
                      </c:pt>
                      <c:pt idx="46" formatCode="General">
                        <c:v>-19.500545454545456</c:v>
                      </c:pt>
                      <c:pt idx="47" formatCode="General">
                        <c:v>-19.490787878787877</c:v>
                      </c:pt>
                      <c:pt idx="48" formatCode="General">
                        <c:v>-19.496848484848485</c:v>
                      </c:pt>
                      <c:pt idx="49" formatCode="General">
                        <c:v>-19.505783132530119</c:v>
                      </c:pt>
                      <c:pt idx="50" formatCode="General">
                        <c:v>-19.517831325301206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894-4356-9EB2-6A9076CBABE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-61.344848484848484</c:v>
                      </c:pt>
                      <c:pt idx="1">
                        <c:v>-59.539757575757577</c:v>
                      </c:pt>
                      <c:pt idx="2">
                        <c:v>-57.854909090909089</c:v>
                      </c:pt>
                      <c:pt idx="3">
                        <c:v>-56.298363636363632</c:v>
                      </c:pt>
                      <c:pt idx="4" formatCode="General">
                        <c:v>-54.74612121212121</c:v>
                      </c:pt>
                      <c:pt idx="5" formatCode="General">
                        <c:v>-52.697636363636363</c:v>
                      </c:pt>
                      <c:pt idx="6" formatCode="General">
                        <c:v>-50.659638554216869</c:v>
                      </c:pt>
                      <c:pt idx="7" formatCode="General">
                        <c:v>-48.635542168674704</c:v>
                      </c:pt>
                      <c:pt idx="8" formatCode="General">
                        <c:v>-46.718666666666671</c:v>
                      </c:pt>
                      <c:pt idx="9" formatCode="General">
                        <c:v>-44.851272727272729</c:v>
                      </c:pt>
                      <c:pt idx="10" formatCode="General">
                        <c:v>-43.111878787878787</c:v>
                      </c:pt>
                      <c:pt idx="11" formatCode="General">
                        <c:v>-41.503131618759454</c:v>
                      </c:pt>
                      <c:pt idx="12" formatCode="General">
                        <c:v>-40.041709531013616</c:v>
                      </c:pt>
                      <c:pt idx="13" formatCode="General">
                        <c:v>-38.580287443267778</c:v>
                      </c:pt>
                      <c:pt idx="14" formatCode="General">
                        <c:v>-37.118865355521933</c:v>
                      </c:pt>
                      <c:pt idx="15" formatCode="General">
                        <c:v>-35.657443267776095</c:v>
                      </c:pt>
                      <c:pt idx="16" formatCode="General">
                        <c:v>-34.196021180030257</c:v>
                      </c:pt>
                      <c:pt idx="17" formatCode="General">
                        <c:v>-32.734599092284412</c:v>
                      </c:pt>
                      <c:pt idx="18" formatCode="General">
                        <c:v>-31.461515151515151</c:v>
                      </c:pt>
                      <c:pt idx="19" formatCode="General">
                        <c:v>-30.234363636363636</c:v>
                      </c:pt>
                      <c:pt idx="20" formatCode="General">
                        <c:v>-29.064666666666664</c:v>
                      </c:pt>
                      <c:pt idx="21" formatCode="General">
                        <c:v>-27.935696969696966</c:v>
                      </c:pt>
                      <c:pt idx="22" formatCode="General">
                        <c:v>-26.838727272727269</c:v>
                      </c:pt>
                      <c:pt idx="23" formatCode="General">
                        <c:v>-25.797108433734937</c:v>
                      </c:pt>
                      <c:pt idx="24" formatCode="General">
                        <c:v>-24.790454545454544</c:v>
                      </c:pt>
                      <c:pt idx="25" formatCode="General">
                        <c:v>-23.872272727272726</c:v>
                      </c:pt>
                      <c:pt idx="26" formatCode="General">
                        <c:v>-22.954090909090908</c:v>
                      </c:pt>
                      <c:pt idx="27" formatCode="General">
                        <c:v>-22.03590909090909</c:v>
                      </c:pt>
                      <c:pt idx="28" formatCode="General">
                        <c:v>-21.117727272727272</c:v>
                      </c:pt>
                      <c:pt idx="29" formatCode="General">
                        <c:v>-20.199545454545454</c:v>
                      </c:pt>
                      <c:pt idx="30" formatCode="General">
                        <c:v>-19.281363636363636</c:v>
                      </c:pt>
                      <c:pt idx="31" formatCode="General">
                        <c:v>-18.467337367624811</c:v>
                      </c:pt>
                      <c:pt idx="32" formatCode="General">
                        <c:v>-17.709394856278369</c:v>
                      </c:pt>
                      <c:pt idx="33" formatCode="General">
                        <c:v>-16.951452344931923</c:v>
                      </c:pt>
                      <c:pt idx="34" formatCode="General">
                        <c:v>-16.193509833585477</c:v>
                      </c:pt>
                      <c:pt idx="35" formatCode="General">
                        <c:v>-15.435567322239033</c:v>
                      </c:pt>
                      <c:pt idx="36" formatCode="General">
                        <c:v>-14.677624810892588</c:v>
                      </c:pt>
                      <c:pt idx="37" formatCode="General">
                        <c:v>-13.924317700453859</c:v>
                      </c:pt>
                      <c:pt idx="38" formatCode="General">
                        <c:v>-13.282260211800303</c:v>
                      </c:pt>
                      <c:pt idx="39" formatCode="General">
                        <c:v>-12.640202723146748</c:v>
                      </c:pt>
                      <c:pt idx="40" formatCode="General">
                        <c:v>-11.998145234493194</c:v>
                      </c:pt>
                      <c:pt idx="41" formatCode="General">
                        <c:v>-11.356087745839638</c:v>
                      </c:pt>
                      <c:pt idx="42" formatCode="General">
                        <c:v>-10.714030257186083</c:v>
                      </c:pt>
                      <c:pt idx="43" formatCode="General">
                        <c:v>-10.071972768532529</c:v>
                      </c:pt>
                      <c:pt idx="44" formatCode="General">
                        <c:v>-9.4547757575757601</c:v>
                      </c:pt>
                      <c:pt idx="45" formatCode="General">
                        <c:v>-8.870533333333336</c:v>
                      </c:pt>
                      <c:pt idx="46" formatCode="General">
                        <c:v>-8.5122545454545477</c:v>
                      </c:pt>
                      <c:pt idx="47" formatCode="General">
                        <c:v>-8.2237757575757584</c:v>
                      </c:pt>
                      <c:pt idx="48" formatCode="General">
                        <c:v>-7.9758969696969713</c:v>
                      </c:pt>
                      <c:pt idx="49" formatCode="General">
                        <c:v>-7.7856987951807231</c:v>
                      </c:pt>
                      <c:pt idx="50" formatCode="General">
                        <c:v>-7.657987951807228</c:v>
                      </c:pt>
                      <c:pt idx="51" formatCode="General">
                        <c:v>-7.6747575757575754</c:v>
                      </c:pt>
                      <c:pt idx="52" formatCode="General">
                        <c:v>-7.7233454545454547</c:v>
                      </c:pt>
                      <c:pt idx="53" formatCode="General">
                        <c:v>-7.7724363636363636</c:v>
                      </c:pt>
                      <c:pt idx="54" formatCode="General">
                        <c:v>-7.8221575757575756</c:v>
                      </c:pt>
                      <c:pt idx="55" formatCode="General">
                        <c:v>-7.8724606060606055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-8.3564674735249636</c:v>
                      </c:pt>
                      <c:pt idx="65" formatCode="General">
                        <c:v>-8.4178895612708029</c:v>
                      </c:pt>
                      <c:pt idx="66" formatCode="General">
                        <c:v>-8.4793116490166422</c:v>
                      </c:pt>
                      <c:pt idx="67" formatCode="General">
                        <c:v>-8.5407337367624816</c:v>
                      </c:pt>
                      <c:pt idx="68" formatCode="General">
                        <c:v>-8.6021558245083209</c:v>
                      </c:pt>
                      <c:pt idx="69" formatCode="General">
                        <c:v>-8.6635779122541603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894-4356-9EB2-6A9076CBABE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-15.300424242424242</c:v>
                      </c:pt>
                      <c:pt idx="1">
                        <c:v>-14.974848484848485</c:v>
                      </c:pt>
                      <c:pt idx="2">
                        <c:v>-14.671818181818182</c:v>
                      </c:pt>
                      <c:pt idx="3">
                        <c:v>-14.399757575757576</c:v>
                      </c:pt>
                      <c:pt idx="4" formatCode="General">
                        <c:v>-14.105212121212121</c:v>
                      </c:pt>
                      <c:pt idx="5" formatCode="General">
                        <c:v>-13.420363636363636</c:v>
                      </c:pt>
                      <c:pt idx="6" formatCode="General">
                        <c:v>-12.711385542168674</c:v>
                      </c:pt>
                      <c:pt idx="7" formatCode="General">
                        <c:v>-11.970421686746988</c:v>
                      </c:pt>
                      <c:pt idx="8" formatCode="General">
                        <c:v>-11.272666666666668</c:v>
                      </c:pt>
                      <c:pt idx="9" formatCode="General">
                        <c:v>-10.593272727272728</c:v>
                      </c:pt>
                      <c:pt idx="10" formatCode="General">
                        <c:v>-9.9538787878787893</c:v>
                      </c:pt>
                      <c:pt idx="11" formatCode="General">
                        <c:v>-9.3608018154311647</c:v>
                      </c:pt>
                      <c:pt idx="12" formatCode="General">
                        <c:v>-8.8199546142208778</c:v>
                      </c:pt>
                      <c:pt idx="13" formatCode="General">
                        <c:v>-8.2791074130105908</c:v>
                      </c:pt>
                      <c:pt idx="14" formatCode="General">
                        <c:v>-7.7382602118003021</c:v>
                      </c:pt>
                      <c:pt idx="15" formatCode="General">
                        <c:v>-7.1974130105900151</c:v>
                      </c:pt>
                      <c:pt idx="16" formatCode="General">
                        <c:v>-6.6565658093797264</c:v>
                      </c:pt>
                      <c:pt idx="17" formatCode="General">
                        <c:v>-6.1157186081694395</c:v>
                      </c:pt>
                      <c:pt idx="18" formatCode="General">
                        <c:v>-5.6417939393939385</c:v>
                      </c:pt>
                      <c:pt idx="19" formatCode="General">
                        <c:v>-5.1839818181818167</c:v>
                      </c:pt>
                      <c:pt idx="20" formatCode="General">
                        <c:v>-4.7457999999999991</c:v>
                      </c:pt>
                      <c:pt idx="21" formatCode="General">
                        <c:v>-4.4043454545454539</c:v>
                      </c:pt>
                      <c:pt idx="22" formatCode="General">
                        <c:v>-4.1388909090909083</c:v>
                      </c:pt>
                      <c:pt idx="23" formatCode="General">
                        <c:v>-4.1369277108433735</c:v>
                      </c:pt>
                      <c:pt idx="24" formatCode="General">
                        <c:v>-4.1611363636363636</c:v>
                      </c:pt>
                      <c:pt idx="25" formatCode="General">
                        <c:v>-4.1856818181818181</c:v>
                      </c:pt>
                      <c:pt idx="26" formatCode="General">
                        <c:v>-4.2102272727272734</c:v>
                      </c:pt>
                      <c:pt idx="27" formatCode="General">
                        <c:v>-4.2347727272727278</c:v>
                      </c:pt>
                      <c:pt idx="28" formatCode="General">
                        <c:v>-4.2593181818181822</c:v>
                      </c:pt>
                      <c:pt idx="29" formatCode="General">
                        <c:v>-4.2838636363636367</c:v>
                      </c:pt>
                      <c:pt idx="30" formatCode="General">
                        <c:v>-4.3084090909090911</c:v>
                      </c:pt>
                      <c:pt idx="31" formatCode="General">
                        <c:v>-4.3331270801815434</c:v>
                      </c:pt>
                      <c:pt idx="32" formatCode="General">
                        <c:v>-4.357937972768533</c:v>
                      </c:pt>
                      <c:pt idx="33" formatCode="General">
                        <c:v>-4.3827488653555218</c:v>
                      </c:pt>
                      <c:pt idx="34" formatCode="General">
                        <c:v>-4.4075597579425114</c:v>
                      </c:pt>
                      <c:pt idx="35" formatCode="General">
                        <c:v>-4.4323706505295011</c:v>
                      </c:pt>
                      <c:pt idx="36" formatCode="General">
                        <c:v>-4.4571815431164898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894-4356-9EB2-6A9076CBABE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-21.792000000000002</c:v>
                      </c:pt>
                      <c:pt idx="1">
                        <c:v>-21.217333333333332</c:v>
                      </c:pt>
                      <c:pt idx="2">
                        <c:v>-20.683999999999997</c:v>
                      </c:pt>
                      <c:pt idx="3">
                        <c:v>-20.194909090909089</c:v>
                      </c:pt>
                      <c:pt idx="4" formatCode="General">
                        <c:v>-19.761454545454548</c:v>
                      </c:pt>
                      <c:pt idx="5" formatCode="General">
                        <c:v>-19.779636363636364</c:v>
                      </c:pt>
                      <c:pt idx="6" formatCode="General">
                        <c:v>-19.852168674698795</c:v>
                      </c:pt>
                      <c:pt idx="7" formatCode="General">
                        <c:v>-19.996746987951809</c:v>
                      </c:pt>
                      <c:pt idx="8" formatCode="General">
                        <c:v>-20.146666666666668</c:v>
                      </c:pt>
                      <c:pt idx="9" formatCode="General">
                        <c:v>-20.297454545454546</c:v>
                      </c:pt>
                      <c:pt idx="10" formatCode="General">
                        <c:v>-20.44290909090909</c:v>
                      </c:pt>
                      <c:pt idx="11" formatCode="General">
                        <c:v>-20.591104387291981</c:v>
                      </c:pt>
                      <c:pt idx="12" formatCode="General">
                        <c:v>-20.742390317700455</c:v>
                      </c:pt>
                      <c:pt idx="13" formatCode="General">
                        <c:v>-20.893676248108925</c:v>
                      </c:pt>
                      <c:pt idx="14" formatCode="General">
                        <c:v>-21.044962178517398</c:v>
                      </c:pt>
                      <c:pt idx="15" formatCode="General">
                        <c:v>-21.196248108925868</c:v>
                      </c:pt>
                      <c:pt idx="16" formatCode="General">
                        <c:v>-21.347534039334342</c:v>
                      </c:pt>
                      <c:pt idx="17" formatCode="General">
                        <c:v>-21.498819969742815</c:v>
                      </c:pt>
                      <c:pt idx="18" formatCode="General">
                        <c:v>-21.650303030303029</c:v>
                      </c:pt>
                      <c:pt idx="19" formatCode="General">
                        <c:v>-21.801818181818181</c:v>
                      </c:pt>
                      <c:pt idx="20" formatCode="General">
                        <c:v>-21.953333333333333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-22.401566265060243</c:v>
                      </c:pt>
                      <c:pt idx="24" formatCode="General">
                        <c:v>-22.546742424242424</c:v>
                      </c:pt>
                      <c:pt idx="25" formatCode="General">
                        <c:v>-22.693712121212123</c:v>
                      </c:pt>
                      <c:pt idx="26" formatCode="General">
                        <c:v>-22.840681818181821</c:v>
                      </c:pt>
                      <c:pt idx="27" formatCode="General">
                        <c:v>-22.987651515151516</c:v>
                      </c:pt>
                      <c:pt idx="28" formatCode="General">
                        <c:v>-23.134621212121214</c:v>
                      </c:pt>
                      <c:pt idx="29" formatCode="General">
                        <c:v>-23.281590909090909</c:v>
                      </c:pt>
                      <c:pt idx="30" formatCode="General">
                        <c:v>-23.428560606060607</c:v>
                      </c:pt>
                      <c:pt idx="31" formatCode="General">
                        <c:v>-23.57145234493192</c:v>
                      </c:pt>
                      <c:pt idx="32" formatCode="General">
                        <c:v>-23.712148260211801</c:v>
                      </c:pt>
                      <c:pt idx="33" formatCode="General">
                        <c:v>-23.852844175491679</c:v>
                      </c:pt>
                      <c:pt idx="34" formatCode="General">
                        <c:v>-23.993540090771557</c:v>
                      </c:pt>
                      <c:pt idx="35" formatCode="General">
                        <c:v>-24.134236006051438</c:v>
                      </c:pt>
                      <c:pt idx="36" formatCode="General">
                        <c:v>-24.274931921331316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-25.766545454545454</c:v>
                      </c:pt>
                      <c:pt idx="48" formatCode="General">
                        <c:v>-25.893818181818183</c:v>
                      </c:pt>
                      <c:pt idx="49" formatCode="General">
                        <c:v>-26.023614457831325</c:v>
                      </c:pt>
                      <c:pt idx="50" formatCode="General">
                        <c:v>-26.156144578313253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894-4356-9EB2-6A9076CBABE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894-4356-9EB2-6A9076CBABE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894-4356-9EB2-6A9076CBABE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894-4356-9EB2-6A9076CBABE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894-4356-9EB2-6A9076CBABE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894-4356-9EB2-6A9076CBABE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894-4356-9EB2-6A9076CBABE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894-4356-9EB2-6A9076CBABE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894-4356-9EB2-6A9076CBABE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894-4356-9EB2-6A9076CBABE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894-4356-9EB2-6A9076CBABE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894-4356-9EB2-6A9076CBABE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894-4356-9EB2-6A9076CBABE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894-4356-9EB2-6A9076CBABE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894-4356-9EB2-6A9076CBABE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894-4356-9EB2-6A9076CBABE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7.4404533333333352E-9</c:v>
                      </c:pt>
                      <c:pt idx="1">
                        <c:v>1.0146620606060611E-8</c:v>
                      </c:pt>
                      <c:pt idx="2">
                        <c:v>1.4139832727272733E-8</c:v>
                      </c:pt>
                      <c:pt idx="3">
                        <c:v>1.835036363636364E-8</c:v>
                      </c:pt>
                      <c:pt idx="4" formatCode="General">
                        <c:v>2.2475863842662633E-8</c:v>
                      </c:pt>
                      <c:pt idx="5" formatCode="General">
                        <c:v>2.4699161875945537E-8</c:v>
                      </c:pt>
                      <c:pt idx="6" formatCode="General">
                        <c:v>2.6922459909228444E-8</c:v>
                      </c:pt>
                      <c:pt idx="7" formatCode="General">
                        <c:v>2.9145757942511348E-8</c:v>
                      </c:pt>
                      <c:pt idx="8" formatCode="General">
                        <c:v>3.1369055975794253E-8</c:v>
                      </c:pt>
                      <c:pt idx="9" formatCode="General">
                        <c:v>3.3592354009077157E-8</c:v>
                      </c:pt>
                      <c:pt idx="10" formatCode="General">
                        <c:v>3.5815652042360061E-8</c:v>
                      </c:pt>
                      <c:pt idx="11" formatCode="General">
                        <c:v>3.3007830303030311E-8</c:v>
                      </c:pt>
                      <c:pt idx="12" formatCode="General">
                        <c:v>2.4526618181818192E-8</c:v>
                      </c:pt>
                      <c:pt idx="13" formatCode="General">
                        <c:v>1.7172533333333343E-8</c:v>
                      </c:pt>
                      <c:pt idx="14" formatCode="General">
                        <c:v>1.0498185542168679E-8</c:v>
                      </c:pt>
                      <c:pt idx="15" formatCode="General">
                        <c:v>5.934571084337343E-9</c:v>
                      </c:pt>
                      <c:pt idx="16" formatCode="General">
                        <c:v>2.5567329163636312E-9</c:v>
                      </c:pt>
                      <c:pt idx="17" formatCode="General">
                        <c:v>3.1817000727272244E-10</c:v>
                      </c:pt>
                      <c:pt idx="18" formatCode="General">
                        <c:v>2.28439643814666E-12</c:v>
                      </c:pt>
                      <c:pt idx="19" formatCode="General">
                        <c:v>6.2135564323903544E-18</c:v>
                      </c:pt>
                      <c:pt idx="20" formatCode="General">
                        <c:v>1.8985870628206572E-18</c:v>
                      </c:pt>
                      <c:pt idx="21" formatCode="General">
                        <c:v>3.5686600476339317E-25</c:v>
                      </c:pt>
                      <c:pt idx="22" formatCode="General">
                        <c:v>2.9466013269453742E-26</c:v>
                      </c:pt>
                      <c:pt idx="23" formatCode="General">
                        <c:v>6.341114457831318E-33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894-4356-9EB2-6A9076CBABE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3.9961376701966346E-29</c:v>
                      </c:pt>
                      <c:pt idx="45" formatCode="General">
                        <c:v>1.3289481089258674E-28</c:v>
                      </c:pt>
                      <c:pt idx="46" formatCode="General">
                        <c:v>2.2582824508320712E-28</c:v>
                      </c:pt>
                      <c:pt idx="47" formatCode="General">
                        <c:v>3.1876167927382754E-28</c:v>
                      </c:pt>
                      <c:pt idx="48" formatCode="General">
                        <c:v>4.1169511346444796E-28</c:v>
                      </c:pt>
                      <c:pt idx="49" formatCode="General">
                        <c:v>5.0462854765506829E-28</c:v>
                      </c:pt>
                      <c:pt idx="50" formatCode="General">
                        <c:v>5.9756198184568871E-28</c:v>
                      </c:pt>
                      <c:pt idx="51" formatCode="General">
                        <c:v>8.9758005976182309E-23</c:v>
                      </c:pt>
                      <c:pt idx="52" formatCode="General">
                        <c:v>2.2443680623030907E-18</c:v>
                      </c:pt>
                      <c:pt idx="53" formatCode="General">
                        <c:v>1.5445470722909153E-17</c:v>
                      </c:pt>
                      <c:pt idx="54" formatCode="General">
                        <c:v>3.2950582646060885E-13</c:v>
                      </c:pt>
                      <c:pt idx="55" formatCode="General">
                        <c:v>9.6312898888485118E-13</c:v>
                      </c:pt>
                      <c:pt idx="56" formatCode="General">
                        <c:v>3.0569023636363797E-10</c:v>
                      </c:pt>
                      <c:pt idx="57" formatCode="General">
                        <c:v>2.5547651084337829E-8</c:v>
                      </c:pt>
                      <c:pt idx="58" formatCode="General">
                        <c:v>1.3904233783132561E-7</c:v>
                      </c:pt>
                      <c:pt idx="59" formatCode="General">
                        <c:v>2.4150037575757666E-6</c:v>
                      </c:pt>
                      <c:pt idx="60" formatCode="General">
                        <c:v>6.3900461818181901E-6</c:v>
                      </c:pt>
                      <c:pt idx="61" formatCode="General">
                        <c:v>6.0763854545454527E-6</c:v>
                      </c:pt>
                      <c:pt idx="62" formatCode="General">
                        <c:v>5.3521503030303009E-6</c:v>
                      </c:pt>
                      <c:pt idx="63" formatCode="General">
                        <c:v>4.6665745454545439E-6</c:v>
                      </c:pt>
                      <c:pt idx="64" formatCode="General">
                        <c:v>4.1897143721633883E-6</c:v>
                      </c:pt>
                      <c:pt idx="65" formatCode="General">
                        <c:v>3.8462953101361572E-6</c:v>
                      </c:pt>
                      <c:pt idx="66" formatCode="General">
                        <c:v>3.5028762481089252E-6</c:v>
                      </c:pt>
                      <c:pt idx="67" formatCode="General">
                        <c:v>3.1594571860816941E-6</c:v>
                      </c:pt>
                      <c:pt idx="68" formatCode="General">
                        <c:v>2.8160381240544626E-6</c:v>
                      </c:pt>
                      <c:pt idx="69" formatCode="General">
                        <c:v>2.472619062027231E-6</c:v>
                      </c:pt>
                      <c:pt idx="70" formatCode="General">
                        <c:v>2.1291999999999999E-6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894-4356-9EB2-6A9076CBABE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3.6649896969697013E-31</c:v>
                      </c:pt>
                      <c:pt idx="1">
                        <c:v>1.4456857310890953E-25</c:v>
                      </c:pt>
                      <c:pt idx="2">
                        <c:v>5.2501064152709138E-25</c:v>
                      </c:pt>
                      <c:pt idx="3">
                        <c:v>3.828169161212127E-22</c:v>
                      </c:pt>
                      <c:pt idx="4" formatCode="General">
                        <c:v>2.4304463757942844E-19</c:v>
                      </c:pt>
                      <c:pt idx="5" formatCode="General">
                        <c:v>3.2702966073222409E-18</c:v>
                      </c:pt>
                      <c:pt idx="6" formatCode="General">
                        <c:v>6.2975485770650537E-18</c:v>
                      </c:pt>
                      <c:pt idx="7" formatCode="General">
                        <c:v>9.3248005468078665E-18</c:v>
                      </c:pt>
                      <c:pt idx="8" formatCode="General">
                        <c:v>1.2352052516550678E-17</c:v>
                      </c:pt>
                      <c:pt idx="9" formatCode="General">
                        <c:v>1.5379304486293494E-17</c:v>
                      </c:pt>
                      <c:pt idx="10" formatCode="General">
                        <c:v>1.8406556456036306E-17</c:v>
                      </c:pt>
                      <c:pt idx="11" formatCode="General">
                        <c:v>2.3539889696969643E-16</c:v>
                      </c:pt>
                      <c:pt idx="12" formatCode="General">
                        <c:v>6.9367101818181761E-16</c:v>
                      </c:pt>
                      <c:pt idx="13" formatCode="General">
                        <c:v>1.771178259393937E-13</c:v>
                      </c:pt>
                      <c:pt idx="14" formatCode="General">
                        <c:v>4.5542264397590152E-11</c:v>
                      </c:pt>
                      <c:pt idx="15" formatCode="General">
                        <c:v>3.1134611379518107E-10</c:v>
                      </c:pt>
                      <c:pt idx="16" formatCode="General">
                        <c:v>1.8582185454545517E-9</c:v>
                      </c:pt>
                      <c:pt idx="17" formatCode="General">
                        <c:v>4.635921575757582E-9</c:v>
                      </c:pt>
                      <c:pt idx="18" formatCode="General">
                        <c:v>5.6683927272727289E-9</c:v>
                      </c:pt>
                      <c:pt idx="19" formatCode="General">
                        <c:v>6.769378181818187E-9</c:v>
                      </c:pt>
                      <c:pt idx="20" formatCode="General">
                        <c:v>9.1968933333333392E-9</c:v>
                      </c:pt>
                      <c:pt idx="21" formatCode="General">
                        <c:v>1.4124248484848499E-8</c:v>
                      </c:pt>
                      <c:pt idx="22" formatCode="General">
                        <c:v>2.1015763636363652E-8</c:v>
                      </c:pt>
                      <c:pt idx="23" formatCode="General">
                        <c:v>1.851075301204819E-8</c:v>
                      </c:pt>
                      <c:pt idx="24" formatCode="General">
                        <c:v>1.7514848484848484E-8</c:v>
                      </c:pt>
                      <c:pt idx="25" formatCode="General">
                        <c:v>2.3834242424242425E-8</c:v>
                      </c:pt>
                      <c:pt idx="26" formatCode="General">
                        <c:v>2.4266363636363638E-8</c:v>
                      </c:pt>
                      <c:pt idx="27" formatCode="General">
                        <c:v>2.0773636363636364E-8</c:v>
                      </c:pt>
                      <c:pt idx="28" formatCode="General">
                        <c:v>2.2403424242424242E-8</c:v>
                      </c:pt>
                      <c:pt idx="29" formatCode="General">
                        <c:v>2.3714636363636364E-8</c:v>
                      </c:pt>
                      <c:pt idx="30" formatCode="General">
                        <c:v>2.3653424242424244E-8</c:v>
                      </c:pt>
                      <c:pt idx="31" formatCode="General">
                        <c:v>2.3376307228915662E-8</c:v>
                      </c:pt>
                      <c:pt idx="32" formatCode="General">
                        <c:v>2.298293373493976E-8</c:v>
                      </c:pt>
                      <c:pt idx="33" formatCode="General">
                        <c:v>2.31026E-8</c:v>
                      </c:pt>
                      <c:pt idx="34" formatCode="General">
                        <c:v>2.3220854545454546E-8</c:v>
                      </c:pt>
                      <c:pt idx="35" formatCode="General">
                        <c:v>2.3326309090909091E-8</c:v>
                      </c:pt>
                      <c:pt idx="36" formatCode="General">
                        <c:v>2.3832799999999998E-8</c:v>
                      </c:pt>
                      <c:pt idx="37" formatCode="General">
                        <c:v>2.4532659606656577E-8</c:v>
                      </c:pt>
                      <c:pt idx="38" formatCode="General">
                        <c:v>2.55491497730711E-8</c:v>
                      </c:pt>
                      <c:pt idx="39" formatCode="General">
                        <c:v>2.6565639939485623E-8</c:v>
                      </c:pt>
                      <c:pt idx="40" formatCode="General">
                        <c:v>2.7582130105900149E-8</c:v>
                      </c:pt>
                      <c:pt idx="41" formatCode="General">
                        <c:v>2.8598620272314672E-8</c:v>
                      </c:pt>
                      <c:pt idx="42" formatCode="General">
                        <c:v>2.9615110438729195E-8</c:v>
                      </c:pt>
                      <c:pt idx="43" formatCode="General">
                        <c:v>3.0631600605143721E-8</c:v>
                      </c:pt>
                      <c:pt idx="44" formatCode="General">
                        <c:v>3.1298431164901666E-8</c:v>
                      </c:pt>
                      <c:pt idx="45" formatCode="General">
                        <c:v>3.1501759455370649E-8</c:v>
                      </c:pt>
                      <c:pt idx="46" formatCode="General">
                        <c:v>3.1705087745839638E-8</c:v>
                      </c:pt>
                      <c:pt idx="47" formatCode="General">
                        <c:v>3.1908416036308627E-8</c:v>
                      </c:pt>
                      <c:pt idx="48" formatCode="General">
                        <c:v>3.2111744326777609E-8</c:v>
                      </c:pt>
                      <c:pt idx="49" formatCode="General">
                        <c:v>3.2315072617246598E-8</c:v>
                      </c:pt>
                      <c:pt idx="50" formatCode="General">
                        <c:v>3.2518400907715588E-8</c:v>
                      </c:pt>
                      <c:pt idx="51" formatCode="General">
                        <c:v>3.2346769696969693E-8</c:v>
                      </c:pt>
                      <c:pt idx="52" formatCode="General">
                        <c:v>3.2086133333333332E-8</c:v>
                      </c:pt>
                      <c:pt idx="53" formatCode="General">
                        <c:v>3.1792799999999995E-8</c:v>
                      </c:pt>
                      <c:pt idx="54" formatCode="General">
                        <c:v>3.1540436363636363E-8</c:v>
                      </c:pt>
                      <c:pt idx="55" formatCode="General">
                        <c:v>3.1325890909090906E-8</c:v>
                      </c:pt>
                      <c:pt idx="56" formatCode="General">
                        <c:v>1.4858727818181734E-8</c:v>
                      </c:pt>
                      <c:pt idx="57" formatCode="General">
                        <c:v>1.0415710843373464E-10</c:v>
                      </c:pt>
                      <c:pt idx="58" formatCode="General">
                        <c:v>3.1825783132529905E-11</c:v>
                      </c:pt>
                      <c:pt idx="59" formatCode="General">
                        <c:v>1.6792272727272733E-29</c:v>
                      </c:pt>
                      <c:pt idx="60" formatCode="General">
                        <c:v>1.8719545454545458E-29</c:v>
                      </c:pt>
                      <c:pt idx="61" formatCode="General">
                        <c:v>1.0439872121212099E-29</c:v>
                      </c:pt>
                      <c:pt idx="62" formatCode="General">
                        <c:v>6.6859157575757857E-30</c:v>
                      </c:pt>
                      <c:pt idx="63" formatCode="General">
                        <c:v>1.8685976363636393E-29</c:v>
                      </c:pt>
                      <c:pt idx="64" formatCode="General">
                        <c:v>3.8030620568835225E-24</c:v>
                      </c:pt>
                      <c:pt idx="65" formatCode="General">
                        <c:v>1.0037551714069602E-23</c:v>
                      </c:pt>
                      <c:pt idx="66" formatCode="General">
                        <c:v>1.627204137125568E-23</c:v>
                      </c:pt>
                      <c:pt idx="67" formatCode="General">
                        <c:v>2.2506531028441759E-23</c:v>
                      </c:pt>
                      <c:pt idx="68" formatCode="General">
                        <c:v>2.8741020685627843E-23</c:v>
                      </c:pt>
                      <c:pt idx="69" formatCode="General">
                        <c:v>3.4975510342813924E-23</c:v>
                      </c:pt>
                      <c:pt idx="70" formatCode="General">
                        <c:v>4.121E-23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894-4356-9EB2-6A9076CBABE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9.4771149696969521E-11</c:v>
                      </c:pt>
                      <c:pt idx="1">
                        <c:v>9.004712763515144E-13</c:v>
                      </c:pt>
                      <c:pt idx="2">
                        <c:v>1.9144831938181755E-13</c:v>
                      </c:pt>
                      <c:pt idx="3">
                        <c:v>6.7583757679514822E-18</c:v>
                      </c:pt>
                      <c:pt idx="4" formatCode="General">
                        <c:v>2.3168163388804835E-26</c:v>
                      </c:pt>
                      <c:pt idx="5" formatCode="General">
                        <c:v>1.9620205748865352E-26</c:v>
                      </c:pt>
                      <c:pt idx="6" formatCode="General">
                        <c:v>1.6072248108925867E-26</c:v>
                      </c:pt>
                      <c:pt idx="7" formatCode="General">
                        <c:v>1.2524290468986384E-26</c:v>
                      </c:pt>
                      <c:pt idx="8" formatCode="General">
                        <c:v>8.976332829046898E-27</c:v>
                      </c:pt>
                      <c:pt idx="9" formatCode="General">
                        <c:v>5.4283751891074152E-27</c:v>
                      </c:pt>
                      <c:pt idx="10" formatCode="General">
                        <c:v>1.8804175491679294E-27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894-4356-9EB2-6A9076CBABE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8.0460921212121214E-3</c:v>
                      </c:pt>
                      <c:pt idx="1">
                        <c:v>7.8658000000000009E-3</c:v>
                      </c:pt>
                      <c:pt idx="2">
                        <c:v>7.6258000000000003E-3</c:v>
                      </c:pt>
                      <c:pt idx="3">
                        <c:v>7.3682357575757572E-3</c:v>
                      </c:pt>
                      <c:pt idx="4" formatCode="General">
                        <c:v>7.116927231467474E-3</c:v>
                      </c:pt>
                      <c:pt idx="5" formatCode="General">
                        <c:v>7.0122676248108931E-3</c:v>
                      </c:pt>
                      <c:pt idx="6" formatCode="General">
                        <c:v>6.9076080181543114E-3</c:v>
                      </c:pt>
                      <c:pt idx="7" formatCode="General">
                        <c:v>6.8029484114977305E-3</c:v>
                      </c:pt>
                      <c:pt idx="8" formatCode="General">
                        <c:v>6.6982888048411496E-3</c:v>
                      </c:pt>
                      <c:pt idx="9" formatCode="General">
                        <c:v>6.5936291981845687E-3</c:v>
                      </c:pt>
                      <c:pt idx="10" formatCode="General">
                        <c:v>6.4889695915279879E-3</c:v>
                      </c:pt>
                      <c:pt idx="11" formatCode="General">
                        <c:v>6.4042175757575755E-3</c:v>
                      </c:pt>
                      <c:pt idx="12" formatCode="General">
                        <c:v>6.3419145454545458E-3</c:v>
                      </c:pt>
                      <c:pt idx="13" formatCode="General">
                        <c:v>6.2434321212121212E-3</c:v>
                      </c:pt>
                      <c:pt idx="14" formatCode="General">
                        <c:v>6.1273060240963862E-3</c:v>
                      </c:pt>
                      <c:pt idx="15" formatCode="General">
                        <c:v>5.9638120481927716E-3</c:v>
                      </c:pt>
                      <c:pt idx="16" formatCode="General">
                        <c:v>5.7774963636363632E-3</c:v>
                      </c:pt>
                      <c:pt idx="17" formatCode="General">
                        <c:v>5.5692539393939391E-3</c:v>
                      </c:pt>
                      <c:pt idx="18" formatCode="General">
                        <c:v>5.3578321212121209E-3</c:v>
                      </c:pt>
                      <c:pt idx="19" formatCode="General">
                        <c:v>5.1537709090909087E-3</c:v>
                      </c:pt>
                      <c:pt idx="20" formatCode="General">
                        <c:v>4.9793466666666663E-3</c:v>
                      </c:pt>
                      <c:pt idx="21" formatCode="General">
                        <c:v>4.8358072727272723E-3</c:v>
                      </c:pt>
                      <c:pt idx="22" formatCode="General">
                        <c:v>4.7165345454545449E-3</c:v>
                      </c:pt>
                      <c:pt idx="23" formatCode="General">
                        <c:v>4.6411680722891566E-3</c:v>
                      </c:pt>
                      <c:pt idx="24" formatCode="General">
                        <c:v>4.5779606060606061E-3</c:v>
                      </c:pt>
                      <c:pt idx="25" formatCode="General">
                        <c:v>4.5382030303030303E-3</c:v>
                      </c:pt>
                      <c:pt idx="26" formatCode="General">
                        <c:v>4.5094272727272729E-3</c:v>
                      </c:pt>
                      <c:pt idx="27" formatCode="General">
                        <c:v>4.4879727272727279E-3</c:v>
                      </c:pt>
                      <c:pt idx="28" formatCode="General">
                        <c:v>4.4758454545454542E-3</c:v>
                      </c:pt>
                      <c:pt idx="29" formatCode="General">
                        <c:v>4.4656090909090907E-3</c:v>
                      </c:pt>
                      <c:pt idx="30" formatCode="General">
                        <c:v>4.4586393939393936E-3</c:v>
                      </c:pt>
                      <c:pt idx="31" formatCode="General">
                        <c:v>4.4519319277108432E-3</c:v>
                      </c:pt>
                      <c:pt idx="32" formatCode="General">
                        <c:v>4.4453656626506025E-3</c:v>
                      </c:pt>
                      <c:pt idx="33" formatCode="General">
                        <c:v>4.4310800000000004E-3</c:v>
                      </c:pt>
                      <c:pt idx="34" formatCode="General">
                        <c:v>4.4058981818181821E-3</c:v>
                      </c:pt>
                      <c:pt idx="35" formatCode="General">
                        <c:v>4.3597163636363637E-3</c:v>
                      </c:pt>
                      <c:pt idx="36" formatCode="General">
                        <c:v>4.2438654545454545E-3</c:v>
                      </c:pt>
                      <c:pt idx="37" formatCode="General">
                        <c:v>4.0805539485627845E-3</c:v>
                      </c:pt>
                      <c:pt idx="38" formatCode="General">
                        <c:v>3.5294026626323761E-3</c:v>
                      </c:pt>
                      <c:pt idx="39" formatCode="General">
                        <c:v>2.9782513767019681E-3</c:v>
                      </c:pt>
                      <c:pt idx="40" formatCode="General">
                        <c:v>2.4271000907715602E-3</c:v>
                      </c:pt>
                      <c:pt idx="41" formatCode="General">
                        <c:v>1.8759488048411517E-3</c:v>
                      </c:pt>
                      <c:pt idx="42" formatCode="General">
                        <c:v>1.3247975189107433E-3</c:v>
                      </c:pt>
                      <c:pt idx="43" formatCode="General">
                        <c:v>7.7364623298033534E-4</c:v>
                      </c:pt>
                      <c:pt idx="44" formatCode="General">
                        <c:v>4.3007239243570376E-4</c:v>
                      </c:pt>
                      <c:pt idx="45" formatCode="General">
                        <c:v>3.6165935158850247E-4</c:v>
                      </c:pt>
                      <c:pt idx="46" formatCode="General">
                        <c:v>2.9324631074130112E-4</c:v>
                      </c:pt>
                      <c:pt idx="47" formatCode="General">
                        <c:v>2.2483326989409985E-4</c:v>
                      </c:pt>
                      <c:pt idx="48" formatCode="General">
                        <c:v>1.5642022904689852E-4</c:v>
                      </c:pt>
                      <c:pt idx="49" formatCode="General">
                        <c:v>8.8007188199697227E-5</c:v>
                      </c:pt>
                      <c:pt idx="50" formatCode="General">
                        <c:v>1.959414735249593E-5</c:v>
                      </c:pt>
                      <c:pt idx="51" formatCode="General">
                        <c:v>4.9497078787878654E-6</c:v>
                      </c:pt>
                      <c:pt idx="52" formatCode="General">
                        <c:v>2.4197287272727226E-6</c:v>
                      </c:pt>
                      <c:pt idx="53" formatCode="General">
                        <c:v>1.4110741818181773E-6</c:v>
                      </c:pt>
                      <c:pt idx="54" formatCode="General">
                        <c:v>7.3986812121211958E-7</c:v>
                      </c:pt>
                      <c:pt idx="55" formatCode="General">
                        <c:v>3.8015296969696809E-7</c:v>
                      </c:pt>
                      <c:pt idx="56" formatCode="General">
                        <c:v>2.2133927272727215E-7</c:v>
                      </c:pt>
                      <c:pt idx="57" formatCode="General">
                        <c:v>1.1063409638554198E-7</c:v>
                      </c:pt>
                      <c:pt idx="58" formatCode="General">
                        <c:v>6.4061807228915534E-8</c:v>
                      </c:pt>
                      <c:pt idx="59" formatCode="General">
                        <c:v>3.2066785454545408E-8</c:v>
                      </c:pt>
                      <c:pt idx="60" formatCode="General">
                        <c:v>1.1525330909090861E-8</c:v>
                      </c:pt>
                      <c:pt idx="61" formatCode="General">
                        <c:v>5.5427181818181713E-9</c:v>
                      </c:pt>
                      <c:pt idx="62" formatCode="General">
                        <c:v>1.9173024242424216E-9</c:v>
                      </c:pt>
                      <c:pt idx="63" formatCode="General">
                        <c:v>9.0269636363636116E-10</c:v>
                      </c:pt>
                      <c:pt idx="64" formatCode="General">
                        <c:v>4.6039938683812388E-10</c:v>
                      </c:pt>
                      <c:pt idx="65" formatCode="General">
                        <c:v>3.8400493903176989E-10</c:v>
                      </c:pt>
                      <c:pt idx="66" formatCode="General">
                        <c:v>3.0761049122541591E-10</c:v>
                      </c:pt>
                      <c:pt idx="67" formatCode="General">
                        <c:v>2.3121604341906198E-10</c:v>
                      </c:pt>
                      <c:pt idx="68" formatCode="General">
                        <c:v>1.5482159561270799E-10</c:v>
                      </c:pt>
                      <c:pt idx="69" formatCode="General">
                        <c:v>7.842714780635401E-11</c:v>
                      </c:pt>
                      <c:pt idx="70" formatCode="General">
                        <c:v>2.0326999999999738E-12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894-4356-9EB2-6A9076CBABE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7.6259337349397244E-36</c:v>
                      </c:pt>
                      <c:pt idx="15" formatCode="General">
                        <c:v>5.2484367469879578E-35</c:v>
                      </c:pt>
                      <c:pt idx="16" formatCode="General">
                        <c:v>2.8624140000000119E-33</c:v>
                      </c:pt>
                      <c:pt idx="17" formatCode="General">
                        <c:v>8.3289806666666785E-33</c:v>
                      </c:pt>
                      <c:pt idx="18" formatCode="General">
                        <c:v>4.3325969515151634E-31</c:v>
                      </c:pt>
                      <c:pt idx="19" formatCode="General">
                        <c:v>8.2487672727273531E-30</c:v>
                      </c:pt>
                      <c:pt idx="20" formatCode="General">
                        <c:v>4.3610040000000088E-29</c:v>
                      </c:pt>
                      <c:pt idx="21" formatCode="General">
                        <c:v>1.2271698242424291E-27</c:v>
                      </c:pt>
                      <c:pt idx="22" formatCode="General">
                        <c:v>3.312885581818187E-27</c:v>
                      </c:pt>
                      <c:pt idx="23" formatCode="General">
                        <c:v>9.5859789156626614E-26</c:v>
                      </c:pt>
                      <c:pt idx="24" formatCode="General">
                        <c:v>1.2106042424242425E-24</c:v>
                      </c:pt>
                      <c:pt idx="25" formatCode="General">
                        <c:v>5.3651012121212121E-24</c:v>
                      </c:pt>
                      <c:pt idx="26" formatCode="General">
                        <c:v>9.1628027272727278E-23</c:v>
                      </c:pt>
                      <c:pt idx="27" formatCode="General">
                        <c:v>2.3262990606060604E-22</c:v>
                      </c:pt>
                      <c:pt idx="28" formatCode="General">
                        <c:v>4.0610521212121219E-21</c:v>
                      </c:pt>
                      <c:pt idx="29" formatCode="General">
                        <c:v>3.6097381818181824E-20</c:v>
                      </c:pt>
                      <c:pt idx="30" formatCode="General">
                        <c:v>1.3349932121212122E-19</c:v>
                      </c:pt>
                      <c:pt idx="31" formatCode="General">
                        <c:v>1.4737415060240944E-18</c:v>
                      </c:pt>
                      <c:pt idx="32" formatCode="General">
                        <c:v>3.4832053614457776E-18</c:v>
                      </c:pt>
                      <c:pt idx="33" formatCode="General">
                        <c:v>3.9389719999999912E-17</c:v>
                      </c:pt>
                      <c:pt idx="34" formatCode="General">
                        <c:v>2.5422214545454424E-16</c:v>
                      </c:pt>
                      <c:pt idx="35" formatCode="General">
                        <c:v>8.1571669090908979E-16</c:v>
                      </c:pt>
                      <c:pt idx="36" formatCode="General">
                        <c:v>6.0603265454545293E-15</c:v>
                      </c:pt>
                      <c:pt idx="37" formatCode="General">
                        <c:v>1.2735938729197531E-13</c:v>
                      </c:pt>
                      <c:pt idx="38" formatCode="General">
                        <c:v>2.9834690695915206E-12</c:v>
                      </c:pt>
                      <c:pt idx="39" formatCode="General">
                        <c:v>5.8395787518910659E-12</c:v>
                      </c:pt>
                      <c:pt idx="40" formatCode="General">
                        <c:v>8.6956884341906111E-12</c:v>
                      </c:pt>
                      <c:pt idx="41" formatCode="General">
                        <c:v>1.1551798116490156E-11</c:v>
                      </c:pt>
                      <c:pt idx="42" formatCode="General">
                        <c:v>1.44079077987897E-11</c:v>
                      </c:pt>
                      <c:pt idx="43" formatCode="General">
                        <c:v>1.7264017481089245E-11</c:v>
                      </c:pt>
                      <c:pt idx="44" formatCode="General">
                        <c:v>8.2362081694401845E-11</c:v>
                      </c:pt>
                      <c:pt idx="45" formatCode="General">
                        <c:v>2.2996692284417509E-10</c:v>
                      </c:pt>
                      <c:pt idx="46" formatCode="General">
                        <c:v>3.7757176399394838E-10</c:v>
                      </c:pt>
                      <c:pt idx="47" formatCode="General">
                        <c:v>5.2517660514372171E-10</c:v>
                      </c:pt>
                      <c:pt idx="48" formatCode="General">
                        <c:v>6.7278144629349495E-10</c:v>
                      </c:pt>
                      <c:pt idx="49" formatCode="General">
                        <c:v>8.2038628744326829E-10</c:v>
                      </c:pt>
                      <c:pt idx="50" formatCode="General">
                        <c:v>9.6799112859304142E-10</c:v>
                      </c:pt>
                      <c:pt idx="51" formatCode="General">
                        <c:v>1.618227151515155E-9</c:v>
                      </c:pt>
                      <c:pt idx="52" formatCode="General">
                        <c:v>2.5121654545454619E-9</c:v>
                      </c:pt>
                      <c:pt idx="53" formatCode="General">
                        <c:v>4.0572563636363712E-9</c:v>
                      </c:pt>
                      <c:pt idx="54" formatCode="General">
                        <c:v>6.3416612121212253E-9</c:v>
                      </c:pt>
                      <c:pt idx="55" formatCode="General">
                        <c:v>9.3085096969697099E-9</c:v>
                      </c:pt>
                      <c:pt idx="56" formatCode="General">
                        <c:v>1.4417403636363661E-8</c:v>
                      </c:pt>
                      <c:pt idx="57" formatCode="General">
                        <c:v>2.0655457831325342E-8</c:v>
                      </c:pt>
                      <c:pt idx="58" formatCode="General">
                        <c:v>2.9762084337349426E-8</c:v>
                      </c:pt>
                      <c:pt idx="59" formatCode="General">
                        <c:v>3.4118236363636363E-8</c:v>
                      </c:pt>
                      <c:pt idx="60" formatCode="General">
                        <c:v>3.4741872727272726E-8</c:v>
                      </c:pt>
                      <c:pt idx="61" formatCode="General">
                        <c:v>3.492098787878788E-8</c:v>
                      </c:pt>
                      <c:pt idx="62" formatCode="General">
                        <c:v>3.5006345454545451E-8</c:v>
                      </c:pt>
                      <c:pt idx="63" formatCode="General">
                        <c:v>3.4949981818181816E-8</c:v>
                      </c:pt>
                      <c:pt idx="64" formatCode="General">
                        <c:v>3.4682984871406957E-8</c:v>
                      </c:pt>
                      <c:pt idx="65" formatCode="General">
                        <c:v>3.4281320726172467E-8</c:v>
                      </c:pt>
                      <c:pt idx="66" formatCode="General">
                        <c:v>3.387965658093797E-8</c:v>
                      </c:pt>
                      <c:pt idx="67" formatCode="General">
                        <c:v>3.3477992435703479E-8</c:v>
                      </c:pt>
                      <c:pt idx="68" formatCode="General">
                        <c:v>3.3076328290468988E-8</c:v>
                      </c:pt>
                      <c:pt idx="69" formatCode="General">
                        <c:v>3.2674664145234491E-8</c:v>
                      </c:pt>
                      <c:pt idx="70" formatCode="General">
                        <c:v>3.2273000000000001E-8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894-4356-9EB2-6A9076CBABE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6.5756121212121394E-35</c:v>
                      </c:pt>
                      <c:pt idx="19" formatCode="General">
                        <c:v>1.0148978181818279E-33</c:v>
                      </c:pt>
                      <c:pt idx="20" formatCode="General">
                        <c:v>5.2469826666666766E-33</c:v>
                      </c:pt>
                      <c:pt idx="21" formatCode="General">
                        <c:v>1.1604807212121255E-31</c:v>
                      </c:pt>
                      <c:pt idx="22" formatCode="General">
                        <c:v>3.1058195090909134E-31</c:v>
                      </c:pt>
                      <c:pt idx="23" formatCode="General">
                        <c:v>7.0253117469879585E-30</c:v>
                      </c:pt>
                      <c:pt idx="24" formatCode="General">
                        <c:v>7.1226060606060607E-29</c:v>
                      </c:pt>
                      <c:pt idx="25" formatCode="General">
                        <c:v>3.0595030303030301E-28</c:v>
                      </c:pt>
                      <c:pt idx="26" formatCode="General">
                        <c:v>4.1464436363636358E-27</c:v>
                      </c:pt>
                      <c:pt idx="27" formatCode="General">
                        <c:v>1.039078303030303E-26</c:v>
                      </c:pt>
                      <c:pt idx="28" formatCode="General">
                        <c:v>1.4440945454545454E-25</c:v>
                      </c:pt>
                      <c:pt idx="29" formatCode="General">
                        <c:v>1.0577245454545453E-24</c:v>
                      </c:pt>
                      <c:pt idx="30" formatCode="General">
                        <c:v>3.7737063636363628E-24</c:v>
                      </c:pt>
                      <c:pt idx="31" formatCode="General">
                        <c:v>3.4017646385542127E-23</c:v>
                      </c:pt>
                      <c:pt idx="32" formatCode="General">
                        <c:v>7.9084333132530011E-23</c:v>
                      </c:pt>
                      <c:pt idx="33" formatCode="General">
                        <c:v>7.3345399999999845E-22</c:v>
                      </c:pt>
                      <c:pt idx="34" formatCode="General">
                        <c:v>4.0370630303030107E-21</c:v>
                      </c:pt>
                      <c:pt idx="35" formatCode="General">
                        <c:v>1.2471366060606041E-20</c:v>
                      </c:pt>
                      <c:pt idx="36" formatCode="General">
                        <c:v>7.9709309090908879E-20</c:v>
                      </c:pt>
                      <c:pt idx="37" formatCode="General">
                        <c:v>2.3557645083206015E-18</c:v>
                      </c:pt>
                      <c:pt idx="38" formatCode="General">
                        <c:v>5.7009377216338748E-17</c:v>
                      </c:pt>
                      <c:pt idx="39" formatCode="General">
                        <c:v>1.116629899243569E-16</c:v>
                      </c:pt>
                      <c:pt idx="40" formatCode="General">
                        <c:v>1.6631660263237503E-16</c:v>
                      </c:pt>
                      <c:pt idx="41" formatCode="General">
                        <c:v>2.2097021534039317E-16</c:v>
                      </c:pt>
                      <c:pt idx="42" formatCode="General">
                        <c:v>2.756238280484113E-16</c:v>
                      </c:pt>
                      <c:pt idx="43" formatCode="General">
                        <c:v>3.3027744075642944E-16</c:v>
                      </c:pt>
                      <c:pt idx="44" formatCode="General">
                        <c:v>5.6332931013615241E-15</c:v>
                      </c:pt>
                      <c:pt idx="45" formatCode="General">
                        <c:v>1.7893439848714034E-14</c:v>
                      </c:pt>
                      <c:pt idx="46" formatCode="General">
                        <c:v>3.0153586596066545E-14</c:v>
                      </c:pt>
                      <c:pt idx="47" formatCode="General">
                        <c:v>4.2413733343419055E-14</c:v>
                      </c:pt>
                      <c:pt idx="48" formatCode="General">
                        <c:v>5.4673880090771565E-14</c:v>
                      </c:pt>
                      <c:pt idx="49" formatCode="General">
                        <c:v>6.6934026838124088E-14</c:v>
                      </c:pt>
                      <c:pt idx="50" formatCode="General">
                        <c:v>7.9194173585476598E-14</c:v>
                      </c:pt>
                      <c:pt idx="51" formatCode="General">
                        <c:v>1.737921393939399E-13</c:v>
                      </c:pt>
                      <c:pt idx="52" formatCode="General">
                        <c:v>3.2520066666666823E-13</c:v>
                      </c:pt>
                      <c:pt idx="53" formatCode="General">
                        <c:v>6.6573400000000153E-13</c:v>
                      </c:pt>
                      <c:pt idx="54" formatCode="General">
                        <c:v>1.3362719393939437E-12</c:v>
                      </c:pt>
                      <c:pt idx="55" formatCode="General">
                        <c:v>2.3114295151515195E-12</c:v>
                      </c:pt>
                      <c:pt idx="56" formatCode="General">
                        <c:v>4.7516618181818299E-12</c:v>
                      </c:pt>
                      <c:pt idx="57" formatCode="General">
                        <c:v>8.3201036144578603E-12</c:v>
                      </c:pt>
                      <c:pt idx="58" formatCode="General">
                        <c:v>1.5112392771084356E-11</c:v>
                      </c:pt>
                      <c:pt idx="59" formatCode="General">
                        <c:v>2.389377575757578E-11</c:v>
                      </c:pt>
                      <c:pt idx="60" formatCode="General">
                        <c:v>3.4238018181818204E-11</c:v>
                      </c:pt>
                      <c:pt idx="61" formatCode="General">
                        <c:v>5.2330496969697012E-11</c:v>
                      </c:pt>
                      <c:pt idx="62" formatCode="General">
                        <c:v>7.5080933333333408E-11</c:v>
                      </c:pt>
                      <c:pt idx="63" formatCode="General">
                        <c:v>1.0890760000000008E-10</c:v>
                      </c:pt>
                      <c:pt idx="64" formatCode="General">
                        <c:v>2.1625779122541634E-10</c:v>
                      </c:pt>
                      <c:pt idx="65" formatCode="General">
                        <c:v>3.7061482602118023E-10</c:v>
                      </c:pt>
                      <c:pt idx="66" formatCode="General">
                        <c:v>5.2497186081694416E-10</c:v>
                      </c:pt>
                      <c:pt idx="67" formatCode="General">
                        <c:v>6.793288956127081E-10</c:v>
                      </c:pt>
                      <c:pt idx="68" formatCode="General">
                        <c:v>8.3368593040847203E-10</c:v>
                      </c:pt>
                      <c:pt idx="69" formatCode="General">
                        <c:v>9.8804296520423597E-10</c:v>
                      </c:pt>
                      <c:pt idx="70" formatCode="General">
                        <c:v>1.1423999999999999E-9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894-4356-9EB2-6A9076CBABE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894-4356-9EB2-6A9076CBABE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0.12276351515151515</c:v>
                      </c:pt>
                      <c:pt idx="1">
                        <c:v>0.11123980606060604</c:v>
                      </c:pt>
                      <c:pt idx="2">
                        <c:v>9.5291927272727256E-2</c:v>
                      </c:pt>
                      <c:pt idx="3">
                        <c:v>7.6689945454545438E-2</c:v>
                      </c:pt>
                      <c:pt idx="4" formatCode="General">
                        <c:v>5.8005612405446286E-2</c:v>
                      </c:pt>
                      <c:pt idx="5" formatCode="General">
                        <c:v>4.9663267473524959E-2</c:v>
                      </c:pt>
                      <c:pt idx="6" formatCode="General">
                        <c:v>4.1320922541603633E-2</c:v>
                      </c:pt>
                      <c:pt idx="7" formatCode="General">
                        <c:v>3.29785776096823E-2</c:v>
                      </c:pt>
                      <c:pt idx="8" formatCode="General">
                        <c:v>2.4636232677760973E-2</c:v>
                      </c:pt>
                      <c:pt idx="9" formatCode="General">
                        <c:v>1.6293887745839647E-2</c:v>
                      </c:pt>
                      <c:pt idx="10" formatCode="General">
                        <c:v>7.9515428139183136E-3</c:v>
                      </c:pt>
                      <c:pt idx="11" formatCode="General">
                        <c:v>3.0191103030303042E-3</c:v>
                      </c:pt>
                      <c:pt idx="12" formatCode="General">
                        <c:v>1.9318981818181832E-3</c:v>
                      </c:pt>
                      <c:pt idx="13" formatCode="General">
                        <c:v>1.3091092121212127E-3</c:v>
                      </c:pt>
                      <c:pt idx="14" formatCode="General">
                        <c:v>8.3243897590361466E-4</c:v>
                      </c:pt>
                      <c:pt idx="15" formatCode="General">
                        <c:v>5.714329518072286E-4</c:v>
                      </c:pt>
                      <c:pt idx="16" formatCode="General">
                        <c:v>3.7277363636363607E-4</c:v>
                      </c:pt>
                      <c:pt idx="17" formatCode="General">
                        <c:v>2.3401606060606029E-4</c:v>
                      </c:pt>
                      <c:pt idx="18" formatCode="General">
                        <c:v>1.5213992727272711E-4</c:v>
                      </c:pt>
                      <c:pt idx="19" formatCode="General">
                        <c:v>8.7480018181818094E-5</c:v>
                      </c:pt>
                      <c:pt idx="20" formatCode="General">
                        <c:v>5.2751533333333257E-5</c:v>
                      </c:pt>
                      <c:pt idx="21" formatCode="General">
                        <c:v>2.9341157575757543E-5</c:v>
                      </c:pt>
                      <c:pt idx="22" formatCode="General">
                        <c:v>1.4823581818181785E-5</c:v>
                      </c:pt>
                      <c:pt idx="23" formatCode="General">
                        <c:v>8.6475132530120417E-6</c:v>
                      </c:pt>
                      <c:pt idx="24" formatCode="General">
                        <c:v>4.1697757575757574E-6</c:v>
                      </c:pt>
                      <c:pt idx="25" formatCode="General">
                        <c:v>2.3120787878787875E-6</c:v>
                      </c:pt>
                      <c:pt idx="26" formatCode="General">
                        <c:v>1.1940254545454546E-6</c:v>
                      </c:pt>
                      <c:pt idx="27" formatCode="General">
                        <c:v>5.6906787878787884E-7</c:v>
                      </c:pt>
                      <c:pt idx="28" formatCode="General">
                        <c:v>3.3705333333333334E-7</c:v>
                      </c:pt>
                      <c:pt idx="29" formatCode="General">
                        <c:v>1.6720872727272726E-7</c:v>
                      </c:pt>
                      <c:pt idx="30" formatCode="General">
                        <c:v>9.4171151515151524E-8</c:v>
                      </c:pt>
                      <c:pt idx="31" formatCode="General">
                        <c:v>5.181528915662653E-8</c:v>
                      </c:pt>
                      <c:pt idx="32" formatCode="General">
                        <c:v>2.5980349397590417E-8</c:v>
                      </c:pt>
                      <c:pt idx="33" formatCode="General">
                        <c:v>1.6267680000000021E-8</c:v>
                      </c:pt>
                      <c:pt idx="34" formatCode="General">
                        <c:v>8.732949090909098E-9</c:v>
                      </c:pt>
                      <c:pt idx="35" formatCode="General">
                        <c:v>5.1098581818181899E-9</c:v>
                      </c:pt>
                      <c:pt idx="36" formatCode="General">
                        <c:v>3.0083218181818215E-9</c:v>
                      </c:pt>
                      <c:pt idx="37" formatCode="General">
                        <c:v>1.6375257428139188E-9</c:v>
                      </c:pt>
                      <c:pt idx="38" formatCode="General">
                        <c:v>1.3981693131618766E-9</c:v>
                      </c:pt>
                      <c:pt idx="39" formatCode="General">
                        <c:v>1.1588128835098343E-9</c:v>
                      </c:pt>
                      <c:pt idx="40" formatCode="General">
                        <c:v>9.1945645385779207E-10</c:v>
                      </c:pt>
                      <c:pt idx="41" formatCode="General">
                        <c:v>6.8010002420574983E-10</c:v>
                      </c:pt>
                      <c:pt idx="42" formatCode="General">
                        <c:v>4.4074359455370758E-10</c:v>
                      </c:pt>
                      <c:pt idx="43" formatCode="General">
                        <c:v>2.0138716490166534E-10</c:v>
                      </c:pt>
                      <c:pt idx="44" formatCode="General">
                        <c:v>6.0955975794251171E-11</c:v>
                      </c:pt>
                      <c:pt idx="45" formatCode="General">
                        <c:v>5.1658245083207288E-11</c:v>
                      </c:pt>
                      <c:pt idx="46" formatCode="General">
                        <c:v>4.2360514372163404E-11</c:v>
                      </c:pt>
                      <c:pt idx="47" formatCode="General">
                        <c:v>3.3062783661119514E-11</c:v>
                      </c:pt>
                      <c:pt idx="48" formatCode="General">
                        <c:v>2.376505295007563E-11</c:v>
                      </c:pt>
                      <c:pt idx="49" formatCode="General">
                        <c:v>1.446732223903174E-11</c:v>
                      </c:pt>
                      <c:pt idx="50" formatCode="General">
                        <c:v>5.1695915279878564E-12</c:v>
                      </c:pt>
                      <c:pt idx="51" formatCode="General">
                        <c:v>2.6338072727272681E-12</c:v>
                      </c:pt>
                      <c:pt idx="52" formatCode="General">
                        <c:v>1.6725907878787856E-12</c:v>
                      </c:pt>
                      <c:pt idx="53" formatCode="General">
                        <c:v>1.1519483636363612E-12</c:v>
                      </c:pt>
                      <c:pt idx="54" formatCode="General">
                        <c:v>7.6568654545454426E-13</c:v>
                      </c:pt>
                      <c:pt idx="55" formatCode="General">
                        <c:v>5.0346836363636243E-13</c:v>
                      </c:pt>
                      <c:pt idx="56" formatCode="General">
                        <c:v>3.526312727272721E-13</c:v>
                      </c:pt>
                      <c:pt idx="57" formatCode="General">
                        <c:v>2.3273096385542137E-13</c:v>
                      </c:pt>
                      <c:pt idx="58" formatCode="General">
                        <c:v>1.6350807228915644E-13</c:v>
                      </c:pt>
                      <c:pt idx="59" formatCode="General">
                        <c:v>1.1311332121212112E-13</c:v>
                      </c:pt>
                      <c:pt idx="60" formatCode="General">
                        <c:v>7.7512109090909007E-14</c:v>
                      </c:pt>
                      <c:pt idx="61" formatCode="General">
                        <c:v>5.6299375757575713E-14</c:v>
                      </c:pt>
                      <c:pt idx="62" formatCode="General">
                        <c:v>3.8795945454545428E-14</c:v>
                      </c:pt>
                      <c:pt idx="63" formatCode="General">
                        <c:v>2.7799581818181791E-14</c:v>
                      </c:pt>
                      <c:pt idx="64" formatCode="General">
                        <c:v>2.158151739788199E-14</c:v>
                      </c:pt>
                      <c:pt idx="65" formatCode="General">
                        <c:v>1.8418431164901657E-14</c:v>
                      </c:pt>
                      <c:pt idx="66" formatCode="General">
                        <c:v>1.5255344931921324E-14</c:v>
                      </c:pt>
                      <c:pt idx="67" formatCode="General">
                        <c:v>1.2092258698940994E-14</c:v>
                      </c:pt>
                      <c:pt idx="68" formatCode="General">
                        <c:v>8.9291724659606648E-15</c:v>
                      </c:pt>
                      <c:pt idx="69" formatCode="General">
                        <c:v>5.766086232980332E-15</c:v>
                      </c:pt>
                      <c:pt idx="70" formatCode="General">
                        <c:v>2.6029999999999991E-15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894-4356-9EB2-6A9076CBABE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0.15722648484848487</c:v>
                      </c:pt>
                      <c:pt idx="1">
                        <c:v>0.16874927272727275</c:v>
                      </c:pt>
                      <c:pt idx="2">
                        <c:v>0.18469472727272729</c:v>
                      </c:pt>
                      <c:pt idx="3">
                        <c:v>0.20328145454545457</c:v>
                      </c:pt>
                      <c:pt idx="4" formatCode="General">
                        <c:v>0.22188405446293497</c:v>
                      </c:pt>
                      <c:pt idx="5" formatCode="General">
                        <c:v>0.2294347352496218</c:v>
                      </c:pt>
                      <c:pt idx="6" formatCode="General">
                        <c:v>0.23698541603630863</c:v>
                      </c:pt>
                      <c:pt idx="7" formatCode="General">
                        <c:v>0.24453609682299546</c:v>
                      </c:pt>
                      <c:pt idx="8" formatCode="General">
                        <c:v>0.25208677760968229</c:v>
                      </c:pt>
                      <c:pt idx="9" formatCode="General">
                        <c:v>0.25963745839636909</c:v>
                      </c:pt>
                      <c:pt idx="10" formatCode="General">
                        <c:v>0.26718813918305595</c:v>
                      </c:pt>
                      <c:pt idx="11" formatCode="General">
                        <c:v>0.26933848484848483</c:v>
                      </c:pt>
                      <c:pt idx="12" formatCode="General">
                        <c:v>0.26539909090909092</c:v>
                      </c:pt>
                      <c:pt idx="13" formatCode="General">
                        <c:v>0.25658442424242422</c:v>
                      </c:pt>
                      <c:pt idx="14" formatCode="General">
                        <c:v>0.24539885542168674</c:v>
                      </c:pt>
                      <c:pt idx="15" formatCode="General">
                        <c:v>0.22786271084337345</c:v>
                      </c:pt>
                      <c:pt idx="16" formatCode="General">
                        <c:v>0.20638090909090903</c:v>
                      </c:pt>
                      <c:pt idx="17" formatCode="General">
                        <c:v>0.18110818181818178</c:v>
                      </c:pt>
                      <c:pt idx="18" formatCode="General">
                        <c:v>0.15233812121212115</c:v>
                      </c:pt>
                      <c:pt idx="19" formatCode="General">
                        <c:v>0.12341732727272721</c:v>
                      </c:pt>
                      <c:pt idx="20" formatCode="General">
                        <c:v>9.6071266666666599E-2</c:v>
                      </c:pt>
                      <c:pt idx="21" formatCode="General">
                        <c:v>7.2474151515151464E-2</c:v>
                      </c:pt>
                      <c:pt idx="22" formatCode="General">
                        <c:v>5.1822636363636321E-2</c:v>
                      </c:pt>
                      <c:pt idx="23" formatCode="General">
                        <c:v>3.7995307228915649E-2</c:v>
                      </c:pt>
                      <c:pt idx="24" formatCode="General">
                        <c:v>2.6216606060606062E-2</c:v>
                      </c:pt>
                      <c:pt idx="25" formatCode="General">
                        <c:v>1.8559030303030303E-2</c:v>
                      </c:pt>
                      <c:pt idx="26" formatCode="General">
                        <c:v>1.2963854545454545E-2</c:v>
                      </c:pt>
                      <c:pt idx="27" formatCode="General">
                        <c:v>8.7436121212121215E-3</c:v>
                      </c:pt>
                      <c:pt idx="28" formatCode="General">
                        <c:v>6.3550848484848488E-3</c:v>
                      </c:pt>
                      <c:pt idx="29" formatCode="General">
                        <c:v>4.3757272727272725E-3</c:v>
                      </c:pt>
                      <c:pt idx="30" formatCode="General">
                        <c:v>3.126151515151515E-3</c:v>
                      </c:pt>
                      <c:pt idx="31" formatCode="General">
                        <c:v>2.2430018072289162E-3</c:v>
                      </c:pt>
                      <c:pt idx="32" formatCode="General">
                        <c:v>1.5571584337349411E-3</c:v>
                      </c:pt>
                      <c:pt idx="33" formatCode="General">
                        <c:v>1.1666720000000008E-3</c:v>
                      </c:pt>
                      <c:pt idx="34" formatCode="General">
                        <c:v>8.3559454545454595E-4</c:v>
                      </c:pt>
                      <c:pt idx="35" formatCode="General">
                        <c:v>6.1404909090909143E-4</c:v>
                      </c:pt>
                      <c:pt idx="36" formatCode="General">
                        <c:v>4.5643527272727299E-4</c:v>
                      </c:pt>
                      <c:pt idx="37" formatCode="General">
                        <c:v>3.3101901361573386E-4</c:v>
                      </c:pt>
                      <c:pt idx="38" formatCode="General">
                        <c:v>2.8899435400907725E-4</c:v>
                      </c:pt>
                      <c:pt idx="39" formatCode="General">
                        <c:v>2.4696969440242075E-4</c:v>
                      </c:pt>
                      <c:pt idx="40" formatCode="General">
                        <c:v>2.0494503479576417E-4</c:v>
                      </c:pt>
                      <c:pt idx="41" formatCode="General">
                        <c:v>1.6292037518910758E-4</c:v>
                      </c:pt>
                      <c:pt idx="42" formatCode="General">
                        <c:v>1.2089571558245103E-4</c:v>
                      </c:pt>
                      <c:pt idx="43" formatCode="General">
                        <c:v>7.8871055975794472E-5</c:v>
                      </c:pt>
                      <c:pt idx="44" formatCode="General">
                        <c:v>5.2056036308623328E-5</c:v>
                      </c:pt>
                      <c:pt idx="45" formatCode="General">
                        <c:v>4.540263237518913E-5</c:v>
                      </c:pt>
                      <c:pt idx="46" formatCode="General">
                        <c:v>3.8749228441754924E-5</c:v>
                      </c:pt>
                      <c:pt idx="47" formatCode="General">
                        <c:v>3.2095824508320725E-5</c:v>
                      </c:pt>
                      <c:pt idx="48" formatCode="General">
                        <c:v>2.5442420574886523E-5</c:v>
                      </c:pt>
                      <c:pt idx="49" formatCode="General">
                        <c:v>1.8789016641452321E-5</c:v>
                      </c:pt>
                      <c:pt idx="50" formatCode="General">
                        <c:v>1.2135612708018123E-5</c:v>
                      </c:pt>
                      <c:pt idx="51" formatCode="General">
                        <c:v>9.2316545454545363E-6</c:v>
                      </c:pt>
                      <c:pt idx="52" formatCode="General">
                        <c:v>7.2669739393939326E-6</c:v>
                      </c:pt>
                      <c:pt idx="53" formatCode="General">
                        <c:v>5.8697618181818117E-6</c:v>
                      </c:pt>
                      <c:pt idx="54" formatCode="General">
                        <c:v>4.706329090909087E-6</c:v>
                      </c:pt>
                      <c:pt idx="55" formatCode="General">
                        <c:v>3.7586927272727231E-6</c:v>
                      </c:pt>
                      <c:pt idx="56" formatCode="General">
                        <c:v>3.0708963636363608E-6</c:v>
                      </c:pt>
                      <c:pt idx="57" formatCode="General">
                        <c:v>2.4667602409638536E-6</c:v>
                      </c:pt>
                      <c:pt idx="58" formatCode="General">
                        <c:v>2.0215795180722878E-6</c:v>
                      </c:pt>
                      <c:pt idx="59" formatCode="General">
                        <c:v>1.6560709090909084E-6</c:v>
                      </c:pt>
                      <c:pt idx="60" formatCode="General">
                        <c:v>1.3531618181818175E-6</c:v>
                      </c:pt>
                      <c:pt idx="61" formatCode="General">
                        <c:v>1.1274427878787875E-6</c:v>
                      </c:pt>
                      <c:pt idx="62" formatCode="General">
                        <c:v>9.2525103030302983E-7</c:v>
                      </c:pt>
                      <c:pt idx="63" formatCode="General">
                        <c:v>7.6829345454545416E-7</c:v>
                      </c:pt>
                      <c:pt idx="64" formatCode="General">
                        <c:v>6.6157455370650506E-7</c:v>
                      </c:pt>
                      <c:pt idx="65" formatCode="General">
                        <c:v>5.8697546142208761E-7</c:v>
                      </c:pt>
                      <c:pt idx="66" formatCode="General">
                        <c:v>5.1237636913767006E-7</c:v>
                      </c:pt>
                      <c:pt idx="67" formatCode="General">
                        <c:v>4.3777727685325251E-7</c:v>
                      </c:pt>
                      <c:pt idx="68" formatCode="General">
                        <c:v>3.6317818456883496E-7</c:v>
                      </c:pt>
                      <c:pt idx="69" formatCode="General">
                        <c:v>2.8857909228441746E-7</c:v>
                      </c:pt>
                      <c:pt idx="70" formatCode="General">
                        <c:v>2.1397999999999996E-7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894-4356-9EB2-6A9076CBABE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6.3268735757575825E-26</c:v>
                      </c:pt>
                      <c:pt idx="1">
                        <c:v>9.0085721818182058E-25</c:v>
                      </c:pt>
                      <c:pt idx="2">
                        <c:v>3.0094735818181841E-24</c:v>
                      </c:pt>
                      <c:pt idx="3">
                        <c:v>6.4740058181818279E-23</c:v>
                      </c:pt>
                      <c:pt idx="4" formatCode="General">
                        <c:v>1.5609267904084935E-18</c:v>
                      </c:pt>
                      <c:pt idx="5" formatCode="General">
                        <c:v>2.1070738920514385E-17</c:v>
                      </c:pt>
                      <c:pt idx="6" formatCode="General">
                        <c:v>4.0580551050620279E-17</c:v>
                      </c:pt>
                      <c:pt idx="7" formatCode="General">
                        <c:v>6.0090363180726172E-17</c:v>
                      </c:pt>
                      <c:pt idx="8" formatCode="General">
                        <c:v>7.9600175310832059E-17</c:v>
                      </c:pt>
                      <c:pt idx="9" formatCode="General">
                        <c:v>9.9109987440937959E-17</c:v>
                      </c:pt>
                      <c:pt idx="10" formatCode="General">
                        <c:v>1.1861979957104385E-16</c:v>
                      </c:pt>
                      <c:pt idx="11" formatCode="General">
                        <c:v>7.4444351515151374E-16</c:v>
                      </c:pt>
                      <c:pt idx="12" formatCode="General">
                        <c:v>2.0539829090909078E-15</c:v>
                      </c:pt>
                      <c:pt idx="13" formatCode="General">
                        <c:v>1.6842612727272708E-14</c:v>
                      </c:pt>
                      <c:pt idx="14" formatCode="General">
                        <c:v>6.3732391566264908E-14</c:v>
                      </c:pt>
                      <c:pt idx="15" formatCode="General">
                        <c:v>2.5290528313253038E-13</c:v>
                      </c:pt>
                      <c:pt idx="16" formatCode="General">
                        <c:v>1.2167109090909129E-12</c:v>
                      </c:pt>
                      <c:pt idx="17" formatCode="General">
                        <c:v>2.9247715151515189E-12</c:v>
                      </c:pt>
                      <c:pt idx="18" formatCode="General">
                        <c:v>1.4878194545454576E-11</c:v>
                      </c:pt>
                      <c:pt idx="19" formatCode="General">
                        <c:v>4.6630218181818403E-11</c:v>
                      </c:pt>
                      <c:pt idx="20" formatCode="General">
                        <c:v>1.4658840000000022E-10</c:v>
                      </c:pt>
                      <c:pt idx="21" formatCode="General">
                        <c:v>5.7154987878788028E-10</c:v>
                      </c:pt>
                      <c:pt idx="22" formatCode="General">
                        <c:v>1.2518710909090924E-9</c:v>
                      </c:pt>
                      <c:pt idx="23" formatCode="General">
                        <c:v>5.181806024096389E-9</c:v>
                      </c:pt>
                      <c:pt idx="24" formatCode="General">
                        <c:v>1.4554799999999999E-8</c:v>
                      </c:pt>
                      <c:pt idx="25" formatCode="General">
                        <c:v>3.9292799999999996E-8</c:v>
                      </c:pt>
                      <c:pt idx="26" formatCode="General">
                        <c:v>1.2817418181818183E-7</c:v>
                      </c:pt>
                      <c:pt idx="27" formatCode="General">
                        <c:v>2.598178181818182E-7</c:v>
                      </c:pt>
                      <c:pt idx="28" formatCode="General">
                        <c:v>8.8056060606060607E-7</c:v>
                      </c:pt>
                      <c:pt idx="29" formatCode="General">
                        <c:v>2.215809090909091E-6</c:v>
                      </c:pt>
                      <c:pt idx="30" formatCode="General">
                        <c:v>5.1581727272727275E-6</c:v>
                      </c:pt>
                      <c:pt idx="31" formatCode="General">
                        <c:v>1.4239777108433725E-5</c:v>
                      </c:pt>
                      <c:pt idx="32" formatCode="General">
                        <c:v>2.6627126506024065E-5</c:v>
                      </c:pt>
                      <c:pt idx="33" formatCode="General">
                        <c:v>7.5470399999999886E-5</c:v>
                      </c:pt>
                      <c:pt idx="34" formatCode="General">
                        <c:v>1.6914381818181778E-4</c:v>
                      </c:pt>
                      <c:pt idx="35" formatCode="General">
                        <c:v>3.4912563636363598E-4</c:v>
                      </c:pt>
                      <c:pt idx="36" formatCode="General">
                        <c:v>8.125134545454532E-4</c:v>
                      </c:pt>
                      <c:pt idx="37" formatCode="General">
                        <c:v>1.4696417549167875E-3</c:v>
                      </c:pt>
                      <c:pt idx="38" formatCode="General">
                        <c:v>3.7206856278366048E-3</c:v>
                      </c:pt>
                      <c:pt idx="39" formatCode="General">
                        <c:v>5.9717295007564227E-3</c:v>
                      </c:pt>
                      <c:pt idx="40" formatCode="General">
                        <c:v>8.2227733736762402E-3</c:v>
                      </c:pt>
                      <c:pt idx="41" formatCode="General">
                        <c:v>1.0473817246596058E-2</c:v>
                      </c:pt>
                      <c:pt idx="42" formatCode="General">
                        <c:v>1.2724861119515875E-2</c:v>
                      </c:pt>
                      <c:pt idx="43" formatCode="General">
                        <c:v>1.4975904992435693E-2</c:v>
                      </c:pt>
                      <c:pt idx="44" formatCode="General">
                        <c:v>1.6119526475037824E-2</c:v>
                      </c:pt>
                      <c:pt idx="45" formatCode="General">
                        <c:v>1.5795169440242059E-2</c:v>
                      </c:pt>
                      <c:pt idx="46" formatCode="General">
                        <c:v>1.5470812405446293E-2</c:v>
                      </c:pt>
                      <c:pt idx="47" formatCode="General">
                        <c:v>1.5146455370650529E-2</c:v>
                      </c:pt>
                      <c:pt idx="48" formatCode="General">
                        <c:v>1.4822098335854765E-2</c:v>
                      </c:pt>
                      <c:pt idx="49" formatCode="General">
                        <c:v>1.4497741301059E-2</c:v>
                      </c:pt>
                      <c:pt idx="50" formatCode="General">
                        <c:v>1.4173384266263238E-2</c:v>
                      </c:pt>
                      <c:pt idx="51" formatCode="General">
                        <c:v>1.3357618181818178E-2</c:v>
                      </c:pt>
                      <c:pt idx="52" formatCode="General">
                        <c:v>1.2423472727272723E-2</c:v>
                      </c:pt>
                      <c:pt idx="53" formatCode="General">
                        <c:v>1.1438018181818178E-2</c:v>
                      </c:pt>
                      <c:pt idx="54" formatCode="General">
                        <c:v>1.0451964848484844E-2</c:v>
                      </c:pt>
                      <c:pt idx="55" formatCode="General">
                        <c:v>9.4653587878787832E-3</c:v>
                      </c:pt>
                      <c:pt idx="56" formatCode="General">
                        <c:v>8.5295818181818136E-3</c:v>
                      </c:pt>
                      <c:pt idx="57" formatCode="General">
                        <c:v>7.607931325301201E-3</c:v>
                      </c:pt>
                      <c:pt idx="58" formatCode="General">
                        <c:v>6.7094373493975876E-3</c:v>
                      </c:pt>
                      <c:pt idx="59" formatCode="General">
                        <c:v>5.1745848484848435E-3</c:v>
                      </c:pt>
                      <c:pt idx="60" formatCode="General">
                        <c:v>3.1397363636363595E-3</c:v>
                      </c:pt>
                      <c:pt idx="61" formatCode="General">
                        <c:v>2.0919345454545432E-3</c:v>
                      </c:pt>
                      <c:pt idx="62" formatCode="General">
                        <c:v>1.2744740606060595E-3</c:v>
                      </c:pt>
                      <c:pt idx="63" formatCode="General">
                        <c:v>8.3475890909090803E-4</c:v>
                      </c:pt>
                      <c:pt idx="64" formatCode="General">
                        <c:v>6.0579932526475021E-4</c:v>
                      </c:pt>
                      <c:pt idx="65" formatCode="General">
                        <c:v>5.1158510438729184E-4</c:v>
                      </c:pt>
                      <c:pt idx="66" formatCode="General">
                        <c:v>4.1737088350983346E-4</c:v>
                      </c:pt>
                      <c:pt idx="67" formatCode="General">
                        <c:v>3.2315666263237508E-4</c:v>
                      </c:pt>
                      <c:pt idx="68" formatCode="General">
                        <c:v>2.2894244175491671E-4</c:v>
                      </c:pt>
                      <c:pt idx="69" formatCode="General">
                        <c:v>1.3472822087745833E-4</c:v>
                      </c:pt>
                      <c:pt idx="70" formatCode="General">
                        <c:v>4.0513999999999958E-5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894-4356-9EB2-6A9076CBABE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894-4356-9EB2-6A9076CBABE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2.0811104242424264E-25</c:v>
                      </c:pt>
                      <c:pt idx="1">
                        <c:v>2.6147000606060674E-24</c:v>
                      </c:pt>
                      <c:pt idx="2">
                        <c:v>8.6346212727272787E-24</c:v>
                      </c:pt>
                      <c:pt idx="3">
                        <c:v>1.5154818181818205E-22</c:v>
                      </c:pt>
                      <c:pt idx="4" formatCode="General">
                        <c:v>1.2149700988351153E-18</c:v>
                      </c:pt>
                      <c:pt idx="5" formatCode="General">
                        <c:v>1.6397976209273838E-17</c:v>
                      </c:pt>
                      <c:pt idx="6" formatCode="General">
                        <c:v>3.1580982319712566E-17</c:v>
                      </c:pt>
                      <c:pt idx="7" formatCode="General">
                        <c:v>4.676398843015129E-17</c:v>
                      </c:pt>
                      <c:pt idx="8" formatCode="General">
                        <c:v>6.1946994540590014E-17</c:v>
                      </c:pt>
                      <c:pt idx="9" formatCode="General">
                        <c:v>7.7130000651028745E-17</c:v>
                      </c:pt>
                      <c:pt idx="10" formatCode="General">
                        <c:v>9.2313006761467463E-17</c:v>
                      </c:pt>
                      <c:pt idx="11" formatCode="General">
                        <c:v>4.7751078787878695E-16</c:v>
                      </c:pt>
                      <c:pt idx="12" formatCode="General">
                        <c:v>1.2799592727272717E-15</c:v>
                      </c:pt>
                      <c:pt idx="13" formatCode="General">
                        <c:v>8.8653284848484727E-15</c:v>
                      </c:pt>
                      <c:pt idx="14" formatCode="General">
                        <c:v>3.0732608433734876E-14</c:v>
                      </c:pt>
                      <c:pt idx="15" formatCode="General">
                        <c:v>1.1505971686747002E-13</c:v>
                      </c:pt>
                      <c:pt idx="16" formatCode="General">
                        <c:v>5.0541163636363802E-13</c:v>
                      </c:pt>
                      <c:pt idx="17" formatCode="General">
                        <c:v>1.1897873939393955E-12</c:v>
                      </c:pt>
                      <c:pt idx="18" formatCode="General">
                        <c:v>5.5473430303030418E-12</c:v>
                      </c:pt>
                      <c:pt idx="19" formatCode="General">
                        <c:v>1.6356792727272803E-11</c:v>
                      </c:pt>
                      <c:pt idx="20" formatCode="General">
                        <c:v>4.9188186666666738E-11</c:v>
                      </c:pt>
                      <c:pt idx="21" formatCode="General">
                        <c:v>1.7538149090909136E-10</c:v>
                      </c:pt>
                      <c:pt idx="22" formatCode="General">
                        <c:v>3.7493058181818229E-10</c:v>
                      </c:pt>
                      <c:pt idx="23" formatCode="General">
                        <c:v>1.3978972891566278E-9</c:v>
                      </c:pt>
                      <c:pt idx="24" formatCode="General">
                        <c:v>3.6445030303030302E-9</c:v>
                      </c:pt>
                      <c:pt idx="25" formatCode="General">
                        <c:v>9.3177151515151522E-9</c:v>
                      </c:pt>
                      <c:pt idx="26" formatCode="General">
                        <c:v>2.757318181818182E-8</c:v>
                      </c:pt>
                      <c:pt idx="27" formatCode="General">
                        <c:v>5.4216818181818193E-8</c:v>
                      </c:pt>
                      <c:pt idx="28" formatCode="General">
                        <c:v>1.6537533333333333E-7</c:v>
                      </c:pt>
                      <c:pt idx="29" formatCode="General">
                        <c:v>3.8595454545454542E-7</c:v>
                      </c:pt>
                      <c:pt idx="30" formatCode="General">
                        <c:v>8.5146969696969687E-7</c:v>
                      </c:pt>
                      <c:pt idx="31" formatCode="General">
                        <c:v>2.1428939759036127E-6</c:v>
                      </c:pt>
                      <c:pt idx="32" formatCode="General">
                        <c:v>3.8790385542168628E-6</c:v>
                      </c:pt>
                      <c:pt idx="33" formatCode="General">
                        <c:v>9.9561599999999867E-6</c:v>
                      </c:pt>
                      <c:pt idx="34" formatCode="General">
                        <c:v>2.0796618181818135E-5</c:v>
                      </c:pt>
                      <c:pt idx="35" formatCode="General">
                        <c:v>4.0798436363636317E-5</c:v>
                      </c:pt>
                      <c:pt idx="36" formatCode="General">
                        <c:v>8.8428690909090777E-5</c:v>
                      </c:pt>
                      <c:pt idx="37" formatCode="General">
                        <c:v>1.638638275340383E-4</c:v>
                      </c:pt>
                      <c:pt idx="38" formatCode="General">
                        <c:v>6.0870951588502147E-4</c:v>
                      </c:pt>
                      <c:pt idx="39" formatCode="General">
                        <c:v>1.0535552042360047E-3</c:v>
                      </c:pt>
                      <c:pt idx="40" formatCode="General">
                        <c:v>1.4984008925869878E-3</c:v>
                      </c:pt>
                      <c:pt idx="41" formatCode="General">
                        <c:v>1.9432465809379709E-3</c:v>
                      </c:pt>
                      <c:pt idx="42" formatCode="General">
                        <c:v>2.3880922692889541E-3</c:v>
                      </c:pt>
                      <c:pt idx="43" formatCode="General">
                        <c:v>2.8329379576399372E-3</c:v>
                      </c:pt>
                      <c:pt idx="44" formatCode="General">
                        <c:v>3.6467685325264699E-3</c:v>
                      </c:pt>
                      <c:pt idx="45" formatCode="General">
                        <c:v>4.9497186081694363E-3</c:v>
                      </c:pt>
                      <c:pt idx="46" formatCode="General">
                        <c:v>6.2526686838124037E-3</c:v>
                      </c:pt>
                      <c:pt idx="47" formatCode="General">
                        <c:v>7.5556187594553702E-3</c:v>
                      </c:pt>
                      <c:pt idx="48" formatCode="General">
                        <c:v>8.8585688350983367E-3</c:v>
                      </c:pt>
                      <c:pt idx="49" formatCode="General">
                        <c:v>1.0161518910741303E-2</c:v>
                      </c:pt>
                      <c:pt idx="50" formatCode="General">
                        <c:v>1.1464468986384271E-2</c:v>
                      </c:pt>
                      <c:pt idx="51" formatCode="General">
                        <c:v>1.323612727272728E-2</c:v>
                      </c:pt>
                      <c:pt idx="52" formatCode="General">
                        <c:v>1.5128909090909099E-2</c:v>
                      </c:pt>
                      <c:pt idx="53" formatCode="General">
                        <c:v>1.7110727272727284E-2</c:v>
                      </c:pt>
                      <c:pt idx="54" formatCode="General">
                        <c:v>1.9089393939393951E-2</c:v>
                      </c:pt>
                      <c:pt idx="55" formatCode="General">
                        <c:v>2.1065151515151526E-2</c:v>
                      </c:pt>
                      <c:pt idx="56" formatCode="General">
                        <c:v>2.2938090909090918E-2</c:v>
                      </c:pt>
                      <c:pt idx="57" formatCode="General">
                        <c:v>2.4709445783132535E-2</c:v>
                      </c:pt>
                      <c:pt idx="58" formatCode="General">
                        <c:v>2.6175108433734943E-2</c:v>
                      </c:pt>
                      <c:pt idx="59" formatCode="General">
                        <c:v>2.5078569696969689E-2</c:v>
                      </c:pt>
                      <c:pt idx="60" formatCode="General">
                        <c:v>2.1968872727272722E-2</c:v>
                      </c:pt>
                      <c:pt idx="61" formatCode="General">
                        <c:v>1.9237515151515144E-2</c:v>
                      </c:pt>
                      <c:pt idx="62" formatCode="General">
                        <c:v>1.6663175757575751E-2</c:v>
                      </c:pt>
                      <c:pt idx="63" formatCode="General">
                        <c:v>1.4429236363636359E-2</c:v>
                      </c:pt>
                      <c:pt idx="64" formatCode="General">
                        <c:v>1.2731214674735248E-2</c:v>
                      </c:pt>
                      <c:pt idx="65" formatCode="General">
                        <c:v>1.1375828895612707E-2</c:v>
                      </c:pt>
                      <c:pt idx="66" formatCode="General">
                        <c:v>1.0020443116490165E-2</c:v>
                      </c:pt>
                      <c:pt idx="67" formatCode="General">
                        <c:v>8.6650573373676237E-3</c:v>
                      </c:pt>
                      <c:pt idx="68" formatCode="General">
                        <c:v>7.3096715582450823E-3</c:v>
                      </c:pt>
                      <c:pt idx="69" formatCode="General">
                        <c:v>5.9542857791225418E-3</c:v>
                      </c:pt>
                      <c:pt idx="70" formatCode="General">
                        <c:v>4.5988999999999995E-3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894-4356-9EB2-6A9076CBABE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1.4382292121212128E-8</c:v>
                      </c:pt>
                      <c:pt idx="1">
                        <c:v>2.1401260606060618E-8</c:v>
                      </c:pt>
                      <c:pt idx="2">
                        <c:v>2.9762472727272736E-8</c:v>
                      </c:pt>
                      <c:pt idx="3">
                        <c:v>3.6904363636363641E-8</c:v>
                      </c:pt>
                      <c:pt idx="4" formatCode="General">
                        <c:v>4.2923842662632376E-8</c:v>
                      </c:pt>
                      <c:pt idx="5" formatCode="General">
                        <c:v>4.1221875945537069E-8</c:v>
                      </c:pt>
                      <c:pt idx="6" formatCode="General">
                        <c:v>3.9519909228441755E-8</c:v>
                      </c:pt>
                      <c:pt idx="7" formatCode="General">
                        <c:v>3.7817942511346448E-8</c:v>
                      </c:pt>
                      <c:pt idx="8" formatCode="General">
                        <c:v>3.6115975794251134E-8</c:v>
                      </c:pt>
                      <c:pt idx="9" formatCode="General">
                        <c:v>3.4414009077155827E-8</c:v>
                      </c:pt>
                      <c:pt idx="10" formatCode="General">
                        <c:v>3.2712042360060513E-8</c:v>
                      </c:pt>
                      <c:pt idx="11" formatCode="General">
                        <c:v>3.058315757575758E-8</c:v>
                      </c:pt>
                      <c:pt idx="12" formatCode="General">
                        <c:v>2.7972854545454551E-8</c:v>
                      </c:pt>
                      <c:pt idx="13" formatCode="General">
                        <c:v>2.6190006060606065E-8</c:v>
                      </c:pt>
                      <c:pt idx="14" formatCode="General">
                        <c:v>2.4738927710843374E-8</c:v>
                      </c:pt>
                      <c:pt idx="15" formatCode="General">
                        <c:v>2.4020855421686744E-8</c:v>
                      </c:pt>
                      <c:pt idx="16" formatCode="General">
                        <c:v>2.3533927272727272E-8</c:v>
                      </c:pt>
                      <c:pt idx="17" formatCode="General">
                        <c:v>2.3269078787878787E-8</c:v>
                      </c:pt>
                      <c:pt idx="18" formatCode="General">
                        <c:v>2.2933345454545453E-8</c:v>
                      </c:pt>
                      <c:pt idx="19" formatCode="General">
                        <c:v>2.2570036363636364E-8</c:v>
                      </c:pt>
                      <c:pt idx="20" formatCode="General">
                        <c:v>2.21464E-8</c:v>
                      </c:pt>
                      <c:pt idx="21" formatCode="General">
                        <c:v>2.1527951515151512E-8</c:v>
                      </c:pt>
                      <c:pt idx="22" formatCode="General">
                        <c:v>2.075643636363636E-8</c:v>
                      </c:pt>
                      <c:pt idx="23" formatCode="General">
                        <c:v>1.9618572289156625E-8</c:v>
                      </c:pt>
                      <c:pt idx="24" formatCode="General">
                        <c:v>1.8405878787878787E-8</c:v>
                      </c:pt>
                      <c:pt idx="25" formatCode="General">
                        <c:v>1.707739393939394E-8</c:v>
                      </c:pt>
                      <c:pt idx="26" formatCode="General">
                        <c:v>1.5766727272727275E-8</c:v>
                      </c:pt>
                      <c:pt idx="27" formatCode="General">
                        <c:v>1.4467939393939395E-8</c:v>
                      </c:pt>
                      <c:pt idx="28" formatCode="General">
                        <c:v>1.3275666666666667E-8</c:v>
                      </c:pt>
                      <c:pt idx="29" formatCode="General">
                        <c:v>1.2130090909090909E-8</c:v>
                      </c:pt>
                      <c:pt idx="30" formatCode="General">
                        <c:v>1.1080393939393939E-8</c:v>
                      </c:pt>
                      <c:pt idx="31" formatCode="General">
                        <c:v>1.0123731927710844E-8</c:v>
                      </c:pt>
                      <c:pt idx="32" formatCode="General">
                        <c:v>9.2171656626506039E-9</c:v>
                      </c:pt>
                      <c:pt idx="33" formatCode="General">
                        <c:v>8.4308000000000003E-9</c:v>
                      </c:pt>
                      <c:pt idx="34" formatCode="General">
                        <c:v>7.6848000000000014E-9</c:v>
                      </c:pt>
                      <c:pt idx="35" formatCode="General">
                        <c:v>7.014800000000001E-9</c:v>
                      </c:pt>
                      <c:pt idx="36" formatCode="General">
                        <c:v>6.41865090909091E-9</c:v>
                      </c:pt>
                      <c:pt idx="37" formatCode="General">
                        <c:v>5.8637152798789721E-9</c:v>
                      </c:pt>
                      <c:pt idx="38" formatCode="General">
                        <c:v>5.5015972768532531E-9</c:v>
                      </c:pt>
                      <c:pt idx="39" formatCode="General">
                        <c:v>5.1394792738275351E-9</c:v>
                      </c:pt>
                      <c:pt idx="40" formatCode="General">
                        <c:v>4.7773612708018162E-9</c:v>
                      </c:pt>
                      <c:pt idx="41" formatCode="General">
                        <c:v>4.4152432677760981E-9</c:v>
                      </c:pt>
                      <c:pt idx="42" formatCode="General">
                        <c:v>4.05312526475038E-9</c:v>
                      </c:pt>
                      <c:pt idx="43" formatCode="General">
                        <c:v>3.6910072617246611E-9</c:v>
                      </c:pt>
                      <c:pt idx="44" formatCode="General">
                        <c:v>3.3860903177004549E-9</c:v>
                      </c:pt>
                      <c:pt idx="45" formatCode="General">
                        <c:v>3.1569980332829056E-9</c:v>
                      </c:pt>
                      <c:pt idx="46" formatCode="General">
                        <c:v>2.9279057488653559E-9</c:v>
                      </c:pt>
                      <c:pt idx="47" formatCode="General">
                        <c:v>2.6988134644478062E-9</c:v>
                      </c:pt>
                      <c:pt idx="48" formatCode="General">
                        <c:v>2.4697211800302569E-9</c:v>
                      </c:pt>
                      <c:pt idx="49" formatCode="General">
                        <c:v>2.2406288956127077E-9</c:v>
                      </c:pt>
                      <c:pt idx="50" formatCode="General">
                        <c:v>2.011536611195158E-9</c:v>
                      </c:pt>
                      <c:pt idx="51" formatCode="General">
                        <c:v>1.8407399999999994E-9</c:v>
                      </c:pt>
                      <c:pt idx="52" formatCode="General">
                        <c:v>1.6864284848484842E-9</c:v>
                      </c:pt>
                      <c:pt idx="53" formatCode="General">
                        <c:v>1.5501254545454539E-9</c:v>
                      </c:pt>
                      <c:pt idx="54" formatCode="General">
                        <c:v>1.423434545454545E-9</c:v>
                      </c:pt>
                      <c:pt idx="55" formatCode="General">
                        <c:v>1.3056163636363631E-9</c:v>
                      </c:pt>
                      <c:pt idx="56" formatCode="General">
                        <c:v>1.2015072727272723E-9</c:v>
                      </c:pt>
                      <c:pt idx="57" formatCode="General">
                        <c:v>1.1025718072289152E-9</c:v>
                      </c:pt>
                      <c:pt idx="58" formatCode="General">
                        <c:v>1.0147163855421684E-9</c:v>
                      </c:pt>
                      <c:pt idx="59" formatCode="General">
                        <c:v>9.3433490909090904E-10</c:v>
                      </c:pt>
                      <c:pt idx="60" formatCode="General">
                        <c:v>8.5982581818181804E-10</c:v>
                      </c:pt>
                      <c:pt idx="61" formatCode="General">
                        <c:v>7.9258569696969685E-10</c:v>
                      </c:pt>
                      <c:pt idx="62" formatCode="General">
                        <c:v>7.2817915151515138E-10</c:v>
                      </c:pt>
                      <c:pt idx="63" formatCode="General">
                        <c:v>6.6979127272727258E-10</c:v>
                      </c:pt>
                      <c:pt idx="64" formatCode="General">
                        <c:v>6.2163993948562774E-10</c:v>
                      </c:pt>
                      <c:pt idx="65" formatCode="General">
                        <c:v>5.8003328290468985E-10</c:v>
                      </c:pt>
                      <c:pt idx="66" formatCode="General">
                        <c:v>5.3842662632375185E-10</c:v>
                      </c:pt>
                      <c:pt idx="67" formatCode="General">
                        <c:v>4.9681996974281385E-10</c:v>
                      </c:pt>
                      <c:pt idx="68" formatCode="General">
                        <c:v>4.5521331316187595E-10</c:v>
                      </c:pt>
                      <c:pt idx="69" formatCode="General">
                        <c:v>4.1360665658093795E-10</c:v>
                      </c:pt>
                      <c:pt idx="70" formatCode="General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894-4356-9EB2-6A9076CBABE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4.110435151515154E-9</c:v>
                      </c:pt>
                      <c:pt idx="1">
                        <c:v>6.4859612121212154E-9</c:v>
                      </c:pt>
                      <c:pt idx="2">
                        <c:v>9.5363854545454582E-9</c:v>
                      </c:pt>
                      <c:pt idx="3">
                        <c:v>1.2535400000000003E-8</c:v>
                      </c:pt>
                      <c:pt idx="4" formatCode="General">
                        <c:v>1.5275862329803325E-8</c:v>
                      </c:pt>
                      <c:pt idx="5" formatCode="General">
                        <c:v>1.5261641452344932E-8</c:v>
                      </c:pt>
                      <c:pt idx="6" formatCode="General">
                        <c:v>1.5247420574886534E-8</c:v>
                      </c:pt>
                      <c:pt idx="7" formatCode="General">
                        <c:v>1.5233199697428137E-8</c:v>
                      </c:pt>
                      <c:pt idx="8" formatCode="General">
                        <c:v>1.5218978819969743E-8</c:v>
                      </c:pt>
                      <c:pt idx="9" formatCode="General">
                        <c:v>1.5204757942511346E-8</c:v>
                      </c:pt>
                      <c:pt idx="10" formatCode="General">
                        <c:v>1.5190537065052952E-8</c:v>
                      </c:pt>
                      <c:pt idx="11" formatCode="General">
                        <c:v>1.4828933333333334E-8</c:v>
                      </c:pt>
                      <c:pt idx="12" formatCode="General">
                        <c:v>1.4075600000000001E-8</c:v>
                      </c:pt>
                      <c:pt idx="13" formatCode="General">
                        <c:v>1.3632375757575758E-8</c:v>
                      </c:pt>
                      <c:pt idx="14" formatCode="General">
                        <c:v>1.3324379518072289E-8</c:v>
                      </c:pt>
                      <c:pt idx="15" formatCode="General">
                        <c:v>1.3344259036144578E-8</c:v>
                      </c:pt>
                      <c:pt idx="16" formatCode="General">
                        <c:v>1.3477018181818183E-8</c:v>
                      </c:pt>
                      <c:pt idx="17" formatCode="General">
                        <c:v>1.3718230303030303E-8</c:v>
                      </c:pt>
                      <c:pt idx="18" formatCode="General">
                        <c:v>1.3894812121212121E-8</c:v>
                      </c:pt>
                      <c:pt idx="19" formatCode="General">
                        <c:v>1.3990999999999999E-8</c:v>
                      </c:pt>
                      <c:pt idx="20" formatCode="General">
                        <c:v>1.3824333333333333E-8</c:v>
                      </c:pt>
                      <c:pt idx="21" formatCode="General">
                        <c:v>1.3442830303030302E-8</c:v>
                      </c:pt>
                      <c:pt idx="22" formatCode="General">
                        <c:v>1.2892527272727271E-8</c:v>
                      </c:pt>
                      <c:pt idx="23" formatCode="General">
                        <c:v>1.2122126506024095E-8</c:v>
                      </c:pt>
                      <c:pt idx="24" formatCode="General">
                        <c:v>1.1309363636363636E-8</c:v>
                      </c:pt>
                      <c:pt idx="25" formatCode="General">
                        <c:v>1.0434818181818182E-8</c:v>
                      </c:pt>
                      <c:pt idx="26" formatCode="General">
                        <c:v>9.5792181818181824E-9</c:v>
                      </c:pt>
                      <c:pt idx="27" formatCode="General">
                        <c:v>8.7362484848484858E-9</c:v>
                      </c:pt>
                      <c:pt idx="28" formatCode="General">
                        <c:v>7.9709484848484856E-9</c:v>
                      </c:pt>
                      <c:pt idx="29" formatCode="General">
                        <c:v>7.2383545454545455E-9</c:v>
                      </c:pt>
                      <c:pt idx="30" formatCode="General">
                        <c:v>6.5725363636363642E-9</c:v>
                      </c:pt>
                      <c:pt idx="31" formatCode="General">
                        <c:v>5.9693524096385552E-9</c:v>
                      </c:pt>
                      <c:pt idx="32" formatCode="General">
                        <c:v>5.3998945783132548E-9</c:v>
                      </c:pt>
                      <c:pt idx="33" formatCode="General">
                        <c:v>4.9107800000000011E-9</c:v>
                      </c:pt>
                      <c:pt idx="34" formatCode="General">
                        <c:v>4.4481727272727279E-9</c:v>
                      </c:pt>
                      <c:pt idx="35" formatCode="General">
                        <c:v>4.0354454545454559E-9</c:v>
                      </c:pt>
                      <c:pt idx="36" formatCode="General">
                        <c:v>3.6702236363636374E-9</c:v>
                      </c:pt>
                      <c:pt idx="37" formatCode="General">
                        <c:v>3.3313956127080189E-9</c:v>
                      </c:pt>
                      <c:pt idx="38" formatCode="General">
                        <c:v>3.1137859304084727E-9</c:v>
                      </c:pt>
                      <c:pt idx="39" formatCode="General">
                        <c:v>2.8961762481089268E-9</c:v>
                      </c:pt>
                      <c:pt idx="40" formatCode="General">
                        <c:v>2.6785665658093806E-9</c:v>
                      </c:pt>
                      <c:pt idx="41" formatCode="General">
                        <c:v>2.4609568835098344E-9</c:v>
                      </c:pt>
                      <c:pt idx="42" formatCode="General">
                        <c:v>2.2433472012102885E-9</c:v>
                      </c:pt>
                      <c:pt idx="43" formatCode="General">
                        <c:v>2.0257375189107427E-9</c:v>
                      </c:pt>
                      <c:pt idx="44" formatCode="General">
                        <c:v>1.8452340393343426E-9</c:v>
                      </c:pt>
                      <c:pt idx="45" formatCode="General">
                        <c:v>1.7139178517397887E-9</c:v>
                      </c:pt>
                      <c:pt idx="46" formatCode="General">
                        <c:v>1.5826016641452347E-9</c:v>
                      </c:pt>
                      <c:pt idx="47" formatCode="General">
                        <c:v>1.4512854765506808E-9</c:v>
                      </c:pt>
                      <c:pt idx="48" formatCode="General">
                        <c:v>1.3199692889561269E-9</c:v>
                      </c:pt>
                      <c:pt idx="49" formatCode="General">
                        <c:v>1.188653101361573E-9</c:v>
                      </c:pt>
                      <c:pt idx="50" formatCode="General">
                        <c:v>1.0573369137670191E-9</c:v>
                      </c:pt>
                      <c:pt idx="51" formatCode="General">
                        <c:v>9.6146048484848439E-10</c:v>
                      </c:pt>
                      <c:pt idx="52" formatCode="General">
                        <c:v>8.7554054545454506E-10</c:v>
                      </c:pt>
                      <c:pt idx="53" formatCode="General">
                        <c:v>8.0024963636363602E-10</c:v>
                      </c:pt>
                      <c:pt idx="54" formatCode="General">
                        <c:v>7.30593636363636E-10</c:v>
                      </c:pt>
                      <c:pt idx="55" formatCode="General">
                        <c:v>6.6613909090909064E-10</c:v>
                      </c:pt>
                      <c:pt idx="56" formatCode="General">
                        <c:v>6.0966218181818159E-10</c:v>
                      </c:pt>
                      <c:pt idx="57" formatCode="General">
                        <c:v>5.5617084337349377E-10</c:v>
                      </c:pt>
                      <c:pt idx="58" formatCode="General">
                        <c:v>5.0903831325301189E-10</c:v>
                      </c:pt>
                      <c:pt idx="59" formatCode="General">
                        <c:v>4.6608327272727258E-10</c:v>
                      </c:pt>
                      <c:pt idx="60" formatCode="General">
                        <c:v>4.2641054545454539E-10</c:v>
                      </c:pt>
                      <c:pt idx="61" formatCode="General">
                        <c:v>3.9096793939393931E-10</c:v>
                      </c:pt>
                      <c:pt idx="62" formatCode="General">
                        <c:v>3.571365454545454E-10</c:v>
                      </c:pt>
                      <c:pt idx="63" formatCode="General">
                        <c:v>3.2670018181818175E-10</c:v>
                      </c:pt>
                      <c:pt idx="64" formatCode="General">
                        <c:v>3.0188526475037817E-10</c:v>
                      </c:pt>
                      <c:pt idx="65" formatCode="General">
                        <c:v>2.806643872919818E-10</c:v>
                      </c:pt>
                      <c:pt idx="66" formatCode="General">
                        <c:v>2.5944350983358543E-10</c:v>
                      </c:pt>
                      <c:pt idx="67" formatCode="General">
                        <c:v>2.3822263237518907E-10</c:v>
                      </c:pt>
                      <c:pt idx="68" formatCode="General">
                        <c:v>2.1700175491679272E-10</c:v>
                      </c:pt>
                      <c:pt idx="69" formatCode="General">
                        <c:v>1.9578087745839636E-10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894-4356-9EB2-6A9076CBABE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1.7237793939393949E-2</c:v>
                      </c:pt>
                      <c:pt idx="1">
                        <c:v>2.8765957575757596E-2</c:v>
                      </c:pt>
                      <c:pt idx="2">
                        <c:v>4.4721109090909109E-2</c:v>
                      </c:pt>
                      <c:pt idx="3">
                        <c:v>6.3340981818181846E-2</c:v>
                      </c:pt>
                      <c:pt idx="4" formatCode="General">
                        <c:v>8.2108674735249632E-2</c:v>
                      </c:pt>
                      <c:pt idx="5" formatCode="General">
                        <c:v>9.1242108925869897E-2</c:v>
                      </c:pt>
                      <c:pt idx="6" formatCode="General">
                        <c:v>0.10037554311649016</c:v>
                      </c:pt>
                      <c:pt idx="7" formatCode="General">
                        <c:v>0.10950897730711044</c:v>
                      </c:pt>
                      <c:pt idx="8" formatCode="General">
                        <c:v>0.11864241149773071</c:v>
                      </c:pt>
                      <c:pt idx="9" formatCode="General">
                        <c:v>0.12777584568835099</c:v>
                      </c:pt>
                      <c:pt idx="10" formatCode="General">
                        <c:v>0.13690927987897122</c:v>
                      </c:pt>
                      <c:pt idx="11" formatCode="General">
                        <c:v>0.1446241212121212</c:v>
                      </c:pt>
                      <c:pt idx="12" formatCode="General">
                        <c:v>0.15073927272727272</c:v>
                      </c:pt>
                      <c:pt idx="13" formatCode="General">
                        <c:v>0.16079539393939393</c:v>
                      </c:pt>
                      <c:pt idx="14" formatCode="General">
                        <c:v>0.17293126506024095</c:v>
                      </c:pt>
                      <c:pt idx="15" formatCode="General">
                        <c:v>0.19099753012048196</c:v>
                      </c:pt>
                      <c:pt idx="16" formatCode="General">
                        <c:v>0.21287818181818188</c:v>
                      </c:pt>
                      <c:pt idx="17" formatCode="General">
                        <c:v>0.23842363636363642</c:v>
                      </c:pt>
                      <c:pt idx="18" formatCode="General">
                        <c:v>0.26736218181818189</c:v>
                      </c:pt>
                      <c:pt idx="19" formatCode="General">
                        <c:v>0.29641654545454549</c:v>
                      </c:pt>
                      <c:pt idx="20" formatCode="General">
                        <c:v>0.32382866666666676</c:v>
                      </c:pt>
                      <c:pt idx="21" formatCode="General">
                        <c:v>0.34747012121212129</c:v>
                      </c:pt>
                      <c:pt idx="22" formatCode="General">
                        <c:v>0.36814890909090914</c:v>
                      </c:pt>
                      <c:pt idx="23" formatCode="General">
                        <c:v>0.38198801204819277</c:v>
                      </c:pt>
                      <c:pt idx="24" formatCode="General">
                        <c:v>0.39377515151515152</c:v>
                      </c:pt>
                      <c:pt idx="25" formatCode="General">
                        <c:v>0.40143575757575761</c:v>
                      </c:pt>
                      <c:pt idx="26" formatCode="General">
                        <c:v>0.40703454545454548</c:v>
                      </c:pt>
                      <c:pt idx="27" formatCode="General">
                        <c:v>0.41125878787878789</c:v>
                      </c:pt>
                      <c:pt idx="28" formatCode="General">
                        <c:v>0.41364636363636365</c:v>
                      </c:pt>
                      <c:pt idx="29" formatCode="General">
                        <c:v>0.41562636363636363</c:v>
                      </c:pt>
                      <c:pt idx="30" formatCode="General">
                        <c:v>0.41688090909090914</c:v>
                      </c:pt>
                      <c:pt idx="31" formatCode="General">
                        <c:v>0.41778596385542172</c:v>
                      </c:pt>
                      <c:pt idx="32" formatCode="General">
                        <c:v>0.41850283132530119</c:v>
                      </c:pt>
                      <c:pt idx="33" formatCode="General">
                        <c:v>0.41900199999999999</c:v>
                      </c:pt>
                      <c:pt idx="34" formatCode="General">
                        <c:v>0.41953606060606058</c:v>
                      </c:pt>
                      <c:pt idx="35" formatCode="General">
                        <c:v>0.42014212121212119</c:v>
                      </c:pt>
                      <c:pt idx="36" formatCode="General">
                        <c:v>0.4213001818181818</c:v>
                      </c:pt>
                      <c:pt idx="37" formatCode="General">
                        <c:v>0.42285841149773074</c:v>
                      </c:pt>
                      <c:pt idx="38" formatCode="General">
                        <c:v>0.42806869894099847</c:v>
                      </c:pt>
                      <c:pt idx="39" formatCode="General">
                        <c:v>0.43327898638426626</c:v>
                      </c:pt>
                      <c:pt idx="40" formatCode="General">
                        <c:v>0.43848927382753405</c:v>
                      </c:pt>
                      <c:pt idx="41" formatCode="General">
                        <c:v>0.44369956127080179</c:v>
                      </c:pt>
                      <c:pt idx="42" formatCode="General">
                        <c:v>0.44890984871406958</c:v>
                      </c:pt>
                      <c:pt idx="43" formatCode="General">
                        <c:v>0.45412013615733737</c:v>
                      </c:pt>
                      <c:pt idx="44" formatCode="General">
                        <c:v>0.45765465960665658</c:v>
                      </c:pt>
                      <c:pt idx="45" formatCode="General">
                        <c:v>0.45896782148260212</c:v>
                      </c:pt>
                      <c:pt idx="46" formatCode="General">
                        <c:v>0.46028098335854767</c:v>
                      </c:pt>
                      <c:pt idx="47" formatCode="General">
                        <c:v>0.46159414523449321</c:v>
                      </c:pt>
                      <c:pt idx="48" formatCode="General">
                        <c:v>0.46290730711043876</c:v>
                      </c:pt>
                      <c:pt idx="49" formatCode="General">
                        <c:v>0.4642204689863843</c:v>
                      </c:pt>
                      <c:pt idx="50" formatCode="General">
                        <c:v>0.46553363086232985</c:v>
                      </c:pt>
                      <c:pt idx="51" formatCode="General">
                        <c:v>0.46656018181818182</c:v>
                      </c:pt>
                      <c:pt idx="52" formatCode="General">
                        <c:v>0.46753103030303028</c:v>
                      </c:pt>
                      <c:pt idx="53" formatCode="General">
                        <c:v>0.4685370909090909</c:v>
                      </c:pt>
                      <c:pt idx="54" formatCode="General">
                        <c:v>0.46953369696969699</c:v>
                      </c:pt>
                      <c:pt idx="55" formatCode="General">
                        <c:v>0.47052157575757575</c:v>
                      </c:pt>
                      <c:pt idx="56" formatCode="General">
                        <c:v>0.47146199999999999</c:v>
                      </c:pt>
                      <c:pt idx="57" formatCode="General">
                        <c:v>0.47238746987951807</c:v>
                      </c:pt>
                      <c:pt idx="58" formatCode="General">
                        <c:v>0.47328506024096384</c:v>
                      </c:pt>
                      <c:pt idx="59" formatCode="General">
                        <c:v>0.47482036363636365</c:v>
                      </c:pt>
                      <c:pt idx="60" formatCode="General">
                        <c:v>0.47685672727272732</c:v>
                      </c:pt>
                      <c:pt idx="61" formatCode="General">
                        <c:v>0.47790587878787877</c:v>
                      </c:pt>
                      <c:pt idx="62" formatCode="General">
                        <c:v>0.47872503030303026</c:v>
                      </c:pt>
                      <c:pt idx="63" formatCode="General">
                        <c:v>0.47916745454545451</c:v>
                      </c:pt>
                      <c:pt idx="64" formatCode="General">
                        <c:v>0.47939721633888049</c:v>
                      </c:pt>
                      <c:pt idx="65" formatCode="General">
                        <c:v>0.47949101361573371</c:v>
                      </c:pt>
                      <c:pt idx="66" formatCode="General">
                        <c:v>0.47958481089258698</c:v>
                      </c:pt>
                      <c:pt idx="67" formatCode="General">
                        <c:v>0.47967860816944025</c:v>
                      </c:pt>
                      <c:pt idx="68" formatCode="General">
                        <c:v>0.47977240544629352</c:v>
                      </c:pt>
                      <c:pt idx="69" formatCode="General">
                        <c:v>0.47986620272314673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894-4356-9EB2-6A9076CBABE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7.4253042424242467E-11</c:v>
                      </c:pt>
                      <c:pt idx="1">
                        <c:v>1.3413042424242435E-10</c:v>
                      </c:pt>
                      <c:pt idx="2">
                        <c:v>2.2257890909090917E-10</c:v>
                      </c:pt>
                      <c:pt idx="3">
                        <c:v>3.364136969696971E-10</c:v>
                      </c:pt>
                      <c:pt idx="4" formatCode="General">
                        <c:v>4.5533364599092295E-10</c:v>
                      </c:pt>
                      <c:pt idx="5" formatCode="General">
                        <c:v>5.2475422087745846E-10</c:v>
                      </c:pt>
                      <c:pt idx="6" formatCode="General">
                        <c:v>5.9417479576399392E-10</c:v>
                      </c:pt>
                      <c:pt idx="7" formatCode="General">
                        <c:v>6.6359537065052949E-10</c:v>
                      </c:pt>
                      <c:pt idx="8" formatCode="General">
                        <c:v>7.3301594553706505E-10</c:v>
                      </c:pt>
                      <c:pt idx="9" formatCode="General">
                        <c:v>8.0243652042360051E-10</c:v>
                      </c:pt>
                      <c:pt idx="10" formatCode="General">
                        <c:v>8.7185709531013598E-10</c:v>
                      </c:pt>
                      <c:pt idx="11" formatCode="General">
                        <c:v>9.2574090909090904E-10</c:v>
                      </c:pt>
                      <c:pt idx="12" formatCode="General">
                        <c:v>9.6210454545454536E-10</c:v>
                      </c:pt>
                      <c:pt idx="13" formatCode="General">
                        <c:v>1.0166821212121211E-9</c:v>
                      </c:pt>
                      <c:pt idx="14" formatCode="General">
                        <c:v>1.081060843373494E-9</c:v>
                      </c:pt>
                      <c:pt idx="15" formatCode="General">
                        <c:v>1.1737716867469882E-9</c:v>
                      </c:pt>
                      <c:pt idx="16" formatCode="General">
                        <c:v>1.2822545454545457E-9</c:v>
                      </c:pt>
                      <c:pt idx="17" formatCode="General">
                        <c:v>1.4058909090909094E-9</c:v>
                      </c:pt>
                      <c:pt idx="18" formatCode="General">
                        <c:v>1.5333321212121216E-9</c:v>
                      </c:pt>
                      <c:pt idx="19" formatCode="General">
                        <c:v>1.6547490909090913E-9</c:v>
                      </c:pt>
                      <c:pt idx="20" formatCode="General">
                        <c:v>1.7511733333333336E-9</c:v>
                      </c:pt>
                      <c:pt idx="21" formatCode="General">
                        <c:v>1.8177648484848485E-9</c:v>
                      </c:pt>
                      <c:pt idx="22" formatCode="General">
                        <c:v>1.8609163636363637E-9</c:v>
                      </c:pt>
                      <c:pt idx="23" formatCode="General">
                        <c:v>1.8588795180722891E-9</c:v>
                      </c:pt>
                      <c:pt idx="24" formatCode="General">
                        <c:v>1.844030303030303E-9</c:v>
                      </c:pt>
                      <c:pt idx="25" formatCode="General">
                        <c:v>1.8041515151515151E-9</c:v>
                      </c:pt>
                      <c:pt idx="26" formatCode="General">
                        <c:v>1.7534000000000002E-9</c:v>
                      </c:pt>
                      <c:pt idx="27" formatCode="General">
                        <c:v>1.6954000000000002E-9</c:v>
                      </c:pt>
                      <c:pt idx="28" formatCode="General">
                        <c:v>1.6297424242424243E-9</c:v>
                      </c:pt>
                      <c:pt idx="29" formatCode="General">
                        <c:v>1.5629363636363636E-9</c:v>
                      </c:pt>
                      <c:pt idx="30" formatCode="General">
                        <c:v>1.494390909090909E-9</c:v>
                      </c:pt>
                      <c:pt idx="31" formatCode="General">
                        <c:v>1.4266228915662651E-9</c:v>
                      </c:pt>
                      <c:pt idx="32" formatCode="General">
                        <c:v>1.3592734939759038E-9</c:v>
                      </c:pt>
                      <c:pt idx="33" formatCode="General">
                        <c:v>1.2940400000000002E-9</c:v>
                      </c:pt>
                      <c:pt idx="34" formatCode="General">
                        <c:v>1.2301260606060608E-9</c:v>
                      </c:pt>
                      <c:pt idx="35" formatCode="General">
                        <c:v>1.1687321212121214E-9</c:v>
                      </c:pt>
                      <c:pt idx="36" formatCode="General">
                        <c:v>1.111269090909091E-9</c:v>
                      </c:pt>
                      <c:pt idx="37" formatCode="General">
                        <c:v>1.0561718608169441E-9</c:v>
                      </c:pt>
                      <c:pt idx="38" formatCode="General">
                        <c:v>1.0154683812405447E-9</c:v>
                      </c:pt>
                      <c:pt idx="39" formatCode="General">
                        <c:v>9.7476490166414529E-10</c:v>
                      </c:pt>
                      <c:pt idx="40" formatCode="General">
                        <c:v>9.3406142208774606E-10</c:v>
                      </c:pt>
                      <c:pt idx="41" formatCode="General">
                        <c:v>8.9335794251134663E-10</c:v>
                      </c:pt>
                      <c:pt idx="42" formatCode="General">
                        <c:v>8.526544629349472E-10</c:v>
                      </c:pt>
                      <c:pt idx="43" formatCode="General">
                        <c:v>8.1195098335854777E-10</c:v>
                      </c:pt>
                      <c:pt idx="44" formatCode="General">
                        <c:v>7.7280226928895631E-10</c:v>
                      </c:pt>
                      <c:pt idx="45" formatCode="General">
                        <c:v>7.3571452344931928E-10</c:v>
                      </c:pt>
                      <c:pt idx="46" formatCode="General">
                        <c:v>6.9862677760968235E-10</c:v>
                      </c:pt>
                      <c:pt idx="47" formatCode="General">
                        <c:v>6.6153903177004532E-10</c:v>
                      </c:pt>
                      <c:pt idx="48" formatCode="General">
                        <c:v>6.244512859304084E-10</c:v>
                      </c:pt>
                      <c:pt idx="49" formatCode="General">
                        <c:v>5.8736354009077147E-10</c:v>
                      </c:pt>
                      <c:pt idx="50" formatCode="General">
                        <c:v>5.5027579425113444E-10</c:v>
                      </c:pt>
                      <c:pt idx="51" formatCode="General">
                        <c:v>5.1874157575757563E-10</c:v>
                      </c:pt>
                      <c:pt idx="52" formatCode="General">
                        <c:v>4.8887357575757563E-10</c:v>
                      </c:pt>
                      <c:pt idx="53" formatCode="General">
                        <c:v>4.6118872727272717E-10</c:v>
                      </c:pt>
                      <c:pt idx="54" formatCode="General">
                        <c:v>4.3474872727272715E-10</c:v>
                      </c:pt>
                      <c:pt idx="55" formatCode="General">
                        <c:v>4.0945781818181809E-10</c:v>
                      </c:pt>
                      <c:pt idx="56" formatCode="General">
                        <c:v>3.8605981818181807E-10</c:v>
                      </c:pt>
                      <c:pt idx="57" formatCode="General">
                        <c:v>3.634206024096385E-10</c:v>
                      </c:pt>
                      <c:pt idx="58" formatCode="General">
                        <c:v>3.4246879518072285E-10</c:v>
                      </c:pt>
                      <c:pt idx="59" formatCode="General">
                        <c:v>3.2291545454545451E-10</c:v>
                      </c:pt>
                      <c:pt idx="60" formatCode="General">
                        <c:v>3.0446090909090904E-10</c:v>
                      </c:pt>
                      <c:pt idx="61" formatCode="General">
                        <c:v>2.8689981818181812E-10</c:v>
                      </c:pt>
                      <c:pt idx="62" formatCode="General">
                        <c:v>2.6977375757575752E-10</c:v>
                      </c:pt>
                      <c:pt idx="63" formatCode="General">
                        <c:v>2.5363436363636359E-10</c:v>
                      </c:pt>
                      <c:pt idx="64" formatCode="General">
                        <c:v>2.3955396369137669E-10</c:v>
                      </c:pt>
                      <c:pt idx="65" formatCode="General">
                        <c:v>2.267899697428139E-10</c:v>
                      </c:pt>
                      <c:pt idx="66" formatCode="General">
                        <c:v>2.1402597579425111E-10</c:v>
                      </c:pt>
                      <c:pt idx="67" formatCode="General">
                        <c:v>2.0126198184568835E-10</c:v>
                      </c:pt>
                      <c:pt idx="68" formatCode="General">
                        <c:v>1.8849798789712556E-10</c:v>
                      </c:pt>
                      <c:pt idx="69" formatCode="General">
                        <c:v>1.757339939485628E-10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894-4356-9EB2-6A9076CBABE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2.0830333333333345E-6</c:v>
                      </c:pt>
                      <c:pt idx="1">
                        <c:v>3.808586060606064E-6</c:v>
                      </c:pt>
                      <c:pt idx="2">
                        <c:v>6.8267072727272764E-6</c:v>
                      </c:pt>
                      <c:pt idx="3">
                        <c:v>1.5536395151515162E-5</c:v>
                      </c:pt>
                      <c:pt idx="4" formatCode="General">
                        <c:v>5.7121872919818898E-5</c:v>
                      </c:pt>
                      <c:pt idx="5" formatCode="General">
                        <c:v>4.5257028441754947E-4</c:v>
                      </c:pt>
                      <c:pt idx="6" formatCode="General">
                        <c:v>8.4801869591528002E-4</c:v>
                      </c:pt>
                      <c:pt idx="7" formatCode="General">
                        <c:v>1.2434671074130106E-3</c:v>
                      </c:pt>
                      <c:pt idx="8" formatCode="General">
                        <c:v>1.6389155189107411E-3</c:v>
                      </c:pt>
                      <c:pt idx="9" formatCode="General">
                        <c:v>2.0343639304084716E-3</c:v>
                      </c:pt>
                      <c:pt idx="10" formatCode="General">
                        <c:v>2.4298123419062021E-3</c:v>
                      </c:pt>
                      <c:pt idx="11" formatCode="General">
                        <c:v>3.8211793939393916E-3</c:v>
                      </c:pt>
                      <c:pt idx="12" formatCode="General">
                        <c:v>6.3356036363636341E-3</c:v>
                      </c:pt>
                      <c:pt idx="13" formatCode="General">
                        <c:v>1.105309454545454E-2</c:v>
                      </c:pt>
                      <c:pt idx="14" formatCode="General">
                        <c:v>1.6883102409638546E-2</c:v>
                      </c:pt>
                      <c:pt idx="15" formatCode="General">
                        <c:v>2.5783704819277123E-2</c:v>
                      </c:pt>
                      <c:pt idx="16" formatCode="General">
                        <c:v>3.6624781818181851E-2</c:v>
                      </c:pt>
                      <c:pt idx="17" formatCode="General">
                        <c:v>4.9330236363636398E-2</c:v>
                      </c:pt>
                      <c:pt idx="18" formatCode="General">
                        <c:v>6.3756733333333371E-2</c:v>
                      </c:pt>
                      <c:pt idx="19" formatCode="General">
                        <c:v>7.8249709090909114E-2</c:v>
                      </c:pt>
                      <c:pt idx="20" formatCode="General">
                        <c:v>9.1938800000000029E-2</c:v>
                      </c:pt>
                      <c:pt idx="21" formatCode="General">
                        <c:v>0.1037479878787879</c:v>
                      </c:pt>
                      <c:pt idx="22" formatCode="General">
                        <c:v>0.11408010909090911</c:v>
                      </c:pt>
                      <c:pt idx="23" formatCode="General">
                        <c:v>0.12099626506024097</c:v>
                      </c:pt>
                      <c:pt idx="24" formatCode="General">
                        <c:v>0.12688757575757575</c:v>
                      </c:pt>
                      <c:pt idx="25" formatCode="General">
                        <c:v>0.1307178787878788</c:v>
                      </c:pt>
                      <c:pt idx="26" formatCode="General">
                        <c:v>0.13351545454545455</c:v>
                      </c:pt>
                      <c:pt idx="27" formatCode="General">
                        <c:v>0.13562454545454544</c:v>
                      </c:pt>
                      <c:pt idx="28" formatCode="General">
                        <c:v>0.13681818181818181</c:v>
                      </c:pt>
                      <c:pt idx="29" formatCode="General">
                        <c:v>0.13780909090909091</c:v>
                      </c:pt>
                      <c:pt idx="30" formatCode="General">
                        <c:v>0.13843939393939395</c:v>
                      </c:pt>
                      <c:pt idx="31" formatCode="General">
                        <c:v>0.13887927710843373</c:v>
                      </c:pt>
                      <c:pt idx="32" formatCode="General">
                        <c:v>0.13921662650602409</c:v>
                      </c:pt>
                      <c:pt idx="33" formatCode="General">
                        <c:v>0.13941200000000001</c:v>
                      </c:pt>
                      <c:pt idx="34" formatCode="General">
                        <c:v>0.13957915151515152</c:v>
                      </c:pt>
                      <c:pt idx="35" formatCode="General">
                        <c:v>0.13969430303030303</c:v>
                      </c:pt>
                      <c:pt idx="36" formatCode="General">
                        <c:v>0.13977181818181819</c:v>
                      </c:pt>
                      <c:pt idx="37" formatCode="General">
                        <c:v>0.13983084720121031</c:v>
                      </c:pt>
                      <c:pt idx="38" formatCode="General">
                        <c:v>0.13985202723146747</c:v>
                      </c:pt>
                      <c:pt idx="39" formatCode="General">
                        <c:v>0.13987320726172467</c:v>
                      </c:pt>
                      <c:pt idx="40" formatCode="General">
                        <c:v>0.13989438729198186</c:v>
                      </c:pt>
                      <c:pt idx="41" formatCode="General">
                        <c:v>0.13991556732223903</c:v>
                      </c:pt>
                      <c:pt idx="42" formatCode="General">
                        <c:v>0.13993674735249623</c:v>
                      </c:pt>
                      <c:pt idx="43" formatCode="General">
                        <c:v>0.13995792738275342</c:v>
                      </c:pt>
                      <c:pt idx="44" formatCode="General">
                        <c:v>0.13997130105900152</c:v>
                      </c:pt>
                      <c:pt idx="45" formatCode="General">
                        <c:v>0.13997432677760968</c:v>
                      </c:pt>
                      <c:pt idx="46" formatCode="General">
                        <c:v>0.13997735249621787</c:v>
                      </c:pt>
                      <c:pt idx="47" formatCode="General">
                        <c:v>0.13998037821482603</c:v>
                      </c:pt>
                      <c:pt idx="48" formatCode="General">
                        <c:v>0.1399834039334342</c:v>
                      </c:pt>
                      <c:pt idx="49" formatCode="General">
                        <c:v>0.13998642965204236</c:v>
                      </c:pt>
                      <c:pt idx="50" formatCode="General">
                        <c:v>0.13998945537065052</c:v>
                      </c:pt>
                      <c:pt idx="51" formatCode="General">
                        <c:v>0.1399949696969697</c:v>
                      </c:pt>
                      <c:pt idx="52" formatCode="General">
                        <c:v>0.14000000000000001</c:v>
                      </c:pt>
                      <c:pt idx="53" formatCode="General">
                        <c:v>0.14000000000000001</c:v>
                      </c:pt>
                      <c:pt idx="54" formatCode="General">
                        <c:v>0.14000000000000001</c:v>
                      </c:pt>
                      <c:pt idx="55" formatCode="General">
                        <c:v>0.14000000000000001</c:v>
                      </c:pt>
                      <c:pt idx="56" formatCode="General">
                        <c:v>0.14000000000000001</c:v>
                      </c:pt>
                      <c:pt idx="57" formatCode="General">
                        <c:v>0.13999867469879521</c:v>
                      </c:pt>
                      <c:pt idx="58" formatCode="General">
                        <c:v>0.13999265060240965</c:v>
                      </c:pt>
                      <c:pt idx="59" formatCode="General">
                        <c:v>0.13988139393939394</c:v>
                      </c:pt>
                      <c:pt idx="60" formatCode="General">
                        <c:v>0.13968745454545453</c:v>
                      </c:pt>
                      <c:pt idx="61" formatCode="General">
                        <c:v>0.13952660606060605</c:v>
                      </c:pt>
                      <c:pt idx="62" formatCode="General">
                        <c:v>0.13937533333333335</c:v>
                      </c:pt>
                      <c:pt idx="63" formatCode="General">
                        <c:v>0.139242</c:v>
                      </c:pt>
                      <c:pt idx="64" formatCode="General">
                        <c:v>0.13911617246596067</c:v>
                      </c:pt>
                      <c:pt idx="65" formatCode="General">
                        <c:v>0.13899514372163391</c:v>
                      </c:pt>
                      <c:pt idx="66" formatCode="General">
                        <c:v>0.13887411497730712</c:v>
                      </c:pt>
                      <c:pt idx="67" formatCode="General">
                        <c:v>0.13875308623298035</c:v>
                      </c:pt>
                      <c:pt idx="68" formatCode="General">
                        <c:v>0.13863205748865357</c:v>
                      </c:pt>
                      <c:pt idx="69" formatCode="General">
                        <c:v>0.1385110287443268</c:v>
                      </c:pt>
                      <c:pt idx="70" formatCode="General">
                        <c:v>0.13839000000000001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894-4356-9EB2-6A9076CBABE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9.2759001512858464E-24</c:v>
                      </c:pt>
                      <c:pt idx="45" formatCode="General">
                        <c:v>3.0847760968229904E-23</c:v>
                      </c:pt>
                      <c:pt idx="46" formatCode="General">
                        <c:v>5.2419621785173958E-23</c:v>
                      </c:pt>
                      <c:pt idx="47" formatCode="General">
                        <c:v>7.3991482602118012E-23</c:v>
                      </c:pt>
                      <c:pt idx="48" formatCode="General">
                        <c:v>9.5563343419062066E-23</c:v>
                      </c:pt>
                      <c:pt idx="49" formatCode="General">
                        <c:v>1.1713520423600613E-22</c:v>
                      </c:pt>
                      <c:pt idx="50" formatCode="General">
                        <c:v>1.3870706505295017E-22</c:v>
                      </c:pt>
                      <c:pt idx="51" formatCode="General">
                        <c:v>2.4050571816363769E-18</c:v>
                      </c:pt>
                      <c:pt idx="52" formatCode="General">
                        <c:v>8.9402619175759956E-15</c:v>
                      </c:pt>
                      <c:pt idx="53" formatCode="General">
                        <c:v>6.1501571432727508E-14</c:v>
                      </c:pt>
                      <c:pt idx="54" formatCode="General">
                        <c:v>2.4962788244242644E-10</c:v>
                      </c:pt>
                      <c:pt idx="55" formatCode="General">
                        <c:v>7.2951471213939614E-10</c:v>
                      </c:pt>
                      <c:pt idx="56" formatCode="General">
                        <c:v>7.5769080000000404E-8</c:v>
                      </c:pt>
                      <c:pt idx="57" formatCode="General">
                        <c:v>7.3156087710844788E-5</c:v>
                      </c:pt>
                      <c:pt idx="58" formatCode="General">
                        <c:v>4.0503380457831425E-4</c:v>
                      </c:pt>
                      <c:pt idx="59" formatCode="General">
                        <c:v>4.5694638787878951E-3</c:v>
                      </c:pt>
                      <c:pt idx="60" formatCode="General">
                        <c:v>1.1745185090909107E-2</c:v>
                      </c:pt>
                      <c:pt idx="61" formatCode="General">
                        <c:v>1.6572587878787889E-2</c:v>
                      </c:pt>
                      <c:pt idx="62" formatCode="General">
                        <c:v>2.078262424242425E-2</c:v>
                      </c:pt>
                      <c:pt idx="63" formatCode="General">
                        <c:v>2.3896563636363645E-2</c:v>
                      </c:pt>
                      <c:pt idx="64" formatCode="General">
                        <c:v>2.6052947049924363E-2</c:v>
                      </c:pt>
                      <c:pt idx="65" formatCode="General">
                        <c:v>2.7597122541603635E-2</c:v>
                      </c:pt>
                      <c:pt idx="66" formatCode="General">
                        <c:v>2.9141298033282907E-2</c:v>
                      </c:pt>
                      <c:pt idx="67" formatCode="General">
                        <c:v>3.0685473524962183E-2</c:v>
                      </c:pt>
                      <c:pt idx="68" formatCode="General">
                        <c:v>3.2229649016641458E-2</c:v>
                      </c:pt>
                      <c:pt idx="69" formatCode="General">
                        <c:v>3.3773824508320727E-2</c:v>
                      </c:pt>
                      <c:pt idx="70" formatCode="General">
                        <c:v>3.5318000000000002E-2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894-4356-9EB2-6A9076CBABE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1.4603736762480957E-24</c:v>
                      </c:pt>
                      <c:pt idx="45" formatCode="General">
                        <c:v>4.8565915279878889E-24</c:v>
                      </c:pt>
                      <c:pt idx="46" formatCode="General">
                        <c:v>8.2528093797276815E-24</c:v>
                      </c:pt>
                      <c:pt idx="47" formatCode="General">
                        <c:v>1.1649027231467476E-23</c:v>
                      </c:pt>
                      <c:pt idx="48" formatCode="General">
                        <c:v>1.5045245083207268E-23</c:v>
                      </c:pt>
                      <c:pt idx="49" formatCode="General">
                        <c:v>1.8441462934947062E-23</c:v>
                      </c:pt>
                      <c:pt idx="50" formatCode="General">
                        <c:v>2.1837680786686856E-23</c:v>
                      </c:pt>
                      <c:pt idx="51" formatCode="General">
                        <c:v>2.8727468646666828E-19</c:v>
                      </c:pt>
                      <c:pt idx="52" formatCode="General">
                        <c:v>8.2712029357577964E-16</c:v>
                      </c:pt>
                      <c:pt idx="53" formatCode="General">
                        <c:v>5.6891336087272948E-15</c:v>
                      </c:pt>
                      <c:pt idx="54" formatCode="General">
                        <c:v>1.8232597501212283E-11</c:v>
                      </c:pt>
                      <c:pt idx="55" formatCode="General">
                        <c:v>5.3279856349697128E-11</c:v>
                      </c:pt>
                      <c:pt idx="56" formatCode="General">
                        <c:v>4.4500515636363868E-9</c:v>
                      </c:pt>
                      <c:pt idx="57" formatCode="General">
                        <c:v>3.5333726361446459E-6</c:v>
                      </c:pt>
                      <c:pt idx="58" formatCode="General">
                        <c:v>1.955603052771089E-5</c:v>
                      </c:pt>
                      <c:pt idx="59" formatCode="General">
                        <c:v>2.4103984242424331E-4</c:v>
                      </c:pt>
                      <c:pt idx="60" formatCode="General">
                        <c:v>6.23957418181819E-4</c:v>
                      </c:pt>
                      <c:pt idx="61" formatCode="General">
                        <c:v>9.4117078787878854E-4</c:v>
                      </c:pt>
                      <c:pt idx="62" formatCode="General">
                        <c:v>1.2416466666666673E-3</c:v>
                      </c:pt>
                      <c:pt idx="63" formatCode="General">
                        <c:v>1.5129800000000006E-3</c:v>
                      </c:pt>
                      <c:pt idx="64" formatCode="General">
                        <c:v>1.7667226928895618E-3</c:v>
                      </c:pt>
                      <c:pt idx="65" formatCode="General">
                        <c:v>2.0092189107413015E-3</c:v>
                      </c:pt>
                      <c:pt idx="66" formatCode="General">
                        <c:v>2.2517151285930412E-3</c:v>
                      </c:pt>
                      <c:pt idx="67" formatCode="General">
                        <c:v>2.4942113464447809E-3</c:v>
                      </c:pt>
                      <c:pt idx="68" formatCode="General">
                        <c:v>2.7367075642965207E-3</c:v>
                      </c:pt>
                      <c:pt idx="69" formatCode="General">
                        <c:v>2.9792037821482604E-3</c:v>
                      </c:pt>
                      <c:pt idx="70" formatCode="General">
                        <c:v>3.2217000000000001E-3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894-4356-9EB2-6A9076CBABE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-18.649999999999999</c:v>
                      </c:pt>
                      <c:pt idx="1">
                        <c:v>-18.652303030303027</c:v>
                      </c:pt>
                      <c:pt idx="2">
                        <c:v>-18.658363636363635</c:v>
                      </c:pt>
                      <c:pt idx="3">
                        <c:v>-18.664424242424243</c:v>
                      </c:pt>
                      <c:pt idx="4" formatCode="General">
                        <c:v>-18.670968229954617</c:v>
                      </c:pt>
                      <c:pt idx="5" formatCode="General">
                        <c:v>-18.683071104387292</c:v>
                      </c:pt>
                      <c:pt idx="6" formatCode="General">
                        <c:v>-18.69517397881997</c:v>
                      </c:pt>
                      <c:pt idx="7" formatCode="General">
                        <c:v>-18.707276853252647</c:v>
                      </c:pt>
                      <c:pt idx="8" formatCode="General">
                        <c:v>-18.719379727685325</c:v>
                      </c:pt>
                      <c:pt idx="9" formatCode="General">
                        <c:v>-18.731482602118003</c:v>
                      </c:pt>
                      <c:pt idx="10" formatCode="General">
                        <c:v>-18.743585476550681</c:v>
                      </c:pt>
                      <c:pt idx="11" formatCode="General">
                        <c:v>-18.758545454545455</c:v>
                      </c:pt>
                      <c:pt idx="12" formatCode="General">
                        <c:v>-18.776727272727275</c:v>
                      </c:pt>
                      <c:pt idx="13" formatCode="General">
                        <c:v>-18.794909090909091</c:v>
                      </c:pt>
                      <c:pt idx="14" formatCode="General">
                        <c:v>-18.812048192771083</c:v>
                      </c:pt>
                      <c:pt idx="15" formatCode="General">
                        <c:v>-18.824096385542166</c:v>
                      </c:pt>
                      <c:pt idx="16" formatCode="General">
                        <c:v>-18.839272727272725</c:v>
                      </c:pt>
                      <c:pt idx="17" formatCode="General">
                        <c:v>-18.857454545454544</c:v>
                      </c:pt>
                      <c:pt idx="18" formatCode="General">
                        <c:v>-18.880848484848485</c:v>
                      </c:pt>
                      <c:pt idx="19" formatCode="General">
                        <c:v>-18.903818181818181</c:v>
                      </c:pt>
                      <c:pt idx="20" formatCode="General">
                        <c:v>-18.922000000000001</c:v>
                      </c:pt>
                      <c:pt idx="21" formatCode="General">
                        <c:v>-18.94018181818182</c:v>
                      </c:pt>
                      <c:pt idx="22" formatCode="General">
                        <c:v>-18.958363636363636</c:v>
                      </c:pt>
                      <c:pt idx="23" formatCode="General">
                        <c:v>-18.976445783132529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-19.040909090909093</c:v>
                      </c:pt>
                      <c:pt idx="27" formatCode="General">
                        <c:v>-19.059090909090909</c:v>
                      </c:pt>
                      <c:pt idx="28" formatCode="General">
                        <c:v>-19.083030303030302</c:v>
                      </c:pt>
                      <c:pt idx="29" formatCode="General">
                        <c:v>-19.105454545454545</c:v>
                      </c:pt>
                      <c:pt idx="30" formatCode="General">
                        <c:v>-19.123636363636365</c:v>
                      </c:pt>
                      <c:pt idx="31" formatCode="General">
                        <c:v>-19.145662650602411</c:v>
                      </c:pt>
                      <c:pt idx="32" formatCode="General">
                        <c:v>-19.16975903614458</c:v>
                      </c:pt>
                      <c:pt idx="33" formatCode="General">
                        <c:v>-19.187999999999999</c:v>
                      </c:pt>
                      <c:pt idx="34" formatCode="General">
                        <c:v>-19.206181818181818</c:v>
                      </c:pt>
                      <c:pt idx="35" formatCode="General">
                        <c:v>-19.224363636363638</c:v>
                      </c:pt>
                      <c:pt idx="36" formatCode="General">
                        <c:v>-19.246727272727274</c:v>
                      </c:pt>
                      <c:pt idx="37" formatCode="General">
                        <c:v>-19.270665658093797</c:v>
                      </c:pt>
                      <c:pt idx="38" formatCode="General">
                        <c:v>-19.287307110438729</c:v>
                      </c:pt>
                      <c:pt idx="39" formatCode="General">
                        <c:v>-19.30394856278366</c:v>
                      </c:pt>
                      <c:pt idx="40" formatCode="General">
                        <c:v>-19.320590015128591</c:v>
                      </c:pt>
                      <c:pt idx="41" formatCode="General">
                        <c:v>-19.337231467473526</c:v>
                      </c:pt>
                      <c:pt idx="42" formatCode="General">
                        <c:v>-19.353872919818457</c:v>
                      </c:pt>
                      <c:pt idx="43" formatCode="General">
                        <c:v>-19.370514372163388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894-4356-9EB2-6A9076CBABE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72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75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0</xdr:colOff>
      <xdr:row>99</xdr:row>
      <xdr:rowOff>0</xdr:rowOff>
    </xdr:from>
    <xdr:to>
      <xdr:col>79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80</xdr:col>
      <xdr:colOff>0</xdr:colOff>
      <xdr:row>99</xdr:row>
      <xdr:rowOff>0</xdr:rowOff>
    </xdr:from>
    <xdr:to>
      <xdr:col>83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75</xdr:col>
      <xdr:colOff>843353</xdr:colOff>
      <xdr:row>143</xdr:row>
      <xdr:rowOff>238236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79</xdr:col>
      <xdr:colOff>843353</xdr:colOff>
      <xdr:row>143</xdr:row>
      <xdr:rowOff>238236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83</xdr:col>
      <xdr:colOff>843353</xdr:colOff>
      <xdr:row>143</xdr:row>
      <xdr:rowOff>238236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72</xdr:col>
      <xdr:colOff>-1</xdr:colOff>
      <xdr:row>144</xdr:row>
      <xdr:rowOff>0</xdr:rowOff>
    </xdr:from>
    <xdr:to>
      <xdr:col>75</xdr:col>
      <xdr:colOff>843352</xdr:colOff>
      <xdr:row>156</xdr:row>
      <xdr:rowOff>238235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E3" sqref="E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27</v>
      </c>
      <c r="B1" s="40">
        <v>700</v>
      </c>
      <c r="D1" s="184" t="s">
        <v>40</v>
      </c>
      <c r="E1" s="185"/>
      <c r="F1" s="185"/>
      <c r="G1" s="185"/>
    </row>
    <row r="2" spans="1:7" ht="21.75" thickTop="1" x14ac:dyDescent="0.35">
      <c r="A2" s="11" t="s">
        <v>39</v>
      </c>
      <c r="B2" s="11"/>
      <c r="D2" s="7" t="s">
        <v>1</v>
      </c>
      <c r="E2" s="70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35</v>
      </c>
      <c r="F3" s="40">
        <v>5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zoomScale="85" zoomScaleNormal="85" zoomScaleSheetLayoutView="25" workbookViewId="0">
      <selection activeCell="AZ115" sqref="AZ11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188" t="s">
        <v>25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8"/>
      <c r="AZ1" s="188"/>
      <c r="BA1" s="188"/>
      <c r="BB1" s="188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69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7">
        <v>554</v>
      </c>
      <c r="U3" s="60">
        <v>570.5</v>
      </c>
      <c r="V3" s="61">
        <v>587</v>
      </c>
      <c r="W3" s="1">
        <v>603.5</v>
      </c>
      <c r="X3" s="58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818.3</v>
      </c>
      <c r="AE3" s="4">
        <v>834.8</v>
      </c>
      <c r="AF3" s="4">
        <v>851.3</v>
      </c>
      <c r="AG3" s="4">
        <v>867.8</v>
      </c>
      <c r="AH3" s="4">
        <v>884.4</v>
      </c>
      <c r="AI3" s="4">
        <v>900.9</v>
      </c>
      <c r="AJ3" s="4">
        <v>917.4</v>
      </c>
      <c r="AK3" s="4">
        <v>933.9</v>
      </c>
      <c r="AL3" s="20">
        <v>1000</v>
      </c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1</v>
      </c>
      <c r="D4" s="44">
        <f t="shared" si="0"/>
        <v>0</v>
      </c>
      <c r="E4" s="48" t="s">
        <v>41</v>
      </c>
      <c r="F4" s="49">
        <v>2.9827000000000001E-9</v>
      </c>
      <c r="G4" s="49">
        <v>5.4655999999999998E-9</v>
      </c>
      <c r="H4" s="49">
        <v>8.6291999999999999E-9</v>
      </c>
      <c r="I4" s="49">
        <v>1.5218000000000001E-8</v>
      </c>
      <c r="J4" s="49">
        <v>2.2297999999999999E-8</v>
      </c>
      <c r="K4" s="49">
        <v>3.6994E-8</v>
      </c>
      <c r="L4" s="49">
        <v>2.3000000000000001E-8</v>
      </c>
      <c r="M4" s="49">
        <v>1.1274000000000001E-8</v>
      </c>
      <c r="N4" s="49">
        <v>3.6984E-9</v>
      </c>
      <c r="O4" s="49">
        <v>4.7711999999999997E-12</v>
      </c>
      <c r="P4" s="49">
        <v>7.1197000000000007E-18</v>
      </c>
      <c r="Q4" s="49">
        <v>5.4020999999999997E-25</v>
      </c>
      <c r="R4" s="49">
        <v>1.4035000000000001E-32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>
        <v>0</v>
      </c>
      <c r="AI4" s="49">
        <v>0</v>
      </c>
      <c r="AJ4" s="49">
        <v>0</v>
      </c>
      <c r="AK4" s="49">
        <v>0</v>
      </c>
      <c r="AL4" s="49">
        <v>0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1</v>
      </c>
      <c r="E5" s="48" t="s">
        <v>53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6.1428999999999998E-28</v>
      </c>
      <c r="AD5" s="49">
        <v>1.8061E-22</v>
      </c>
      <c r="AE5" s="49">
        <v>2.1782E-17</v>
      </c>
      <c r="AF5" s="49">
        <v>1.0454999999999999E-12</v>
      </c>
      <c r="AG5" s="49">
        <v>5.7881999999999997E-10</v>
      </c>
      <c r="AH5" s="49">
        <v>1.8897999999999999E-7</v>
      </c>
      <c r="AI5" s="49">
        <v>6.7478E-6</v>
      </c>
      <c r="AJ5" s="49">
        <v>5.5303999999999996E-6</v>
      </c>
      <c r="AK5" s="49">
        <v>4.3992000000000002E-6</v>
      </c>
      <c r="AL5" s="49">
        <v>2.1291999999999999E-6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0</v>
      </c>
      <c r="D6" s="44">
        <f t="shared" si="0"/>
        <v>0</v>
      </c>
      <c r="E6" s="48" t="s">
        <v>42</v>
      </c>
      <c r="F6" s="49">
        <v>0</v>
      </c>
      <c r="G6" s="49">
        <v>0</v>
      </c>
      <c r="H6" s="49">
        <v>5.8711000000000001E-31</v>
      </c>
      <c r="I6" s="49">
        <v>6.2772999999999996E-25</v>
      </c>
      <c r="J6" s="49">
        <v>8.6447999999999994E-22</v>
      </c>
      <c r="K6" s="49">
        <v>2.0010999999999999E-17</v>
      </c>
      <c r="L6" s="49">
        <v>7.7615999999999997E-16</v>
      </c>
      <c r="M6" s="49">
        <v>3.5560999999999999E-13</v>
      </c>
      <c r="N6" s="49">
        <v>4.4159000000000002E-10</v>
      </c>
      <c r="O6" s="49">
        <v>5.0248000000000003E-9</v>
      </c>
      <c r="P6" s="49">
        <v>6.2596000000000002E-9</v>
      </c>
      <c r="Q6" s="49">
        <v>1.0265E-8</v>
      </c>
      <c r="R6" s="49">
        <v>2.1635999999999999E-8</v>
      </c>
      <c r="S6" s="49">
        <v>1.5935E-8</v>
      </c>
      <c r="T6" s="49">
        <v>2.6362000000000001E-8</v>
      </c>
      <c r="U6" s="49">
        <v>2.0599000000000001E-8</v>
      </c>
      <c r="V6" s="49">
        <v>2.3733000000000001E-8</v>
      </c>
      <c r="W6" s="49">
        <v>2.3631999999999999E-8</v>
      </c>
      <c r="X6" s="49">
        <v>2.2979E-8</v>
      </c>
      <c r="Y6" s="49">
        <v>2.3184999999999999E-8</v>
      </c>
      <c r="Z6" s="49">
        <v>2.3359000000000001E-8</v>
      </c>
      <c r="AA6" s="49">
        <v>2.4491999999999999E-8</v>
      </c>
      <c r="AB6" s="49">
        <v>3.1211000000000001E-8</v>
      </c>
      <c r="AC6" s="49">
        <v>3.2555000000000003E-8</v>
      </c>
      <c r="AD6" s="49">
        <v>3.2135999999999997E-8</v>
      </c>
      <c r="AE6" s="49">
        <v>3.1651999999999998E-8</v>
      </c>
      <c r="AF6" s="49">
        <v>3.1298E-8</v>
      </c>
      <c r="AG6" s="49">
        <v>1.2007000000000001E-10</v>
      </c>
      <c r="AH6" s="49">
        <v>1.5713E-29</v>
      </c>
      <c r="AI6" s="49">
        <v>1.8893E-29</v>
      </c>
      <c r="AJ6" s="49">
        <v>3.5658999999999998E-30</v>
      </c>
      <c r="AK6" s="49">
        <v>2.3366000000000001E-29</v>
      </c>
      <c r="AL6" s="49">
        <v>4.121E-23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2</v>
      </c>
      <c r="C7" s="44">
        <f t="shared" si="0"/>
        <v>1</v>
      </c>
      <c r="D7" s="44">
        <f t="shared" si="0"/>
        <v>0</v>
      </c>
      <c r="E7" s="48" t="s">
        <v>75</v>
      </c>
      <c r="F7" s="49">
        <v>1.4458999999999999E-9</v>
      </c>
      <c r="G7" s="49">
        <v>2.5027000000000001E-10</v>
      </c>
      <c r="H7" s="49">
        <v>1.1699000000000001E-12</v>
      </c>
      <c r="I7" s="49">
        <v>1.2121E-17</v>
      </c>
      <c r="J7" s="49">
        <v>2.3451999999999999E-26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>
        <v>0</v>
      </c>
      <c r="AI7" s="49">
        <v>0</v>
      </c>
      <c r="AJ7" s="49">
        <v>0</v>
      </c>
      <c r="AK7" s="49">
        <v>0</v>
      </c>
      <c r="AL7" s="49">
        <v>0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3</v>
      </c>
      <c r="C8" s="44">
        <f t="shared" si="0"/>
        <v>0</v>
      </c>
      <c r="D8" s="44">
        <f t="shared" si="0"/>
        <v>2</v>
      </c>
      <c r="E8" s="48" t="s">
        <v>70</v>
      </c>
      <c r="F8" s="49">
        <v>8.2921999999999996E-3</v>
      </c>
      <c r="G8" s="49">
        <v>8.1940999999999993E-3</v>
      </c>
      <c r="H8" s="49">
        <v>7.9570000000000005E-3</v>
      </c>
      <c r="I8" s="49">
        <v>7.561E-3</v>
      </c>
      <c r="J8" s="49">
        <v>7.1253000000000002E-3</v>
      </c>
      <c r="K8" s="49">
        <v>6.4335E-3</v>
      </c>
      <c r="L8" s="49">
        <v>6.3306999999999999E-3</v>
      </c>
      <c r="M8" s="49">
        <v>6.1551000000000002E-3</v>
      </c>
      <c r="N8" s="49">
        <v>5.8837000000000004E-3</v>
      </c>
      <c r="O8" s="49">
        <v>5.5401000000000001E-3</v>
      </c>
      <c r="P8" s="49">
        <v>5.1904000000000004E-3</v>
      </c>
      <c r="Q8" s="49">
        <v>4.9026E-3</v>
      </c>
      <c r="R8" s="49">
        <v>4.7057999999999996E-3</v>
      </c>
      <c r="S8" s="49">
        <v>4.5878999999999998E-3</v>
      </c>
      <c r="T8" s="49">
        <v>4.5222999999999999E-3</v>
      </c>
      <c r="U8" s="49">
        <v>4.4869000000000003E-3</v>
      </c>
      <c r="V8" s="49">
        <v>4.4676999999999998E-3</v>
      </c>
      <c r="W8" s="49">
        <v>4.4561999999999996E-3</v>
      </c>
      <c r="X8" s="49">
        <v>4.4453000000000001E-3</v>
      </c>
      <c r="Y8" s="49">
        <v>4.4216000000000004E-3</v>
      </c>
      <c r="Z8" s="49">
        <v>4.3454000000000001E-3</v>
      </c>
      <c r="AA8" s="49">
        <v>4.1025999999999996E-3</v>
      </c>
      <c r="AB8" s="49">
        <v>4.5949000000000001E-4</v>
      </c>
      <c r="AC8" s="49">
        <v>7.2798000000000002E-6</v>
      </c>
      <c r="AD8" s="49">
        <v>2.5911999999999999E-6</v>
      </c>
      <c r="AE8" s="49">
        <v>9.2691999999999999E-7</v>
      </c>
      <c r="AF8" s="49">
        <v>3.3339E-7</v>
      </c>
      <c r="AG8" s="49">
        <v>1.2088000000000001E-7</v>
      </c>
      <c r="AH8" s="49">
        <v>4.3569999999999999E-8</v>
      </c>
      <c r="AI8" s="49">
        <v>9.6765999999999994E-9</v>
      </c>
      <c r="AJ8" s="49">
        <v>2.1810999999999998E-9</v>
      </c>
      <c r="AK8" s="49">
        <v>5.0700000000000001E-10</v>
      </c>
      <c r="AL8" s="49">
        <v>2.0327E-12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1</v>
      </c>
      <c r="C9" s="44">
        <f t="shared" si="0"/>
        <v>0</v>
      </c>
      <c r="D9" s="44">
        <f t="shared" si="0"/>
        <v>2</v>
      </c>
      <c r="E9" s="48" t="s">
        <v>71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7.4465000000000001E-35</v>
      </c>
      <c r="O9" s="49">
        <v>9.0942999999999997E-33</v>
      </c>
      <c r="P9" s="49">
        <v>8.2290000000000008E-31</v>
      </c>
      <c r="Q9" s="49">
        <v>5.9169000000000003E-29</v>
      </c>
      <c r="R9" s="49">
        <v>3.5006000000000002E-27</v>
      </c>
      <c r="S9" s="49">
        <v>1.7198000000000001E-25</v>
      </c>
      <c r="T9" s="49">
        <v>7.0269E-24</v>
      </c>
      <c r="U9" s="49">
        <v>2.3967999999999999E-22</v>
      </c>
      <c r="V9" s="49">
        <v>6.8768000000000004E-21</v>
      </c>
      <c r="W9" s="49">
        <v>1.6759E-19</v>
      </c>
      <c r="X9" s="49">
        <v>3.5032999999999997E-18</v>
      </c>
      <c r="Y9" s="49">
        <v>6.3313999999999995E-17</v>
      </c>
      <c r="Z9" s="49">
        <v>9.8978000000000008E-16</v>
      </c>
      <c r="AA9" s="49">
        <v>1.3115E-14</v>
      </c>
      <c r="AB9" s="49">
        <v>1.8892E-11</v>
      </c>
      <c r="AC9" s="49">
        <v>9.9455999999999992E-10</v>
      </c>
      <c r="AD9" s="49">
        <v>2.2495000000000001E-9</v>
      </c>
      <c r="AE9" s="49">
        <v>4.7989E-9</v>
      </c>
      <c r="AF9" s="49">
        <v>9.6941999999999999E-9</v>
      </c>
      <c r="AG9" s="49">
        <v>1.8652000000000001E-8</v>
      </c>
      <c r="AH9" s="49">
        <v>3.3769000000000003E-8</v>
      </c>
      <c r="AI9" s="49">
        <v>3.4797999999999998E-8</v>
      </c>
      <c r="AJ9" s="49">
        <v>3.5021E-8</v>
      </c>
      <c r="AK9" s="49">
        <v>3.4928E-8</v>
      </c>
      <c r="AL9" s="49">
        <v>3.2273000000000001E-8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1</v>
      </c>
      <c r="E10" s="48" t="s">
        <v>4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0</v>
      </c>
      <c r="P10" s="49">
        <v>1.2616E-34</v>
      </c>
      <c r="Q10" s="49">
        <v>7.1091E-33</v>
      </c>
      <c r="R10" s="49">
        <v>3.2809E-31</v>
      </c>
      <c r="S10" s="49">
        <v>1.2545E-29</v>
      </c>
      <c r="T10" s="49">
        <v>3.9983999999999998E-28</v>
      </c>
      <c r="U10" s="49">
        <v>1.0702999999999999E-26</v>
      </c>
      <c r="V10" s="49">
        <v>2.4292999999999999E-25</v>
      </c>
      <c r="W10" s="49">
        <v>4.7242999999999998E-24</v>
      </c>
      <c r="X10" s="49">
        <v>7.9534999999999998E-23</v>
      </c>
      <c r="Y10" s="49">
        <v>1.1693999999999999E-21</v>
      </c>
      <c r="Z10" s="49">
        <v>1.5085999999999999E-20</v>
      </c>
      <c r="AA10" s="49">
        <v>1.6962000000000001E-19</v>
      </c>
      <c r="AB10" s="49">
        <v>3.6142999999999999E-16</v>
      </c>
      <c r="AC10" s="49">
        <v>8.1400999999999996E-14</v>
      </c>
      <c r="AD10" s="49">
        <v>2.6731E-13</v>
      </c>
      <c r="AE10" s="49">
        <v>8.2919000000000002E-13</v>
      </c>
      <c r="AF10" s="49">
        <v>2.4381999999999998E-12</v>
      </c>
      <c r="AG10" s="49">
        <v>6.8258000000000003E-12</v>
      </c>
      <c r="AH10" s="49">
        <v>1.8101E-11</v>
      </c>
      <c r="AI10" s="49">
        <v>3.5168999999999998E-11</v>
      </c>
      <c r="AJ10" s="49">
        <v>6.6286000000000003E-11</v>
      </c>
      <c r="AK10" s="49">
        <v>1.221E-10</v>
      </c>
      <c r="AL10" s="49">
        <v>1.1423999999999999E-9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1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48" t="s">
        <v>1</v>
      </c>
      <c r="F11" s="49">
        <v>0.2</v>
      </c>
      <c r="G11" s="49">
        <v>0.2</v>
      </c>
      <c r="H11" s="49">
        <v>0.2</v>
      </c>
      <c r="I11" s="49">
        <v>0.2</v>
      </c>
      <c r="J11" s="49">
        <v>0.2</v>
      </c>
      <c r="K11" s="49">
        <v>0.2</v>
      </c>
      <c r="L11" s="49">
        <v>0.2</v>
      </c>
      <c r="M11" s="49">
        <v>0.2</v>
      </c>
      <c r="N11" s="49">
        <v>0.2</v>
      </c>
      <c r="O11" s="49">
        <v>0.2</v>
      </c>
      <c r="P11" s="49">
        <v>0.2</v>
      </c>
      <c r="Q11" s="49">
        <v>0.2</v>
      </c>
      <c r="R11" s="49">
        <v>0.2</v>
      </c>
      <c r="S11" s="49">
        <v>0.2</v>
      </c>
      <c r="T11" s="49">
        <v>0.2</v>
      </c>
      <c r="U11" s="49">
        <v>0.2</v>
      </c>
      <c r="V11" s="49">
        <v>0.2</v>
      </c>
      <c r="W11" s="49">
        <v>0.2</v>
      </c>
      <c r="X11" s="49">
        <v>0.2</v>
      </c>
      <c r="Y11" s="49">
        <v>0.2</v>
      </c>
      <c r="Z11" s="49">
        <v>0.2</v>
      </c>
      <c r="AA11" s="49">
        <v>0.2</v>
      </c>
      <c r="AB11" s="49">
        <v>0.2</v>
      </c>
      <c r="AC11" s="49">
        <v>0.2</v>
      </c>
      <c r="AD11" s="49">
        <v>0.2</v>
      </c>
      <c r="AE11" s="49">
        <v>0.2</v>
      </c>
      <c r="AF11" s="49">
        <v>0.2</v>
      </c>
      <c r="AG11" s="49">
        <v>0.2</v>
      </c>
      <c r="AH11" s="49">
        <v>0.2</v>
      </c>
      <c r="AI11" s="49">
        <v>0.2</v>
      </c>
      <c r="AJ11" s="49">
        <v>0.2</v>
      </c>
      <c r="AK11" s="49">
        <v>0.2</v>
      </c>
      <c r="AL11" s="49">
        <v>0.2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2</v>
      </c>
      <c r="C12" s="44">
        <f t="shared" si="0"/>
        <v>1</v>
      </c>
      <c r="D12" s="44">
        <f t="shared" si="0"/>
        <v>0</v>
      </c>
      <c r="E12" s="48" t="s">
        <v>54</v>
      </c>
      <c r="F12" s="49">
        <v>0.13761999999999999</v>
      </c>
      <c r="G12" s="49">
        <v>0.13184000000000001</v>
      </c>
      <c r="H12" s="49">
        <v>0.1173</v>
      </c>
      <c r="I12" s="49">
        <v>9.0985999999999997E-2</v>
      </c>
      <c r="J12" s="49">
        <v>5.8673000000000003E-2</v>
      </c>
      <c r="K12" s="49">
        <v>3.5301E-3</v>
      </c>
      <c r="L12" s="49">
        <v>1.7362E-3</v>
      </c>
      <c r="M12" s="49">
        <v>8.7681E-4</v>
      </c>
      <c r="N12" s="49">
        <v>4.4354000000000003E-4</v>
      </c>
      <c r="O12" s="49">
        <v>2.1458999999999999E-4</v>
      </c>
      <c r="P12" s="49">
        <v>9.4772999999999995E-5</v>
      </c>
      <c r="Q12" s="49">
        <v>3.7471000000000001E-5</v>
      </c>
      <c r="R12" s="49">
        <v>1.3517E-5</v>
      </c>
      <c r="S12" s="49">
        <v>4.6341999999999996E-6</v>
      </c>
      <c r="T12" s="49">
        <v>1.5689999999999999E-6</v>
      </c>
      <c r="U12" s="49">
        <v>5.3781999999999998E-7</v>
      </c>
      <c r="V12" s="49">
        <v>1.8911999999999999E-7</v>
      </c>
      <c r="W12" s="49">
        <v>6.8608000000000001E-8</v>
      </c>
      <c r="X12" s="49">
        <v>2.5722E-8</v>
      </c>
      <c r="Y12" s="49">
        <v>9.9647999999999993E-9</v>
      </c>
      <c r="Z12" s="49">
        <v>3.9866999999999999E-9</v>
      </c>
      <c r="AA12" s="49">
        <v>1.6471E-9</v>
      </c>
      <c r="AB12" s="49">
        <v>6.4954000000000001E-11</v>
      </c>
      <c r="AC12" s="49">
        <v>3.496E-12</v>
      </c>
      <c r="AD12" s="49">
        <v>1.7611E-12</v>
      </c>
      <c r="AE12" s="49">
        <v>9.0203999999999996E-13</v>
      </c>
      <c r="AF12" s="49">
        <v>4.6937999999999996E-13</v>
      </c>
      <c r="AG12" s="49">
        <v>2.4795999999999999E-13</v>
      </c>
      <c r="AH12" s="49">
        <v>1.3305E-13</v>
      </c>
      <c r="AI12" s="49">
        <v>7.4307999999999995E-14</v>
      </c>
      <c r="AJ12" s="49">
        <v>4.1655E-14</v>
      </c>
      <c r="AK12" s="49">
        <v>2.3510999999999999E-14</v>
      </c>
      <c r="AL12" s="49">
        <v>2.6029999999999999E-15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1</v>
      </c>
      <c r="D13" s="44">
        <f t="shared" si="0"/>
        <v>0</v>
      </c>
      <c r="E13" s="48" t="s">
        <v>74</v>
      </c>
      <c r="F13" s="49">
        <v>0.14238000000000001</v>
      </c>
      <c r="G13" s="49">
        <v>0.14815</v>
      </c>
      <c r="H13" s="49">
        <v>0.16269</v>
      </c>
      <c r="I13" s="49">
        <v>0.189</v>
      </c>
      <c r="J13" s="49">
        <v>0.22128</v>
      </c>
      <c r="K13" s="49">
        <v>0.27118999999999999</v>
      </c>
      <c r="L13" s="49">
        <v>0.26468999999999998</v>
      </c>
      <c r="M13" s="49">
        <v>0.24837999999999999</v>
      </c>
      <c r="N13" s="49">
        <v>0.21926999999999999</v>
      </c>
      <c r="O13" s="49">
        <v>0.17757000000000001</v>
      </c>
      <c r="P13" s="49">
        <v>0.12916</v>
      </c>
      <c r="Q13" s="49">
        <v>8.4039000000000003E-2</v>
      </c>
      <c r="R13" s="49">
        <v>4.9964000000000001E-2</v>
      </c>
      <c r="S13" s="49">
        <v>2.8131E-2</v>
      </c>
      <c r="T13" s="49">
        <v>1.5495999999999999E-2</v>
      </c>
      <c r="U13" s="49">
        <v>8.5325999999999996E-3</v>
      </c>
      <c r="V13" s="49">
        <v>4.7505999999999998E-3</v>
      </c>
      <c r="W13" s="49">
        <v>2.6887999999999999E-3</v>
      </c>
      <c r="X13" s="49">
        <v>1.5502999999999999E-3</v>
      </c>
      <c r="Y13" s="49">
        <v>9.1091999999999996E-4</v>
      </c>
      <c r="Z13" s="49">
        <v>5.4536999999999999E-4</v>
      </c>
      <c r="AA13" s="49">
        <v>3.3270000000000001E-4</v>
      </c>
      <c r="AB13" s="49">
        <v>5.4917000000000003E-5</v>
      </c>
      <c r="AC13" s="49">
        <v>1.0937999999999999E-5</v>
      </c>
      <c r="AD13" s="49">
        <v>7.5044999999999999E-6</v>
      </c>
      <c r="AE13" s="49">
        <v>5.1990999999999999E-6</v>
      </c>
      <c r="AF13" s="49">
        <v>3.6355000000000002E-6</v>
      </c>
      <c r="AG13" s="49">
        <v>2.5647000000000002E-6</v>
      </c>
      <c r="AH13" s="49">
        <v>1.8256999999999999E-6</v>
      </c>
      <c r="AI13" s="49">
        <v>1.3259000000000001E-6</v>
      </c>
      <c r="AJ13" s="49">
        <v>9.660599999999999E-7</v>
      </c>
      <c r="AK13" s="49">
        <v>7.0707999999999995E-7</v>
      </c>
      <c r="AL13" s="49">
        <v>2.1397999999999999E-7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3</v>
      </c>
      <c r="C14" s="44">
        <f t="shared" si="0"/>
        <v>0</v>
      </c>
      <c r="D14" s="44">
        <f t="shared" si="0"/>
        <v>2</v>
      </c>
      <c r="E14" s="48" t="s">
        <v>55</v>
      </c>
      <c r="F14" s="49">
        <v>1.1708E-2</v>
      </c>
      <c r="G14" s="49">
        <v>1.1806000000000001E-2</v>
      </c>
      <c r="H14" s="49">
        <v>1.2043E-2</v>
      </c>
      <c r="I14" s="49">
        <v>1.2439E-2</v>
      </c>
      <c r="J14" s="49">
        <v>1.2874999999999999E-2</v>
      </c>
      <c r="K14" s="49">
        <v>1.3566999999999999E-2</v>
      </c>
      <c r="L14" s="49">
        <v>1.3669000000000001E-2</v>
      </c>
      <c r="M14" s="49">
        <v>1.3845E-2</v>
      </c>
      <c r="N14" s="49">
        <v>1.4116E-2</v>
      </c>
      <c r="O14" s="49">
        <v>1.4460000000000001E-2</v>
      </c>
      <c r="P14" s="49">
        <v>1.481E-2</v>
      </c>
      <c r="Q14" s="49">
        <v>1.5096999999999999E-2</v>
      </c>
      <c r="R14" s="49">
        <v>1.5294E-2</v>
      </c>
      <c r="S14" s="49">
        <v>1.5412E-2</v>
      </c>
      <c r="T14" s="49">
        <v>1.5478E-2</v>
      </c>
      <c r="U14" s="49">
        <v>1.5513000000000001E-2</v>
      </c>
      <c r="V14" s="49">
        <v>1.5531E-2</v>
      </c>
      <c r="W14" s="49">
        <v>1.5537E-2</v>
      </c>
      <c r="X14" s="49">
        <v>1.5526E-2</v>
      </c>
      <c r="Y14" s="49">
        <v>1.5462999999999999E-2</v>
      </c>
      <c r="Z14" s="49">
        <v>1.5226E-2</v>
      </c>
      <c r="AA14" s="49">
        <v>1.4445E-2</v>
      </c>
      <c r="AB14" s="49">
        <v>1.7378999999999999E-3</v>
      </c>
      <c r="AC14" s="49">
        <v>2.8085E-5</v>
      </c>
      <c r="AD14" s="49">
        <v>1.0037000000000001E-5</v>
      </c>
      <c r="AE14" s="49">
        <v>3.6059000000000001E-6</v>
      </c>
      <c r="AF14" s="49">
        <v>1.3024E-6</v>
      </c>
      <c r="AG14" s="49">
        <v>4.7406E-7</v>
      </c>
      <c r="AH14" s="49">
        <v>1.7140000000000001E-7</v>
      </c>
      <c r="AI14" s="49">
        <v>3.7789000000000002E-8</v>
      </c>
      <c r="AJ14" s="49">
        <v>8.4633000000000007E-9</v>
      </c>
      <c r="AK14" s="49">
        <v>1.9569000000000001E-9</v>
      </c>
      <c r="AL14" s="49">
        <v>7.7382000000000003E-12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1</v>
      </c>
      <c r="C15" s="44">
        <f t="shared" si="0"/>
        <v>0</v>
      </c>
      <c r="D15" s="44">
        <f t="shared" si="0"/>
        <v>2</v>
      </c>
      <c r="E15" s="48" t="s">
        <v>56</v>
      </c>
      <c r="F15" s="49">
        <v>7.5756000000000005E-29</v>
      </c>
      <c r="G15" s="49">
        <v>2.9401999999999999E-27</v>
      </c>
      <c r="H15" s="49">
        <v>9.9583000000000004E-26</v>
      </c>
      <c r="I15" s="49">
        <v>3.5787999999999998E-24</v>
      </c>
      <c r="J15" s="49">
        <v>1.4182000000000001E-22</v>
      </c>
      <c r="K15" s="49">
        <v>1.2896E-16</v>
      </c>
      <c r="L15" s="49">
        <v>2.2897000000000001E-15</v>
      </c>
      <c r="M15" s="49">
        <v>3.1573000000000001E-14</v>
      </c>
      <c r="N15" s="49">
        <v>3.4560000000000001E-13</v>
      </c>
      <c r="O15" s="49">
        <v>3.1638999999999999E-12</v>
      </c>
      <c r="P15" s="49">
        <v>2.5638999999999999E-11</v>
      </c>
      <c r="Q15" s="49">
        <v>1.9056999999999999E-10</v>
      </c>
      <c r="R15" s="49">
        <v>1.3130999999999999E-9</v>
      </c>
      <c r="S15" s="49">
        <v>8.3702999999999995E-9</v>
      </c>
      <c r="T15" s="49">
        <v>4.9187999999999997E-8</v>
      </c>
      <c r="U15" s="49">
        <v>2.664E-7</v>
      </c>
      <c r="V15" s="49">
        <v>1.3331E-6</v>
      </c>
      <c r="W15" s="49">
        <v>6.1879999999999999E-6</v>
      </c>
      <c r="X15" s="49">
        <v>2.6750999999999998E-5</v>
      </c>
      <c r="Y15" s="49">
        <v>1.0794999999999999E-4</v>
      </c>
      <c r="Z15" s="49">
        <v>4.0492000000000002E-4</v>
      </c>
      <c r="AA15" s="49">
        <v>1.3795999999999999E-3</v>
      </c>
      <c r="AB15" s="49">
        <v>1.6258999999999999E-2</v>
      </c>
      <c r="AC15" s="49">
        <v>1.4115000000000001E-2</v>
      </c>
      <c r="AD15" s="49">
        <v>1.2591E-2</v>
      </c>
      <c r="AE15" s="49">
        <v>1.0965000000000001E-2</v>
      </c>
      <c r="AF15" s="49">
        <v>9.3370999999999992E-3</v>
      </c>
      <c r="AG15" s="49">
        <v>7.8056000000000002E-3</v>
      </c>
      <c r="AH15" s="49">
        <v>6.3140999999999996E-3</v>
      </c>
      <c r="AI15" s="49">
        <v>2.9566000000000002E-3</v>
      </c>
      <c r="AJ15" s="49">
        <v>1.3887999999999999E-3</v>
      </c>
      <c r="AK15" s="49">
        <v>6.6326999999999998E-4</v>
      </c>
      <c r="AL15" s="49">
        <v>4.0513999999999999E-5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48" t="s">
        <v>57</v>
      </c>
      <c r="F16" s="49">
        <v>5.2854000000000005E-7</v>
      </c>
      <c r="G16" s="49">
        <v>1.1217E-6</v>
      </c>
      <c r="H16" s="49">
        <v>2.6616999999999999E-6</v>
      </c>
      <c r="I16" s="49">
        <v>7.6415999999999998E-6</v>
      </c>
      <c r="J16" s="49">
        <v>2.5486E-5</v>
      </c>
      <c r="K16" s="49">
        <v>2.6394000000000001E-3</v>
      </c>
      <c r="L16" s="49">
        <v>6.7882000000000003E-3</v>
      </c>
      <c r="M16" s="49">
        <v>1.537E-2</v>
      </c>
      <c r="N16" s="49">
        <v>3.0145000000000002E-2</v>
      </c>
      <c r="O16" s="49">
        <v>5.1109000000000002E-2</v>
      </c>
      <c r="P16" s="49">
        <v>7.5374999999999998E-2</v>
      </c>
      <c r="Q16" s="49">
        <v>9.7961999999999994E-2</v>
      </c>
      <c r="R16" s="49">
        <v>0.11501</v>
      </c>
      <c r="S16" s="49">
        <v>0.12592999999999999</v>
      </c>
      <c r="T16" s="49">
        <v>0.13225000000000001</v>
      </c>
      <c r="U16" s="49">
        <v>0.13572999999999999</v>
      </c>
      <c r="V16" s="49">
        <v>0.13761999999999999</v>
      </c>
      <c r="W16" s="49">
        <v>0.13866000000000001</v>
      </c>
      <c r="X16" s="49">
        <v>0.13922000000000001</v>
      </c>
      <c r="Y16" s="49">
        <v>0.13954</v>
      </c>
      <c r="Z16" s="49">
        <v>0.13972999999999999</v>
      </c>
      <c r="AA16" s="49">
        <v>0.13983000000000001</v>
      </c>
      <c r="AB16" s="49">
        <v>0.13997000000000001</v>
      </c>
      <c r="AC16" s="49">
        <v>0.13999</v>
      </c>
      <c r="AD16" s="49">
        <v>0.14000000000000001</v>
      </c>
      <c r="AE16" s="49">
        <v>0.14000000000000001</v>
      </c>
      <c r="AF16" s="49">
        <v>0.14000000000000001</v>
      </c>
      <c r="AG16" s="49">
        <v>0.14000000000000001</v>
      </c>
      <c r="AH16" s="49">
        <v>0.13999</v>
      </c>
      <c r="AI16" s="49">
        <v>0.13966999999999999</v>
      </c>
      <c r="AJ16" s="49">
        <v>0.13941000000000001</v>
      </c>
      <c r="AK16" s="49">
        <v>0.13919000000000001</v>
      </c>
      <c r="AL16" s="49">
        <v>0.13839000000000001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1</v>
      </c>
      <c r="E17" s="48" t="s">
        <v>58</v>
      </c>
      <c r="F17" s="49">
        <v>2.7998999999999999E-28</v>
      </c>
      <c r="G17" s="49">
        <v>1.0385999999999999E-26</v>
      </c>
      <c r="H17" s="49">
        <v>3.2712999999999998E-25</v>
      </c>
      <c r="I17" s="49">
        <v>1.026E-23</v>
      </c>
      <c r="J17" s="49">
        <v>3.2961E-22</v>
      </c>
      <c r="K17" s="49">
        <v>1.0036000000000001E-16</v>
      </c>
      <c r="L17" s="49">
        <v>1.4244E-15</v>
      </c>
      <c r="M17" s="49">
        <v>1.6396999999999999E-14</v>
      </c>
      <c r="N17" s="49">
        <v>1.5638000000000001E-13</v>
      </c>
      <c r="O17" s="49">
        <v>1.2856000000000001E-12</v>
      </c>
      <c r="P17" s="49">
        <v>9.4622000000000006E-12</v>
      </c>
      <c r="Q17" s="49">
        <v>6.3634E-11</v>
      </c>
      <c r="R17" s="49">
        <v>3.9289000000000003E-10</v>
      </c>
      <c r="S17" s="49">
        <v>2.2262E-9</v>
      </c>
      <c r="T17" s="49">
        <v>1.1587E-8</v>
      </c>
      <c r="U17" s="49">
        <v>5.5549000000000003E-8</v>
      </c>
      <c r="V17" s="49">
        <v>2.4629999999999998E-7</v>
      </c>
      <c r="W17" s="49">
        <v>1.0144E-6</v>
      </c>
      <c r="X17" s="49">
        <v>3.8963999999999997E-6</v>
      </c>
      <c r="Y17" s="49">
        <v>1.3995999999999999E-5</v>
      </c>
      <c r="Z17" s="49">
        <v>4.6999000000000002E-5</v>
      </c>
      <c r="AA17" s="49">
        <v>1.4606999999999999E-4</v>
      </c>
      <c r="AB17" s="49">
        <v>3.0864999999999998E-3</v>
      </c>
      <c r="AC17" s="49">
        <v>1.1698999999999999E-2</v>
      </c>
      <c r="AD17" s="49">
        <v>1.4792E-2</v>
      </c>
      <c r="AE17" s="49">
        <v>1.8062000000000002E-2</v>
      </c>
      <c r="AF17" s="49">
        <v>2.1322000000000001E-2</v>
      </c>
      <c r="AG17" s="49">
        <v>2.4386999999999999E-2</v>
      </c>
      <c r="AH17" s="49">
        <v>2.682E-2</v>
      </c>
      <c r="AI17" s="49">
        <v>2.1689E-2</v>
      </c>
      <c r="AJ17" s="49">
        <v>1.7243999999999999E-2</v>
      </c>
      <c r="AK17" s="49">
        <v>1.3558000000000001E-2</v>
      </c>
      <c r="AL17" s="49">
        <v>4.5989000000000004E-3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1</v>
      </c>
      <c r="C18" s="44">
        <f t="shared" si="0"/>
        <v>0</v>
      </c>
      <c r="D18" s="44">
        <f t="shared" si="0"/>
        <v>0</v>
      </c>
      <c r="E18" s="48" t="s">
        <v>59</v>
      </c>
      <c r="F18" s="49">
        <v>2.8265000000000001E-9</v>
      </c>
      <c r="G18" s="49">
        <v>8.0000999999999993E-9</v>
      </c>
      <c r="H18" s="49">
        <v>1.8224000000000002E-8</v>
      </c>
      <c r="I18" s="49">
        <v>3.2019999999999998E-8</v>
      </c>
      <c r="J18" s="49">
        <v>4.3060000000000003E-8</v>
      </c>
      <c r="K18" s="49">
        <v>3.1809999999999998E-8</v>
      </c>
      <c r="L18" s="49">
        <v>2.7503000000000001E-8</v>
      </c>
      <c r="M18" s="49">
        <v>2.4861E-8</v>
      </c>
      <c r="N18" s="49">
        <v>2.3668999999999998E-8</v>
      </c>
      <c r="O18" s="49">
        <v>2.3231999999999999E-8</v>
      </c>
      <c r="P18" s="49">
        <v>2.2659000000000001E-8</v>
      </c>
      <c r="Q18" s="49">
        <v>2.1959999999999999E-8</v>
      </c>
      <c r="R18" s="49">
        <v>2.0686999999999999E-8</v>
      </c>
      <c r="S18" s="49">
        <v>1.8737999999999999E-8</v>
      </c>
      <c r="T18" s="49">
        <v>1.6546000000000001E-8</v>
      </c>
      <c r="U18" s="49">
        <v>1.4403E-8</v>
      </c>
      <c r="V18" s="49">
        <v>1.2445E-8</v>
      </c>
      <c r="W18" s="49">
        <v>1.0713E-8</v>
      </c>
      <c r="X18" s="49">
        <v>9.2080999999999993E-9</v>
      </c>
      <c r="Y18" s="49">
        <v>7.9125999999999993E-9</v>
      </c>
      <c r="Z18" s="49">
        <v>6.8070999999999998E-9</v>
      </c>
      <c r="AA18" s="49">
        <v>5.8781999999999998E-9</v>
      </c>
      <c r="AB18" s="49">
        <v>3.4846000000000001E-9</v>
      </c>
      <c r="AC18" s="49">
        <v>1.9703000000000001E-9</v>
      </c>
      <c r="AD18" s="49">
        <v>1.7096E-9</v>
      </c>
      <c r="AE18" s="49">
        <v>1.4847000000000001E-9</v>
      </c>
      <c r="AF18" s="49">
        <v>1.2903E-9</v>
      </c>
      <c r="AG18" s="49">
        <v>1.1219E-9</v>
      </c>
      <c r="AH18" s="49">
        <v>9.7606000000000004E-10</v>
      </c>
      <c r="AI18" s="49">
        <v>8.5312000000000005E-10</v>
      </c>
      <c r="AJ18" s="49">
        <v>7.4336000000000001E-10</v>
      </c>
      <c r="AK18" s="49">
        <v>6.4702000000000001E-10</v>
      </c>
      <c r="AL18" s="49">
        <v>3.7200000000000001E-10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48" t="s">
        <v>60</v>
      </c>
      <c r="F19" s="49">
        <v>6.5148000000000001E-10</v>
      </c>
      <c r="G19" s="49">
        <v>2.0896999999999999E-9</v>
      </c>
      <c r="H19" s="49">
        <v>5.3268000000000003E-9</v>
      </c>
      <c r="I19" s="49">
        <v>1.036E-8</v>
      </c>
      <c r="J19" s="49">
        <v>1.5276999999999998E-8</v>
      </c>
      <c r="K19" s="49">
        <v>1.5183000000000001E-8</v>
      </c>
      <c r="L19" s="49">
        <v>1.3939999999999999E-8</v>
      </c>
      <c r="M19" s="49">
        <v>1.3321000000000001E-8</v>
      </c>
      <c r="N19" s="49">
        <v>1.3354E-8</v>
      </c>
      <c r="O19" s="49">
        <v>1.3752E-8</v>
      </c>
      <c r="P19" s="49">
        <v>1.4025999999999999E-8</v>
      </c>
      <c r="Q19" s="49">
        <v>1.3751E-8</v>
      </c>
      <c r="R19" s="49">
        <v>1.2843E-8</v>
      </c>
      <c r="S19" s="49">
        <v>1.1528000000000001E-8</v>
      </c>
      <c r="T19" s="49">
        <v>1.0085000000000001E-8</v>
      </c>
      <c r="U19" s="49">
        <v>8.6941000000000004E-9</v>
      </c>
      <c r="V19" s="49">
        <v>7.4380999999999998E-9</v>
      </c>
      <c r="W19" s="49">
        <v>6.3395000000000003E-9</v>
      </c>
      <c r="X19" s="49">
        <v>5.3942000000000003E-9</v>
      </c>
      <c r="Y19" s="49">
        <v>4.5885E-9</v>
      </c>
      <c r="Z19" s="49">
        <v>3.9075000000000004E-9</v>
      </c>
      <c r="AA19" s="49">
        <v>3.3401000000000001E-9</v>
      </c>
      <c r="AB19" s="49">
        <v>1.9017000000000002E-9</v>
      </c>
      <c r="AC19" s="49">
        <v>1.0337000000000001E-9</v>
      </c>
      <c r="AD19" s="49">
        <v>8.8833999999999995E-10</v>
      </c>
      <c r="AE19" s="49">
        <v>7.6410999999999996E-10</v>
      </c>
      <c r="AF19" s="49">
        <v>6.5776000000000001E-10</v>
      </c>
      <c r="AG19" s="49">
        <v>5.6653999999999999E-10</v>
      </c>
      <c r="AH19" s="49">
        <v>4.8829999999999996E-10</v>
      </c>
      <c r="AI19" s="49">
        <v>4.2284000000000001E-10</v>
      </c>
      <c r="AJ19" s="49">
        <v>3.6505E-10</v>
      </c>
      <c r="AK19" s="49">
        <v>3.1482999999999999E-10</v>
      </c>
      <c r="AL19" s="49">
        <v>1.7455999999999999E-10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61</v>
      </c>
      <c r="F20" s="49">
        <v>2.3804999999999998E-3</v>
      </c>
      <c r="G20" s="49">
        <v>8.1585000000000008E-3</v>
      </c>
      <c r="H20" s="49">
        <v>2.2703000000000001E-2</v>
      </c>
      <c r="I20" s="49">
        <v>4.9029000000000003E-2</v>
      </c>
      <c r="J20" s="49">
        <v>8.1378000000000006E-2</v>
      </c>
      <c r="K20" s="49">
        <v>0.14174999999999999</v>
      </c>
      <c r="L20" s="49">
        <v>0.15184</v>
      </c>
      <c r="M20" s="49">
        <v>0.16986000000000001</v>
      </c>
      <c r="N20" s="49">
        <v>0.19985</v>
      </c>
      <c r="O20" s="49">
        <v>0.24199999999999999</v>
      </c>
      <c r="P20" s="49">
        <v>0.29065999999999997</v>
      </c>
      <c r="Q20" s="49">
        <v>0.33589000000000002</v>
      </c>
      <c r="R20" s="49">
        <v>0.37001000000000001</v>
      </c>
      <c r="S20" s="49">
        <v>0.39185999999999999</v>
      </c>
      <c r="T20" s="49">
        <v>0.40450000000000003</v>
      </c>
      <c r="U20" s="49">
        <v>0.41147</v>
      </c>
      <c r="V20" s="49">
        <v>0.41525000000000001</v>
      </c>
      <c r="W20" s="49">
        <v>0.41732000000000002</v>
      </c>
      <c r="X20" s="49">
        <v>0.41850999999999999</v>
      </c>
      <c r="Y20" s="49">
        <v>0.41932999999999998</v>
      </c>
      <c r="Z20" s="49">
        <v>0.42032999999999998</v>
      </c>
      <c r="AA20" s="49">
        <v>0.42265000000000003</v>
      </c>
      <c r="AB20" s="49">
        <v>0.45709</v>
      </c>
      <c r="AC20" s="49">
        <v>0.46577000000000002</v>
      </c>
      <c r="AD20" s="49">
        <v>0.46736</v>
      </c>
      <c r="AE20" s="49">
        <v>0.46901999999999999</v>
      </c>
      <c r="AF20" s="49">
        <v>0.47065000000000001</v>
      </c>
      <c r="AG20" s="49">
        <v>0.47219</v>
      </c>
      <c r="AH20" s="49">
        <v>0.47367999999999999</v>
      </c>
      <c r="AI20" s="49">
        <v>0.47704000000000002</v>
      </c>
      <c r="AJ20" s="49">
        <v>0.47860999999999998</v>
      </c>
      <c r="AK20" s="49">
        <v>0.47933999999999999</v>
      </c>
      <c r="AL20" s="49">
        <v>0.47996</v>
      </c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62</v>
      </c>
      <c r="F21" s="49">
        <v>7.2273000000000001E-12</v>
      </c>
      <c r="G21" s="49">
        <v>3.0615999999999998E-11</v>
      </c>
      <c r="H21" s="49">
        <v>1.0052000000000001E-10</v>
      </c>
      <c r="I21" s="49">
        <v>2.4645999999999999E-10</v>
      </c>
      <c r="J21" s="49">
        <v>4.4978000000000002E-10</v>
      </c>
      <c r="K21" s="49">
        <v>9.0864999999999996E-10</v>
      </c>
      <c r="L21" s="49">
        <v>9.6864999999999996E-10</v>
      </c>
      <c r="M21" s="49">
        <v>1.0653E-9</v>
      </c>
      <c r="N21" s="49">
        <v>1.2192000000000001E-9</v>
      </c>
      <c r="O21" s="49">
        <v>1.4232E-9</v>
      </c>
      <c r="P21" s="49">
        <v>1.6345000000000001E-9</v>
      </c>
      <c r="Q21" s="49">
        <v>1.7936000000000001E-9</v>
      </c>
      <c r="R21" s="49">
        <v>1.8648E-9</v>
      </c>
      <c r="S21" s="49">
        <v>1.854E-9</v>
      </c>
      <c r="T21" s="49">
        <v>1.7882000000000001E-9</v>
      </c>
      <c r="U21" s="49">
        <v>1.6925000000000001E-9</v>
      </c>
      <c r="V21" s="49">
        <v>1.5835E-9</v>
      </c>
      <c r="W21" s="49">
        <v>1.4704E-9</v>
      </c>
      <c r="X21" s="49">
        <v>1.3586E-9</v>
      </c>
      <c r="Y21" s="49">
        <v>1.2509999999999999E-9</v>
      </c>
      <c r="Z21" s="49">
        <v>1.1497000000000001E-9</v>
      </c>
      <c r="AA21" s="49">
        <v>1.0578E-9</v>
      </c>
      <c r="AB21" s="49">
        <v>7.8874999999999999E-10</v>
      </c>
      <c r="AC21" s="49">
        <v>5.4359999999999996E-10</v>
      </c>
      <c r="AD21" s="49">
        <v>4.9357999999999996E-10</v>
      </c>
      <c r="AE21" s="49">
        <v>4.4790000000000002E-10</v>
      </c>
      <c r="AF21" s="49">
        <v>4.0617E-10</v>
      </c>
      <c r="AG21" s="49">
        <v>3.6803000000000002E-10</v>
      </c>
      <c r="AH21" s="49">
        <v>3.3325000000000001E-10</v>
      </c>
      <c r="AI21" s="49">
        <v>3.0279999999999998E-10</v>
      </c>
      <c r="AJ21" s="49">
        <v>2.7396999999999999E-10</v>
      </c>
      <c r="AK21" s="49">
        <v>2.4734E-10</v>
      </c>
      <c r="AL21" s="49">
        <v>1.6297000000000001E-10</v>
      </c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1</v>
      </c>
      <c r="D22" s="44">
        <f t="shared" si="1"/>
        <v>0</v>
      </c>
      <c r="E22" s="48" t="s">
        <v>63</v>
      </c>
      <c r="F22" s="49">
        <v>5.2854000000000005E-7</v>
      </c>
      <c r="G22" s="49">
        <v>1.1217E-6</v>
      </c>
      <c r="H22" s="49">
        <v>2.6616999999999999E-6</v>
      </c>
      <c r="I22" s="49">
        <v>7.6415999999999998E-6</v>
      </c>
      <c r="J22" s="49">
        <v>2.5486E-5</v>
      </c>
      <c r="K22" s="49">
        <v>2.6394000000000001E-3</v>
      </c>
      <c r="L22" s="49">
        <v>6.7882000000000003E-3</v>
      </c>
      <c r="M22" s="49">
        <v>1.537E-2</v>
      </c>
      <c r="N22" s="49">
        <v>3.0145000000000002E-2</v>
      </c>
      <c r="O22" s="49">
        <v>5.1109000000000002E-2</v>
      </c>
      <c r="P22" s="49">
        <v>7.5374999999999998E-2</v>
      </c>
      <c r="Q22" s="49">
        <v>9.7961999999999994E-2</v>
      </c>
      <c r="R22" s="49">
        <v>0.11501</v>
      </c>
      <c r="S22" s="49">
        <v>0.12592999999999999</v>
      </c>
      <c r="T22" s="49">
        <v>0.13225000000000001</v>
      </c>
      <c r="U22" s="49">
        <v>0.13572999999999999</v>
      </c>
      <c r="V22" s="49">
        <v>0.13761999999999999</v>
      </c>
      <c r="W22" s="49">
        <v>0.13866000000000001</v>
      </c>
      <c r="X22" s="49">
        <v>0.13922000000000001</v>
      </c>
      <c r="Y22" s="49">
        <v>0.13954</v>
      </c>
      <c r="Z22" s="49">
        <v>0.13972999999999999</v>
      </c>
      <c r="AA22" s="49">
        <v>0.13983000000000001</v>
      </c>
      <c r="AB22" s="49">
        <v>0.13997000000000001</v>
      </c>
      <c r="AC22" s="49">
        <v>0.13999</v>
      </c>
      <c r="AD22" s="49">
        <v>0.14000000000000001</v>
      </c>
      <c r="AE22" s="49">
        <v>0.14000000000000001</v>
      </c>
      <c r="AF22" s="49">
        <v>0.14000000000000001</v>
      </c>
      <c r="AG22" s="49">
        <v>0.14000000000000001</v>
      </c>
      <c r="AH22" s="49">
        <v>0.13999</v>
      </c>
      <c r="AI22" s="49">
        <v>0.13966999999999999</v>
      </c>
      <c r="AJ22" s="49">
        <v>0.13941000000000001</v>
      </c>
      <c r="AK22" s="49">
        <v>0.13919000000000001</v>
      </c>
      <c r="AL22" s="49">
        <v>0.13839000000000001</v>
      </c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1</v>
      </c>
      <c r="E23" s="41" t="s">
        <v>64</v>
      </c>
      <c r="F23" s="49">
        <v>0</v>
      </c>
      <c r="G23" s="49">
        <v>0</v>
      </c>
      <c r="H23" s="49">
        <v>0</v>
      </c>
      <c r="I23" s="49">
        <v>0</v>
      </c>
      <c r="J23" s="49">
        <v>0</v>
      </c>
      <c r="K23" s="49">
        <v>0</v>
      </c>
      <c r="L23" s="49">
        <v>0</v>
      </c>
      <c r="M23" s="49">
        <v>0</v>
      </c>
      <c r="N23" s="49">
        <v>0</v>
      </c>
      <c r="O23" s="49">
        <v>0</v>
      </c>
      <c r="P23" s="49">
        <v>0</v>
      </c>
      <c r="Q23" s="49">
        <v>0</v>
      </c>
      <c r="R23" s="49">
        <v>0</v>
      </c>
      <c r="S23" s="49">
        <v>0</v>
      </c>
      <c r="T23" s="49">
        <v>0</v>
      </c>
      <c r="U23" s="49">
        <v>0</v>
      </c>
      <c r="V23" s="49">
        <v>0</v>
      </c>
      <c r="W23" s="49">
        <v>0</v>
      </c>
      <c r="X23" s="49">
        <v>0</v>
      </c>
      <c r="Y23" s="49">
        <v>0</v>
      </c>
      <c r="Z23" s="49">
        <v>0</v>
      </c>
      <c r="AA23" s="49">
        <v>0</v>
      </c>
      <c r="AB23" s="49">
        <v>0</v>
      </c>
      <c r="AC23" s="49">
        <v>1.4259E-22</v>
      </c>
      <c r="AD23" s="49">
        <v>4.8393000000000001E-18</v>
      </c>
      <c r="AE23" s="49">
        <v>8.6730999999999997E-14</v>
      </c>
      <c r="AF23" s="49">
        <v>7.9190000000000003E-10</v>
      </c>
      <c r="AG23" s="49">
        <v>1.4299000000000001E-7</v>
      </c>
      <c r="AH23" s="49">
        <v>5.5106000000000003E-4</v>
      </c>
      <c r="AI23" s="49">
        <v>1.2390999999999999E-2</v>
      </c>
      <c r="AJ23" s="49">
        <v>1.9973000000000001E-2</v>
      </c>
      <c r="AK23" s="49">
        <v>2.5111000000000001E-2</v>
      </c>
      <c r="AL23" s="49">
        <v>3.5318000000000002E-2</v>
      </c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1</v>
      </c>
      <c r="D24" s="44">
        <f t="shared" si="1"/>
        <v>0</v>
      </c>
      <c r="E24" s="41" t="s">
        <v>65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2.2449000000000001E-23</v>
      </c>
      <c r="AD24" s="49">
        <v>5.7803000000000002E-19</v>
      </c>
      <c r="AE24" s="49">
        <v>8.0229000000000003E-15</v>
      </c>
      <c r="AF24" s="49">
        <v>5.7836000000000002E-11</v>
      </c>
      <c r="AG24" s="49">
        <v>8.3879E-9</v>
      </c>
      <c r="AH24" s="49">
        <v>2.6605999999999999E-5</v>
      </c>
      <c r="AI24" s="49">
        <v>6.5841999999999995E-4</v>
      </c>
      <c r="AJ24" s="49">
        <v>1.1711E-3</v>
      </c>
      <c r="AK24" s="49">
        <v>1.6188000000000001E-3</v>
      </c>
      <c r="AL24" s="49">
        <v>3.2217000000000001E-3</v>
      </c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1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 t="s">
        <v>28</v>
      </c>
      <c r="F25" s="49">
        <v>-18.66</v>
      </c>
      <c r="G25" s="49">
        <v>-18.649999999999999</v>
      </c>
      <c r="H25" s="49">
        <v>-18.649999999999999</v>
      </c>
      <c r="I25" s="49">
        <v>-18.66</v>
      </c>
      <c r="J25" s="49">
        <v>-18.670000000000002</v>
      </c>
      <c r="K25" s="49">
        <v>-18.75</v>
      </c>
      <c r="L25" s="49">
        <v>-18.78</v>
      </c>
      <c r="M25" s="49">
        <v>-18.809999999999999</v>
      </c>
      <c r="N25" s="49">
        <v>-18.829999999999998</v>
      </c>
      <c r="O25" s="49">
        <v>-18.86</v>
      </c>
      <c r="P25" s="49">
        <v>-18.899999999999999</v>
      </c>
      <c r="Q25" s="49">
        <v>-18.93</v>
      </c>
      <c r="R25" s="49">
        <v>-18.96</v>
      </c>
      <c r="S25" s="49">
        <v>-18.989999999999998</v>
      </c>
      <c r="T25" s="49">
        <v>-19.03</v>
      </c>
      <c r="U25" s="49">
        <v>-19.059999999999999</v>
      </c>
      <c r="V25" s="49">
        <v>-19.100000000000001</v>
      </c>
      <c r="W25" s="49">
        <v>-19.13</v>
      </c>
      <c r="X25" s="49">
        <v>-19.170000000000002</v>
      </c>
      <c r="Y25" s="49">
        <v>-19.2</v>
      </c>
      <c r="Z25" s="49">
        <v>-19.23</v>
      </c>
      <c r="AA25" s="49">
        <v>-19.27</v>
      </c>
      <c r="AB25" s="49">
        <v>-19.38</v>
      </c>
      <c r="AC25" s="49">
        <v>-19.510000000000002</v>
      </c>
      <c r="AD25" s="49">
        <v>-19.55</v>
      </c>
      <c r="AE25" s="49">
        <v>-19.579999999999998</v>
      </c>
      <c r="AF25" s="49">
        <v>-19.61</v>
      </c>
      <c r="AG25" s="49">
        <v>-19.64</v>
      </c>
      <c r="AH25" s="49">
        <v>-19.670000000000002</v>
      </c>
      <c r="AI25" s="49">
        <v>-19.7</v>
      </c>
      <c r="AJ25" s="49">
        <v>-19.73</v>
      </c>
      <c r="AK25" s="49">
        <v>-19.760000000000002</v>
      </c>
      <c r="AL25" s="49">
        <v>-19.88</v>
      </c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1</v>
      </c>
      <c r="E26" s="41" t="s">
        <v>5</v>
      </c>
      <c r="F26" s="49">
        <v>-67.12</v>
      </c>
      <c r="G26" s="49">
        <v>-63.52</v>
      </c>
      <c r="H26" s="49">
        <v>-60.12</v>
      </c>
      <c r="I26" s="49">
        <v>-56.76</v>
      </c>
      <c r="J26" s="49">
        <v>-53.4</v>
      </c>
      <c r="K26" s="49">
        <v>-41.04</v>
      </c>
      <c r="L26" s="49">
        <v>-38.450000000000003</v>
      </c>
      <c r="M26" s="49">
        <v>-36.08</v>
      </c>
      <c r="N26" s="49">
        <v>-33.93</v>
      </c>
      <c r="O26" s="49">
        <v>-31.94</v>
      </c>
      <c r="P26" s="49">
        <v>-30.07</v>
      </c>
      <c r="Q26" s="49">
        <v>-28.28</v>
      </c>
      <c r="R26" s="49">
        <v>-26.54</v>
      </c>
      <c r="S26" s="49">
        <v>-24.87</v>
      </c>
      <c r="T26" s="49">
        <v>-23.27</v>
      </c>
      <c r="U26" s="49">
        <v>-21.74</v>
      </c>
      <c r="V26" s="49">
        <v>-20.27</v>
      </c>
      <c r="W26" s="49">
        <v>-18.87</v>
      </c>
      <c r="X26" s="49">
        <v>-17.54</v>
      </c>
      <c r="Y26" s="49">
        <v>-16.260000000000002</v>
      </c>
      <c r="Z26" s="49">
        <v>-15.05</v>
      </c>
      <c r="AA26" s="49">
        <v>-13.91</v>
      </c>
      <c r="AB26" s="49">
        <v>-10.79</v>
      </c>
      <c r="AC26" s="49">
        <v>-9.1989999999999998</v>
      </c>
      <c r="AD26" s="49">
        <v>-8.8740000000000006</v>
      </c>
      <c r="AE26" s="49">
        <v>-8.5730000000000004</v>
      </c>
      <c r="AF26" s="49">
        <v>-8.2949999999999999</v>
      </c>
      <c r="AG26" s="49">
        <v>-8.0359999999999996</v>
      </c>
      <c r="AH26" s="49">
        <v>-7.8040000000000003</v>
      </c>
      <c r="AI26" s="49">
        <v>-7.8559999999999999</v>
      </c>
      <c r="AJ26" s="49">
        <v>-7.915</v>
      </c>
      <c r="AK26" s="49">
        <v>-7.9720000000000004</v>
      </c>
      <c r="AL26" s="49">
        <v>-8.1969999999999992</v>
      </c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1</v>
      </c>
      <c r="D27" s="44">
        <f t="shared" si="1"/>
        <v>0</v>
      </c>
      <c r="E27" s="41" t="s">
        <v>6</v>
      </c>
      <c r="F27" s="49">
        <v>-16.98</v>
      </c>
      <c r="G27" s="49">
        <v>-16.239999999999998</v>
      </c>
      <c r="H27" s="49">
        <v>-15.42</v>
      </c>
      <c r="I27" s="49">
        <v>-14.46</v>
      </c>
      <c r="J27" s="49">
        <v>-13.36</v>
      </c>
      <c r="K27" s="49">
        <v>-8.9659999999999993</v>
      </c>
      <c r="L27" s="49">
        <v>-8.077</v>
      </c>
      <c r="M27" s="49">
        <v>-7.3339999999999996</v>
      </c>
      <c r="N27" s="49">
        <v>-6.7590000000000003</v>
      </c>
      <c r="O27" s="49">
        <v>-6.35</v>
      </c>
      <c r="P27" s="49">
        <v>-6.0869999999999997</v>
      </c>
      <c r="Q27" s="49">
        <v>-5.9379999999999997</v>
      </c>
      <c r="R27" s="49">
        <v>-5.87</v>
      </c>
      <c r="S27" s="49">
        <v>-5.8520000000000003</v>
      </c>
      <c r="T27" s="49">
        <v>-5.8609999999999998</v>
      </c>
      <c r="U27" s="49">
        <v>-5.8860000000000001</v>
      </c>
      <c r="V27" s="49">
        <v>-5.9180000000000001</v>
      </c>
      <c r="W27" s="49">
        <v>-5.9550000000000001</v>
      </c>
      <c r="X27" s="49">
        <v>-5.9930000000000003</v>
      </c>
      <c r="Y27" s="49">
        <v>-6.0330000000000004</v>
      </c>
      <c r="Z27" s="49">
        <v>-6.0739999999999998</v>
      </c>
      <c r="AA27" s="49">
        <v>-6.1180000000000003</v>
      </c>
      <c r="AB27" s="49">
        <v>-6.3319999999999999</v>
      </c>
      <c r="AC27" s="49">
        <v>-6.508</v>
      </c>
      <c r="AD27" s="49">
        <v>-6.5510000000000002</v>
      </c>
      <c r="AE27" s="49">
        <v>-6.5940000000000003</v>
      </c>
      <c r="AF27" s="49">
        <v>-6.6360000000000001</v>
      </c>
      <c r="AG27" s="49">
        <v>-6.6779999999999999</v>
      </c>
      <c r="AH27" s="49">
        <v>-6.7190000000000003</v>
      </c>
      <c r="AI27" s="49">
        <v>-6.7510000000000003</v>
      </c>
      <c r="AJ27" s="49">
        <v>-6.7839999999999998</v>
      </c>
      <c r="AK27" s="49">
        <v>-6.8170000000000002</v>
      </c>
      <c r="AL27" s="49">
        <v>-6.9539999999999997</v>
      </c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1</v>
      </c>
      <c r="C28" s="44">
        <f t="shared" si="2"/>
        <v>0</v>
      </c>
      <c r="D28" s="44">
        <f t="shared" si="2"/>
        <v>0</v>
      </c>
      <c r="E28" s="41" t="s">
        <v>7</v>
      </c>
      <c r="F28" s="49">
        <v>-23.56</v>
      </c>
      <c r="G28" s="49">
        <v>-22.53</v>
      </c>
      <c r="H28" s="49">
        <v>-21.75</v>
      </c>
      <c r="I28" s="49">
        <v>-21.28</v>
      </c>
      <c r="J28" s="49">
        <v>-21.09</v>
      </c>
      <c r="K28" s="49">
        <v>-21.65</v>
      </c>
      <c r="L28" s="49">
        <v>-21.85</v>
      </c>
      <c r="M28" s="49">
        <v>-22.03</v>
      </c>
      <c r="N28" s="49">
        <v>-22.18</v>
      </c>
      <c r="O28" s="49">
        <v>-22.32</v>
      </c>
      <c r="P28" s="49">
        <v>-22.47</v>
      </c>
      <c r="Q28" s="49">
        <v>-22.65</v>
      </c>
      <c r="R28" s="49">
        <v>-22.86</v>
      </c>
      <c r="S28" s="49">
        <v>-23.08</v>
      </c>
      <c r="T28" s="49">
        <v>-23.31</v>
      </c>
      <c r="U28" s="49">
        <v>-23.54</v>
      </c>
      <c r="V28" s="49">
        <v>-23.78</v>
      </c>
      <c r="W28" s="49">
        <v>-24.01</v>
      </c>
      <c r="X28" s="49">
        <v>-24.25</v>
      </c>
      <c r="Y28" s="49">
        <v>-24.48</v>
      </c>
      <c r="Z28" s="49">
        <v>-24.71</v>
      </c>
      <c r="AA28" s="49">
        <v>-24.94</v>
      </c>
      <c r="AB28" s="49">
        <v>-25.82</v>
      </c>
      <c r="AC28" s="49">
        <v>-26.68</v>
      </c>
      <c r="AD28" s="49">
        <v>-26.9</v>
      </c>
      <c r="AE28" s="49">
        <v>-27.11</v>
      </c>
      <c r="AF28" s="49">
        <v>-27.32</v>
      </c>
      <c r="AG28" s="49">
        <v>-27.52</v>
      </c>
      <c r="AH28" s="49">
        <v>-27.73</v>
      </c>
      <c r="AI28" s="49">
        <v>-27.92</v>
      </c>
      <c r="AJ28" s="49">
        <v>-28.11</v>
      </c>
      <c r="AK28" s="49">
        <v>-28.3</v>
      </c>
      <c r="AL28" s="49">
        <v>-29.08</v>
      </c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22</v>
      </c>
      <c r="E34" s="11" t="str">
        <f ca="1">OFFSET($E$3:$AL$3,$D34,0)</f>
        <v>H (Ar)</v>
      </c>
      <c r="F34" s="14">
        <f t="shared" ref="F34:AL37" ca="1" si="4">OFFSET($E$3:$AL$3,$D34,0)</f>
        <v>-18.66</v>
      </c>
      <c r="G34" s="14">
        <f t="shared" ca="1" si="4"/>
        <v>-18.649999999999999</v>
      </c>
      <c r="H34" s="14">
        <f t="shared" ca="1" si="4"/>
        <v>-18.649999999999999</v>
      </c>
      <c r="I34" s="14">
        <f t="shared" ca="1" si="4"/>
        <v>-18.66</v>
      </c>
      <c r="J34" s="14">
        <f t="shared" ca="1" si="4"/>
        <v>-18.670000000000002</v>
      </c>
      <c r="K34" s="14">
        <f t="shared" ca="1" si="4"/>
        <v>-18.75</v>
      </c>
      <c r="L34" s="14">
        <f t="shared" ca="1" si="4"/>
        <v>-18.78</v>
      </c>
      <c r="M34" s="14">
        <f t="shared" ca="1" si="4"/>
        <v>-18.809999999999999</v>
      </c>
      <c r="N34" s="14">
        <f t="shared" ca="1" si="4"/>
        <v>-18.829999999999998</v>
      </c>
      <c r="O34" s="14">
        <f t="shared" ca="1" si="4"/>
        <v>-18.86</v>
      </c>
      <c r="P34" s="14">
        <f t="shared" ca="1" si="4"/>
        <v>-18.899999999999999</v>
      </c>
      <c r="Q34" s="14">
        <f t="shared" ca="1" si="4"/>
        <v>-18.93</v>
      </c>
      <c r="R34" s="14">
        <f t="shared" ca="1" si="4"/>
        <v>-18.96</v>
      </c>
      <c r="S34" s="14">
        <f t="shared" ca="1" si="4"/>
        <v>-18.989999999999998</v>
      </c>
      <c r="T34" s="14">
        <f t="shared" ca="1" si="4"/>
        <v>-19.03</v>
      </c>
      <c r="U34" s="14">
        <f t="shared" ca="1" si="4"/>
        <v>-19.059999999999999</v>
      </c>
      <c r="V34" s="14">
        <f t="shared" ca="1" si="4"/>
        <v>-19.100000000000001</v>
      </c>
      <c r="W34" s="14">
        <f t="shared" ca="1" si="4"/>
        <v>-19.13</v>
      </c>
      <c r="X34" s="14">
        <f t="shared" ca="1" si="4"/>
        <v>-19.170000000000002</v>
      </c>
      <c r="Y34" s="14">
        <f t="shared" ca="1" si="4"/>
        <v>-19.2</v>
      </c>
      <c r="Z34" s="14">
        <f t="shared" ca="1" si="4"/>
        <v>-19.23</v>
      </c>
      <c r="AA34" s="14">
        <f t="shared" ca="1" si="4"/>
        <v>-19.27</v>
      </c>
      <c r="AB34" s="14">
        <f t="shared" ca="1" si="4"/>
        <v>-19.38</v>
      </c>
      <c r="AC34" s="14">
        <f t="shared" ca="1" si="4"/>
        <v>-19.510000000000002</v>
      </c>
      <c r="AD34" s="14">
        <f t="shared" ca="1" si="4"/>
        <v>-19.55</v>
      </c>
      <c r="AE34" s="14">
        <f t="shared" ca="1" si="4"/>
        <v>-19.579999999999998</v>
      </c>
      <c r="AF34" s="14">
        <f t="shared" ca="1" si="4"/>
        <v>-19.61</v>
      </c>
      <c r="AG34" s="14">
        <f t="shared" ca="1" si="4"/>
        <v>-19.64</v>
      </c>
      <c r="AH34" s="14">
        <f t="shared" ca="1" si="4"/>
        <v>-19.670000000000002</v>
      </c>
      <c r="AI34" s="14">
        <f t="shared" ca="1" si="4"/>
        <v>-19.7</v>
      </c>
      <c r="AJ34" s="14">
        <f t="shared" ca="1" si="4"/>
        <v>-19.73</v>
      </c>
      <c r="AK34" s="14">
        <f t="shared" ca="1" si="4"/>
        <v>-19.760000000000002</v>
      </c>
      <c r="AL34" s="14">
        <f t="shared" ca="1" si="4"/>
        <v>-19.88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ref="D35:D37" si="5">MATCH(C35,$E$4:$E$33)</f>
        <v>23</v>
      </c>
      <c r="E35" s="11" t="str">
        <f t="shared" ref="E35:E37" ca="1" si="6">OFFSET($E$3:$AL$3,$D35,0)</f>
        <v>H (Ga)</v>
      </c>
      <c r="F35" s="14">
        <f t="shared" ca="1" si="4"/>
        <v>-67.12</v>
      </c>
      <c r="G35" s="14">
        <f t="shared" ca="1" si="4"/>
        <v>-63.52</v>
      </c>
      <c r="H35" s="14">
        <f t="shared" ca="1" si="4"/>
        <v>-60.12</v>
      </c>
      <c r="I35" s="14">
        <f t="shared" ca="1" si="4"/>
        <v>-56.76</v>
      </c>
      <c r="J35" s="14">
        <f t="shared" ca="1" si="4"/>
        <v>-53.4</v>
      </c>
      <c r="K35" s="14">
        <f t="shared" ca="1" si="4"/>
        <v>-41.04</v>
      </c>
      <c r="L35" s="14">
        <f t="shared" ca="1" si="4"/>
        <v>-38.450000000000003</v>
      </c>
      <c r="M35" s="14">
        <f t="shared" ca="1" si="4"/>
        <v>-36.08</v>
      </c>
      <c r="N35" s="14">
        <f t="shared" ca="1" si="4"/>
        <v>-33.93</v>
      </c>
      <c r="O35" s="14">
        <f t="shared" ca="1" si="4"/>
        <v>-31.94</v>
      </c>
      <c r="P35" s="14">
        <f t="shared" ca="1" si="4"/>
        <v>-30.07</v>
      </c>
      <c r="Q35" s="14">
        <f t="shared" ca="1" si="4"/>
        <v>-28.28</v>
      </c>
      <c r="R35" s="14">
        <f t="shared" ca="1" si="4"/>
        <v>-26.54</v>
      </c>
      <c r="S35" s="14">
        <f t="shared" ca="1" si="4"/>
        <v>-24.87</v>
      </c>
      <c r="T35" s="14">
        <f t="shared" ca="1" si="4"/>
        <v>-23.27</v>
      </c>
      <c r="U35" s="14">
        <f t="shared" ca="1" si="4"/>
        <v>-21.74</v>
      </c>
      <c r="V35" s="14">
        <f t="shared" ca="1" si="4"/>
        <v>-20.27</v>
      </c>
      <c r="W35" s="14">
        <f t="shared" ca="1" si="4"/>
        <v>-18.87</v>
      </c>
      <c r="X35" s="14">
        <f t="shared" ca="1" si="4"/>
        <v>-17.54</v>
      </c>
      <c r="Y35" s="14">
        <f t="shared" ca="1" si="4"/>
        <v>-16.260000000000002</v>
      </c>
      <c r="Z35" s="14">
        <f t="shared" ca="1" si="4"/>
        <v>-15.05</v>
      </c>
      <c r="AA35" s="14">
        <f t="shared" ca="1" si="4"/>
        <v>-13.91</v>
      </c>
      <c r="AB35" s="14">
        <f t="shared" ca="1" si="4"/>
        <v>-10.79</v>
      </c>
      <c r="AC35" s="14">
        <f t="shared" ca="1" si="4"/>
        <v>-9.1989999999999998</v>
      </c>
      <c r="AD35" s="14">
        <f t="shared" ca="1" si="4"/>
        <v>-8.8740000000000006</v>
      </c>
      <c r="AE35" s="14">
        <f t="shared" ca="1" si="4"/>
        <v>-8.5730000000000004</v>
      </c>
      <c r="AF35" s="14">
        <f t="shared" ca="1" si="4"/>
        <v>-8.2949999999999999</v>
      </c>
      <c r="AG35" s="14">
        <f t="shared" ca="1" si="4"/>
        <v>-8.0359999999999996</v>
      </c>
      <c r="AH35" s="14">
        <f t="shared" ca="1" si="4"/>
        <v>-7.8040000000000003</v>
      </c>
      <c r="AI35" s="14">
        <f t="shared" ca="1" si="4"/>
        <v>-7.8559999999999999</v>
      </c>
      <c r="AJ35" s="14">
        <f t="shared" ca="1" si="4"/>
        <v>-7.915</v>
      </c>
      <c r="AK35" s="14">
        <f t="shared" ca="1" si="4"/>
        <v>-7.9720000000000004</v>
      </c>
      <c r="AL35" s="14">
        <f t="shared" ca="1" si="4"/>
        <v>-8.1969999999999992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si="5"/>
        <v>24</v>
      </c>
      <c r="E36" s="11" t="str">
        <f t="shared" ca="1" si="6"/>
        <v>H (Ge)</v>
      </c>
      <c r="F36" s="14">
        <f t="shared" ca="1" si="4"/>
        <v>-16.98</v>
      </c>
      <c r="G36" s="14">
        <f t="shared" ca="1" si="4"/>
        <v>-16.239999999999998</v>
      </c>
      <c r="H36" s="14">
        <f t="shared" ca="1" si="4"/>
        <v>-15.42</v>
      </c>
      <c r="I36" s="14">
        <f t="shared" ca="1" si="4"/>
        <v>-14.46</v>
      </c>
      <c r="J36" s="14">
        <f t="shared" ca="1" si="4"/>
        <v>-13.36</v>
      </c>
      <c r="K36" s="14">
        <f t="shared" ca="1" si="4"/>
        <v>-8.9659999999999993</v>
      </c>
      <c r="L36" s="14">
        <f t="shared" ca="1" si="4"/>
        <v>-8.077</v>
      </c>
      <c r="M36" s="14">
        <f t="shared" ca="1" si="4"/>
        <v>-7.3339999999999996</v>
      </c>
      <c r="N36" s="14">
        <f t="shared" ca="1" si="4"/>
        <v>-6.7590000000000003</v>
      </c>
      <c r="O36" s="14">
        <f t="shared" ca="1" si="4"/>
        <v>-6.35</v>
      </c>
      <c r="P36" s="14">
        <f t="shared" ca="1" si="4"/>
        <v>-6.0869999999999997</v>
      </c>
      <c r="Q36" s="14">
        <f t="shared" ca="1" si="4"/>
        <v>-5.9379999999999997</v>
      </c>
      <c r="R36" s="14">
        <f t="shared" ca="1" si="4"/>
        <v>-5.87</v>
      </c>
      <c r="S36" s="14">
        <f t="shared" ca="1" si="4"/>
        <v>-5.8520000000000003</v>
      </c>
      <c r="T36" s="14">
        <f t="shared" ca="1" si="4"/>
        <v>-5.8609999999999998</v>
      </c>
      <c r="U36" s="14">
        <f t="shared" ca="1" si="4"/>
        <v>-5.8860000000000001</v>
      </c>
      <c r="V36" s="14">
        <f t="shared" ca="1" si="4"/>
        <v>-5.9180000000000001</v>
      </c>
      <c r="W36" s="14">
        <f t="shared" ca="1" si="4"/>
        <v>-5.9550000000000001</v>
      </c>
      <c r="X36" s="14">
        <f t="shared" ca="1" si="4"/>
        <v>-5.9930000000000003</v>
      </c>
      <c r="Y36" s="14">
        <f t="shared" ca="1" si="4"/>
        <v>-6.0330000000000004</v>
      </c>
      <c r="Z36" s="14">
        <f t="shared" ca="1" si="4"/>
        <v>-6.0739999999999998</v>
      </c>
      <c r="AA36" s="14">
        <f t="shared" ca="1" si="4"/>
        <v>-6.1180000000000003</v>
      </c>
      <c r="AB36" s="14">
        <f t="shared" ca="1" si="4"/>
        <v>-6.3319999999999999</v>
      </c>
      <c r="AC36" s="14">
        <f t="shared" ca="1" si="4"/>
        <v>-6.508</v>
      </c>
      <c r="AD36" s="14">
        <f t="shared" ca="1" si="4"/>
        <v>-6.5510000000000002</v>
      </c>
      <c r="AE36" s="14">
        <f t="shared" ca="1" si="4"/>
        <v>-6.5940000000000003</v>
      </c>
      <c r="AF36" s="14">
        <f t="shared" ca="1" si="4"/>
        <v>-6.6360000000000001</v>
      </c>
      <c r="AG36" s="14">
        <f t="shared" ca="1" si="4"/>
        <v>-6.6779999999999999</v>
      </c>
      <c r="AH36" s="14">
        <f t="shared" ca="1" si="4"/>
        <v>-6.7190000000000003</v>
      </c>
      <c r="AI36" s="14">
        <f t="shared" ca="1" si="4"/>
        <v>-6.7510000000000003</v>
      </c>
      <c r="AJ36" s="14">
        <f t="shared" ca="1" si="4"/>
        <v>-6.7839999999999998</v>
      </c>
      <c r="AK36" s="14">
        <f t="shared" ca="1" si="4"/>
        <v>-6.8170000000000002</v>
      </c>
      <c r="AL36" s="14">
        <f t="shared" ca="1" si="4"/>
        <v>-6.9539999999999997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25</v>
      </c>
      <c r="E37" s="11" t="str">
        <f t="shared" ca="1" si="6"/>
        <v>H (Se)</v>
      </c>
      <c r="F37" s="14">
        <f t="shared" ca="1" si="4"/>
        <v>-23.56</v>
      </c>
      <c r="G37" s="14">
        <f t="shared" ca="1" si="4"/>
        <v>-22.53</v>
      </c>
      <c r="H37" s="14">
        <f t="shared" ca="1" si="4"/>
        <v>-21.75</v>
      </c>
      <c r="I37" s="14">
        <f t="shared" ca="1" si="4"/>
        <v>-21.28</v>
      </c>
      <c r="J37" s="14">
        <f t="shared" ca="1" si="4"/>
        <v>-21.09</v>
      </c>
      <c r="K37" s="14">
        <f t="shared" ca="1" si="4"/>
        <v>-21.65</v>
      </c>
      <c r="L37" s="14">
        <f t="shared" ca="1" si="4"/>
        <v>-21.85</v>
      </c>
      <c r="M37" s="14">
        <f t="shared" ca="1" si="4"/>
        <v>-22.03</v>
      </c>
      <c r="N37" s="14">
        <f t="shared" ca="1" si="4"/>
        <v>-22.18</v>
      </c>
      <c r="O37" s="14">
        <f t="shared" ca="1" si="4"/>
        <v>-22.32</v>
      </c>
      <c r="P37" s="14">
        <f t="shared" ca="1" si="4"/>
        <v>-22.47</v>
      </c>
      <c r="Q37" s="14">
        <f t="shared" ca="1" si="4"/>
        <v>-22.65</v>
      </c>
      <c r="R37" s="14">
        <f t="shared" ca="1" si="4"/>
        <v>-22.86</v>
      </c>
      <c r="S37" s="14">
        <f t="shared" ca="1" si="4"/>
        <v>-23.08</v>
      </c>
      <c r="T37" s="14">
        <f t="shared" ca="1" si="4"/>
        <v>-23.31</v>
      </c>
      <c r="U37" s="14">
        <f t="shared" ca="1" si="4"/>
        <v>-23.54</v>
      </c>
      <c r="V37" s="14">
        <f t="shared" ca="1" si="4"/>
        <v>-23.78</v>
      </c>
      <c r="W37" s="14">
        <f t="shared" ca="1" si="4"/>
        <v>-24.01</v>
      </c>
      <c r="X37" s="14">
        <f t="shared" ca="1" si="4"/>
        <v>-24.25</v>
      </c>
      <c r="Y37" s="14">
        <f t="shared" ca="1" si="4"/>
        <v>-24.48</v>
      </c>
      <c r="Z37" s="14">
        <f t="shared" ca="1" si="4"/>
        <v>-24.71</v>
      </c>
      <c r="AA37" s="14">
        <f t="shared" ca="1" si="4"/>
        <v>-24.94</v>
      </c>
      <c r="AB37" s="14">
        <f t="shared" ca="1" si="4"/>
        <v>-25.82</v>
      </c>
      <c r="AC37" s="14">
        <f t="shared" ca="1" si="4"/>
        <v>-26.68</v>
      </c>
      <c r="AD37" s="14">
        <f t="shared" ca="1" si="4"/>
        <v>-26.9</v>
      </c>
      <c r="AE37" s="14">
        <f t="shared" ca="1" si="4"/>
        <v>-27.11</v>
      </c>
      <c r="AF37" s="14">
        <f t="shared" ca="1" si="4"/>
        <v>-27.32</v>
      </c>
      <c r="AG37" s="14">
        <f t="shared" ca="1" si="4"/>
        <v>-27.52</v>
      </c>
      <c r="AH37" s="14">
        <f t="shared" ref="AH37:AL37" ca="1" si="7">OFFSET($E$3:$AL$3,$D37,0)</f>
        <v>-27.73</v>
      </c>
      <c r="AI37" s="14">
        <f t="shared" ca="1" si="7"/>
        <v>-27.92</v>
      </c>
      <c r="AJ37" s="14">
        <f t="shared" ca="1" si="7"/>
        <v>-28.11</v>
      </c>
      <c r="AK37" s="14">
        <f t="shared" ca="1" si="7"/>
        <v>-28.3</v>
      </c>
      <c r="AL37" s="14">
        <f t="shared" ca="1" si="7"/>
        <v>-29.08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289.7</v>
      </c>
      <c r="H40" s="8">
        <f t="shared" si="8"/>
        <v>306.2</v>
      </c>
      <c r="I40" s="8">
        <f t="shared" si="8"/>
        <v>322.7</v>
      </c>
      <c r="J40" s="8">
        <f t="shared" si="8"/>
        <v>339.2</v>
      </c>
      <c r="K40" s="8">
        <f t="shared" si="8"/>
        <v>405.3</v>
      </c>
      <c r="L40" s="8">
        <f t="shared" si="8"/>
        <v>421.8</v>
      </c>
      <c r="M40" s="8">
        <f t="shared" si="8"/>
        <v>438.3</v>
      </c>
      <c r="N40" s="8">
        <f t="shared" si="8"/>
        <v>454.9</v>
      </c>
      <c r="O40" s="8">
        <f t="shared" si="8"/>
        <v>471.4</v>
      </c>
      <c r="P40" s="8">
        <f t="shared" si="8"/>
        <v>487.9</v>
      </c>
      <c r="Q40" s="8">
        <f t="shared" si="8"/>
        <v>504.4</v>
      </c>
      <c r="R40" s="8">
        <f t="shared" si="8"/>
        <v>520.9</v>
      </c>
      <c r="S40" s="8">
        <f t="shared" si="8"/>
        <v>537.5</v>
      </c>
      <c r="T40" s="8">
        <f t="shared" si="8"/>
        <v>554</v>
      </c>
      <c r="U40" s="8">
        <f t="shared" si="8"/>
        <v>570.5</v>
      </c>
      <c r="V40" s="8">
        <f t="shared" si="8"/>
        <v>587</v>
      </c>
      <c r="W40" s="8">
        <f t="shared" si="8"/>
        <v>603.5</v>
      </c>
      <c r="X40" s="8">
        <f t="shared" si="8"/>
        <v>620.1</v>
      </c>
      <c r="Y40" s="8">
        <f t="shared" si="8"/>
        <v>636.6</v>
      </c>
      <c r="Z40" s="8">
        <f t="shared" si="8"/>
        <v>653.1</v>
      </c>
      <c r="AA40" s="8">
        <f t="shared" si="8"/>
        <v>669.6</v>
      </c>
      <c r="AB40" s="8">
        <f t="shared" si="8"/>
        <v>735.7</v>
      </c>
      <c r="AC40" s="8">
        <f t="shared" si="8"/>
        <v>801.8</v>
      </c>
      <c r="AD40" s="8">
        <f t="shared" si="8"/>
        <v>818.3</v>
      </c>
      <c r="AE40" s="8">
        <f t="shared" si="8"/>
        <v>834.8</v>
      </c>
      <c r="AF40" s="8">
        <f t="shared" si="8"/>
        <v>851.3</v>
      </c>
      <c r="AG40" s="8">
        <f t="shared" si="8"/>
        <v>867.8</v>
      </c>
      <c r="AH40" s="8">
        <f t="shared" si="8"/>
        <v>884.4</v>
      </c>
      <c r="AI40" s="8">
        <f t="shared" si="8"/>
        <v>900.9</v>
      </c>
      <c r="AJ40" s="8">
        <f t="shared" si="8"/>
        <v>917.4</v>
      </c>
      <c r="AK40" s="8">
        <f t="shared" si="8"/>
        <v>933.9</v>
      </c>
      <c r="AL40" s="8">
        <f t="shared" si="8"/>
        <v>1000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9">($B$41*H.Ge+$C$41*H.Ga+$D$41*H.Se)*F$40*$B$2/1000</f>
        <v>-152.03891136642861</v>
      </c>
      <c r="G41" s="10">
        <f t="shared" ca="1" si="9"/>
        <v>-154.00607693057142</v>
      </c>
      <c r="H41" s="10">
        <f t="shared" ca="1" si="9"/>
        <v>-156.04911587057143</v>
      </c>
      <c r="I41" s="10">
        <f t="shared" ca="1" si="9"/>
        <v>-158.43258132299999</v>
      </c>
      <c r="J41" s="10">
        <f t="shared" ca="1" si="9"/>
        <v>-161.15876571428572</v>
      </c>
      <c r="K41" s="10">
        <f t="shared" ca="1" si="9"/>
        <v>-175.04147519909998</v>
      </c>
      <c r="L41" s="10">
        <f t="shared" ca="1" si="9"/>
        <v>-178.95455161470002</v>
      </c>
      <c r="M41" s="10">
        <f t="shared" ca="1" si="9"/>
        <v>-183.13790581890004</v>
      </c>
      <c r="N41" s="10">
        <f t="shared" ca="1" si="9"/>
        <v>-187.71008179544998</v>
      </c>
      <c r="O41" s="10">
        <f t="shared" ca="1" si="9"/>
        <v>-192.74201398842857</v>
      </c>
      <c r="P41" s="10">
        <f t="shared" ca="1" si="9"/>
        <v>-198.38092938734999</v>
      </c>
      <c r="Q41" s="10">
        <f t="shared" ca="1" si="9"/>
        <v>-204.68664891925712</v>
      </c>
      <c r="R41" s="10">
        <f t="shared" ca="1" si="9"/>
        <v>-211.57047599250004</v>
      </c>
      <c r="S41" s="10">
        <f t="shared" ca="1" si="9"/>
        <v>-218.85162617678571</v>
      </c>
      <c r="T41" s="10">
        <f t="shared" ca="1" si="9"/>
        <v>-226.37463685157141</v>
      </c>
      <c r="U41" s="10">
        <f t="shared" ca="1" si="9"/>
        <v>-234.06891434849999</v>
      </c>
      <c r="V41" s="10">
        <f t="shared" ca="1" si="9"/>
        <v>-241.97792924914287</v>
      </c>
      <c r="W41" s="10">
        <f t="shared" ca="1" si="9"/>
        <v>-249.94023950089291</v>
      </c>
      <c r="X41" s="10">
        <f t="shared" ca="1" si="9"/>
        <v>-258.15271654742145</v>
      </c>
      <c r="Y41" s="10">
        <f t="shared" ca="1" si="9"/>
        <v>-266.35261601224289</v>
      </c>
      <c r="Z41" s="10">
        <f t="shared" ca="1" si="9"/>
        <v>-274.68123427080002</v>
      </c>
      <c r="AA41" s="10">
        <f t="shared" ca="1" si="9"/>
        <v>-283.1542333467429</v>
      </c>
      <c r="AB41" s="10">
        <f t="shared" ca="1" si="9"/>
        <v>-318.91649446830002</v>
      </c>
      <c r="AC41" s="10">
        <f t="shared" ca="1" si="9"/>
        <v>-357.05651848307139</v>
      </c>
      <c r="AD41" s="10">
        <f t="shared" ca="1" si="9"/>
        <v>-366.94693729155</v>
      </c>
      <c r="AE41" s="10">
        <f t="shared" ca="1" si="9"/>
        <v>-376.84470516779999</v>
      </c>
      <c r="AF41" s="10">
        <f t="shared" ca="1" si="9"/>
        <v>-386.85742789570713</v>
      </c>
      <c r="AG41" s="10">
        <f t="shared" ca="1" si="9"/>
        <v>-396.86544722974287</v>
      </c>
      <c r="AH41" s="10">
        <f t="shared" ca="1" si="9"/>
        <v>-407.16199954979993</v>
      </c>
      <c r="AI41" s="10">
        <f t="shared" ca="1" si="9"/>
        <v>-417.4934201509501</v>
      </c>
      <c r="AJ41" s="10">
        <f t="shared" ca="1" si="9"/>
        <v>-427.94028354612857</v>
      </c>
      <c r="AK41" s="10">
        <f t="shared" ca="1" si="9"/>
        <v>-438.48566450157853</v>
      </c>
      <c r="AL41" s="10">
        <f t="shared" ca="1" si="9"/>
        <v>-482.04501535714286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thickBot="1" x14ac:dyDescent="0.45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</v>
      </c>
      <c r="F45" s="3">
        <f t="shared" si="10"/>
        <v>273.10000000000002</v>
      </c>
      <c r="G45" s="3">
        <f t="shared" si="10"/>
        <v>289.7</v>
      </c>
      <c r="H45" s="3">
        <f t="shared" si="10"/>
        <v>306.2</v>
      </c>
      <c r="I45" s="3">
        <f t="shared" si="10"/>
        <v>322.7</v>
      </c>
      <c r="J45" s="3">
        <f t="shared" si="10"/>
        <v>339.2</v>
      </c>
      <c r="K45" s="3">
        <f t="shared" si="10"/>
        <v>405.3</v>
      </c>
      <c r="L45" s="3">
        <f t="shared" si="10"/>
        <v>421.8</v>
      </c>
      <c r="M45" s="3">
        <f t="shared" si="10"/>
        <v>438.3</v>
      </c>
      <c r="N45" s="3">
        <f t="shared" si="10"/>
        <v>454.9</v>
      </c>
      <c r="O45" s="3">
        <f t="shared" si="10"/>
        <v>471.4</v>
      </c>
      <c r="P45" s="3">
        <f t="shared" si="10"/>
        <v>487.9</v>
      </c>
      <c r="Q45" s="3">
        <f t="shared" si="10"/>
        <v>504.4</v>
      </c>
      <c r="R45" s="3">
        <f t="shared" si="10"/>
        <v>520.9</v>
      </c>
      <c r="S45" s="3">
        <f t="shared" si="10"/>
        <v>537.5</v>
      </c>
      <c r="T45" s="3">
        <f t="shared" si="10"/>
        <v>554</v>
      </c>
      <c r="U45" s="3">
        <f t="shared" si="10"/>
        <v>570.5</v>
      </c>
      <c r="V45" s="3">
        <f t="shared" si="10"/>
        <v>587</v>
      </c>
      <c r="W45" s="3">
        <f t="shared" si="10"/>
        <v>603.5</v>
      </c>
      <c r="X45" s="3">
        <f t="shared" si="10"/>
        <v>620.1</v>
      </c>
      <c r="Y45" s="3">
        <f t="shared" si="10"/>
        <v>636.6</v>
      </c>
      <c r="Z45" s="3">
        <f t="shared" si="10"/>
        <v>653.1</v>
      </c>
      <c r="AA45" s="3">
        <f t="shared" si="10"/>
        <v>669.6</v>
      </c>
      <c r="AB45" s="3">
        <f t="shared" si="10"/>
        <v>735.7</v>
      </c>
      <c r="AC45" s="3">
        <f t="shared" si="10"/>
        <v>801.8</v>
      </c>
      <c r="AD45" s="3">
        <f t="shared" si="10"/>
        <v>818.3</v>
      </c>
      <c r="AE45" s="3">
        <f t="shared" si="10"/>
        <v>834.8</v>
      </c>
      <c r="AF45" s="3">
        <f t="shared" si="10"/>
        <v>851.3</v>
      </c>
      <c r="AG45" s="3">
        <f t="shared" si="10"/>
        <v>867.8</v>
      </c>
      <c r="AH45" s="3">
        <f t="shared" si="10"/>
        <v>884.4</v>
      </c>
      <c r="AI45" s="3">
        <f t="shared" si="10"/>
        <v>900.9</v>
      </c>
      <c r="AJ45" s="3">
        <f t="shared" si="10"/>
        <v>917.4</v>
      </c>
      <c r="AK45" s="3">
        <f t="shared" si="10"/>
        <v>933.9</v>
      </c>
      <c r="AL45" s="3">
        <f t="shared" si="10"/>
        <v>1000</v>
      </c>
    </row>
    <row r="46" spans="1:54" ht="2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1</v>
      </c>
      <c r="D46" s="5">
        <f t="shared" si="11"/>
        <v>0</v>
      </c>
      <c r="E46" s="6" t="str">
        <f t="shared" si="11"/>
        <v>*GeSe</v>
      </c>
      <c r="F46" s="14">
        <f t="shared" ref="F46:U55" ca="1" si="12">$A46*H.Ar + $B46*H.Se + $C46*H.Ge + $D46*H.Ga</f>
        <v>-40.54</v>
      </c>
      <c r="G46" s="14">
        <f t="shared" ca="1" si="12"/>
        <v>-38.769999999999996</v>
      </c>
      <c r="H46" s="14">
        <f t="shared" ca="1" si="12"/>
        <v>-37.17</v>
      </c>
      <c r="I46" s="14">
        <f t="shared" ca="1" si="12"/>
        <v>-35.74</v>
      </c>
      <c r="J46" s="14">
        <f t="shared" ca="1" si="12"/>
        <v>-34.450000000000003</v>
      </c>
      <c r="K46" s="14">
        <f t="shared" ca="1" si="12"/>
        <v>-30.616</v>
      </c>
      <c r="L46" s="14">
        <f t="shared" ca="1" si="12"/>
        <v>-29.927</v>
      </c>
      <c r="M46" s="14">
        <f t="shared" ca="1" si="12"/>
        <v>-29.364000000000001</v>
      </c>
      <c r="N46" s="14">
        <f t="shared" ca="1" si="12"/>
        <v>-28.939</v>
      </c>
      <c r="O46" s="14">
        <f t="shared" ca="1" si="12"/>
        <v>-28.67</v>
      </c>
      <c r="P46" s="14">
        <f t="shared" ca="1" si="12"/>
        <v>-28.556999999999999</v>
      </c>
      <c r="Q46" s="14">
        <f t="shared" ca="1" si="12"/>
        <v>-28.587999999999997</v>
      </c>
      <c r="R46" s="14">
        <f t="shared" ca="1" si="12"/>
        <v>-28.73</v>
      </c>
      <c r="S46" s="14">
        <f t="shared" ca="1" si="12"/>
        <v>-28.931999999999999</v>
      </c>
      <c r="T46" s="14">
        <f t="shared" ca="1" si="12"/>
        <v>-29.170999999999999</v>
      </c>
      <c r="U46" s="14">
        <f t="shared" ca="1" si="12"/>
        <v>-29.425999999999998</v>
      </c>
      <c r="V46" s="14">
        <f t="shared" ref="G46:AL54" ca="1" si="13">$A46*H.Ar + $B46*H.Se + $C46*H.Ge + $D46*H.Ga</f>
        <v>-29.698</v>
      </c>
      <c r="W46" s="14">
        <f t="shared" ca="1" si="13"/>
        <v>-29.965000000000003</v>
      </c>
      <c r="X46" s="14">
        <f t="shared" ca="1" si="13"/>
        <v>-30.243000000000002</v>
      </c>
      <c r="Y46" s="14">
        <f t="shared" ca="1" si="13"/>
        <v>-30.513000000000002</v>
      </c>
      <c r="Z46" s="14">
        <f t="shared" ca="1" si="13"/>
        <v>-30.783999999999999</v>
      </c>
      <c r="AA46" s="14">
        <f t="shared" ca="1" si="13"/>
        <v>-31.058</v>
      </c>
      <c r="AB46" s="14">
        <f t="shared" ca="1" si="13"/>
        <v>-32.152000000000001</v>
      </c>
      <c r="AC46" s="14">
        <f t="shared" ca="1" si="13"/>
        <v>-33.188000000000002</v>
      </c>
      <c r="AD46" s="14">
        <f t="shared" ca="1" si="13"/>
        <v>-33.451000000000001</v>
      </c>
      <c r="AE46" s="14">
        <f t="shared" ca="1" si="13"/>
        <v>-33.704000000000001</v>
      </c>
      <c r="AF46" s="14">
        <f t="shared" ca="1" si="13"/>
        <v>-33.956000000000003</v>
      </c>
      <c r="AG46" s="14">
        <f t="shared" ca="1" si="13"/>
        <v>-34.198</v>
      </c>
      <c r="AH46" s="14">
        <f t="shared" ca="1" si="13"/>
        <v>-34.448999999999998</v>
      </c>
      <c r="AI46" s="14">
        <f t="shared" ca="1" si="13"/>
        <v>-34.670999999999999</v>
      </c>
      <c r="AJ46" s="14">
        <f t="shared" ca="1" si="13"/>
        <v>-34.893999999999998</v>
      </c>
      <c r="AK46" s="14">
        <f t="shared" ca="1" si="13"/>
        <v>-35.117000000000004</v>
      </c>
      <c r="AL46" s="14">
        <f t="shared" ca="1" si="13"/>
        <v>-36.033999999999999</v>
      </c>
    </row>
    <row r="47" spans="1:54" ht="21" customHeight="1" outlineLevel="1" thickBot="1" x14ac:dyDescent="0.4">
      <c r="A47" s="5">
        <f t="shared" si="11"/>
        <v>0</v>
      </c>
      <c r="B47" s="5">
        <f t="shared" si="11"/>
        <v>0</v>
      </c>
      <c r="C47" s="5">
        <f t="shared" si="11"/>
        <v>0</v>
      </c>
      <c r="D47" s="5">
        <f t="shared" si="11"/>
        <v>1</v>
      </c>
      <c r="E47" s="6" t="str">
        <f t="shared" si="11"/>
        <v>*Ga[1]</v>
      </c>
      <c r="F47" s="14">
        <f t="shared" ca="1" si="12"/>
        <v>-67.12</v>
      </c>
      <c r="G47" s="14">
        <f t="shared" ca="1" si="13"/>
        <v>-63.52</v>
      </c>
      <c r="H47" s="14">
        <f t="shared" ca="1" si="13"/>
        <v>-60.12</v>
      </c>
      <c r="I47" s="14">
        <f t="shared" ca="1" si="13"/>
        <v>-56.76</v>
      </c>
      <c r="J47" s="14">
        <f t="shared" ca="1" si="13"/>
        <v>-53.4</v>
      </c>
      <c r="K47" s="14">
        <f t="shared" ca="1" si="13"/>
        <v>-41.04</v>
      </c>
      <c r="L47" s="14">
        <f t="shared" ca="1" si="13"/>
        <v>-38.450000000000003</v>
      </c>
      <c r="M47" s="14">
        <f t="shared" ca="1" si="13"/>
        <v>-36.08</v>
      </c>
      <c r="N47" s="14">
        <f t="shared" ca="1" si="13"/>
        <v>-33.93</v>
      </c>
      <c r="O47" s="14">
        <f t="shared" ca="1" si="13"/>
        <v>-31.94</v>
      </c>
      <c r="P47" s="14">
        <f t="shared" ca="1" si="13"/>
        <v>-30.07</v>
      </c>
      <c r="Q47" s="14">
        <f t="shared" ca="1" si="13"/>
        <v>-28.28</v>
      </c>
      <c r="R47" s="14">
        <f t="shared" ca="1" si="13"/>
        <v>-26.54</v>
      </c>
      <c r="S47" s="14">
        <f t="shared" ca="1" si="13"/>
        <v>-24.87</v>
      </c>
      <c r="T47" s="14">
        <f t="shared" ca="1" si="13"/>
        <v>-23.27</v>
      </c>
      <c r="U47" s="14">
        <f t="shared" ca="1" si="13"/>
        <v>-21.74</v>
      </c>
      <c r="V47" s="14">
        <f t="shared" ca="1" si="13"/>
        <v>-20.27</v>
      </c>
      <c r="W47" s="14">
        <f t="shared" ca="1" si="13"/>
        <v>-18.87</v>
      </c>
      <c r="X47" s="14">
        <f t="shared" ca="1" si="13"/>
        <v>-17.54</v>
      </c>
      <c r="Y47" s="14">
        <f t="shared" ca="1" si="13"/>
        <v>-16.260000000000002</v>
      </c>
      <c r="Z47" s="14">
        <f t="shared" ca="1" si="13"/>
        <v>-15.05</v>
      </c>
      <c r="AA47" s="14">
        <f t="shared" ca="1" si="13"/>
        <v>-13.91</v>
      </c>
      <c r="AB47" s="14">
        <f t="shared" ca="1" si="13"/>
        <v>-10.79</v>
      </c>
      <c r="AC47" s="14">
        <f t="shared" ca="1" si="13"/>
        <v>-9.1989999999999998</v>
      </c>
      <c r="AD47" s="14">
        <f t="shared" ca="1" si="13"/>
        <v>-8.8740000000000006</v>
      </c>
      <c r="AE47" s="14">
        <f t="shared" ca="1" si="13"/>
        <v>-8.5730000000000004</v>
      </c>
      <c r="AF47" s="14">
        <f t="shared" ca="1" si="13"/>
        <v>-8.2949999999999999</v>
      </c>
      <c r="AG47" s="14">
        <f t="shared" ca="1" si="13"/>
        <v>-8.0359999999999996</v>
      </c>
      <c r="AH47" s="14">
        <f t="shared" ca="1" si="13"/>
        <v>-7.8040000000000003</v>
      </c>
      <c r="AI47" s="14">
        <f t="shared" ca="1" si="13"/>
        <v>-7.8559999999999999</v>
      </c>
      <c r="AJ47" s="14">
        <f t="shared" ca="1" si="13"/>
        <v>-7.915</v>
      </c>
      <c r="AK47" s="14">
        <f t="shared" ca="1" si="13"/>
        <v>-7.9720000000000004</v>
      </c>
      <c r="AL47" s="14">
        <f t="shared" ca="1" si="13"/>
        <v>-8.1969999999999992</v>
      </c>
    </row>
    <row r="48" spans="1:54" ht="21" customHeight="1" outlineLevel="1" thickBot="1" x14ac:dyDescent="0.4">
      <c r="A48" s="5">
        <f t="shared" si="11"/>
        <v>0</v>
      </c>
      <c r="B48" s="5">
        <f t="shared" si="11"/>
        <v>1</v>
      </c>
      <c r="C48" s="5">
        <f t="shared" si="11"/>
        <v>0</v>
      </c>
      <c r="D48" s="5">
        <f t="shared" si="11"/>
        <v>0</v>
      </c>
      <c r="E48" s="6" t="str">
        <f t="shared" si="11"/>
        <v>*Se[m]</v>
      </c>
      <c r="F48" s="14">
        <f t="shared" ca="1" si="12"/>
        <v>-23.56</v>
      </c>
      <c r="G48" s="14">
        <f t="shared" ca="1" si="13"/>
        <v>-22.53</v>
      </c>
      <c r="H48" s="14">
        <f t="shared" ca="1" si="13"/>
        <v>-21.75</v>
      </c>
      <c r="I48" s="14">
        <f t="shared" ca="1" si="13"/>
        <v>-21.28</v>
      </c>
      <c r="J48" s="14">
        <f t="shared" ca="1" si="13"/>
        <v>-21.09</v>
      </c>
      <c r="K48" s="14">
        <f t="shared" ca="1" si="13"/>
        <v>-21.65</v>
      </c>
      <c r="L48" s="14">
        <f t="shared" ca="1" si="13"/>
        <v>-21.85</v>
      </c>
      <c r="M48" s="14">
        <f t="shared" ca="1" si="13"/>
        <v>-22.03</v>
      </c>
      <c r="N48" s="14">
        <f t="shared" ca="1" si="13"/>
        <v>-22.18</v>
      </c>
      <c r="O48" s="14">
        <f t="shared" ca="1" si="13"/>
        <v>-22.32</v>
      </c>
      <c r="P48" s="14">
        <f t="shared" ca="1" si="13"/>
        <v>-22.47</v>
      </c>
      <c r="Q48" s="14">
        <f t="shared" ca="1" si="13"/>
        <v>-22.65</v>
      </c>
      <c r="R48" s="14">
        <f t="shared" ca="1" si="13"/>
        <v>-22.86</v>
      </c>
      <c r="S48" s="14">
        <f t="shared" ca="1" si="13"/>
        <v>-23.08</v>
      </c>
      <c r="T48" s="14">
        <f t="shared" ca="1" si="13"/>
        <v>-23.31</v>
      </c>
      <c r="U48" s="14">
        <f t="shared" ca="1" si="13"/>
        <v>-23.54</v>
      </c>
      <c r="V48" s="14">
        <f t="shared" ca="1" si="13"/>
        <v>-23.78</v>
      </c>
      <c r="W48" s="14">
        <f t="shared" ca="1" si="13"/>
        <v>-24.01</v>
      </c>
      <c r="X48" s="14">
        <f t="shared" ca="1" si="13"/>
        <v>-24.25</v>
      </c>
      <c r="Y48" s="14">
        <f t="shared" ca="1" si="13"/>
        <v>-24.48</v>
      </c>
      <c r="Z48" s="14">
        <f t="shared" ca="1" si="13"/>
        <v>-24.71</v>
      </c>
      <c r="AA48" s="14">
        <f t="shared" ca="1" si="13"/>
        <v>-24.94</v>
      </c>
      <c r="AB48" s="14">
        <f t="shared" ca="1" si="13"/>
        <v>-25.82</v>
      </c>
      <c r="AC48" s="14">
        <f t="shared" ca="1" si="13"/>
        <v>-26.68</v>
      </c>
      <c r="AD48" s="14">
        <f t="shared" ca="1" si="13"/>
        <v>-26.9</v>
      </c>
      <c r="AE48" s="14">
        <f t="shared" ca="1" si="13"/>
        <v>-27.11</v>
      </c>
      <c r="AF48" s="14">
        <f t="shared" ca="1" si="13"/>
        <v>-27.32</v>
      </c>
      <c r="AG48" s="14">
        <f t="shared" ca="1" si="13"/>
        <v>-27.52</v>
      </c>
      <c r="AH48" s="14">
        <f t="shared" ca="1" si="13"/>
        <v>-27.73</v>
      </c>
      <c r="AI48" s="14">
        <f t="shared" ca="1" si="13"/>
        <v>-27.92</v>
      </c>
      <c r="AJ48" s="14">
        <f t="shared" ca="1" si="13"/>
        <v>-28.11</v>
      </c>
      <c r="AK48" s="14">
        <f t="shared" ca="1" si="13"/>
        <v>-28.3</v>
      </c>
      <c r="AL48" s="14">
        <f t="shared" ca="1" si="13"/>
        <v>-29.08</v>
      </c>
    </row>
    <row r="49" spans="1:38" ht="21" customHeight="1" outlineLevel="1" thickBot="1" x14ac:dyDescent="0.4">
      <c r="A49" s="5">
        <f t="shared" si="11"/>
        <v>0</v>
      </c>
      <c r="B49" s="5">
        <f t="shared" si="11"/>
        <v>2</v>
      </c>
      <c r="C49" s="5">
        <f t="shared" si="11"/>
        <v>1</v>
      </c>
      <c r="D49" s="5">
        <f t="shared" si="11"/>
        <v>0</v>
      </c>
      <c r="E49" s="6" t="str">
        <f t="shared" si="11"/>
        <v>*GeSe2</v>
      </c>
      <c r="F49" s="14">
        <f t="shared" ca="1" si="12"/>
        <v>-64.099999999999994</v>
      </c>
      <c r="G49" s="14">
        <f t="shared" ca="1" si="13"/>
        <v>-61.3</v>
      </c>
      <c r="H49" s="14">
        <f t="shared" ca="1" si="13"/>
        <v>-58.92</v>
      </c>
      <c r="I49" s="14">
        <f t="shared" ca="1" si="13"/>
        <v>-57.02</v>
      </c>
      <c r="J49" s="14">
        <f t="shared" ca="1" si="13"/>
        <v>-55.54</v>
      </c>
      <c r="K49" s="14">
        <f t="shared" ca="1" si="13"/>
        <v>-52.265999999999998</v>
      </c>
      <c r="L49" s="14">
        <f t="shared" ca="1" si="13"/>
        <v>-51.777000000000001</v>
      </c>
      <c r="M49" s="14">
        <f t="shared" ca="1" si="13"/>
        <v>-51.394000000000005</v>
      </c>
      <c r="N49" s="14">
        <f t="shared" ca="1" si="13"/>
        <v>-51.119</v>
      </c>
      <c r="O49" s="14">
        <f t="shared" ca="1" si="13"/>
        <v>-50.99</v>
      </c>
      <c r="P49" s="14">
        <f t="shared" ca="1" si="13"/>
        <v>-51.027000000000001</v>
      </c>
      <c r="Q49" s="14">
        <f t="shared" ca="1" si="13"/>
        <v>-51.238</v>
      </c>
      <c r="R49" s="14">
        <f t="shared" ca="1" si="13"/>
        <v>-51.589999999999996</v>
      </c>
      <c r="S49" s="14">
        <f t="shared" ca="1" si="13"/>
        <v>-52.012</v>
      </c>
      <c r="T49" s="14">
        <f t="shared" ca="1" si="13"/>
        <v>-52.480999999999995</v>
      </c>
      <c r="U49" s="14">
        <f t="shared" ca="1" si="13"/>
        <v>-52.966000000000001</v>
      </c>
      <c r="V49" s="14">
        <f t="shared" ca="1" si="13"/>
        <v>-53.478000000000002</v>
      </c>
      <c r="W49" s="14">
        <f t="shared" ca="1" si="13"/>
        <v>-53.975000000000001</v>
      </c>
      <c r="X49" s="14">
        <f t="shared" ca="1" si="13"/>
        <v>-54.493000000000002</v>
      </c>
      <c r="Y49" s="14">
        <f t="shared" ca="1" si="13"/>
        <v>-54.993000000000002</v>
      </c>
      <c r="Z49" s="14">
        <f t="shared" ca="1" si="13"/>
        <v>-55.494</v>
      </c>
      <c r="AA49" s="14">
        <f t="shared" ca="1" si="13"/>
        <v>-55.998000000000005</v>
      </c>
      <c r="AB49" s="14">
        <f t="shared" ca="1" si="13"/>
        <v>-57.972000000000001</v>
      </c>
      <c r="AC49" s="14">
        <f t="shared" ca="1" si="13"/>
        <v>-59.868000000000002</v>
      </c>
      <c r="AD49" s="14">
        <f t="shared" ca="1" si="13"/>
        <v>-60.350999999999999</v>
      </c>
      <c r="AE49" s="14">
        <f t="shared" ca="1" si="13"/>
        <v>-60.814</v>
      </c>
      <c r="AF49" s="14">
        <f t="shared" ca="1" si="13"/>
        <v>-61.276000000000003</v>
      </c>
      <c r="AG49" s="14">
        <f t="shared" ca="1" si="13"/>
        <v>-61.717999999999996</v>
      </c>
      <c r="AH49" s="14">
        <f t="shared" ca="1" si="13"/>
        <v>-62.179000000000002</v>
      </c>
      <c r="AI49" s="14">
        <f t="shared" ca="1" si="13"/>
        <v>-62.591000000000001</v>
      </c>
      <c r="AJ49" s="14">
        <f t="shared" ca="1" si="13"/>
        <v>-63.003999999999998</v>
      </c>
      <c r="AK49" s="14">
        <f t="shared" ca="1" si="13"/>
        <v>-63.417000000000002</v>
      </c>
      <c r="AL49" s="14">
        <f t="shared" ca="1" si="13"/>
        <v>-65.11399999999999</v>
      </c>
    </row>
    <row r="50" spans="1:38" ht="21" customHeight="1" outlineLevel="1" thickBot="1" x14ac:dyDescent="0.4">
      <c r="A50" s="5">
        <f t="shared" si="11"/>
        <v>0</v>
      </c>
      <c r="B50" s="5">
        <f t="shared" si="11"/>
        <v>3</v>
      </c>
      <c r="C50" s="5">
        <f t="shared" si="11"/>
        <v>0</v>
      </c>
      <c r="D50" s="5">
        <f t="shared" si="11"/>
        <v>2</v>
      </c>
      <c r="E50" s="6" t="str">
        <f t="shared" si="11"/>
        <v>Ga2Se3</v>
      </c>
      <c r="F50" s="14">
        <f t="shared" ca="1" si="12"/>
        <v>-204.92000000000002</v>
      </c>
      <c r="G50" s="14">
        <f t="shared" ca="1" si="13"/>
        <v>-194.63</v>
      </c>
      <c r="H50" s="14">
        <f t="shared" ca="1" si="13"/>
        <v>-185.49</v>
      </c>
      <c r="I50" s="14">
        <f t="shared" ca="1" si="13"/>
        <v>-177.36</v>
      </c>
      <c r="J50" s="14">
        <f t="shared" ca="1" si="13"/>
        <v>-170.07</v>
      </c>
      <c r="K50" s="14">
        <f t="shared" ca="1" si="13"/>
        <v>-147.02999999999997</v>
      </c>
      <c r="L50" s="14">
        <f t="shared" ca="1" si="13"/>
        <v>-142.45000000000002</v>
      </c>
      <c r="M50" s="14">
        <f t="shared" ca="1" si="13"/>
        <v>-138.25</v>
      </c>
      <c r="N50" s="14">
        <f t="shared" ca="1" si="13"/>
        <v>-134.39999999999998</v>
      </c>
      <c r="O50" s="14">
        <f t="shared" ca="1" si="13"/>
        <v>-130.84</v>
      </c>
      <c r="P50" s="14">
        <f t="shared" ca="1" si="13"/>
        <v>-127.55</v>
      </c>
      <c r="Q50" s="14">
        <f t="shared" ca="1" si="13"/>
        <v>-124.50999999999999</v>
      </c>
      <c r="R50" s="14">
        <f t="shared" ca="1" si="13"/>
        <v>-121.66</v>
      </c>
      <c r="S50" s="14">
        <f t="shared" ca="1" si="13"/>
        <v>-118.97999999999999</v>
      </c>
      <c r="T50" s="14">
        <f t="shared" ca="1" si="13"/>
        <v>-116.47</v>
      </c>
      <c r="U50" s="14">
        <f t="shared" ca="1" si="13"/>
        <v>-114.1</v>
      </c>
      <c r="V50" s="14">
        <f t="shared" ca="1" si="13"/>
        <v>-111.88</v>
      </c>
      <c r="W50" s="14">
        <f t="shared" ca="1" si="13"/>
        <v>-109.77000000000001</v>
      </c>
      <c r="X50" s="14">
        <f t="shared" ca="1" si="13"/>
        <v>-107.83</v>
      </c>
      <c r="Y50" s="14">
        <f t="shared" ca="1" si="13"/>
        <v>-105.96000000000001</v>
      </c>
      <c r="Z50" s="14">
        <f t="shared" ca="1" si="13"/>
        <v>-104.22999999999999</v>
      </c>
      <c r="AA50" s="14">
        <f t="shared" ca="1" si="13"/>
        <v>-102.64000000000001</v>
      </c>
      <c r="AB50" s="14">
        <f t="shared" ca="1" si="13"/>
        <v>-99.04</v>
      </c>
      <c r="AC50" s="14">
        <f t="shared" ca="1" si="13"/>
        <v>-98.437999999999988</v>
      </c>
      <c r="AD50" s="14">
        <f t="shared" ca="1" si="13"/>
        <v>-98.447999999999993</v>
      </c>
      <c r="AE50" s="14">
        <f t="shared" ca="1" si="13"/>
        <v>-98.475999999999999</v>
      </c>
      <c r="AF50" s="14">
        <f t="shared" ca="1" si="13"/>
        <v>-98.550000000000011</v>
      </c>
      <c r="AG50" s="14">
        <f t="shared" ca="1" si="13"/>
        <v>-98.632000000000005</v>
      </c>
      <c r="AH50" s="14">
        <f t="shared" ca="1" si="13"/>
        <v>-98.798000000000002</v>
      </c>
      <c r="AI50" s="14">
        <f t="shared" ca="1" si="13"/>
        <v>-99.472000000000008</v>
      </c>
      <c r="AJ50" s="14">
        <f t="shared" ca="1" si="13"/>
        <v>-100.16</v>
      </c>
      <c r="AK50" s="14">
        <f t="shared" ca="1" si="13"/>
        <v>-100.84400000000001</v>
      </c>
      <c r="AL50" s="14">
        <f t="shared" ca="1" si="13"/>
        <v>-103.63399999999999</v>
      </c>
    </row>
    <row r="51" spans="1:38" ht="21" customHeight="1" outlineLevel="1" thickBot="1" x14ac:dyDescent="0.4">
      <c r="A51" s="5">
        <f t="shared" si="11"/>
        <v>0</v>
      </c>
      <c r="B51" s="5">
        <f t="shared" si="11"/>
        <v>1</v>
      </c>
      <c r="C51" s="5">
        <f t="shared" si="11"/>
        <v>0</v>
      </c>
      <c r="D51" s="5">
        <f t="shared" si="11"/>
        <v>2</v>
      </c>
      <c r="E51" s="6" t="str">
        <f t="shared" si="11"/>
        <v>Ga2Se</v>
      </c>
      <c r="F51" s="14">
        <f t="shared" ca="1" si="12"/>
        <v>-157.80000000000001</v>
      </c>
      <c r="G51" s="14">
        <f t="shared" ca="1" si="13"/>
        <v>-149.57</v>
      </c>
      <c r="H51" s="14">
        <f t="shared" ca="1" si="13"/>
        <v>-141.99</v>
      </c>
      <c r="I51" s="14">
        <f t="shared" ca="1" si="13"/>
        <v>-134.80000000000001</v>
      </c>
      <c r="J51" s="14">
        <f t="shared" ca="1" si="13"/>
        <v>-127.89</v>
      </c>
      <c r="K51" s="14">
        <f t="shared" ca="1" si="13"/>
        <v>-103.72999999999999</v>
      </c>
      <c r="L51" s="14">
        <f t="shared" ca="1" si="13"/>
        <v>-98.75</v>
      </c>
      <c r="M51" s="14">
        <f t="shared" ca="1" si="13"/>
        <v>-94.19</v>
      </c>
      <c r="N51" s="14">
        <f t="shared" ca="1" si="13"/>
        <v>-90.039999999999992</v>
      </c>
      <c r="O51" s="14">
        <f t="shared" ca="1" si="13"/>
        <v>-86.2</v>
      </c>
      <c r="P51" s="14">
        <f t="shared" ca="1" si="13"/>
        <v>-82.61</v>
      </c>
      <c r="Q51" s="14">
        <f t="shared" ca="1" si="13"/>
        <v>-79.210000000000008</v>
      </c>
      <c r="R51" s="14">
        <f t="shared" ca="1" si="13"/>
        <v>-75.94</v>
      </c>
      <c r="S51" s="14">
        <f t="shared" ca="1" si="13"/>
        <v>-72.819999999999993</v>
      </c>
      <c r="T51" s="14">
        <f t="shared" ca="1" si="13"/>
        <v>-69.849999999999994</v>
      </c>
      <c r="U51" s="14">
        <f t="shared" ca="1" si="13"/>
        <v>-67.02</v>
      </c>
      <c r="V51" s="14">
        <f t="shared" ca="1" si="13"/>
        <v>-64.319999999999993</v>
      </c>
      <c r="W51" s="14">
        <f t="shared" ca="1" si="13"/>
        <v>-61.75</v>
      </c>
      <c r="X51" s="14">
        <f t="shared" ca="1" si="13"/>
        <v>-59.33</v>
      </c>
      <c r="Y51" s="14">
        <f t="shared" ca="1" si="13"/>
        <v>-57</v>
      </c>
      <c r="Z51" s="14">
        <f t="shared" ca="1" si="13"/>
        <v>-54.81</v>
      </c>
      <c r="AA51" s="14">
        <f t="shared" ca="1" si="13"/>
        <v>-52.760000000000005</v>
      </c>
      <c r="AB51" s="14">
        <f t="shared" ca="1" si="13"/>
        <v>-47.4</v>
      </c>
      <c r="AC51" s="14">
        <f t="shared" ca="1" si="13"/>
        <v>-45.078000000000003</v>
      </c>
      <c r="AD51" s="14">
        <f t="shared" ca="1" si="13"/>
        <v>-44.647999999999996</v>
      </c>
      <c r="AE51" s="14">
        <f t="shared" ca="1" si="13"/>
        <v>-44.256</v>
      </c>
      <c r="AF51" s="14">
        <f t="shared" ca="1" si="13"/>
        <v>-43.91</v>
      </c>
      <c r="AG51" s="14">
        <f t="shared" ca="1" si="13"/>
        <v>-43.591999999999999</v>
      </c>
      <c r="AH51" s="14">
        <f t="shared" ca="1" si="13"/>
        <v>-43.338000000000001</v>
      </c>
      <c r="AI51" s="14">
        <f t="shared" ca="1" si="13"/>
        <v>-43.632000000000005</v>
      </c>
      <c r="AJ51" s="14">
        <f t="shared" ca="1" si="13"/>
        <v>-43.94</v>
      </c>
      <c r="AK51" s="14">
        <f t="shared" ca="1" si="13"/>
        <v>-44.244</v>
      </c>
      <c r="AL51" s="14">
        <f t="shared" ca="1" si="13"/>
        <v>-45.473999999999997</v>
      </c>
    </row>
    <row r="52" spans="1:38" ht="21" customHeight="1" outlineLevel="1" thickBot="1" x14ac:dyDescent="0.4">
      <c r="A52" s="5">
        <f t="shared" si="11"/>
        <v>0</v>
      </c>
      <c r="B52" s="5">
        <f t="shared" si="11"/>
        <v>0</v>
      </c>
      <c r="C52" s="5">
        <f t="shared" si="11"/>
        <v>0</v>
      </c>
      <c r="D52" s="5">
        <f t="shared" si="11"/>
        <v>1</v>
      </c>
      <c r="E52" s="6" t="str">
        <f t="shared" si="11"/>
        <v>Ga</v>
      </c>
      <c r="F52" s="14">
        <f t="shared" ca="1" si="12"/>
        <v>-67.12</v>
      </c>
      <c r="G52" s="14">
        <f t="shared" ca="1" si="13"/>
        <v>-63.52</v>
      </c>
      <c r="H52" s="14">
        <f t="shared" ca="1" si="13"/>
        <v>-60.12</v>
      </c>
      <c r="I52" s="14">
        <f t="shared" ca="1" si="13"/>
        <v>-56.76</v>
      </c>
      <c r="J52" s="14">
        <f t="shared" ca="1" si="13"/>
        <v>-53.4</v>
      </c>
      <c r="K52" s="14">
        <f t="shared" ca="1" si="13"/>
        <v>-41.04</v>
      </c>
      <c r="L52" s="14">
        <f t="shared" ca="1" si="13"/>
        <v>-38.450000000000003</v>
      </c>
      <c r="M52" s="14">
        <f t="shared" ca="1" si="13"/>
        <v>-36.08</v>
      </c>
      <c r="N52" s="14">
        <f t="shared" ca="1" si="13"/>
        <v>-33.93</v>
      </c>
      <c r="O52" s="14">
        <f t="shared" ca="1" si="13"/>
        <v>-31.94</v>
      </c>
      <c r="P52" s="14">
        <f t="shared" ca="1" si="13"/>
        <v>-30.07</v>
      </c>
      <c r="Q52" s="14">
        <f t="shared" ca="1" si="13"/>
        <v>-28.28</v>
      </c>
      <c r="R52" s="14">
        <f t="shared" ca="1" si="13"/>
        <v>-26.54</v>
      </c>
      <c r="S52" s="14">
        <f t="shared" ca="1" si="13"/>
        <v>-24.87</v>
      </c>
      <c r="T52" s="14">
        <f t="shared" ca="1" si="13"/>
        <v>-23.27</v>
      </c>
      <c r="U52" s="14">
        <f t="shared" ca="1" si="13"/>
        <v>-21.74</v>
      </c>
      <c r="V52" s="14">
        <f t="shared" ca="1" si="13"/>
        <v>-20.27</v>
      </c>
      <c r="W52" s="14">
        <f t="shared" ca="1" si="13"/>
        <v>-18.87</v>
      </c>
      <c r="X52" s="14">
        <f t="shared" ca="1" si="13"/>
        <v>-17.54</v>
      </c>
      <c r="Y52" s="14">
        <f t="shared" ca="1" si="13"/>
        <v>-16.260000000000002</v>
      </c>
      <c r="Z52" s="14">
        <f t="shared" ca="1" si="13"/>
        <v>-15.05</v>
      </c>
      <c r="AA52" s="14">
        <f t="shared" ca="1" si="13"/>
        <v>-13.91</v>
      </c>
      <c r="AB52" s="14">
        <f t="shared" ca="1" si="13"/>
        <v>-10.79</v>
      </c>
      <c r="AC52" s="14">
        <f t="shared" ca="1" si="13"/>
        <v>-9.1989999999999998</v>
      </c>
      <c r="AD52" s="14">
        <f t="shared" ca="1" si="13"/>
        <v>-8.8740000000000006</v>
      </c>
      <c r="AE52" s="14">
        <f t="shared" ca="1" si="13"/>
        <v>-8.5730000000000004</v>
      </c>
      <c r="AF52" s="14">
        <f t="shared" ca="1" si="13"/>
        <v>-8.2949999999999999</v>
      </c>
      <c r="AG52" s="14">
        <f t="shared" ca="1" si="13"/>
        <v>-8.0359999999999996</v>
      </c>
      <c r="AH52" s="14">
        <f t="shared" ca="1" si="13"/>
        <v>-7.8040000000000003</v>
      </c>
      <c r="AI52" s="14">
        <f t="shared" ca="1" si="13"/>
        <v>-7.8559999999999999</v>
      </c>
      <c r="AJ52" s="14">
        <f t="shared" ca="1" si="13"/>
        <v>-7.915</v>
      </c>
      <c r="AK52" s="14">
        <f t="shared" ca="1" si="13"/>
        <v>-7.9720000000000004</v>
      </c>
      <c r="AL52" s="14">
        <f t="shared" ca="1" si="13"/>
        <v>-8.1969999999999992</v>
      </c>
    </row>
    <row r="53" spans="1:38" ht="21" customHeight="1" outlineLevel="1" thickBot="1" x14ac:dyDescent="0.4">
      <c r="A53" s="5">
        <f t="shared" si="11"/>
        <v>1</v>
      </c>
      <c r="B53" s="5">
        <f t="shared" si="11"/>
        <v>0</v>
      </c>
      <c r="C53" s="5">
        <f t="shared" si="11"/>
        <v>0</v>
      </c>
      <c r="D53" s="5">
        <f t="shared" si="11"/>
        <v>0</v>
      </c>
      <c r="E53" s="6" t="str">
        <f t="shared" si="11"/>
        <v>Ar</v>
      </c>
      <c r="F53" s="14">
        <f t="shared" ca="1" si="12"/>
        <v>-18.66</v>
      </c>
      <c r="G53" s="14">
        <f t="shared" ca="1" si="13"/>
        <v>-18.649999999999999</v>
      </c>
      <c r="H53" s="14">
        <f t="shared" ca="1" si="13"/>
        <v>-18.649999999999999</v>
      </c>
      <c r="I53" s="14">
        <f t="shared" ca="1" si="13"/>
        <v>-18.66</v>
      </c>
      <c r="J53" s="14">
        <f t="shared" ca="1" si="13"/>
        <v>-18.670000000000002</v>
      </c>
      <c r="K53" s="14">
        <f t="shared" ca="1" si="13"/>
        <v>-18.75</v>
      </c>
      <c r="L53" s="14">
        <f t="shared" ca="1" si="13"/>
        <v>-18.78</v>
      </c>
      <c r="M53" s="14">
        <f t="shared" ca="1" si="13"/>
        <v>-18.809999999999999</v>
      </c>
      <c r="N53" s="14">
        <f t="shared" ca="1" si="13"/>
        <v>-18.829999999999998</v>
      </c>
      <c r="O53" s="14">
        <f t="shared" ca="1" si="13"/>
        <v>-18.86</v>
      </c>
      <c r="P53" s="14">
        <f t="shared" ca="1" si="13"/>
        <v>-18.899999999999999</v>
      </c>
      <c r="Q53" s="14">
        <f t="shared" ca="1" si="13"/>
        <v>-18.93</v>
      </c>
      <c r="R53" s="14">
        <f t="shared" ca="1" si="13"/>
        <v>-18.96</v>
      </c>
      <c r="S53" s="14">
        <f t="shared" ca="1" si="13"/>
        <v>-18.989999999999998</v>
      </c>
      <c r="T53" s="14">
        <f t="shared" ca="1" si="13"/>
        <v>-19.03</v>
      </c>
      <c r="U53" s="14">
        <f t="shared" ca="1" si="13"/>
        <v>-19.059999999999999</v>
      </c>
      <c r="V53" s="14">
        <f t="shared" ca="1" si="13"/>
        <v>-19.100000000000001</v>
      </c>
      <c r="W53" s="14">
        <f t="shared" ca="1" si="13"/>
        <v>-19.13</v>
      </c>
      <c r="X53" s="14">
        <f t="shared" ca="1" si="13"/>
        <v>-19.170000000000002</v>
      </c>
      <c r="Y53" s="14">
        <f t="shared" ca="1" si="13"/>
        <v>-19.2</v>
      </c>
      <c r="Z53" s="14">
        <f t="shared" ca="1" si="13"/>
        <v>-19.23</v>
      </c>
      <c r="AA53" s="14">
        <f t="shared" ca="1" si="13"/>
        <v>-19.27</v>
      </c>
      <c r="AB53" s="14">
        <f t="shared" ca="1" si="13"/>
        <v>-19.38</v>
      </c>
      <c r="AC53" s="14">
        <f t="shared" ca="1" si="13"/>
        <v>-19.510000000000002</v>
      </c>
      <c r="AD53" s="14">
        <f t="shared" ca="1" si="13"/>
        <v>-19.55</v>
      </c>
      <c r="AE53" s="14">
        <f t="shared" ca="1" si="13"/>
        <v>-19.579999999999998</v>
      </c>
      <c r="AF53" s="14">
        <f t="shared" ca="1" si="13"/>
        <v>-19.61</v>
      </c>
      <c r="AG53" s="14">
        <f t="shared" ca="1" si="13"/>
        <v>-19.64</v>
      </c>
      <c r="AH53" s="14">
        <f t="shared" ca="1" si="13"/>
        <v>-19.670000000000002</v>
      </c>
      <c r="AI53" s="14">
        <f t="shared" ca="1" si="13"/>
        <v>-19.7</v>
      </c>
      <c r="AJ53" s="14">
        <f t="shared" ca="1" si="13"/>
        <v>-19.73</v>
      </c>
      <c r="AK53" s="14">
        <f t="shared" ca="1" si="13"/>
        <v>-19.760000000000002</v>
      </c>
      <c r="AL53" s="14">
        <f t="shared" ca="1" si="13"/>
        <v>-19.88</v>
      </c>
    </row>
    <row r="54" spans="1:38" ht="21" customHeight="1" outlineLevel="1" thickBot="1" x14ac:dyDescent="0.4">
      <c r="A54" s="5">
        <f t="shared" si="11"/>
        <v>0</v>
      </c>
      <c r="B54" s="5">
        <f t="shared" si="11"/>
        <v>2</v>
      </c>
      <c r="C54" s="5">
        <f t="shared" si="11"/>
        <v>1</v>
      </c>
      <c r="D54" s="5">
        <f t="shared" si="11"/>
        <v>0</v>
      </c>
      <c r="E54" s="6" t="str">
        <f t="shared" si="11"/>
        <v>(1)GeSe2</v>
      </c>
      <c r="F54" s="14">
        <f t="shared" ca="1" si="12"/>
        <v>-64.099999999999994</v>
      </c>
      <c r="G54" s="14">
        <f t="shared" ca="1" si="13"/>
        <v>-61.3</v>
      </c>
      <c r="H54" s="14">
        <f t="shared" ca="1" si="13"/>
        <v>-58.92</v>
      </c>
      <c r="I54" s="14">
        <f t="shared" ca="1" si="13"/>
        <v>-57.02</v>
      </c>
      <c r="J54" s="14">
        <f t="shared" ca="1" si="13"/>
        <v>-55.54</v>
      </c>
      <c r="K54" s="14">
        <f t="shared" ca="1" si="13"/>
        <v>-52.265999999999998</v>
      </c>
      <c r="L54" s="14">
        <f t="shared" ca="1" si="13"/>
        <v>-51.777000000000001</v>
      </c>
      <c r="M54" s="14">
        <f t="shared" ca="1" si="13"/>
        <v>-51.394000000000005</v>
      </c>
      <c r="N54" s="14">
        <f t="shared" ca="1" si="13"/>
        <v>-51.119</v>
      </c>
      <c r="O54" s="14">
        <f t="shared" ca="1" si="13"/>
        <v>-50.99</v>
      </c>
      <c r="P54" s="14">
        <f t="shared" ca="1" si="13"/>
        <v>-51.027000000000001</v>
      </c>
      <c r="Q54" s="14">
        <f t="shared" ca="1" si="13"/>
        <v>-51.238</v>
      </c>
      <c r="R54" s="14">
        <f t="shared" ca="1" si="13"/>
        <v>-51.589999999999996</v>
      </c>
      <c r="S54" s="14">
        <f t="shared" ca="1" si="13"/>
        <v>-52.012</v>
      </c>
      <c r="T54" s="14">
        <f t="shared" ca="1" si="13"/>
        <v>-52.480999999999995</v>
      </c>
      <c r="U54" s="14">
        <f t="shared" ref="G54:AL62" ca="1" si="14">$A54*H.Ar + $B54*H.Se + $C54*H.Ge + $D54*H.Ga</f>
        <v>-52.966000000000001</v>
      </c>
      <c r="V54" s="14">
        <f t="shared" ca="1" si="14"/>
        <v>-53.478000000000002</v>
      </c>
      <c r="W54" s="14">
        <f t="shared" ca="1" si="14"/>
        <v>-53.975000000000001</v>
      </c>
      <c r="X54" s="14">
        <f t="shared" ca="1" si="14"/>
        <v>-54.493000000000002</v>
      </c>
      <c r="Y54" s="14">
        <f t="shared" ca="1" si="14"/>
        <v>-54.993000000000002</v>
      </c>
      <c r="Z54" s="14">
        <f t="shared" ca="1" si="14"/>
        <v>-55.494</v>
      </c>
      <c r="AA54" s="14">
        <f t="shared" ca="1" si="14"/>
        <v>-55.998000000000005</v>
      </c>
      <c r="AB54" s="14">
        <f t="shared" ca="1" si="14"/>
        <v>-57.972000000000001</v>
      </c>
      <c r="AC54" s="14">
        <f t="shared" ca="1" si="14"/>
        <v>-59.868000000000002</v>
      </c>
      <c r="AD54" s="14">
        <f t="shared" ca="1" si="14"/>
        <v>-60.350999999999999</v>
      </c>
      <c r="AE54" s="14">
        <f t="shared" ca="1" si="14"/>
        <v>-60.814</v>
      </c>
      <c r="AF54" s="14">
        <f t="shared" ca="1" si="14"/>
        <v>-61.276000000000003</v>
      </c>
      <c r="AG54" s="14">
        <f t="shared" ca="1" si="14"/>
        <v>-61.717999999999996</v>
      </c>
      <c r="AH54" s="14">
        <f t="shared" ca="1" si="14"/>
        <v>-62.179000000000002</v>
      </c>
      <c r="AI54" s="14">
        <f t="shared" ca="1" si="14"/>
        <v>-62.591000000000001</v>
      </c>
      <c r="AJ54" s="14">
        <f t="shared" ca="1" si="14"/>
        <v>-63.003999999999998</v>
      </c>
      <c r="AK54" s="14">
        <f t="shared" ca="1" si="14"/>
        <v>-63.417000000000002</v>
      </c>
      <c r="AL54" s="14">
        <f t="shared" ca="1" si="14"/>
        <v>-65.11399999999999</v>
      </c>
    </row>
    <row r="55" spans="1:38" ht="21" customHeight="1" outlineLevel="1" thickBot="1" x14ac:dyDescent="0.4">
      <c r="A55" s="5">
        <f t="shared" si="11"/>
        <v>0</v>
      </c>
      <c r="B55" s="5">
        <f t="shared" si="11"/>
        <v>1</v>
      </c>
      <c r="C55" s="5">
        <f t="shared" si="11"/>
        <v>1</v>
      </c>
      <c r="D55" s="5">
        <f t="shared" si="11"/>
        <v>0</v>
      </c>
      <c r="E55" s="6" t="str">
        <f t="shared" si="11"/>
        <v>(1)GeSe</v>
      </c>
      <c r="F55" s="14">
        <f t="shared" ca="1" si="12"/>
        <v>-40.54</v>
      </c>
      <c r="G55" s="14">
        <f t="shared" ca="1" si="14"/>
        <v>-38.769999999999996</v>
      </c>
      <c r="H55" s="14">
        <f t="shared" ca="1" si="14"/>
        <v>-37.17</v>
      </c>
      <c r="I55" s="14">
        <f t="shared" ca="1" si="14"/>
        <v>-35.74</v>
      </c>
      <c r="J55" s="14">
        <f t="shared" ca="1" si="14"/>
        <v>-34.450000000000003</v>
      </c>
      <c r="K55" s="14">
        <f t="shared" ca="1" si="14"/>
        <v>-30.616</v>
      </c>
      <c r="L55" s="14">
        <f t="shared" ca="1" si="14"/>
        <v>-29.927</v>
      </c>
      <c r="M55" s="14">
        <f t="shared" ca="1" si="14"/>
        <v>-29.364000000000001</v>
      </c>
      <c r="N55" s="14">
        <f t="shared" ca="1" si="14"/>
        <v>-28.939</v>
      </c>
      <c r="O55" s="14">
        <f t="shared" ca="1" si="14"/>
        <v>-28.67</v>
      </c>
      <c r="P55" s="14">
        <f t="shared" ca="1" si="14"/>
        <v>-28.556999999999999</v>
      </c>
      <c r="Q55" s="14">
        <f t="shared" ca="1" si="14"/>
        <v>-28.587999999999997</v>
      </c>
      <c r="R55" s="14">
        <f t="shared" ca="1" si="14"/>
        <v>-28.73</v>
      </c>
      <c r="S55" s="14">
        <f t="shared" ca="1" si="14"/>
        <v>-28.931999999999999</v>
      </c>
      <c r="T55" s="14">
        <f t="shared" ca="1" si="14"/>
        <v>-29.170999999999999</v>
      </c>
      <c r="U55" s="14">
        <f t="shared" ca="1" si="14"/>
        <v>-29.425999999999998</v>
      </c>
      <c r="V55" s="14">
        <f t="shared" ca="1" si="14"/>
        <v>-29.698</v>
      </c>
      <c r="W55" s="14">
        <f t="shared" ca="1" si="14"/>
        <v>-29.965000000000003</v>
      </c>
      <c r="X55" s="14">
        <f t="shared" ca="1" si="14"/>
        <v>-30.243000000000002</v>
      </c>
      <c r="Y55" s="14">
        <f t="shared" ca="1" si="14"/>
        <v>-30.513000000000002</v>
      </c>
      <c r="Z55" s="14">
        <f t="shared" ca="1" si="14"/>
        <v>-30.783999999999999</v>
      </c>
      <c r="AA55" s="14">
        <f t="shared" ca="1" si="14"/>
        <v>-31.058</v>
      </c>
      <c r="AB55" s="14">
        <f t="shared" ca="1" si="14"/>
        <v>-32.152000000000001</v>
      </c>
      <c r="AC55" s="14">
        <f t="shared" ca="1" si="14"/>
        <v>-33.188000000000002</v>
      </c>
      <c r="AD55" s="14">
        <f t="shared" ca="1" si="14"/>
        <v>-33.451000000000001</v>
      </c>
      <c r="AE55" s="14">
        <f t="shared" ca="1" si="14"/>
        <v>-33.704000000000001</v>
      </c>
      <c r="AF55" s="14">
        <f t="shared" ca="1" si="14"/>
        <v>-33.956000000000003</v>
      </c>
      <c r="AG55" s="14">
        <f t="shared" ca="1" si="14"/>
        <v>-34.198</v>
      </c>
      <c r="AH55" s="14">
        <f t="shared" ca="1" si="14"/>
        <v>-34.448999999999998</v>
      </c>
      <c r="AI55" s="14">
        <f t="shared" ca="1" si="14"/>
        <v>-34.670999999999999</v>
      </c>
      <c r="AJ55" s="14">
        <f t="shared" ca="1" si="14"/>
        <v>-34.893999999999998</v>
      </c>
      <c r="AK55" s="14">
        <f t="shared" ca="1" si="14"/>
        <v>-35.117000000000004</v>
      </c>
      <c r="AL55" s="14">
        <f t="shared" ca="1" si="14"/>
        <v>-36.033999999999999</v>
      </c>
    </row>
    <row r="56" spans="1:38" ht="21" customHeight="1" outlineLevel="1" thickBot="1" x14ac:dyDescent="0.4">
      <c r="A56" s="5">
        <f t="shared" ref="A56:E65" si="15">A14</f>
        <v>0</v>
      </c>
      <c r="B56" s="5">
        <f t="shared" si="15"/>
        <v>3</v>
      </c>
      <c r="C56" s="5">
        <f t="shared" si="15"/>
        <v>0</v>
      </c>
      <c r="D56" s="5">
        <f t="shared" si="15"/>
        <v>2</v>
      </c>
      <c r="E56" s="6" t="str">
        <f t="shared" si="15"/>
        <v>(1)Ga2Se3</v>
      </c>
      <c r="F56" s="14">
        <f t="shared" ref="F56:U65" ca="1" si="16">$A56*H.Ar + $B56*H.Se + $C56*H.Ge + $D56*H.Ga</f>
        <v>-204.92000000000002</v>
      </c>
      <c r="G56" s="14">
        <f t="shared" ca="1" si="16"/>
        <v>-194.63</v>
      </c>
      <c r="H56" s="14">
        <f t="shared" ca="1" si="16"/>
        <v>-185.49</v>
      </c>
      <c r="I56" s="14">
        <f t="shared" ca="1" si="16"/>
        <v>-177.36</v>
      </c>
      <c r="J56" s="14">
        <f t="shared" ca="1" si="16"/>
        <v>-170.07</v>
      </c>
      <c r="K56" s="14">
        <f t="shared" ca="1" si="16"/>
        <v>-147.02999999999997</v>
      </c>
      <c r="L56" s="14">
        <f t="shared" ca="1" si="16"/>
        <v>-142.45000000000002</v>
      </c>
      <c r="M56" s="14">
        <f t="shared" ca="1" si="16"/>
        <v>-138.25</v>
      </c>
      <c r="N56" s="14">
        <f t="shared" ca="1" si="16"/>
        <v>-134.39999999999998</v>
      </c>
      <c r="O56" s="14">
        <f t="shared" ca="1" si="16"/>
        <v>-130.84</v>
      </c>
      <c r="P56" s="14">
        <f t="shared" ca="1" si="16"/>
        <v>-127.55</v>
      </c>
      <c r="Q56" s="14">
        <f t="shared" ca="1" si="16"/>
        <v>-124.50999999999999</v>
      </c>
      <c r="R56" s="14">
        <f t="shared" ca="1" si="16"/>
        <v>-121.66</v>
      </c>
      <c r="S56" s="14">
        <f t="shared" ca="1" si="16"/>
        <v>-118.97999999999999</v>
      </c>
      <c r="T56" s="14">
        <f t="shared" ca="1" si="16"/>
        <v>-116.47</v>
      </c>
      <c r="U56" s="14">
        <f t="shared" ca="1" si="16"/>
        <v>-114.1</v>
      </c>
      <c r="V56" s="14">
        <f t="shared" ca="1" si="14"/>
        <v>-111.88</v>
      </c>
      <c r="W56" s="14">
        <f t="shared" ca="1" si="14"/>
        <v>-109.77000000000001</v>
      </c>
      <c r="X56" s="14">
        <f t="shared" ca="1" si="14"/>
        <v>-107.83</v>
      </c>
      <c r="Y56" s="14">
        <f t="shared" ca="1" si="14"/>
        <v>-105.96000000000001</v>
      </c>
      <c r="Z56" s="14">
        <f t="shared" ca="1" si="14"/>
        <v>-104.22999999999999</v>
      </c>
      <c r="AA56" s="14">
        <f t="shared" ca="1" si="14"/>
        <v>-102.64000000000001</v>
      </c>
      <c r="AB56" s="14">
        <f t="shared" ca="1" si="14"/>
        <v>-99.04</v>
      </c>
      <c r="AC56" s="14">
        <f t="shared" ca="1" si="14"/>
        <v>-98.437999999999988</v>
      </c>
      <c r="AD56" s="14">
        <f t="shared" ca="1" si="14"/>
        <v>-98.447999999999993</v>
      </c>
      <c r="AE56" s="14">
        <f t="shared" ca="1" si="14"/>
        <v>-98.475999999999999</v>
      </c>
      <c r="AF56" s="14">
        <f t="shared" ca="1" si="14"/>
        <v>-98.550000000000011</v>
      </c>
      <c r="AG56" s="14">
        <f t="shared" ca="1" si="14"/>
        <v>-98.632000000000005</v>
      </c>
      <c r="AH56" s="14">
        <f t="shared" ca="1" si="14"/>
        <v>-98.798000000000002</v>
      </c>
      <c r="AI56" s="14">
        <f t="shared" ca="1" si="14"/>
        <v>-99.472000000000008</v>
      </c>
      <c r="AJ56" s="14">
        <f t="shared" ca="1" si="14"/>
        <v>-100.16</v>
      </c>
      <c r="AK56" s="14">
        <f t="shared" ca="1" si="14"/>
        <v>-100.84400000000001</v>
      </c>
      <c r="AL56" s="14">
        <f t="shared" ca="1" si="14"/>
        <v>-103.63399999999999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1</v>
      </c>
      <c r="C57" s="5">
        <f t="shared" si="15"/>
        <v>0</v>
      </c>
      <c r="D57" s="5">
        <f t="shared" si="15"/>
        <v>2</v>
      </c>
      <c r="E57" s="6" t="str">
        <f t="shared" si="15"/>
        <v>(1)Ga2Se</v>
      </c>
      <c r="F57" s="14">
        <f t="shared" ca="1" si="16"/>
        <v>-157.80000000000001</v>
      </c>
      <c r="G57" s="14">
        <f t="shared" ca="1" si="14"/>
        <v>-149.57</v>
      </c>
      <c r="H57" s="14">
        <f t="shared" ca="1" si="14"/>
        <v>-141.99</v>
      </c>
      <c r="I57" s="14">
        <f t="shared" ca="1" si="14"/>
        <v>-134.80000000000001</v>
      </c>
      <c r="J57" s="14">
        <f t="shared" ca="1" si="14"/>
        <v>-127.89</v>
      </c>
      <c r="K57" s="14">
        <f t="shared" ca="1" si="14"/>
        <v>-103.72999999999999</v>
      </c>
      <c r="L57" s="14">
        <f t="shared" ca="1" si="14"/>
        <v>-98.75</v>
      </c>
      <c r="M57" s="14">
        <f t="shared" ca="1" si="14"/>
        <v>-94.19</v>
      </c>
      <c r="N57" s="14">
        <f t="shared" ca="1" si="14"/>
        <v>-90.039999999999992</v>
      </c>
      <c r="O57" s="14">
        <f t="shared" ca="1" si="14"/>
        <v>-86.2</v>
      </c>
      <c r="P57" s="14">
        <f t="shared" ca="1" si="14"/>
        <v>-82.61</v>
      </c>
      <c r="Q57" s="14">
        <f t="shared" ca="1" si="14"/>
        <v>-79.210000000000008</v>
      </c>
      <c r="R57" s="14">
        <f t="shared" ca="1" si="14"/>
        <v>-75.94</v>
      </c>
      <c r="S57" s="14">
        <f t="shared" ca="1" si="14"/>
        <v>-72.819999999999993</v>
      </c>
      <c r="T57" s="14">
        <f t="shared" ca="1" si="14"/>
        <v>-69.849999999999994</v>
      </c>
      <c r="U57" s="14">
        <f t="shared" ca="1" si="14"/>
        <v>-67.02</v>
      </c>
      <c r="V57" s="14">
        <f t="shared" ca="1" si="14"/>
        <v>-64.319999999999993</v>
      </c>
      <c r="W57" s="14">
        <f t="shared" ca="1" si="14"/>
        <v>-61.75</v>
      </c>
      <c r="X57" s="14">
        <f t="shared" ca="1" si="14"/>
        <v>-59.33</v>
      </c>
      <c r="Y57" s="14">
        <f t="shared" ca="1" si="14"/>
        <v>-57</v>
      </c>
      <c r="Z57" s="14">
        <f t="shared" ca="1" si="14"/>
        <v>-54.81</v>
      </c>
      <c r="AA57" s="14">
        <f t="shared" ca="1" si="14"/>
        <v>-52.760000000000005</v>
      </c>
      <c r="AB57" s="14">
        <f t="shared" ca="1" si="14"/>
        <v>-47.4</v>
      </c>
      <c r="AC57" s="14">
        <f t="shared" ca="1" si="14"/>
        <v>-45.078000000000003</v>
      </c>
      <c r="AD57" s="14">
        <f t="shared" ca="1" si="14"/>
        <v>-44.647999999999996</v>
      </c>
      <c r="AE57" s="14">
        <f t="shared" ca="1" si="14"/>
        <v>-44.256</v>
      </c>
      <c r="AF57" s="14">
        <f t="shared" ca="1" si="14"/>
        <v>-43.91</v>
      </c>
      <c r="AG57" s="14">
        <f t="shared" ca="1" si="14"/>
        <v>-43.591999999999999</v>
      </c>
      <c r="AH57" s="14">
        <f t="shared" ca="1" si="14"/>
        <v>-43.338000000000001</v>
      </c>
      <c r="AI57" s="14">
        <f t="shared" ca="1" si="14"/>
        <v>-43.632000000000005</v>
      </c>
      <c r="AJ57" s="14">
        <f t="shared" ca="1" si="14"/>
        <v>-43.94</v>
      </c>
      <c r="AK57" s="14">
        <f t="shared" ca="1" si="14"/>
        <v>-44.244</v>
      </c>
      <c r="AL57" s="14">
        <f t="shared" ca="1" si="14"/>
        <v>-45.473999999999997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</v>
      </c>
      <c r="F58" s="14">
        <f t="shared" ca="1" si="16"/>
        <v>-16.98</v>
      </c>
      <c r="G58" s="14">
        <f t="shared" ca="1" si="14"/>
        <v>-16.239999999999998</v>
      </c>
      <c r="H58" s="14">
        <f t="shared" ca="1" si="14"/>
        <v>-15.42</v>
      </c>
      <c r="I58" s="14">
        <f t="shared" ca="1" si="14"/>
        <v>-14.46</v>
      </c>
      <c r="J58" s="14">
        <f t="shared" ca="1" si="14"/>
        <v>-13.36</v>
      </c>
      <c r="K58" s="14">
        <f t="shared" ca="1" si="14"/>
        <v>-8.9659999999999993</v>
      </c>
      <c r="L58" s="14">
        <f t="shared" ca="1" si="14"/>
        <v>-8.077</v>
      </c>
      <c r="M58" s="14">
        <f t="shared" ca="1" si="14"/>
        <v>-7.3339999999999996</v>
      </c>
      <c r="N58" s="14">
        <f t="shared" ca="1" si="14"/>
        <v>-6.7590000000000003</v>
      </c>
      <c r="O58" s="14">
        <f t="shared" ca="1" si="14"/>
        <v>-6.35</v>
      </c>
      <c r="P58" s="14">
        <f t="shared" ca="1" si="14"/>
        <v>-6.0869999999999997</v>
      </c>
      <c r="Q58" s="14">
        <f t="shared" ca="1" si="14"/>
        <v>-5.9379999999999997</v>
      </c>
      <c r="R58" s="14">
        <f t="shared" ca="1" si="14"/>
        <v>-5.87</v>
      </c>
      <c r="S58" s="14">
        <f t="shared" ca="1" si="14"/>
        <v>-5.8520000000000003</v>
      </c>
      <c r="T58" s="14">
        <f t="shared" ca="1" si="14"/>
        <v>-5.8609999999999998</v>
      </c>
      <c r="U58" s="14">
        <f t="shared" ca="1" si="14"/>
        <v>-5.8860000000000001</v>
      </c>
      <c r="V58" s="14">
        <f t="shared" ca="1" si="14"/>
        <v>-5.9180000000000001</v>
      </c>
      <c r="W58" s="14">
        <f t="shared" ca="1" si="14"/>
        <v>-5.9550000000000001</v>
      </c>
      <c r="X58" s="14">
        <f t="shared" ca="1" si="14"/>
        <v>-5.9930000000000003</v>
      </c>
      <c r="Y58" s="14">
        <f t="shared" ca="1" si="14"/>
        <v>-6.0330000000000004</v>
      </c>
      <c r="Z58" s="14">
        <f t="shared" ca="1" si="14"/>
        <v>-6.0739999999999998</v>
      </c>
      <c r="AA58" s="14">
        <f t="shared" ca="1" si="14"/>
        <v>-6.1180000000000003</v>
      </c>
      <c r="AB58" s="14">
        <f t="shared" ca="1" si="14"/>
        <v>-6.3319999999999999</v>
      </c>
      <c r="AC58" s="14">
        <f t="shared" ca="1" si="14"/>
        <v>-6.508</v>
      </c>
      <c r="AD58" s="14">
        <f t="shared" ca="1" si="14"/>
        <v>-6.5510000000000002</v>
      </c>
      <c r="AE58" s="14">
        <f t="shared" ca="1" si="14"/>
        <v>-6.5940000000000003</v>
      </c>
      <c r="AF58" s="14">
        <f t="shared" ca="1" si="14"/>
        <v>-6.6360000000000001</v>
      </c>
      <c r="AG58" s="14">
        <f t="shared" ca="1" si="14"/>
        <v>-6.6779999999999999</v>
      </c>
      <c r="AH58" s="14">
        <f t="shared" ca="1" si="14"/>
        <v>-6.7190000000000003</v>
      </c>
      <c r="AI58" s="14">
        <f t="shared" ca="1" si="14"/>
        <v>-6.7510000000000003</v>
      </c>
      <c r="AJ58" s="14">
        <f t="shared" ca="1" si="14"/>
        <v>-6.7839999999999998</v>
      </c>
      <c r="AK58" s="14">
        <f t="shared" ca="1" si="14"/>
        <v>-6.8170000000000002</v>
      </c>
      <c r="AL58" s="14">
        <f t="shared" ca="1" si="14"/>
        <v>-6.9539999999999997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1</v>
      </c>
      <c r="E59" s="6" t="str">
        <f t="shared" si="15"/>
        <v>(1)Ga</v>
      </c>
      <c r="F59" s="14">
        <f t="shared" ca="1" si="16"/>
        <v>-67.12</v>
      </c>
      <c r="G59" s="14">
        <f t="shared" ca="1" si="14"/>
        <v>-63.52</v>
      </c>
      <c r="H59" s="14">
        <f t="shared" ca="1" si="14"/>
        <v>-60.12</v>
      </c>
      <c r="I59" s="14">
        <f t="shared" ca="1" si="14"/>
        <v>-56.76</v>
      </c>
      <c r="J59" s="14">
        <f t="shared" ca="1" si="14"/>
        <v>-53.4</v>
      </c>
      <c r="K59" s="14">
        <f t="shared" ca="1" si="14"/>
        <v>-41.04</v>
      </c>
      <c r="L59" s="14">
        <f t="shared" ca="1" si="14"/>
        <v>-38.450000000000003</v>
      </c>
      <c r="M59" s="14">
        <f t="shared" ca="1" si="14"/>
        <v>-36.08</v>
      </c>
      <c r="N59" s="14">
        <f t="shared" ca="1" si="14"/>
        <v>-33.93</v>
      </c>
      <c r="O59" s="14">
        <f t="shared" ca="1" si="14"/>
        <v>-31.94</v>
      </c>
      <c r="P59" s="14">
        <f t="shared" ca="1" si="14"/>
        <v>-30.07</v>
      </c>
      <c r="Q59" s="14">
        <f t="shared" ca="1" si="14"/>
        <v>-28.28</v>
      </c>
      <c r="R59" s="14">
        <f t="shared" ca="1" si="14"/>
        <v>-26.54</v>
      </c>
      <c r="S59" s="14">
        <f t="shared" ca="1" si="14"/>
        <v>-24.87</v>
      </c>
      <c r="T59" s="14">
        <f t="shared" ca="1" si="14"/>
        <v>-23.27</v>
      </c>
      <c r="U59" s="14">
        <f t="shared" ca="1" si="14"/>
        <v>-21.74</v>
      </c>
      <c r="V59" s="14">
        <f t="shared" ca="1" si="14"/>
        <v>-20.27</v>
      </c>
      <c r="W59" s="14">
        <f t="shared" ca="1" si="14"/>
        <v>-18.87</v>
      </c>
      <c r="X59" s="14">
        <f t="shared" ca="1" si="14"/>
        <v>-17.54</v>
      </c>
      <c r="Y59" s="14">
        <f t="shared" ca="1" si="14"/>
        <v>-16.260000000000002</v>
      </c>
      <c r="Z59" s="14">
        <f t="shared" ca="1" si="14"/>
        <v>-15.05</v>
      </c>
      <c r="AA59" s="14">
        <f t="shared" ca="1" si="14"/>
        <v>-13.91</v>
      </c>
      <c r="AB59" s="14">
        <f t="shared" ca="1" si="14"/>
        <v>-10.79</v>
      </c>
      <c r="AC59" s="14">
        <f t="shared" ca="1" si="14"/>
        <v>-9.1989999999999998</v>
      </c>
      <c r="AD59" s="14">
        <f t="shared" ca="1" si="14"/>
        <v>-8.8740000000000006</v>
      </c>
      <c r="AE59" s="14">
        <f t="shared" ca="1" si="14"/>
        <v>-8.5730000000000004</v>
      </c>
      <c r="AF59" s="14">
        <f t="shared" ca="1" si="14"/>
        <v>-8.2949999999999999</v>
      </c>
      <c r="AG59" s="14">
        <f t="shared" ca="1" si="14"/>
        <v>-8.0359999999999996</v>
      </c>
      <c r="AH59" s="14">
        <f t="shared" ca="1" si="14"/>
        <v>-7.8040000000000003</v>
      </c>
      <c r="AI59" s="14">
        <f t="shared" ca="1" si="14"/>
        <v>-7.8559999999999999</v>
      </c>
      <c r="AJ59" s="14">
        <f t="shared" ca="1" si="14"/>
        <v>-7.915</v>
      </c>
      <c r="AK59" s="14">
        <f t="shared" ca="1" si="14"/>
        <v>-7.9720000000000004</v>
      </c>
      <c r="AL59" s="14">
        <f t="shared" ca="1" si="14"/>
        <v>-8.1969999999999992</v>
      </c>
    </row>
    <row r="60" spans="1:38" ht="21" customHeight="1" outlineLevel="1" thickBot="1" x14ac:dyDescent="0.4">
      <c r="A60" s="5">
        <f t="shared" si="15"/>
        <v>0</v>
      </c>
      <c r="B60" s="5">
        <f t="shared" si="15"/>
        <v>1</v>
      </c>
      <c r="C60" s="5">
        <f t="shared" si="15"/>
        <v>0</v>
      </c>
      <c r="D60" s="5">
        <f t="shared" si="15"/>
        <v>0</v>
      </c>
      <c r="E60" s="6" t="str">
        <f t="shared" si="15"/>
        <v>(1)Se</v>
      </c>
      <c r="F60" s="14">
        <f t="shared" ca="1" si="16"/>
        <v>-23.56</v>
      </c>
      <c r="G60" s="14">
        <f t="shared" ca="1" si="14"/>
        <v>-22.53</v>
      </c>
      <c r="H60" s="14">
        <f t="shared" ca="1" si="14"/>
        <v>-21.75</v>
      </c>
      <c r="I60" s="14">
        <f t="shared" ca="1" si="14"/>
        <v>-21.28</v>
      </c>
      <c r="J60" s="14">
        <f t="shared" ca="1" si="14"/>
        <v>-21.09</v>
      </c>
      <c r="K60" s="14">
        <f t="shared" ca="1" si="14"/>
        <v>-21.65</v>
      </c>
      <c r="L60" s="14">
        <f t="shared" ca="1" si="14"/>
        <v>-21.85</v>
      </c>
      <c r="M60" s="14">
        <f t="shared" ca="1" si="14"/>
        <v>-22.03</v>
      </c>
      <c r="N60" s="14">
        <f t="shared" ca="1" si="14"/>
        <v>-22.18</v>
      </c>
      <c r="O60" s="14">
        <f t="shared" ca="1" si="14"/>
        <v>-22.32</v>
      </c>
      <c r="P60" s="14">
        <f t="shared" ca="1" si="14"/>
        <v>-22.47</v>
      </c>
      <c r="Q60" s="14">
        <f t="shared" ca="1" si="14"/>
        <v>-22.65</v>
      </c>
      <c r="R60" s="14">
        <f t="shared" ca="1" si="14"/>
        <v>-22.86</v>
      </c>
      <c r="S60" s="14">
        <f t="shared" ca="1" si="14"/>
        <v>-23.08</v>
      </c>
      <c r="T60" s="14">
        <f t="shared" ca="1" si="14"/>
        <v>-23.31</v>
      </c>
      <c r="U60" s="14">
        <f t="shared" ca="1" si="14"/>
        <v>-23.54</v>
      </c>
      <c r="V60" s="14">
        <f t="shared" ca="1" si="14"/>
        <v>-23.78</v>
      </c>
      <c r="W60" s="14">
        <f t="shared" ca="1" si="14"/>
        <v>-24.01</v>
      </c>
      <c r="X60" s="14">
        <f t="shared" ca="1" si="14"/>
        <v>-24.25</v>
      </c>
      <c r="Y60" s="14">
        <f t="shared" ca="1" si="14"/>
        <v>-24.48</v>
      </c>
      <c r="Z60" s="14">
        <f t="shared" ca="1" si="14"/>
        <v>-24.71</v>
      </c>
      <c r="AA60" s="14">
        <f t="shared" ca="1" si="14"/>
        <v>-24.94</v>
      </c>
      <c r="AB60" s="14">
        <f t="shared" ca="1" si="14"/>
        <v>-25.82</v>
      </c>
      <c r="AC60" s="14">
        <f t="shared" ca="1" si="14"/>
        <v>-26.68</v>
      </c>
      <c r="AD60" s="14">
        <f t="shared" ca="1" si="14"/>
        <v>-26.9</v>
      </c>
      <c r="AE60" s="14">
        <f t="shared" ca="1" si="14"/>
        <v>-27.11</v>
      </c>
      <c r="AF60" s="14">
        <f t="shared" ca="1" si="14"/>
        <v>-27.32</v>
      </c>
      <c r="AG60" s="14">
        <f t="shared" ca="1" si="14"/>
        <v>-27.52</v>
      </c>
      <c r="AH60" s="14">
        <f t="shared" ca="1" si="14"/>
        <v>-27.73</v>
      </c>
      <c r="AI60" s="14">
        <f t="shared" ca="1" si="14"/>
        <v>-27.92</v>
      </c>
      <c r="AJ60" s="14">
        <f t="shared" ca="1" si="14"/>
        <v>-28.11</v>
      </c>
      <c r="AK60" s="14">
        <f t="shared" ca="1" si="14"/>
        <v>-28.3</v>
      </c>
      <c r="AL60" s="14">
        <f t="shared" ca="1" si="14"/>
        <v>-29.08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(1)Se[a]</v>
      </c>
      <c r="F61" s="14">
        <f t="shared" ca="1" si="16"/>
        <v>-23.56</v>
      </c>
      <c r="G61" s="14">
        <f t="shared" ca="1" si="14"/>
        <v>-22.53</v>
      </c>
      <c r="H61" s="14">
        <f t="shared" ca="1" si="14"/>
        <v>-21.75</v>
      </c>
      <c r="I61" s="14">
        <f t="shared" ca="1" si="14"/>
        <v>-21.28</v>
      </c>
      <c r="J61" s="14">
        <f t="shared" ca="1" si="14"/>
        <v>-21.09</v>
      </c>
      <c r="K61" s="14">
        <f t="shared" ca="1" si="14"/>
        <v>-21.65</v>
      </c>
      <c r="L61" s="14">
        <f t="shared" ca="1" si="14"/>
        <v>-21.85</v>
      </c>
      <c r="M61" s="14">
        <f t="shared" ca="1" si="14"/>
        <v>-22.03</v>
      </c>
      <c r="N61" s="14">
        <f t="shared" ca="1" si="14"/>
        <v>-22.18</v>
      </c>
      <c r="O61" s="14">
        <f t="shared" ca="1" si="14"/>
        <v>-22.32</v>
      </c>
      <c r="P61" s="14">
        <f t="shared" ca="1" si="14"/>
        <v>-22.47</v>
      </c>
      <c r="Q61" s="14">
        <f t="shared" ca="1" si="14"/>
        <v>-22.65</v>
      </c>
      <c r="R61" s="14">
        <f t="shared" ca="1" si="14"/>
        <v>-22.86</v>
      </c>
      <c r="S61" s="14">
        <f t="shared" ca="1" si="14"/>
        <v>-23.08</v>
      </c>
      <c r="T61" s="14">
        <f t="shared" ca="1" si="14"/>
        <v>-23.31</v>
      </c>
      <c r="U61" s="14">
        <f t="shared" ca="1" si="14"/>
        <v>-23.54</v>
      </c>
      <c r="V61" s="14">
        <f t="shared" ca="1" si="14"/>
        <v>-23.78</v>
      </c>
      <c r="W61" s="14">
        <f t="shared" ca="1" si="14"/>
        <v>-24.01</v>
      </c>
      <c r="X61" s="14">
        <f t="shared" ca="1" si="14"/>
        <v>-24.25</v>
      </c>
      <c r="Y61" s="14">
        <f t="shared" ca="1" si="14"/>
        <v>-24.48</v>
      </c>
      <c r="Z61" s="14">
        <f t="shared" ca="1" si="14"/>
        <v>-24.71</v>
      </c>
      <c r="AA61" s="14">
        <f t="shared" ca="1" si="14"/>
        <v>-24.94</v>
      </c>
      <c r="AB61" s="14">
        <f t="shared" ca="1" si="14"/>
        <v>-25.82</v>
      </c>
      <c r="AC61" s="14">
        <f t="shared" ca="1" si="14"/>
        <v>-26.68</v>
      </c>
      <c r="AD61" s="14">
        <f t="shared" ca="1" si="14"/>
        <v>-26.9</v>
      </c>
      <c r="AE61" s="14">
        <f t="shared" ca="1" si="14"/>
        <v>-27.11</v>
      </c>
      <c r="AF61" s="14">
        <f t="shared" ca="1" si="14"/>
        <v>-27.32</v>
      </c>
      <c r="AG61" s="14">
        <f t="shared" ca="1" si="14"/>
        <v>-27.52</v>
      </c>
      <c r="AH61" s="14">
        <f t="shared" ca="1" si="14"/>
        <v>-27.73</v>
      </c>
      <c r="AI61" s="14">
        <f t="shared" ca="1" si="14"/>
        <v>-27.92</v>
      </c>
      <c r="AJ61" s="14">
        <f t="shared" ca="1" si="14"/>
        <v>-28.11</v>
      </c>
      <c r="AK61" s="14">
        <f t="shared" ca="1" si="14"/>
        <v>-28.3</v>
      </c>
      <c r="AL61" s="14">
        <f t="shared" ca="1" si="14"/>
        <v>-29.08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(1)Se[m]</v>
      </c>
      <c r="F62" s="14">
        <f t="shared" ca="1" si="16"/>
        <v>-23.56</v>
      </c>
      <c r="G62" s="14">
        <f t="shared" ca="1" si="14"/>
        <v>-22.53</v>
      </c>
      <c r="H62" s="14">
        <f t="shared" ca="1" si="14"/>
        <v>-21.75</v>
      </c>
      <c r="I62" s="14">
        <f t="shared" ca="1" si="14"/>
        <v>-21.28</v>
      </c>
      <c r="J62" s="14">
        <f t="shared" ca="1" si="14"/>
        <v>-21.09</v>
      </c>
      <c r="K62" s="14">
        <f t="shared" ca="1" si="14"/>
        <v>-21.65</v>
      </c>
      <c r="L62" s="14">
        <f t="shared" ca="1" si="14"/>
        <v>-21.85</v>
      </c>
      <c r="M62" s="14">
        <f t="shared" ca="1" si="14"/>
        <v>-22.03</v>
      </c>
      <c r="N62" s="14">
        <f t="shared" ca="1" si="14"/>
        <v>-22.18</v>
      </c>
      <c r="O62" s="14">
        <f t="shared" ca="1" si="14"/>
        <v>-22.32</v>
      </c>
      <c r="P62" s="14">
        <f t="shared" ca="1" si="14"/>
        <v>-22.47</v>
      </c>
      <c r="Q62" s="14">
        <f t="shared" ca="1" si="14"/>
        <v>-22.65</v>
      </c>
      <c r="R62" s="14">
        <f t="shared" ca="1" si="14"/>
        <v>-22.86</v>
      </c>
      <c r="S62" s="14">
        <f t="shared" ca="1" si="14"/>
        <v>-23.08</v>
      </c>
      <c r="T62" s="14">
        <f t="shared" ca="1" si="14"/>
        <v>-23.31</v>
      </c>
      <c r="U62" s="14">
        <f t="shared" ca="1" si="14"/>
        <v>-23.54</v>
      </c>
      <c r="V62" s="14">
        <f t="shared" ca="1" si="14"/>
        <v>-23.78</v>
      </c>
      <c r="W62" s="14">
        <f t="shared" ca="1" si="14"/>
        <v>-24.01</v>
      </c>
      <c r="X62" s="14">
        <f t="shared" ca="1" si="14"/>
        <v>-24.25</v>
      </c>
      <c r="Y62" s="14">
        <f t="shared" ca="1" si="14"/>
        <v>-24.48</v>
      </c>
      <c r="Z62" s="14">
        <f t="shared" ca="1" si="14"/>
        <v>-24.71</v>
      </c>
      <c r="AA62" s="14">
        <f t="shared" ca="1" si="14"/>
        <v>-24.94</v>
      </c>
      <c r="AB62" s="14">
        <f t="shared" ca="1" si="14"/>
        <v>-25.82</v>
      </c>
      <c r="AC62" s="14">
        <f t="shared" ca="1" si="14"/>
        <v>-26.68</v>
      </c>
      <c r="AD62" s="14">
        <f t="shared" ca="1" si="14"/>
        <v>-26.9</v>
      </c>
      <c r="AE62" s="14">
        <f t="shared" ca="1" si="14"/>
        <v>-27.11</v>
      </c>
      <c r="AF62" s="14">
        <f t="shared" ca="1" si="14"/>
        <v>-27.32</v>
      </c>
      <c r="AG62" s="14">
        <f t="shared" ca="1" si="14"/>
        <v>-27.52</v>
      </c>
      <c r="AH62" s="14">
        <f t="shared" ca="1" si="14"/>
        <v>-27.73</v>
      </c>
      <c r="AI62" s="14">
        <f t="shared" ref="G62:AL71" ca="1" si="17">$A62*H.Ar + $B62*H.Se + $C62*H.Ge + $D62*H.Ga</f>
        <v>-27.92</v>
      </c>
      <c r="AJ62" s="14">
        <f t="shared" ca="1" si="17"/>
        <v>-28.11</v>
      </c>
      <c r="AK62" s="14">
        <f t="shared" ca="1" si="17"/>
        <v>-28.3</v>
      </c>
      <c r="AL62" s="14">
        <f t="shared" ca="1" si="17"/>
        <v>-29.08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(1)Se[r]</v>
      </c>
      <c r="F63" s="14">
        <f t="shared" ca="1" si="16"/>
        <v>-23.56</v>
      </c>
      <c r="G63" s="14">
        <f t="shared" ca="1" si="17"/>
        <v>-22.53</v>
      </c>
      <c r="H63" s="14">
        <f t="shared" ca="1" si="17"/>
        <v>-21.75</v>
      </c>
      <c r="I63" s="14">
        <f t="shared" ca="1" si="17"/>
        <v>-21.28</v>
      </c>
      <c r="J63" s="14">
        <f t="shared" ca="1" si="17"/>
        <v>-21.09</v>
      </c>
      <c r="K63" s="14">
        <f t="shared" ca="1" si="17"/>
        <v>-21.65</v>
      </c>
      <c r="L63" s="14">
        <f t="shared" ca="1" si="17"/>
        <v>-21.85</v>
      </c>
      <c r="M63" s="14">
        <f t="shared" ca="1" si="17"/>
        <v>-22.03</v>
      </c>
      <c r="N63" s="14">
        <f t="shared" ca="1" si="17"/>
        <v>-22.18</v>
      </c>
      <c r="O63" s="14">
        <f t="shared" ca="1" si="17"/>
        <v>-22.32</v>
      </c>
      <c r="P63" s="14">
        <f t="shared" ca="1" si="17"/>
        <v>-22.47</v>
      </c>
      <c r="Q63" s="14">
        <f t="shared" ca="1" si="17"/>
        <v>-22.65</v>
      </c>
      <c r="R63" s="14">
        <f t="shared" ca="1" si="17"/>
        <v>-22.86</v>
      </c>
      <c r="S63" s="14">
        <f t="shared" ca="1" si="17"/>
        <v>-23.08</v>
      </c>
      <c r="T63" s="14">
        <f t="shared" ca="1" si="17"/>
        <v>-23.31</v>
      </c>
      <c r="U63" s="14">
        <f t="shared" ca="1" si="17"/>
        <v>-23.54</v>
      </c>
      <c r="V63" s="14">
        <f t="shared" ca="1" si="17"/>
        <v>-23.78</v>
      </c>
      <c r="W63" s="14">
        <f t="shared" ca="1" si="17"/>
        <v>-24.01</v>
      </c>
      <c r="X63" s="14">
        <f t="shared" ca="1" si="17"/>
        <v>-24.25</v>
      </c>
      <c r="Y63" s="14">
        <f t="shared" ca="1" si="17"/>
        <v>-24.48</v>
      </c>
      <c r="Z63" s="14">
        <f t="shared" ca="1" si="17"/>
        <v>-24.71</v>
      </c>
      <c r="AA63" s="14">
        <f t="shared" ca="1" si="17"/>
        <v>-24.94</v>
      </c>
      <c r="AB63" s="14">
        <f t="shared" ca="1" si="17"/>
        <v>-25.82</v>
      </c>
      <c r="AC63" s="14">
        <f t="shared" ca="1" si="17"/>
        <v>-26.68</v>
      </c>
      <c r="AD63" s="14">
        <f t="shared" ca="1" si="17"/>
        <v>-26.9</v>
      </c>
      <c r="AE63" s="14">
        <f t="shared" ca="1" si="17"/>
        <v>-27.11</v>
      </c>
      <c r="AF63" s="14">
        <f t="shared" ca="1" si="17"/>
        <v>-27.32</v>
      </c>
      <c r="AG63" s="14">
        <f t="shared" ca="1" si="17"/>
        <v>-27.52</v>
      </c>
      <c r="AH63" s="14">
        <f t="shared" ca="1" si="17"/>
        <v>-27.73</v>
      </c>
      <c r="AI63" s="14">
        <f t="shared" ca="1" si="17"/>
        <v>-27.92</v>
      </c>
      <c r="AJ63" s="14">
        <f t="shared" ca="1" si="17"/>
        <v>-28.11</v>
      </c>
      <c r="AK63" s="14">
        <f t="shared" ca="1" si="17"/>
        <v>-28.3</v>
      </c>
      <c r="AL63" s="14">
        <f t="shared" ca="1" si="17"/>
        <v>-29.08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1</v>
      </c>
      <c r="D64" s="5">
        <f t="shared" si="15"/>
        <v>0</v>
      </c>
      <c r="E64" s="6" t="str">
        <f t="shared" si="15"/>
        <v>(1)Geic]</v>
      </c>
      <c r="F64" s="14">
        <f t="shared" ca="1" si="16"/>
        <v>-16.98</v>
      </c>
      <c r="G64" s="14">
        <f t="shared" ca="1" si="17"/>
        <v>-16.239999999999998</v>
      </c>
      <c r="H64" s="14">
        <f t="shared" ca="1" si="17"/>
        <v>-15.42</v>
      </c>
      <c r="I64" s="14">
        <f t="shared" ca="1" si="17"/>
        <v>-14.46</v>
      </c>
      <c r="J64" s="14">
        <f t="shared" ca="1" si="17"/>
        <v>-13.36</v>
      </c>
      <c r="K64" s="14">
        <f t="shared" ca="1" si="17"/>
        <v>-8.9659999999999993</v>
      </c>
      <c r="L64" s="14">
        <f t="shared" ca="1" si="17"/>
        <v>-8.077</v>
      </c>
      <c r="M64" s="14">
        <f t="shared" ca="1" si="17"/>
        <v>-7.3339999999999996</v>
      </c>
      <c r="N64" s="14">
        <f t="shared" ca="1" si="17"/>
        <v>-6.7590000000000003</v>
      </c>
      <c r="O64" s="14">
        <f t="shared" ca="1" si="17"/>
        <v>-6.35</v>
      </c>
      <c r="P64" s="14">
        <f t="shared" ca="1" si="17"/>
        <v>-6.0869999999999997</v>
      </c>
      <c r="Q64" s="14">
        <f t="shared" ca="1" si="17"/>
        <v>-5.9379999999999997</v>
      </c>
      <c r="R64" s="14">
        <f t="shared" ca="1" si="17"/>
        <v>-5.87</v>
      </c>
      <c r="S64" s="14">
        <f t="shared" ca="1" si="17"/>
        <v>-5.8520000000000003</v>
      </c>
      <c r="T64" s="14">
        <f t="shared" ca="1" si="17"/>
        <v>-5.8609999999999998</v>
      </c>
      <c r="U64" s="14">
        <f t="shared" ca="1" si="17"/>
        <v>-5.8860000000000001</v>
      </c>
      <c r="V64" s="14">
        <f t="shared" ca="1" si="17"/>
        <v>-5.9180000000000001</v>
      </c>
      <c r="W64" s="14">
        <f t="shared" ca="1" si="17"/>
        <v>-5.9550000000000001</v>
      </c>
      <c r="X64" s="14">
        <f t="shared" ca="1" si="17"/>
        <v>-5.9930000000000003</v>
      </c>
      <c r="Y64" s="14">
        <f t="shared" ca="1" si="17"/>
        <v>-6.0330000000000004</v>
      </c>
      <c r="Z64" s="14">
        <f t="shared" ca="1" si="17"/>
        <v>-6.0739999999999998</v>
      </c>
      <c r="AA64" s="14">
        <f t="shared" ca="1" si="17"/>
        <v>-6.1180000000000003</v>
      </c>
      <c r="AB64" s="14">
        <f t="shared" ca="1" si="17"/>
        <v>-6.3319999999999999</v>
      </c>
      <c r="AC64" s="14">
        <f t="shared" ca="1" si="17"/>
        <v>-6.508</v>
      </c>
      <c r="AD64" s="14">
        <f t="shared" ca="1" si="17"/>
        <v>-6.5510000000000002</v>
      </c>
      <c r="AE64" s="14">
        <f t="shared" ca="1" si="17"/>
        <v>-6.5940000000000003</v>
      </c>
      <c r="AF64" s="14">
        <f t="shared" ca="1" si="17"/>
        <v>-6.6360000000000001</v>
      </c>
      <c r="AG64" s="14">
        <f t="shared" ca="1" si="17"/>
        <v>-6.6779999999999999</v>
      </c>
      <c r="AH64" s="14">
        <f t="shared" ca="1" si="17"/>
        <v>-6.7190000000000003</v>
      </c>
      <c r="AI64" s="14">
        <f t="shared" ca="1" si="17"/>
        <v>-6.7510000000000003</v>
      </c>
      <c r="AJ64" s="14">
        <f t="shared" ca="1" si="17"/>
        <v>-6.7839999999999998</v>
      </c>
      <c r="AK64" s="14">
        <f t="shared" ca="1" si="17"/>
        <v>-6.8170000000000002</v>
      </c>
      <c r="AL64" s="14">
        <f t="shared" ca="1" si="17"/>
        <v>-6.9539999999999997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1</v>
      </c>
      <c r="E65" s="6" t="str">
        <f t="shared" si="15"/>
        <v>(3)Ga[1]</v>
      </c>
      <c r="F65" s="14">
        <f t="shared" ca="1" si="16"/>
        <v>-67.12</v>
      </c>
      <c r="G65" s="14">
        <f t="shared" ca="1" si="17"/>
        <v>-63.52</v>
      </c>
      <c r="H65" s="14">
        <f t="shared" ca="1" si="17"/>
        <v>-60.12</v>
      </c>
      <c r="I65" s="14">
        <f t="shared" ca="1" si="17"/>
        <v>-56.76</v>
      </c>
      <c r="J65" s="14">
        <f t="shared" ca="1" si="17"/>
        <v>-53.4</v>
      </c>
      <c r="K65" s="14">
        <f t="shared" ca="1" si="17"/>
        <v>-41.04</v>
      </c>
      <c r="L65" s="14">
        <f t="shared" ca="1" si="17"/>
        <v>-38.450000000000003</v>
      </c>
      <c r="M65" s="14">
        <f t="shared" ca="1" si="17"/>
        <v>-36.08</v>
      </c>
      <c r="N65" s="14">
        <f t="shared" ca="1" si="17"/>
        <v>-33.93</v>
      </c>
      <c r="O65" s="14">
        <f t="shared" ca="1" si="17"/>
        <v>-31.94</v>
      </c>
      <c r="P65" s="14">
        <f t="shared" ca="1" si="17"/>
        <v>-30.07</v>
      </c>
      <c r="Q65" s="14">
        <f t="shared" ca="1" si="17"/>
        <v>-28.28</v>
      </c>
      <c r="R65" s="14">
        <f t="shared" ca="1" si="17"/>
        <v>-26.54</v>
      </c>
      <c r="S65" s="14">
        <f t="shared" ca="1" si="17"/>
        <v>-24.87</v>
      </c>
      <c r="T65" s="14">
        <f t="shared" ca="1" si="17"/>
        <v>-23.27</v>
      </c>
      <c r="U65" s="14">
        <f t="shared" ca="1" si="17"/>
        <v>-21.74</v>
      </c>
      <c r="V65" s="14">
        <f t="shared" ca="1" si="17"/>
        <v>-20.27</v>
      </c>
      <c r="W65" s="14">
        <f t="shared" ca="1" si="17"/>
        <v>-18.87</v>
      </c>
      <c r="X65" s="14">
        <f t="shared" ca="1" si="17"/>
        <v>-17.54</v>
      </c>
      <c r="Y65" s="14">
        <f t="shared" ca="1" si="17"/>
        <v>-16.260000000000002</v>
      </c>
      <c r="Z65" s="14">
        <f t="shared" ca="1" si="17"/>
        <v>-15.05</v>
      </c>
      <c r="AA65" s="14">
        <f t="shared" ca="1" si="17"/>
        <v>-13.91</v>
      </c>
      <c r="AB65" s="14">
        <f t="shared" ca="1" si="17"/>
        <v>-10.79</v>
      </c>
      <c r="AC65" s="14">
        <f t="shared" ca="1" si="17"/>
        <v>-9.1989999999999998</v>
      </c>
      <c r="AD65" s="14">
        <f t="shared" ca="1" si="17"/>
        <v>-8.8740000000000006</v>
      </c>
      <c r="AE65" s="14">
        <f t="shared" ca="1" si="17"/>
        <v>-8.5730000000000004</v>
      </c>
      <c r="AF65" s="14">
        <f t="shared" ca="1" si="17"/>
        <v>-8.2949999999999999</v>
      </c>
      <c r="AG65" s="14">
        <f t="shared" ca="1" si="17"/>
        <v>-8.0359999999999996</v>
      </c>
      <c r="AH65" s="14">
        <f t="shared" ca="1" si="17"/>
        <v>-7.8040000000000003</v>
      </c>
      <c r="AI65" s="14">
        <f t="shared" ca="1" si="17"/>
        <v>-7.8559999999999999</v>
      </c>
      <c r="AJ65" s="14">
        <f t="shared" ca="1" si="17"/>
        <v>-7.915</v>
      </c>
      <c r="AK65" s="14">
        <f t="shared" ca="1" si="17"/>
        <v>-7.9720000000000004</v>
      </c>
      <c r="AL65" s="14">
        <f t="shared" ca="1" si="17"/>
        <v>-8.1969999999999992</v>
      </c>
    </row>
    <row r="66" spans="1:54" ht="2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1</v>
      </c>
      <c r="D66" s="5">
        <f t="shared" si="18"/>
        <v>0</v>
      </c>
      <c r="E66" s="6" t="str">
        <f t="shared" si="18"/>
        <v>(3)Ge[1]</v>
      </c>
      <c r="F66" s="14">
        <f t="shared" ref="F66:U74" ca="1" si="19">$A66*H.Ar + $B66*H.Se + $C66*H.Ge + $D66*H.Ga</f>
        <v>-16.98</v>
      </c>
      <c r="G66" s="14">
        <f t="shared" ca="1" si="19"/>
        <v>-16.239999999999998</v>
      </c>
      <c r="H66" s="14">
        <f t="shared" ca="1" si="19"/>
        <v>-15.42</v>
      </c>
      <c r="I66" s="14">
        <f t="shared" ca="1" si="19"/>
        <v>-14.46</v>
      </c>
      <c r="J66" s="14">
        <f t="shared" ca="1" si="19"/>
        <v>-13.36</v>
      </c>
      <c r="K66" s="14">
        <f t="shared" ca="1" si="19"/>
        <v>-8.9659999999999993</v>
      </c>
      <c r="L66" s="14">
        <f t="shared" ca="1" si="19"/>
        <v>-8.077</v>
      </c>
      <c r="M66" s="14">
        <f t="shared" ca="1" si="19"/>
        <v>-7.3339999999999996</v>
      </c>
      <c r="N66" s="14">
        <f t="shared" ca="1" si="19"/>
        <v>-6.7590000000000003</v>
      </c>
      <c r="O66" s="14">
        <f t="shared" ca="1" si="19"/>
        <v>-6.35</v>
      </c>
      <c r="P66" s="14">
        <f t="shared" ca="1" si="19"/>
        <v>-6.0869999999999997</v>
      </c>
      <c r="Q66" s="14">
        <f t="shared" ca="1" si="19"/>
        <v>-5.9379999999999997</v>
      </c>
      <c r="R66" s="14">
        <f t="shared" ca="1" si="19"/>
        <v>-5.87</v>
      </c>
      <c r="S66" s="14">
        <f t="shared" ca="1" si="19"/>
        <v>-5.8520000000000003</v>
      </c>
      <c r="T66" s="14">
        <f t="shared" ca="1" si="19"/>
        <v>-5.8609999999999998</v>
      </c>
      <c r="U66" s="14">
        <f t="shared" ca="1" si="19"/>
        <v>-5.8860000000000001</v>
      </c>
      <c r="V66" s="14">
        <f t="shared" ca="1" si="17"/>
        <v>-5.9180000000000001</v>
      </c>
      <c r="W66" s="14">
        <f t="shared" ca="1" si="17"/>
        <v>-5.9550000000000001</v>
      </c>
      <c r="X66" s="14">
        <f t="shared" ca="1" si="17"/>
        <v>-5.9930000000000003</v>
      </c>
      <c r="Y66" s="14">
        <f t="shared" ca="1" si="17"/>
        <v>-6.0330000000000004</v>
      </c>
      <c r="Z66" s="14">
        <f t="shared" ca="1" si="17"/>
        <v>-6.0739999999999998</v>
      </c>
      <c r="AA66" s="14">
        <f t="shared" ca="1" si="17"/>
        <v>-6.1180000000000003</v>
      </c>
      <c r="AB66" s="14">
        <f t="shared" ca="1" si="17"/>
        <v>-6.3319999999999999</v>
      </c>
      <c r="AC66" s="14">
        <f t="shared" ca="1" si="17"/>
        <v>-6.508</v>
      </c>
      <c r="AD66" s="14">
        <f t="shared" ca="1" si="17"/>
        <v>-6.5510000000000002</v>
      </c>
      <c r="AE66" s="14">
        <f t="shared" ca="1" si="17"/>
        <v>-6.5940000000000003</v>
      </c>
      <c r="AF66" s="14">
        <f t="shared" ca="1" si="17"/>
        <v>-6.6360000000000001</v>
      </c>
      <c r="AG66" s="14">
        <f t="shared" ca="1" si="17"/>
        <v>-6.6779999999999999</v>
      </c>
      <c r="AH66" s="14">
        <f t="shared" ca="1" si="17"/>
        <v>-6.7190000000000003</v>
      </c>
      <c r="AI66" s="14">
        <f t="shared" ca="1" si="17"/>
        <v>-6.7510000000000003</v>
      </c>
      <c r="AJ66" s="14">
        <f t="shared" ca="1" si="17"/>
        <v>-6.7839999999999998</v>
      </c>
      <c r="AK66" s="14">
        <f t="shared" ca="1" si="17"/>
        <v>-6.8170000000000002</v>
      </c>
      <c r="AL66" s="14">
        <f t="shared" ca="1" si="17"/>
        <v>-6.9539999999999997</v>
      </c>
    </row>
    <row r="67" spans="1:54" ht="21" customHeight="1" outlineLevel="1" thickBot="1" x14ac:dyDescent="0.4">
      <c r="A67" s="5">
        <f t="shared" si="18"/>
        <v>1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 t="str">
        <f t="shared" si="18"/>
        <v>H (Ar)</v>
      </c>
      <c r="F67" s="14">
        <f t="shared" ca="1" si="19"/>
        <v>-18.66</v>
      </c>
      <c r="G67" s="14">
        <f t="shared" ca="1" si="17"/>
        <v>-18.649999999999999</v>
      </c>
      <c r="H67" s="14">
        <f t="shared" ca="1" si="17"/>
        <v>-18.649999999999999</v>
      </c>
      <c r="I67" s="14">
        <f t="shared" ca="1" si="17"/>
        <v>-18.66</v>
      </c>
      <c r="J67" s="14">
        <f t="shared" ca="1" si="17"/>
        <v>-18.670000000000002</v>
      </c>
      <c r="K67" s="14">
        <f t="shared" ca="1" si="17"/>
        <v>-18.75</v>
      </c>
      <c r="L67" s="14">
        <f t="shared" ca="1" si="17"/>
        <v>-18.78</v>
      </c>
      <c r="M67" s="14">
        <f t="shared" ca="1" si="17"/>
        <v>-18.809999999999999</v>
      </c>
      <c r="N67" s="14">
        <f t="shared" ca="1" si="17"/>
        <v>-18.829999999999998</v>
      </c>
      <c r="O67" s="14">
        <f t="shared" ca="1" si="17"/>
        <v>-18.86</v>
      </c>
      <c r="P67" s="14">
        <f t="shared" ca="1" si="17"/>
        <v>-18.899999999999999</v>
      </c>
      <c r="Q67" s="14">
        <f t="shared" ca="1" si="17"/>
        <v>-18.93</v>
      </c>
      <c r="R67" s="14">
        <f t="shared" ca="1" si="17"/>
        <v>-18.96</v>
      </c>
      <c r="S67" s="14">
        <f t="shared" ca="1" si="17"/>
        <v>-18.989999999999998</v>
      </c>
      <c r="T67" s="14">
        <f t="shared" ca="1" si="17"/>
        <v>-19.03</v>
      </c>
      <c r="U67" s="14">
        <f t="shared" ca="1" si="17"/>
        <v>-19.059999999999999</v>
      </c>
      <c r="V67" s="14">
        <f t="shared" ca="1" si="17"/>
        <v>-19.100000000000001</v>
      </c>
      <c r="W67" s="14">
        <f t="shared" ca="1" si="17"/>
        <v>-19.13</v>
      </c>
      <c r="X67" s="14">
        <f t="shared" ca="1" si="17"/>
        <v>-19.170000000000002</v>
      </c>
      <c r="Y67" s="14">
        <f t="shared" ca="1" si="17"/>
        <v>-19.2</v>
      </c>
      <c r="Z67" s="14">
        <f t="shared" ca="1" si="17"/>
        <v>-19.23</v>
      </c>
      <c r="AA67" s="14">
        <f t="shared" ca="1" si="17"/>
        <v>-19.27</v>
      </c>
      <c r="AB67" s="14">
        <f t="shared" ca="1" si="17"/>
        <v>-19.38</v>
      </c>
      <c r="AC67" s="14">
        <f t="shared" ca="1" si="17"/>
        <v>-19.510000000000002</v>
      </c>
      <c r="AD67" s="14">
        <f t="shared" ca="1" si="17"/>
        <v>-19.55</v>
      </c>
      <c r="AE67" s="14">
        <f t="shared" ca="1" si="17"/>
        <v>-19.579999999999998</v>
      </c>
      <c r="AF67" s="14">
        <f t="shared" ca="1" si="17"/>
        <v>-19.61</v>
      </c>
      <c r="AG67" s="14">
        <f t="shared" ca="1" si="17"/>
        <v>-19.64</v>
      </c>
      <c r="AH67" s="14">
        <f t="shared" ca="1" si="17"/>
        <v>-19.670000000000002</v>
      </c>
      <c r="AI67" s="14">
        <f t="shared" ca="1" si="17"/>
        <v>-19.7</v>
      </c>
      <c r="AJ67" s="14">
        <f t="shared" ca="1" si="17"/>
        <v>-19.73</v>
      </c>
      <c r="AK67" s="14">
        <f t="shared" ca="1" si="17"/>
        <v>-19.760000000000002</v>
      </c>
      <c r="AL67" s="14">
        <f t="shared" ca="1" si="17"/>
        <v>-19.88</v>
      </c>
    </row>
    <row r="68" spans="1:54" ht="2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1</v>
      </c>
      <c r="E68" s="6" t="str">
        <f t="shared" si="18"/>
        <v>H (Ga)</v>
      </c>
      <c r="F68" s="14">
        <f t="shared" ca="1" si="19"/>
        <v>-67.12</v>
      </c>
      <c r="G68" s="14">
        <f t="shared" ca="1" si="17"/>
        <v>-63.52</v>
      </c>
      <c r="H68" s="14">
        <f t="shared" ca="1" si="17"/>
        <v>-60.12</v>
      </c>
      <c r="I68" s="14">
        <f t="shared" ca="1" si="17"/>
        <v>-56.76</v>
      </c>
      <c r="J68" s="14">
        <f t="shared" ca="1" si="17"/>
        <v>-53.4</v>
      </c>
      <c r="K68" s="14">
        <f t="shared" ca="1" si="17"/>
        <v>-41.04</v>
      </c>
      <c r="L68" s="14">
        <f t="shared" ca="1" si="17"/>
        <v>-38.450000000000003</v>
      </c>
      <c r="M68" s="14">
        <f t="shared" ca="1" si="17"/>
        <v>-36.08</v>
      </c>
      <c r="N68" s="14">
        <f t="shared" ca="1" si="17"/>
        <v>-33.93</v>
      </c>
      <c r="O68" s="14">
        <f t="shared" ca="1" si="17"/>
        <v>-31.94</v>
      </c>
      <c r="P68" s="14">
        <f t="shared" ca="1" si="17"/>
        <v>-30.07</v>
      </c>
      <c r="Q68" s="14">
        <f t="shared" ca="1" si="17"/>
        <v>-28.28</v>
      </c>
      <c r="R68" s="14">
        <f t="shared" ca="1" si="17"/>
        <v>-26.54</v>
      </c>
      <c r="S68" s="14">
        <f t="shared" ca="1" si="17"/>
        <v>-24.87</v>
      </c>
      <c r="T68" s="14">
        <f t="shared" ca="1" si="17"/>
        <v>-23.27</v>
      </c>
      <c r="U68" s="14">
        <f t="shared" ca="1" si="17"/>
        <v>-21.74</v>
      </c>
      <c r="V68" s="14">
        <f t="shared" ca="1" si="17"/>
        <v>-20.27</v>
      </c>
      <c r="W68" s="14">
        <f t="shared" ca="1" si="17"/>
        <v>-18.87</v>
      </c>
      <c r="X68" s="14">
        <f t="shared" ca="1" si="17"/>
        <v>-17.54</v>
      </c>
      <c r="Y68" s="14">
        <f t="shared" ca="1" si="17"/>
        <v>-16.260000000000002</v>
      </c>
      <c r="Z68" s="14">
        <f t="shared" ca="1" si="17"/>
        <v>-15.05</v>
      </c>
      <c r="AA68" s="14">
        <f t="shared" ca="1" si="17"/>
        <v>-13.91</v>
      </c>
      <c r="AB68" s="14">
        <f t="shared" ca="1" si="17"/>
        <v>-10.79</v>
      </c>
      <c r="AC68" s="14">
        <f t="shared" ca="1" si="17"/>
        <v>-9.1989999999999998</v>
      </c>
      <c r="AD68" s="14">
        <f t="shared" ca="1" si="17"/>
        <v>-8.8740000000000006</v>
      </c>
      <c r="AE68" s="14">
        <f t="shared" ca="1" si="17"/>
        <v>-8.5730000000000004</v>
      </c>
      <c r="AF68" s="14">
        <f t="shared" ca="1" si="17"/>
        <v>-8.2949999999999999</v>
      </c>
      <c r="AG68" s="14">
        <f t="shared" ca="1" si="17"/>
        <v>-8.0359999999999996</v>
      </c>
      <c r="AH68" s="14">
        <f t="shared" ca="1" si="17"/>
        <v>-7.8040000000000003</v>
      </c>
      <c r="AI68" s="14">
        <f t="shared" ca="1" si="17"/>
        <v>-7.8559999999999999</v>
      </c>
      <c r="AJ68" s="14">
        <f t="shared" ca="1" si="17"/>
        <v>-7.915</v>
      </c>
      <c r="AK68" s="14">
        <f t="shared" ca="1" si="17"/>
        <v>-7.9720000000000004</v>
      </c>
      <c r="AL68" s="14">
        <f t="shared" ca="1" si="17"/>
        <v>-8.1969999999999992</v>
      </c>
    </row>
    <row r="69" spans="1:54" ht="2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1</v>
      </c>
      <c r="D69" s="5">
        <f t="shared" si="18"/>
        <v>0</v>
      </c>
      <c r="E69" s="6" t="str">
        <f t="shared" si="18"/>
        <v>H (Ge)</v>
      </c>
      <c r="F69" s="14">
        <f t="shared" ca="1" si="19"/>
        <v>-16.98</v>
      </c>
      <c r="G69" s="14">
        <f t="shared" ca="1" si="17"/>
        <v>-16.239999999999998</v>
      </c>
      <c r="H69" s="14">
        <f t="shared" ca="1" si="17"/>
        <v>-15.42</v>
      </c>
      <c r="I69" s="14">
        <f t="shared" ca="1" si="17"/>
        <v>-14.46</v>
      </c>
      <c r="J69" s="14">
        <f t="shared" ca="1" si="17"/>
        <v>-13.36</v>
      </c>
      <c r="K69" s="14">
        <f t="shared" ca="1" si="17"/>
        <v>-8.9659999999999993</v>
      </c>
      <c r="L69" s="14">
        <f t="shared" ca="1" si="17"/>
        <v>-8.077</v>
      </c>
      <c r="M69" s="14">
        <f t="shared" ca="1" si="17"/>
        <v>-7.3339999999999996</v>
      </c>
      <c r="N69" s="14">
        <f t="shared" ca="1" si="17"/>
        <v>-6.7590000000000003</v>
      </c>
      <c r="O69" s="14">
        <f t="shared" ca="1" si="17"/>
        <v>-6.35</v>
      </c>
      <c r="P69" s="14">
        <f t="shared" ca="1" si="17"/>
        <v>-6.0869999999999997</v>
      </c>
      <c r="Q69" s="14">
        <f t="shared" ca="1" si="17"/>
        <v>-5.9379999999999997</v>
      </c>
      <c r="R69" s="14">
        <f t="shared" ca="1" si="17"/>
        <v>-5.87</v>
      </c>
      <c r="S69" s="14">
        <f t="shared" ca="1" si="17"/>
        <v>-5.8520000000000003</v>
      </c>
      <c r="T69" s="14">
        <f t="shared" ca="1" si="17"/>
        <v>-5.8609999999999998</v>
      </c>
      <c r="U69" s="14">
        <f t="shared" ca="1" si="17"/>
        <v>-5.8860000000000001</v>
      </c>
      <c r="V69" s="14">
        <f t="shared" ca="1" si="17"/>
        <v>-5.9180000000000001</v>
      </c>
      <c r="W69" s="14">
        <f t="shared" ca="1" si="17"/>
        <v>-5.9550000000000001</v>
      </c>
      <c r="X69" s="14">
        <f t="shared" ca="1" si="17"/>
        <v>-5.9930000000000003</v>
      </c>
      <c r="Y69" s="14">
        <f t="shared" ca="1" si="17"/>
        <v>-6.0330000000000004</v>
      </c>
      <c r="Z69" s="14">
        <f t="shared" ca="1" si="17"/>
        <v>-6.0739999999999998</v>
      </c>
      <c r="AA69" s="14">
        <f t="shared" ca="1" si="17"/>
        <v>-6.1180000000000003</v>
      </c>
      <c r="AB69" s="14">
        <f t="shared" ca="1" si="17"/>
        <v>-6.3319999999999999</v>
      </c>
      <c r="AC69" s="14">
        <f t="shared" ca="1" si="17"/>
        <v>-6.508</v>
      </c>
      <c r="AD69" s="14">
        <f t="shared" ca="1" si="17"/>
        <v>-6.5510000000000002</v>
      </c>
      <c r="AE69" s="14">
        <f t="shared" ca="1" si="17"/>
        <v>-6.5940000000000003</v>
      </c>
      <c r="AF69" s="14">
        <f t="shared" ca="1" si="17"/>
        <v>-6.6360000000000001</v>
      </c>
      <c r="AG69" s="14">
        <f t="shared" ca="1" si="17"/>
        <v>-6.6779999999999999</v>
      </c>
      <c r="AH69" s="14">
        <f t="shared" ca="1" si="17"/>
        <v>-6.7190000000000003</v>
      </c>
      <c r="AI69" s="14">
        <f t="shared" ca="1" si="17"/>
        <v>-6.7510000000000003</v>
      </c>
      <c r="AJ69" s="14">
        <f t="shared" ca="1" si="17"/>
        <v>-6.7839999999999998</v>
      </c>
      <c r="AK69" s="14">
        <f t="shared" ca="1" si="17"/>
        <v>-6.8170000000000002</v>
      </c>
      <c r="AL69" s="14">
        <f t="shared" ca="1" si="17"/>
        <v>-6.9539999999999997</v>
      </c>
    </row>
    <row r="70" spans="1:54" ht="21" customHeight="1" outlineLevel="1" thickBot="1" x14ac:dyDescent="0.4">
      <c r="A70" s="5">
        <f t="shared" si="18"/>
        <v>0</v>
      </c>
      <c r="B70" s="5">
        <f t="shared" si="18"/>
        <v>1</v>
      </c>
      <c r="C70" s="5">
        <f t="shared" si="18"/>
        <v>0</v>
      </c>
      <c r="D70" s="5">
        <f t="shared" si="18"/>
        <v>0</v>
      </c>
      <c r="E70" s="6" t="str">
        <f t="shared" si="18"/>
        <v>H (Se)</v>
      </c>
      <c r="F70" s="14">
        <f t="shared" ca="1" si="19"/>
        <v>-23.56</v>
      </c>
      <c r="G70" s="14">
        <f t="shared" ca="1" si="17"/>
        <v>-22.53</v>
      </c>
      <c r="H70" s="14">
        <f t="shared" ca="1" si="17"/>
        <v>-21.75</v>
      </c>
      <c r="I70" s="14">
        <f t="shared" ca="1" si="17"/>
        <v>-21.28</v>
      </c>
      <c r="J70" s="14">
        <f t="shared" ca="1" si="17"/>
        <v>-21.09</v>
      </c>
      <c r="K70" s="14">
        <f t="shared" ca="1" si="17"/>
        <v>-21.65</v>
      </c>
      <c r="L70" s="14">
        <f t="shared" ca="1" si="17"/>
        <v>-21.85</v>
      </c>
      <c r="M70" s="14">
        <f t="shared" ca="1" si="17"/>
        <v>-22.03</v>
      </c>
      <c r="N70" s="14">
        <f t="shared" ca="1" si="17"/>
        <v>-22.18</v>
      </c>
      <c r="O70" s="14">
        <f t="shared" ca="1" si="17"/>
        <v>-22.32</v>
      </c>
      <c r="P70" s="14">
        <f t="shared" ca="1" si="17"/>
        <v>-22.47</v>
      </c>
      <c r="Q70" s="14">
        <f t="shared" ca="1" si="17"/>
        <v>-22.65</v>
      </c>
      <c r="R70" s="14">
        <f t="shared" ca="1" si="17"/>
        <v>-22.86</v>
      </c>
      <c r="S70" s="14">
        <f t="shared" ca="1" si="17"/>
        <v>-23.08</v>
      </c>
      <c r="T70" s="14">
        <f t="shared" ca="1" si="17"/>
        <v>-23.31</v>
      </c>
      <c r="U70" s="14">
        <f t="shared" ca="1" si="17"/>
        <v>-23.54</v>
      </c>
      <c r="V70" s="14">
        <f t="shared" ca="1" si="17"/>
        <v>-23.78</v>
      </c>
      <c r="W70" s="14">
        <f t="shared" ca="1" si="17"/>
        <v>-24.01</v>
      </c>
      <c r="X70" s="14">
        <f t="shared" ca="1" si="17"/>
        <v>-24.25</v>
      </c>
      <c r="Y70" s="14">
        <f t="shared" ca="1" si="17"/>
        <v>-24.48</v>
      </c>
      <c r="Z70" s="14">
        <f t="shared" ca="1" si="17"/>
        <v>-24.71</v>
      </c>
      <c r="AA70" s="14">
        <f t="shared" ca="1" si="17"/>
        <v>-24.94</v>
      </c>
      <c r="AB70" s="14">
        <f t="shared" ca="1" si="17"/>
        <v>-25.82</v>
      </c>
      <c r="AC70" s="14">
        <f t="shared" ca="1" si="17"/>
        <v>-26.68</v>
      </c>
      <c r="AD70" s="14">
        <f t="shared" ca="1" si="17"/>
        <v>-26.9</v>
      </c>
      <c r="AE70" s="14">
        <f t="shared" ca="1" si="17"/>
        <v>-27.11</v>
      </c>
      <c r="AF70" s="14">
        <f t="shared" ca="1" si="17"/>
        <v>-27.32</v>
      </c>
      <c r="AG70" s="14">
        <f t="shared" ca="1" si="17"/>
        <v>-27.52</v>
      </c>
      <c r="AH70" s="14">
        <f t="shared" ca="1" si="17"/>
        <v>-27.73</v>
      </c>
      <c r="AI70" s="14">
        <f t="shared" ca="1" si="17"/>
        <v>-27.92</v>
      </c>
      <c r="AJ70" s="14">
        <f t="shared" ca="1" si="17"/>
        <v>-28.11</v>
      </c>
      <c r="AK70" s="14">
        <f t="shared" ca="1" si="17"/>
        <v>-28.3</v>
      </c>
      <c r="AL70" s="14">
        <f t="shared" ca="1" si="17"/>
        <v>-29.08</v>
      </c>
    </row>
    <row r="71" spans="1:54" ht="2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thickBot="1" x14ac:dyDescent="0.45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</v>
      </c>
      <c r="F79" s="3">
        <f t="shared" ref="F79:AL79" si="22">F3</f>
        <v>273.10000000000002</v>
      </c>
      <c r="G79" s="3">
        <f t="shared" si="22"/>
        <v>289.7</v>
      </c>
      <c r="H79" s="3">
        <f t="shared" si="22"/>
        <v>306.2</v>
      </c>
      <c r="I79" s="3">
        <f t="shared" si="22"/>
        <v>322.7</v>
      </c>
      <c r="J79" s="3">
        <f t="shared" si="22"/>
        <v>339.2</v>
      </c>
      <c r="K79" s="3">
        <f t="shared" si="22"/>
        <v>405.3</v>
      </c>
      <c r="L79" s="3">
        <f t="shared" si="22"/>
        <v>421.8</v>
      </c>
      <c r="M79" s="3">
        <f t="shared" si="22"/>
        <v>438.3</v>
      </c>
      <c r="N79" s="3">
        <f t="shared" si="22"/>
        <v>454.9</v>
      </c>
      <c r="O79" s="3">
        <f t="shared" si="22"/>
        <v>471.4</v>
      </c>
      <c r="P79" s="3">
        <f t="shared" si="22"/>
        <v>487.9</v>
      </c>
      <c r="Q79" s="3">
        <f t="shared" si="22"/>
        <v>504.4</v>
      </c>
      <c r="R79" s="3">
        <f t="shared" si="22"/>
        <v>520.9</v>
      </c>
      <c r="S79" s="3">
        <f t="shared" si="22"/>
        <v>537.5</v>
      </c>
      <c r="T79" s="3">
        <f t="shared" si="22"/>
        <v>554</v>
      </c>
      <c r="U79" s="3">
        <f t="shared" si="22"/>
        <v>570.5</v>
      </c>
      <c r="V79" s="3">
        <f t="shared" si="22"/>
        <v>587</v>
      </c>
      <c r="W79" s="3">
        <f t="shared" si="22"/>
        <v>603.5</v>
      </c>
      <c r="X79" s="3">
        <f t="shared" si="22"/>
        <v>620.1</v>
      </c>
      <c r="Y79" s="3">
        <f t="shared" si="22"/>
        <v>636.6</v>
      </c>
      <c r="Z79" s="3">
        <f t="shared" si="22"/>
        <v>653.1</v>
      </c>
      <c r="AA79" s="3">
        <f t="shared" si="22"/>
        <v>669.6</v>
      </c>
      <c r="AB79" s="3">
        <f t="shared" si="22"/>
        <v>735.7</v>
      </c>
      <c r="AC79" s="3">
        <f t="shared" si="22"/>
        <v>801.8</v>
      </c>
      <c r="AD79" s="3">
        <f t="shared" si="22"/>
        <v>818.3</v>
      </c>
      <c r="AE79" s="3">
        <f t="shared" si="22"/>
        <v>834.8</v>
      </c>
      <c r="AF79" s="3">
        <f t="shared" si="22"/>
        <v>851.3</v>
      </c>
      <c r="AG79" s="3">
        <f t="shared" si="22"/>
        <v>867.8</v>
      </c>
      <c r="AH79" s="3">
        <f t="shared" si="22"/>
        <v>884.4</v>
      </c>
      <c r="AI79" s="3">
        <f t="shared" si="22"/>
        <v>900.9</v>
      </c>
      <c r="AJ79" s="3">
        <f t="shared" si="22"/>
        <v>917.4</v>
      </c>
      <c r="AK79" s="3">
        <f t="shared" si="22"/>
        <v>933.9</v>
      </c>
      <c r="AL79" s="3">
        <f t="shared" si="22"/>
        <v>1000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1</v>
      </c>
      <c r="D80" s="5">
        <f t="shared" si="23"/>
        <v>0</v>
      </c>
      <c r="E80" s="6" t="str">
        <f t="shared" si="21"/>
        <v>*GeSe</v>
      </c>
      <c r="F80" s="14">
        <f t="shared" ref="F80:AL80" si="24">F4*$C$78</f>
        <v>1.0652499999999999E-8</v>
      </c>
      <c r="G80" s="14">
        <f t="shared" si="24"/>
        <v>1.9519999999999999E-8</v>
      </c>
      <c r="H80" s="14">
        <f t="shared" si="24"/>
        <v>3.0818571428571426E-8</v>
      </c>
      <c r="I80" s="14">
        <f t="shared" si="24"/>
        <v>5.435E-8</v>
      </c>
      <c r="J80" s="14">
        <f t="shared" si="24"/>
        <v>7.9635714285714279E-8</v>
      </c>
      <c r="K80" s="14">
        <f t="shared" si="24"/>
        <v>1.3212142857142856E-7</v>
      </c>
      <c r="L80" s="14">
        <f t="shared" si="24"/>
        <v>8.2142857142857143E-8</v>
      </c>
      <c r="M80" s="14">
        <f t="shared" si="24"/>
        <v>4.0264285714285716E-8</v>
      </c>
      <c r="N80" s="14">
        <f t="shared" si="24"/>
        <v>1.3208571428571427E-8</v>
      </c>
      <c r="O80" s="14">
        <f t="shared" si="24"/>
        <v>1.7039999999999997E-11</v>
      </c>
      <c r="P80" s="14">
        <f t="shared" si="24"/>
        <v>2.5427500000000001E-17</v>
      </c>
      <c r="Q80" s="14">
        <f t="shared" si="24"/>
        <v>1.9293214285714285E-24</v>
      </c>
      <c r="R80" s="14">
        <f t="shared" si="24"/>
        <v>5.0124999999999997E-32</v>
      </c>
      <c r="S80" s="14">
        <f t="shared" si="24"/>
        <v>0</v>
      </c>
      <c r="T80" s="14">
        <f t="shared" si="24"/>
        <v>0</v>
      </c>
      <c r="U80" s="14">
        <f t="shared" si="24"/>
        <v>0</v>
      </c>
      <c r="V80" s="14">
        <f t="shared" si="24"/>
        <v>0</v>
      </c>
      <c r="W80" s="14">
        <f t="shared" si="24"/>
        <v>0</v>
      </c>
      <c r="X80" s="14">
        <f t="shared" si="24"/>
        <v>0</v>
      </c>
      <c r="Y80" s="14">
        <f t="shared" si="24"/>
        <v>0</v>
      </c>
      <c r="Z80" s="14">
        <f t="shared" si="24"/>
        <v>0</v>
      </c>
      <c r="AA80" s="14">
        <f t="shared" si="24"/>
        <v>0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customHeight="1" outlineLevel="1" thickBot="1" x14ac:dyDescent="0.4">
      <c r="A81" s="5">
        <f t="shared" ref="A81:D96" si="25">A47</f>
        <v>0</v>
      </c>
      <c r="B81" s="5">
        <f t="shared" si="25"/>
        <v>0</v>
      </c>
      <c r="C81" s="5">
        <f t="shared" si="25"/>
        <v>0</v>
      </c>
      <c r="D81" s="5">
        <f t="shared" si="25"/>
        <v>1</v>
      </c>
      <c r="E81" s="6" t="str">
        <f t="shared" si="21"/>
        <v>*Ga[1]</v>
      </c>
      <c r="F81" s="14">
        <f t="shared" ref="F81:AL81" si="26">F5*$C$78</f>
        <v>0</v>
      </c>
      <c r="G81" s="14">
        <f t="shared" si="26"/>
        <v>0</v>
      </c>
      <c r="H81" s="14">
        <f t="shared" si="26"/>
        <v>0</v>
      </c>
      <c r="I81" s="14">
        <f t="shared" si="26"/>
        <v>0</v>
      </c>
      <c r="J81" s="14">
        <f t="shared" si="26"/>
        <v>0</v>
      </c>
      <c r="K81" s="14">
        <f t="shared" si="26"/>
        <v>0</v>
      </c>
      <c r="L81" s="14">
        <f t="shared" si="26"/>
        <v>0</v>
      </c>
      <c r="M81" s="14">
        <f t="shared" si="26"/>
        <v>0</v>
      </c>
      <c r="N81" s="14">
        <f t="shared" si="26"/>
        <v>0</v>
      </c>
      <c r="O81" s="14">
        <f t="shared" si="26"/>
        <v>0</v>
      </c>
      <c r="P81" s="14">
        <f t="shared" si="26"/>
        <v>0</v>
      </c>
      <c r="Q81" s="14">
        <f t="shared" si="26"/>
        <v>0</v>
      </c>
      <c r="R81" s="14">
        <f t="shared" si="26"/>
        <v>0</v>
      </c>
      <c r="S81" s="14">
        <f t="shared" si="26"/>
        <v>0</v>
      </c>
      <c r="T81" s="14">
        <f t="shared" si="26"/>
        <v>0</v>
      </c>
      <c r="U81" s="14">
        <f t="shared" si="26"/>
        <v>0</v>
      </c>
      <c r="V81" s="14">
        <f t="shared" si="26"/>
        <v>0</v>
      </c>
      <c r="W81" s="14">
        <f t="shared" si="26"/>
        <v>0</v>
      </c>
      <c r="X81" s="14">
        <f t="shared" si="26"/>
        <v>0</v>
      </c>
      <c r="Y81" s="14">
        <f t="shared" si="26"/>
        <v>0</v>
      </c>
      <c r="Z81" s="14">
        <f t="shared" si="26"/>
        <v>0</v>
      </c>
      <c r="AA81" s="14">
        <f t="shared" si="26"/>
        <v>0</v>
      </c>
      <c r="AB81" s="14">
        <f t="shared" si="26"/>
        <v>0</v>
      </c>
      <c r="AC81" s="14">
        <f t="shared" si="26"/>
        <v>2.1938928571428571E-27</v>
      </c>
      <c r="AD81" s="14">
        <f t="shared" si="26"/>
        <v>6.4503571428571428E-22</v>
      </c>
      <c r="AE81" s="14">
        <f t="shared" si="26"/>
        <v>7.7792857142857135E-17</v>
      </c>
      <c r="AF81" s="14">
        <f t="shared" si="26"/>
        <v>3.733928571428571E-12</v>
      </c>
      <c r="AG81" s="14">
        <f t="shared" si="26"/>
        <v>2.0672142857142857E-9</v>
      </c>
      <c r="AH81" s="14">
        <f t="shared" si="26"/>
        <v>6.7492857142857133E-7</v>
      </c>
      <c r="AI81" s="14">
        <f t="shared" si="26"/>
        <v>2.4099285714285714E-5</v>
      </c>
      <c r="AJ81" s="14">
        <f t="shared" si="26"/>
        <v>1.9751428571428567E-5</v>
      </c>
      <c r="AK81" s="14">
        <f t="shared" si="26"/>
        <v>1.5711428571428572E-5</v>
      </c>
      <c r="AL81" s="14">
        <f t="shared" si="26"/>
        <v>7.6042857142857134E-6</v>
      </c>
    </row>
    <row r="82" spans="1:38" ht="21" customHeight="1" outlineLevel="1" thickBot="1" x14ac:dyDescent="0.4">
      <c r="A82" s="5">
        <f t="shared" si="25"/>
        <v>0</v>
      </c>
      <c r="B82" s="5">
        <f t="shared" si="25"/>
        <v>1</v>
      </c>
      <c r="C82" s="5">
        <f t="shared" si="25"/>
        <v>0</v>
      </c>
      <c r="D82" s="5">
        <f t="shared" si="25"/>
        <v>0</v>
      </c>
      <c r="E82" s="6" t="str">
        <f t="shared" si="21"/>
        <v>*Se[m]</v>
      </c>
      <c r="F82" s="14">
        <f t="shared" ref="F82:AL82" si="27">F6*$C$78</f>
        <v>0</v>
      </c>
      <c r="G82" s="14">
        <f t="shared" si="27"/>
        <v>0</v>
      </c>
      <c r="H82" s="14">
        <f t="shared" si="27"/>
        <v>2.0968214285714285E-30</v>
      </c>
      <c r="I82" s="14">
        <f t="shared" si="27"/>
        <v>2.2418928571428567E-24</v>
      </c>
      <c r="J82" s="14">
        <f t="shared" si="27"/>
        <v>3.0874285714285711E-21</v>
      </c>
      <c r="K82" s="14">
        <f t="shared" si="27"/>
        <v>7.1467857142857138E-17</v>
      </c>
      <c r="L82" s="14">
        <f t="shared" si="27"/>
        <v>2.7719999999999997E-15</v>
      </c>
      <c r="M82" s="14">
        <f t="shared" si="27"/>
        <v>1.2700357142857142E-12</v>
      </c>
      <c r="N82" s="14">
        <f t="shared" si="27"/>
        <v>1.5771071428571429E-9</v>
      </c>
      <c r="O82" s="14">
        <f t="shared" si="27"/>
        <v>1.7945714285714287E-8</v>
      </c>
      <c r="P82" s="14">
        <f t="shared" si="27"/>
        <v>2.2355714285714285E-8</v>
      </c>
      <c r="Q82" s="14">
        <f t="shared" si="27"/>
        <v>3.666071428571428E-8</v>
      </c>
      <c r="R82" s="14">
        <f t="shared" si="27"/>
        <v>7.7271428571428565E-8</v>
      </c>
      <c r="S82" s="14">
        <f t="shared" si="27"/>
        <v>5.6910714285714279E-8</v>
      </c>
      <c r="T82" s="14">
        <f t="shared" si="27"/>
        <v>9.4149999999999993E-8</v>
      </c>
      <c r="U82" s="14">
        <f t="shared" si="27"/>
        <v>7.3567857142857147E-8</v>
      </c>
      <c r="V82" s="14">
        <f t="shared" si="27"/>
        <v>8.476071428571428E-8</v>
      </c>
      <c r="W82" s="14">
        <f t="shared" si="27"/>
        <v>8.4399999999999988E-8</v>
      </c>
      <c r="X82" s="14">
        <f t="shared" si="27"/>
        <v>8.2067857142857137E-8</v>
      </c>
      <c r="Y82" s="14">
        <f t="shared" si="27"/>
        <v>8.2803571428571418E-8</v>
      </c>
      <c r="Z82" s="14">
        <f t="shared" si="27"/>
        <v>8.3424999999999994E-8</v>
      </c>
      <c r="AA82" s="14">
        <f t="shared" si="27"/>
        <v>8.7471428571428563E-8</v>
      </c>
      <c r="AB82" s="14">
        <f t="shared" si="27"/>
        <v>1.1146785714285714E-7</v>
      </c>
      <c r="AC82" s="14">
        <f t="shared" si="27"/>
        <v>1.1626785714285714E-7</v>
      </c>
      <c r="AD82" s="14">
        <f t="shared" si="27"/>
        <v>1.1477142857142855E-7</v>
      </c>
      <c r="AE82" s="14">
        <f t="shared" si="27"/>
        <v>1.1304285714285712E-7</v>
      </c>
      <c r="AF82" s="14">
        <f t="shared" si="27"/>
        <v>1.1177857142857142E-7</v>
      </c>
      <c r="AG82" s="14">
        <f t="shared" si="27"/>
        <v>4.2882142857142856E-10</v>
      </c>
      <c r="AH82" s="14">
        <f t="shared" si="27"/>
        <v>5.6117857142857138E-29</v>
      </c>
      <c r="AI82" s="14">
        <f t="shared" si="27"/>
        <v>6.7474999999999998E-29</v>
      </c>
      <c r="AJ82" s="14">
        <f t="shared" si="27"/>
        <v>1.2735357142857141E-29</v>
      </c>
      <c r="AK82" s="14">
        <f t="shared" si="27"/>
        <v>8.345E-29</v>
      </c>
      <c r="AL82" s="14">
        <f t="shared" si="27"/>
        <v>1.4717857142857141E-22</v>
      </c>
    </row>
    <row r="83" spans="1:38" ht="21" customHeight="1" outlineLevel="1" thickBot="1" x14ac:dyDescent="0.4">
      <c r="A83" s="5">
        <f t="shared" si="25"/>
        <v>0</v>
      </c>
      <c r="B83" s="5">
        <f t="shared" si="25"/>
        <v>2</v>
      </c>
      <c r="C83" s="5">
        <f t="shared" si="25"/>
        <v>1</v>
      </c>
      <c r="D83" s="5">
        <f t="shared" si="25"/>
        <v>0</v>
      </c>
      <c r="E83" s="6" t="str">
        <f t="shared" si="21"/>
        <v>*GeSe2</v>
      </c>
      <c r="F83" s="14">
        <f t="shared" ref="F83:AL83" si="28">F7*$C$78</f>
        <v>5.1639285714285707E-9</v>
      </c>
      <c r="G83" s="14">
        <f t="shared" si="28"/>
        <v>8.9382142857142856E-10</v>
      </c>
      <c r="H83" s="14">
        <f t="shared" si="28"/>
        <v>4.1782142857142858E-12</v>
      </c>
      <c r="I83" s="14">
        <f t="shared" si="28"/>
        <v>4.3289285714285714E-17</v>
      </c>
      <c r="J83" s="14">
        <f t="shared" si="28"/>
        <v>8.3757142857142846E-26</v>
      </c>
      <c r="K83" s="14">
        <f t="shared" si="28"/>
        <v>0</v>
      </c>
      <c r="L83" s="14">
        <f t="shared" si="28"/>
        <v>0</v>
      </c>
      <c r="M83" s="14">
        <f t="shared" si="28"/>
        <v>0</v>
      </c>
      <c r="N83" s="14">
        <f t="shared" si="28"/>
        <v>0</v>
      </c>
      <c r="O83" s="14">
        <f t="shared" si="28"/>
        <v>0</v>
      </c>
      <c r="P83" s="14">
        <f t="shared" si="28"/>
        <v>0</v>
      </c>
      <c r="Q83" s="14">
        <f t="shared" si="28"/>
        <v>0</v>
      </c>
      <c r="R83" s="14">
        <f t="shared" si="28"/>
        <v>0</v>
      </c>
      <c r="S83" s="14">
        <f t="shared" si="28"/>
        <v>0</v>
      </c>
      <c r="T83" s="14">
        <f t="shared" si="28"/>
        <v>0</v>
      </c>
      <c r="U83" s="14">
        <f t="shared" si="28"/>
        <v>0</v>
      </c>
      <c r="V83" s="14">
        <f t="shared" si="28"/>
        <v>0</v>
      </c>
      <c r="W83" s="14">
        <f t="shared" si="28"/>
        <v>0</v>
      </c>
      <c r="X83" s="14">
        <f t="shared" si="28"/>
        <v>0</v>
      </c>
      <c r="Y83" s="14">
        <f t="shared" si="28"/>
        <v>0</v>
      </c>
      <c r="Z83" s="14">
        <f t="shared" si="28"/>
        <v>0</v>
      </c>
      <c r="AA83" s="14">
        <f t="shared" si="28"/>
        <v>0</v>
      </c>
      <c r="AB83" s="14">
        <f t="shared" si="28"/>
        <v>0</v>
      </c>
      <c r="AC83" s="14">
        <f t="shared" si="28"/>
        <v>0</v>
      </c>
      <c r="AD83" s="14">
        <f t="shared" si="28"/>
        <v>0</v>
      </c>
      <c r="AE83" s="14">
        <f t="shared" si="28"/>
        <v>0</v>
      </c>
      <c r="AF83" s="14">
        <f t="shared" si="28"/>
        <v>0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customHeight="1" outlineLevel="1" thickBot="1" x14ac:dyDescent="0.4">
      <c r="A84" s="5">
        <f t="shared" si="25"/>
        <v>0</v>
      </c>
      <c r="B84" s="5">
        <f t="shared" si="25"/>
        <v>3</v>
      </c>
      <c r="C84" s="5">
        <f t="shared" si="25"/>
        <v>0</v>
      </c>
      <c r="D84" s="5">
        <f t="shared" si="25"/>
        <v>2</v>
      </c>
      <c r="E84" s="6" t="str">
        <f t="shared" si="21"/>
        <v>Ga2Se3</v>
      </c>
      <c r="F84" s="14">
        <f t="shared" ref="F84:AL84" si="29">F8*$C$78</f>
        <v>2.9614999999999995E-2</v>
      </c>
      <c r="G84" s="14">
        <f t="shared" si="29"/>
        <v>2.9264642857142854E-2</v>
      </c>
      <c r="H84" s="14">
        <f t="shared" si="29"/>
        <v>2.8417857142857144E-2</v>
      </c>
      <c r="I84" s="14">
        <f t="shared" si="29"/>
        <v>2.7003571428571425E-2</v>
      </c>
      <c r="J84" s="14">
        <f t="shared" si="29"/>
        <v>2.5447499999999998E-2</v>
      </c>
      <c r="K84" s="14">
        <f t="shared" si="29"/>
        <v>2.2976785714285713E-2</v>
      </c>
      <c r="L84" s="14">
        <f t="shared" si="29"/>
        <v>2.2609642857142856E-2</v>
      </c>
      <c r="M84" s="14">
        <f t="shared" si="29"/>
        <v>2.1982499999999999E-2</v>
      </c>
      <c r="N84" s="14">
        <f t="shared" si="29"/>
        <v>2.1013214285714284E-2</v>
      </c>
      <c r="O84" s="14">
        <f t="shared" si="29"/>
        <v>1.9786071428571427E-2</v>
      </c>
      <c r="P84" s="14">
        <f t="shared" si="29"/>
        <v>1.8537142857142856E-2</v>
      </c>
      <c r="Q84" s="14">
        <f t="shared" si="29"/>
        <v>1.7509285714285713E-2</v>
      </c>
      <c r="R84" s="14">
        <f t="shared" si="29"/>
        <v>1.6806428571428569E-2</v>
      </c>
      <c r="S84" s="14">
        <f t="shared" si="29"/>
        <v>1.6385357142857142E-2</v>
      </c>
      <c r="T84" s="14">
        <f t="shared" si="29"/>
        <v>1.6151071428571428E-2</v>
      </c>
      <c r="U84" s="14">
        <f t="shared" si="29"/>
        <v>1.6024642857142855E-2</v>
      </c>
      <c r="V84" s="14">
        <f t="shared" si="29"/>
        <v>1.5956071428571427E-2</v>
      </c>
      <c r="W84" s="14">
        <f t="shared" si="29"/>
        <v>1.5914999999999999E-2</v>
      </c>
      <c r="X84" s="14">
        <f t="shared" si="29"/>
        <v>1.5876071428571427E-2</v>
      </c>
      <c r="Y84" s="14">
        <f t="shared" si="29"/>
        <v>1.5791428571428571E-2</v>
      </c>
      <c r="Z84" s="14">
        <f t="shared" si="29"/>
        <v>1.5519285714285713E-2</v>
      </c>
      <c r="AA84" s="14">
        <f t="shared" si="29"/>
        <v>1.4652142857142855E-2</v>
      </c>
      <c r="AB84" s="14">
        <f t="shared" si="29"/>
        <v>1.6410357142857142E-3</v>
      </c>
      <c r="AC84" s="14">
        <f t="shared" si="29"/>
        <v>2.5999285714285713E-5</v>
      </c>
      <c r="AD84" s="14">
        <f t="shared" si="29"/>
        <v>9.2542857142857128E-6</v>
      </c>
      <c r="AE84" s="14">
        <f t="shared" si="29"/>
        <v>3.3104285714285712E-6</v>
      </c>
      <c r="AF84" s="14">
        <f t="shared" si="29"/>
        <v>1.1906785714285713E-6</v>
      </c>
      <c r="AG84" s="14">
        <f t="shared" si="29"/>
        <v>4.317142857142857E-7</v>
      </c>
      <c r="AH84" s="14">
        <f t="shared" si="29"/>
        <v>1.5560714285714285E-7</v>
      </c>
      <c r="AI84" s="14">
        <f t="shared" si="29"/>
        <v>3.4559285714285712E-8</v>
      </c>
      <c r="AJ84" s="14">
        <f t="shared" si="29"/>
        <v>7.7896428571428552E-9</v>
      </c>
      <c r="AK84" s="14">
        <f t="shared" si="29"/>
        <v>1.8107142857142856E-9</v>
      </c>
      <c r="AL84" s="14">
        <f t="shared" si="29"/>
        <v>7.2596428571428564E-12</v>
      </c>
    </row>
    <row r="85" spans="1:38" ht="21" customHeight="1" outlineLevel="1" thickBot="1" x14ac:dyDescent="0.4">
      <c r="A85" s="5">
        <f t="shared" si="25"/>
        <v>0</v>
      </c>
      <c r="B85" s="5">
        <f t="shared" si="25"/>
        <v>1</v>
      </c>
      <c r="C85" s="5">
        <f t="shared" si="25"/>
        <v>0</v>
      </c>
      <c r="D85" s="5">
        <f t="shared" si="25"/>
        <v>2</v>
      </c>
      <c r="E85" s="6" t="str">
        <f t="shared" si="21"/>
        <v>Ga2Se</v>
      </c>
      <c r="F85" s="14">
        <f t="shared" ref="F85:AL85" si="30">F9*$C$78</f>
        <v>0</v>
      </c>
      <c r="G85" s="14">
        <f t="shared" si="30"/>
        <v>0</v>
      </c>
      <c r="H85" s="14">
        <f t="shared" si="30"/>
        <v>0</v>
      </c>
      <c r="I85" s="14">
        <f t="shared" si="30"/>
        <v>0</v>
      </c>
      <c r="J85" s="14">
        <f t="shared" si="30"/>
        <v>0</v>
      </c>
      <c r="K85" s="14">
        <f t="shared" si="30"/>
        <v>0</v>
      </c>
      <c r="L85" s="14">
        <f t="shared" si="30"/>
        <v>0</v>
      </c>
      <c r="M85" s="14">
        <f t="shared" si="30"/>
        <v>0</v>
      </c>
      <c r="N85" s="14">
        <f t="shared" si="30"/>
        <v>2.6594642857142857E-34</v>
      </c>
      <c r="O85" s="14">
        <f t="shared" si="30"/>
        <v>3.2479642857142855E-32</v>
      </c>
      <c r="P85" s="14">
        <f t="shared" si="30"/>
        <v>2.9389285714285715E-30</v>
      </c>
      <c r="Q85" s="14">
        <f t="shared" si="30"/>
        <v>2.1131785714285712E-28</v>
      </c>
      <c r="R85" s="14">
        <f t="shared" si="30"/>
        <v>1.2502142857142856E-26</v>
      </c>
      <c r="S85" s="14">
        <f t="shared" si="30"/>
        <v>6.1421428571428567E-25</v>
      </c>
      <c r="T85" s="14">
        <f t="shared" si="30"/>
        <v>2.5096071428571428E-23</v>
      </c>
      <c r="U85" s="14">
        <f t="shared" si="30"/>
        <v>8.5599999999999982E-22</v>
      </c>
      <c r="V85" s="14">
        <f t="shared" si="30"/>
        <v>2.4559999999999999E-20</v>
      </c>
      <c r="W85" s="14">
        <f t="shared" si="30"/>
        <v>5.985357142857142E-19</v>
      </c>
      <c r="X85" s="14">
        <f t="shared" si="30"/>
        <v>1.2511785714285713E-17</v>
      </c>
      <c r="Y85" s="14">
        <f t="shared" si="30"/>
        <v>2.2612142857142852E-16</v>
      </c>
      <c r="Z85" s="14">
        <f t="shared" si="30"/>
        <v>3.5349285714285714E-15</v>
      </c>
      <c r="AA85" s="14">
        <f t="shared" si="30"/>
        <v>4.6839285714285708E-14</v>
      </c>
      <c r="AB85" s="14">
        <f t="shared" si="30"/>
        <v>6.7471428571428566E-11</v>
      </c>
      <c r="AC85" s="14">
        <f t="shared" si="30"/>
        <v>3.5519999999999993E-9</v>
      </c>
      <c r="AD85" s="14">
        <f t="shared" si="30"/>
        <v>8.0339285714285709E-9</v>
      </c>
      <c r="AE85" s="14">
        <f t="shared" si="30"/>
        <v>1.7138928571428569E-8</v>
      </c>
      <c r="AF85" s="14">
        <f t="shared" si="30"/>
        <v>3.4622142857142857E-8</v>
      </c>
      <c r="AG85" s="14">
        <f t="shared" si="30"/>
        <v>6.661428571428571E-8</v>
      </c>
      <c r="AH85" s="14">
        <f t="shared" si="30"/>
        <v>1.2060357142857143E-7</v>
      </c>
      <c r="AI85" s="14">
        <f t="shared" si="30"/>
        <v>1.2427857142857141E-7</v>
      </c>
      <c r="AJ85" s="14">
        <f t="shared" si="30"/>
        <v>1.25075E-7</v>
      </c>
      <c r="AK85" s="14">
        <f t="shared" si="30"/>
        <v>1.2474285714285714E-7</v>
      </c>
      <c r="AL85" s="14">
        <f t="shared" si="30"/>
        <v>1.1526071428571428E-7</v>
      </c>
    </row>
    <row r="86" spans="1:38" ht="21" customHeight="1" outlineLevel="1" thickBot="1" x14ac:dyDescent="0.4">
      <c r="A86" s="5">
        <f t="shared" si="25"/>
        <v>0</v>
      </c>
      <c r="B86" s="5">
        <f t="shared" si="25"/>
        <v>0</v>
      </c>
      <c r="C86" s="5">
        <f t="shared" si="25"/>
        <v>0</v>
      </c>
      <c r="D86" s="5">
        <f t="shared" si="25"/>
        <v>1</v>
      </c>
      <c r="E86" s="6" t="str">
        <f t="shared" si="21"/>
        <v>Ga</v>
      </c>
      <c r="F86" s="14">
        <f t="shared" ref="F86:AL86" si="31">F10*$C$78</f>
        <v>0</v>
      </c>
      <c r="G86" s="14">
        <f t="shared" si="31"/>
        <v>0</v>
      </c>
      <c r="H86" s="14">
        <f t="shared" si="31"/>
        <v>0</v>
      </c>
      <c r="I86" s="14">
        <f t="shared" si="31"/>
        <v>0</v>
      </c>
      <c r="J86" s="14">
        <f t="shared" si="31"/>
        <v>0</v>
      </c>
      <c r="K86" s="14">
        <f t="shared" si="31"/>
        <v>0</v>
      </c>
      <c r="L86" s="14">
        <f t="shared" si="31"/>
        <v>0</v>
      </c>
      <c r="M86" s="14">
        <f t="shared" si="31"/>
        <v>0</v>
      </c>
      <c r="N86" s="14">
        <f t="shared" si="31"/>
        <v>0</v>
      </c>
      <c r="O86" s="14">
        <f t="shared" si="31"/>
        <v>0</v>
      </c>
      <c r="P86" s="14">
        <f t="shared" si="31"/>
        <v>4.5057142857142852E-34</v>
      </c>
      <c r="Q86" s="14">
        <f t="shared" si="31"/>
        <v>2.5389642857142853E-32</v>
      </c>
      <c r="R86" s="14">
        <f t="shared" si="31"/>
        <v>1.1717499999999998E-30</v>
      </c>
      <c r="S86" s="14">
        <f t="shared" si="31"/>
        <v>4.4803571428571424E-29</v>
      </c>
      <c r="T86" s="14">
        <f t="shared" si="31"/>
        <v>1.4279999999999999E-27</v>
      </c>
      <c r="U86" s="14">
        <f t="shared" si="31"/>
        <v>3.8224999999999995E-26</v>
      </c>
      <c r="V86" s="14">
        <f t="shared" si="31"/>
        <v>8.6760714285714272E-25</v>
      </c>
      <c r="W86" s="14">
        <f t="shared" si="31"/>
        <v>1.6872499999999999E-23</v>
      </c>
      <c r="X86" s="14">
        <f t="shared" si="31"/>
        <v>2.8405357142857138E-22</v>
      </c>
      <c r="Y86" s="14">
        <f t="shared" si="31"/>
        <v>4.1764285714285712E-21</v>
      </c>
      <c r="Z86" s="14">
        <f t="shared" si="31"/>
        <v>5.3878571428571423E-20</v>
      </c>
      <c r="AA86" s="14">
        <f t="shared" si="31"/>
        <v>6.057857142857143E-19</v>
      </c>
      <c r="AB86" s="14">
        <f t="shared" si="31"/>
        <v>1.2908214285714284E-15</v>
      </c>
      <c r="AC86" s="14">
        <f t="shared" si="31"/>
        <v>2.9071785714285713E-13</v>
      </c>
      <c r="AD86" s="14">
        <f t="shared" si="31"/>
        <v>9.5467857142857128E-13</v>
      </c>
      <c r="AE86" s="14">
        <f t="shared" si="31"/>
        <v>2.9613928571428571E-12</v>
      </c>
      <c r="AF86" s="14">
        <f t="shared" si="31"/>
        <v>8.7078571428571423E-12</v>
      </c>
      <c r="AG86" s="14">
        <f t="shared" si="31"/>
        <v>2.4377857142857143E-11</v>
      </c>
      <c r="AH86" s="14">
        <f t="shared" si="31"/>
        <v>6.4646428571428565E-11</v>
      </c>
      <c r="AI86" s="14">
        <f t="shared" si="31"/>
        <v>1.2560357142857141E-10</v>
      </c>
      <c r="AJ86" s="14">
        <f t="shared" si="31"/>
        <v>2.3673571428571428E-10</v>
      </c>
      <c r="AK86" s="14">
        <f t="shared" si="31"/>
        <v>4.3607142857142851E-10</v>
      </c>
      <c r="AL86" s="14">
        <f t="shared" si="31"/>
        <v>4.0799999999999991E-9</v>
      </c>
    </row>
    <row r="87" spans="1:38" ht="21" customHeight="1" outlineLevel="1" thickBot="1" x14ac:dyDescent="0.4">
      <c r="A87" s="5">
        <f t="shared" si="25"/>
        <v>1</v>
      </c>
      <c r="B87" s="5">
        <f t="shared" si="25"/>
        <v>0</v>
      </c>
      <c r="C87" s="5">
        <f t="shared" si="25"/>
        <v>0</v>
      </c>
      <c r="D87" s="5">
        <f t="shared" si="25"/>
        <v>0</v>
      </c>
      <c r="E87" s="6" t="str">
        <f t="shared" si="21"/>
        <v>Ar</v>
      </c>
      <c r="F87" s="14">
        <f t="shared" ref="F87:AL87" si="32">F11*$C$78</f>
        <v>0.7142857142857143</v>
      </c>
      <c r="G87" s="14">
        <f t="shared" si="32"/>
        <v>0.7142857142857143</v>
      </c>
      <c r="H87" s="14">
        <f t="shared" si="32"/>
        <v>0.7142857142857143</v>
      </c>
      <c r="I87" s="14">
        <f t="shared" si="32"/>
        <v>0.7142857142857143</v>
      </c>
      <c r="J87" s="14">
        <f t="shared" si="32"/>
        <v>0.7142857142857143</v>
      </c>
      <c r="K87" s="14">
        <f t="shared" si="32"/>
        <v>0.7142857142857143</v>
      </c>
      <c r="L87" s="14">
        <f t="shared" si="32"/>
        <v>0.7142857142857143</v>
      </c>
      <c r="M87" s="14">
        <f t="shared" si="32"/>
        <v>0.7142857142857143</v>
      </c>
      <c r="N87" s="14">
        <f t="shared" si="32"/>
        <v>0.7142857142857143</v>
      </c>
      <c r="O87" s="14">
        <f t="shared" si="32"/>
        <v>0.7142857142857143</v>
      </c>
      <c r="P87" s="14">
        <f t="shared" si="32"/>
        <v>0.7142857142857143</v>
      </c>
      <c r="Q87" s="14">
        <f t="shared" si="32"/>
        <v>0.7142857142857143</v>
      </c>
      <c r="R87" s="14">
        <f t="shared" si="32"/>
        <v>0.7142857142857143</v>
      </c>
      <c r="S87" s="14">
        <f t="shared" si="32"/>
        <v>0.7142857142857143</v>
      </c>
      <c r="T87" s="14">
        <f t="shared" si="32"/>
        <v>0.7142857142857143</v>
      </c>
      <c r="U87" s="14">
        <f t="shared" si="32"/>
        <v>0.7142857142857143</v>
      </c>
      <c r="V87" s="14">
        <f t="shared" si="32"/>
        <v>0.7142857142857143</v>
      </c>
      <c r="W87" s="14">
        <f t="shared" si="32"/>
        <v>0.7142857142857143</v>
      </c>
      <c r="X87" s="14">
        <f t="shared" si="32"/>
        <v>0.7142857142857143</v>
      </c>
      <c r="Y87" s="14">
        <f t="shared" si="32"/>
        <v>0.7142857142857143</v>
      </c>
      <c r="Z87" s="14">
        <f t="shared" si="32"/>
        <v>0.7142857142857143</v>
      </c>
      <c r="AA87" s="14">
        <f t="shared" si="32"/>
        <v>0.7142857142857143</v>
      </c>
      <c r="AB87" s="14">
        <f t="shared" si="32"/>
        <v>0.7142857142857143</v>
      </c>
      <c r="AC87" s="14">
        <f t="shared" si="32"/>
        <v>0.7142857142857143</v>
      </c>
      <c r="AD87" s="14">
        <f t="shared" si="32"/>
        <v>0.7142857142857143</v>
      </c>
      <c r="AE87" s="14">
        <f t="shared" si="32"/>
        <v>0.7142857142857143</v>
      </c>
      <c r="AF87" s="14">
        <f t="shared" si="32"/>
        <v>0.7142857142857143</v>
      </c>
      <c r="AG87" s="14">
        <f t="shared" si="32"/>
        <v>0.7142857142857143</v>
      </c>
      <c r="AH87" s="14">
        <f t="shared" si="32"/>
        <v>0.7142857142857143</v>
      </c>
      <c r="AI87" s="14">
        <f t="shared" si="32"/>
        <v>0.7142857142857143</v>
      </c>
      <c r="AJ87" s="14">
        <f t="shared" si="32"/>
        <v>0.7142857142857143</v>
      </c>
      <c r="AK87" s="14">
        <f t="shared" si="32"/>
        <v>0.7142857142857143</v>
      </c>
      <c r="AL87" s="14">
        <f t="shared" si="32"/>
        <v>0.7142857142857143</v>
      </c>
    </row>
    <row r="88" spans="1:38" ht="21" customHeight="1" outlineLevel="1" thickBot="1" x14ac:dyDescent="0.4">
      <c r="A88" s="5">
        <f t="shared" si="25"/>
        <v>0</v>
      </c>
      <c r="B88" s="5">
        <f t="shared" si="25"/>
        <v>2</v>
      </c>
      <c r="C88" s="5">
        <f t="shared" si="25"/>
        <v>1</v>
      </c>
      <c r="D88" s="5">
        <f t="shared" si="25"/>
        <v>0</v>
      </c>
      <c r="E88" s="6" t="str">
        <f t="shared" si="21"/>
        <v>(1)GeSe2</v>
      </c>
      <c r="F88" s="14">
        <f t="shared" ref="F88:AL88" si="33">F12*$C$78</f>
        <v>0.49149999999999994</v>
      </c>
      <c r="G88" s="14">
        <f t="shared" si="33"/>
        <v>0.47085714285714286</v>
      </c>
      <c r="H88" s="14">
        <f t="shared" si="33"/>
        <v>0.41892857142857143</v>
      </c>
      <c r="I88" s="14">
        <f t="shared" si="33"/>
        <v>0.32494999999999996</v>
      </c>
      <c r="J88" s="14">
        <f t="shared" si="33"/>
        <v>0.20954642857142858</v>
      </c>
      <c r="K88" s="14">
        <f t="shared" si="33"/>
        <v>1.2607499999999999E-2</v>
      </c>
      <c r="L88" s="14">
        <f t="shared" si="33"/>
        <v>6.2007142857142851E-3</v>
      </c>
      <c r="M88" s="14">
        <f t="shared" si="33"/>
        <v>3.1314642857142856E-3</v>
      </c>
      <c r="N88" s="14">
        <f t="shared" si="33"/>
        <v>1.5840714285714286E-3</v>
      </c>
      <c r="O88" s="14">
        <f t="shared" si="33"/>
        <v>7.6639285714285709E-4</v>
      </c>
      <c r="P88" s="14">
        <f t="shared" si="33"/>
        <v>3.3847499999999997E-4</v>
      </c>
      <c r="Q88" s="14">
        <f t="shared" si="33"/>
        <v>1.3382499999999999E-4</v>
      </c>
      <c r="R88" s="14">
        <f t="shared" si="33"/>
        <v>4.8274999999999994E-5</v>
      </c>
      <c r="S88" s="14">
        <f t="shared" si="33"/>
        <v>1.6550714285714282E-5</v>
      </c>
      <c r="T88" s="14">
        <f t="shared" si="33"/>
        <v>5.603571428571428E-6</v>
      </c>
      <c r="U88" s="14">
        <f t="shared" si="33"/>
        <v>1.9207857142857139E-6</v>
      </c>
      <c r="V88" s="14">
        <f t="shared" si="33"/>
        <v>6.7542857142857137E-7</v>
      </c>
      <c r="W88" s="14">
        <f t="shared" si="33"/>
        <v>2.4502857142857143E-7</v>
      </c>
      <c r="X88" s="14">
        <f t="shared" si="33"/>
        <v>9.1864285714285715E-8</v>
      </c>
      <c r="Y88" s="14">
        <f t="shared" si="33"/>
        <v>3.5588571428571421E-8</v>
      </c>
      <c r="Z88" s="14">
        <f t="shared" si="33"/>
        <v>1.4238214285714285E-8</v>
      </c>
      <c r="AA88" s="14">
        <f t="shared" si="33"/>
        <v>5.8824999999999999E-9</v>
      </c>
      <c r="AB88" s="14">
        <f t="shared" si="33"/>
        <v>2.3197857142857142E-10</v>
      </c>
      <c r="AC88" s="14">
        <f t="shared" si="33"/>
        <v>1.2485714285714285E-11</v>
      </c>
      <c r="AD88" s="14">
        <f t="shared" si="33"/>
        <v>6.2896428571428571E-12</v>
      </c>
      <c r="AE88" s="14">
        <f t="shared" si="33"/>
        <v>3.2215714285714282E-12</v>
      </c>
      <c r="AF88" s="14">
        <f t="shared" si="33"/>
        <v>1.6763571428571426E-12</v>
      </c>
      <c r="AG88" s="14">
        <f t="shared" si="33"/>
        <v>8.8557142857142848E-13</v>
      </c>
      <c r="AH88" s="14">
        <f t="shared" si="33"/>
        <v>4.7517857142857135E-13</v>
      </c>
      <c r="AI88" s="14">
        <f t="shared" si="33"/>
        <v>2.6538571428571426E-13</v>
      </c>
      <c r="AJ88" s="14">
        <f t="shared" si="33"/>
        <v>1.4876785714285714E-13</v>
      </c>
      <c r="AK88" s="14">
        <f t="shared" si="33"/>
        <v>8.3967857142857127E-14</v>
      </c>
      <c r="AL88" s="14">
        <f t="shared" si="33"/>
        <v>9.29642857142857E-15</v>
      </c>
    </row>
    <row r="89" spans="1:38" ht="21" customHeight="1" outlineLevel="1" thickBot="1" x14ac:dyDescent="0.4">
      <c r="A89" s="5">
        <f t="shared" si="25"/>
        <v>0</v>
      </c>
      <c r="B89" s="5">
        <f t="shared" si="25"/>
        <v>1</v>
      </c>
      <c r="C89" s="5">
        <f t="shared" si="25"/>
        <v>1</v>
      </c>
      <c r="D89" s="5">
        <f t="shared" si="25"/>
        <v>0</v>
      </c>
      <c r="E89" s="6" t="str">
        <f t="shared" si="21"/>
        <v>(1)GeSe</v>
      </c>
      <c r="F89" s="14">
        <f t="shared" ref="F89:AL89" si="34">F13*$C$78</f>
        <v>0.50849999999999995</v>
      </c>
      <c r="G89" s="14">
        <f t="shared" si="34"/>
        <v>0.52910714285714289</v>
      </c>
      <c r="H89" s="14">
        <f t="shared" si="34"/>
        <v>0.58103571428571421</v>
      </c>
      <c r="I89" s="14">
        <f t="shared" si="34"/>
        <v>0.67499999999999993</v>
      </c>
      <c r="J89" s="14">
        <f t="shared" si="34"/>
        <v>0.79028571428571426</v>
      </c>
      <c r="K89" s="14">
        <f t="shared" si="34"/>
        <v>0.96853571428571417</v>
      </c>
      <c r="L89" s="14">
        <f t="shared" si="34"/>
        <v>0.94532142857142842</v>
      </c>
      <c r="M89" s="14">
        <f t="shared" si="34"/>
        <v>0.88707142857142851</v>
      </c>
      <c r="N89" s="14">
        <f t="shared" si="34"/>
        <v>0.78310714285714278</v>
      </c>
      <c r="O89" s="14">
        <f t="shared" si="34"/>
        <v>0.63417857142857137</v>
      </c>
      <c r="P89" s="14">
        <f t="shared" si="34"/>
        <v>0.46128571428571424</v>
      </c>
      <c r="Q89" s="14">
        <f t="shared" si="34"/>
        <v>0.30013928571428572</v>
      </c>
      <c r="R89" s="14">
        <f t="shared" si="34"/>
        <v>0.17844285714285713</v>
      </c>
      <c r="S89" s="14">
        <f t="shared" si="34"/>
        <v>0.10046785714285714</v>
      </c>
      <c r="T89" s="14">
        <f t="shared" si="34"/>
        <v>5.5342857142857138E-2</v>
      </c>
      <c r="U89" s="14">
        <f t="shared" si="34"/>
        <v>3.0473571428571426E-2</v>
      </c>
      <c r="V89" s="14">
        <f t="shared" si="34"/>
        <v>1.696642857142857E-2</v>
      </c>
      <c r="W89" s="14">
        <f t="shared" si="34"/>
        <v>9.6028571428571421E-3</v>
      </c>
      <c r="X89" s="14">
        <f t="shared" si="34"/>
        <v>5.5367857142857137E-3</v>
      </c>
      <c r="Y89" s="14">
        <f t="shared" si="34"/>
        <v>3.2532857142857138E-3</v>
      </c>
      <c r="Z89" s="14">
        <f t="shared" si="34"/>
        <v>1.9477499999999998E-3</v>
      </c>
      <c r="AA89" s="14">
        <f t="shared" si="34"/>
        <v>1.1882142857142857E-3</v>
      </c>
      <c r="AB89" s="14">
        <f t="shared" si="34"/>
        <v>1.9613214285714285E-4</v>
      </c>
      <c r="AC89" s="14">
        <f t="shared" si="34"/>
        <v>3.906428571428571E-5</v>
      </c>
      <c r="AD89" s="14">
        <f t="shared" si="34"/>
        <v>2.680178571428571E-5</v>
      </c>
      <c r="AE89" s="14">
        <f t="shared" si="34"/>
        <v>1.8568214285714284E-5</v>
      </c>
      <c r="AF89" s="14">
        <f t="shared" si="34"/>
        <v>1.2983928571428571E-5</v>
      </c>
      <c r="AG89" s="14">
        <f t="shared" si="34"/>
        <v>9.1596428571428575E-6</v>
      </c>
      <c r="AH89" s="14">
        <f t="shared" si="34"/>
        <v>6.5203571428571423E-6</v>
      </c>
      <c r="AI89" s="14">
        <f t="shared" si="34"/>
        <v>4.7353571428571425E-6</v>
      </c>
      <c r="AJ89" s="14">
        <f t="shared" si="34"/>
        <v>3.4502142857142852E-6</v>
      </c>
      <c r="AK89" s="14">
        <f t="shared" si="34"/>
        <v>2.5252857142857138E-6</v>
      </c>
      <c r="AL89" s="14">
        <f t="shared" si="34"/>
        <v>7.6421428571428559E-7</v>
      </c>
    </row>
    <row r="90" spans="1:38" ht="21" customHeight="1" outlineLevel="1" thickBot="1" x14ac:dyDescent="0.4">
      <c r="A90" s="5">
        <f t="shared" si="25"/>
        <v>0</v>
      </c>
      <c r="B90" s="5">
        <f t="shared" si="25"/>
        <v>3</v>
      </c>
      <c r="C90" s="5">
        <f t="shared" si="25"/>
        <v>0</v>
      </c>
      <c r="D90" s="5">
        <f t="shared" si="25"/>
        <v>2</v>
      </c>
      <c r="E90" s="6" t="str">
        <f t="shared" si="21"/>
        <v>(1)Ga2Se3</v>
      </c>
      <c r="F90" s="14">
        <f t="shared" ref="F90:AL90" si="35">F14*$C$78</f>
        <v>4.1814285714285714E-2</v>
      </c>
      <c r="G90" s="14">
        <f t="shared" si="35"/>
        <v>4.216428571428571E-2</v>
      </c>
      <c r="H90" s="14">
        <f t="shared" si="35"/>
        <v>4.3010714285714284E-2</v>
      </c>
      <c r="I90" s="14">
        <f t="shared" si="35"/>
        <v>4.4424999999999999E-2</v>
      </c>
      <c r="J90" s="14">
        <f t="shared" si="35"/>
        <v>4.5982142857142853E-2</v>
      </c>
      <c r="K90" s="14">
        <f t="shared" si="35"/>
        <v>4.8453571428571422E-2</v>
      </c>
      <c r="L90" s="14">
        <f t="shared" si="35"/>
        <v>4.8817857142857142E-2</v>
      </c>
      <c r="M90" s="14">
        <f t="shared" si="35"/>
        <v>4.9446428571428565E-2</v>
      </c>
      <c r="N90" s="14">
        <f t="shared" si="35"/>
        <v>5.041428571428571E-2</v>
      </c>
      <c r="O90" s="14">
        <f t="shared" si="35"/>
        <v>5.1642857142857143E-2</v>
      </c>
      <c r="P90" s="14">
        <f t="shared" si="35"/>
        <v>5.2892857142857137E-2</v>
      </c>
      <c r="Q90" s="14">
        <f t="shared" si="35"/>
        <v>5.3917857142857135E-2</v>
      </c>
      <c r="R90" s="14">
        <f t="shared" si="35"/>
        <v>5.4621428571428571E-2</v>
      </c>
      <c r="S90" s="14">
        <f t="shared" si="35"/>
        <v>5.5042857142857143E-2</v>
      </c>
      <c r="T90" s="14">
        <f t="shared" si="35"/>
        <v>5.5278571428571427E-2</v>
      </c>
      <c r="U90" s="14">
        <f t="shared" si="35"/>
        <v>5.5403571428571427E-2</v>
      </c>
      <c r="V90" s="14">
        <f t="shared" si="35"/>
        <v>5.5467857142857138E-2</v>
      </c>
      <c r="W90" s="14">
        <f t="shared" si="35"/>
        <v>5.5489285714285713E-2</v>
      </c>
      <c r="X90" s="14">
        <f t="shared" si="35"/>
        <v>5.5449999999999992E-2</v>
      </c>
      <c r="Y90" s="14">
        <f t="shared" si="35"/>
        <v>5.5224999999999996E-2</v>
      </c>
      <c r="Z90" s="14">
        <f t="shared" si="35"/>
        <v>5.4378571428571422E-2</v>
      </c>
      <c r="AA90" s="14">
        <f t="shared" si="35"/>
        <v>5.1589285714285706E-2</v>
      </c>
      <c r="AB90" s="14">
        <f t="shared" si="35"/>
        <v>6.2067857142857133E-3</v>
      </c>
      <c r="AC90" s="14">
        <f t="shared" si="35"/>
        <v>1.0030357142857142E-4</v>
      </c>
      <c r="AD90" s="14">
        <f t="shared" si="35"/>
        <v>3.5846428571428572E-5</v>
      </c>
      <c r="AE90" s="14">
        <f t="shared" si="35"/>
        <v>1.2878214285714286E-5</v>
      </c>
      <c r="AF90" s="14">
        <f t="shared" si="35"/>
        <v>4.6514285714285712E-6</v>
      </c>
      <c r="AG90" s="14">
        <f t="shared" si="35"/>
        <v>1.6930714285714284E-6</v>
      </c>
      <c r="AH90" s="14">
        <f t="shared" si="35"/>
        <v>6.1214285714285715E-7</v>
      </c>
      <c r="AI90" s="14">
        <f t="shared" si="35"/>
        <v>1.3496071428571428E-7</v>
      </c>
      <c r="AJ90" s="14">
        <f t="shared" si="35"/>
        <v>3.0226071428571429E-8</v>
      </c>
      <c r="AK90" s="14">
        <f t="shared" si="35"/>
        <v>6.9889285714285713E-9</v>
      </c>
      <c r="AL90" s="14">
        <f t="shared" si="35"/>
        <v>2.7636428571428572E-11</v>
      </c>
    </row>
    <row r="91" spans="1:38" ht="21" customHeight="1" outlineLevel="1" thickBot="1" x14ac:dyDescent="0.4">
      <c r="A91" s="5">
        <f t="shared" si="25"/>
        <v>0</v>
      </c>
      <c r="B91" s="5">
        <f t="shared" si="25"/>
        <v>1</v>
      </c>
      <c r="C91" s="5">
        <f t="shared" si="25"/>
        <v>0</v>
      </c>
      <c r="D91" s="5">
        <f t="shared" si="25"/>
        <v>2</v>
      </c>
      <c r="E91" s="6" t="str">
        <f t="shared" si="21"/>
        <v>(1)Ga2Se</v>
      </c>
      <c r="F91" s="14">
        <f t="shared" ref="F91:AL91" si="36">F15*$C$78</f>
        <v>2.7055714285714284E-28</v>
      </c>
      <c r="G91" s="14">
        <f t="shared" si="36"/>
        <v>1.0500714285714285E-26</v>
      </c>
      <c r="H91" s="14">
        <f t="shared" si="36"/>
        <v>3.556535714285714E-25</v>
      </c>
      <c r="I91" s="14">
        <f t="shared" si="36"/>
        <v>1.278142857142857E-23</v>
      </c>
      <c r="J91" s="14">
        <f t="shared" si="36"/>
        <v>5.0649999999999999E-22</v>
      </c>
      <c r="K91" s="14">
        <f t="shared" si="36"/>
        <v>4.6057142857142856E-16</v>
      </c>
      <c r="L91" s="14">
        <f t="shared" si="36"/>
        <v>8.1775000000000001E-15</v>
      </c>
      <c r="M91" s="14">
        <f t="shared" si="36"/>
        <v>1.1276071428571428E-13</v>
      </c>
      <c r="N91" s="14">
        <f t="shared" si="36"/>
        <v>1.2342857142857142E-12</v>
      </c>
      <c r="O91" s="14">
        <f t="shared" si="36"/>
        <v>1.1299642857142856E-11</v>
      </c>
      <c r="P91" s="14">
        <f t="shared" si="36"/>
        <v>9.1567857142857139E-11</v>
      </c>
      <c r="Q91" s="14">
        <f t="shared" si="36"/>
        <v>6.8060714285714281E-10</v>
      </c>
      <c r="R91" s="14">
        <f t="shared" si="36"/>
        <v>4.6896428571428564E-9</v>
      </c>
      <c r="S91" s="14">
        <f t="shared" si="36"/>
        <v>2.9893928571428569E-8</v>
      </c>
      <c r="T91" s="14">
        <f t="shared" si="36"/>
        <v>1.7567142857142855E-7</v>
      </c>
      <c r="U91" s="14">
        <f t="shared" si="36"/>
        <v>9.5142857142857135E-7</v>
      </c>
      <c r="V91" s="14">
        <f t="shared" si="36"/>
        <v>4.7610714285714281E-6</v>
      </c>
      <c r="W91" s="14">
        <f t="shared" si="36"/>
        <v>2.2099999999999998E-5</v>
      </c>
      <c r="X91" s="14">
        <f t="shared" si="36"/>
        <v>9.5539285714285707E-5</v>
      </c>
      <c r="Y91" s="14">
        <f t="shared" si="36"/>
        <v>3.8553571428571424E-4</v>
      </c>
      <c r="Z91" s="14">
        <f t="shared" si="36"/>
        <v>1.4461428571428572E-3</v>
      </c>
      <c r="AA91" s="14">
        <f t="shared" si="36"/>
        <v>4.9271428571428565E-3</v>
      </c>
      <c r="AB91" s="14">
        <f t="shared" si="36"/>
        <v>5.8067857142857136E-2</v>
      </c>
      <c r="AC91" s="14">
        <f t="shared" si="36"/>
        <v>5.0410714285714288E-2</v>
      </c>
      <c r="AD91" s="14">
        <f t="shared" si="36"/>
        <v>4.4967857142857136E-2</v>
      </c>
      <c r="AE91" s="14">
        <f t="shared" si="36"/>
        <v>3.9160714285714285E-2</v>
      </c>
      <c r="AF91" s="14">
        <f t="shared" si="36"/>
        <v>3.3346785714285711E-2</v>
      </c>
      <c r="AG91" s="14">
        <f t="shared" si="36"/>
        <v>2.7877142857142857E-2</v>
      </c>
      <c r="AH91" s="14">
        <f t="shared" si="36"/>
        <v>2.2550357142857139E-2</v>
      </c>
      <c r="AI91" s="14">
        <f t="shared" si="36"/>
        <v>1.0559285714285714E-2</v>
      </c>
      <c r="AJ91" s="14">
        <f t="shared" si="36"/>
        <v>4.9599999999999991E-3</v>
      </c>
      <c r="AK91" s="14">
        <f t="shared" si="36"/>
        <v>2.3688214285714285E-3</v>
      </c>
      <c r="AL91" s="14">
        <f t="shared" si="36"/>
        <v>1.4469285714285713E-4</v>
      </c>
    </row>
    <row r="92" spans="1:38" ht="21" customHeight="1" outlineLevel="1" thickBot="1" x14ac:dyDescent="0.4">
      <c r="A92" s="5">
        <f t="shared" si="25"/>
        <v>0</v>
      </c>
      <c r="B92" s="5">
        <f t="shared" si="25"/>
        <v>0</v>
      </c>
      <c r="C92" s="5">
        <f t="shared" si="25"/>
        <v>1</v>
      </c>
      <c r="D92" s="5">
        <f t="shared" si="25"/>
        <v>0</v>
      </c>
      <c r="E92" s="6" t="str">
        <f t="shared" si="21"/>
        <v>(1)Ge</v>
      </c>
      <c r="F92" s="14">
        <f t="shared" ref="F92:AL92" si="37">F16*$C$78</f>
        <v>1.8876428571428573E-6</v>
      </c>
      <c r="G92" s="14">
        <f t="shared" si="37"/>
        <v>4.0060714285714285E-6</v>
      </c>
      <c r="H92" s="14">
        <f t="shared" si="37"/>
        <v>9.5060714285714267E-6</v>
      </c>
      <c r="I92" s="14">
        <f t="shared" si="37"/>
        <v>2.729142857142857E-5</v>
      </c>
      <c r="J92" s="14">
        <f t="shared" si="37"/>
        <v>9.1021428571428557E-5</v>
      </c>
      <c r="K92" s="14">
        <f t="shared" si="37"/>
        <v>9.4264285714285717E-3</v>
      </c>
      <c r="L92" s="14">
        <f t="shared" si="37"/>
        <v>2.4243571428571427E-2</v>
      </c>
      <c r="M92" s="14">
        <f t="shared" si="37"/>
        <v>5.4892857142857139E-2</v>
      </c>
      <c r="N92" s="14">
        <f t="shared" si="37"/>
        <v>0.10766071428571429</v>
      </c>
      <c r="O92" s="14">
        <f t="shared" si="37"/>
        <v>0.18253214285714284</v>
      </c>
      <c r="P92" s="14">
        <f t="shared" si="37"/>
        <v>0.26919642857142856</v>
      </c>
      <c r="Q92" s="14">
        <f t="shared" si="37"/>
        <v>0.34986428571428568</v>
      </c>
      <c r="R92" s="14">
        <f t="shared" si="37"/>
        <v>0.41074999999999995</v>
      </c>
      <c r="S92" s="14">
        <f t="shared" si="37"/>
        <v>0.44974999999999993</v>
      </c>
      <c r="T92" s="14">
        <f t="shared" si="37"/>
        <v>0.47232142857142856</v>
      </c>
      <c r="U92" s="14">
        <f t="shared" si="37"/>
        <v>0.4847499999999999</v>
      </c>
      <c r="V92" s="14">
        <f t="shared" si="37"/>
        <v>0.49149999999999994</v>
      </c>
      <c r="W92" s="14">
        <f t="shared" si="37"/>
        <v>0.49521428571428572</v>
      </c>
      <c r="X92" s="14">
        <f t="shared" si="37"/>
        <v>0.49721428571428572</v>
      </c>
      <c r="Y92" s="14">
        <f t="shared" si="37"/>
        <v>0.49835714285714283</v>
      </c>
      <c r="Z92" s="14">
        <f t="shared" si="37"/>
        <v>0.49903571428571425</v>
      </c>
      <c r="AA92" s="14">
        <f t="shared" si="37"/>
        <v>0.49939285714285714</v>
      </c>
      <c r="AB92" s="14">
        <f t="shared" si="37"/>
        <v>0.49989285714285714</v>
      </c>
      <c r="AC92" s="14">
        <f t="shared" si="37"/>
        <v>0.49996428571428569</v>
      </c>
      <c r="AD92" s="14">
        <f t="shared" si="37"/>
        <v>0.5</v>
      </c>
      <c r="AE92" s="14">
        <f t="shared" si="37"/>
        <v>0.5</v>
      </c>
      <c r="AF92" s="14">
        <f t="shared" si="37"/>
        <v>0.5</v>
      </c>
      <c r="AG92" s="14">
        <f t="shared" si="37"/>
        <v>0.5</v>
      </c>
      <c r="AH92" s="14">
        <f t="shared" si="37"/>
        <v>0.49996428571428569</v>
      </c>
      <c r="AI92" s="14">
        <f t="shared" si="37"/>
        <v>0.49882142857142847</v>
      </c>
      <c r="AJ92" s="14">
        <f t="shared" si="37"/>
        <v>0.49789285714285714</v>
      </c>
      <c r="AK92" s="14">
        <f t="shared" si="37"/>
        <v>0.49710714285714286</v>
      </c>
      <c r="AL92" s="14">
        <f t="shared" si="37"/>
        <v>0.49425000000000002</v>
      </c>
    </row>
    <row r="93" spans="1:38" ht="21" customHeight="1" outlineLevel="1" thickBot="1" x14ac:dyDescent="0.4">
      <c r="A93" s="5">
        <f t="shared" si="25"/>
        <v>0</v>
      </c>
      <c r="B93" s="5">
        <f t="shared" si="25"/>
        <v>0</v>
      </c>
      <c r="C93" s="5">
        <f t="shared" si="25"/>
        <v>0</v>
      </c>
      <c r="D93" s="5">
        <f t="shared" si="25"/>
        <v>1</v>
      </c>
      <c r="E93" s="6" t="str">
        <f t="shared" si="21"/>
        <v>(1)Ga</v>
      </c>
      <c r="F93" s="14">
        <f t="shared" ref="F93:AL93" si="38">F17*$C$78</f>
        <v>9.9996428571428565E-28</v>
      </c>
      <c r="G93" s="14">
        <f t="shared" si="38"/>
        <v>3.7092857142857139E-26</v>
      </c>
      <c r="H93" s="14">
        <f t="shared" si="38"/>
        <v>1.1683214285714284E-24</v>
      </c>
      <c r="I93" s="14">
        <f t="shared" si="38"/>
        <v>3.664285714285714E-23</v>
      </c>
      <c r="J93" s="14">
        <f t="shared" si="38"/>
        <v>1.1771785714285713E-21</v>
      </c>
      <c r="K93" s="14">
        <f t="shared" si="38"/>
        <v>3.5842857142857143E-16</v>
      </c>
      <c r="L93" s="14">
        <f t="shared" si="38"/>
        <v>5.0871428571428566E-15</v>
      </c>
      <c r="M93" s="14">
        <f t="shared" si="38"/>
        <v>5.8560714285714277E-14</v>
      </c>
      <c r="N93" s="14">
        <f t="shared" si="38"/>
        <v>5.5849999999999999E-13</v>
      </c>
      <c r="O93" s="14">
        <f t="shared" si="38"/>
        <v>4.5914285714285713E-12</v>
      </c>
      <c r="P93" s="14">
        <f t="shared" si="38"/>
        <v>3.3793571428571426E-11</v>
      </c>
      <c r="Q93" s="14">
        <f t="shared" si="38"/>
        <v>2.2726428571428569E-10</v>
      </c>
      <c r="R93" s="14">
        <f t="shared" si="38"/>
        <v>1.4031785714285715E-9</v>
      </c>
      <c r="S93" s="14">
        <f t="shared" si="38"/>
        <v>7.9507142857142859E-9</v>
      </c>
      <c r="T93" s="14">
        <f t="shared" si="38"/>
        <v>4.1382142857142853E-8</v>
      </c>
      <c r="U93" s="14">
        <f t="shared" si="38"/>
        <v>1.9838928571428572E-7</v>
      </c>
      <c r="V93" s="14">
        <f t="shared" si="38"/>
        <v>8.7964285714285702E-7</v>
      </c>
      <c r="W93" s="14">
        <f t="shared" si="38"/>
        <v>3.6228571428571425E-6</v>
      </c>
      <c r="X93" s="14">
        <f t="shared" si="38"/>
        <v>1.3915714285714284E-5</v>
      </c>
      <c r="Y93" s="14">
        <f t="shared" si="38"/>
        <v>4.9985714285714279E-5</v>
      </c>
      <c r="Z93" s="14">
        <f t="shared" si="38"/>
        <v>1.6785357142857143E-4</v>
      </c>
      <c r="AA93" s="14">
        <f t="shared" si="38"/>
        <v>5.2167857142857137E-4</v>
      </c>
      <c r="AB93" s="14">
        <f t="shared" si="38"/>
        <v>1.1023214285714284E-2</v>
      </c>
      <c r="AC93" s="14">
        <f t="shared" si="38"/>
        <v>4.1782142857142851E-2</v>
      </c>
      <c r="AD93" s="14">
        <f t="shared" si="38"/>
        <v>5.2828571428571426E-2</v>
      </c>
      <c r="AE93" s="14">
        <f t="shared" si="38"/>
        <v>6.450714285714286E-2</v>
      </c>
      <c r="AF93" s="14">
        <f t="shared" si="38"/>
        <v>7.6149999999999995E-2</v>
      </c>
      <c r="AG93" s="14">
        <f t="shared" si="38"/>
        <v>8.7096428571428561E-2</v>
      </c>
      <c r="AH93" s="14">
        <f t="shared" si="38"/>
        <v>9.578571428571428E-2</v>
      </c>
      <c r="AI93" s="14">
        <f t="shared" si="38"/>
        <v>7.7460714285714286E-2</v>
      </c>
      <c r="AJ93" s="14">
        <f t="shared" si="38"/>
        <v>6.1585714285714278E-2</v>
      </c>
      <c r="AK93" s="14">
        <f t="shared" si="38"/>
        <v>4.8421428571428574E-2</v>
      </c>
      <c r="AL93" s="14">
        <f t="shared" si="38"/>
        <v>1.6424642857142856E-2</v>
      </c>
    </row>
    <row r="94" spans="1:38" ht="21" customHeight="1" outlineLevel="1" thickBot="1" x14ac:dyDescent="0.4">
      <c r="A94" s="5">
        <f t="shared" si="25"/>
        <v>0</v>
      </c>
      <c r="B94" s="5">
        <f t="shared" si="25"/>
        <v>1</v>
      </c>
      <c r="C94" s="5">
        <f t="shared" si="25"/>
        <v>0</v>
      </c>
      <c r="D94" s="5">
        <f t="shared" si="25"/>
        <v>0</v>
      </c>
      <c r="E94" s="6" t="str">
        <f t="shared" si="21"/>
        <v>(1)Se</v>
      </c>
      <c r="F94" s="14">
        <f t="shared" ref="F94:AL94" si="39">F18*$C$78</f>
        <v>1.0094642857142857E-8</v>
      </c>
      <c r="G94" s="14">
        <f t="shared" si="39"/>
        <v>2.8571785714285709E-8</v>
      </c>
      <c r="H94" s="14">
        <f t="shared" si="39"/>
        <v>6.5085714285714284E-8</v>
      </c>
      <c r="I94" s="14">
        <f t="shared" si="39"/>
        <v>1.1435714285714284E-7</v>
      </c>
      <c r="J94" s="14">
        <f t="shared" si="39"/>
        <v>1.5378571428571429E-7</v>
      </c>
      <c r="K94" s="14">
        <f t="shared" si="39"/>
        <v>1.1360714285714285E-7</v>
      </c>
      <c r="L94" s="14">
        <f t="shared" si="39"/>
        <v>9.8224999999999994E-8</v>
      </c>
      <c r="M94" s="14">
        <f t="shared" si="39"/>
        <v>8.8789285714285709E-8</v>
      </c>
      <c r="N94" s="14">
        <f t="shared" si="39"/>
        <v>8.4532142857142846E-8</v>
      </c>
      <c r="O94" s="14">
        <f t="shared" si="39"/>
        <v>8.2971428571428556E-8</v>
      </c>
      <c r="P94" s="14">
        <f t="shared" si="39"/>
        <v>8.0925000000000005E-8</v>
      </c>
      <c r="Q94" s="14">
        <f t="shared" si="39"/>
        <v>7.842857142857142E-8</v>
      </c>
      <c r="R94" s="14">
        <f t="shared" si="39"/>
        <v>7.3882142857142853E-8</v>
      </c>
      <c r="S94" s="14">
        <f t="shared" si="39"/>
        <v>6.6921428571428568E-8</v>
      </c>
      <c r="T94" s="14">
        <f t="shared" si="39"/>
        <v>5.9092857142857145E-8</v>
      </c>
      <c r="U94" s="14">
        <f t="shared" si="39"/>
        <v>5.1439285714285709E-8</v>
      </c>
      <c r="V94" s="14">
        <f t="shared" si="39"/>
        <v>4.4446428571428567E-8</v>
      </c>
      <c r="W94" s="14">
        <f t="shared" si="39"/>
        <v>3.8260714285714281E-8</v>
      </c>
      <c r="X94" s="14">
        <f t="shared" si="39"/>
        <v>3.2886071428571421E-8</v>
      </c>
      <c r="Y94" s="14">
        <f t="shared" si="39"/>
        <v>2.8259285714285709E-8</v>
      </c>
      <c r="Z94" s="14">
        <f t="shared" si="39"/>
        <v>2.4311071428571425E-8</v>
      </c>
      <c r="AA94" s="14">
        <f t="shared" si="39"/>
        <v>2.0993571428571425E-8</v>
      </c>
      <c r="AB94" s="14">
        <f t="shared" si="39"/>
        <v>1.2445E-8</v>
      </c>
      <c r="AC94" s="14">
        <f t="shared" si="39"/>
        <v>7.0367857142857143E-9</v>
      </c>
      <c r="AD94" s="14">
        <f t="shared" si="39"/>
        <v>6.1057142857142849E-9</v>
      </c>
      <c r="AE94" s="14">
        <f t="shared" si="39"/>
        <v>5.3024999999999998E-9</v>
      </c>
      <c r="AF94" s="14">
        <f t="shared" si="39"/>
        <v>4.6082142857142851E-9</v>
      </c>
      <c r="AG94" s="14">
        <f t="shared" si="39"/>
        <v>4.0067857142857138E-9</v>
      </c>
      <c r="AH94" s="14">
        <f t="shared" si="39"/>
        <v>3.4859285714285713E-9</v>
      </c>
      <c r="AI94" s="14">
        <f t="shared" si="39"/>
        <v>3.0468571428571427E-9</v>
      </c>
      <c r="AJ94" s="14">
        <f t="shared" si="39"/>
        <v>2.6548571428571428E-9</v>
      </c>
      <c r="AK94" s="14">
        <f t="shared" si="39"/>
        <v>2.3107857142857143E-9</v>
      </c>
      <c r="AL94" s="14">
        <f t="shared" si="39"/>
        <v>1.3285714285714285E-9</v>
      </c>
    </row>
    <row r="95" spans="1:38" ht="21" customHeight="1" outlineLevel="1" thickBot="1" x14ac:dyDescent="0.4">
      <c r="A95" s="5">
        <f t="shared" si="25"/>
        <v>0</v>
      </c>
      <c r="B95" s="5">
        <f t="shared" si="25"/>
        <v>1</v>
      </c>
      <c r="C95" s="5">
        <f t="shared" si="25"/>
        <v>0</v>
      </c>
      <c r="D95" s="5">
        <f t="shared" si="25"/>
        <v>0</v>
      </c>
      <c r="E95" s="6" t="str">
        <f t="shared" si="21"/>
        <v>(1)Se[a]</v>
      </c>
      <c r="F95" s="14">
        <f t="shared" ref="F95:AL95" si="40">F19*$C$78</f>
        <v>2.3267142857142854E-9</v>
      </c>
      <c r="G95" s="14">
        <f t="shared" si="40"/>
        <v>7.4632142857142856E-9</v>
      </c>
      <c r="H95" s="14">
        <f t="shared" si="40"/>
        <v>1.9024285714285712E-8</v>
      </c>
      <c r="I95" s="14">
        <f t="shared" si="40"/>
        <v>3.6999999999999994E-8</v>
      </c>
      <c r="J95" s="14">
        <f t="shared" si="40"/>
        <v>5.4560714285714274E-8</v>
      </c>
      <c r="K95" s="14">
        <f t="shared" si="40"/>
        <v>5.4224999999999998E-8</v>
      </c>
      <c r="L95" s="14">
        <f t="shared" si="40"/>
        <v>4.978571428571428E-8</v>
      </c>
      <c r="M95" s="14">
        <f t="shared" si="40"/>
        <v>4.7575000000000001E-8</v>
      </c>
      <c r="N95" s="14">
        <f t="shared" si="40"/>
        <v>4.7692857142857142E-8</v>
      </c>
      <c r="O95" s="14">
        <f t="shared" si="40"/>
        <v>4.9114285714285713E-8</v>
      </c>
      <c r="P95" s="14">
        <f t="shared" si="40"/>
        <v>5.0092857142857137E-8</v>
      </c>
      <c r="Q95" s="14">
        <f t="shared" si="40"/>
        <v>4.9110714285714282E-8</v>
      </c>
      <c r="R95" s="14">
        <f t="shared" si="40"/>
        <v>4.5867857142857137E-8</v>
      </c>
      <c r="S95" s="14">
        <f t="shared" si="40"/>
        <v>4.1171428571428572E-8</v>
      </c>
      <c r="T95" s="14">
        <f t="shared" si="40"/>
        <v>3.6017857142857145E-8</v>
      </c>
      <c r="U95" s="14">
        <f t="shared" si="40"/>
        <v>3.1050357142857144E-8</v>
      </c>
      <c r="V95" s="14">
        <f t="shared" si="40"/>
        <v>2.6564642857142853E-8</v>
      </c>
      <c r="W95" s="14">
        <f t="shared" si="40"/>
        <v>2.2641071428571427E-8</v>
      </c>
      <c r="X95" s="14">
        <f t="shared" si="40"/>
        <v>1.9265000000000001E-8</v>
      </c>
      <c r="Y95" s="14">
        <f t="shared" si="40"/>
        <v>1.63875E-8</v>
      </c>
      <c r="Z95" s="14">
        <f t="shared" si="40"/>
        <v>1.3955357142857144E-8</v>
      </c>
      <c r="AA95" s="14">
        <f t="shared" si="40"/>
        <v>1.192892857142857E-8</v>
      </c>
      <c r="AB95" s="14">
        <f t="shared" si="40"/>
        <v>6.7917857142857145E-9</v>
      </c>
      <c r="AC95" s="14">
        <f t="shared" si="40"/>
        <v>3.6917857142857144E-9</v>
      </c>
      <c r="AD95" s="14">
        <f t="shared" si="40"/>
        <v>3.1726428571428568E-9</v>
      </c>
      <c r="AE95" s="14">
        <f t="shared" si="40"/>
        <v>2.7289642857142854E-9</v>
      </c>
      <c r="AF95" s="14">
        <f t="shared" si="40"/>
        <v>2.3491428571428569E-9</v>
      </c>
      <c r="AG95" s="14">
        <f t="shared" si="40"/>
        <v>2.0233571428571426E-9</v>
      </c>
      <c r="AH95" s="14">
        <f t="shared" si="40"/>
        <v>1.7439285714285711E-9</v>
      </c>
      <c r="AI95" s="14">
        <f t="shared" si="40"/>
        <v>1.510142857142857E-9</v>
      </c>
      <c r="AJ95" s="14">
        <f t="shared" si="40"/>
        <v>1.30375E-9</v>
      </c>
      <c r="AK95" s="14">
        <f t="shared" si="40"/>
        <v>1.124392857142857E-9</v>
      </c>
      <c r="AL95" s="14">
        <f t="shared" si="40"/>
        <v>6.2342857142857134E-10</v>
      </c>
    </row>
    <row r="96" spans="1:38" ht="21" customHeight="1" outlineLevel="1" thickBot="1" x14ac:dyDescent="0.4">
      <c r="A96" s="5">
        <f t="shared" si="25"/>
        <v>0</v>
      </c>
      <c r="B96" s="5">
        <f t="shared" si="25"/>
        <v>1</v>
      </c>
      <c r="C96" s="5">
        <f t="shared" si="25"/>
        <v>0</v>
      </c>
      <c r="D96" s="5">
        <f t="shared" si="25"/>
        <v>0</v>
      </c>
      <c r="E96" s="6" t="str">
        <f t="shared" si="21"/>
        <v>(1)Se[m]</v>
      </c>
      <c r="F96" s="14">
        <f t="shared" ref="F96:AL96" si="41">F20*$C$78</f>
        <v>8.5017857142857135E-3</v>
      </c>
      <c r="G96" s="14">
        <f t="shared" si="41"/>
        <v>2.91375E-2</v>
      </c>
      <c r="H96" s="14">
        <f t="shared" si="41"/>
        <v>8.1082142857142853E-2</v>
      </c>
      <c r="I96" s="14">
        <f t="shared" si="41"/>
        <v>0.17510357142857141</v>
      </c>
      <c r="J96" s="14">
        <f t="shared" si="41"/>
        <v>0.29063571428571428</v>
      </c>
      <c r="K96" s="14">
        <f t="shared" si="41"/>
        <v>0.50624999999999987</v>
      </c>
      <c r="L96" s="14">
        <f t="shared" si="41"/>
        <v>0.54228571428571426</v>
      </c>
      <c r="M96" s="14">
        <f t="shared" si="41"/>
        <v>0.60664285714285715</v>
      </c>
      <c r="N96" s="14">
        <f t="shared" si="41"/>
        <v>0.71375</v>
      </c>
      <c r="O96" s="14">
        <f t="shared" si="41"/>
        <v>0.86428571428571421</v>
      </c>
      <c r="P96" s="14">
        <f t="shared" si="41"/>
        <v>1.0380714285714283</v>
      </c>
      <c r="Q96" s="14">
        <f t="shared" si="41"/>
        <v>1.1996071428571429</v>
      </c>
      <c r="R96" s="14">
        <f t="shared" si="41"/>
        <v>1.3214642857142855</v>
      </c>
      <c r="S96" s="14">
        <f t="shared" si="41"/>
        <v>1.3994999999999997</v>
      </c>
      <c r="T96" s="14">
        <f t="shared" si="41"/>
        <v>1.4446428571428571</v>
      </c>
      <c r="U96" s="14">
        <f t="shared" si="41"/>
        <v>1.4695357142857142</v>
      </c>
      <c r="V96" s="14">
        <f t="shared" si="41"/>
        <v>1.4830357142857142</v>
      </c>
      <c r="W96" s="14">
        <f t="shared" si="41"/>
        <v>1.4904285714285714</v>
      </c>
      <c r="X96" s="14">
        <f t="shared" si="41"/>
        <v>1.4946785714285713</v>
      </c>
      <c r="Y96" s="14">
        <f t="shared" si="41"/>
        <v>1.4976071428571427</v>
      </c>
      <c r="Z96" s="14">
        <f t="shared" si="41"/>
        <v>1.5011785714285713</v>
      </c>
      <c r="AA96" s="14">
        <f t="shared" si="41"/>
        <v>1.5094642857142857</v>
      </c>
      <c r="AB96" s="14">
        <f t="shared" si="41"/>
        <v>1.6324642857142855</v>
      </c>
      <c r="AC96" s="14">
        <f t="shared" si="41"/>
        <v>1.6634642857142856</v>
      </c>
      <c r="AD96" s="14">
        <f t="shared" si="41"/>
        <v>1.669142857142857</v>
      </c>
      <c r="AE96" s="14">
        <f t="shared" si="41"/>
        <v>1.6750714285714283</v>
      </c>
      <c r="AF96" s="14">
        <f t="shared" si="41"/>
        <v>1.680892857142857</v>
      </c>
      <c r="AG96" s="14">
        <f t="shared" si="41"/>
        <v>1.686392857142857</v>
      </c>
      <c r="AH96" s="14">
        <f t="shared" si="41"/>
        <v>1.6917142857142855</v>
      </c>
      <c r="AI96" s="14">
        <f t="shared" si="41"/>
        <v>1.7037142857142857</v>
      </c>
      <c r="AJ96" s="14">
        <f t="shared" si="41"/>
        <v>1.7093214285714284</v>
      </c>
      <c r="AK96" s="14">
        <f t="shared" si="41"/>
        <v>1.7119285714285712</v>
      </c>
      <c r="AL96" s="14">
        <f t="shared" si="41"/>
        <v>1.714142857142857</v>
      </c>
    </row>
    <row r="97" spans="1:54" ht="21" customHeight="1" outlineLevel="1" thickBot="1" x14ac:dyDescent="0.4">
      <c r="A97" s="5">
        <f t="shared" ref="A97:D109" si="42">A63</f>
        <v>0</v>
      </c>
      <c r="B97" s="5">
        <f t="shared" si="42"/>
        <v>1</v>
      </c>
      <c r="C97" s="5">
        <f t="shared" si="42"/>
        <v>0</v>
      </c>
      <c r="D97" s="5">
        <f t="shared" si="42"/>
        <v>0</v>
      </c>
      <c r="E97" s="6" t="str">
        <f t="shared" si="21"/>
        <v>(1)Se[r]</v>
      </c>
      <c r="F97" s="14">
        <f t="shared" ref="F97:AL97" si="43">F21*$C$78</f>
        <v>2.5811785714285712E-11</v>
      </c>
      <c r="G97" s="14">
        <f t="shared" si="43"/>
        <v>1.0934285714285712E-10</v>
      </c>
      <c r="H97" s="14">
        <f t="shared" si="43"/>
        <v>3.59E-10</v>
      </c>
      <c r="I97" s="14">
        <f t="shared" si="43"/>
        <v>8.8021428571428562E-10</v>
      </c>
      <c r="J97" s="14">
        <f t="shared" si="43"/>
        <v>1.6063571428571427E-9</v>
      </c>
      <c r="K97" s="14">
        <f t="shared" si="43"/>
        <v>3.2451785714285709E-9</v>
      </c>
      <c r="L97" s="14">
        <f t="shared" si="43"/>
        <v>3.4594642857142853E-9</v>
      </c>
      <c r="M97" s="14">
        <f t="shared" si="43"/>
        <v>3.8046428571428571E-9</v>
      </c>
      <c r="N97" s="14">
        <f t="shared" si="43"/>
        <v>4.3542857142857141E-9</v>
      </c>
      <c r="O97" s="14">
        <f t="shared" si="43"/>
        <v>5.0828571428571423E-9</v>
      </c>
      <c r="P97" s="14">
        <f t="shared" si="43"/>
        <v>5.8375000000000002E-9</v>
      </c>
      <c r="Q97" s="14">
        <f t="shared" si="43"/>
        <v>6.4057142857142859E-9</v>
      </c>
      <c r="R97" s="14">
        <f t="shared" si="43"/>
        <v>6.6599999999999997E-9</v>
      </c>
      <c r="S97" s="14">
        <f t="shared" si="43"/>
        <v>6.6214285714285707E-9</v>
      </c>
      <c r="T97" s="14">
        <f t="shared" si="43"/>
        <v>6.3864285714285714E-9</v>
      </c>
      <c r="U97" s="14">
        <f t="shared" si="43"/>
        <v>6.0446428571428568E-9</v>
      </c>
      <c r="V97" s="14">
        <f t="shared" si="43"/>
        <v>5.6553571428571421E-9</v>
      </c>
      <c r="W97" s="14">
        <f t="shared" si="43"/>
        <v>5.2514285714285715E-9</v>
      </c>
      <c r="X97" s="14">
        <f t="shared" si="43"/>
        <v>4.852142857142857E-9</v>
      </c>
      <c r="Y97" s="14">
        <f t="shared" si="43"/>
        <v>4.4678571428571422E-9</v>
      </c>
      <c r="Z97" s="14">
        <f t="shared" si="43"/>
        <v>4.1060714285714289E-9</v>
      </c>
      <c r="AA97" s="14">
        <f t="shared" si="43"/>
        <v>3.7778571428571423E-9</v>
      </c>
      <c r="AB97" s="14">
        <f t="shared" si="43"/>
        <v>2.8169642857142855E-9</v>
      </c>
      <c r="AC97" s="14">
        <f t="shared" si="43"/>
        <v>1.9414285714285711E-9</v>
      </c>
      <c r="AD97" s="14">
        <f t="shared" si="43"/>
        <v>1.7627857142857139E-9</v>
      </c>
      <c r="AE97" s="14">
        <f t="shared" si="43"/>
        <v>1.5996428571428572E-9</v>
      </c>
      <c r="AF97" s="14">
        <f t="shared" si="43"/>
        <v>1.4506071428571427E-9</v>
      </c>
      <c r="AG97" s="14">
        <f t="shared" si="43"/>
        <v>1.3143928571428571E-9</v>
      </c>
      <c r="AH97" s="14">
        <f t="shared" si="43"/>
        <v>1.1901785714285715E-9</v>
      </c>
      <c r="AI97" s="14">
        <f t="shared" si="43"/>
        <v>1.0814285714285712E-9</v>
      </c>
      <c r="AJ97" s="14">
        <f t="shared" si="43"/>
        <v>9.7846428571428567E-10</v>
      </c>
      <c r="AK97" s="14">
        <f t="shared" si="43"/>
        <v>8.8335714285714275E-10</v>
      </c>
      <c r="AL97" s="14">
        <f t="shared" si="43"/>
        <v>5.8203571428571427E-10</v>
      </c>
    </row>
    <row r="98" spans="1:54" ht="2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1</v>
      </c>
      <c r="D98" s="5">
        <f t="shared" si="42"/>
        <v>0</v>
      </c>
      <c r="E98" s="6" t="str">
        <f t="shared" si="21"/>
        <v>(1)Geic]</v>
      </c>
      <c r="F98" s="14">
        <f t="shared" ref="F98:AL98" si="44">F22*$C$78</f>
        <v>1.8876428571428573E-6</v>
      </c>
      <c r="G98" s="14">
        <f t="shared" si="44"/>
        <v>4.0060714285714285E-6</v>
      </c>
      <c r="H98" s="14">
        <f t="shared" si="44"/>
        <v>9.5060714285714267E-6</v>
      </c>
      <c r="I98" s="14">
        <f t="shared" si="44"/>
        <v>2.729142857142857E-5</v>
      </c>
      <c r="J98" s="14">
        <f t="shared" si="44"/>
        <v>9.1021428571428557E-5</v>
      </c>
      <c r="K98" s="14">
        <f t="shared" si="44"/>
        <v>9.4264285714285717E-3</v>
      </c>
      <c r="L98" s="14">
        <f t="shared" si="44"/>
        <v>2.4243571428571427E-2</v>
      </c>
      <c r="M98" s="14">
        <f t="shared" si="44"/>
        <v>5.4892857142857139E-2</v>
      </c>
      <c r="N98" s="14">
        <f t="shared" si="44"/>
        <v>0.10766071428571429</v>
      </c>
      <c r="O98" s="14">
        <f t="shared" si="44"/>
        <v>0.18253214285714284</v>
      </c>
      <c r="P98" s="14">
        <f t="shared" si="44"/>
        <v>0.26919642857142856</v>
      </c>
      <c r="Q98" s="14">
        <f t="shared" si="44"/>
        <v>0.34986428571428568</v>
      </c>
      <c r="R98" s="14">
        <f t="shared" si="44"/>
        <v>0.41074999999999995</v>
      </c>
      <c r="S98" s="14">
        <f t="shared" si="44"/>
        <v>0.44974999999999993</v>
      </c>
      <c r="T98" s="14">
        <f t="shared" si="44"/>
        <v>0.47232142857142856</v>
      </c>
      <c r="U98" s="14">
        <f t="shared" si="44"/>
        <v>0.4847499999999999</v>
      </c>
      <c r="V98" s="14">
        <f t="shared" si="44"/>
        <v>0.49149999999999994</v>
      </c>
      <c r="W98" s="14">
        <f t="shared" si="44"/>
        <v>0.49521428571428572</v>
      </c>
      <c r="X98" s="14">
        <f t="shared" si="44"/>
        <v>0.49721428571428572</v>
      </c>
      <c r="Y98" s="14">
        <f t="shared" si="44"/>
        <v>0.49835714285714283</v>
      </c>
      <c r="Z98" s="14">
        <f t="shared" si="44"/>
        <v>0.49903571428571425</v>
      </c>
      <c r="AA98" s="14">
        <f t="shared" si="44"/>
        <v>0.49939285714285714</v>
      </c>
      <c r="AB98" s="14">
        <f t="shared" si="44"/>
        <v>0.49989285714285714</v>
      </c>
      <c r="AC98" s="14">
        <f t="shared" si="44"/>
        <v>0.49996428571428569</v>
      </c>
      <c r="AD98" s="14">
        <f t="shared" si="44"/>
        <v>0.5</v>
      </c>
      <c r="AE98" s="14">
        <f t="shared" si="44"/>
        <v>0.5</v>
      </c>
      <c r="AF98" s="14">
        <f t="shared" si="44"/>
        <v>0.5</v>
      </c>
      <c r="AG98" s="14">
        <f t="shared" si="44"/>
        <v>0.5</v>
      </c>
      <c r="AH98" s="14">
        <f t="shared" si="44"/>
        <v>0.49996428571428569</v>
      </c>
      <c r="AI98" s="14">
        <f t="shared" si="44"/>
        <v>0.49882142857142847</v>
      </c>
      <c r="AJ98" s="14">
        <f t="shared" si="44"/>
        <v>0.49789285714285714</v>
      </c>
      <c r="AK98" s="14">
        <f t="shared" si="44"/>
        <v>0.49710714285714286</v>
      </c>
      <c r="AL98" s="14">
        <f t="shared" si="44"/>
        <v>0.49425000000000002</v>
      </c>
    </row>
    <row r="99" spans="1:54" ht="2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1</v>
      </c>
      <c r="E99" s="6" t="str">
        <f t="shared" si="21"/>
        <v>(3)Ga[1]</v>
      </c>
      <c r="F99" s="14">
        <f t="shared" ref="F99:AL99" si="45">F23*$C$78</f>
        <v>0</v>
      </c>
      <c r="G99" s="14">
        <f t="shared" si="45"/>
        <v>0</v>
      </c>
      <c r="H99" s="14">
        <f t="shared" si="45"/>
        <v>0</v>
      </c>
      <c r="I99" s="14">
        <f t="shared" si="45"/>
        <v>0</v>
      </c>
      <c r="J99" s="14">
        <f t="shared" si="45"/>
        <v>0</v>
      </c>
      <c r="K99" s="14">
        <f t="shared" si="45"/>
        <v>0</v>
      </c>
      <c r="L99" s="14">
        <f t="shared" si="45"/>
        <v>0</v>
      </c>
      <c r="M99" s="14">
        <f t="shared" si="45"/>
        <v>0</v>
      </c>
      <c r="N99" s="14">
        <f t="shared" si="45"/>
        <v>0</v>
      </c>
      <c r="O99" s="14">
        <f t="shared" si="45"/>
        <v>0</v>
      </c>
      <c r="P99" s="14">
        <f t="shared" si="45"/>
        <v>0</v>
      </c>
      <c r="Q99" s="14">
        <f t="shared" si="45"/>
        <v>0</v>
      </c>
      <c r="R99" s="14">
        <f t="shared" si="45"/>
        <v>0</v>
      </c>
      <c r="S99" s="14">
        <f t="shared" si="45"/>
        <v>0</v>
      </c>
      <c r="T99" s="14">
        <f t="shared" si="45"/>
        <v>0</v>
      </c>
      <c r="U99" s="14">
        <f t="shared" si="45"/>
        <v>0</v>
      </c>
      <c r="V99" s="14">
        <f t="shared" si="45"/>
        <v>0</v>
      </c>
      <c r="W99" s="14">
        <f t="shared" si="45"/>
        <v>0</v>
      </c>
      <c r="X99" s="14">
        <f t="shared" si="45"/>
        <v>0</v>
      </c>
      <c r="Y99" s="14">
        <f t="shared" si="45"/>
        <v>0</v>
      </c>
      <c r="Z99" s="14">
        <f t="shared" si="45"/>
        <v>0</v>
      </c>
      <c r="AA99" s="14">
        <f t="shared" si="45"/>
        <v>0</v>
      </c>
      <c r="AB99" s="14">
        <f t="shared" si="45"/>
        <v>0</v>
      </c>
      <c r="AC99" s="14">
        <f t="shared" si="45"/>
        <v>5.0924999999999997E-22</v>
      </c>
      <c r="AD99" s="14">
        <f t="shared" si="45"/>
        <v>1.7283214285714286E-17</v>
      </c>
      <c r="AE99" s="14">
        <f t="shared" si="45"/>
        <v>3.0975357142857138E-13</v>
      </c>
      <c r="AF99" s="14">
        <f t="shared" si="45"/>
        <v>2.8282142857142854E-9</v>
      </c>
      <c r="AG99" s="14">
        <f t="shared" si="45"/>
        <v>5.1067857142857148E-7</v>
      </c>
      <c r="AH99" s="14">
        <f t="shared" si="45"/>
        <v>1.9680714285714284E-3</v>
      </c>
      <c r="AI99" s="14">
        <f t="shared" si="45"/>
        <v>4.425357142857142E-2</v>
      </c>
      <c r="AJ99" s="14">
        <f t="shared" si="45"/>
        <v>7.1332142857142858E-2</v>
      </c>
      <c r="AK99" s="14">
        <f t="shared" si="45"/>
        <v>8.9682142857142849E-2</v>
      </c>
      <c r="AL99" s="14">
        <f t="shared" si="45"/>
        <v>0.1261357142857143</v>
      </c>
    </row>
    <row r="100" spans="1:54" ht="2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1</v>
      </c>
      <c r="D100" s="5">
        <f t="shared" si="42"/>
        <v>0</v>
      </c>
      <c r="E100" s="6" t="str">
        <f t="shared" si="21"/>
        <v>(3)Ge[1]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0</v>
      </c>
      <c r="Y100" s="14">
        <f t="shared" si="46"/>
        <v>0</v>
      </c>
      <c r="Z100" s="14">
        <f t="shared" si="46"/>
        <v>0</v>
      </c>
      <c r="AA100" s="14">
        <f t="shared" si="46"/>
        <v>0</v>
      </c>
      <c r="AB100" s="14">
        <f t="shared" si="46"/>
        <v>0</v>
      </c>
      <c r="AC100" s="14">
        <f t="shared" si="46"/>
        <v>8.0174999999999996E-23</v>
      </c>
      <c r="AD100" s="14">
        <f t="shared" si="46"/>
        <v>2.0643928571428571E-18</v>
      </c>
      <c r="AE100" s="14">
        <f t="shared" si="46"/>
        <v>2.8653214285714286E-14</v>
      </c>
      <c r="AF100" s="14">
        <f t="shared" si="46"/>
        <v>2.0655714285714285E-10</v>
      </c>
      <c r="AG100" s="14">
        <f t="shared" si="46"/>
        <v>2.9956785714285715E-8</v>
      </c>
      <c r="AH100" s="14">
        <f t="shared" si="46"/>
        <v>9.502142857142856E-5</v>
      </c>
      <c r="AI100" s="14">
        <f t="shared" si="46"/>
        <v>2.3514999999999999E-3</v>
      </c>
      <c r="AJ100" s="14">
        <f t="shared" si="46"/>
        <v>4.1824999999999996E-3</v>
      </c>
      <c r="AK100" s="14">
        <f t="shared" si="46"/>
        <v>5.781428571428571E-3</v>
      </c>
      <c r="AL100" s="14">
        <f t="shared" si="46"/>
        <v>1.1506071428571428E-2</v>
      </c>
    </row>
    <row r="101" spans="1:54" ht="21" customHeight="1" outlineLevel="1" thickBot="1" x14ac:dyDescent="0.4">
      <c r="A101" s="5">
        <f t="shared" si="42"/>
        <v>1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 t="str">
        <f t="shared" si="21"/>
        <v>H (Ar)</v>
      </c>
      <c r="F101" s="14">
        <f t="shared" ref="F101:AL101" si="47">F25*$C$78</f>
        <v>-66.642857142857139</v>
      </c>
      <c r="G101" s="14">
        <f t="shared" si="47"/>
        <v>-66.607142857142847</v>
      </c>
      <c r="H101" s="14">
        <f t="shared" si="47"/>
        <v>-66.607142857142847</v>
      </c>
      <c r="I101" s="14">
        <f t="shared" si="47"/>
        <v>-66.642857142857139</v>
      </c>
      <c r="J101" s="14">
        <f t="shared" si="47"/>
        <v>-66.678571428571431</v>
      </c>
      <c r="K101" s="14">
        <f t="shared" si="47"/>
        <v>-66.964285714285708</v>
      </c>
      <c r="L101" s="14">
        <f t="shared" si="47"/>
        <v>-67.071428571428569</v>
      </c>
      <c r="M101" s="14">
        <f t="shared" si="47"/>
        <v>-67.178571428571416</v>
      </c>
      <c r="N101" s="14">
        <f t="shared" si="47"/>
        <v>-67.249999999999986</v>
      </c>
      <c r="O101" s="14">
        <f t="shared" si="47"/>
        <v>-67.357142857142847</v>
      </c>
      <c r="P101" s="14">
        <f t="shared" si="47"/>
        <v>-67.499999999999986</v>
      </c>
      <c r="Q101" s="14">
        <f t="shared" si="47"/>
        <v>-67.607142857142847</v>
      </c>
      <c r="R101" s="14">
        <f t="shared" si="47"/>
        <v>-67.714285714285708</v>
      </c>
      <c r="S101" s="14">
        <f t="shared" si="47"/>
        <v>-67.821428571428555</v>
      </c>
      <c r="T101" s="14">
        <f t="shared" si="47"/>
        <v>-67.964285714285708</v>
      </c>
      <c r="U101" s="14">
        <f t="shared" si="47"/>
        <v>-68.071428571428555</v>
      </c>
      <c r="V101" s="14">
        <f t="shared" si="47"/>
        <v>-68.214285714285708</v>
      </c>
      <c r="W101" s="14">
        <f t="shared" si="47"/>
        <v>-68.321428571428569</v>
      </c>
      <c r="X101" s="14">
        <f t="shared" si="47"/>
        <v>-68.464285714285722</v>
      </c>
      <c r="Y101" s="14">
        <f t="shared" si="47"/>
        <v>-68.571428571428569</v>
      </c>
      <c r="Z101" s="14">
        <f t="shared" si="47"/>
        <v>-68.678571428571431</v>
      </c>
      <c r="AA101" s="14">
        <f t="shared" si="47"/>
        <v>-68.821428571428569</v>
      </c>
      <c r="AB101" s="14">
        <f t="shared" si="47"/>
        <v>-69.214285714285708</v>
      </c>
      <c r="AC101" s="14">
        <f t="shared" si="47"/>
        <v>-69.678571428571431</v>
      </c>
      <c r="AD101" s="14">
        <f t="shared" si="47"/>
        <v>-69.821428571428569</v>
      </c>
      <c r="AE101" s="14">
        <f t="shared" si="47"/>
        <v>-69.928571428571416</v>
      </c>
      <c r="AF101" s="14">
        <f t="shared" si="47"/>
        <v>-70.035714285714278</v>
      </c>
      <c r="AG101" s="14">
        <f t="shared" si="47"/>
        <v>-70.142857142857139</v>
      </c>
      <c r="AH101" s="14">
        <f t="shared" si="47"/>
        <v>-70.25</v>
      </c>
      <c r="AI101" s="14">
        <f t="shared" si="47"/>
        <v>-70.357142857142847</v>
      </c>
      <c r="AJ101" s="14">
        <f t="shared" si="47"/>
        <v>-70.464285714285708</v>
      </c>
      <c r="AK101" s="14">
        <f t="shared" si="47"/>
        <v>-70.571428571428569</v>
      </c>
      <c r="AL101" s="14">
        <f t="shared" si="47"/>
        <v>-70.999999999999986</v>
      </c>
    </row>
    <row r="102" spans="1:54" ht="2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1</v>
      </c>
      <c r="E102" s="6" t="str">
        <f t="shared" si="21"/>
        <v>H (Ga)</v>
      </c>
      <c r="F102" s="14">
        <f t="shared" ref="F102:AL102" si="48">F26*$C$78</f>
        <v>-239.71428571428572</v>
      </c>
      <c r="G102" s="14">
        <f t="shared" si="48"/>
        <v>-226.85714285714286</v>
      </c>
      <c r="H102" s="14">
        <f t="shared" si="48"/>
        <v>-214.71428571428569</v>
      </c>
      <c r="I102" s="14">
        <f t="shared" si="48"/>
        <v>-202.71428571428569</v>
      </c>
      <c r="J102" s="14">
        <f t="shared" si="48"/>
        <v>-190.71428571428569</v>
      </c>
      <c r="K102" s="14">
        <f t="shared" si="48"/>
        <v>-146.57142857142856</v>
      </c>
      <c r="L102" s="14">
        <f t="shared" si="48"/>
        <v>-137.32142857142858</v>
      </c>
      <c r="M102" s="14">
        <f t="shared" si="48"/>
        <v>-128.85714285714283</v>
      </c>
      <c r="N102" s="14">
        <f t="shared" si="48"/>
        <v>-121.17857142857142</v>
      </c>
      <c r="O102" s="14">
        <f t="shared" si="48"/>
        <v>-114.07142857142857</v>
      </c>
      <c r="P102" s="14">
        <f t="shared" si="48"/>
        <v>-107.39285714285714</v>
      </c>
      <c r="Q102" s="14">
        <f t="shared" si="48"/>
        <v>-101</v>
      </c>
      <c r="R102" s="14">
        <f t="shared" si="48"/>
        <v>-94.785714285714278</v>
      </c>
      <c r="S102" s="14">
        <f t="shared" si="48"/>
        <v>-88.821428571428569</v>
      </c>
      <c r="T102" s="14">
        <f t="shared" si="48"/>
        <v>-83.107142857142847</v>
      </c>
      <c r="U102" s="14">
        <f t="shared" si="48"/>
        <v>-77.642857142857139</v>
      </c>
      <c r="V102" s="14">
        <f t="shared" si="48"/>
        <v>-72.392857142857139</v>
      </c>
      <c r="W102" s="14">
        <f t="shared" si="48"/>
        <v>-67.392857142857139</v>
      </c>
      <c r="X102" s="14">
        <f t="shared" si="48"/>
        <v>-62.642857142857139</v>
      </c>
      <c r="Y102" s="14">
        <f t="shared" si="48"/>
        <v>-58.071428571428569</v>
      </c>
      <c r="Z102" s="14">
        <f t="shared" si="48"/>
        <v>-53.75</v>
      </c>
      <c r="AA102" s="14">
        <f t="shared" si="48"/>
        <v>-49.678571428571423</v>
      </c>
      <c r="AB102" s="14">
        <f t="shared" si="48"/>
        <v>-38.535714285714278</v>
      </c>
      <c r="AC102" s="14">
        <f t="shared" si="48"/>
        <v>-32.853571428571428</v>
      </c>
      <c r="AD102" s="14">
        <f t="shared" si="48"/>
        <v>-31.692857142857143</v>
      </c>
      <c r="AE102" s="14">
        <f t="shared" si="48"/>
        <v>-30.617857142857144</v>
      </c>
      <c r="AF102" s="14">
        <f t="shared" si="48"/>
        <v>-29.624999999999996</v>
      </c>
      <c r="AG102" s="14">
        <f t="shared" si="48"/>
        <v>-28.699999999999996</v>
      </c>
      <c r="AH102" s="14">
        <f t="shared" si="48"/>
        <v>-27.87142857142857</v>
      </c>
      <c r="AI102" s="14">
        <f t="shared" si="48"/>
        <v>-28.057142857142853</v>
      </c>
      <c r="AJ102" s="14">
        <f t="shared" si="48"/>
        <v>-28.267857142857142</v>
      </c>
      <c r="AK102" s="14">
        <f t="shared" si="48"/>
        <v>-28.471428571428572</v>
      </c>
      <c r="AL102" s="14">
        <f t="shared" si="48"/>
        <v>-29.274999999999995</v>
      </c>
    </row>
    <row r="103" spans="1:54" ht="2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1</v>
      </c>
      <c r="D103" s="5">
        <f t="shared" si="42"/>
        <v>0</v>
      </c>
      <c r="E103" s="6" t="str">
        <f t="shared" si="21"/>
        <v>H (Ge)</v>
      </c>
      <c r="F103" s="14">
        <f t="shared" ref="F103:AL103" si="49">F27*$C$78</f>
        <v>-60.642857142857139</v>
      </c>
      <c r="G103" s="14">
        <f t="shared" si="49"/>
        <v>-57.999999999999993</v>
      </c>
      <c r="H103" s="14">
        <f t="shared" si="49"/>
        <v>-55.071428571428569</v>
      </c>
      <c r="I103" s="14">
        <f t="shared" si="49"/>
        <v>-51.642857142857139</v>
      </c>
      <c r="J103" s="14">
        <f t="shared" si="49"/>
        <v>-47.714285714285708</v>
      </c>
      <c r="K103" s="14">
        <f t="shared" si="49"/>
        <v>-32.021428571428565</v>
      </c>
      <c r="L103" s="14">
        <f t="shared" si="49"/>
        <v>-28.846428571428568</v>
      </c>
      <c r="M103" s="14">
        <f t="shared" si="49"/>
        <v>-26.19285714285714</v>
      </c>
      <c r="N103" s="14">
        <f t="shared" si="49"/>
        <v>-24.139285714285712</v>
      </c>
      <c r="O103" s="14">
        <f t="shared" si="49"/>
        <v>-22.678571428571427</v>
      </c>
      <c r="P103" s="14">
        <f t="shared" si="49"/>
        <v>-21.73928571428571</v>
      </c>
      <c r="Q103" s="14">
        <f t="shared" si="49"/>
        <v>-21.207142857142856</v>
      </c>
      <c r="R103" s="14">
        <f t="shared" si="49"/>
        <v>-20.964285714285712</v>
      </c>
      <c r="S103" s="14">
        <f t="shared" si="49"/>
        <v>-20.9</v>
      </c>
      <c r="T103" s="14">
        <f t="shared" si="49"/>
        <v>-20.932142857142853</v>
      </c>
      <c r="U103" s="14">
        <f t="shared" si="49"/>
        <v>-21.021428571428569</v>
      </c>
      <c r="V103" s="14">
        <f t="shared" si="49"/>
        <v>-21.135714285714286</v>
      </c>
      <c r="W103" s="14">
        <f t="shared" si="49"/>
        <v>-21.267857142857142</v>
      </c>
      <c r="X103" s="14">
        <f t="shared" si="49"/>
        <v>-21.403571428571428</v>
      </c>
      <c r="Y103" s="14">
        <f t="shared" si="49"/>
        <v>-21.546428571428571</v>
      </c>
      <c r="Z103" s="14">
        <f t="shared" si="49"/>
        <v>-21.69285714285714</v>
      </c>
      <c r="AA103" s="14">
        <f t="shared" si="49"/>
        <v>-21.849999999999998</v>
      </c>
      <c r="AB103" s="14">
        <f t="shared" si="49"/>
        <v>-22.614285714285714</v>
      </c>
      <c r="AC103" s="14">
        <f t="shared" si="49"/>
        <v>-23.24285714285714</v>
      </c>
      <c r="AD103" s="14">
        <f t="shared" si="49"/>
        <v>-23.396428571428569</v>
      </c>
      <c r="AE103" s="14">
        <f t="shared" si="49"/>
        <v>-23.55</v>
      </c>
      <c r="AF103" s="14">
        <f t="shared" si="49"/>
        <v>-23.7</v>
      </c>
      <c r="AG103" s="14">
        <f t="shared" si="49"/>
        <v>-23.849999999999998</v>
      </c>
      <c r="AH103" s="14">
        <f t="shared" si="49"/>
        <v>-23.99642857142857</v>
      </c>
      <c r="AI103" s="14">
        <f t="shared" si="49"/>
        <v>-24.110714285714284</v>
      </c>
      <c r="AJ103" s="14">
        <f t="shared" si="49"/>
        <v>-24.228571428571428</v>
      </c>
      <c r="AK103" s="14">
        <f t="shared" si="49"/>
        <v>-24.346428571428572</v>
      </c>
      <c r="AL103" s="14">
        <f t="shared" si="49"/>
        <v>-24.835714285714282</v>
      </c>
    </row>
    <row r="104" spans="1:54" ht="21" customHeight="1" outlineLevel="1" thickBot="1" x14ac:dyDescent="0.4">
      <c r="A104" s="5">
        <f t="shared" si="42"/>
        <v>0</v>
      </c>
      <c r="B104" s="5">
        <f t="shared" si="42"/>
        <v>1</v>
      </c>
      <c r="C104" s="5">
        <f t="shared" si="42"/>
        <v>0</v>
      </c>
      <c r="D104" s="5">
        <f t="shared" si="42"/>
        <v>0</v>
      </c>
      <c r="E104" s="6" t="str">
        <f t="shared" si="21"/>
        <v>H (Se)</v>
      </c>
      <c r="F104" s="14">
        <f t="shared" ref="F104:AL104" si="50">F28*$C$78</f>
        <v>-84.142857142857139</v>
      </c>
      <c r="G104" s="14">
        <f t="shared" si="50"/>
        <v>-80.464285714285708</v>
      </c>
      <c r="H104" s="14">
        <f t="shared" si="50"/>
        <v>-77.678571428571416</v>
      </c>
      <c r="I104" s="14">
        <f t="shared" si="50"/>
        <v>-76</v>
      </c>
      <c r="J104" s="14">
        <f t="shared" si="50"/>
        <v>-75.321428571428569</v>
      </c>
      <c r="K104" s="14">
        <f t="shared" si="50"/>
        <v>-77.321428571428555</v>
      </c>
      <c r="L104" s="14">
        <f t="shared" si="50"/>
        <v>-78.035714285714292</v>
      </c>
      <c r="M104" s="14">
        <f t="shared" si="50"/>
        <v>-78.678571428571431</v>
      </c>
      <c r="N104" s="14">
        <f t="shared" si="50"/>
        <v>-79.214285714285708</v>
      </c>
      <c r="O104" s="14">
        <f t="shared" si="50"/>
        <v>-79.714285714285708</v>
      </c>
      <c r="P104" s="14">
        <f t="shared" si="50"/>
        <v>-80.249999999999986</v>
      </c>
      <c r="Q104" s="14">
        <f t="shared" si="50"/>
        <v>-80.892857142857139</v>
      </c>
      <c r="R104" s="14">
        <f t="shared" si="50"/>
        <v>-81.642857142857139</v>
      </c>
      <c r="S104" s="14">
        <f t="shared" si="50"/>
        <v>-82.428571428571416</v>
      </c>
      <c r="T104" s="14">
        <f t="shared" si="50"/>
        <v>-83.249999999999986</v>
      </c>
      <c r="U104" s="14">
        <f t="shared" si="50"/>
        <v>-84.071428571428569</v>
      </c>
      <c r="V104" s="14">
        <f t="shared" si="50"/>
        <v>-84.928571428571431</v>
      </c>
      <c r="W104" s="14">
        <f t="shared" si="50"/>
        <v>-85.75</v>
      </c>
      <c r="X104" s="14">
        <f t="shared" si="50"/>
        <v>-86.607142857142847</v>
      </c>
      <c r="Y104" s="14">
        <f t="shared" si="50"/>
        <v>-87.428571428571431</v>
      </c>
      <c r="Z104" s="14">
        <f t="shared" si="50"/>
        <v>-88.25</v>
      </c>
      <c r="AA104" s="14">
        <f t="shared" si="50"/>
        <v>-89.071428571428569</v>
      </c>
      <c r="AB104" s="14">
        <f t="shared" si="50"/>
        <v>-92.214285714285708</v>
      </c>
      <c r="AC104" s="14">
        <f t="shared" si="50"/>
        <v>-95.285714285714278</v>
      </c>
      <c r="AD104" s="14">
        <f t="shared" si="50"/>
        <v>-96.071428571428555</v>
      </c>
      <c r="AE104" s="14">
        <f t="shared" si="50"/>
        <v>-96.821428571428569</v>
      </c>
      <c r="AF104" s="14">
        <f t="shared" si="50"/>
        <v>-97.571428571428569</v>
      </c>
      <c r="AG104" s="14">
        <f t="shared" si="50"/>
        <v>-98.285714285714278</v>
      </c>
      <c r="AH104" s="14">
        <f t="shared" si="50"/>
        <v>-99.035714285714278</v>
      </c>
      <c r="AI104" s="14">
        <f t="shared" si="50"/>
        <v>-99.714285714285708</v>
      </c>
      <c r="AJ104" s="14">
        <f t="shared" si="50"/>
        <v>-100.39285714285714</v>
      </c>
      <c r="AK104" s="14">
        <f t="shared" si="50"/>
        <v>-101.07142857142857</v>
      </c>
      <c r="AL104" s="14">
        <f t="shared" si="50"/>
        <v>-103.85714285714285</v>
      </c>
    </row>
    <row r="105" spans="1:54" ht="2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289.7</v>
      </c>
      <c r="H113" s="4">
        <f t="shared" si="55"/>
        <v>306.2</v>
      </c>
      <c r="I113" s="4">
        <f t="shared" si="55"/>
        <v>322.7</v>
      </c>
      <c r="J113" s="4">
        <f t="shared" si="55"/>
        <v>339.2</v>
      </c>
      <c r="K113" s="4">
        <f t="shared" si="55"/>
        <v>405.3</v>
      </c>
      <c r="L113" s="4">
        <f t="shared" si="55"/>
        <v>421.8</v>
      </c>
      <c r="M113" s="4">
        <f t="shared" si="55"/>
        <v>438.3</v>
      </c>
      <c r="N113" s="4">
        <f t="shared" si="55"/>
        <v>454.9</v>
      </c>
      <c r="O113" s="4">
        <f t="shared" si="55"/>
        <v>471.4</v>
      </c>
      <c r="P113" s="4">
        <f t="shared" si="55"/>
        <v>487.9</v>
      </c>
      <c r="Q113" s="4">
        <f t="shared" si="55"/>
        <v>504.4</v>
      </c>
      <c r="R113" s="4">
        <f t="shared" si="55"/>
        <v>520.9</v>
      </c>
      <c r="S113" s="4">
        <f t="shared" si="55"/>
        <v>537.5</v>
      </c>
      <c r="T113" s="4">
        <f t="shared" si="55"/>
        <v>554</v>
      </c>
      <c r="U113" s="4">
        <f t="shared" si="55"/>
        <v>570.5</v>
      </c>
      <c r="V113" s="4">
        <f t="shared" si="55"/>
        <v>587</v>
      </c>
      <c r="W113" s="4">
        <f t="shared" si="55"/>
        <v>603.5</v>
      </c>
      <c r="X113" s="4">
        <f t="shared" si="55"/>
        <v>620.1</v>
      </c>
      <c r="Y113" s="4">
        <f t="shared" si="55"/>
        <v>636.6</v>
      </c>
      <c r="Z113" s="4">
        <f t="shared" si="55"/>
        <v>653.1</v>
      </c>
      <c r="AA113" s="4">
        <f t="shared" si="55"/>
        <v>669.6</v>
      </c>
      <c r="AB113" s="4">
        <f t="shared" si="55"/>
        <v>735.7</v>
      </c>
      <c r="AC113" s="4">
        <f t="shared" si="55"/>
        <v>801.8</v>
      </c>
      <c r="AD113" s="4">
        <f t="shared" si="55"/>
        <v>818.3</v>
      </c>
      <c r="AE113" s="4">
        <f t="shared" si="55"/>
        <v>834.8</v>
      </c>
      <c r="AF113" s="4">
        <f t="shared" si="55"/>
        <v>851.3</v>
      </c>
      <c r="AG113" s="4">
        <f t="shared" si="55"/>
        <v>867.8</v>
      </c>
      <c r="AH113" s="4">
        <f t="shared" si="55"/>
        <v>884.4</v>
      </c>
      <c r="AI113" s="4">
        <f t="shared" si="55"/>
        <v>900.9</v>
      </c>
      <c r="AJ113" s="4">
        <f t="shared" si="55"/>
        <v>917.4</v>
      </c>
      <c r="AK113" s="4">
        <f t="shared" si="55"/>
        <v>933.9</v>
      </c>
      <c r="AL113" s="4">
        <f t="shared" si="55"/>
        <v>1000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-482.04501535714286</v>
      </c>
      <c r="C114" s="24">
        <f>COUNTA(E114:E121)+1</f>
        <v>7</v>
      </c>
      <c r="E114" s="17" t="s">
        <v>35</v>
      </c>
      <c r="F114" s="52">
        <f ca="1">F$113*$B$2*SUMPRODUCT(F$88:F$98,F$54:F$64)/1000</f>
        <v>-138.25933621916215</v>
      </c>
      <c r="G114" s="52">
        <f t="shared" ref="G114:AL114" ca="1" si="56">G$113*$B$2*SUMPRODUCT(G$88:G$98,G$54:G$64)/1000</f>
        <v>-140.28345403313827</v>
      </c>
      <c r="H114" s="52">
        <f t="shared" ca="1" si="56"/>
        <v>-142.62706086943717</v>
      </c>
      <c r="I114" s="52">
        <f t="shared" ca="1" si="56"/>
        <v>-145.58270951348359</v>
      </c>
      <c r="J114" s="52">
        <f t="shared" ca="1" si="56"/>
        <v>-148.9549166075719</v>
      </c>
      <c r="K114" s="52">
        <f t="shared" ca="1" si="56"/>
        <v>-163.65796285442946</v>
      </c>
      <c r="L114" s="52">
        <f t="shared" ca="1" si="56"/>
        <v>-167.65961923392808</v>
      </c>
      <c r="M114" s="52">
        <f t="shared" ca="1" si="56"/>
        <v>-172.06080777583637</v>
      </c>
      <c r="N114" s="52">
        <f t="shared" ca="1" si="56"/>
        <v>-177.03020804486849</v>
      </c>
      <c r="O114" s="52">
        <f t="shared" ca="1" si="56"/>
        <v>-182.5954597127739</v>
      </c>
      <c r="P114" s="52">
        <f t="shared" ca="1" si="56"/>
        <v>-188.79362828712445</v>
      </c>
      <c r="Q114" s="52">
        <f t="shared" ca="1" si="56"/>
        <v>-195.54439707765377</v>
      </c>
      <c r="R114" s="52">
        <f t="shared" ca="1" si="56"/>
        <v>-202.71474068398356</v>
      </c>
      <c r="S114" s="52">
        <f t="shared" ca="1" si="56"/>
        <v>-210.13861587612112</v>
      </c>
      <c r="T114" s="52">
        <f t="shared" ca="1" si="56"/>
        <v>-217.7098632496205</v>
      </c>
      <c r="U114" s="52">
        <f t="shared" ca="1" si="56"/>
        <v>-225.39690642683649</v>
      </c>
      <c r="V114" s="52">
        <f t="shared" ca="1" si="56"/>
        <v>-233.26374175175252</v>
      </c>
      <c r="W114" s="52">
        <f t="shared" ca="1" si="56"/>
        <v>-241.17280794127376</v>
      </c>
      <c r="X114" s="52">
        <f t="shared" ca="1" si="56"/>
        <v>-249.32576592846698</v>
      </c>
      <c r="Y114" s="52">
        <f t="shared" ca="1" si="56"/>
        <v>-257.49597303351482</v>
      </c>
      <c r="Z114" s="52">
        <f t="shared" ca="1" si="56"/>
        <v>-265.8953744740831</v>
      </c>
      <c r="AA114" s="52">
        <f t="shared" ca="1" si="56"/>
        <v>-274.78323727860652</v>
      </c>
      <c r="AB114" s="52">
        <f t="shared" ca="1" si="56"/>
        <v>-317.91923673329478</v>
      </c>
      <c r="AC114" s="52">
        <f t="shared" ca="1" si="56"/>
        <v>-357.03928653904933</v>
      </c>
      <c r="AD114" s="52">
        <f t="shared" ca="1" si="56"/>
        <v>-366.93941464348023</v>
      </c>
      <c r="AE114" s="52">
        <f t="shared" ca="1" si="56"/>
        <v>-376.846072638929</v>
      </c>
      <c r="AF114" s="52">
        <f t="shared" ca="1" si="56"/>
        <v>-386.85408888476098</v>
      </c>
      <c r="AG114" s="52">
        <f t="shared" ca="1" si="56"/>
        <v>-396.86542065946702</v>
      </c>
      <c r="AH114" s="52">
        <f t="shared" ca="1" si="56"/>
        <v>-407.04318115256251</v>
      </c>
      <c r="AI114" s="52">
        <f t="shared" ca="1" si="56"/>
        <v>-414.76745649540379</v>
      </c>
      <c r="AJ114" s="52">
        <f t="shared" ca="1" si="56"/>
        <v>-423.41450278074808</v>
      </c>
      <c r="AK114" s="52">
        <f t="shared" ca="1" si="56"/>
        <v>-432.63018951556705</v>
      </c>
      <c r="AL114" s="52">
        <f t="shared" ca="1" si="56"/>
        <v>-472.7836176019282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33</v>
      </c>
      <c r="E115" s="17" t="s">
        <v>37</v>
      </c>
      <c r="F115" s="14">
        <f ca="1">F$113*$B$2*SUMPRODUCT(F$99:F$100,F$65:F$66)/1000</f>
        <v>0</v>
      </c>
      <c r="G115" s="14">
        <f t="shared" ref="G115:AL115" ca="1" si="57">G$113*$B$2*SUMPRODUCT(G$99:G$100,G$65:G$66)/1000</f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0</v>
      </c>
      <c r="W115" s="14">
        <f t="shared" ca="1" si="57"/>
        <v>0</v>
      </c>
      <c r="X115" s="14">
        <f t="shared" ca="1" si="57"/>
        <v>0</v>
      </c>
      <c r="Y115" s="14">
        <f t="shared" ca="1" si="57"/>
        <v>0</v>
      </c>
      <c r="Z115" s="14">
        <f t="shared" ca="1" si="57"/>
        <v>0</v>
      </c>
      <c r="AA115" s="14">
        <f t="shared" ca="1" si="57"/>
        <v>0</v>
      </c>
      <c r="AB115" s="14">
        <f t="shared" ca="1" si="57"/>
        <v>0</v>
      </c>
      <c r="AC115" s="14">
        <f t="shared" ca="1" si="57"/>
        <v>-3.4708607412758862E-20</v>
      </c>
      <c r="AD115" s="14">
        <f t="shared" ca="1" si="57"/>
        <v>-1.1355133014573897E-15</v>
      </c>
      <c r="AE115" s="14">
        <f t="shared" ca="1" si="57"/>
        <v>-1.9743216113992303E-11</v>
      </c>
      <c r="AF115" s="14">
        <f t="shared" ca="1" si="57"/>
        <v>-1.7575537705058117E-7</v>
      </c>
      <c r="AG115" s="14">
        <f t="shared" ca="1" si="57"/>
        <v>-3.1053772332817487E-5</v>
      </c>
      <c r="AH115" s="14">
        <f t="shared" ca="1" si="57"/>
        <v>-0.11763348799203781</v>
      </c>
      <c r="AI115" s="14">
        <f t="shared" ca="1" si="57"/>
        <v>-2.7230412222024829</v>
      </c>
      <c r="AJ115" s="14">
        <f t="shared" ca="1" si="57"/>
        <v>-4.5229951659575507</v>
      </c>
      <c r="AK115" s="14">
        <f t="shared" ca="1" si="57"/>
        <v>-5.8575234687240929</v>
      </c>
      <c r="AL115" s="14">
        <f t="shared" ca="1" si="57"/>
        <v>-9.2619179081539276</v>
      </c>
    </row>
    <row r="116" spans="1:38" ht="21" customHeight="1" outlineLevel="1" thickBot="1" x14ac:dyDescent="0.4">
      <c r="E116" s="17" t="s">
        <v>14</v>
      </c>
      <c r="F116" s="14">
        <f ca="1">F$113*$B$2*SUMPRODUCT(F$83:F$85,F$49:F$51)/1000</f>
        <v>-13.780150021182845</v>
      </c>
      <c r="G116" s="14">
        <f t="shared" ref="G116:AL116" ca="1" si="58">G$113*$B$2*SUMPRODUCT(G$83:G$85,G$49:G$51)/1000</f>
        <v>-13.719479910013501</v>
      </c>
      <c r="H116" s="14">
        <f t="shared" ca="1" si="58"/>
        <v>-13.420019657028917</v>
      </c>
      <c r="I116" s="14">
        <f t="shared" ca="1" si="58"/>
        <v>-12.850262219715306</v>
      </c>
      <c r="J116" s="14">
        <f t="shared" ca="1" si="58"/>
        <v>-12.205759711700876</v>
      </c>
      <c r="K116" s="14">
        <f t="shared" ca="1" si="58"/>
        <v>-11.384343010479316</v>
      </c>
      <c r="L116" s="14">
        <f t="shared" ca="1" si="58"/>
        <v>-11.295328576592365</v>
      </c>
      <c r="M116" s="14">
        <f t="shared" ca="1" si="58"/>
        <v>-11.075155435931345</v>
      </c>
      <c r="N116" s="14">
        <f t="shared" ca="1" si="58"/>
        <v>-10.681785004024798</v>
      </c>
      <c r="O116" s="14">
        <f t="shared" ca="1" si="58"/>
        <v>-10.14672345141866</v>
      </c>
      <c r="P116" s="14">
        <f t="shared" ca="1" si="58"/>
        <v>-9.5915813718371989</v>
      </c>
      <c r="Q116" s="14">
        <f t="shared" ca="1" si="58"/>
        <v>-9.1428980735247798</v>
      </c>
      <c r="R116" s="14">
        <f t="shared" ca="1" si="58"/>
        <v>-8.8555133327458044</v>
      </c>
      <c r="S116" s="14">
        <f t="shared" ca="1" si="58"/>
        <v>-8.7125339362070093</v>
      </c>
      <c r="T116" s="14">
        <f t="shared" ca="1" si="58"/>
        <v>-8.6648553223124036</v>
      </c>
      <c r="U116" s="14">
        <f t="shared" ca="1" si="58"/>
        <v>-8.672928977111436</v>
      </c>
      <c r="V116" s="14">
        <f t="shared" ca="1" si="58"/>
        <v>-8.712698153134907</v>
      </c>
      <c r="W116" s="14">
        <f t="shared" ca="1" si="58"/>
        <v>-8.766045474232163</v>
      </c>
      <c r="X116" s="14">
        <f t="shared" ca="1" si="58"/>
        <v>-8.8263372659871226</v>
      </c>
      <c r="Y116" s="14">
        <f t="shared" ca="1" si="58"/>
        <v>-8.8565818740510522</v>
      </c>
      <c r="Z116" s="14">
        <f t="shared" ca="1" si="58"/>
        <v>-8.7837564986522931</v>
      </c>
      <c r="AA116" s="14">
        <f t="shared" ca="1" si="58"/>
        <v>-8.3727740302004339</v>
      </c>
      <c r="AB116" s="14">
        <f t="shared" ca="1" si="58"/>
        <v>-0.99418124664108398</v>
      </c>
      <c r="AC116" s="14">
        <f t="shared" ca="1" si="58"/>
        <v>-1.7062927963174535E-2</v>
      </c>
      <c r="AD116" s="14">
        <f t="shared" ca="1" si="58"/>
        <v>-6.2011101265737993E-3</v>
      </c>
      <c r="AE116" s="14">
        <f t="shared" ca="1" si="58"/>
        <v>-2.2679971290620023E-3</v>
      </c>
      <c r="AF116" s="14">
        <f t="shared" ca="1" si="58"/>
        <v>-8.4131853743693444E-4</v>
      </c>
      <c r="AG116" s="14">
        <f t="shared" ca="1" si="58"/>
        <v>-3.2818675877928556E-4</v>
      </c>
      <c r="AH116" s="14">
        <f t="shared" ca="1" si="58"/>
        <v>-1.514817653685323E-4</v>
      </c>
      <c r="AI116" s="14">
        <f t="shared" ca="1" si="58"/>
        <v>-6.6367650121287367E-5</v>
      </c>
      <c r="AJ116" s="14">
        <f t="shared" ca="1" si="58"/>
        <v>-4.7871631901840948E-5</v>
      </c>
      <c r="AK116" s="14">
        <f t="shared" ca="1" si="58"/>
        <v>-4.427337200441796E-5</v>
      </c>
      <c r="AL116" s="14">
        <f t="shared" ca="1" si="58"/>
        <v>-4.3585590670203575E-5</v>
      </c>
    </row>
    <row r="117" spans="1:38" ht="21" customHeight="1" outlineLevel="1" thickBot="1" x14ac:dyDescent="0.4">
      <c r="E117" s="17" t="s">
        <v>36</v>
      </c>
      <c r="F117" s="14">
        <f ca="1">F116+F114</f>
        <v>-152.03948624034498</v>
      </c>
      <c r="G117" s="14">
        <f t="shared" ref="G117:AL117" ca="1" si="59">G116+G114</f>
        <v>-154.00293394315176</v>
      </c>
      <c r="H117" s="14">
        <f t="shared" ca="1" si="59"/>
        <v>-156.04708052646609</v>
      </c>
      <c r="I117" s="14">
        <f t="shared" ca="1" si="59"/>
        <v>-158.43297173319891</v>
      </c>
      <c r="J117" s="14">
        <f t="shared" ca="1" si="59"/>
        <v>-161.16067631927277</v>
      </c>
      <c r="K117" s="14">
        <f t="shared" ca="1" si="59"/>
        <v>-175.04230586490877</v>
      </c>
      <c r="L117" s="14">
        <f t="shared" ca="1" si="59"/>
        <v>-178.95494781052045</v>
      </c>
      <c r="M117" s="14">
        <f t="shared" ca="1" si="59"/>
        <v>-183.13596321176772</v>
      </c>
      <c r="N117" s="14">
        <f t="shared" ca="1" si="59"/>
        <v>-187.71199304889328</v>
      </c>
      <c r="O117" s="14">
        <f t="shared" ca="1" si="59"/>
        <v>-192.74218316419257</v>
      </c>
      <c r="P117" s="14">
        <f t="shared" ca="1" si="59"/>
        <v>-198.38520965896166</v>
      </c>
      <c r="Q117" s="14">
        <f t="shared" ca="1" si="59"/>
        <v>-204.68729515117855</v>
      </c>
      <c r="R117" s="14">
        <f t="shared" ca="1" si="59"/>
        <v>-211.57025401672936</v>
      </c>
      <c r="S117" s="14">
        <f t="shared" ca="1" si="59"/>
        <v>-218.85114981232812</v>
      </c>
      <c r="T117" s="14">
        <f t="shared" ca="1" si="59"/>
        <v>-226.3747185719329</v>
      </c>
      <c r="U117" s="14">
        <f t="shared" ca="1" si="59"/>
        <v>-234.06983540394793</v>
      </c>
      <c r="V117" s="14">
        <f t="shared" ca="1" si="59"/>
        <v>-241.97643990488743</v>
      </c>
      <c r="W117" s="14">
        <f t="shared" ca="1" si="59"/>
        <v>-249.93885341550592</v>
      </c>
      <c r="X117" s="14">
        <f t="shared" ca="1" si="59"/>
        <v>-258.15210319445413</v>
      </c>
      <c r="Y117" s="14">
        <f t="shared" ca="1" si="59"/>
        <v>-266.35255490756589</v>
      </c>
      <c r="Z117" s="14">
        <f t="shared" ca="1" si="59"/>
        <v>-274.67913097273538</v>
      </c>
      <c r="AA117" s="14">
        <f t="shared" ca="1" si="59"/>
        <v>-283.15601130880697</v>
      </c>
      <c r="AB117" s="14">
        <f t="shared" ca="1" si="59"/>
        <v>-318.91341797993584</v>
      </c>
      <c r="AC117" s="14">
        <f t="shared" ca="1" si="59"/>
        <v>-357.05634946701252</v>
      </c>
      <c r="AD117" s="14">
        <f t="shared" ca="1" si="59"/>
        <v>-366.94561575360683</v>
      </c>
      <c r="AE117" s="14">
        <f t="shared" ca="1" si="59"/>
        <v>-376.84834063605808</v>
      </c>
      <c r="AF117" s="14">
        <f t="shared" ca="1" si="59"/>
        <v>-386.85493020329841</v>
      </c>
      <c r="AG117" s="14">
        <f t="shared" ca="1" si="59"/>
        <v>-396.86574884622581</v>
      </c>
      <c r="AH117" s="14">
        <f t="shared" ca="1" si="59"/>
        <v>-407.0433326343279</v>
      </c>
      <c r="AI117" s="14">
        <f t="shared" ca="1" si="59"/>
        <v>-414.7675228630539</v>
      </c>
      <c r="AJ117" s="14">
        <f t="shared" ca="1" si="59"/>
        <v>-423.41455065238</v>
      </c>
      <c r="AK117" s="14">
        <f t="shared" ca="1" si="59"/>
        <v>-432.63023378893905</v>
      </c>
      <c r="AL117" s="14">
        <f t="shared" ca="1" si="59"/>
        <v>-472.78366118751887</v>
      </c>
    </row>
    <row r="118" spans="1:38" ht="21" customHeight="1" outlineLevel="1" thickBot="1" x14ac:dyDescent="0.4">
      <c r="E118" s="17" t="s">
        <v>38</v>
      </c>
      <c r="F118" s="14">
        <f ca="1">F116+F115</f>
        <v>-13.780150021182845</v>
      </c>
      <c r="G118" s="14">
        <f t="shared" ref="G118:AL118" ca="1" si="60">G116+G115</f>
        <v>-13.719479910013501</v>
      </c>
      <c r="H118" s="14">
        <f t="shared" ca="1" si="60"/>
        <v>-13.420019657028917</v>
      </c>
      <c r="I118" s="14">
        <f t="shared" ca="1" si="60"/>
        <v>-12.850262219715306</v>
      </c>
      <c r="J118" s="14">
        <f t="shared" ca="1" si="60"/>
        <v>-12.205759711700876</v>
      </c>
      <c r="K118" s="14">
        <f t="shared" ca="1" si="60"/>
        <v>-11.384343010479316</v>
      </c>
      <c r="L118" s="14">
        <f t="shared" ca="1" si="60"/>
        <v>-11.295328576592365</v>
      </c>
      <c r="M118" s="14">
        <f t="shared" ca="1" si="60"/>
        <v>-11.075155435931345</v>
      </c>
      <c r="N118" s="14">
        <f t="shared" ca="1" si="60"/>
        <v>-10.681785004024798</v>
      </c>
      <c r="O118" s="14">
        <f t="shared" ca="1" si="60"/>
        <v>-10.14672345141866</v>
      </c>
      <c r="P118" s="14">
        <f t="shared" ca="1" si="60"/>
        <v>-9.5915813718371989</v>
      </c>
      <c r="Q118" s="14">
        <f t="shared" ca="1" si="60"/>
        <v>-9.1428980735247798</v>
      </c>
      <c r="R118" s="14">
        <f t="shared" ca="1" si="60"/>
        <v>-8.8555133327458044</v>
      </c>
      <c r="S118" s="14">
        <f t="shared" ca="1" si="60"/>
        <v>-8.7125339362070093</v>
      </c>
      <c r="T118" s="14">
        <f t="shared" ca="1" si="60"/>
        <v>-8.6648553223124036</v>
      </c>
      <c r="U118" s="14">
        <f t="shared" ca="1" si="60"/>
        <v>-8.672928977111436</v>
      </c>
      <c r="V118" s="14">
        <f t="shared" ca="1" si="60"/>
        <v>-8.712698153134907</v>
      </c>
      <c r="W118" s="14">
        <f t="shared" ca="1" si="60"/>
        <v>-8.766045474232163</v>
      </c>
      <c r="X118" s="14">
        <f t="shared" ca="1" si="60"/>
        <v>-8.8263372659871226</v>
      </c>
      <c r="Y118" s="14">
        <f t="shared" ca="1" si="60"/>
        <v>-8.8565818740510522</v>
      </c>
      <c r="Z118" s="14">
        <f t="shared" ca="1" si="60"/>
        <v>-8.7837564986522931</v>
      </c>
      <c r="AA118" s="14">
        <f t="shared" ca="1" si="60"/>
        <v>-8.3727740302004339</v>
      </c>
      <c r="AB118" s="14">
        <f t="shared" ca="1" si="60"/>
        <v>-0.99418124664108398</v>
      </c>
      <c r="AC118" s="14">
        <f t="shared" ca="1" si="60"/>
        <v>-1.7062927963174535E-2</v>
      </c>
      <c r="AD118" s="14">
        <f t="shared" ca="1" si="60"/>
        <v>-6.2011101265749347E-3</v>
      </c>
      <c r="AE118" s="14">
        <f t="shared" ca="1" si="60"/>
        <v>-2.2679971488052185E-3</v>
      </c>
      <c r="AF118" s="14">
        <f t="shared" ca="1" si="60"/>
        <v>-8.41494292813985E-4</v>
      </c>
      <c r="AG118" s="14">
        <f t="shared" ca="1" si="60"/>
        <v>-3.5924053111210306E-4</v>
      </c>
      <c r="AH118" s="14">
        <f t="shared" ca="1" si="60"/>
        <v>-0.11778496975740634</v>
      </c>
      <c r="AI118" s="14">
        <f t="shared" ca="1" si="60"/>
        <v>-2.7231075898526043</v>
      </c>
      <c r="AJ118" s="14">
        <f t="shared" ca="1" si="60"/>
        <v>-4.5230430375894528</v>
      </c>
      <c r="AK118" s="14">
        <f t="shared" ca="1" si="60"/>
        <v>-5.857567742096097</v>
      </c>
      <c r="AL118" s="14">
        <f t="shared" ca="1" si="60"/>
        <v>-9.2619614937445984</v>
      </c>
    </row>
    <row r="119" spans="1:38" ht="21" customHeight="1" outlineLevel="1" x14ac:dyDescent="0.35">
      <c r="E119" s="119" t="s">
        <v>72</v>
      </c>
      <c r="F119" s="120">
        <f ca="1">F114+F115+F116</f>
        <v>-152.03948624034498</v>
      </c>
      <c r="G119" s="120">
        <f t="shared" ref="G119:AL119" ca="1" si="61">G114+G115+G116</f>
        <v>-154.00293394315176</v>
      </c>
      <c r="H119" s="120">
        <f t="shared" ca="1" si="61"/>
        <v>-156.04708052646609</v>
      </c>
      <c r="I119" s="120">
        <f t="shared" ca="1" si="61"/>
        <v>-158.43297173319891</v>
      </c>
      <c r="J119" s="120">
        <f t="shared" ca="1" si="61"/>
        <v>-161.16067631927277</v>
      </c>
      <c r="K119" s="120">
        <f t="shared" ca="1" si="61"/>
        <v>-175.04230586490877</v>
      </c>
      <c r="L119" s="120">
        <f t="shared" ca="1" si="61"/>
        <v>-178.95494781052045</v>
      </c>
      <c r="M119" s="120">
        <f t="shared" ca="1" si="61"/>
        <v>-183.13596321176772</v>
      </c>
      <c r="N119" s="120">
        <f t="shared" ca="1" si="61"/>
        <v>-187.71199304889328</v>
      </c>
      <c r="O119" s="120">
        <f t="shared" ca="1" si="61"/>
        <v>-192.74218316419257</v>
      </c>
      <c r="P119" s="120">
        <f t="shared" ca="1" si="61"/>
        <v>-198.38520965896166</v>
      </c>
      <c r="Q119" s="120">
        <f t="shared" ca="1" si="61"/>
        <v>-204.68729515117855</v>
      </c>
      <c r="R119" s="120">
        <f t="shared" ca="1" si="61"/>
        <v>-211.57025401672936</v>
      </c>
      <c r="S119" s="120">
        <f t="shared" ca="1" si="61"/>
        <v>-218.85114981232812</v>
      </c>
      <c r="T119" s="120">
        <f t="shared" ca="1" si="61"/>
        <v>-226.3747185719329</v>
      </c>
      <c r="U119" s="120">
        <f t="shared" ca="1" si="61"/>
        <v>-234.06983540394793</v>
      </c>
      <c r="V119" s="120">
        <f t="shared" ca="1" si="61"/>
        <v>-241.97643990488743</v>
      </c>
      <c r="W119" s="120">
        <f t="shared" ca="1" si="61"/>
        <v>-249.93885341550592</v>
      </c>
      <c r="X119" s="120">
        <f t="shared" ca="1" si="61"/>
        <v>-258.15210319445413</v>
      </c>
      <c r="Y119" s="120">
        <f t="shared" ca="1" si="61"/>
        <v>-266.35255490756589</v>
      </c>
      <c r="Z119" s="120">
        <f t="shared" ca="1" si="61"/>
        <v>-274.67913097273538</v>
      </c>
      <c r="AA119" s="120">
        <f t="shared" ca="1" si="61"/>
        <v>-283.15601130880697</v>
      </c>
      <c r="AB119" s="120">
        <f t="shared" ca="1" si="61"/>
        <v>-318.91341797993584</v>
      </c>
      <c r="AC119" s="120">
        <f t="shared" ca="1" si="61"/>
        <v>-357.05634946701252</v>
      </c>
      <c r="AD119" s="120">
        <f t="shared" ca="1" si="61"/>
        <v>-366.94561575360683</v>
      </c>
      <c r="AE119" s="120">
        <f t="shared" ca="1" si="61"/>
        <v>-376.84834063607781</v>
      </c>
      <c r="AF119" s="120">
        <f t="shared" ca="1" si="61"/>
        <v>-386.85493037905377</v>
      </c>
      <c r="AG119" s="120">
        <f t="shared" ca="1" si="61"/>
        <v>-396.86577989999813</v>
      </c>
      <c r="AH119" s="120">
        <f t="shared" ca="1" si="61"/>
        <v>-407.16096612231996</v>
      </c>
      <c r="AI119" s="120">
        <f t="shared" ca="1" si="61"/>
        <v>-417.49056408525638</v>
      </c>
      <c r="AJ119" s="120">
        <f t="shared" ca="1" si="61"/>
        <v>-427.93754581833753</v>
      </c>
      <c r="AK119" s="120">
        <f t="shared" ca="1" si="61"/>
        <v>-438.48775725766313</v>
      </c>
      <c r="AL119" s="120">
        <f t="shared" ca="1" si="61"/>
        <v>-482.04557909567279</v>
      </c>
    </row>
    <row r="120" spans="1:38" ht="21" customHeight="1" outlineLevel="1" thickBot="1" x14ac:dyDescent="0.4"/>
    <row r="121" spans="1:38" ht="21" customHeight="1" outlineLevel="1" thickBot="1" x14ac:dyDescent="0.4">
      <c r="E121" s="18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62">
        <f ca="1"/>
        <v>570.5</v>
      </c>
      <c r="V122" s="63">
        <f ca="1"/>
        <v>587</v>
      </c>
      <c r="W122" s="65">
        <f ca="1"/>
        <v>603.5</v>
      </c>
      <c r="X122" s="59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818.3</v>
      </c>
      <c r="AE122" s="4">
        <f ca="1"/>
        <v>834.8</v>
      </c>
      <c r="AF122" s="4">
        <f ca="1"/>
        <v>851.3</v>
      </c>
      <c r="AG122" s="4">
        <f ca="1"/>
        <v>867.8</v>
      </c>
      <c r="AH122" s="4">
        <f ca="1"/>
        <v>884.4</v>
      </c>
      <c r="AI122" s="4">
        <f ca="1"/>
        <v>900.9</v>
      </c>
      <c r="AJ122" s="4">
        <f ca="1"/>
        <v>917.4</v>
      </c>
      <c r="AK122" s="4">
        <f ca="1"/>
        <v>933.9</v>
      </c>
      <c r="AL122" s="4">
        <f ca="1"/>
        <v>1000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-138.25933621916215</v>
      </c>
      <c r="G123" s="55">
        <f ca="1"/>
        <v>-140.28345403313827</v>
      </c>
      <c r="H123" s="55">
        <f ca="1"/>
        <v>-142.62706086943717</v>
      </c>
      <c r="I123" s="55">
        <f ca="1"/>
        <v>-145.58270951348359</v>
      </c>
      <c r="J123" s="55">
        <f ca="1"/>
        <v>-148.9549166075719</v>
      </c>
      <c r="K123" s="55">
        <f ca="1"/>
        <v>-163.65796285442946</v>
      </c>
      <c r="L123" s="55">
        <f ca="1"/>
        <v>-167.65961923392808</v>
      </c>
      <c r="M123" s="55">
        <f ca="1"/>
        <v>-172.06080777583637</v>
      </c>
      <c r="N123" s="55">
        <f ca="1"/>
        <v>-177.03020804486849</v>
      </c>
      <c r="O123" s="55">
        <f ca="1"/>
        <v>-182.5954597127739</v>
      </c>
      <c r="P123" s="55">
        <f ca="1"/>
        <v>-188.79362828712445</v>
      </c>
      <c r="Q123" s="55">
        <f ca="1"/>
        <v>-195.54439707765377</v>
      </c>
      <c r="R123" s="55">
        <f ca="1"/>
        <v>-202.71474068398356</v>
      </c>
      <c r="S123" s="55">
        <f ca="1"/>
        <v>-210.13861587612112</v>
      </c>
      <c r="T123" s="55">
        <f ca="1"/>
        <v>-217.7098632496205</v>
      </c>
      <c r="U123" s="55">
        <f ca="1"/>
        <v>-225.39690642683649</v>
      </c>
      <c r="V123" s="55">
        <f ca="1"/>
        <v>-233.26374175175252</v>
      </c>
      <c r="W123" s="55">
        <f ca="1"/>
        <v>-241.17280794127376</v>
      </c>
      <c r="X123" s="55">
        <f ca="1"/>
        <v>-249.32576592846698</v>
      </c>
      <c r="Y123" s="55">
        <f ca="1"/>
        <v>-257.49597303351482</v>
      </c>
      <c r="Z123" s="55">
        <f ca="1"/>
        <v>-265.8953744740831</v>
      </c>
      <c r="AA123" s="55">
        <f ca="1"/>
        <v>-274.78323727860652</v>
      </c>
      <c r="AB123" s="55">
        <f ca="1"/>
        <v>-317.91923673329478</v>
      </c>
      <c r="AC123" s="55">
        <f ca="1"/>
        <v>-357.03928653904933</v>
      </c>
      <c r="AD123" s="55">
        <f ca="1"/>
        <v>-366.93941464348023</v>
      </c>
      <c r="AE123" s="55">
        <f ca="1"/>
        <v>-376.846072638929</v>
      </c>
      <c r="AF123" s="55">
        <f ca="1"/>
        <v>-386.85408888476098</v>
      </c>
      <c r="AG123" s="55">
        <f ca="1"/>
        <v>-396.86542065946702</v>
      </c>
      <c r="AH123" s="55">
        <f ca="1"/>
        <v>-407.04318115256251</v>
      </c>
      <c r="AI123" s="55">
        <f ca="1"/>
        <v>-414.76745649540379</v>
      </c>
      <c r="AJ123" s="55">
        <f ca="1"/>
        <v>-423.41450278074808</v>
      </c>
      <c r="AK123" s="55">
        <f ca="1"/>
        <v>-432.63018951556705</v>
      </c>
      <c r="AL123" s="55">
        <f ca="1"/>
        <v>-472.7836176019282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0</v>
      </c>
      <c r="W124" s="55">
        <f ca="1"/>
        <v>0</v>
      </c>
      <c r="X124" s="55">
        <f ca="1"/>
        <v>0</v>
      </c>
      <c r="Y124" s="55">
        <f ca="1"/>
        <v>0</v>
      </c>
      <c r="Z124" s="55">
        <f ca="1"/>
        <v>0</v>
      </c>
      <c r="AA124" s="55">
        <f ca="1"/>
        <v>0</v>
      </c>
      <c r="AB124" s="55">
        <f ca="1"/>
        <v>0</v>
      </c>
      <c r="AC124" s="55">
        <f ca="1"/>
        <v>-3.4708607412758862E-20</v>
      </c>
      <c r="AD124" s="55">
        <f ca="1"/>
        <v>-1.1355133014573897E-15</v>
      </c>
      <c r="AE124" s="55">
        <f ca="1"/>
        <v>-1.9743216113992303E-11</v>
      </c>
      <c r="AF124" s="55">
        <f ca="1"/>
        <v>-1.7575537705058117E-7</v>
      </c>
      <c r="AG124" s="55">
        <f ca="1"/>
        <v>-3.1053772332817487E-5</v>
      </c>
      <c r="AH124" s="55">
        <f ca="1"/>
        <v>-0.11763348799203781</v>
      </c>
      <c r="AI124" s="55">
        <f ca="1"/>
        <v>-2.7230412222024829</v>
      </c>
      <c r="AJ124" s="55">
        <f ca="1"/>
        <v>-4.5229951659575507</v>
      </c>
      <c r="AK124" s="55">
        <f ca="1"/>
        <v>-5.8575234687240929</v>
      </c>
      <c r="AL124" s="55">
        <f ca="1"/>
        <v>-9.2619179081539276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>
        <f ca="1"/>
        <v>-13.780150021182845</v>
      </c>
      <c r="G125" s="55">
        <f ca="1"/>
        <v>-13.719479910013501</v>
      </c>
      <c r="H125" s="55">
        <f ca="1"/>
        <v>-13.420019657028917</v>
      </c>
      <c r="I125" s="55">
        <f ca="1"/>
        <v>-12.850262219715306</v>
      </c>
      <c r="J125" s="55">
        <f ca="1"/>
        <v>-12.205759711700876</v>
      </c>
      <c r="K125" s="55">
        <f ca="1"/>
        <v>-11.384343010479316</v>
      </c>
      <c r="L125" s="55">
        <f ca="1"/>
        <v>-11.295328576592365</v>
      </c>
      <c r="M125" s="55">
        <f ca="1"/>
        <v>-11.075155435931345</v>
      </c>
      <c r="N125" s="55">
        <f ca="1"/>
        <v>-10.681785004024798</v>
      </c>
      <c r="O125" s="55">
        <f ca="1"/>
        <v>-10.14672345141866</v>
      </c>
      <c r="P125" s="55">
        <f ca="1"/>
        <v>-9.5915813718371989</v>
      </c>
      <c r="Q125" s="55">
        <f ca="1"/>
        <v>-9.1428980735247798</v>
      </c>
      <c r="R125" s="55">
        <f ca="1"/>
        <v>-8.8555133327458044</v>
      </c>
      <c r="S125" s="55">
        <f ca="1"/>
        <v>-8.7125339362070093</v>
      </c>
      <c r="T125" s="55">
        <f ca="1"/>
        <v>-8.6648553223124036</v>
      </c>
      <c r="U125" s="55">
        <f ca="1"/>
        <v>-8.672928977111436</v>
      </c>
      <c r="V125" s="55">
        <f ca="1"/>
        <v>-8.712698153134907</v>
      </c>
      <c r="W125" s="55">
        <f ca="1"/>
        <v>-8.766045474232163</v>
      </c>
      <c r="X125" s="55">
        <f ca="1"/>
        <v>-8.8263372659871226</v>
      </c>
      <c r="Y125" s="55">
        <f ca="1"/>
        <v>-8.8565818740510522</v>
      </c>
      <c r="Z125" s="55">
        <f ca="1"/>
        <v>-8.7837564986522931</v>
      </c>
      <c r="AA125" s="55">
        <f ca="1"/>
        <v>-8.3727740302004339</v>
      </c>
      <c r="AB125" s="55">
        <f ca="1"/>
        <v>-0.99418124664108398</v>
      </c>
      <c r="AC125" s="55">
        <f ca="1"/>
        <v>-1.7062927963174535E-2</v>
      </c>
      <c r="AD125" s="55">
        <f ca="1"/>
        <v>-6.2011101265737993E-3</v>
      </c>
      <c r="AE125" s="55">
        <f ca="1"/>
        <v>-2.2679971290620023E-3</v>
      </c>
      <c r="AF125" s="55">
        <f ca="1"/>
        <v>-8.4131853743693444E-4</v>
      </c>
      <c r="AG125" s="55">
        <f ca="1"/>
        <v>-3.2818675877928556E-4</v>
      </c>
      <c r="AH125" s="55">
        <f ca="1"/>
        <v>-1.514817653685323E-4</v>
      </c>
      <c r="AI125" s="55">
        <f ca="1"/>
        <v>-6.6367650121287367E-5</v>
      </c>
      <c r="AJ125" s="55">
        <f ca="1"/>
        <v>-4.7871631901840948E-5</v>
      </c>
      <c r="AK125" s="55">
        <f ca="1"/>
        <v>-4.427337200441796E-5</v>
      </c>
      <c r="AL125" s="55">
        <f ca="1"/>
        <v>-4.3585590670203575E-5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-152.03948624034498</v>
      </c>
      <c r="G126" s="55">
        <f ca="1"/>
        <v>-154.00293394315176</v>
      </c>
      <c r="H126" s="55">
        <f ca="1"/>
        <v>-156.04708052646609</v>
      </c>
      <c r="I126" s="55">
        <f ca="1"/>
        <v>-158.43297173319891</v>
      </c>
      <c r="J126" s="55">
        <f ca="1"/>
        <v>-161.16067631927277</v>
      </c>
      <c r="K126" s="55">
        <f ca="1"/>
        <v>-175.04230586490877</v>
      </c>
      <c r="L126" s="55">
        <f ca="1"/>
        <v>-178.95494781052045</v>
      </c>
      <c r="M126" s="55">
        <f ca="1"/>
        <v>-183.13596321176772</v>
      </c>
      <c r="N126" s="55">
        <f ca="1"/>
        <v>-187.71199304889328</v>
      </c>
      <c r="O126" s="55">
        <f ca="1"/>
        <v>-192.74218316419257</v>
      </c>
      <c r="P126" s="55">
        <f ca="1"/>
        <v>-198.38520965896166</v>
      </c>
      <c r="Q126" s="55">
        <f ca="1"/>
        <v>-204.68729515117855</v>
      </c>
      <c r="R126" s="55">
        <f ca="1"/>
        <v>-211.57025401672936</v>
      </c>
      <c r="S126" s="55">
        <f ca="1"/>
        <v>-218.85114981232812</v>
      </c>
      <c r="T126" s="55">
        <f ca="1"/>
        <v>-226.3747185719329</v>
      </c>
      <c r="U126" s="55">
        <f ca="1"/>
        <v>-234.06983540394793</v>
      </c>
      <c r="V126" s="55">
        <f ca="1"/>
        <v>-241.97643990488743</v>
      </c>
      <c r="W126" s="55">
        <f ca="1"/>
        <v>-249.93885341550592</v>
      </c>
      <c r="X126" s="55">
        <f ca="1"/>
        <v>-258.15210319445413</v>
      </c>
      <c r="Y126" s="55">
        <f ca="1"/>
        <v>-266.35255490756589</v>
      </c>
      <c r="Z126" s="55">
        <f ca="1"/>
        <v>-274.67913097273538</v>
      </c>
      <c r="AA126" s="55">
        <f ca="1"/>
        <v>-283.15601130880697</v>
      </c>
      <c r="AB126" s="55">
        <f ca="1"/>
        <v>-318.91341797993584</v>
      </c>
      <c r="AC126" s="55">
        <f ca="1"/>
        <v>-357.05634946701252</v>
      </c>
      <c r="AD126" s="55">
        <f ca="1"/>
        <v>-366.94561575360683</v>
      </c>
      <c r="AE126" s="55">
        <f ca="1"/>
        <v>-376.84834063605808</v>
      </c>
      <c r="AF126" s="55">
        <f ca="1"/>
        <v>-386.85493020329841</v>
      </c>
      <c r="AG126" s="55">
        <f ca="1"/>
        <v>-396.86574884622581</v>
      </c>
      <c r="AH126" s="55">
        <f ca="1"/>
        <v>-407.0433326343279</v>
      </c>
      <c r="AI126" s="55">
        <f ca="1"/>
        <v>-414.7675228630539</v>
      </c>
      <c r="AJ126" s="55">
        <f ca="1"/>
        <v>-423.41455065238</v>
      </c>
      <c r="AK126" s="55">
        <f ca="1"/>
        <v>-432.63023378893905</v>
      </c>
      <c r="AL126" s="55">
        <f ca="1"/>
        <v>-472.78366118751887</v>
      </c>
    </row>
    <row r="127" spans="1:38" ht="21" customHeight="1" outlineLevel="1" thickBot="1" x14ac:dyDescent="0.4">
      <c r="E127" s="17" t="str">
        <f ca="1"/>
        <v xml:space="preserve">Раствор 3 + газовая без Ar: </v>
      </c>
      <c r="F127" s="55">
        <f ca="1"/>
        <v>-13.780150021182845</v>
      </c>
      <c r="G127" s="55">
        <f ca="1"/>
        <v>-13.719479910013501</v>
      </c>
      <c r="H127" s="55">
        <f ca="1"/>
        <v>-13.420019657028917</v>
      </c>
      <c r="I127" s="55">
        <f ca="1"/>
        <v>-12.850262219715306</v>
      </c>
      <c r="J127" s="55">
        <f ca="1"/>
        <v>-12.205759711700876</v>
      </c>
      <c r="K127" s="55">
        <f ca="1"/>
        <v>-11.384343010479316</v>
      </c>
      <c r="L127" s="55">
        <f ca="1"/>
        <v>-11.295328576592365</v>
      </c>
      <c r="M127" s="55">
        <f ca="1"/>
        <v>-11.075155435931345</v>
      </c>
      <c r="N127" s="55">
        <f ca="1"/>
        <v>-10.681785004024798</v>
      </c>
      <c r="O127" s="55">
        <f ca="1"/>
        <v>-10.14672345141866</v>
      </c>
      <c r="P127" s="55">
        <f ca="1"/>
        <v>-9.5915813718371989</v>
      </c>
      <c r="Q127" s="55">
        <f ca="1"/>
        <v>-9.1428980735247798</v>
      </c>
      <c r="R127" s="55">
        <f ca="1"/>
        <v>-8.8555133327458044</v>
      </c>
      <c r="S127" s="55">
        <f ca="1"/>
        <v>-8.7125339362070093</v>
      </c>
      <c r="T127" s="55">
        <f ca="1"/>
        <v>-8.6648553223124036</v>
      </c>
      <c r="U127" s="55">
        <f ca="1"/>
        <v>-8.672928977111436</v>
      </c>
      <c r="V127" s="55">
        <f ca="1"/>
        <v>-8.712698153134907</v>
      </c>
      <c r="W127" s="55">
        <f ca="1"/>
        <v>-8.766045474232163</v>
      </c>
      <c r="X127" s="55">
        <f ca="1"/>
        <v>-8.8263372659871226</v>
      </c>
      <c r="Y127" s="55">
        <f ca="1"/>
        <v>-8.8565818740510522</v>
      </c>
      <c r="Z127" s="55">
        <f ca="1"/>
        <v>-8.7837564986522931</v>
      </c>
      <c r="AA127" s="55">
        <f ca="1"/>
        <v>-8.3727740302004339</v>
      </c>
      <c r="AB127" s="55">
        <f ca="1"/>
        <v>-0.99418124664108398</v>
      </c>
      <c r="AC127" s="55">
        <f ca="1"/>
        <v>-1.7062927963174535E-2</v>
      </c>
      <c r="AD127" s="55">
        <f ca="1"/>
        <v>-6.2011101265749347E-3</v>
      </c>
      <c r="AE127" s="55">
        <f ca="1"/>
        <v>-2.2679971488052185E-3</v>
      </c>
      <c r="AF127" s="55">
        <f ca="1"/>
        <v>-8.41494292813985E-4</v>
      </c>
      <c r="AG127" s="55">
        <f ca="1"/>
        <v>-3.5924053111210306E-4</v>
      </c>
      <c r="AH127" s="55">
        <f ca="1"/>
        <v>-0.11778496975740634</v>
      </c>
      <c r="AI127" s="55">
        <f ca="1"/>
        <v>-2.7231075898526043</v>
      </c>
      <c r="AJ127" s="55">
        <f ca="1"/>
        <v>-4.5230430375894528</v>
      </c>
      <c r="AK127" s="55">
        <f ca="1"/>
        <v>-5.857567742096097</v>
      </c>
      <c r="AL127" s="55">
        <f ca="1"/>
        <v>-9.2619614937445984</v>
      </c>
    </row>
    <row r="128" spans="1:38" ht="21" customHeight="1" outlineLevel="1" thickBot="1" x14ac:dyDescent="0.4">
      <c r="E128" s="17" t="str">
        <f ca="1"/>
        <v>P1+P2 + газ без Ar</v>
      </c>
      <c r="F128" s="55">
        <f ca="1"/>
        <v>-152.03948624034498</v>
      </c>
      <c r="G128" s="55">
        <f ca="1"/>
        <v>-154.00293394315176</v>
      </c>
      <c r="H128" s="55">
        <f ca="1"/>
        <v>-156.04708052646609</v>
      </c>
      <c r="I128" s="55">
        <f ca="1"/>
        <v>-158.43297173319891</v>
      </c>
      <c r="J128" s="55">
        <f ca="1"/>
        <v>-161.16067631927277</v>
      </c>
      <c r="K128" s="55">
        <f ca="1"/>
        <v>-175.04230586490877</v>
      </c>
      <c r="L128" s="55">
        <f ca="1"/>
        <v>-178.95494781052045</v>
      </c>
      <c r="M128" s="55">
        <f ca="1"/>
        <v>-183.13596321176772</v>
      </c>
      <c r="N128" s="55">
        <f ca="1"/>
        <v>-187.71199304889328</v>
      </c>
      <c r="O128" s="55">
        <f ca="1"/>
        <v>-192.74218316419257</v>
      </c>
      <c r="P128" s="55">
        <f ca="1"/>
        <v>-198.38520965896166</v>
      </c>
      <c r="Q128" s="55">
        <f ca="1"/>
        <v>-204.68729515117855</v>
      </c>
      <c r="R128" s="55">
        <f ca="1"/>
        <v>-211.57025401672936</v>
      </c>
      <c r="S128" s="55">
        <f ca="1"/>
        <v>-218.85114981232812</v>
      </c>
      <c r="T128" s="55">
        <f ca="1"/>
        <v>-226.3747185719329</v>
      </c>
      <c r="U128" s="55">
        <f ca="1"/>
        <v>-234.06983540394793</v>
      </c>
      <c r="V128" s="55">
        <f ca="1"/>
        <v>-241.97643990488743</v>
      </c>
      <c r="W128" s="55">
        <f ca="1"/>
        <v>-249.93885341550592</v>
      </c>
      <c r="X128" s="55">
        <f ca="1"/>
        <v>-258.15210319445413</v>
      </c>
      <c r="Y128" s="55">
        <f ca="1"/>
        <v>-266.35255490756589</v>
      </c>
      <c r="Z128" s="55">
        <f ca="1"/>
        <v>-274.67913097273538</v>
      </c>
      <c r="AA128" s="55">
        <f ca="1"/>
        <v>-283.15601130880697</v>
      </c>
      <c r="AB128" s="55">
        <f ca="1"/>
        <v>-318.91341797993584</v>
      </c>
      <c r="AC128" s="55">
        <f ca="1"/>
        <v>-357.05634946701252</v>
      </c>
      <c r="AD128" s="55">
        <f ca="1"/>
        <v>-366.94561575360683</v>
      </c>
      <c r="AE128" s="55">
        <f ca="1"/>
        <v>-376.84834063607781</v>
      </c>
      <c r="AF128" s="55">
        <f ca="1"/>
        <v>-386.85493037905377</v>
      </c>
      <c r="AG128" s="55">
        <f ca="1"/>
        <v>-396.86577989999813</v>
      </c>
      <c r="AH128" s="55">
        <f ca="1"/>
        <v>-407.16096612231996</v>
      </c>
      <c r="AI128" s="55">
        <f ca="1"/>
        <v>-417.49056408525638</v>
      </c>
      <c r="AJ128" s="55">
        <f ca="1"/>
        <v>-427.93754581833753</v>
      </c>
      <c r="AK128" s="55">
        <f ca="1"/>
        <v>-438.48775725766313</v>
      </c>
      <c r="AL128" s="55">
        <f ca="1"/>
        <v>-482.04557909567279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2" priority="66" operator="equal">
      <formula>0</formula>
    </cfRule>
  </conditionalFormatting>
  <conditionalFormatting sqref="A80:D109">
    <cfRule type="cellIs" dxfId="11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100" zoomScale="85" zoomScaleNormal="85" zoomScaleSheetLayoutView="25" workbookViewId="0">
      <selection activeCell="AY118" sqref="AY118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89" t="s">
        <v>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>
        <v>273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0</v>
      </c>
      <c r="D4" s="44">
        <f t="shared" si="0"/>
        <v>0</v>
      </c>
      <c r="E4" s="6" t="s">
        <v>82</v>
      </c>
      <c r="F4" s="49">
        <v>2.2783E-8</v>
      </c>
      <c r="G4" s="49">
        <v>2.3207999999999998E-8</v>
      </c>
      <c r="H4" s="49">
        <v>3.0831E-8</v>
      </c>
      <c r="I4" s="49">
        <v>1.9866000000000001E-8</v>
      </c>
      <c r="J4" s="49">
        <v>2.0292999999999998E-8</v>
      </c>
      <c r="K4" s="49">
        <v>2.1535000000000001E-8</v>
      </c>
      <c r="L4" s="49">
        <v>2.3738000000000001E-8</v>
      </c>
      <c r="M4" s="49">
        <v>2.6975999999999999E-8</v>
      </c>
      <c r="N4" s="49">
        <v>2.6417999999999999E-8</v>
      </c>
      <c r="O4" s="49">
        <v>2.7024000000000001E-8</v>
      </c>
      <c r="P4" s="49">
        <v>2.0041999999999998E-8</v>
      </c>
      <c r="Q4" s="49">
        <v>1.3179E-8</v>
      </c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3</v>
      </c>
      <c r="C5" s="44">
        <f t="shared" si="0"/>
        <v>0</v>
      </c>
      <c r="D5" s="44">
        <f t="shared" si="0"/>
        <v>0</v>
      </c>
      <c r="E5" s="6" t="s">
        <v>83</v>
      </c>
      <c r="F5" s="49">
        <v>2.7272000000000002E-25</v>
      </c>
      <c r="G5" s="49">
        <v>4.1284999999999998E-19</v>
      </c>
      <c r="H5" s="49">
        <v>4.7391E-15</v>
      </c>
      <c r="I5" s="49">
        <v>3.3814000000000001E-12</v>
      </c>
      <c r="J5" s="49">
        <v>4.3065999999999999E-10</v>
      </c>
      <c r="K5" s="49">
        <v>1.7616E-8</v>
      </c>
      <c r="L5" s="49">
        <v>3.2985000000000001E-7</v>
      </c>
      <c r="M5" s="49">
        <v>3.5267999999999998E-6</v>
      </c>
      <c r="N5" s="49">
        <v>2.4674000000000001E-5</v>
      </c>
      <c r="O5" s="49">
        <v>1.2306E-4</v>
      </c>
      <c r="P5" s="49">
        <v>4.5855000000000001E-4</v>
      </c>
      <c r="Q5" s="49">
        <v>1.2537E-3</v>
      </c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4</v>
      </c>
      <c r="C6" s="44">
        <f t="shared" si="0"/>
        <v>0</v>
      </c>
      <c r="D6" s="44">
        <f t="shared" si="0"/>
        <v>0</v>
      </c>
      <c r="E6" s="6" t="s">
        <v>81</v>
      </c>
      <c r="F6" s="49">
        <v>2.8659000000000002E-23</v>
      </c>
      <c r="G6" s="49">
        <v>1.0815E-17</v>
      </c>
      <c r="H6" s="49">
        <v>4.5678000000000001E-14</v>
      </c>
      <c r="I6" s="49">
        <v>1.5258999999999999E-11</v>
      </c>
      <c r="J6" s="49">
        <v>1.0687E-9</v>
      </c>
      <c r="K6" s="49">
        <v>2.6931000000000001E-8</v>
      </c>
      <c r="L6" s="49">
        <v>3.3792E-7</v>
      </c>
      <c r="M6" s="49">
        <v>2.5795E-6</v>
      </c>
      <c r="N6" s="49">
        <v>1.3482000000000001E-5</v>
      </c>
      <c r="O6" s="49">
        <v>5.1613999999999997E-5</v>
      </c>
      <c r="P6" s="49">
        <v>1.4820999999999999E-4</v>
      </c>
      <c r="Q6" s="49">
        <v>3.0273000000000002E-4</v>
      </c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5</v>
      </c>
      <c r="C7" s="44">
        <f t="shared" si="0"/>
        <v>0</v>
      </c>
      <c r="D7" s="44">
        <f t="shared" si="0"/>
        <v>0</v>
      </c>
      <c r="E7" s="6" t="s">
        <v>84</v>
      </c>
      <c r="F7" s="49">
        <v>8.2633000000000005E-20</v>
      </c>
      <c r="G7" s="49">
        <v>1.0203E-14</v>
      </c>
      <c r="H7" s="49">
        <v>1.9244000000000002E-11</v>
      </c>
      <c r="I7" s="49">
        <v>3.4791000000000001E-9</v>
      </c>
      <c r="J7" s="49">
        <v>1.4992000000000001E-7</v>
      </c>
      <c r="K7" s="49">
        <v>2.5457999999999998E-6</v>
      </c>
      <c r="L7" s="49">
        <v>2.3031999999999999E-5</v>
      </c>
      <c r="M7" s="49">
        <v>1.3339E-4</v>
      </c>
      <c r="N7" s="49">
        <v>5.4830999999999999E-4</v>
      </c>
      <c r="O7" s="49">
        <v>1.6838000000000001E-3</v>
      </c>
      <c r="P7" s="49">
        <v>3.8706999999999999E-3</v>
      </c>
      <c r="Q7" s="49">
        <v>6.1057000000000004E-3</v>
      </c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6</v>
      </c>
      <c r="C8" s="44">
        <f t="shared" si="0"/>
        <v>0</v>
      </c>
      <c r="D8" s="44">
        <f t="shared" si="0"/>
        <v>0</v>
      </c>
      <c r="E8" s="6" t="s">
        <v>85</v>
      </c>
      <c r="F8" s="49">
        <v>3.1684999999999997E-17</v>
      </c>
      <c r="G8" s="49">
        <v>5.6344999999999999E-13</v>
      </c>
      <c r="H8" s="49">
        <v>2.7175000000000002E-10</v>
      </c>
      <c r="I8" s="49">
        <v>1.7757000000000001E-8</v>
      </c>
      <c r="J8" s="49">
        <v>3.4676999999999997E-7</v>
      </c>
      <c r="K8" s="49">
        <v>3.1225000000000002E-6</v>
      </c>
      <c r="L8" s="49">
        <v>1.6796E-5</v>
      </c>
      <c r="M8" s="49">
        <v>6.2982000000000001E-5</v>
      </c>
      <c r="N8" s="49">
        <v>1.7830999999999999E-4</v>
      </c>
      <c r="O8" s="49">
        <v>3.9241999999999999E-4</v>
      </c>
      <c r="P8" s="49">
        <v>6.5547999999999995E-4</v>
      </c>
      <c r="Q8" s="49">
        <v>7.3410000000000001E-4</v>
      </c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7</v>
      </c>
      <c r="C9" s="44">
        <f t="shared" si="0"/>
        <v>0</v>
      </c>
      <c r="D9" s="44">
        <f t="shared" si="0"/>
        <v>0</v>
      </c>
      <c r="E9" s="6" t="s">
        <v>88</v>
      </c>
      <c r="F9" s="49">
        <v>2.7152E-18</v>
      </c>
      <c r="G9" s="49">
        <v>8.4466000000000006E-14</v>
      </c>
      <c r="H9" s="49">
        <v>5.5912000000000002E-11</v>
      </c>
      <c r="I9" s="49">
        <v>4.4193000000000002E-9</v>
      </c>
      <c r="J9" s="49">
        <v>9.7182000000000003E-8</v>
      </c>
      <c r="K9" s="49">
        <v>9.4422000000000002E-7</v>
      </c>
      <c r="L9" s="49">
        <v>5.3391000000000003E-6</v>
      </c>
      <c r="M9" s="49">
        <v>2.0684999999999999E-5</v>
      </c>
      <c r="N9" s="49">
        <v>5.9579E-5</v>
      </c>
      <c r="O9" s="49">
        <v>1.3079000000000001E-4</v>
      </c>
      <c r="P9" s="49">
        <v>2.1085E-4</v>
      </c>
      <c r="Q9" s="49">
        <v>2.1446E-4</v>
      </c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8</v>
      </c>
      <c r="C10" s="44">
        <f t="shared" si="0"/>
        <v>0</v>
      </c>
      <c r="D10" s="44">
        <f t="shared" si="0"/>
        <v>0</v>
      </c>
      <c r="E10" s="6" t="s">
        <v>86</v>
      </c>
      <c r="F10" s="49">
        <v>4.8741E-20</v>
      </c>
      <c r="G10" s="49">
        <v>2.3718E-15</v>
      </c>
      <c r="H10" s="49">
        <v>2.0001999999999999E-12</v>
      </c>
      <c r="I10" s="49">
        <v>1.8133000000000001E-10</v>
      </c>
      <c r="J10" s="49">
        <v>4.3148999999999996E-9</v>
      </c>
      <c r="K10" s="49">
        <v>4.3858000000000001E-8</v>
      </c>
      <c r="L10" s="49">
        <v>2.5432000000000002E-7</v>
      </c>
      <c r="M10" s="49">
        <v>9.9755999999999994E-7</v>
      </c>
      <c r="N10" s="49">
        <v>2.8744E-6</v>
      </c>
      <c r="O10" s="49">
        <v>6.2053999999999999E-6</v>
      </c>
      <c r="P10" s="49">
        <v>9.5367999999999999E-6</v>
      </c>
      <c r="Q10" s="49">
        <v>8.7167999999999993E-6</v>
      </c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0</v>
      </c>
      <c r="D11" s="44">
        <f t="shared" si="0"/>
        <v>0</v>
      </c>
      <c r="E11" s="6" t="s">
        <v>87</v>
      </c>
      <c r="F11" s="49">
        <v>3.8015999999999999E-20</v>
      </c>
      <c r="G11" s="49">
        <v>4.4898999999999999E-15</v>
      </c>
      <c r="H11" s="49">
        <v>1.0202999999999999E-11</v>
      </c>
      <c r="I11" s="49">
        <v>2.4183999999999998E-9</v>
      </c>
      <c r="J11" s="49">
        <v>1.4000999999999999E-7</v>
      </c>
      <c r="K11" s="49">
        <v>3.1868000000000001E-6</v>
      </c>
      <c r="L11" s="49">
        <v>3.8056000000000003E-5</v>
      </c>
      <c r="M11" s="49">
        <v>2.8582E-4</v>
      </c>
      <c r="N11" s="49">
        <v>1.5125E-3</v>
      </c>
      <c r="O11" s="49">
        <v>6.0857999999999997E-3</v>
      </c>
      <c r="P11" s="49">
        <v>1.9578000000000002E-2</v>
      </c>
      <c r="Q11" s="49">
        <v>5.0479999999999997E-2</v>
      </c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0</v>
      </c>
      <c r="E12" s="6" t="s">
        <v>2</v>
      </c>
      <c r="F12" s="49">
        <v>0</v>
      </c>
      <c r="G12" s="49">
        <v>5.7083999999999999E-31</v>
      </c>
      <c r="H12" s="49">
        <v>3.8902999999999999E-25</v>
      </c>
      <c r="I12" s="49">
        <v>5.8614000000000001E-21</v>
      </c>
      <c r="J12" s="49">
        <v>8.0426999999999996E-18</v>
      </c>
      <c r="K12" s="49">
        <v>2.2259000000000001E-15</v>
      </c>
      <c r="L12" s="49">
        <v>2.0128999999999999E-13</v>
      </c>
      <c r="M12" s="49">
        <v>8.0862E-12</v>
      </c>
      <c r="N12" s="49">
        <v>1.7658E-10</v>
      </c>
      <c r="O12" s="49">
        <v>2.4185999999999999E-9</v>
      </c>
      <c r="P12" s="49">
        <v>2.3157E-8</v>
      </c>
      <c r="Q12" s="49">
        <v>1.6509E-7</v>
      </c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71</v>
      </c>
      <c r="F13" s="49">
        <v>5.0018E-12</v>
      </c>
      <c r="G13" s="49">
        <v>5.1719999999999999E-9</v>
      </c>
      <c r="H13" s="49">
        <v>4.7672E-7</v>
      </c>
      <c r="I13" s="49">
        <v>1.1173E-5</v>
      </c>
      <c r="J13" s="49">
        <v>1.1153E-4</v>
      </c>
      <c r="K13" s="49">
        <v>6.1563000000000004E-4</v>
      </c>
      <c r="L13" s="49">
        <v>2.1047000000000001E-3</v>
      </c>
      <c r="M13" s="49">
        <v>4.7291E-3</v>
      </c>
      <c r="N13" s="49">
        <v>7.7929999999999996E-3</v>
      </c>
      <c r="O13" s="49">
        <v>1.0592000000000001E-2</v>
      </c>
      <c r="P13" s="49">
        <v>1.2978999999999999E-2</v>
      </c>
      <c r="Q13" s="49">
        <v>1.4978E-2</v>
      </c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78</v>
      </c>
      <c r="F15" s="49">
        <v>0.04</v>
      </c>
      <c r="G15" s="49">
        <v>0.04</v>
      </c>
      <c r="H15" s="49">
        <v>3.9999E-2</v>
      </c>
      <c r="I15" s="49">
        <v>3.9978E-2</v>
      </c>
      <c r="J15" s="49">
        <v>3.9777E-2</v>
      </c>
      <c r="K15" s="49">
        <v>3.8768999999999998E-2</v>
      </c>
      <c r="L15" s="49">
        <v>3.5791000000000003E-2</v>
      </c>
      <c r="M15" s="49">
        <v>3.0542E-2</v>
      </c>
      <c r="N15" s="49">
        <v>2.4414000000000002E-2</v>
      </c>
      <c r="O15" s="49">
        <v>1.8815999999999999E-2</v>
      </c>
      <c r="P15" s="49">
        <v>1.4041E-2</v>
      </c>
      <c r="Q15" s="49">
        <v>1.0044000000000001E-2</v>
      </c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79</v>
      </c>
      <c r="F16" s="49">
        <v>0.28000000000000003</v>
      </c>
      <c r="G16" s="49">
        <v>0.28000000000000003</v>
      </c>
      <c r="H16" s="49">
        <v>0.28000000000000003</v>
      </c>
      <c r="I16" s="49">
        <v>0.28000000000000003</v>
      </c>
      <c r="J16" s="49">
        <v>0.28000000000000003</v>
      </c>
      <c r="K16" s="49">
        <v>0.28000000000000003</v>
      </c>
      <c r="L16" s="49">
        <v>0.28000000000000003</v>
      </c>
      <c r="M16" s="49">
        <v>0.28000000000000003</v>
      </c>
      <c r="N16" s="49">
        <v>0.28000000000000003</v>
      </c>
      <c r="O16" s="49">
        <v>0.28000000000000003</v>
      </c>
      <c r="P16" s="49">
        <v>0.28000000000000003</v>
      </c>
      <c r="Q16" s="49">
        <v>0.28000000000000003</v>
      </c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6" t="s">
        <v>80</v>
      </c>
      <c r="F17" s="49">
        <v>0.48</v>
      </c>
      <c r="G17" s="49">
        <v>0.48</v>
      </c>
      <c r="H17" s="49">
        <v>0.48</v>
      </c>
      <c r="I17" s="49">
        <v>0.47999000000000003</v>
      </c>
      <c r="J17" s="49">
        <v>0.47987999999999997</v>
      </c>
      <c r="K17" s="49">
        <v>0.47933999999999999</v>
      </c>
      <c r="L17" s="49">
        <v>0.47755999999999998</v>
      </c>
      <c r="M17" s="49">
        <v>0.47348000000000001</v>
      </c>
      <c r="N17" s="49">
        <v>0.46479999999999999</v>
      </c>
      <c r="O17" s="49">
        <v>0.44491999999999998</v>
      </c>
      <c r="P17" s="49">
        <v>0.40106000000000003</v>
      </c>
      <c r="Q17" s="49">
        <v>0.32258999999999999</v>
      </c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1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 t="s">
        <v>28</v>
      </c>
      <c r="F18" s="49">
        <v>-18.62</v>
      </c>
      <c r="G18" s="49">
        <v>-18.63</v>
      </c>
      <c r="H18" s="49">
        <v>-18.72</v>
      </c>
      <c r="I18" s="49">
        <v>-18.84</v>
      </c>
      <c r="J18" s="49">
        <v>-18.97</v>
      </c>
      <c r="K18" s="49">
        <v>-19.11</v>
      </c>
      <c r="L18" s="49">
        <v>-19.260000000000002</v>
      </c>
      <c r="M18" s="49">
        <v>-19.41</v>
      </c>
      <c r="N18" s="49">
        <v>-19.559999999999999</v>
      </c>
      <c r="O18" s="49">
        <v>-19.73</v>
      </c>
      <c r="P18" s="49">
        <v>-19.940000000000001</v>
      </c>
      <c r="Q18" s="49">
        <v>-20.2</v>
      </c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1</v>
      </c>
      <c r="E19" s="6" t="s">
        <v>5</v>
      </c>
      <c r="F19" s="49">
        <v>-7.6630000000000003</v>
      </c>
      <c r="G19" s="49">
        <v>-8.1549999999999994</v>
      </c>
      <c r="H19" s="49">
        <v>-8.5950000000000006</v>
      </c>
      <c r="I19" s="49">
        <v>-8.9879999999999995</v>
      </c>
      <c r="J19" s="49">
        <v>-9.3450000000000006</v>
      </c>
      <c r="K19" s="49">
        <v>-9.6869999999999994</v>
      </c>
      <c r="L19" s="49">
        <v>-10.050000000000001</v>
      </c>
      <c r="M19" s="49">
        <v>-10.47</v>
      </c>
      <c r="N19" s="49">
        <v>-10.92</v>
      </c>
      <c r="O19" s="49">
        <v>-11.37</v>
      </c>
      <c r="P19" s="49">
        <v>-11.81</v>
      </c>
      <c r="Q19" s="49">
        <v>-12.22</v>
      </c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1</v>
      </c>
      <c r="D20" s="44">
        <f t="shared" si="1"/>
        <v>0</v>
      </c>
      <c r="E20" s="6" t="s">
        <v>6</v>
      </c>
      <c r="F20" s="49">
        <v>7.5119999999999996</v>
      </c>
      <c r="G20" s="49">
        <v>4.4539999999999997</v>
      </c>
      <c r="H20" s="49">
        <v>2.2879999999999998</v>
      </c>
      <c r="I20" s="49">
        <v>0.65210000000000001</v>
      </c>
      <c r="J20" s="49">
        <v>-0.63829999999999998</v>
      </c>
      <c r="K20" s="49">
        <v>-1.6890000000000001</v>
      </c>
      <c r="L20" s="49">
        <v>-2.5640000000000001</v>
      </c>
      <c r="M20" s="49">
        <v>-3.3050000000000002</v>
      </c>
      <c r="N20" s="49">
        <v>-3.9390000000000001</v>
      </c>
      <c r="O20" s="49">
        <v>-4.4790000000000001</v>
      </c>
      <c r="P20" s="49">
        <v>-4.9219999999999997</v>
      </c>
      <c r="Q20" s="49">
        <v>-5.2549999999999999</v>
      </c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7</v>
      </c>
      <c r="F21" s="49">
        <v>-4.7</v>
      </c>
      <c r="G21" s="49">
        <v>-5.0519999999999996</v>
      </c>
      <c r="H21" s="49">
        <v>-5.4409999999999998</v>
      </c>
      <c r="I21" s="49">
        <v>-5.8239999999999998</v>
      </c>
      <c r="J21" s="49">
        <v>-6.1890000000000001</v>
      </c>
      <c r="K21" s="49">
        <v>-6.53</v>
      </c>
      <c r="L21" s="49">
        <v>-6.8470000000000004</v>
      </c>
      <c r="M21" s="49">
        <v>-7.1420000000000003</v>
      </c>
      <c r="N21" s="49">
        <v>-7.42</v>
      </c>
      <c r="O21" s="49">
        <v>-7.6909999999999998</v>
      </c>
      <c r="P21" s="49">
        <v>-7.9740000000000002</v>
      </c>
      <c r="Q21" s="49">
        <v>-8.298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 t="shared" ref="D34:D37" si="3">MATCH(C34,$E$4:$E$33)</f>
        <v>15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-19.260000000000002</v>
      </c>
      <c r="M34" s="14">
        <f t="shared" ca="1" si="4"/>
        <v>-19.41</v>
      </c>
      <c r="N34" s="14">
        <f t="shared" ca="1" si="4"/>
        <v>-19.559999999999999</v>
      </c>
      <c r="O34" s="14">
        <f t="shared" ca="1" si="4"/>
        <v>-19.73</v>
      </c>
      <c r="P34" s="14">
        <f t="shared" ca="1" si="4"/>
        <v>-19.940000000000001</v>
      </c>
      <c r="Q34" s="14">
        <f t="shared" ca="1" si="4"/>
        <v>-20.2</v>
      </c>
      <c r="R34" s="14">
        <f t="shared" ca="1" si="4"/>
        <v>0</v>
      </c>
      <c r="S34" s="14">
        <f t="shared" ca="1" si="4"/>
        <v>0</v>
      </c>
      <c r="T34" s="14">
        <f t="shared" ca="1" si="4"/>
        <v>0</v>
      </c>
      <c r="U34" s="14">
        <f t="shared" ca="1" si="4"/>
        <v>0</v>
      </c>
      <c r="V34" s="14">
        <f t="shared" ca="1" si="4"/>
        <v>0</v>
      </c>
      <c r="W34" s="14">
        <f t="shared" ca="1" si="4"/>
        <v>0</v>
      </c>
      <c r="X34" s="14">
        <f t="shared" ca="1" si="4"/>
        <v>0</v>
      </c>
      <c r="Y34" s="14">
        <f t="shared" ca="1" si="4"/>
        <v>0</v>
      </c>
      <c r="Z34" s="14">
        <f t="shared" ca="1" si="4"/>
        <v>0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si="3"/>
        <v>16</v>
      </c>
      <c r="E35" s="11" t="str">
        <f t="shared" ref="E35:E37" ca="1" si="5">OFFSET($E$3:$AL$3,$D35,0)</f>
        <v>H (Ga)</v>
      </c>
      <c r="F35" s="14">
        <f t="shared" ca="1" si="4"/>
        <v>-7.6630000000000003</v>
      </c>
      <c r="G35" s="14">
        <f t="shared" ca="1" si="4"/>
        <v>-8.1549999999999994</v>
      </c>
      <c r="H35" s="14">
        <f t="shared" ca="1" si="4"/>
        <v>-8.5950000000000006</v>
      </c>
      <c r="I35" s="14">
        <f t="shared" ca="1" si="4"/>
        <v>-8.9879999999999995</v>
      </c>
      <c r="J35" s="14">
        <f t="shared" ca="1" si="4"/>
        <v>-9.3450000000000006</v>
      </c>
      <c r="K35" s="14">
        <f t="shared" ca="1" si="4"/>
        <v>-9.6869999999999994</v>
      </c>
      <c r="L35" s="14">
        <f t="shared" ca="1" si="4"/>
        <v>-10.050000000000001</v>
      </c>
      <c r="M35" s="14">
        <f t="shared" ca="1" si="4"/>
        <v>-10.47</v>
      </c>
      <c r="N35" s="14">
        <f t="shared" ca="1" si="4"/>
        <v>-10.92</v>
      </c>
      <c r="O35" s="14">
        <f t="shared" ca="1" si="4"/>
        <v>-11.37</v>
      </c>
      <c r="P35" s="14">
        <f t="shared" ca="1" si="4"/>
        <v>-11.81</v>
      </c>
      <c r="Q35" s="14">
        <f t="shared" ca="1" si="4"/>
        <v>-12.22</v>
      </c>
      <c r="R35" s="14">
        <f t="shared" ca="1" si="4"/>
        <v>0</v>
      </c>
      <c r="S35" s="14">
        <f t="shared" ca="1" si="4"/>
        <v>0</v>
      </c>
      <c r="T35" s="14">
        <f t="shared" ca="1" si="4"/>
        <v>0</v>
      </c>
      <c r="U35" s="14">
        <f t="shared" ca="1" si="4"/>
        <v>0</v>
      </c>
      <c r="V35" s="14">
        <f t="shared" ca="1" si="4"/>
        <v>0</v>
      </c>
      <c r="W35" s="14">
        <f t="shared" ca="1" si="4"/>
        <v>0</v>
      </c>
      <c r="X35" s="14">
        <f t="shared" ca="1" si="4"/>
        <v>0</v>
      </c>
      <c r="Y35" s="14">
        <f t="shared" ca="1" si="4"/>
        <v>0</v>
      </c>
      <c r="Z35" s="14">
        <f t="shared" ca="1" si="4"/>
        <v>0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3"/>
        <v>17</v>
      </c>
      <c r="E36" s="11" t="str">
        <f t="shared" ca="1" si="5"/>
        <v>H (Ge)</v>
      </c>
      <c r="F36" s="14">
        <f t="shared" ca="1" si="4"/>
        <v>7.5119999999999996</v>
      </c>
      <c r="G36" s="14">
        <f t="shared" ca="1" si="4"/>
        <v>4.4539999999999997</v>
      </c>
      <c r="H36" s="14">
        <f t="shared" ca="1" si="4"/>
        <v>2.2879999999999998</v>
      </c>
      <c r="I36" s="14">
        <f t="shared" ca="1" si="4"/>
        <v>0.65210000000000001</v>
      </c>
      <c r="J36" s="14">
        <f t="shared" ca="1" si="4"/>
        <v>-0.63829999999999998</v>
      </c>
      <c r="K36" s="14">
        <f t="shared" ca="1" si="4"/>
        <v>-1.6890000000000001</v>
      </c>
      <c r="L36" s="14">
        <f t="shared" ca="1" si="4"/>
        <v>-2.5640000000000001</v>
      </c>
      <c r="M36" s="14">
        <f t="shared" ca="1" si="4"/>
        <v>-3.3050000000000002</v>
      </c>
      <c r="N36" s="14">
        <f t="shared" ca="1" si="4"/>
        <v>-3.9390000000000001</v>
      </c>
      <c r="O36" s="14">
        <f t="shared" ca="1" si="4"/>
        <v>-4.4790000000000001</v>
      </c>
      <c r="P36" s="14">
        <f t="shared" ca="1" si="4"/>
        <v>-4.9219999999999997</v>
      </c>
      <c r="Q36" s="14">
        <f t="shared" ca="1" si="4"/>
        <v>-5.2549999999999999</v>
      </c>
      <c r="R36" s="14">
        <f t="shared" ca="1" si="4"/>
        <v>0</v>
      </c>
      <c r="S36" s="14">
        <f t="shared" ca="1" si="4"/>
        <v>0</v>
      </c>
      <c r="T36" s="14">
        <f t="shared" ca="1" si="4"/>
        <v>0</v>
      </c>
      <c r="U36" s="14">
        <f t="shared" ca="1" si="4"/>
        <v>0</v>
      </c>
      <c r="V36" s="14">
        <f t="shared" ca="1" si="4"/>
        <v>0</v>
      </c>
      <c r="W36" s="14">
        <f t="shared" ca="1" si="4"/>
        <v>0</v>
      </c>
      <c r="X36" s="14">
        <f t="shared" ca="1" si="4"/>
        <v>0</v>
      </c>
      <c r="Y36" s="14">
        <f t="shared" ca="1" si="4"/>
        <v>0</v>
      </c>
      <c r="Z36" s="14">
        <f t="shared" ca="1" si="4"/>
        <v>0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3"/>
        <v>18</v>
      </c>
      <c r="E37" s="11" t="str">
        <f t="shared" ca="1" si="5"/>
        <v>H (Se)</v>
      </c>
      <c r="F37" s="14">
        <f t="shared" ca="1" si="4"/>
        <v>-4.7</v>
      </c>
      <c r="G37" s="14">
        <f t="shared" ca="1" si="4"/>
        <v>-5.0519999999999996</v>
      </c>
      <c r="H37" s="14">
        <f t="shared" ca="1" si="4"/>
        <v>-5.4409999999999998</v>
      </c>
      <c r="I37" s="14">
        <f t="shared" ca="1" si="4"/>
        <v>-5.8239999999999998</v>
      </c>
      <c r="J37" s="14">
        <f t="shared" ca="1" si="4"/>
        <v>-6.1890000000000001</v>
      </c>
      <c r="K37" s="14">
        <f t="shared" ca="1" si="4"/>
        <v>-6.53</v>
      </c>
      <c r="L37" s="14">
        <f t="shared" ca="1" si="4"/>
        <v>-6.8470000000000004</v>
      </c>
      <c r="M37" s="14">
        <f t="shared" ca="1" si="4"/>
        <v>-7.1420000000000003</v>
      </c>
      <c r="N37" s="14">
        <f t="shared" ca="1" si="4"/>
        <v>-7.42</v>
      </c>
      <c r="O37" s="14">
        <f t="shared" ca="1" si="4"/>
        <v>-7.6909999999999998</v>
      </c>
      <c r="P37" s="14">
        <f t="shared" ca="1" si="4"/>
        <v>-7.9740000000000002</v>
      </c>
      <c r="Q37" s="14">
        <f t="shared" ca="1" si="4"/>
        <v>-8.298</v>
      </c>
      <c r="R37" s="14">
        <f t="shared" ca="1" si="4"/>
        <v>0</v>
      </c>
      <c r="S37" s="14">
        <f t="shared" ca="1" si="4"/>
        <v>0</v>
      </c>
      <c r="T37" s="14">
        <f t="shared" ca="1" si="4"/>
        <v>0</v>
      </c>
      <c r="U37" s="14">
        <f t="shared" ca="1" si="4"/>
        <v>0</v>
      </c>
      <c r="V37" s="14">
        <f t="shared" ca="1" si="4"/>
        <v>0</v>
      </c>
      <c r="W37" s="14">
        <f t="shared" ca="1" si="4"/>
        <v>0</v>
      </c>
      <c r="X37" s="14">
        <f t="shared" ca="1" si="4"/>
        <v>0</v>
      </c>
      <c r="Y37" s="14">
        <f t="shared" ca="1" si="4"/>
        <v>0</v>
      </c>
      <c r="Z37" s="14">
        <f t="shared" ca="1" si="4"/>
        <v>0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</v>
      </c>
      <c r="G40" s="8">
        <f t="shared" ref="G40:AL40" si="6">G3</f>
        <v>339.2</v>
      </c>
      <c r="H40" s="8">
        <f t="shared" si="6"/>
        <v>405.3</v>
      </c>
      <c r="I40" s="8">
        <f t="shared" si="6"/>
        <v>471.4</v>
      </c>
      <c r="J40" s="8">
        <f t="shared" si="6"/>
        <v>537.5</v>
      </c>
      <c r="K40" s="8">
        <f t="shared" si="6"/>
        <v>603.5</v>
      </c>
      <c r="L40" s="8">
        <f t="shared" si="6"/>
        <v>669.6</v>
      </c>
      <c r="M40" s="8">
        <f t="shared" si="6"/>
        <v>735.7</v>
      </c>
      <c r="N40" s="8">
        <f t="shared" si="6"/>
        <v>801.8</v>
      </c>
      <c r="O40" s="8">
        <f t="shared" si="6"/>
        <v>867.8</v>
      </c>
      <c r="P40" s="8">
        <f t="shared" si="6"/>
        <v>933.9</v>
      </c>
      <c r="Q40" s="8">
        <f t="shared" si="6"/>
        <v>1000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7">($B$41*H.Ge+$C$41*H.Ga+$D$41*H.Se)*F$40*$B$2/1000</f>
        <v>-3.7222436745000009</v>
      </c>
      <c r="G41" s="10">
        <f t="shared" ca="1" si="7"/>
        <v>-15.149326874057142</v>
      </c>
      <c r="H41" s="10">
        <f t="shared" ca="1" si="7"/>
        <v>-27.859652068050003</v>
      </c>
      <c r="I41" s="10">
        <f t="shared" ca="1" si="7"/>
        <v>-41.608545519270002</v>
      </c>
      <c r="J41" s="10">
        <f t="shared" ca="1" si="7"/>
        <v>-56.234041349732145</v>
      </c>
      <c r="K41" s="10">
        <f t="shared" ca="1" si="7"/>
        <v>-71.589680128928578</v>
      </c>
      <c r="L41" s="10">
        <f t="shared" ca="1" si="7"/>
        <v>-87.616389864342864</v>
      </c>
      <c r="M41" s="10">
        <f t="shared" ca="1" si="7"/>
        <v>-104.25864092055002</v>
      </c>
      <c r="N41" s="10">
        <f t="shared" ca="1" si="7"/>
        <v>-121.45816777589998</v>
      </c>
      <c r="O41" s="10">
        <f t="shared" ca="1" si="7"/>
        <v>-139.16812119235715</v>
      </c>
      <c r="P41" s="10">
        <f t="shared" ca="1" si="7"/>
        <v>-157.46353204937142</v>
      </c>
      <c r="Q41" s="10">
        <f t="shared" ca="1" si="7"/>
        <v>-176.48238921428572</v>
      </c>
      <c r="R41" s="10">
        <f t="shared" ca="1" si="7"/>
        <v>0</v>
      </c>
      <c r="S41" s="10">
        <f t="shared" ca="1" si="7"/>
        <v>0</v>
      </c>
      <c r="T41" s="10">
        <f t="shared" ca="1" si="7"/>
        <v>0</v>
      </c>
      <c r="U41" s="10">
        <f t="shared" ca="1" si="7"/>
        <v>0</v>
      </c>
      <c r="V41" s="10">
        <f t="shared" ca="1" si="7"/>
        <v>0</v>
      </c>
      <c r="W41" s="10">
        <f t="shared" ca="1" si="7"/>
        <v>0</v>
      </c>
      <c r="X41" s="10">
        <f t="shared" ca="1" si="7"/>
        <v>0</v>
      </c>
      <c r="Y41" s="10">
        <f t="shared" ca="1" si="7"/>
        <v>0</v>
      </c>
      <c r="Z41" s="10">
        <f t="shared" ca="1" si="7"/>
        <v>0</v>
      </c>
      <c r="AA41" s="10">
        <f t="shared" ca="1" si="7"/>
        <v>0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4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thickBot="1" x14ac:dyDescent="0.45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273</v>
      </c>
      <c r="G45" s="3">
        <f t="shared" si="8"/>
        <v>339.2</v>
      </c>
      <c r="H45" s="3">
        <f t="shared" si="8"/>
        <v>405.3</v>
      </c>
      <c r="I45" s="3">
        <f t="shared" si="8"/>
        <v>471.4</v>
      </c>
      <c r="J45" s="3">
        <f t="shared" si="8"/>
        <v>537.5</v>
      </c>
      <c r="K45" s="3">
        <f t="shared" si="8"/>
        <v>603.5</v>
      </c>
      <c r="L45" s="3">
        <f t="shared" si="8"/>
        <v>669.6</v>
      </c>
      <c r="M45" s="3">
        <f t="shared" si="8"/>
        <v>735.7</v>
      </c>
      <c r="N45" s="3">
        <f t="shared" si="8"/>
        <v>801.8</v>
      </c>
      <c r="O45" s="3">
        <f t="shared" si="8"/>
        <v>867.8</v>
      </c>
      <c r="P45" s="3">
        <f t="shared" si="8"/>
        <v>933.9</v>
      </c>
      <c r="Q45" s="3">
        <f t="shared" si="8"/>
        <v>1000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customHeight="1" outlineLevel="1" thickTop="1" thickBot="1" x14ac:dyDescent="0.4">
      <c r="A46" s="5">
        <f t="shared" ref="A46:E55" si="9">A4</f>
        <v>0</v>
      </c>
      <c r="B46" s="5">
        <f t="shared" si="9"/>
        <v>1</v>
      </c>
      <c r="C46" s="5">
        <f t="shared" si="9"/>
        <v>0</v>
      </c>
      <c r="D46" s="5">
        <f t="shared" si="9"/>
        <v>0</v>
      </c>
      <c r="E46" s="6" t="str">
        <f t="shared" si="9"/>
        <v>*Se[l]</v>
      </c>
      <c r="F46" s="14">
        <f t="shared" ref="F46:U55" ca="1" si="10">$A46*H.Ar + $B46*H.Se + $C46*H.Ge + $D46*H.Ga</f>
        <v>-4.7</v>
      </c>
      <c r="G46" s="14">
        <f t="shared" ca="1" si="10"/>
        <v>-5.0519999999999996</v>
      </c>
      <c r="H46" s="14">
        <f t="shared" ca="1" si="10"/>
        <v>-5.4409999999999998</v>
      </c>
      <c r="I46" s="14">
        <f t="shared" ca="1" si="10"/>
        <v>-5.8239999999999998</v>
      </c>
      <c r="J46" s="14">
        <f t="shared" ca="1" si="10"/>
        <v>-6.1890000000000001</v>
      </c>
      <c r="K46" s="14">
        <f t="shared" ca="1" si="10"/>
        <v>-6.53</v>
      </c>
      <c r="L46" s="14">
        <f t="shared" ca="1" si="10"/>
        <v>-6.8470000000000004</v>
      </c>
      <c r="M46" s="14">
        <f t="shared" ca="1" si="10"/>
        <v>-7.1420000000000003</v>
      </c>
      <c r="N46" s="14">
        <f t="shared" ca="1" si="10"/>
        <v>-7.42</v>
      </c>
      <c r="O46" s="14">
        <f t="shared" ca="1" si="10"/>
        <v>-7.6909999999999998</v>
      </c>
      <c r="P46" s="14">
        <f t="shared" ca="1" si="10"/>
        <v>-7.9740000000000002</v>
      </c>
      <c r="Q46" s="14">
        <f t="shared" ca="1" si="10"/>
        <v>-8.298</v>
      </c>
      <c r="R46" s="14">
        <f t="shared" ca="1" si="10"/>
        <v>0</v>
      </c>
      <c r="S46" s="14">
        <f t="shared" ca="1" si="10"/>
        <v>0</v>
      </c>
      <c r="T46" s="14">
        <f t="shared" ca="1" si="10"/>
        <v>0</v>
      </c>
      <c r="U46" s="14">
        <f t="shared" ca="1" si="10"/>
        <v>0</v>
      </c>
      <c r="V46" s="14">
        <f t="shared" ref="V46:AL46" ca="1" si="11">$A46*H.Ar + $B46*H.Se + $C46*H.Ge + $D46*H.Ga</f>
        <v>0</v>
      </c>
      <c r="W46" s="14">
        <f t="shared" ca="1" si="11"/>
        <v>0</v>
      </c>
      <c r="X46" s="14">
        <f t="shared" ca="1" si="11"/>
        <v>0</v>
      </c>
      <c r="Y46" s="14">
        <f t="shared" ca="1" si="11"/>
        <v>0</v>
      </c>
      <c r="Z46" s="14">
        <f t="shared" ca="1" si="11"/>
        <v>0</v>
      </c>
      <c r="AA46" s="14">
        <f t="shared" ca="1" si="11"/>
        <v>0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customHeight="1" outlineLevel="1" thickBot="1" x14ac:dyDescent="0.4">
      <c r="A47" s="5">
        <f t="shared" si="9"/>
        <v>0</v>
      </c>
      <c r="B47" s="5">
        <f t="shared" si="9"/>
        <v>3</v>
      </c>
      <c r="C47" s="5">
        <f t="shared" si="9"/>
        <v>0</v>
      </c>
      <c r="D47" s="5">
        <f t="shared" si="9"/>
        <v>0</v>
      </c>
      <c r="E47" s="6" t="str">
        <f t="shared" si="9"/>
        <v>Se3</v>
      </c>
      <c r="F47" s="14">
        <f t="shared" ca="1" si="10"/>
        <v>-14.100000000000001</v>
      </c>
      <c r="G47" s="14">
        <f t="shared" ref="G47:AL54" ca="1" si="12">$A47*H.Ar + $B47*H.Se + $C47*H.Ge + $D47*H.Ga</f>
        <v>-15.155999999999999</v>
      </c>
      <c r="H47" s="14">
        <f t="shared" ca="1" si="12"/>
        <v>-16.323</v>
      </c>
      <c r="I47" s="14">
        <f t="shared" ca="1" si="12"/>
        <v>-17.472000000000001</v>
      </c>
      <c r="J47" s="14">
        <f t="shared" ca="1" si="12"/>
        <v>-18.567</v>
      </c>
      <c r="K47" s="14">
        <f t="shared" ca="1" si="12"/>
        <v>-19.59</v>
      </c>
      <c r="L47" s="14">
        <f t="shared" ca="1" si="12"/>
        <v>-20.541</v>
      </c>
      <c r="M47" s="14">
        <f t="shared" ca="1" si="12"/>
        <v>-21.426000000000002</v>
      </c>
      <c r="N47" s="14">
        <f t="shared" ca="1" si="12"/>
        <v>-22.259999999999998</v>
      </c>
      <c r="O47" s="14">
        <f t="shared" ca="1" si="12"/>
        <v>-23.073</v>
      </c>
      <c r="P47" s="14">
        <f t="shared" ca="1" si="12"/>
        <v>-23.922000000000001</v>
      </c>
      <c r="Q47" s="14">
        <f t="shared" ca="1" si="12"/>
        <v>-24.893999999999998</v>
      </c>
      <c r="R47" s="14">
        <f t="shared" ca="1" si="12"/>
        <v>0</v>
      </c>
      <c r="S47" s="14">
        <f t="shared" ca="1" si="12"/>
        <v>0</v>
      </c>
      <c r="T47" s="14">
        <f t="shared" ca="1" si="12"/>
        <v>0</v>
      </c>
      <c r="U47" s="14">
        <f t="shared" ca="1" si="12"/>
        <v>0</v>
      </c>
      <c r="V47" s="14">
        <f t="shared" ca="1" si="12"/>
        <v>0</v>
      </c>
      <c r="W47" s="14">
        <f t="shared" ca="1" si="12"/>
        <v>0</v>
      </c>
      <c r="X47" s="14">
        <f t="shared" ca="1" si="12"/>
        <v>0</v>
      </c>
      <c r="Y47" s="14">
        <f t="shared" ca="1" si="12"/>
        <v>0</v>
      </c>
      <c r="Z47" s="14">
        <f t="shared" ca="1" si="12"/>
        <v>0</v>
      </c>
      <c r="AA47" s="14">
        <f t="shared" ca="1" si="12"/>
        <v>0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customHeight="1" outlineLevel="1" thickBot="1" x14ac:dyDescent="0.4">
      <c r="A48" s="5">
        <f t="shared" si="9"/>
        <v>0</v>
      </c>
      <c r="B48" s="5">
        <f t="shared" si="9"/>
        <v>4</v>
      </c>
      <c r="C48" s="5">
        <f t="shared" si="9"/>
        <v>0</v>
      </c>
      <c r="D48" s="5">
        <f t="shared" si="9"/>
        <v>0</v>
      </c>
      <c r="E48" s="6" t="str">
        <f t="shared" si="9"/>
        <v>Se4</v>
      </c>
      <c r="F48" s="14">
        <f t="shared" ca="1" si="10"/>
        <v>-18.8</v>
      </c>
      <c r="G48" s="14">
        <f t="shared" ca="1" si="12"/>
        <v>-20.207999999999998</v>
      </c>
      <c r="H48" s="14">
        <f t="shared" ca="1" si="12"/>
        <v>-21.763999999999999</v>
      </c>
      <c r="I48" s="14">
        <f t="shared" ca="1" si="12"/>
        <v>-23.295999999999999</v>
      </c>
      <c r="J48" s="14">
        <f t="shared" ca="1" si="12"/>
        <v>-24.756</v>
      </c>
      <c r="K48" s="14">
        <f t="shared" ca="1" si="12"/>
        <v>-26.12</v>
      </c>
      <c r="L48" s="14">
        <f t="shared" ca="1" si="12"/>
        <v>-27.388000000000002</v>
      </c>
      <c r="M48" s="14">
        <f t="shared" ca="1" si="12"/>
        <v>-28.568000000000001</v>
      </c>
      <c r="N48" s="14">
        <f t="shared" ca="1" si="12"/>
        <v>-29.68</v>
      </c>
      <c r="O48" s="14">
        <f t="shared" ca="1" si="12"/>
        <v>-30.763999999999999</v>
      </c>
      <c r="P48" s="14">
        <f t="shared" ca="1" si="12"/>
        <v>-31.896000000000001</v>
      </c>
      <c r="Q48" s="14">
        <f t="shared" ca="1" si="12"/>
        <v>-33.192</v>
      </c>
      <c r="R48" s="14">
        <f t="shared" ca="1" si="12"/>
        <v>0</v>
      </c>
      <c r="S48" s="14">
        <f t="shared" ca="1" si="12"/>
        <v>0</v>
      </c>
      <c r="T48" s="14">
        <f t="shared" ca="1" si="12"/>
        <v>0</v>
      </c>
      <c r="U48" s="14">
        <f t="shared" ca="1" si="12"/>
        <v>0</v>
      </c>
      <c r="V48" s="14">
        <f t="shared" ca="1" si="12"/>
        <v>0</v>
      </c>
      <c r="W48" s="14">
        <f t="shared" ca="1" si="12"/>
        <v>0</v>
      </c>
      <c r="X48" s="14">
        <f t="shared" ca="1" si="12"/>
        <v>0</v>
      </c>
      <c r="Y48" s="14">
        <f t="shared" ca="1" si="12"/>
        <v>0</v>
      </c>
      <c r="Z48" s="14">
        <f t="shared" ca="1" si="12"/>
        <v>0</v>
      </c>
      <c r="AA48" s="14">
        <f t="shared" ca="1" si="12"/>
        <v>0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customHeight="1" outlineLevel="1" thickBot="1" x14ac:dyDescent="0.4">
      <c r="A49" s="5">
        <f t="shared" si="9"/>
        <v>0</v>
      </c>
      <c r="B49" s="5">
        <f t="shared" si="9"/>
        <v>5</v>
      </c>
      <c r="C49" s="5">
        <f t="shared" si="9"/>
        <v>0</v>
      </c>
      <c r="D49" s="5">
        <f t="shared" si="9"/>
        <v>0</v>
      </c>
      <c r="E49" s="6" t="str">
        <f t="shared" si="9"/>
        <v>Se5</v>
      </c>
      <c r="F49" s="14">
        <f t="shared" ca="1" si="10"/>
        <v>-23.5</v>
      </c>
      <c r="G49" s="14">
        <f t="shared" ca="1" si="12"/>
        <v>-25.259999999999998</v>
      </c>
      <c r="H49" s="14">
        <f t="shared" ca="1" si="12"/>
        <v>-27.204999999999998</v>
      </c>
      <c r="I49" s="14">
        <f t="shared" ca="1" si="12"/>
        <v>-29.119999999999997</v>
      </c>
      <c r="J49" s="14">
        <f t="shared" ca="1" si="12"/>
        <v>-30.945</v>
      </c>
      <c r="K49" s="14">
        <f t="shared" ca="1" si="12"/>
        <v>-32.65</v>
      </c>
      <c r="L49" s="14">
        <f t="shared" ca="1" si="12"/>
        <v>-34.234999999999999</v>
      </c>
      <c r="M49" s="14">
        <f t="shared" ca="1" si="12"/>
        <v>-35.71</v>
      </c>
      <c r="N49" s="14">
        <f t="shared" ca="1" si="12"/>
        <v>-37.1</v>
      </c>
      <c r="O49" s="14">
        <f t="shared" ca="1" si="12"/>
        <v>-38.454999999999998</v>
      </c>
      <c r="P49" s="14">
        <f t="shared" ca="1" si="12"/>
        <v>-39.870000000000005</v>
      </c>
      <c r="Q49" s="14">
        <f t="shared" ca="1" si="12"/>
        <v>-41.49</v>
      </c>
      <c r="R49" s="14">
        <f t="shared" ca="1" si="12"/>
        <v>0</v>
      </c>
      <c r="S49" s="14">
        <f t="shared" ca="1" si="12"/>
        <v>0</v>
      </c>
      <c r="T49" s="14">
        <f t="shared" ca="1" si="12"/>
        <v>0</v>
      </c>
      <c r="U49" s="14">
        <f t="shared" ca="1" si="12"/>
        <v>0</v>
      </c>
      <c r="V49" s="14">
        <f t="shared" ca="1" si="12"/>
        <v>0</v>
      </c>
      <c r="W49" s="14">
        <f t="shared" ca="1" si="12"/>
        <v>0</v>
      </c>
      <c r="X49" s="14">
        <f t="shared" ca="1" si="12"/>
        <v>0</v>
      </c>
      <c r="Y49" s="14">
        <f t="shared" ca="1" si="12"/>
        <v>0</v>
      </c>
      <c r="Z49" s="14">
        <f t="shared" ca="1" si="12"/>
        <v>0</v>
      </c>
      <c r="AA49" s="14">
        <f t="shared" ca="1" si="12"/>
        <v>0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customHeight="1" outlineLevel="1" thickBot="1" x14ac:dyDescent="0.4">
      <c r="A50" s="5">
        <f t="shared" si="9"/>
        <v>0</v>
      </c>
      <c r="B50" s="5">
        <f t="shared" si="9"/>
        <v>6</v>
      </c>
      <c r="C50" s="5">
        <f t="shared" si="9"/>
        <v>0</v>
      </c>
      <c r="D50" s="5">
        <f t="shared" si="9"/>
        <v>0</v>
      </c>
      <c r="E50" s="6" t="str">
        <f t="shared" si="9"/>
        <v>Se6</v>
      </c>
      <c r="F50" s="14">
        <f t="shared" ca="1" si="10"/>
        <v>-28.200000000000003</v>
      </c>
      <c r="G50" s="14">
        <f t="shared" ca="1" si="12"/>
        <v>-30.311999999999998</v>
      </c>
      <c r="H50" s="14">
        <f t="shared" ca="1" si="12"/>
        <v>-32.646000000000001</v>
      </c>
      <c r="I50" s="14">
        <f t="shared" ca="1" si="12"/>
        <v>-34.944000000000003</v>
      </c>
      <c r="J50" s="14">
        <f t="shared" ca="1" si="12"/>
        <v>-37.134</v>
      </c>
      <c r="K50" s="14">
        <f t="shared" ca="1" si="12"/>
        <v>-39.18</v>
      </c>
      <c r="L50" s="14">
        <f t="shared" ca="1" si="12"/>
        <v>-41.082000000000001</v>
      </c>
      <c r="M50" s="14">
        <f t="shared" ca="1" si="12"/>
        <v>-42.852000000000004</v>
      </c>
      <c r="N50" s="14">
        <f t="shared" ca="1" si="12"/>
        <v>-44.519999999999996</v>
      </c>
      <c r="O50" s="14">
        <f t="shared" ca="1" si="12"/>
        <v>-46.146000000000001</v>
      </c>
      <c r="P50" s="14">
        <f t="shared" ca="1" si="12"/>
        <v>-47.844000000000001</v>
      </c>
      <c r="Q50" s="14">
        <f t="shared" ca="1" si="12"/>
        <v>-49.787999999999997</v>
      </c>
      <c r="R50" s="14">
        <f t="shared" ca="1" si="12"/>
        <v>0</v>
      </c>
      <c r="S50" s="14">
        <f t="shared" ca="1" si="12"/>
        <v>0</v>
      </c>
      <c r="T50" s="14">
        <f t="shared" ca="1" si="12"/>
        <v>0</v>
      </c>
      <c r="U50" s="14">
        <f t="shared" ca="1" si="12"/>
        <v>0</v>
      </c>
      <c r="V50" s="14">
        <f t="shared" ca="1" si="12"/>
        <v>0</v>
      </c>
      <c r="W50" s="14">
        <f t="shared" ca="1" si="12"/>
        <v>0</v>
      </c>
      <c r="X50" s="14">
        <f t="shared" ca="1" si="12"/>
        <v>0</v>
      </c>
      <c r="Y50" s="14">
        <f t="shared" ca="1" si="12"/>
        <v>0</v>
      </c>
      <c r="Z50" s="14">
        <f t="shared" ca="1" si="12"/>
        <v>0</v>
      </c>
      <c r="AA50" s="14">
        <f t="shared" ca="1" si="12"/>
        <v>0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customHeight="1" outlineLevel="1" thickBot="1" x14ac:dyDescent="0.4">
      <c r="A51" s="5">
        <f t="shared" si="9"/>
        <v>0</v>
      </c>
      <c r="B51" s="5">
        <f t="shared" si="9"/>
        <v>7</v>
      </c>
      <c r="C51" s="5">
        <f t="shared" si="9"/>
        <v>0</v>
      </c>
      <c r="D51" s="5">
        <f t="shared" si="9"/>
        <v>0</v>
      </c>
      <c r="E51" s="6" t="str">
        <f t="shared" si="9"/>
        <v>Se7</v>
      </c>
      <c r="F51" s="14">
        <f t="shared" ca="1" si="10"/>
        <v>-32.9</v>
      </c>
      <c r="G51" s="14">
        <f t="shared" ca="1" si="12"/>
        <v>-35.363999999999997</v>
      </c>
      <c r="H51" s="14">
        <f t="shared" ca="1" si="12"/>
        <v>-38.086999999999996</v>
      </c>
      <c r="I51" s="14">
        <f t="shared" ca="1" si="12"/>
        <v>-40.768000000000001</v>
      </c>
      <c r="J51" s="14">
        <f t="shared" ca="1" si="12"/>
        <v>-43.323</v>
      </c>
      <c r="K51" s="14">
        <f t="shared" ca="1" si="12"/>
        <v>-45.71</v>
      </c>
      <c r="L51" s="14">
        <f t="shared" ca="1" si="12"/>
        <v>-47.929000000000002</v>
      </c>
      <c r="M51" s="14">
        <f t="shared" ca="1" si="12"/>
        <v>-49.994</v>
      </c>
      <c r="N51" s="14">
        <f t="shared" ca="1" si="12"/>
        <v>-51.94</v>
      </c>
      <c r="O51" s="14">
        <f t="shared" ca="1" si="12"/>
        <v>-53.836999999999996</v>
      </c>
      <c r="P51" s="14">
        <f t="shared" ca="1" si="12"/>
        <v>-55.817999999999998</v>
      </c>
      <c r="Q51" s="14">
        <f t="shared" ca="1" si="12"/>
        <v>-58.085999999999999</v>
      </c>
      <c r="R51" s="14">
        <f t="shared" ca="1" si="12"/>
        <v>0</v>
      </c>
      <c r="S51" s="14">
        <f t="shared" ca="1" si="12"/>
        <v>0</v>
      </c>
      <c r="T51" s="14">
        <f t="shared" ca="1" si="12"/>
        <v>0</v>
      </c>
      <c r="U51" s="14">
        <f t="shared" ca="1" si="12"/>
        <v>0</v>
      </c>
      <c r="V51" s="14">
        <f t="shared" ca="1" si="12"/>
        <v>0</v>
      </c>
      <c r="W51" s="14">
        <f t="shared" ca="1" si="12"/>
        <v>0</v>
      </c>
      <c r="X51" s="14">
        <f t="shared" ca="1" si="12"/>
        <v>0</v>
      </c>
      <c r="Y51" s="14">
        <f t="shared" ca="1" si="12"/>
        <v>0</v>
      </c>
      <c r="Z51" s="14">
        <f t="shared" ca="1" si="12"/>
        <v>0</v>
      </c>
      <c r="AA51" s="14">
        <f t="shared" ca="1" si="12"/>
        <v>0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customHeight="1" outlineLevel="1" thickBot="1" x14ac:dyDescent="0.4">
      <c r="A52" s="5">
        <f t="shared" si="9"/>
        <v>0</v>
      </c>
      <c r="B52" s="5">
        <f t="shared" si="9"/>
        <v>8</v>
      </c>
      <c r="C52" s="5">
        <f t="shared" si="9"/>
        <v>0</v>
      </c>
      <c r="D52" s="5">
        <f t="shared" si="9"/>
        <v>0</v>
      </c>
      <c r="E52" s="6" t="str">
        <f t="shared" si="9"/>
        <v>Se8</v>
      </c>
      <c r="F52" s="14">
        <f t="shared" ca="1" si="10"/>
        <v>-37.6</v>
      </c>
      <c r="G52" s="14">
        <f t="shared" ca="1" si="12"/>
        <v>-40.415999999999997</v>
      </c>
      <c r="H52" s="14">
        <f t="shared" ca="1" si="12"/>
        <v>-43.527999999999999</v>
      </c>
      <c r="I52" s="14">
        <f t="shared" ca="1" si="12"/>
        <v>-46.591999999999999</v>
      </c>
      <c r="J52" s="14">
        <f t="shared" ca="1" si="12"/>
        <v>-49.512</v>
      </c>
      <c r="K52" s="14">
        <f t="shared" ca="1" si="12"/>
        <v>-52.24</v>
      </c>
      <c r="L52" s="14">
        <f t="shared" ca="1" si="12"/>
        <v>-54.776000000000003</v>
      </c>
      <c r="M52" s="14">
        <f t="shared" ca="1" si="12"/>
        <v>-57.136000000000003</v>
      </c>
      <c r="N52" s="14">
        <f t="shared" ca="1" si="12"/>
        <v>-59.36</v>
      </c>
      <c r="O52" s="14">
        <f t="shared" ca="1" si="12"/>
        <v>-61.527999999999999</v>
      </c>
      <c r="P52" s="14">
        <f t="shared" ca="1" si="12"/>
        <v>-63.792000000000002</v>
      </c>
      <c r="Q52" s="14">
        <f t="shared" ca="1" si="12"/>
        <v>-66.384</v>
      </c>
      <c r="R52" s="14">
        <f t="shared" ca="1" si="12"/>
        <v>0</v>
      </c>
      <c r="S52" s="14">
        <f t="shared" ca="1" si="12"/>
        <v>0</v>
      </c>
      <c r="T52" s="14">
        <f t="shared" ca="1" si="12"/>
        <v>0</v>
      </c>
      <c r="U52" s="14">
        <f t="shared" ca="1" si="12"/>
        <v>0</v>
      </c>
      <c r="V52" s="14">
        <f t="shared" ca="1" si="12"/>
        <v>0</v>
      </c>
      <c r="W52" s="14">
        <f t="shared" ca="1" si="12"/>
        <v>0</v>
      </c>
      <c r="X52" s="14">
        <f t="shared" ca="1" si="12"/>
        <v>0</v>
      </c>
      <c r="Y52" s="14">
        <f t="shared" ca="1" si="12"/>
        <v>0</v>
      </c>
      <c r="Z52" s="14">
        <f t="shared" ca="1" si="12"/>
        <v>0</v>
      </c>
      <c r="AA52" s="14">
        <f t="shared" ca="1" si="12"/>
        <v>0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0</v>
      </c>
      <c r="D53" s="5">
        <f t="shared" si="9"/>
        <v>0</v>
      </c>
      <c r="E53" s="6" t="str">
        <f t="shared" si="9"/>
        <v>Se2</v>
      </c>
      <c r="F53" s="14">
        <f t="shared" ca="1" si="10"/>
        <v>-9.4</v>
      </c>
      <c r="G53" s="14">
        <f t="shared" ca="1" si="12"/>
        <v>-10.103999999999999</v>
      </c>
      <c r="H53" s="14">
        <f t="shared" ca="1" si="12"/>
        <v>-10.882</v>
      </c>
      <c r="I53" s="14">
        <f t="shared" ca="1" si="12"/>
        <v>-11.648</v>
      </c>
      <c r="J53" s="14">
        <f t="shared" ca="1" si="12"/>
        <v>-12.378</v>
      </c>
      <c r="K53" s="14">
        <f t="shared" ca="1" si="12"/>
        <v>-13.06</v>
      </c>
      <c r="L53" s="14">
        <f t="shared" ca="1" si="12"/>
        <v>-13.694000000000001</v>
      </c>
      <c r="M53" s="14">
        <f t="shared" ca="1" si="12"/>
        <v>-14.284000000000001</v>
      </c>
      <c r="N53" s="14">
        <f t="shared" ca="1" si="12"/>
        <v>-14.84</v>
      </c>
      <c r="O53" s="14">
        <f t="shared" ca="1" si="12"/>
        <v>-15.382</v>
      </c>
      <c r="P53" s="14">
        <f t="shared" ca="1" si="12"/>
        <v>-15.948</v>
      </c>
      <c r="Q53" s="14">
        <f t="shared" ca="1" si="12"/>
        <v>-16.596</v>
      </c>
      <c r="R53" s="14">
        <f t="shared" ca="1" si="12"/>
        <v>0</v>
      </c>
      <c r="S53" s="14">
        <f t="shared" ca="1" si="12"/>
        <v>0</v>
      </c>
      <c r="T53" s="14">
        <f t="shared" ca="1" si="12"/>
        <v>0</v>
      </c>
      <c r="U53" s="14">
        <f t="shared" ca="1" si="12"/>
        <v>0</v>
      </c>
      <c r="V53" s="14">
        <f t="shared" ca="1" si="12"/>
        <v>0</v>
      </c>
      <c r="W53" s="14">
        <f t="shared" ca="1" si="12"/>
        <v>0</v>
      </c>
      <c r="X53" s="14">
        <f t="shared" ca="1" si="12"/>
        <v>0</v>
      </c>
      <c r="Y53" s="14">
        <f t="shared" ca="1" si="12"/>
        <v>0</v>
      </c>
      <c r="Z53" s="14">
        <f t="shared" ca="1" si="12"/>
        <v>0</v>
      </c>
      <c r="AA53" s="14">
        <f t="shared" ca="1" si="12"/>
        <v>0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customHeight="1" outlineLevel="1" thickBot="1" x14ac:dyDescent="0.4">
      <c r="A54" s="5">
        <f t="shared" si="9"/>
        <v>0</v>
      </c>
      <c r="B54" s="5">
        <f t="shared" si="9"/>
        <v>1</v>
      </c>
      <c r="C54" s="5">
        <f t="shared" si="9"/>
        <v>0</v>
      </c>
      <c r="D54" s="5">
        <f t="shared" si="9"/>
        <v>0</v>
      </c>
      <c r="E54" s="6" t="str">
        <f t="shared" si="9"/>
        <v>Se</v>
      </c>
      <c r="F54" s="14">
        <f t="shared" ca="1" si="10"/>
        <v>-4.7</v>
      </c>
      <c r="G54" s="14">
        <f t="shared" ca="1" si="12"/>
        <v>-5.0519999999999996</v>
      </c>
      <c r="H54" s="14">
        <f t="shared" ca="1" si="12"/>
        <v>-5.4409999999999998</v>
      </c>
      <c r="I54" s="14">
        <f t="shared" ca="1" si="12"/>
        <v>-5.8239999999999998</v>
      </c>
      <c r="J54" s="14">
        <f t="shared" ca="1" si="12"/>
        <v>-6.1890000000000001</v>
      </c>
      <c r="K54" s="14">
        <f t="shared" ca="1" si="12"/>
        <v>-6.53</v>
      </c>
      <c r="L54" s="14">
        <f t="shared" ca="1" si="12"/>
        <v>-6.8470000000000004</v>
      </c>
      <c r="M54" s="14">
        <f t="shared" ca="1" si="12"/>
        <v>-7.1420000000000003</v>
      </c>
      <c r="N54" s="14">
        <f t="shared" ca="1" si="12"/>
        <v>-7.42</v>
      </c>
      <c r="O54" s="14">
        <f t="shared" ca="1" si="12"/>
        <v>-7.6909999999999998</v>
      </c>
      <c r="P54" s="14">
        <f t="shared" ca="1" si="12"/>
        <v>-7.9740000000000002</v>
      </c>
      <c r="Q54" s="14">
        <f t="shared" ca="1" si="12"/>
        <v>-8.298</v>
      </c>
      <c r="R54" s="14">
        <f t="shared" ca="1" si="12"/>
        <v>0</v>
      </c>
      <c r="S54" s="14">
        <f t="shared" ca="1" si="12"/>
        <v>0</v>
      </c>
      <c r="T54" s="14">
        <f t="shared" ca="1" si="12"/>
        <v>0</v>
      </c>
      <c r="U54" s="14">
        <f t="shared" ref="U54:AL54" ca="1" si="13">$A54*H.Ar + $B54*H.Se + $C54*H.Ge + $D54*H.Ga</f>
        <v>0</v>
      </c>
      <c r="V54" s="14">
        <f t="shared" ca="1" si="13"/>
        <v>0</v>
      </c>
      <c r="W54" s="14">
        <f t="shared" ca="1" si="13"/>
        <v>0</v>
      </c>
      <c r="X54" s="14">
        <f t="shared" ca="1" si="13"/>
        <v>0</v>
      </c>
      <c r="Y54" s="14">
        <f t="shared" ca="1" si="13"/>
        <v>0</v>
      </c>
      <c r="Z54" s="14">
        <f t="shared" ca="1" si="13"/>
        <v>0</v>
      </c>
      <c r="AA54" s="14">
        <f t="shared" ca="1" si="13"/>
        <v>0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-20.026</v>
      </c>
      <c r="G55" s="14">
        <f t="shared" ref="G55:AL62" ca="1" si="14">$A55*H.Ar + $B55*H.Se + $C55*H.Ge + $D55*H.Ga</f>
        <v>-21.361999999999998</v>
      </c>
      <c r="H55" s="14">
        <f t="shared" ca="1" si="14"/>
        <v>-22.631</v>
      </c>
      <c r="I55" s="14">
        <f t="shared" ca="1" si="14"/>
        <v>-23.799999999999997</v>
      </c>
      <c r="J55" s="14">
        <f t="shared" ca="1" si="14"/>
        <v>-24.879000000000001</v>
      </c>
      <c r="K55" s="14">
        <f t="shared" ca="1" si="14"/>
        <v>-25.904</v>
      </c>
      <c r="L55" s="14">
        <f t="shared" ca="1" si="14"/>
        <v>-26.947000000000003</v>
      </c>
      <c r="M55" s="14">
        <f t="shared" ca="1" si="14"/>
        <v>-28.082000000000001</v>
      </c>
      <c r="N55" s="14">
        <f t="shared" ca="1" si="14"/>
        <v>-29.259999999999998</v>
      </c>
      <c r="O55" s="14">
        <f t="shared" ca="1" si="14"/>
        <v>-30.430999999999997</v>
      </c>
      <c r="P55" s="14">
        <f t="shared" ca="1" si="14"/>
        <v>-31.594000000000001</v>
      </c>
      <c r="Q55" s="14">
        <f t="shared" ca="1" si="14"/>
        <v>-32.738</v>
      </c>
      <c r="R55" s="14">
        <f t="shared" ca="1" si="14"/>
        <v>0</v>
      </c>
      <c r="S55" s="14">
        <f t="shared" ca="1" si="14"/>
        <v>0</v>
      </c>
      <c r="T55" s="14">
        <f t="shared" ca="1" si="14"/>
        <v>0</v>
      </c>
      <c r="U55" s="14">
        <f t="shared" ca="1" si="14"/>
        <v>0</v>
      </c>
      <c r="V55" s="14">
        <f t="shared" ca="1" si="14"/>
        <v>0</v>
      </c>
      <c r="W55" s="14">
        <f t="shared" ca="1" si="14"/>
        <v>0</v>
      </c>
      <c r="X55" s="14">
        <f t="shared" ca="1" si="14"/>
        <v>0</v>
      </c>
      <c r="Y55" s="14">
        <f t="shared" ca="1" si="14"/>
        <v>0</v>
      </c>
      <c r="Z55" s="14">
        <f t="shared" ca="1" si="14"/>
        <v>0</v>
      </c>
      <c r="AA55" s="14">
        <f t="shared" ca="1" si="14"/>
        <v>0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-18.62</v>
      </c>
      <c r="G56" s="14">
        <f t="shared" ca="1" si="16"/>
        <v>-18.63</v>
      </c>
      <c r="H56" s="14">
        <f t="shared" ca="1" si="16"/>
        <v>-18.72</v>
      </c>
      <c r="I56" s="14">
        <f t="shared" ca="1" si="16"/>
        <v>-18.84</v>
      </c>
      <c r="J56" s="14">
        <f t="shared" ca="1" si="16"/>
        <v>-18.97</v>
      </c>
      <c r="K56" s="14">
        <f t="shared" ca="1" si="16"/>
        <v>-19.11</v>
      </c>
      <c r="L56" s="14">
        <f t="shared" ca="1" si="16"/>
        <v>-19.260000000000002</v>
      </c>
      <c r="M56" s="14">
        <f t="shared" ca="1" si="16"/>
        <v>-19.41</v>
      </c>
      <c r="N56" s="14">
        <f t="shared" ca="1" si="16"/>
        <v>-19.559999999999999</v>
      </c>
      <c r="O56" s="14">
        <f t="shared" ca="1" si="16"/>
        <v>-19.73</v>
      </c>
      <c r="P56" s="14">
        <f t="shared" ca="1" si="16"/>
        <v>-19.940000000000001</v>
      </c>
      <c r="Q56" s="14">
        <f t="shared" ca="1" si="16"/>
        <v>-20.2</v>
      </c>
      <c r="R56" s="14">
        <f t="shared" ca="1" si="16"/>
        <v>0</v>
      </c>
      <c r="S56" s="14">
        <f t="shared" ca="1" si="16"/>
        <v>0</v>
      </c>
      <c r="T56" s="14">
        <f t="shared" ca="1" si="16"/>
        <v>0</v>
      </c>
      <c r="U56" s="14">
        <f t="shared" ca="1" si="16"/>
        <v>0</v>
      </c>
      <c r="V56" s="14">
        <f t="shared" ca="1" si="14"/>
        <v>0</v>
      </c>
      <c r="W56" s="14">
        <f t="shared" ca="1" si="14"/>
        <v>0</v>
      </c>
      <c r="X56" s="14">
        <f t="shared" ca="1" si="14"/>
        <v>0</v>
      </c>
      <c r="Y56" s="14">
        <f t="shared" ca="1" si="14"/>
        <v>0</v>
      </c>
      <c r="Z56" s="14">
        <f t="shared" ca="1" si="14"/>
        <v>0</v>
      </c>
      <c r="AA56" s="14">
        <f t="shared" ca="1" si="14"/>
        <v>0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(l)Ga[l]</v>
      </c>
      <c r="F57" s="14">
        <f t="shared" ca="1" si="16"/>
        <v>-7.6630000000000003</v>
      </c>
      <c r="G57" s="14">
        <f t="shared" ca="1" si="14"/>
        <v>-8.1549999999999994</v>
      </c>
      <c r="H57" s="14">
        <f t="shared" ca="1" si="14"/>
        <v>-8.5950000000000006</v>
      </c>
      <c r="I57" s="14">
        <f t="shared" ca="1" si="14"/>
        <v>-8.9879999999999995</v>
      </c>
      <c r="J57" s="14">
        <f t="shared" ca="1" si="14"/>
        <v>-9.3450000000000006</v>
      </c>
      <c r="K57" s="14">
        <f t="shared" ca="1" si="14"/>
        <v>-9.6869999999999994</v>
      </c>
      <c r="L57" s="14">
        <f t="shared" ca="1" si="14"/>
        <v>-10.050000000000001</v>
      </c>
      <c r="M57" s="14">
        <f t="shared" ca="1" si="14"/>
        <v>-10.47</v>
      </c>
      <c r="N57" s="14">
        <f t="shared" ca="1" si="14"/>
        <v>-10.92</v>
      </c>
      <c r="O57" s="14">
        <f t="shared" ca="1" si="14"/>
        <v>-11.37</v>
      </c>
      <c r="P57" s="14">
        <f t="shared" ca="1" si="14"/>
        <v>-11.81</v>
      </c>
      <c r="Q57" s="14">
        <f t="shared" ca="1" si="14"/>
        <v>-12.22</v>
      </c>
      <c r="R57" s="14">
        <f t="shared" ca="1" si="14"/>
        <v>0</v>
      </c>
      <c r="S57" s="14">
        <f t="shared" ca="1" si="14"/>
        <v>0</v>
      </c>
      <c r="T57" s="14">
        <f t="shared" ca="1" si="14"/>
        <v>0</v>
      </c>
      <c r="U57" s="14">
        <f t="shared" ca="1" si="14"/>
        <v>0</v>
      </c>
      <c r="V57" s="14">
        <f t="shared" ca="1" si="14"/>
        <v>0</v>
      </c>
      <c r="W57" s="14">
        <f t="shared" ca="1" si="14"/>
        <v>0</v>
      </c>
      <c r="X57" s="14">
        <f t="shared" ca="1" si="14"/>
        <v>0</v>
      </c>
      <c r="Y57" s="14">
        <f t="shared" ca="1" si="14"/>
        <v>0</v>
      </c>
      <c r="Z57" s="14">
        <f t="shared" ca="1" si="14"/>
        <v>0</v>
      </c>
      <c r="AA57" s="14">
        <f t="shared" ca="1" si="14"/>
        <v>0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(l)Ge[l]</v>
      </c>
      <c r="F58" s="14">
        <f t="shared" ca="1" si="16"/>
        <v>7.5119999999999996</v>
      </c>
      <c r="G58" s="14">
        <f t="shared" ca="1" si="14"/>
        <v>4.4539999999999997</v>
      </c>
      <c r="H58" s="14">
        <f t="shared" ca="1" si="14"/>
        <v>2.2879999999999998</v>
      </c>
      <c r="I58" s="14">
        <f t="shared" ca="1" si="14"/>
        <v>0.65210000000000001</v>
      </c>
      <c r="J58" s="14">
        <f t="shared" ca="1" si="14"/>
        <v>-0.63829999999999998</v>
      </c>
      <c r="K58" s="14">
        <f t="shared" ca="1" si="14"/>
        <v>-1.6890000000000001</v>
      </c>
      <c r="L58" s="14">
        <f t="shared" ca="1" si="14"/>
        <v>-2.5640000000000001</v>
      </c>
      <c r="M58" s="14">
        <f t="shared" ca="1" si="14"/>
        <v>-3.3050000000000002</v>
      </c>
      <c r="N58" s="14">
        <f t="shared" ca="1" si="14"/>
        <v>-3.9390000000000001</v>
      </c>
      <c r="O58" s="14">
        <f t="shared" ca="1" si="14"/>
        <v>-4.4790000000000001</v>
      </c>
      <c r="P58" s="14">
        <f t="shared" ca="1" si="14"/>
        <v>-4.9219999999999997</v>
      </c>
      <c r="Q58" s="14">
        <f t="shared" ca="1" si="14"/>
        <v>-5.2549999999999999</v>
      </c>
      <c r="R58" s="14">
        <f t="shared" ca="1" si="14"/>
        <v>0</v>
      </c>
      <c r="S58" s="14">
        <f t="shared" ca="1" si="14"/>
        <v>0</v>
      </c>
      <c r="T58" s="14">
        <f t="shared" ca="1" si="14"/>
        <v>0</v>
      </c>
      <c r="U58" s="14">
        <f t="shared" ca="1" si="14"/>
        <v>0</v>
      </c>
      <c r="V58" s="14">
        <f t="shared" ca="1" si="14"/>
        <v>0</v>
      </c>
      <c r="W58" s="14">
        <f t="shared" ca="1" si="14"/>
        <v>0</v>
      </c>
      <c r="X58" s="14">
        <f t="shared" ca="1" si="14"/>
        <v>0</v>
      </c>
      <c r="Y58" s="14">
        <f t="shared" ca="1" si="14"/>
        <v>0</v>
      </c>
      <c r="Z58" s="14">
        <f t="shared" ca="1" si="14"/>
        <v>0</v>
      </c>
      <c r="AA58" s="14">
        <f t="shared" ca="1" si="14"/>
        <v>0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1</v>
      </c>
      <c r="C59" s="5">
        <f t="shared" si="15"/>
        <v>0</v>
      </c>
      <c r="D59" s="5">
        <f t="shared" si="15"/>
        <v>0</v>
      </c>
      <c r="E59" s="6" t="str">
        <f t="shared" si="15"/>
        <v>(l)Se[l]</v>
      </c>
      <c r="F59" s="14">
        <f t="shared" ca="1" si="16"/>
        <v>-4.7</v>
      </c>
      <c r="G59" s="14">
        <f t="shared" ca="1" si="14"/>
        <v>-5.0519999999999996</v>
      </c>
      <c r="H59" s="14">
        <f t="shared" ca="1" si="14"/>
        <v>-5.4409999999999998</v>
      </c>
      <c r="I59" s="14">
        <f t="shared" ca="1" si="14"/>
        <v>-5.8239999999999998</v>
      </c>
      <c r="J59" s="14">
        <f t="shared" ca="1" si="14"/>
        <v>-6.1890000000000001</v>
      </c>
      <c r="K59" s="14">
        <f t="shared" ca="1" si="14"/>
        <v>-6.53</v>
      </c>
      <c r="L59" s="14">
        <f t="shared" ca="1" si="14"/>
        <v>-6.8470000000000004</v>
      </c>
      <c r="M59" s="14">
        <f t="shared" ca="1" si="14"/>
        <v>-7.1420000000000003</v>
      </c>
      <c r="N59" s="14">
        <f t="shared" ca="1" si="14"/>
        <v>-7.42</v>
      </c>
      <c r="O59" s="14">
        <f t="shared" ca="1" si="14"/>
        <v>-7.6909999999999998</v>
      </c>
      <c r="P59" s="14">
        <f t="shared" ca="1" si="14"/>
        <v>-7.9740000000000002</v>
      </c>
      <c r="Q59" s="14">
        <f t="shared" ca="1" si="14"/>
        <v>-8.298</v>
      </c>
      <c r="R59" s="14">
        <f t="shared" ca="1" si="14"/>
        <v>0</v>
      </c>
      <c r="S59" s="14">
        <f t="shared" ca="1" si="14"/>
        <v>0</v>
      </c>
      <c r="T59" s="14">
        <f t="shared" ca="1" si="14"/>
        <v>0</v>
      </c>
      <c r="U59" s="14">
        <f t="shared" ca="1" si="14"/>
        <v>0</v>
      </c>
      <c r="V59" s="14">
        <f t="shared" ca="1" si="14"/>
        <v>0</v>
      </c>
      <c r="W59" s="14">
        <f t="shared" ca="1" si="14"/>
        <v>0</v>
      </c>
      <c r="X59" s="14">
        <f t="shared" ca="1" si="14"/>
        <v>0</v>
      </c>
      <c r="Y59" s="14">
        <f t="shared" ca="1" si="14"/>
        <v>0</v>
      </c>
      <c r="Z59" s="14">
        <f t="shared" ca="1" si="14"/>
        <v>0</v>
      </c>
      <c r="AA59" s="14">
        <f t="shared" ca="1" si="14"/>
        <v>0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customHeight="1" outlineLevel="1" thickBot="1" x14ac:dyDescent="0.4">
      <c r="A60" s="5">
        <f t="shared" si="15"/>
        <v>1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 t="str">
        <f t="shared" si="15"/>
        <v>H (Ar)</v>
      </c>
      <c r="F60" s="14">
        <f t="shared" ca="1" si="16"/>
        <v>-18.62</v>
      </c>
      <c r="G60" s="14">
        <f t="shared" ca="1" si="14"/>
        <v>-18.63</v>
      </c>
      <c r="H60" s="14">
        <f t="shared" ca="1" si="14"/>
        <v>-18.72</v>
      </c>
      <c r="I60" s="14">
        <f t="shared" ca="1" si="14"/>
        <v>-18.84</v>
      </c>
      <c r="J60" s="14">
        <f t="shared" ca="1" si="14"/>
        <v>-18.97</v>
      </c>
      <c r="K60" s="14">
        <f t="shared" ca="1" si="14"/>
        <v>-19.11</v>
      </c>
      <c r="L60" s="14">
        <f t="shared" ca="1" si="14"/>
        <v>-19.260000000000002</v>
      </c>
      <c r="M60" s="14">
        <f t="shared" ca="1" si="14"/>
        <v>-19.41</v>
      </c>
      <c r="N60" s="14">
        <f t="shared" ca="1" si="14"/>
        <v>-19.559999999999999</v>
      </c>
      <c r="O60" s="14">
        <f t="shared" ca="1" si="14"/>
        <v>-19.73</v>
      </c>
      <c r="P60" s="14">
        <f t="shared" ca="1" si="14"/>
        <v>-19.940000000000001</v>
      </c>
      <c r="Q60" s="14">
        <f t="shared" ca="1" si="14"/>
        <v>-20.2</v>
      </c>
      <c r="R60" s="14">
        <f t="shared" ca="1" si="14"/>
        <v>0</v>
      </c>
      <c r="S60" s="14">
        <f t="shared" ca="1" si="14"/>
        <v>0</v>
      </c>
      <c r="T60" s="14">
        <f t="shared" ca="1" si="14"/>
        <v>0</v>
      </c>
      <c r="U60" s="14">
        <f t="shared" ca="1" si="14"/>
        <v>0</v>
      </c>
      <c r="V60" s="14">
        <f t="shared" ca="1" si="14"/>
        <v>0</v>
      </c>
      <c r="W60" s="14">
        <f t="shared" ca="1" si="14"/>
        <v>0</v>
      </c>
      <c r="X60" s="14">
        <f t="shared" ca="1" si="14"/>
        <v>0</v>
      </c>
      <c r="Y60" s="14">
        <f t="shared" ca="1" si="14"/>
        <v>0</v>
      </c>
      <c r="Z60" s="14">
        <f t="shared" ca="1" si="14"/>
        <v>0</v>
      </c>
      <c r="AA60" s="14">
        <f t="shared" ca="1" si="14"/>
        <v>0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1</v>
      </c>
      <c r="E61" s="6" t="str">
        <f t="shared" si="15"/>
        <v>H (Ga)</v>
      </c>
      <c r="F61" s="14">
        <f t="shared" ca="1" si="16"/>
        <v>-7.6630000000000003</v>
      </c>
      <c r="G61" s="14">
        <f t="shared" ca="1" si="14"/>
        <v>-8.1549999999999994</v>
      </c>
      <c r="H61" s="14">
        <f t="shared" ca="1" si="14"/>
        <v>-8.5950000000000006</v>
      </c>
      <c r="I61" s="14">
        <f t="shared" ca="1" si="14"/>
        <v>-8.9879999999999995</v>
      </c>
      <c r="J61" s="14">
        <f t="shared" ca="1" si="14"/>
        <v>-9.3450000000000006</v>
      </c>
      <c r="K61" s="14">
        <f t="shared" ca="1" si="14"/>
        <v>-9.6869999999999994</v>
      </c>
      <c r="L61" s="14">
        <f t="shared" ca="1" si="14"/>
        <v>-10.050000000000001</v>
      </c>
      <c r="M61" s="14">
        <f t="shared" ca="1" si="14"/>
        <v>-10.47</v>
      </c>
      <c r="N61" s="14">
        <f t="shared" ca="1" si="14"/>
        <v>-10.92</v>
      </c>
      <c r="O61" s="14">
        <f t="shared" ca="1" si="14"/>
        <v>-11.37</v>
      </c>
      <c r="P61" s="14">
        <f t="shared" ca="1" si="14"/>
        <v>-11.81</v>
      </c>
      <c r="Q61" s="14">
        <f t="shared" ca="1" si="14"/>
        <v>-12.22</v>
      </c>
      <c r="R61" s="14">
        <f t="shared" ca="1" si="14"/>
        <v>0</v>
      </c>
      <c r="S61" s="14">
        <f t="shared" ca="1" si="14"/>
        <v>0</v>
      </c>
      <c r="T61" s="14">
        <f t="shared" ca="1" si="14"/>
        <v>0</v>
      </c>
      <c r="U61" s="14">
        <f t="shared" ca="1" si="14"/>
        <v>0</v>
      </c>
      <c r="V61" s="14">
        <f t="shared" ca="1" si="14"/>
        <v>0</v>
      </c>
      <c r="W61" s="14">
        <f t="shared" ca="1" si="14"/>
        <v>0</v>
      </c>
      <c r="X61" s="14">
        <f t="shared" ca="1" si="14"/>
        <v>0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1</v>
      </c>
      <c r="D62" s="5">
        <f t="shared" si="15"/>
        <v>0</v>
      </c>
      <c r="E62" s="6" t="str">
        <f t="shared" si="15"/>
        <v>H (Ge)</v>
      </c>
      <c r="F62" s="14">
        <f t="shared" ca="1" si="16"/>
        <v>7.5119999999999996</v>
      </c>
      <c r="G62" s="14">
        <f t="shared" ca="1" si="14"/>
        <v>4.4539999999999997</v>
      </c>
      <c r="H62" s="14">
        <f t="shared" ca="1" si="14"/>
        <v>2.2879999999999998</v>
      </c>
      <c r="I62" s="14">
        <f t="shared" ca="1" si="14"/>
        <v>0.65210000000000001</v>
      </c>
      <c r="J62" s="14">
        <f t="shared" ca="1" si="14"/>
        <v>-0.63829999999999998</v>
      </c>
      <c r="K62" s="14">
        <f t="shared" ca="1" si="14"/>
        <v>-1.6890000000000001</v>
      </c>
      <c r="L62" s="14">
        <f t="shared" ca="1" si="14"/>
        <v>-2.5640000000000001</v>
      </c>
      <c r="M62" s="14">
        <f t="shared" ca="1" si="14"/>
        <v>-3.3050000000000002</v>
      </c>
      <c r="N62" s="14">
        <f t="shared" ca="1" si="14"/>
        <v>-3.9390000000000001</v>
      </c>
      <c r="O62" s="14">
        <f t="shared" ca="1" si="14"/>
        <v>-4.4790000000000001</v>
      </c>
      <c r="P62" s="14">
        <f t="shared" ca="1" si="14"/>
        <v>-4.9219999999999997</v>
      </c>
      <c r="Q62" s="14">
        <f t="shared" ca="1" si="14"/>
        <v>-5.2549999999999999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H (Se)</v>
      </c>
      <c r="F63" s="14">
        <f t="shared" ca="1" si="16"/>
        <v>-4.7</v>
      </c>
      <c r="G63" s="14">
        <f t="shared" ref="G63:AL71" ca="1" si="18">$A63*H.Ar + $B63*H.Se + $C63*H.Ge + $D63*H.Ga</f>
        <v>-5.0519999999999996</v>
      </c>
      <c r="H63" s="14">
        <f t="shared" ca="1" si="18"/>
        <v>-5.4409999999999998</v>
      </c>
      <c r="I63" s="14">
        <f t="shared" ca="1" si="18"/>
        <v>-5.8239999999999998</v>
      </c>
      <c r="J63" s="14">
        <f t="shared" ca="1" si="18"/>
        <v>-6.1890000000000001</v>
      </c>
      <c r="K63" s="14">
        <f t="shared" ca="1" si="18"/>
        <v>-6.53</v>
      </c>
      <c r="L63" s="14">
        <f t="shared" ca="1" si="18"/>
        <v>-6.8470000000000004</v>
      </c>
      <c r="M63" s="14">
        <f t="shared" ca="1" si="18"/>
        <v>-7.1420000000000003</v>
      </c>
      <c r="N63" s="14">
        <f t="shared" ca="1" si="18"/>
        <v>-7.42</v>
      </c>
      <c r="O63" s="14">
        <f t="shared" ca="1" si="18"/>
        <v>-7.6909999999999998</v>
      </c>
      <c r="P63" s="14">
        <f t="shared" ca="1" si="18"/>
        <v>-7.9740000000000002</v>
      </c>
      <c r="Q63" s="14">
        <f t="shared" ca="1" si="18"/>
        <v>-8.298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U76" s="55"/>
      <c r="V76" s="55"/>
      <c r="W76" s="55"/>
    </row>
    <row r="77" spans="1:54" ht="21" customHeight="1" x14ac:dyDescent="0.35">
      <c r="U77" s="55"/>
      <c r="V77" s="55"/>
      <c r="W77" s="55"/>
    </row>
    <row r="78" spans="1:54" ht="21" customHeight="1" thickBot="1" x14ac:dyDescent="0.45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273</v>
      </c>
      <c r="G79" s="3">
        <f t="shared" si="24"/>
        <v>339.2</v>
      </c>
      <c r="H79" s="3">
        <f t="shared" si="24"/>
        <v>405.3</v>
      </c>
      <c r="I79" s="3">
        <f t="shared" si="24"/>
        <v>471.4</v>
      </c>
      <c r="J79" s="3">
        <f t="shared" si="24"/>
        <v>537.5</v>
      </c>
      <c r="K79" s="3">
        <f t="shared" si="24"/>
        <v>603.5</v>
      </c>
      <c r="L79" s="3">
        <f t="shared" si="24"/>
        <v>669.6</v>
      </c>
      <c r="M79" s="3">
        <f t="shared" si="24"/>
        <v>735.7</v>
      </c>
      <c r="N79" s="3">
        <f t="shared" si="24"/>
        <v>801.8</v>
      </c>
      <c r="O79" s="3">
        <f t="shared" si="24"/>
        <v>867.8</v>
      </c>
      <c r="P79" s="3">
        <f t="shared" si="24"/>
        <v>933.9</v>
      </c>
      <c r="Q79" s="3">
        <f t="shared" si="24"/>
        <v>1000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5">B46</f>
        <v>1</v>
      </c>
      <c r="C80" s="5">
        <f t="shared" si="25"/>
        <v>0</v>
      </c>
      <c r="D80" s="5">
        <f t="shared" si="25"/>
        <v>0</v>
      </c>
      <c r="E80" s="6" t="str">
        <f t="shared" si="23"/>
        <v>*Se[l]</v>
      </c>
      <c r="F80" s="14">
        <f t="shared" ref="F80:AL80" si="26">F4*$C$78</f>
        <v>8.1367857142857138E-8</v>
      </c>
      <c r="G80" s="14">
        <f t="shared" si="26"/>
        <v>8.2885714285714272E-8</v>
      </c>
      <c r="H80" s="14">
        <f t="shared" si="26"/>
        <v>1.1011071428571428E-7</v>
      </c>
      <c r="I80" s="14">
        <f t="shared" si="26"/>
        <v>7.0949999999999997E-8</v>
      </c>
      <c r="J80" s="14">
        <f t="shared" si="26"/>
        <v>7.2474999999999992E-8</v>
      </c>
      <c r="K80" s="14">
        <f t="shared" si="26"/>
        <v>7.6910714285714286E-8</v>
      </c>
      <c r="L80" s="14">
        <f t="shared" si="26"/>
        <v>8.4778571428571421E-8</v>
      </c>
      <c r="M80" s="14">
        <f t="shared" si="26"/>
        <v>9.6342857142857138E-8</v>
      </c>
      <c r="N80" s="14">
        <f t="shared" si="26"/>
        <v>9.4349999999999995E-8</v>
      </c>
      <c r="O80" s="14">
        <f t="shared" si="26"/>
        <v>9.6514285714285707E-8</v>
      </c>
      <c r="P80" s="14">
        <f t="shared" si="26"/>
        <v>7.1578571428571421E-8</v>
      </c>
      <c r="Q80" s="14">
        <f t="shared" si="26"/>
        <v>4.7067857142857142E-8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customHeight="1" outlineLevel="1" thickBot="1" x14ac:dyDescent="0.4">
      <c r="A81" s="5">
        <f t="shared" ref="A81:D96" si="27">A47</f>
        <v>0</v>
      </c>
      <c r="B81" s="5">
        <f t="shared" si="27"/>
        <v>3</v>
      </c>
      <c r="C81" s="5">
        <f t="shared" si="27"/>
        <v>0</v>
      </c>
      <c r="D81" s="5">
        <f t="shared" si="27"/>
        <v>0</v>
      </c>
      <c r="E81" s="6" t="str">
        <f t="shared" si="23"/>
        <v>Se3</v>
      </c>
      <c r="F81" s="14">
        <f t="shared" ref="F81:AL81" si="28">F5*$C$78</f>
        <v>9.74E-25</v>
      </c>
      <c r="G81" s="14">
        <f t="shared" si="28"/>
        <v>1.4744642857142855E-18</v>
      </c>
      <c r="H81" s="14">
        <f t="shared" si="28"/>
        <v>1.6925357142857141E-14</v>
      </c>
      <c r="I81" s="14">
        <f t="shared" si="28"/>
        <v>1.2076428571428571E-11</v>
      </c>
      <c r="J81" s="14">
        <f t="shared" si="28"/>
        <v>1.5380714285714285E-9</v>
      </c>
      <c r="K81" s="14">
        <f t="shared" si="28"/>
        <v>6.291428571428571E-8</v>
      </c>
      <c r="L81" s="14">
        <f t="shared" si="28"/>
        <v>1.1780357142857143E-6</v>
      </c>
      <c r="M81" s="14">
        <f t="shared" si="28"/>
        <v>1.2595714285714285E-5</v>
      </c>
      <c r="N81" s="14">
        <f t="shared" si="28"/>
        <v>8.8121428571428568E-5</v>
      </c>
      <c r="O81" s="14">
        <f t="shared" si="28"/>
        <v>4.395E-4</v>
      </c>
      <c r="P81" s="14">
        <f t="shared" si="28"/>
        <v>1.6376785714285714E-3</v>
      </c>
      <c r="Q81" s="14">
        <f t="shared" si="28"/>
        <v>4.4774999999999997E-3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customHeight="1" outlineLevel="1" thickBot="1" x14ac:dyDescent="0.4">
      <c r="A82" s="5">
        <f t="shared" si="27"/>
        <v>0</v>
      </c>
      <c r="B82" s="5">
        <f t="shared" si="27"/>
        <v>4</v>
      </c>
      <c r="C82" s="5">
        <f t="shared" si="27"/>
        <v>0</v>
      </c>
      <c r="D82" s="5">
        <f t="shared" si="27"/>
        <v>0</v>
      </c>
      <c r="E82" s="6" t="str">
        <f t="shared" si="23"/>
        <v>Se4</v>
      </c>
      <c r="F82" s="14">
        <f t="shared" ref="F82:AL82" si="29">F6*$C$78</f>
        <v>1.0235357142857143E-22</v>
      </c>
      <c r="G82" s="14">
        <f t="shared" si="29"/>
        <v>3.8624999999999999E-17</v>
      </c>
      <c r="H82" s="14">
        <f t="shared" si="29"/>
        <v>1.6313571428571429E-13</v>
      </c>
      <c r="I82" s="14">
        <f t="shared" si="29"/>
        <v>5.449642857142856E-11</v>
      </c>
      <c r="J82" s="14">
        <f t="shared" si="29"/>
        <v>3.8167857142857143E-9</v>
      </c>
      <c r="K82" s="14">
        <f t="shared" si="29"/>
        <v>9.6182142857142861E-8</v>
      </c>
      <c r="L82" s="14">
        <f t="shared" si="29"/>
        <v>1.2068571428571427E-6</v>
      </c>
      <c r="M82" s="14">
        <f t="shared" si="29"/>
        <v>9.2125000000000003E-6</v>
      </c>
      <c r="N82" s="14">
        <f t="shared" si="29"/>
        <v>4.8149999999999998E-5</v>
      </c>
      <c r="O82" s="14">
        <f t="shared" si="29"/>
        <v>1.8433571428571425E-4</v>
      </c>
      <c r="P82" s="14">
        <f t="shared" si="29"/>
        <v>5.2932142857142848E-4</v>
      </c>
      <c r="Q82" s="14">
        <f t="shared" si="29"/>
        <v>1.0811785714285715E-3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customHeight="1" outlineLevel="1" thickBot="1" x14ac:dyDescent="0.4">
      <c r="A83" s="5">
        <f t="shared" si="27"/>
        <v>0</v>
      </c>
      <c r="B83" s="5">
        <f t="shared" si="27"/>
        <v>5</v>
      </c>
      <c r="C83" s="5">
        <f t="shared" si="27"/>
        <v>0</v>
      </c>
      <c r="D83" s="5">
        <f t="shared" si="27"/>
        <v>0</v>
      </c>
      <c r="E83" s="6" t="str">
        <f t="shared" si="23"/>
        <v>Se5</v>
      </c>
      <c r="F83" s="14">
        <f t="shared" ref="F83:AL83" si="30">F7*$C$78</f>
        <v>2.9511785714285716E-19</v>
      </c>
      <c r="G83" s="14">
        <f t="shared" si="30"/>
        <v>3.6439285714285709E-14</v>
      </c>
      <c r="H83" s="14">
        <f t="shared" si="30"/>
        <v>6.8728571428571426E-11</v>
      </c>
      <c r="I83" s="14">
        <f t="shared" si="30"/>
        <v>1.2425357142857142E-8</v>
      </c>
      <c r="J83" s="14">
        <f t="shared" si="30"/>
        <v>5.3542857142857144E-7</v>
      </c>
      <c r="K83" s="14">
        <f t="shared" si="30"/>
        <v>9.0921428571428552E-6</v>
      </c>
      <c r="L83" s="14">
        <f t="shared" si="30"/>
        <v>8.2257142857142845E-5</v>
      </c>
      <c r="M83" s="14">
        <f t="shared" si="30"/>
        <v>4.7639285714285709E-4</v>
      </c>
      <c r="N83" s="14">
        <f t="shared" si="30"/>
        <v>1.9582499999999999E-3</v>
      </c>
      <c r="O83" s="14">
        <f t="shared" si="30"/>
        <v>6.013571428571428E-3</v>
      </c>
      <c r="P83" s="14">
        <f t="shared" si="30"/>
        <v>1.382392857142857E-2</v>
      </c>
      <c r="Q83" s="14">
        <f t="shared" si="30"/>
        <v>2.1806071428571428E-2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0</v>
      </c>
      <c r="V83" s="14">
        <f t="shared" si="30"/>
        <v>0</v>
      </c>
      <c r="W83" s="14">
        <f t="shared" si="30"/>
        <v>0</v>
      </c>
      <c r="X83" s="14">
        <f t="shared" si="30"/>
        <v>0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customHeight="1" outlineLevel="1" thickBot="1" x14ac:dyDescent="0.4">
      <c r="A84" s="5">
        <f t="shared" si="27"/>
        <v>0</v>
      </c>
      <c r="B84" s="5">
        <f t="shared" si="27"/>
        <v>6</v>
      </c>
      <c r="C84" s="5">
        <f t="shared" si="27"/>
        <v>0</v>
      </c>
      <c r="D84" s="5">
        <f t="shared" si="27"/>
        <v>0</v>
      </c>
      <c r="E84" s="6" t="str">
        <f t="shared" si="23"/>
        <v>Se6</v>
      </c>
      <c r="F84" s="14">
        <f t="shared" ref="F84:AL84" si="31">F8*$C$78</f>
        <v>1.1316071428571428E-16</v>
      </c>
      <c r="G84" s="14">
        <f t="shared" si="31"/>
        <v>2.0123214285714283E-12</v>
      </c>
      <c r="H84" s="14">
        <f t="shared" si="31"/>
        <v>9.7053571428571432E-10</v>
      </c>
      <c r="I84" s="14">
        <f t="shared" si="31"/>
        <v>6.3417857142857139E-8</v>
      </c>
      <c r="J84" s="14">
        <f t="shared" si="31"/>
        <v>1.2384642857142855E-6</v>
      </c>
      <c r="K84" s="14">
        <f t="shared" si="31"/>
        <v>1.1151785714285715E-5</v>
      </c>
      <c r="L84" s="14">
        <f t="shared" si="31"/>
        <v>5.9985714285714278E-5</v>
      </c>
      <c r="M84" s="14">
        <f t="shared" si="31"/>
        <v>2.2493571428571426E-4</v>
      </c>
      <c r="N84" s="14">
        <f t="shared" si="31"/>
        <v>6.3682142857142854E-4</v>
      </c>
      <c r="O84" s="14">
        <f t="shared" si="31"/>
        <v>1.4014999999999998E-3</v>
      </c>
      <c r="P84" s="14">
        <f t="shared" si="31"/>
        <v>2.3409999999999998E-3</v>
      </c>
      <c r="Q84" s="14">
        <f t="shared" si="31"/>
        <v>2.6217857142857141E-3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customHeight="1" outlineLevel="1" thickBot="1" x14ac:dyDescent="0.4">
      <c r="A85" s="5">
        <f t="shared" si="27"/>
        <v>0</v>
      </c>
      <c r="B85" s="5">
        <f t="shared" si="27"/>
        <v>7</v>
      </c>
      <c r="C85" s="5">
        <f t="shared" si="27"/>
        <v>0</v>
      </c>
      <c r="D85" s="5">
        <f t="shared" si="27"/>
        <v>0</v>
      </c>
      <c r="E85" s="6" t="str">
        <f t="shared" si="23"/>
        <v>Se7</v>
      </c>
      <c r="F85" s="14">
        <f t="shared" ref="F85:AL85" si="32">F9*$C$78</f>
        <v>9.6971428571428564E-18</v>
      </c>
      <c r="G85" s="14">
        <f t="shared" si="32"/>
        <v>3.0166428571428574E-13</v>
      </c>
      <c r="H85" s="14">
        <f t="shared" si="32"/>
        <v>1.9968571428571429E-10</v>
      </c>
      <c r="I85" s="14">
        <f t="shared" si="32"/>
        <v>1.5783214285714287E-8</v>
      </c>
      <c r="J85" s="14">
        <f t="shared" si="32"/>
        <v>3.4707857142857142E-7</v>
      </c>
      <c r="K85" s="14">
        <f t="shared" si="32"/>
        <v>3.3722142857142857E-6</v>
      </c>
      <c r="L85" s="14">
        <f t="shared" si="32"/>
        <v>1.9068214285714286E-5</v>
      </c>
      <c r="M85" s="14">
        <f t="shared" si="32"/>
        <v>7.3874999999999993E-5</v>
      </c>
      <c r="N85" s="14">
        <f t="shared" si="32"/>
        <v>2.1278214285714285E-4</v>
      </c>
      <c r="O85" s="14">
        <f t="shared" si="32"/>
        <v>4.6710714285714286E-4</v>
      </c>
      <c r="P85" s="14">
        <f t="shared" si="32"/>
        <v>7.5303571428571422E-4</v>
      </c>
      <c r="Q85" s="14">
        <f t="shared" si="32"/>
        <v>7.6592857142857137E-4</v>
      </c>
      <c r="R85" s="14">
        <f t="shared" si="32"/>
        <v>0</v>
      </c>
      <c r="S85" s="14">
        <f t="shared" si="32"/>
        <v>0</v>
      </c>
      <c r="T85" s="14">
        <f t="shared" si="32"/>
        <v>0</v>
      </c>
      <c r="U85" s="14">
        <f t="shared" si="32"/>
        <v>0</v>
      </c>
      <c r="V85" s="14">
        <f t="shared" si="32"/>
        <v>0</v>
      </c>
      <c r="W85" s="14">
        <f t="shared" si="32"/>
        <v>0</v>
      </c>
      <c r="X85" s="14">
        <f t="shared" si="32"/>
        <v>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customHeight="1" outlineLevel="1" thickBot="1" x14ac:dyDescent="0.4">
      <c r="A86" s="5">
        <f t="shared" si="27"/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6" t="str">
        <f t="shared" si="23"/>
        <v>Se8</v>
      </c>
      <c r="F86" s="14">
        <f t="shared" ref="F86:AL86" si="33">F10*$C$78</f>
        <v>1.7407499999999998E-19</v>
      </c>
      <c r="G86" s="14">
        <f t="shared" si="33"/>
        <v>8.4707142857142859E-15</v>
      </c>
      <c r="H86" s="14">
        <f t="shared" si="33"/>
        <v>7.1435714285714275E-12</v>
      </c>
      <c r="I86" s="14">
        <f t="shared" si="33"/>
        <v>6.4760714285714282E-10</v>
      </c>
      <c r="J86" s="14">
        <f t="shared" si="33"/>
        <v>1.5410357142857141E-8</v>
      </c>
      <c r="K86" s="14">
        <f t="shared" si="33"/>
        <v>1.5663571428571427E-7</v>
      </c>
      <c r="L86" s="14">
        <f t="shared" si="33"/>
        <v>9.0828571428571428E-7</v>
      </c>
      <c r="M86" s="14">
        <f t="shared" si="33"/>
        <v>3.5627142857142854E-6</v>
      </c>
      <c r="N86" s="14">
        <f t="shared" si="33"/>
        <v>1.0265714285714285E-5</v>
      </c>
      <c r="O86" s="14">
        <f t="shared" si="33"/>
        <v>2.2162142857142855E-5</v>
      </c>
      <c r="P86" s="14">
        <f t="shared" si="33"/>
        <v>3.4059999999999996E-5</v>
      </c>
      <c r="Q86" s="14">
        <f t="shared" si="33"/>
        <v>3.1131428571428567E-5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0</v>
      </c>
      <c r="D87" s="5">
        <f t="shared" si="27"/>
        <v>0</v>
      </c>
      <c r="E87" s="6" t="str">
        <f t="shared" si="23"/>
        <v>Se2</v>
      </c>
      <c r="F87" s="14">
        <f t="shared" ref="F87:AL87" si="34">F11*$C$78</f>
        <v>1.3577142857142856E-19</v>
      </c>
      <c r="G87" s="14">
        <f t="shared" si="34"/>
        <v>1.6035357142857141E-14</v>
      </c>
      <c r="H87" s="14">
        <f t="shared" si="34"/>
        <v>3.643928571428571E-11</v>
      </c>
      <c r="I87" s="14">
        <f t="shared" si="34"/>
        <v>8.6371428571428567E-9</v>
      </c>
      <c r="J87" s="14">
        <f t="shared" si="34"/>
        <v>5.0003571428571421E-7</v>
      </c>
      <c r="K87" s="14">
        <f t="shared" si="34"/>
        <v>1.1381428571428571E-5</v>
      </c>
      <c r="L87" s="14">
        <f t="shared" si="34"/>
        <v>1.3591428571428573E-4</v>
      </c>
      <c r="M87" s="14">
        <f t="shared" si="34"/>
        <v>1.0207857142857143E-3</v>
      </c>
      <c r="N87" s="14">
        <f t="shared" si="34"/>
        <v>5.401785714285714E-3</v>
      </c>
      <c r="O87" s="14">
        <f t="shared" si="34"/>
        <v>2.1734999999999997E-2</v>
      </c>
      <c r="P87" s="14">
        <f t="shared" si="34"/>
        <v>6.9921428571428579E-2</v>
      </c>
      <c r="Q87" s="14">
        <f t="shared" si="34"/>
        <v>0.18028571428571427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customHeight="1" outlineLevel="1" thickBot="1" x14ac:dyDescent="0.4">
      <c r="A88" s="5">
        <f t="shared" si="27"/>
        <v>0</v>
      </c>
      <c r="B88" s="5">
        <f t="shared" si="27"/>
        <v>1</v>
      </c>
      <c r="C88" s="5">
        <f t="shared" si="27"/>
        <v>0</v>
      </c>
      <c r="D88" s="5">
        <f t="shared" si="27"/>
        <v>0</v>
      </c>
      <c r="E88" s="6" t="str">
        <f t="shared" si="23"/>
        <v>Se</v>
      </c>
      <c r="F88" s="14">
        <f t="shared" ref="F88:AL88" si="35">F12*$C$78</f>
        <v>0</v>
      </c>
      <c r="G88" s="14">
        <f t="shared" si="35"/>
        <v>2.0387142857142855E-30</v>
      </c>
      <c r="H88" s="14">
        <f t="shared" si="35"/>
        <v>1.389392857142857E-24</v>
      </c>
      <c r="I88" s="14">
        <f t="shared" si="35"/>
        <v>2.0933571428571427E-20</v>
      </c>
      <c r="J88" s="14">
        <f t="shared" si="35"/>
        <v>2.8723928571428567E-17</v>
      </c>
      <c r="K88" s="14">
        <f t="shared" si="35"/>
        <v>7.9496428571428576E-15</v>
      </c>
      <c r="L88" s="14">
        <f t="shared" si="35"/>
        <v>7.1889285714285707E-13</v>
      </c>
      <c r="M88" s="14">
        <f t="shared" si="35"/>
        <v>2.8879285714285712E-11</v>
      </c>
      <c r="N88" s="14">
        <f t="shared" si="35"/>
        <v>6.3064285714285708E-10</v>
      </c>
      <c r="O88" s="14">
        <f t="shared" si="35"/>
        <v>8.6378571428571425E-9</v>
      </c>
      <c r="P88" s="14">
        <f t="shared" si="35"/>
        <v>8.2703571428571423E-8</v>
      </c>
      <c r="Q88" s="14">
        <f t="shared" si="35"/>
        <v>5.8960714285714282E-7</v>
      </c>
      <c r="R88" s="14">
        <f t="shared" si="35"/>
        <v>0</v>
      </c>
      <c r="S88" s="14">
        <f t="shared" si="35"/>
        <v>0</v>
      </c>
      <c r="T88" s="14">
        <f t="shared" si="35"/>
        <v>0</v>
      </c>
      <c r="U88" s="14">
        <f t="shared" si="35"/>
        <v>0</v>
      </c>
      <c r="V88" s="14">
        <f t="shared" si="35"/>
        <v>0</v>
      </c>
      <c r="W88" s="14">
        <f t="shared" si="35"/>
        <v>0</v>
      </c>
      <c r="X88" s="14">
        <f t="shared" si="35"/>
        <v>0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1.7863571428571426E-11</v>
      </c>
      <c r="G89" s="14">
        <f t="shared" si="36"/>
        <v>1.8471428571428571E-8</v>
      </c>
      <c r="H89" s="14">
        <f t="shared" si="36"/>
        <v>1.7025714285714285E-6</v>
      </c>
      <c r="I89" s="14">
        <f t="shared" si="36"/>
        <v>3.9903571428571427E-5</v>
      </c>
      <c r="J89" s="14">
        <f t="shared" si="36"/>
        <v>3.9832142857142855E-4</v>
      </c>
      <c r="K89" s="14">
        <f t="shared" si="36"/>
        <v>2.1986785714285715E-3</v>
      </c>
      <c r="L89" s="14">
        <f t="shared" si="36"/>
        <v>7.5167857142857146E-3</v>
      </c>
      <c r="M89" s="14">
        <f t="shared" si="36"/>
        <v>1.6889642857142857E-2</v>
      </c>
      <c r="N89" s="14">
        <f t="shared" si="36"/>
        <v>2.7832142857142854E-2</v>
      </c>
      <c r="O89" s="14">
        <f t="shared" si="36"/>
        <v>3.7828571428571427E-2</v>
      </c>
      <c r="P89" s="14">
        <f t="shared" si="36"/>
        <v>4.6353571428571425E-2</v>
      </c>
      <c r="Q89" s="14">
        <f t="shared" si="36"/>
        <v>5.3492857142857141E-2</v>
      </c>
      <c r="R89" s="14">
        <f t="shared" si="36"/>
        <v>0</v>
      </c>
      <c r="S89" s="14">
        <f t="shared" si="36"/>
        <v>0</v>
      </c>
      <c r="T89" s="14">
        <f t="shared" si="36"/>
        <v>0</v>
      </c>
      <c r="U89" s="14">
        <f t="shared" si="36"/>
        <v>0</v>
      </c>
      <c r="V89" s="14">
        <f t="shared" si="36"/>
        <v>0</v>
      </c>
      <c r="W89" s="14">
        <f t="shared" si="36"/>
        <v>0</v>
      </c>
      <c r="X89" s="14">
        <f t="shared" si="36"/>
        <v>0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0.7142857142857143</v>
      </c>
      <c r="G90" s="14">
        <f t="shared" si="37"/>
        <v>0.7142857142857143</v>
      </c>
      <c r="H90" s="14">
        <f t="shared" si="37"/>
        <v>0.7142857142857143</v>
      </c>
      <c r="I90" s="14">
        <f t="shared" si="37"/>
        <v>0.7142857142857143</v>
      </c>
      <c r="J90" s="14">
        <f t="shared" si="37"/>
        <v>0.7142857142857143</v>
      </c>
      <c r="K90" s="14">
        <f t="shared" si="37"/>
        <v>0.7142857142857143</v>
      </c>
      <c r="L90" s="14">
        <f t="shared" si="37"/>
        <v>0.7142857142857143</v>
      </c>
      <c r="M90" s="14">
        <f t="shared" si="37"/>
        <v>0.7142857142857143</v>
      </c>
      <c r="N90" s="14">
        <f t="shared" si="37"/>
        <v>0.7142857142857143</v>
      </c>
      <c r="O90" s="14">
        <f t="shared" si="37"/>
        <v>0.7142857142857143</v>
      </c>
      <c r="P90" s="14">
        <f t="shared" si="37"/>
        <v>0.7142857142857143</v>
      </c>
      <c r="Q90" s="14">
        <f t="shared" si="37"/>
        <v>0.7142857142857143</v>
      </c>
      <c r="R90" s="14">
        <f t="shared" si="37"/>
        <v>0</v>
      </c>
      <c r="S90" s="14">
        <f t="shared" si="37"/>
        <v>0</v>
      </c>
      <c r="T90" s="14">
        <f t="shared" si="37"/>
        <v>0</v>
      </c>
      <c r="U90" s="14">
        <f t="shared" si="37"/>
        <v>0</v>
      </c>
      <c r="V90" s="14">
        <f t="shared" si="37"/>
        <v>0</v>
      </c>
      <c r="W90" s="14">
        <f t="shared" si="37"/>
        <v>0</v>
      </c>
      <c r="X90" s="14">
        <f t="shared" si="37"/>
        <v>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(l)Ga[l]</v>
      </c>
      <c r="F91" s="14">
        <f t="shared" ref="F91:AL91" si="38">F15*$C$78</f>
        <v>0.14285714285714285</v>
      </c>
      <c r="G91" s="14">
        <f t="shared" si="38"/>
        <v>0.14285714285714285</v>
      </c>
      <c r="H91" s="14">
        <f t="shared" si="38"/>
        <v>0.14285357142857141</v>
      </c>
      <c r="I91" s="14">
        <f t="shared" si="38"/>
        <v>0.14277857142857142</v>
      </c>
      <c r="J91" s="14">
        <f t="shared" si="38"/>
        <v>0.14206071428571426</v>
      </c>
      <c r="K91" s="14">
        <f t="shared" si="38"/>
        <v>0.13846071428571427</v>
      </c>
      <c r="L91" s="14">
        <f t="shared" si="38"/>
        <v>0.12782499999999999</v>
      </c>
      <c r="M91" s="14">
        <f t="shared" si="38"/>
        <v>0.10907857142857141</v>
      </c>
      <c r="N91" s="14">
        <f t="shared" si="38"/>
        <v>8.7192857142857141E-2</v>
      </c>
      <c r="O91" s="14">
        <f t="shared" si="38"/>
        <v>6.7199999999999996E-2</v>
      </c>
      <c r="P91" s="14">
        <f t="shared" si="38"/>
        <v>5.0146428571428564E-2</v>
      </c>
      <c r="Q91" s="14">
        <f t="shared" si="38"/>
        <v>3.5871428571428575E-2</v>
      </c>
      <c r="R91" s="14">
        <f t="shared" si="38"/>
        <v>0</v>
      </c>
      <c r="S91" s="14">
        <f t="shared" si="38"/>
        <v>0</v>
      </c>
      <c r="T91" s="14">
        <f t="shared" si="38"/>
        <v>0</v>
      </c>
      <c r="U91" s="14">
        <f t="shared" si="38"/>
        <v>0</v>
      </c>
      <c r="V91" s="14">
        <f t="shared" si="38"/>
        <v>0</v>
      </c>
      <c r="W91" s="14">
        <f t="shared" si="38"/>
        <v>0</v>
      </c>
      <c r="X91" s="14">
        <f t="shared" si="38"/>
        <v>0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(l)Ge[l]</v>
      </c>
      <c r="F92" s="14">
        <f t="shared" ref="F92:AL92" si="39">F16*$C$78</f>
        <v>1</v>
      </c>
      <c r="G92" s="14">
        <f t="shared" si="39"/>
        <v>1</v>
      </c>
      <c r="H92" s="14">
        <f t="shared" si="39"/>
        <v>1</v>
      </c>
      <c r="I92" s="14">
        <f t="shared" si="39"/>
        <v>1</v>
      </c>
      <c r="J92" s="14">
        <f t="shared" si="39"/>
        <v>1</v>
      </c>
      <c r="K92" s="14">
        <f t="shared" si="39"/>
        <v>1</v>
      </c>
      <c r="L92" s="14">
        <f t="shared" si="39"/>
        <v>1</v>
      </c>
      <c r="M92" s="14">
        <f t="shared" si="39"/>
        <v>1</v>
      </c>
      <c r="N92" s="14">
        <f t="shared" si="39"/>
        <v>1</v>
      </c>
      <c r="O92" s="14">
        <f t="shared" si="39"/>
        <v>1</v>
      </c>
      <c r="P92" s="14">
        <f t="shared" si="39"/>
        <v>1</v>
      </c>
      <c r="Q92" s="14">
        <f t="shared" si="39"/>
        <v>1</v>
      </c>
      <c r="R92" s="14">
        <f t="shared" si="39"/>
        <v>0</v>
      </c>
      <c r="S92" s="14">
        <f t="shared" si="39"/>
        <v>0</v>
      </c>
      <c r="T92" s="14">
        <f t="shared" si="39"/>
        <v>0</v>
      </c>
      <c r="U92" s="14">
        <f t="shared" si="39"/>
        <v>0</v>
      </c>
      <c r="V92" s="14">
        <f t="shared" si="39"/>
        <v>0</v>
      </c>
      <c r="W92" s="14">
        <f t="shared" si="39"/>
        <v>0</v>
      </c>
      <c r="X92" s="14">
        <f t="shared" si="39"/>
        <v>0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customHeight="1" outlineLevel="1" thickBot="1" x14ac:dyDescent="0.4">
      <c r="A93" s="5">
        <f t="shared" si="27"/>
        <v>0</v>
      </c>
      <c r="B93" s="5">
        <f t="shared" si="27"/>
        <v>1</v>
      </c>
      <c r="C93" s="5">
        <f t="shared" si="27"/>
        <v>0</v>
      </c>
      <c r="D93" s="5">
        <f t="shared" si="27"/>
        <v>0</v>
      </c>
      <c r="E93" s="6" t="str">
        <f t="shared" si="23"/>
        <v>(l)Se[l]</v>
      </c>
      <c r="F93" s="14">
        <f t="shared" ref="F93:AL93" si="40">F17*$C$78</f>
        <v>1.7142857142857142</v>
      </c>
      <c r="G93" s="14">
        <f t="shared" si="40"/>
        <v>1.7142857142857142</v>
      </c>
      <c r="H93" s="14">
        <f t="shared" si="40"/>
        <v>1.7142857142857142</v>
      </c>
      <c r="I93" s="14">
        <f t="shared" si="40"/>
        <v>1.7142500000000001</v>
      </c>
      <c r="J93" s="14">
        <f t="shared" si="40"/>
        <v>1.7138571428571427</v>
      </c>
      <c r="K93" s="14">
        <f t="shared" si="40"/>
        <v>1.7119285714285712</v>
      </c>
      <c r="L93" s="14">
        <f t="shared" si="40"/>
        <v>1.7055714285714283</v>
      </c>
      <c r="M93" s="14">
        <f t="shared" si="40"/>
        <v>1.6909999999999998</v>
      </c>
      <c r="N93" s="14">
        <f t="shared" si="40"/>
        <v>1.66</v>
      </c>
      <c r="O93" s="14">
        <f t="shared" si="40"/>
        <v>1.5889999999999997</v>
      </c>
      <c r="P93" s="14">
        <f t="shared" si="40"/>
        <v>1.4323571428571429</v>
      </c>
      <c r="Q93" s="14">
        <f t="shared" si="40"/>
        <v>1.1521071428571428</v>
      </c>
      <c r="R93" s="14">
        <f t="shared" si="40"/>
        <v>0</v>
      </c>
      <c r="S93" s="14">
        <f t="shared" si="40"/>
        <v>0</v>
      </c>
      <c r="T93" s="14">
        <f t="shared" si="40"/>
        <v>0</v>
      </c>
      <c r="U93" s="14">
        <f t="shared" si="40"/>
        <v>0</v>
      </c>
      <c r="V93" s="14">
        <f t="shared" si="40"/>
        <v>0</v>
      </c>
      <c r="W93" s="14">
        <f t="shared" si="40"/>
        <v>0</v>
      </c>
      <c r="X93" s="14">
        <f t="shared" si="40"/>
        <v>0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customHeight="1" outlineLevel="1" thickBot="1" x14ac:dyDescent="0.4">
      <c r="A94" s="5">
        <f t="shared" si="27"/>
        <v>1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 t="str">
        <f t="shared" si="23"/>
        <v>H (Ar)</v>
      </c>
      <c r="F94" s="14">
        <f t="shared" ref="F94:AL94" si="41">F18*$C$78</f>
        <v>-66.5</v>
      </c>
      <c r="G94" s="14">
        <f t="shared" si="41"/>
        <v>-66.535714285714278</v>
      </c>
      <c r="H94" s="14">
        <f t="shared" si="41"/>
        <v>-66.857142857142847</v>
      </c>
      <c r="I94" s="14">
        <f t="shared" si="41"/>
        <v>-67.285714285714278</v>
      </c>
      <c r="J94" s="14">
        <f t="shared" si="41"/>
        <v>-67.749999999999986</v>
      </c>
      <c r="K94" s="14">
        <f t="shared" si="41"/>
        <v>-68.25</v>
      </c>
      <c r="L94" s="14">
        <f t="shared" si="41"/>
        <v>-68.785714285714292</v>
      </c>
      <c r="M94" s="14">
        <f t="shared" si="41"/>
        <v>-69.321428571428569</v>
      </c>
      <c r="N94" s="14">
        <f t="shared" si="41"/>
        <v>-69.857142857142847</v>
      </c>
      <c r="O94" s="14">
        <f t="shared" si="41"/>
        <v>-70.464285714285708</v>
      </c>
      <c r="P94" s="14">
        <f t="shared" si="41"/>
        <v>-71.214285714285708</v>
      </c>
      <c r="Q94" s="14">
        <f t="shared" si="41"/>
        <v>-72.142857142857139</v>
      </c>
      <c r="R94" s="14">
        <f t="shared" si="41"/>
        <v>0</v>
      </c>
      <c r="S94" s="14">
        <f t="shared" si="41"/>
        <v>0</v>
      </c>
      <c r="T94" s="14">
        <f t="shared" si="41"/>
        <v>0</v>
      </c>
      <c r="U94" s="14">
        <f t="shared" si="41"/>
        <v>0</v>
      </c>
      <c r="V94" s="14">
        <f t="shared" si="41"/>
        <v>0</v>
      </c>
      <c r="W94" s="14">
        <f t="shared" si="41"/>
        <v>0</v>
      </c>
      <c r="X94" s="14">
        <f t="shared" si="41"/>
        <v>0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1</v>
      </c>
      <c r="E95" s="6" t="str">
        <f t="shared" si="23"/>
        <v>H (Ga)</v>
      </c>
      <c r="F95" s="14">
        <f t="shared" ref="F95:AL95" si="42">F19*$C$78</f>
        <v>-27.36785714285714</v>
      </c>
      <c r="G95" s="14">
        <f t="shared" si="42"/>
        <v>-29.124999999999996</v>
      </c>
      <c r="H95" s="14">
        <f t="shared" si="42"/>
        <v>-30.696428571428573</v>
      </c>
      <c r="I95" s="14">
        <f t="shared" si="42"/>
        <v>-32.099999999999994</v>
      </c>
      <c r="J95" s="14">
        <f t="shared" si="42"/>
        <v>-33.375</v>
      </c>
      <c r="K95" s="14">
        <f t="shared" si="42"/>
        <v>-34.596428571428568</v>
      </c>
      <c r="L95" s="14">
        <f t="shared" si="42"/>
        <v>-35.892857142857146</v>
      </c>
      <c r="M95" s="14">
        <f t="shared" si="42"/>
        <v>-37.392857142857146</v>
      </c>
      <c r="N95" s="14">
        <f t="shared" si="42"/>
        <v>-39</v>
      </c>
      <c r="O95" s="14">
        <f t="shared" si="42"/>
        <v>-40.607142857142854</v>
      </c>
      <c r="P95" s="14">
        <f t="shared" si="42"/>
        <v>-42.178571428571431</v>
      </c>
      <c r="Q95" s="14">
        <f t="shared" si="42"/>
        <v>-43.642857142857139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1</v>
      </c>
      <c r="D96" s="5">
        <f t="shared" si="27"/>
        <v>0</v>
      </c>
      <c r="E96" s="6" t="str">
        <f t="shared" si="23"/>
        <v>H (Ge)</v>
      </c>
      <c r="F96" s="14">
        <f t="shared" ref="F96:AL96" si="43">F20*$C$78</f>
        <v>26.828571428571426</v>
      </c>
      <c r="G96" s="14">
        <f t="shared" si="43"/>
        <v>15.907142857142855</v>
      </c>
      <c r="H96" s="14">
        <f t="shared" si="43"/>
        <v>8.1714285714285708</v>
      </c>
      <c r="I96" s="14">
        <f t="shared" si="43"/>
        <v>2.3289285714285715</v>
      </c>
      <c r="J96" s="14">
        <f t="shared" si="43"/>
        <v>-2.2796428571428571</v>
      </c>
      <c r="K96" s="14">
        <f t="shared" si="43"/>
        <v>-6.0321428571428566</v>
      </c>
      <c r="L96" s="14">
        <f t="shared" si="43"/>
        <v>-9.1571428571428566</v>
      </c>
      <c r="M96" s="14">
        <f t="shared" si="43"/>
        <v>-11.803571428571429</v>
      </c>
      <c r="N96" s="14">
        <f t="shared" si="43"/>
        <v>-14.067857142857141</v>
      </c>
      <c r="O96" s="14">
        <f t="shared" si="43"/>
        <v>-15.99642857142857</v>
      </c>
      <c r="P96" s="14">
        <f t="shared" si="43"/>
        <v>-17.578571428571426</v>
      </c>
      <c r="Q96" s="14">
        <f t="shared" si="43"/>
        <v>-18.767857142857142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customHeight="1" outlineLevel="1" thickBot="1" x14ac:dyDescent="0.4">
      <c r="A97" s="5">
        <f t="shared" ref="A97:D109" si="44">A63</f>
        <v>0</v>
      </c>
      <c r="B97" s="5">
        <f t="shared" si="44"/>
        <v>1</v>
      </c>
      <c r="C97" s="5">
        <f t="shared" si="44"/>
        <v>0</v>
      </c>
      <c r="D97" s="5">
        <f t="shared" si="44"/>
        <v>0</v>
      </c>
      <c r="E97" s="6" t="str">
        <f t="shared" si="23"/>
        <v>H (Se)</v>
      </c>
      <c r="F97" s="14">
        <f t="shared" ref="F97:AL97" si="45">F21*$C$78</f>
        <v>-16.785714285714285</v>
      </c>
      <c r="G97" s="14">
        <f t="shared" si="45"/>
        <v>-18.042857142857141</v>
      </c>
      <c r="H97" s="14">
        <f t="shared" si="45"/>
        <v>-19.432142857142857</v>
      </c>
      <c r="I97" s="14">
        <f t="shared" si="45"/>
        <v>-20.799999999999997</v>
      </c>
      <c r="J97" s="14">
        <f t="shared" si="45"/>
        <v>-22.103571428571428</v>
      </c>
      <c r="K97" s="14">
        <f t="shared" si="45"/>
        <v>-23.321428571428569</v>
      </c>
      <c r="L97" s="14">
        <f t="shared" si="45"/>
        <v>-24.453571428571429</v>
      </c>
      <c r="M97" s="14">
        <f t="shared" si="45"/>
        <v>-25.507142857142856</v>
      </c>
      <c r="N97" s="14">
        <f t="shared" si="45"/>
        <v>-26.499999999999996</v>
      </c>
      <c r="O97" s="14">
        <f t="shared" si="45"/>
        <v>-27.467857142857142</v>
      </c>
      <c r="P97" s="14">
        <f t="shared" si="45"/>
        <v>-28.478571428571428</v>
      </c>
      <c r="Q97" s="14">
        <f t="shared" si="45"/>
        <v>-29.635714285714283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U110" s="55"/>
      <c r="V110" s="55"/>
      <c r="W110" s="55"/>
    </row>
    <row r="111" spans="1:54" ht="21" customHeight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7">F3</f>
        <v>273</v>
      </c>
      <c r="G113" s="4">
        <f t="shared" si="57"/>
        <v>339.2</v>
      </c>
      <c r="H113" s="4">
        <f t="shared" si="57"/>
        <v>405.3</v>
      </c>
      <c r="I113" s="4">
        <f t="shared" si="57"/>
        <v>471.4</v>
      </c>
      <c r="J113" s="4">
        <f t="shared" si="57"/>
        <v>537.5</v>
      </c>
      <c r="K113" s="4">
        <f t="shared" si="57"/>
        <v>603.5</v>
      </c>
      <c r="L113" s="4">
        <f t="shared" si="57"/>
        <v>669.6</v>
      </c>
      <c r="M113" s="4">
        <f t="shared" si="57"/>
        <v>735.7</v>
      </c>
      <c r="N113" s="4">
        <f t="shared" si="57"/>
        <v>801.8</v>
      </c>
      <c r="O113" s="4">
        <f t="shared" si="57"/>
        <v>867.8</v>
      </c>
      <c r="P113" s="4">
        <f t="shared" si="57"/>
        <v>933.9</v>
      </c>
      <c r="Q113" s="4">
        <f t="shared" si="57"/>
        <v>1000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-176.48343385067943</v>
      </c>
      <c r="C114" s="24">
        <f>COUNTA(E114:E121)+1</f>
        <v>6</v>
      </c>
      <c r="E114" s="17" t="s">
        <v>13</v>
      </c>
      <c r="F114" s="52">
        <f ca="1">F$113*$B$2*SUMPRODUCT(F$91:F$93,F$57:F$59)/1000</f>
        <v>-3.7222436745000009</v>
      </c>
      <c r="G114" s="52">
        <f t="shared" ref="G114:AL114" ca="1" si="58">G$113*$B$2*SUMPRODUCT(G$91:G$93,G$57:G$59)/1000</f>
        <v>-15.149326874057143</v>
      </c>
      <c r="H114" s="52">
        <f t="shared" ca="1" si="58"/>
        <v>-27.859548625172945</v>
      </c>
      <c r="I114" s="52">
        <f t="shared" ca="1" si="58"/>
        <v>-41.60496235323474</v>
      </c>
      <c r="J114" s="52">
        <f t="shared" ca="1" si="58"/>
        <v>-56.188926113662831</v>
      </c>
      <c r="K114" s="52">
        <f t="shared" ca="1" si="58"/>
        <v>-71.298746303134024</v>
      </c>
      <c r="L114" s="52">
        <f t="shared" ca="1" si="58"/>
        <v>-86.443119656182162</v>
      </c>
      <c r="M114" s="52">
        <f t="shared" ca="1" si="58"/>
        <v>-101.07800697505387</v>
      </c>
      <c r="N114" s="52">
        <f t="shared" ca="1" si="58"/>
        <v>-114.7205760806706</v>
      </c>
      <c r="O114" s="52">
        <f t="shared" ca="1" si="58"/>
        <v>-126.00885718375527</v>
      </c>
      <c r="P114" s="52">
        <f t="shared" ca="1" si="58"/>
        <v>-131.50533983610111</v>
      </c>
      <c r="Q114" s="52">
        <f t="shared" ca="1" si="58"/>
        <v>-126.82550784910714</v>
      </c>
      <c r="R114" s="52">
        <f t="shared" ca="1" si="58"/>
        <v>0</v>
      </c>
      <c r="S114" s="52">
        <f t="shared" ca="1" si="58"/>
        <v>0</v>
      </c>
      <c r="T114" s="52">
        <f t="shared" ca="1" si="58"/>
        <v>0</v>
      </c>
      <c r="U114" s="52">
        <f t="shared" ca="1" si="58"/>
        <v>0</v>
      </c>
      <c r="V114" s="52">
        <f t="shared" ca="1" si="58"/>
        <v>0</v>
      </c>
      <c r="W114" s="52">
        <f t="shared" ca="1" si="58"/>
        <v>0</v>
      </c>
      <c r="X114" s="52">
        <f t="shared" ca="1" si="58"/>
        <v>0</v>
      </c>
      <c r="Y114" s="52">
        <f t="shared" ca="1" si="58"/>
        <v>0</v>
      </c>
      <c r="Z114" s="52">
        <f t="shared" ca="1" si="58"/>
        <v>0</v>
      </c>
      <c r="AA114" s="52">
        <f t="shared" ca="1" si="58"/>
        <v>0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12</v>
      </c>
      <c r="E115" s="17" t="s">
        <v>14</v>
      </c>
      <c r="F115" s="14">
        <f ca="1">F$113*$B$2*SUMPRODUCT(F$81:F$89,F$47:F$55)/1000</f>
        <v>-8.1201783230074353E-10</v>
      </c>
      <c r="G115" s="14">
        <f t="shared" ref="G115:AL115" ca="1" si="59">G$113*$B$2*SUMPRODUCT(G$81:G$89,G$47:G$55)/1000</f>
        <v>-1.1130503635325961E-6</v>
      </c>
      <c r="H115" s="14">
        <f t="shared" ca="1" si="59"/>
        <v>-1.2998508075172759E-4</v>
      </c>
      <c r="I115" s="14">
        <f t="shared" ca="1" si="59"/>
        <v>-3.7354706177456978E-3</v>
      </c>
      <c r="J115" s="14">
        <f t="shared" ca="1" si="59"/>
        <v>-4.4665896915799939E-2</v>
      </c>
      <c r="K115" s="14">
        <f t="shared" ca="1" si="59"/>
        <v>-0.29104783777748572</v>
      </c>
      <c r="L115" s="14">
        <f t="shared" ca="1" si="59"/>
        <v>-1.1731455844481815</v>
      </c>
      <c r="M115" s="14">
        <f t="shared" ca="1" si="59"/>
        <v>-3.1805635904815328</v>
      </c>
      <c r="N115" s="14">
        <f t="shared" ca="1" si="59"/>
        <v>-6.7371338486652519</v>
      </c>
      <c r="O115" s="14">
        <f t="shared" ca="1" si="59"/>
        <v>-13.158854077200516</v>
      </c>
      <c r="P115" s="14">
        <f t="shared" ca="1" si="59"/>
        <v>-25.958337386043304</v>
      </c>
      <c r="Q115" s="14">
        <f t="shared" ca="1" si="59"/>
        <v>-49.657926001572292</v>
      </c>
      <c r="R115" s="14">
        <f t="shared" ca="1" si="59"/>
        <v>0</v>
      </c>
      <c r="S115" s="14">
        <f t="shared" ca="1" si="59"/>
        <v>0</v>
      </c>
      <c r="T115" s="14">
        <f t="shared" ca="1" si="59"/>
        <v>0</v>
      </c>
      <c r="U115" s="14">
        <f t="shared" ca="1" si="59"/>
        <v>0</v>
      </c>
      <c r="V115" s="14">
        <f t="shared" ca="1" si="59"/>
        <v>0</v>
      </c>
      <c r="W115" s="14">
        <f t="shared" ca="1" si="59"/>
        <v>0</v>
      </c>
      <c r="X115" s="14">
        <f t="shared" ca="1" si="59"/>
        <v>0</v>
      </c>
      <c r="Y115" s="14">
        <f t="shared" ca="1" si="59"/>
        <v>0</v>
      </c>
      <c r="Z115" s="14">
        <f t="shared" ca="1" si="59"/>
        <v>0</v>
      </c>
      <c r="AA115" s="14">
        <f t="shared" ca="1" si="59"/>
        <v>0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ca="1">F115+F89*F55</f>
        <v>-1.1697537137293148E-9</v>
      </c>
      <c r="G116" s="14">
        <f t="shared" ref="G116:AL116" ca="1" si="60">G115+G89*G55</f>
        <v>-1.5076370206754533E-6</v>
      </c>
      <c r="H116" s="14">
        <f t="shared" ca="1" si="60"/>
        <v>-1.685159747517276E-4</v>
      </c>
      <c r="I116" s="14">
        <f t="shared" ca="1" si="60"/>
        <v>-4.6851756177456972E-3</v>
      </c>
      <c r="J116" s="14">
        <f t="shared" ca="1" si="60"/>
        <v>-5.4575735737228515E-2</v>
      </c>
      <c r="K116" s="14">
        <f t="shared" ca="1" si="60"/>
        <v>-0.34800240749177141</v>
      </c>
      <c r="L116" s="14">
        <f t="shared" ca="1" si="60"/>
        <v>-1.3757004090910387</v>
      </c>
      <c r="M116" s="14">
        <f t="shared" ca="1" si="60"/>
        <v>-3.6548585411958188</v>
      </c>
      <c r="N116" s="14">
        <f t="shared" ca="1" si="60"/>
        <v>-7.5515023486652515</v>
      </c>
      <c r="O116" s="14">
        <f t="shared" ca="1" si="60"/>
        <v>-14.310015334343372</v>
      </c>
      <c r="P116" s="14">
        <f t="shared" ca="1" si="60"/>
        <v>-27.42283212175759</v>
      </c>
      <c r="Q116" s="14">
        <f t="shared" ca="1" si="60"/>
        <v>-51.409175158715151</v>
      </c>
      <c r="R116" s="14">
        <f t="shared" ca="1" si="60"/>
        <v>0</v>
      </c>
      <c r="S116" s="14">
        <f t="shared" ca="1" si="60"/>
        <v>0</v>
      </c>
      <c r="T116" s="14">
        <f t="shared" ca="1" si="60"/>
        <v>0</v>
      </c>
      <c r="U116" s="14">
        <f t="shared" ca="1" si="60"/>
        <v>0</v>
      </c>
      <c r="V116" s="14">
        <f t="shared" ca="1" si="60"/>
        <v>0</v>
      </c>
      <c r="W116" s="14">
        <f t="shared" ca="1" si="60"/>
        <v>0</v>
      </c>
      <c r="X116" s="14">
        <f t="shared" ca="1" si="60"/>
        <v>0</v>
      </c>
      <c r="Y116" s="14">
        <f t="shared" ca="1" si="60"/>
        <v>0</v>
      </c>
      <c r="Z116" s="14">
        <f t="shared" ca="1" si="60"/>
        <v>0</v>
      </c>
      <c r="AA116" s="14">
        <f t="shared" ca="1" si="60"/>
        <v>0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16</v>
      </c>
      <c r="F117" s="14">
        <f ca="1">F115+F114</f>
        <v>-3.7222436753120189</v>
      </c>
      <c r="G117" s="14">
        <f t="shared" ref="G117:AL117" ca="1" si="61">G115+G114</f>
        <v>-15.149327987107506</v>
      </c>
      <c r="H117" s="14">
        <f t="shared" ca="1" si="61"/>
        <v>-27.859678610253695</v>
      </c>
      <c r="I117" s="14">
        <f t="shared" ca="1" si="61"/>
        <v>-41.608697823852488</v>
      </c>
      <c r="J117" s="14">
        <f t="shared" ca="1" si="61"/>
        <v>-56.233592010578633</v>
      </c>
      <c r="K117" s="14">
        <f t="shared" ca="1" si="61"/>
        <v>-71.589794140911508</v>
      </c>
      <c r="L117" s="14">
        <f t="shared" ca="1" si="61"/>
        <v>-87.616265240630341</v>
      </c>
      <c r="M117" s="14">
        <f t="shared" ca="1" si="61"/>
        <v>-104.25857056553539</v>
      </c>
      <c r="N117" s="14">
        <f t="shared" ca="1" si="61"/>
        <v>-121.45770992933585</v>
      </c>
      <c r="O117" s="14">
        <f t="shared" ca="1" si="61"/>
        <v>-139.1677112609558</v>
      </c>
      <c r="P117" s="14">
        <f t="shared" ca="1" si="61"/>
        <v>-157.46367722214441</v>
      </c>
      <c r="Q117" s="14">
        <f t="shared" ca="1" si="61"/>
        <v>-176.48343385067943</v>
      </c>
      <c r="R117" s="14">
        <f t="shared" ca="1" si="61"/>
        <v>0</v>
      </c>
      <c r="S117" s="14">
        <f t="shared" ca="1" si="61"/>
        <v>0</v>
      </c>
      <c r="T117" s="14">
        <f t="shared" ca="1" si="61"/>
        <v>0</v>
      </c>
      <c r="U117" s="14">
        <f t="shared" ca="1" si="61"/>
        <v>0</v>
      </c>
      <c r="V117" s="14">
        <f t="shared" ca="1" si="61"/>
        <v>0</v>
      </c>
      <c r="W117" s="14">
        <f t="shared" ca="1" si="61"/>
        <v>0</v>
      </c>
      <c r="X117" s="14">
        <f t="shared" ca="1" si="61"/>
        <v>0</v>
      </c>
      <c r="Y117" s="14">
        <f t="shared" ca="1" si="61"/>
        <v>0</v>
      </c>
      <c r="Z117" s="14">
        <f t="shared" ca="1" si="61"/>
        <v>0</v>
      </c>
      <c r="AA117" s="14">
        <f t="shared" ca="1" si="61"/>
        <v>0</v>
      </c>
      <c r="AB117" s="14">
        <f t="shared" ca="1" si="61"/>
        <v>0</v>
      </c>
      <c r="AC117" s="14">
        <f t="shared" ca="1" si="61"/>
        <v>0</v>
      </c>
      <c r="AD117" s="14">
        <f t="shared" ca="1" si="61"/>
        <v>0</v>
      </c>
      <c r="AE117" s="14">
        <f t="shared" ca="1" si="61"/>
        <v>0</v>
      </c>
      <c r="AF117" s="14">
        <f t="shared" ca="1" si="61"/>
        <v>0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 t="s">
        <v>17</v>
      </c>
      <c r="F118" s="14">
        <f ca="1">F116+F114</f>
        <v>-3.7222436756697546</v>
      </c>
      <c r="G118" s="14">
        <f t="shared" ref="G118:AL118" ca="1" si="62">G116+G114</f>
        <v>-15.149328381694165</v>
      </c>
      <c r="H118" s="14">
        <f t="shared" ca="1" si="62"/>
        <v>-27.859717141147698</v>
      </c>
      <c r="I118" s="14">
        <f t="shared" ca="1" si="62"/>
        <v>-41.609647528852484</v>
      </c>
      <c r="J118" s="14">
        <f t="shared" ca="1" si="62"/>
        <v>-56.243501849400062</v>
      </c>
      <c r="K118" s="14">
        <f t="shared" ca="1" si="62"/>
        <v>-71.646748710625801</v>
      </c>
      <c r="L118" s="14">
        <f t="shared" ca="1" si="62"/>
        <v>-87.818820065273201</v>
      </c>
      <c r="M118" s="14">
        <f t="shared" ca="1" si="62"/>
        <v>-104.73286551624969</v>
      </c>
      <c r="N118" s="14">
        <f t="shared" ca="1" si="62"/>
        <v>-122.27207842933585</v>
      </c>
      <c r="O118" s="14">
        <f t="shared" ca="1" si="62"/>
        <v>-140.31887251809863</v>
      </c>
      <c r="P118" s="14">
        <f t="shared" ca="1" si="62"/>
        <v>-158.92817195785869</v>
      </c>
      <c r="Q118" s="14">
        <f t="shared" ca="1" si="62"/>
        <v>-178.2346830078223</v>
      </c>
      <c r="R118" s="14">
        <f t="shared" ca="1" si="62"/>
        <v>0</v>
      </c>
      <c r="S118" s="14">
        <f t="shared" ca="1" si="62"/>
        <v>0</v>
      </c>
      <c r="T118" s="14">
        <f t="shared" ca="1" si="62"/>
        <v>0</v>
      </c>
      <c r="U118" s="14">
        <f t="shared" ca="1" si="62"/>
        <v>0</v>
      </c>
      <c r="V118" s="14">
        <f t="shared" ca="1" si="62"/>
        <v>0</v>
      </c>
      <c r="W118" s="14">
        <f t="shared" ca="1" si="62"/>
        <v>0</v>
      </c>
      <c r="X118" s="14">
        <f t="shared" ca="1" si="62"/>
        <v>0</v>
      </c>
      <c r="Y118" s="14">
        <f t="shared" ca="1" si="62"/>
        <v>0</v>
      </c>
      <c r="Z118" s="14">
        <f t="shared" ca="1" si="62"/>
        <v>0</v>
      </c>
      <c r="AA118" s="14">
        <f t="shared" ca="1" si="62"/>
        <v>0</v>
      </c>
      <c r="AB118" s="14">
        <f t="shared" ca="1" si="62"/>
        <v>0</v>
      </c>
      <c r="AC118" s="14">
        <f t="shared" ca="1" si="62"/>
        <v>0</v>
      </c>
      <c r="AD118" s="14">
        <f t="shared" ca="1" si="62"/>
        <v>0</v>
      </c>
      <c r="AE118" s="14">
        <f t="shared" ca="1" si="62"/>
        <v>0</v>
      </c>
      <c r="AF118" s="14">
        <f t="shared" ca="1" si="62"/>
        <v>0</v>
      </c>
      <c r="AG118" s="14">
        <f t="shared" ca="1" si="62"/>
        <v>0</v>
      </c>
      <c r="AH118" s="14">
        <f t="shared" ca="1" si="62"/>
        <v>0</v>
      </c>
      <c r="AI118" s="14">
        <f t="shared" ca="1" si="62"/>
        <v>0</v>
      </c>
      <c r="AJ118" s="14">
        <f t="shared" ca="1" si="62"/>
        <v>0</v>
      </c>
      <c r="AK118" s="14">
        <f t="shared" ca="1" si="62"/>
        <v>0</v>
      </c>
      <c r="AL118" s="14">
        <f t="shared" ca="1" si="62"/>
        <v>0</v>
      </c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62" t="e">
        <f ca="1"/>
        <v>#N/A</v>
      </c>
      <c r="V122" s="63" t="e">
        <f ca="1"/>
        <v>#N/A</v>
      </c>
      <c r="W122" s="65" t="e">
        <f ca="1"/>
        <v>#N/A</v>
      </c>
      <c r="X122" s="59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-3.7222436745000009</v>
      </c>
      <c r="G123" s="55">
        <f ca="1"/>
        <v>-15.149326874057143</v>
      </c>
      <c r="H123" s="55">
        <f ca="1"/>
        <v>-27.859548625172945</v>
      </c>
      <c r="I123" s="55">
        <f ca="1"/>
        <v>-41.60496235323474</v>
      </c>
      <c r="J123" s="55">
        <f ca="1"/>
        <v>-56.188926113662831</v>
      </c>
      <c r="K123" s="55">
        <f ca="1"/>
        <v>-71.298746303134024</v>
      </c>
      <c r="L123" s="55">
        <f ca="1"/>
        <v>-86.443119656182162</v>
      </c>
      <c r="M123" s="55">
        <f ca="1"/>
        <v>-101.07800697505387</v>
      </c>
      <c r="N123" s="55">
        <f ca="1"/>
        <v>-114.7205760806706</v>
      </c>
      <c r="O123" s="55">
        <f ca="1"/>
        <v>-126.00885718375527</v>
      </c>
      <c r="P123" s="55">
        <f ca="1"/>
        <v>-131.50533983610111</v>
      </c>
      <c r="Q123" s="55">
        <f ca="1"/>
        <v>-126.82550784910714</v>
      </c>
      <c r="R123" s="55" t="e">
        <f ca="1"/>
        <v>#N/A</v>
      </c>
      <c r="S123" s="55" t="e">
        <f ca="1"/>
        <v>#N/A</v>
      </c>
      <c r="T123" s="55" t="e">
        <f ca="1"/>
        <v>#N/A</v>
      </c>
      <c r="U123" s="55" t="e">
        <f ca="1"/>
        <v>#N/A</v>
      </c>
      <c r="V123" s="55" t="e">
        <f ca="1"/>
        <v>#N/A</v>
      </c>
      <c r="W123" s="55" t="e">
        <f ca="1"/>
        <v>#N/A</v>
      </c>
      <c r="X123" s="55" t="e">
        <f ca="1"/>
        <v>#N/A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-8.1201783230074353E-10</v>
      </c>
      <c r="G124" s="55">
        <f ca="1"/>
        <v>-1.1130503635325961E-6</v>
      </c>
      <c r="H124" s="55">
        <f ca="1"/>
        <v>-1.2998508075172759E-4</v>
      </c>
      <c r="I124" s="55">
        <f ca="1"/>
        <v>-3.7354706177456978E-3</v>
      </c>
      <c r="J124" s="55">
        <f ca="1"/>
        <v>-4.4665896915799939E-2</v>
      </c>
      <c r="K124" s="55">
        <f ca="1"/>
        <v>-0.29104783777748572</v>
      </c>
      <c r="L124" s="55">
        <f ca="1"/>
        <v>-1.1731455844481815</v>
      </c>
      <c r="M124" s="55">
        <f ca="1"/>
        <v>-3.1805635904815328</v>
      </c>
      <c r="N124" s="55">
        <f ca="1"/>
        <v>-6.7371338486652519</v>
      </c>
      <c r="O124" s="55">
        <f ca="1"/>
        <v>-13.158854077200516</v>
      </c>
      <c r="P124" s="55">
        <f ca="1"/>
        <v>-25.958337386043304</v>
      </c>
      <c r="Q124" s="55">
        <f ca="1"/>
        <v>-49.657926001572292</v>
      </c>
      <c r="R124" s="55" t="e">
        <f ca="1"/>
        <v>#N/A</v>
      </c>
      <c r="S124" s="55" t="e">
        <f ca="1"/>
        <v>#N/A</v>
      </c>
      <c r="T124" s="55" t="e">
        <f ca="1"/>
        <v>#N/A</v>
      </c>
      <c r="U124" s="55" t="e">
        <f ca="1"/>
        <v>#N/A</v>
      </c>
      <c r="V124" s="55" t="e">
        <f ca="1"/>
        <v>#N/A</v>
      </c>
      <c r="W124" s="55" t="e">
        <f ca="1"/>
        <v>#N/A</v>
      </c>
      <c r="X124" s="55" t="e">
        <f ca="1"/>
        <v>#N/A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-1.1697537137293148E-9</v>
      </c>
      <c r="G125" s="55">
        <f ca="1"/>
        <v>-1.5076370206754533E-6</v>
      </c>
      <c r="H125" s="55">
        <f ca="1"/>
        <v>-1.685159747517276E-4</v>
      </c>
      <c r="I125" s="55">
        <f ca="1"/>
        <v>-4.6851756177456972E-3</v>
      </c>
      <c r="J125" s="55">
        <f ca="1"/>
        <v>-5.4575735737228515E-2</v>
      </c>
      <c r="K125" s="55">
        <f ca="1"/>
        <v>-0.34800240749177141</v>
      </c>
      <c r="L125" s="55">
        <f ca="1"/>
        <v>-1.3757004090910387</v>
      </c>
      <c r="M125" s="55">
        <f ca="1"/>
        <v>-3.6548585411958188</v>
      </c>
      <c r="N125" s="55">
        <f ca="1"/>
        <v>-7.5515023486652515</v>
      </c>
      <c r="O125" s="55">
        <f ca="1"/>
        <v>-14.310015334343372</v>
      </c>
      <c r="P125" s="55">
        <f ca="1"/>
        <v>-27.42283212175759</v>
      </c>
      <c r="Q125" s="55">
        <f ca="1"/>
        <v>-51.409175158715151</v>
      </c>
      <c r="R125" s="55" t="e">
        <f ca="1"/>
        <v>#N/A</v>
      </c>
      <c r="S125" s="55" t="e">
        <f ca="1"/>
        <v>#N/A</v>
      </c>
      <c r="T125" s="55" t="e">
        <f ca="1"/>
        <v>#N/A</v>
      </c>
      <c r="U125" s="55" t="e">
        <f ca="1"/>
        <v>#N/A</v>
      </c>
      <c r="V125" s="55" t="e">
        <f ca="1"/>
        <v>#N/A</v>
      </c>
      <c r="W125" s="55" t="e">
        <f ca="1"/>
        <v>#N/A</v>
      </c>
      <c r="X125" s="55" t="e">
        <f ca="1"/>
        <v>#N/A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+ газовая без Ar: </v>
      </c>
      <c r="F126" s="55">
        <f ca="1"/>
        <v>-3.7222436753120189</v>
      </c>
      <c r="G126" s="55">
        <f ca="1"/>
        <v>-15.149327987107506</v>
      </c>
      <c r="H126" s="55">
        <f ca="1"/>
        <v>-27.859678610253695</v>
      </c>
      <c r="I126" s="55">
        <f ca="1"/>
        <v>-41.608697823852488</v>
      </c>
      <c r="J126" s="55">
        <f ca="1"/>
        <v>-56.233592010578633</v>
      </c>
      <c r="K126" s="55">
        <f ca="1"/>
        <v>-71.589794140911508</v>
      </c>
      <c r="L126" s="55">
        <f ca="1"/>
        <v>-87.616265240630341</v>
      </c>
      <c r="M126" s="55">
        <f ca="1"/>
        <v>-104.25857056553539</v>
      </c>
      <c r="N126" s="55">
        <f ca="1"/>
        <v>-121.45770992933585</v>
      </c>
      <c r="O126" s="55">
        <f ca="1"/>
        <v>-139.1677112609558</v>
      </c>
      <c r="P126" s="55">
        <f ca="1"/>
        <v>-157.46367722214441</v>
      </c>
      <c r="Q126" s="55">
        <f ca="1"/>
        <v>-176.48343385067943</v>
      </c>
      <c r="R126" s="55" t="e">
        <f ca="1"/>
        <v>#N/A</v>
      </c>
      <c r="S126" s="55" t="e">
        <f ca="1"/>
        <v>#N/A</v>
      </c>
      <c r="T126" s="55" t="e">
        <f ca="1"/>
        <v>#N/A</v>
      </c>
      <c r="U126" s="55" t="e">
        <f ca="1"/>
        <v>#N/A</v>
      </c>
      <c r="V126" s="55" t="e">
        <f ca="1"/>
        <v>#N/A</v>
      </c>
      <c r="W126" s="55" t="e">
        <f ca="1"/>
        <v>#N/A</v>
      </c>
      <c r="X126" s="55" t="e">
        <f ca="1"/>
        <v>#N/A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+ газовая: </v>
      </c>
      <c r="F127" s="55">
        <f ca="1"/>
        <v>-3.7222436756697546</v>
      </c>
      <c r="G127" s="55">
        <f ca="1"/>
        <v>-15.149328381694165</v>
      </c>
      <c r="H127" s="55">
        <f ca="1"/>
        <v>-27.859717141147698</v>
      </c>
      <c r="I127" s="55">
        <f ca="1"/>
        <v>-41.609647528852484</v>
      </c>
      <c r="J127" s="55">
        <f ca="1"/>
        <v>-56.243501849400062</v>
      </c>
      <c r="K127" s="55">
        <f ca="1"/>
        <v>-71.646748710625801</v>
      </c>
      <c r="L127" s="55">
        <f ca="1"/>
        <v>-87.818820065273201</v>
      </c>
      <c r="M127" s="55">
        <f ca="1"/>
        <v>-104.73286551624969</v>
      </c>
      <c r="N127" s="55">
        <f ca="1"/>
        <v>-122.27207842933585</v>
      </c>
      <c r="O127" s="55">
        <f ca="1"/>
        <v>-140.31887251809863</v>
      </c>
      <c r="P127" s="55">
        <f ca="1"/>
        <v>-158.92817195785869</v>
      </c>
      <c r="Q127" s="55">
        <f ca="1"/>
        <v>-178.2346830078223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9" priority="49" operator="equal">
      <formula>0</formula>
    </cfRule>
  </conditionalFormatting>
  <conditionalFormatting sqref="A80:D109">
    <cfRule type="cellIs" dxfId="8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zoomScale="85" zoomScaleNormal="85" zoomScaleSheetLayoutView="25" workbookViewId="0">
      <selection activeCell="AY124" sqref="AY124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90" t="s">
        <v>26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69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603.5</v>
      </c>
      <c r="U3" s="3">
        <v>669.6</v>
      </c>
      <c r="V3" s="3">
        <v>735.7</v>
      </c>
      <c r="W3" s="3">
        <v>752.2</v>
      </c>
      <c r="X3" s="3">
        <v>768.7</v>
      </c>
      <c r="Y3" s="4">
        <v>785.2</v>
      </c>
      <c r="Z3" s="4">
        <v>801.8</v>
      </c>
      <c r="AA3" s="4">
        <v>818.3</v>
      </c>
      <c r="AB3" s="4">
        <v>834.8</v>
      </c>
      <c r="AC3" s="4">
        <v>851.3</v>
      </c>
      <c r="AD3" s="4">
        <v>867.8</v>
      </c>
      <c r="AE3" s="4">
        <v>933.9</v>
      </c>
      <c r="AF3" s="4">
        <v>1000</v>
      </c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1</v>
      </c>
      <c r="D4" s="44">
        <f t="shared" si="0"/>
        <v>0</v>
      </c>
      <c r="E4" s="6" t="s">
        <v>90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6.6855000000000004E-18</v>
      </c>
      <c r="U4" s="49">
        <v>1.762E-13</v>
      </c>
      <c r="V4" s="49">
        <v>5.8739999999999998E-14</v>
      </c>
      <c r="W4" s="49">
        <v>4.9521000000000001E-21</v>
      </c>
      <c r="X4" s="49">
        <v>3.5675999999999999E-28</v>
      </c>
      <c r="Y4" s="55">
        <v>0</v>
      </c>
      <c r="Z4" s="55">
        <v>5.1645000000000003E-20</v>
      </c>
      <c r="AA4" s="55">
        <v>2.3851000000000001E-13</v>
      </c>
      <c r="AB4" s="55">
        <v>1.8062000000000001E-17</v>
      </c>
      <c r="AC4" s="55">
        <v>8.5727999999999997E-20</v>
      </c>
      <c r="AD4" s="55">
        <v>6.7719000000000002E-20</v>
      </c>
      <c r="AE4" s="55">
        <v>2.1051999999999999E-14</v>
      </c>
      <c r="AF4" s="55">
        <v>4.6006999999999996E-9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1</v>
      </c>
      <c r="D5" s="44">
        <f t="shared" si="0"/>
        <v>0</v>
      </c>
      <c r="E5" s="6" t="s">
        <v>77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1.6387999999999999E-33</v>
      </c>
      <c r="N5" s="49">
        <v>5.0901000000000002E-26</v>
      </c>
      <c r="O5" s="49">
        <v>1.5335000000000001E-11</v>
      </c>
      <c r="P5" s="49">
        <v>4.4230000000000001E-10</v>
      </c>
      <c r="Q5" s="49">
        <v>1.8701E-8</v>
      </c>
      <c r="R5" s="49">
        <v>0.14000000000000001</v>
      </c>
      <c r="S5" s="49">
        <v>0.14000000000000001</v>
      </c>
      <c r="T5" s="49">
        <v>0.14000000000000001</v>
      </c>
      <c r="U5" s="49">
        <v>0.14000000000000001</v>
      </c>
      <c r="V5" s="49">
        <v>0.14000000000000001</v>
      </c>
      <c r="W5" s="49">
        <v>0.14000000000000001</v>
      </c>
      <c r="X5" s="49">
        <v>0.14000000000000001</v>
      </c>
      <c r="Y5" s="55">
        <v>0.14000000000000001</v>
      </c>
      <c r="Z5" s="55">
        <v>0.13650999999999999</v>
      </c>
      <c r="AA5" s="55">
        <v>0.13588</v>
      </c>
      <c r="AB5" s="55">
        <v>0.13528000000000001</v>
      </c>
      <c r="AC5" s="55">
        <v>0.13461999999999999</v>
      </c>
      <c r="AD5" s="55">
        <v>0.13389000000000001</v>
      </c>
      <c r="AE5" s="55">
        <v>0.12989000000000001</v>
      </c>
      <c r="AF5" s="55">
        <v>0.12297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1</v>
      </c>
      <c r="D6" s="44">
        <f t="shared" si="0"/>
        <v>0</v>
      </c>
      <c r="E6" s="6" t="s">
        <v>41</v>
      </c>
      <c r="F6" s="49">
        <v>0.14000000000000001</v>
      </c>
      <c r="G6" s="49">
        <v>0.14000000000000001</v>
      </c>
      <c r="H6" s="49">
        <v>0.14000000000000001</v>
      </c>
      <c r="I6" s="49">
        <v>0.14000000000000001</v>
      </c>
      <c r="J6" s="49">
        <v>0.14000000000000001</v>
      </c>
      <c r="K6" s="49">
        <v>0.28000000000000003</v>
      </c>
      <c r="L6" s="49">
        <v>0.28000000000000003</v>
      </c>
      <c r="M6" s="49">
        <v>0.28000000000000003</v>
      </c>
      <c r="N6" s="49">
        <v>0.28000000000000003</v>
      </c>
      <c r="O6" s="49">
        <v>0.28000000000000003</v>
      </c>
      <c r="P6" s="49">
        <v>0.28000000000000003</v>
      </c>
      <c r="Q6" s="49">
        <v>0.28000000000000003</v>
      </c>
      <c r="R6" s="49">
        <v>2.0335E-7</v>
      </c>
      <c r="S6" s="49">
        <v>1.9375E-9</v>
      </c>
      <c r="T6" s="49">
        <v>2.8928000000000001E-13</v>
      </c>
      <c r="U6" s="49">
        <v>5.8773E-21</v>
      </c>
      <c r="V6" s="49">
        <v>0</v>
      </c>
      <c r="W6" s="49">
        <v>0</v>
      </c>
      <c r="X6" s="49">
        <v>0</v>
      </c>
      <c r="Y6" s="55">
        <v>0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5">
        <v>0</v>
      </c>
      <c r="AF6" s="55">
        <v>0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1</v>
      </c>
      <c r="E7" s="6" t="s">
        <v>53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3.8944000000000003E-36</v>
      </c>
      <c r="V7" s="49">
        <v>1.0914999999999999E-20</v>
      </c>
      <c r="W7" s="49">
        <v>2.7170000000000003E-20</v>
      </c>
      <c r="X7" s="49">
        <v>2.7481999999999999E-17</v>
      </c>
      <c r="Y7" s="55">
        <v>2.1655999999999999E-17</v>
      </c>
      <c r="Z7" s="55">
        <v>4.1360000000000001E-8</v>
      </c>
      <c r="AA7" s="55">
        <v>3.4271999999999999E-7</v>
      </c>
      <c r="AB7" s="55">
        <v>2.5522999999999999E-7</v>
      </c>
      <c r="AC7" s="55">
        <v>1.8946E-7</v>
      </c>
      <c r="AD7" s="55">
        <v>1.6390000000000001E-7</v>
      </c>
      <c r="AE7" s="55">
        <v>5.6700999999999999E-8</v>
      </c>
      <c r="AF7" s="55">
        <v>1.6385000000000001E-8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1</v>
      </c>
      <c r="C8" s="44">
        <f t="shared" si="0"/>
        <v>0</v>
      </c>
      <c r="D8" s="44">
        <f t="shared" si="0"/>
        <v>2</v>
      </c>
      <c r="E8" s="6" t="s">
        <v>93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3.1006E-29</v>
      </c>
      <c r="V8" s="49">
        <v>4.1882000000000003E-12</v>
      </c>
      <c r="W8" s="49">
        <v>4.2325999999999999E-7</v>
      </c>
      <c r="X8" s="49">
        <v>1.2243E-2</v>
      </c>
      <c r="Y8" s="55">
        <v>1.7151E-2</v>
      </c>
      <c r="Z8" s="55">
        <v>2.6225000000000002E-8</v>
      </c>
      <c r="AA8" s="55">
        <v>6.3299000000000001E-13</v>
      </c>
      <c r="AB8" s="55">
        <v>5.1691999999999997E-25</v>
      </c>
      <c r="AC8" s="55">
        <v>0</v>
      </c>
      <c r="AD8" s="55">
        <v>0</v>
      </c>
      <c r="AE8" s="55">
        <v>0</v>
      </c>
      <c r="AF8" s="55">
        <v>0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1</v>
      </c>
      <c r="D9" s="44">
        <f t="shared" si="0"/>
        <v>0</v>
      </c>
      <c r="E9" s="6" t="s">
        <v>76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1.6387999999999999E-33</v>
      </c>
      <c r="N9" s="49">
        <v>5.0901000000000002E-26</v>
      </c>
      <c r="O9" s="49">
        <v>1.5335000000000001E-11</v>
      </c>
      <c r="P9" s="49">
        <v>4.4230000000000001E-10</v>
      </c>
      <c r="Q9" s="49">
        <v>1.8701E-8</v>
      </c>
      <c r="R9" s="49">
        <v>0.14000000000000001</v>
      </c>
      <c r="S9" s="49">
        <v>0.14000000000000001</v>
      </c>
      <c r="T9" s="49">
        <v>0.14000000000000001</v>
      </c>
      <c r="U9" s="49">
        <v>0.14000000000000001</v>
      </c>
      <c r="V9" s="49">
        <v>0.14000000000000001</v>
      </c>
      <c r="W9" s="49">
        <v>0.14000000000000001</v>
      </c>
      <c r="X9" s="49">
        <v>0.14000000000000001</v>
      </c>
      <c r="Y9" s="55">
        <v>0.14000000000000001</v>
      </c>
      <c r="Z9" s="55">
        <v>0.13650999999999999</v>
      </c>
      <c r="AA9" s="55">
        <v>0.13588</v>
      </c>
      <c r="AB9" s="55">
        <v>0.13528000000000001</v>
      </c>
      <c r="AC9" s="55">
        <v>0.13461999999999999</v>
      </c>
      <c r="AD9" s="55">
        <v>0.13389000000000001</v>
      </c>
      <c r="AE9" s="55">
        <v>0.12989000000000001</v>
      </c>
      <c r="AF9" s="55">
        <v>0.12297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1</v>
      </c>
      <c r="C10" s="44">
        <f t="shared" si="0"/>
        <v>0</v>
      </c>
      <c r="D10" s="44">
        <f t="shared" si="0"/>
        <v>0</v>
      </c>
      <c r="E10" s="6" t="s">
        <v>42</v>
      </c>
      <c r="F10" s="49">
        <v>1.5275E-21</v>
      </c>
      <c r="G10" s="49">
        <v>1.3022000000000001E-17</v>
      </c>
      <c r="H10" s="49">
        <v>4.1226999999999998E-12</v>
      </c>
      <c r="I10" s="49">
        <v>1.4575E-9</v>
      </c>
      <c r="J10" s="49">
        <v>3.051E-7</v>
      </c>
      <c r="K10" s="49">
        <v>0.14000000000000001</v>
      </c>
      <c r="L10" s="49">
        <v>0.14000000000000001</v>
      </c>
      <c r="M10" s="49">
        <v>0.14000000000000001</v>
      </c>
      <c r="N10" s="49">
        <v>0.14000000000000001</v>
      </c>
      <c r="O10" s="49">
        <v>0.14000000000000001</v>
      </c>
      <c r="P10" s="49">
        <v>0.14000000000000001</v>
      </c>
      <c r="Q10" s="49">
        <v>0.14000000000000001</v>
      </c>
      <c r="R10" s="49">
        <v>0.42</v>
      </c>
      <c r="S10" s="49">
        <v>0.42</v>
      </c>
      <c r="T10" s="49">
        <v>0.42</v>
      </c>
      <c r="U10" s="49">
        <v>0.42</v>
      </c>
      <c r="V10" s="49">
        <v>0.42</v>
      </c>
      <c r="W10" s="49">
        <v>0.42</v>
      </c>
      <c r="X10" s="49">
        <v>0.44449</v>
      </c>
      <c r="Y10" s="55">
        <v>0.45429999999999998</v>
      </c>
      <c r="Z10" s="55">
        <v>0.47771999999999998</v>
      </c>
      <c r="AA10" s="55">
        <v>0.47964000000000001</v>
      </c>
      <c r="AB10" s="55">
        <v>0.47993999999999998</v>
      </c>
      <c r="AC10" s="55">
        <v>0.47999000000000003</v>
      </c>
      <c r="AD10" s="55">
        <v>0.48</v>
      </c>
      <c r="AE10" s="55">
        <v>0.48</v>
      </c>
      <c r="AF10" s="55">
        <v>0.48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1</v>
      </c>
      <c r="D11" s="44">
        <f t="shared" si="0"/>
        <v>0</v>
      </c>
      <c r="E11" s="6" t="s">
        <v>75</v>
      </c>
      <c r="F11" s="49">
        <v>0.14000000000000001</v>
      </c>
      <c r="G11" s="49">
        <v>0.14000000000000001</v>
      </c>
      <c r="H11" s="49">
        <v>0.14000000000000001</v>
      </c>
      <c r="I11" s="49">
        <v>0.14000000000000001</v>
      </c>
      <c r="J11" s="49">
        <v>0.14000000000000001</v>
      </c>
      <c r="K11" s="49">
        <v>3.2209999999999999E-9</v>
      </c>
      <c r="L11" s="49">
        <v>1.9975999999999999E-10</v>
      </c>
      <c r="M11" s="49">
        <v>9.6340999999999999E-12</v>
      </c>
      <c r="N11" s="49">
        <v>1.4116999999999999E-13</v>
      </c>
      <c r="O11" s="49">
        <v>2.8361000000000002E-26</v>
      </c>
      <c r="P11" s="49">
        <v>0</v>
      </c>
      <c r="Q11" s="49">
        <v>0</v>
      </c>
      <c r="R11" s="49">
        <v>0</v>
      </c>
      <c r="S11" s="49">
        <v>0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55">
        <v>0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5">
        <v>0</v>
      </c>
      <c r="AF11" s="55">
        <v>0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3</v>
      </c>
      <c r="C12" s="44">
        <f t="shared" si="0"/>
        <v>0</v>
      </c>
      <c r="D12" s="44">
        <f t="shared" si="0"/>
        <v>2</v>
      </c>
      <c r="E12" s="6" t="s">
        <v>70</v>
      </c>
      <c r="F12" s="49">
        <v>0.02</v>
      </c>
      <c r="G12" s="49">
        <v>0.02</v>
      </c>
      <c r="H12" s="49">
        <v>0.02</v>
      </c>
      <c r="I12" s="49">
        <v>0.02</v>
      </c>
      <c r="J12" s="49">
        <v>0.02</v>
      </c>
      <c r="K12" s="49">
        <v>0.02</v>
      </c>
      <c r="L12" s="49">
        <v>0.02</v>
      </c>
      <c r="M12" s="49">
        <v>0.02</v>
      </c>
      <c r="N12" s="49">
        <v>0.02</v>
      </c>
      <c r="O12" s="49">
        <v>0.02</v>
      </c>
      <c r="P12" s="49">
        <v>0.02</v>
      </c>
      <c r="Q12" s="49">
        <v>0.02</v>
      </c>
      <c r="R12" s="49">
        <v>0.02</v>
      </c>
      <c r="S12" s="49">
        <v>0.02</v>
      </c>
      <c r="T12" s="49">
        <v>0.02</v>
      </c>
      <c r="U12" s="49">
        <v>0.02</v>
      </c>
      <c r="V12" s="49">
        <v>0.02</v>
      </c>
      <c r="W12" s="49">
        <v>0.02</v>
      </c>
      <c r="X12" s="49">
        <v>7.7565999999999998E-3</v>
      </c>
      <c r="Y12" s="55">
        <v>2.8487E-3</v>
      </c>
      <c r="Z12" s="55">
        <v>7.5883000000000005E-4</v>
      </c>
      <c r="AA12" s="55">
        <v>1.1998999999999999E-4</v>
      </c>
      <c r="AB12" s="55">
        <v>2.0021E-5</v>
      </c>
      <c r="AC12" s="55">
        <v>3.5053000000000001E-6</v>
      </c>
      <c r="AD12" s="55">
        <v>6.4165000000000003E-7</v>
      </c>
      <c r="AE12" s="55">
        <v>1.0583E-9</v>
      </c>
      <c r="AF12" s="55">
        <v>2.8184000000000002E-12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71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0</v>
      </c>
      <c r="O13" s="49">
        <v>6.6809999999999997E-33</v>
      </c>
      <c r="P13" s="49">
        <v>7.8149999999999998E-31</v>
      </c>
      <c r="Q13" s="49">
        <v>6.8396999999999999E-29</v>
      </c>
      <c r="R13" s="49">
        <v>4.6017E-27</v>
      </c>
      <c r="S13" s="49">
        <v>2.4372999999999999E-25</v>
      </c>
      <c r="T13" s="49">
        <v>2.5777E-19</v>
      </c>
      <c r="U13" s="49">
        <v>2.2115999999999999E-14</v>
      </c>
      <c r="V13" s="49">
        <v>2.9888000000000001E-10</v>
      </c>
      <c r="W13" s="49">
        <v>2.5529000000000001E-9</v>
      </c>
      <c r="X13" s="49">
        <v>7.7960999999999996E-9</v>
      </c>
      <c r="Y13" s="55">
        <v>2.0885999999999999E-8</v>
      </c>
      <c r="Z13" s="55">
        <v>3.7773999999999998E-8</v>
      </c>
      <c r="AA13" s="55">
        <v>3.7906000000000002E-8</v>
      </c>
      <c r="AB13" s="55">
        <v>3.7667000000000002E-8</v>
      </c>
      <c r="AC13" s="55">
        <v>3.6985999999999998E-8</v>
      </c>
      <c r="AD13" s="55">
        <v>3.5881000000000002E-8</v>
      </c>
      <c r="AE13" s="55">
        <v>2.8110999999999999E-8</v>
      </c>
      <c r="AF13" s="55">
        <v>1.7782E-8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>
        <v>0.2</v>
      </c>
      <c r="S14" s="49">
        <v>0.2</v>
      </c>
      <c r="T14" s="49">
        <v>0.2</v>
      </c>
      <c r="U14" s="49">
        <v>0.2</v>
      </c>
      <c r="V14" s="49">
        <v>0.2</v>
      </c>
      <c r="W14" s="49">
        <v>0.2</v>
      </c>
      <c r="X14" s="49">
        <v>0.2</v>
      </c>
      <c r="Y14" s="55">
        <v>0.2</v>
      </c>
      <c r="Z14" s="55">
        <v>0.2</v>
      </c>
      <c r="AA14" s="55">
        <v>0.2</v>
      </c>
      <c r="AB14" s="55">
        <v>0.2</v>
      </c>
      <c r="AC14" s="55">
        <v>0.2</v>
      </c>
      <c r="AD14" s="55">
        <v>0.2</v>
      </c>
      <c r="AE14" s="55">
        <v>0.2</v>
      </c>
      <c r="AF14" s="55">
        <v>0.2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91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3.6238000000000002E-20</v>
      </c>
      <c r="U15" s="49">
        <v>7.0432999999999999E-14</v>
      </c>
      <c r="V15" s="49">
        <v>2.9604999999999998E-10</v>
      </c>
      <c r="W15" s="49">
        <v>1.039E-10</v>
      </c>
      <c r="X15" s="49">
        <v>1.5157999999999999E-8</v>
      </c>
      <c r="Y15" s="55">
        <v>2.1476E-7</v>
      </c>
      <c r="Z15" s="55">
        <v>3.8482000000000002E-2</v>
      </c>
      <c r="AA15" s="55">
        <v>3.9759999999999997E-2</v>
      </c>
      <c r="AB15" s="55">
        <v>3.9960000000000002E-2</v>
      </c>
      <c r="AC15" s="55">
        <v>3.9993000000000001E-2</v>
      </c>
      <c r="AD15" s="55">
        <v>3.9997999999999999E-2</v>
      </c>
      <c r="AE15" s="55">
        <v>0.04</v>
      </c>
      <c r="AF15" s="55">
        <v>0.04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92</v>
      </c>
      <c r="F16" s="49">
        <v>0</v>
      </c>
      <c r="G16" s="49">
        <v>0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M16" s="49">
        <v>0</v>
      </c>
      <c r="N16" s="49">
        <v>0</v>
      </c>
      <c r="O16" s="49">
        <v>7.4125999999999999E-36</v>
      </c>
      <c r="P16" s="49">
        <v>0</v>
      </c>
      <c r="Q16" s="49">
        <v>0</v>
      </c>
      <c r="R16" s="49">
        <v>0</v>
      </c>
      <c r="S16" s="49">
        <v>0</v>
      </c>
      <c r="T16" s="49">
        <v>2.0193000000000001E-16</v>
      </c>
      <c r="U16" s="49">
        <v>4.0033000000000001E-12</v>
      </c>
      <c r="V16" s="49">
        <v>3.3269000000000002E-10</v>
      </c>
      <c r="W16" s="49">
        <v>4.7667000000000002E-11</v>
      </c>
      <c r="X16" s="49">
        <v>4.5630999999999997E-9</v>
      </c>
      <c r="Y16" s="55">
        <v>4.5578E-8</v>
      </c>
      <c r="Z16" s="55">
        <v>6.9871999999999998E-3</v>
      </c>
      <c r="AA16" s="55">
        <v>8.2457999999999993E-3</v>
      </c>
      <c r="AB16" s="55">
        <v>9.4445999999999992E-3</v>
      </c>
      <c r="AC16" s="55">
        <v>1.0753E-2</v>
      </c>
      <c r="AD16" s="55">
        <v>1.2215999999999999E-2</v>
      </c>
      <c r="AE16" s="55">
        <v>2.0229E-2</v>
      </c>
      <c r="AF16" s="55">
        <v>3.4062000000000002E-2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1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 t="s">
        <v>28</v>
      </c>
      <c r="F17" s="49">
        <v>-18.72</v>
      </c>
      <c r="G17" s="49">
        <v>-18.71</v>
      </c>
      <c r="H17" s="49">
        <v>-18.71</v>
      </c>
      <c r="I17" s="49">
        <v>-18.71</v>
      </c>
      <c r="J17" s="49">
        <v>-18.73</v>
      </c>
      <c r="K17" s="49">
        <v>-18.739999999999998</v>
      </c>
      <c r="L17" s="49">
        <v>-18.760000000000002</v>
      </c>
      <c r="M17" s="49">
        <v>-18.79</v>
      </c>
      <c r="N17" s="49">
        <v>-18.809999999999999</v>
      </c>
      <c r="O17" s="49">
        <v>-18.93</v>
      </c>
      <c r="P17" s="49">
        <v>-18.97</v>
      </c>
      <c r="Q17" s="49">
        <v>-19</v>
      </c>
      <c r="R17" s="49">
        <v>-19.03</v>
      </c>
      <c r="S17" s="49">
        <v>-19.07</v>
      </c>
      <c r="T17" s="49">
        <v>-19.2</v>
      </c>
      <c r="U17" s="49">
        <v>-19.34</v>
      </c>
      <c r="V17" s="49">
        <v>-19.48</v>
      </c>
      <c r="W17" s="49">
        <v>-19.510000000000002</v>
      </c>
      <c r="X17" s="49">
        <v>-19.489999999999998</v>
      </c>
      <c r="Y17" s="55">
        <v>-19.5</v>
      </c>
      <c r="Z17" s="55">
        <v>-19.52</v>
      </c>
      <c r="AA17" s="55">
        <v>-19.55</v>
      </c>
      <c r="AB17" s="55">
        <v>-19.579999999999998</v>
      </c>
      <c r="AC17" s="55">
        <v>-19.61</v>
      </c>
      <c r="AD17" s="55">
        <v>-19.64</v>
      </c>
      <c r="AE17" s="55">
        <v>-19.760000000000002</v>
      </c>
      <c r="AF17" s="55">
        <v>-19.88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1</v>
      </c>
      <c r="E18" s="6" t="s">
        <v>5</v>
      </c>
      <c r="F18" s="49">
        <v>-66.760000000000005</v>
      </c>
      <c r="G18" s="49">
        <v>-63.28</v>
      </c>
      <c r="H18" s="49">
        <v>-60.18</v>
      </c>
      <c r="I18" s="49">
        <v>-57.4</v>
      </c>
      <c r="J18" s="49">
        <v>-54.91</v>
      </c>
      <c r="K18" s="49">
        <v>-51.53</v>
      </c>
      <c r="L18" s="49">
        <v>-48.17</v>
      </c>
      <c r="M18" s="49">
        <v>-45.06</v>
      </c>
      <c r="N18" s="49">
        <v>-42.19</v>
      </c>
      <c r="O18" s="49">
        <v>-32.53</v>
      </c>
      <c r="P18" s="49">
        <v>-30.48</v>
      </c>
      <c r="Q18" s="49">
        <v>-28.55</v>
      </c>
      <c r="R18" s="49">
        <v>-26.74</v>
      </c>
      <c r="S18" s="49">
        <v>-25.02</v>
      </c>
      <c r="T18" s="49">
        <v>-18.96</v>
      </c>
      <c r="U18" s="49">
        <v>-13.95</v>
      </c>
      <c r="V18" s="49">
        <v>-9.7059999999999995</v>
      </c>
      <c r="W18" s="49">
        <v>-8.7420000000000009</v>
      </c>
      <c r="X18" s="49">
        <v>-8.2560000000000002</v>
      </c>
      <c r="Y18" s="55">
        <v>-7.8470000000000004</v>
      </c>
      <c r="Z18" s="55">
        <v>-7.6349999999999998</v>
      </c>
      <c r="AA18" s="55">
        <v>-7.7149999999999999</v>
      </c>
      <c r="AB18" s="55">
        <v>-7.7960000000000003</v>
      </c>
      <c r="AC18" s="55">
        <v>-7.8789999999999996</v>
      </c>
      <c r="AD18" s="55">
        <v>-7.9630000000000001</v>
      </c>
      <c r="AE18" s="55">
        <v>-8.3190000000000008</v>
      </c>
      <c r="AF18" s="55">
        <v>-8.7249999999999996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1</v>
      </c>
      <c r="D19" s="44">
        <f t="shared" si="0"/>
        <v>0</v>
      </c>
      <c r="E19" s="6" t="s">
        <v>6</v>
      </c>
      <c r="F19" s="49">
        <v>-16.29</v>
      </c>
      <c r="G19" s="49">
        <v>-15.65</v>
      </c>
      <c r="H19" s="49">
        <v>-15.09</v>
      </c>
      <c r="I19" s="49">
        <v>-14.59</v>
      </c>
      <c r="J19" s="49">
        <v>-14.16</v>
      </c>
      <c r="K19" s="49">
        <v>-13.03</v>
      </c>
      <c r="L19" s="49">
        <v>-11.8</v>
      </c>
      <c r="M19" s="49">
        <v>-10.67</v>
      </c>
      <c r="N19" s="49">
        <v>-9.6150000000000002</v>
      </c>
      <c r="O19" s="49">
        <v>-6.04</v>
      </c>
      <c r="P19" s="49">
        <v>-5.2759999999999998</v>
      </c>
      <c r="Q19" s="49">
        <v>-4.5529999999999999</v>
      </c>
      <c r="R19" s="49">
        <v>-4.1150000000000002</v>
      </c>
      <c r="S19" s="49">
        <v>-4.1550000000000002</v>
      </c>
      <c r="T19" s="49">
        <v>-4.3170000000000002</v>
      </c>
      <c r="U19" s="49">
        <v>-4.4809999999999999</v>
      </c>
      <c r="V19" s="49">
        <v>-4.6429999999999998</v>
      </c>
      <c r="W19" s="49">
        <v>-4.6829999999999998</v>
      </c>
      <c r="X19" s="49">
        <v>-4.7220000000000004</v>
      </c>
      <c r="Y19" s="55">
        <v>-4.7619999999999996</v>
      </c>
      <c r="Z19" s="55">
        <v>-4.8010000000000002</v>
      </c>
      <c r="AA19" s="55">
        <v>-4.84</v>
      </c>
      <c r="AB19" s="55">
        <v>-4.8780000000000001</v>
      </c>
      <c r="AC19" s="55">
        <v>-4.9169999999999998</v>
      </c>
      <c r="AD19" s="55">
        <v>-4.9550000000000001</v>
      </c>
      <c r="AE19" s="55">
        <v>-5.1040000000000001</v>
      </c>
      <c r="AF19" s="55">
        <v>-5.2489999999999997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7</v>
      </c>
      <c r="F20" s="49">
        <v>-23.52</v>
      </c>
      <c r="G20" s="49">
        <v>-22.41</v>
      </c>
      <c r="H20" s="49">
        <v>-21.42</v>
      </c>
      <c r="I20" s="49">
        <v>-20.54</v>
      </c>
      <c r="J20" s="49">
        <v>-19.760000000000002</v>
      </c>
      <c r="K20" s="49">
        <v>-19.79</v>
      </c>
      <c r="L20" s="49">
        <v>-20.03</v>
      </c>
      <c r="M20" s="49">
        <v>-20.28</v>
      </c>
      <c r="N20" s="49">
        <v>-20.52</v>
      </c>
      <c r="O20" s="49">
        <v>-21.52</v>
      </c>
      <c r="P20" s="49">
        <v>-21.77</v>
      </c>
      <c r="Q20" s="49">
        <v>-22.02</v>
      </c>
      <c r="R20" s="49">
        <v>-22.27</v>
      </c>
      <c r="S20" s="49">
        <v>-22.51</v>
      </c>
      <c r="T20" s="49">
        <v>-23.48</v>
      </c>
      <c r="U20" s="49">
        <v>-24.41</v>
      </c>
      <c r="V20" s="49">
        <v>-25.31</v>
      </c>
      <c r="W20" s="49">
        <v>-25.53</v>
      </c>
      <c r="X20" s="49">
        <v>-25.75</v>
      </c>
      <c r="Y20" s="49">
        <v>-25.96</v>
      </c>
      <c r="Z20" s="49">
        <v>-26.18</v>
      </c>
      <c r="AA20" s="49">
        <v>-26.39</v>
      </c>
      <c r="AB20" s="49">
        <v>-26.6</v>
      </c>
      <c r="AC20" s="49">
        <v>-26.81</v>
      </c>
      <c r="AD20" s="49">
        <v>-27.02</v>
      </c>
      <c r="AE20" s="49">
        <v>-27.83</v>
      </c>
      <c r="AF20" s="49">
        <v>-28.62</v>
      </c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14</v>
      </c>
      <c r="E34" s="11" t="str">
        <f ca="1">OFFSET($E$3:$AL$3,$D34,0)</f>
        <v>H (Ar)</v>
      </c>
      <c r="F34" s="14">
        <f t="shared" ref="F34:AL37" ca="1" si="3">OFFSET($E$3:$AL$3,$D34,0)</f>
        <v>-18.72</v>
      </c>
      <c r="G34" s="14">
        <f t="shared" ca="1" si="3"/>
        <v>-18.71</v>
      </c>
      <c r="H34" s="14">
        <f t="shared" ca="1" si="3"/>
        <v>-18.71</v>
      </c>
      <c r="I34" s="14">
        <f t="shared" ca="1" si="3"/>
        <v>-18.71</v>
      </c>
      <c r="J34" s="14">
        <f t="shared" ca="1" si="3"/>
        <v>-18.73</v>
      </c>
      <c r="K34" s="14">
        <f t="shared" ca="1" si="3"/>
        <v>-18.739999999999998</v>
      </c>
      <c r="L34" s="14">
        <f t="shared" ca="1" si="3"/>
        <v>-18.760000000000002</v>
      </c>
      <c r="M34" s="14">
        <f t="shared" ca="1" si="3"/>
        <v>-18.79</v>
      </c>
      <c r="N34" s="14">
        <f t="shared" ca="1" si="3"/>
        <v>-18.809999999999999</v>
      </c>
      <c r="O34" s="14">
        <f t="shared" ca="1" si="3"/>
        <v>-18.93</v>
      </c>
      <c r="P34" s="14">
        <f t="shared" ca="1" si="3"/>
        <v>-18.97</v>
      </c>
      <c r="Q34" s="14">
        <f t="shared" ca="1" si="3"/>
        <v>-19</v>
      </c>
      <c r="R34" s="14">
        <f t="shared" ca="1" si="3"/>
        <v>-19.03</v>
      </c>
      <c r="S34" s="14">
        <f t="shared" ca="1" si="3"/>
        <v>-19.07</v>
      </c>
      <c r="T34" s="14">
        <f t="shared" ca="1" si="3"/>
        <v>-19.2</v>
      </c>
      <c r="U34" s="14">
        <f t="shared" ca="1" si="3"/>
        <v>-19.34</v>
      </c>
      <c r="V34" s="14">
        <f t="shared" ca="1" si="3"/>
        <v>-19.48</v>
      </c>
      <c r="W34" s="14">
        <f t="shared" ca="1" si="3"/>
        <v>-19.510000000000002</v>
      </c>
      <c r="X34" s="14">
        <f t="shared" ca="1" si="3"/>
        <v>-19.489999999999998</v>
      </c>
      <c r="Y34" s="14">
        <f t="shared" ca="1" si="3"/>
        <v>-19.5</v>
      </c>
      <c r="Z34" s="14">
        <f t="shared" ca="1" si="3"/>
        <v>-19.52</v>
      </c>
      <c r="AA34" s="14">
        <f t="shared" ca="1" si="3"/>
        <v>-19.55</v>
      </c>
      <c r="AB34" s="14">
        <f t="shared" ca="1" si="3"/>
        <v>-19.579999999999998</v>
      </c>
      <c r="AC34" s="14">
        <f t="shared" ca="1" si="3"/>
        <v>-19.61</v>
      </c>
      <c r="AD34" s="14">
        <f t="shared" ca="1" si="3"/>
        <v>-19.64</v>
      </c>
      <c r="AE34" s="14">
        <f t="shared" ca="1" si="3"/>
        <v>-19.760000000000002</v>
      </c>
      <c r="AF34" s="14">
        <f t="shared" ca="1" si="3"/>
        <v>-19.88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ref="D35:D37" si="4">MATCH(C35,$E$4:$E$33)</f>
        <v>15</v>
      </c>
      <c r="E35" s="11" t="str">
        <f t="shared" ref="E35:E37" ca="1" si="5">OFFSET($E$3:$AL$3,$D35,0)</f>
        <v>H (Ga)</v>
      </c>
      <c r="F35" s="14">
        <f t="shared" ca="1" si="3"/>
        <v>-66.760000000000005</v>
      </c>
      <c r="G35" s="14">
        <f t="shared" ca="1" si="3"/>
        <v>-63.28</v>
      </c>
      <c r="H35" s="14">
        <f t="shared" ca="1" si="3"/>
        <v>-60.18</v>
      </c>
      <c r="I35" s="14">
        <f t="shared" ca="1" si="3"/>
        <v>-57.4</v>
      </c>
      <c r="J35" s="14">
        <f t="shared" ca="1" si="3"/>
        <v>-54.91</v>
      </c>
      <c r="K35" s="14">
        <f t="shared" ca="1" si="3"/>
        <v>-51.53</v>
      </c>
      <c r="L35" s="14">
        <f t="shared" ca="1" si="3"/>
        <v>-48.17</v>
      </c>
      <c r="M35" s="14">
        <f t="shared" ca="1" si="3"/>
        <v>-45.06</v>
      </c>
      <c r="N35" s="14">
        <f t="shared" ca="1" si="3"/>
        <v>-42.19</v>
      </c>
      <c r="O35" s="14">
        <f t="shared" ca="1" si="3"/>
        <v>-32.53</v>
      </c>
      <c r="P35" s="14">
        <f t="shared" ca="1" si="3"/>
        <v>-30.48</v>
      </c>
      <c r="Q35" s="14">
        <f t="shared" ca="1" si="3"/>
        <v>-28.55</v>
      </c>
      <c r="R35" s="14">
        <f t="shared" ca="1" si="3"/>
        <v>-26.74</v>
      </c>
      <c r="S35" s="14">
        <f t="shared" ca="1" si="3"/>
        <v>-25.02</v>
      </c>
      <c r="T35" s="14">
        <f t="shared" ca="1" si="3"/>
        <v>-18.96</v>
      </c>
      <c r="U35" s="14">
        <f t="shared" ca="1" si="3"/>
        <v>-13.95</v>
      </c>
      <c r="V35" s="14">
        <f t="shared" ca="1" si="3"/>
        <v>-9.7059999999999995</v>
      </c>
      <c r="W35" s="14">
        <f t="shared" ca="1" si="3"/>
        <v>-8.7420000000000009</v>
      </c>
      <c r="X35" s="14">
        <f t="shared" ca="1" si="3"/>
        <v>-8.2560000000000002</v>
      </c>
      <c r="Y35" s="14">
        <f t="shared" ca="1" si="3"/>
        <v>-7.8470000000000004</v>
      </c>
      <c r="Z35" s="14">
        <f t="shared" ca="1" si="3"/>
        <v>-7.6349999999999998</v>
      </c>
      <c r="AA35" s="14">
        <f t="shared" ca="1" si="3"/>
        <v>-7.7149999999999999</v>
      </c>
      <c r="AB35" s="14">
        <f t="shared" ca="1" si="3"/>
        <v>-7.7960000000000003</v>
      </c>
      <c r="AC35" s="14">
        <f t="shared" ca="1" si="3"/>
        <v>-7.8789999999999996</v>
      </c>
      <c r="AD35" s="14">
        <f t="shared" ca="1" si="3"/>
        <v>-7.9630000000000001</v>
      </c>
      <c r="AE35" s="14">
        <f t="shared" ca="1" si="3"/>
        <v>-8.3190000000000008</v>
      </c>
      <c r="AF35" s="14">
        <f t="shared" ca="1" si="3"/>
        <v>-8.7249999999999996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4"/>
        <v>16</v>
      </c>
      <c r="E36" s="11" t="str">
        <f t="shared" ca="1" si="5"/>
        <v>H (Ge)</v>
      </c>
      <c r="F36" s="14">
        <f t="shared" ca="1" si="3"/>
        <v>-16.29</v>
      </c>
      <c r="G36" s="14">
        <f t="shared" ca="1" si="3"/>
        <v>-15.65</v>
      </c>
      <c r="H36" s="14">
        <f t="shared" ca="1" si="3"/>
        <v>-15.09</v>
      </c>
      <c r="I36" s="14">
        <f t="shared" ca="1" si="3"/>
        <v>-14.59</v>
      </c>
      <c r="J36" s="14">
        <f t="shared" ca="1" si="3"/>
        <v>-14.16</v>
      </c>
      <c r="K36" s="14">
        <f t="shared" ca="1" si="3"/>
        <v>-13.03</v>
      </c>
      <c r="L36" s="14">
        <f t="shared" ca="1" si="3"/>
        <v>-11.8</v>
      </c>
      <c r="M36" s="14">
        <f t="shared" ca="1" si="3"/>
        <v>-10.67</v>
      </c>
      <c r="N36" s="14">
        <f t="shared" ca="1" si="3"/>
        <v>-9.6150000000000002</v>
      </c>
      <c r="O36" s="14">
        <f t="shared" ca="1" si="3"/>
        <v>-6.04</v>
      </c>
      <c r="P36" s="14">
        <f t="shared" ca="1" si="3"/>
        <v>-5.2759999999999998</v>
      </c>
      <c r="Q36" s="14">
        <f t="shared" ca="1" si="3"/>
        <v>-4.5529999999999999</v>
      </c>
      <c r="R36" s="14">
        <f t="shared" ca="1" si="3"/>
        <v>-4.1150000000000002</v>
      </c>
      <c r="S36" s="14">
        <f t="shared" ca="1" si="3"/>
        <v>-4.1550000000000002</v>
      </c>
      <c r="T36" s="14">
        <f t="shared" ca="1" si="3"/>
        <v>-4.3170000000000002</v>
      </c>
      <c r="U36" s="14">
        <f t="shared" ca="1" si="3"/>
        <v>-4.4809999999999999</v>
      </c>
      <c r="V36" s="14">
        <f t="shared" ca="1" si="3"/>
        <v>-4.6429999999999998</v>
      </c>
      <c r="W36" s="14">
        <f t="shared" ca="1" si="3"/>
        <v>-4.6829999999999998</v>
      </c>
      <c r="X36" s="14">
        <f t="shared" ca="1" si="3"/>
        <v>-4.7220000000000004</v>
      </c>
      <c r="Y36" s="14">
        <f t="shared" ca="1" si="3"/>
        <v>-4.7619999999999996</v>
      </c>
      <c r="Z36" s="14">
        <f t="shared" ca="1" si="3"/>
        <v>-4.8010000000000002</v>
      </c>
      <c r="AA36" s="14">
        <f t="shared" ca="1" si="3"/>
        <v>-4.84</v>
      </c>
      <c r="AB36" s="14">
        <f t="shared" ca="1" si="3"/>
        <v>-4.8780000000000001</v>
      </c>
      <c r="AC36" s="14">
        <f t="shared" ca="1" si="3"/>
        <v>-4.9169999999999998</v>
      </c>
      <c r="AD36" s="14">
        <f t="shared" ca="1" si="3"/>
        <v>-4.9550000000000001</v>
      </c>
      <c r="AE36" s="14">
        <f t="shared" ca="1" si="3"/>
        <v>-5.1040000000000001</v>
      </c>
      <c r="AF36" s="14">
        <f t="shared" ca="1" si="3"/>
        <v>-5.2489999999999997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17</v>
      </c>
      <c r="E37" s="11" t="str">
        <f t="shared" ca="1" si="5"/>
        <v>H (Se)</v>
      </c>
      <c r="F37" s="14">
        <f t="shared" ca="1" si="3"/>
        <v>-23.52</v>
      </c>
      <c r="G37" s="14">
        <f t="shared" ca="1" si="3"/>
        <v>-22.41</v>
      </c>
      <c r="H37" s="14">
        <f t="shared" ca="1" si="3"/>
        <v>-21.42</v>
      </c>
      <c r="I37" s="14">
        <f t="shared" ca="1" si="3"/>
        <v>-20.54</v>
      </c>
      <c r="J37" s="14">
        <f t="shared" ca="1" si="3"/>
        <v>-19.760000000000002</v>
      </c>
      <c r="K37" s="14">
        <f t="shared" ca="1" si="3"/>
        <v>-19.79</v>
      </c>
      <c r="L37" s="14">
        <f t="shared" ca="1" si="3"/>
        <v>-20.03</v>
      </c>
      <c r="M37" s="14">
        <f t="shared" ca="1" si="3"/>
        <v>-20.28</v>
      </c>
      <c r="N37" s="14">
        <f t="shared" ca="1" si="3"/>
        <v>-20.52</v>
      </c>
      <c r="O37" s="14">
        <f t="shared" ca="1" si="3"/>
        <v>-21.52</v>
      </c>
      <c r="P37" s="14">
        <f t="shared" ca="1" si="3"/>
        <v>-21.77</v>
      </c>
      <c r="Q37" s="14">
        <f t="shared" ca="1" si="3"/>
        <v>-22.02</v>
      </c>
      <c r="R37" s="14">
        <f t="shared" ca="1" si="3"/>
        <v>-22.27</v>
      </c>
      <c r="S37" s="14">
        <f t="shared" ca="1" si="3"/>
        <v>-22.51</v>
      </c>
      <c r="T37" s="14">
        <f t="shared" ca="1" si="3"/>
        <v>-23.48</v>
      </c>
      <c r="U37" s="14">
        <f t="shared" ca="1" si="3"/>
        <v>-24.41</v>
      </c>
      <c r="V37" s="14">
        <f t="shared" ca="1" si="3"/>
        <v>-25.31</v>
      </c>
      <c r="W37" s="14">
        <f t="shared" ca="1" si="3"/>
        <v>-25.53</v>
      </c>
      <c r="X37" s="14">
        <f t="shared" ca="1" si="3"/>
        <v>-25.75</v>
      </c>
      <c r="Y37" s="14">
        <f t="shared" ca="1" si="3"/>
        <v>-25.96</v>
      </c>
      <c r="Z37" s="14">
        <f t="shared" ca="1" si="3"/>
        <v>-26.18</v>
      </c>
      <c r="AA37" s="14">
        <f t="shared" ca="1" si="3"/>
        <v>-26.39</v>
      </c>
      <c r="AB37" s="14">
        <f t="shared" ca="1" si="3"/>
        <v>-26.6</v>
      </c>
      <c r="AC37" s="14">
        <f t="shared" ca="1" si="3"/>
        <v>-26.81</v>
      </c>
      <c r="AD37" s="14">
        <f t="shared" ca="1" si="3"/>
        <v>-27.02</v>
      </c>
      <c r="AE37" s="14">
        <f t="shared" ca="1" si="3"/>
        <v>-27.83</v>
      </c>
      <c r="AF37" s="14">
        <f t="shared" ca="1" si="3"/>
        <v>-28.62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289.7</v>
      </c>
      <c r="H40" s="8">
        <f t="shared" si="6"/>
        <v>306.2</v>
      </c>
      <c r="I40" s="8">
        <f t="shared" si="6"/>
        <v>322.7</v>
      </c>
      <c r="J40" s="8">
        <f t="shared" si="6"/>
        <v>339.2</v>
      </c>
      <c r="K40" s="8">
        <f t="shared" si="6"/>
        <v>355.7</v>
      </c>
      <c r="L40" s="8">
        <f t="shared" si="6"/>
        <v>372.3</v>
      </c>
      <c r="M40" s="8">
        <f t="shared" si="6"/>
        <v>388.8</v>
      </c>
      <c r="N40" s="8">
        <f t="shared" si="6"/>
        <v>405.3</v>
      </c>
      <c r="O40" s="8">
        <f t="shared" si="6"/>
        <v>471.4</v>
      </c>
      <c r="P40" s="8">
        <f t="shared" si="6"/>
        <v>487.9</v>
      </c>
      <c r="Q40" s="8">
        <f t="shared" si="6"/>
        <v>504.4</v>
      </c>
      <c r="R40" s="8">
        <f t="shared" si="6"/>
        <v>520.9</v>
      </c>
      <c r="S40" s="8">
        <f t="shared" si="6"/>
        <v>537.5</v>
      </c>
      <c r="T40" s="8">
        <f t="shared" si="6"/>
        <v>603.5</v>
      </c>
      <c r="U40" s="8">
        <f t="shared" si="6"/>
        <v>669.6</v>
      </c>
      <c r="V40" s="8">
        <f t="shared" si="6"/>
        <v>735.7</v>
      </c>
      <c r="W40" s="8">
        <f t="shared" si="6"/>
        <v>752.2</v>
      </c>
      <c r="X40" s="8">
        <f t="shared" si="6"/>
        <v>768.7</v>
      </c>
      <c r="Y40" s="8">
        <f t="shared" si="6"/>
        <v>785.2</v>
      </c>
      <c r="Z40" s="8">
        <f t="shared" si="6"/>
        <v>801.8</v>
      </c>
      <c r="AA40" s="8">
        <f t="shared" si="6"/>
        <v>818.3</v>
      </c>
      <c r="AB40" s="8">
        <f t="shared" si="6"/>
        <v>834.8</v>
      </c>
      <c r="AC40" s="8">
        <f t="shared" si="6"/>
        <v>851.3</v>
      </c>
      <c r="AD40" s="8">
        <f t="shared" si="6"/>
        <v>867.8</v>
      </c>
      <c r="AE40" s="8">
        <f t="shared" si="6"/>
        <v>933.9</v>
      </c>
      <c r="AF40" s="8">
        <f t="shared" si="6"/>
        <v>1000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7">($B$41*H.Ge+$C$41*H.Ga+$D$41*H.Se)*F$40*$B$2/1000</f>
        <v>-150.19965250692857</v>
      </c>
      <c r="G41" s="10">
        <f t="shared" ca="1" si="7"/>
        <v>-152.00684709107145</v>
      </c>
      <c r="H41" s="10">
        <f t="shared" ca="1" si="7"/>
        <v>-153.7905389592857</v>
      </c>
      <c r="I41" s="10">
        <f t="shared" ca="1" si="7"/>
        <v>-155.62300368449999</v>
      </c>
      <c r="J41" s="10">
        <f t="shared" ca="1" si="7"/>
        <v>-157.59312802285712</v>
      </c>
      <c r="K41" s="10">
        <f t="shared" ca="1" si="7"/>
        <v>-160.64119284042857</v>
      </c>
      <c r="L41" s="10">
        <f t="shared" ca="1" si="7"/>
        <v>-164.11837019078575</v>
      </c>
      <c r="M41" s="10">
        <f t="shared" ca="1" si="7"/>
        <v>-167.68822333371429</v>
      </c>
      <c r="N41" s="10">
        <f t="shared" ca="1" si="7"/>
        <v>-171.25422626925001</v>
      </c>
      <c r="O41" s="10">
        <f t="shared" ca="1" si="7"/>
        <v>-186.48208395214283</v>
      </c>
      <c r="P41" s="10">
        <f t="shared" ca="1" si="7"/>
        <v>-190.46062066380003</v>
      </c>
      <c r="Q41" s="10">
        <f t="shared" ca="1" si="7"/>
        <v>-194.51061076311427</v>
      </c>
      <c r="R41" s="10">
        <f t="shared" ca="1" si="7"/>
        <v>-199.7127535991786</v>
      </c>
      <c r="S41" s="10">
        <f t="shared" ca="1" si="7"/>
        <v>-206.99652997767859</v>
      </c>
      <c r="T41" s="10">
        <f t="shared" ca="1" si="7"/>
        <v>-237.22656605775003</v>
      </c>
      <c r="U41" s="10">
        <f t="shared" ca="1" si="7"/>
        <v>-269.01386012005719</v>
      </c>
      <c r="V41" s="10">
        <f t="shared" ca="1" si="7"/>
        <v>-302.28967536164998</v>
      </c>
      <c r="W41" s="10">
        <f t="shared" ca="1" si="7"/>
        <v>-310.81690623895719</v>
      </c>
      <c r="X41" s="10">
        <f t="shared" ca="1" si="7"/>
        <v>-319.8508532723572</v>
      </c>
      <c r="Y41" s="10">
        <f t="shared" ca="1" si="7"/>
        <v>-328.94635587505724</v>
      </c>
      <c r="Z41" s="10">
        <f t="shared" ca="1" si="7"/>
        <v>-338.47298929602852</v>
      </c>
      <c r="AA41" s="10">
        <f t="shared" ca="1" si="7"/>
        <v>-348.23077828875</v>
      </c>
      <c r="AB41" s="10">
        <f t="shared" ca="1" si="7"/>
        <v>-358.09523067617147</v>
      </c>
      <c r="AC41" s="10">
        <f t="shared" ca="1" si="7"/>
        <v>-368.08116111561429</v>
      </c>
      <c r="AD41" s="10">
        <f t="shared" ca="1" si="7"/>
        <v>-378.1736373589714</v>
      </c>
      <c r="AE41" s="10">
        <f t="shared" ca="1" si="7"/>
        <v>-419.31298861155</v>
      </c>
      <c r="AF41" s="10">
        <f t="shared" ca="1" si="7"/>
        <v>-461.93936657142854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</v>
      </c>
      <c r="F45" s="3">
        <f t="shared" si="8"/>
        <v>273.10000000000002</v>
      </c>
      <c r="G45" s="3">
        <f t="shared" si="8"/>
        <v>289.7</v>
      </c>
      <c r="H45" s="3">
        <f t="shared" si="8"/>
        <v>306.2</v>
      </c>
      <c r="I45" s="3">
        <f t="shared" si="8"/>
        <v>322.7</v>
      </c>
      <c r="J45" s="3">
        <f t="shared" si="8"/>
        <v>339.2</v>
      </c>
      <c r="K45" s="3">
        <f t="shared" si="8"/>
        <v>355.7</v>
      </c>
      <c r="L45" s="3">
        <f t="shared" si="8"/>
        <v>372.3</v>
      </c>
      <c r="M45" s="3">
        <f t="shared" si="8"/>
        <v>388.8</v>
      </c>
      <c r="N45" s="3">
        <f t="shared" si="8"/>
        <v>405.3</v>
      </c>
      <c r="O45" s="3">
        <f t="shared" si="8"/>
        <v>471.4</v>
      </c>
      <c r="P45" s="3">
        <f t="shared" si="8"/>
        <v>487.9</v>
      </c>
      <c r="Q45" s="3">
        <f t="shared" si="8"/>
        <v>504.4</v>
      </c>
      <c r="R45" s="3">
        <f t="shared" si="8"/>
        <v>520.9</v>
      </c>
      <c r="S45" s="3">
        <f t="shared" si="8"/>
        <v>537.5</v>
      </c>
      <c r="T45" s="3">
        <f t="shared" si="8"/>
        <v>603.5</v>
      </c>
      <c r="U45" s="3">
        <f t="shared" si="8"/>
        <v>669.6</v>
      </c>
      <c r="V45" s="3">
        <f t="shared" si="8"/>
        <v>735.7</v>
      </c>
      <c r="W45" s="3">
        <f t="shared" si="8"/>
        <v>752.2</v>
      </c>
      <c r="X45" s="3">
        <f t="shared" si="8"/>
        <v>768.7</v>
      </c>
      <c r="Y45" s="3">
        <f t="shared" si="8"/>
        <v>785.2</v>
      </c>
      <c r="Z45" s="3">
        <f t="shared" si="8"/>
        <v>801.8</v>
      </c>
      <c r="AA45" s="3">
        <f t="shared" si="8"/>
        <v>818.3</v>
      </c>
      <c r="AB45" s="3">
        <f t="shared" si="8"/>
        <v>834.8</v>
      </c>
      <c r="AC45" s="3">
        <f t="shared" si="8"/>
        <v>851.3</v>
      </c>
      <c r="AD45" s="3">
        <f t="shared" si="8"/>
        <v>867.8</v>
      </c>
      <c r="AE45" s="3">
        <f t="shared" si="8"/>
        <v>933.9</v>
      </c>
      <c r="AF45" s="3">
        <f t="shared" si="8"/>
        <v>1000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1</v>
      </c>
      <c r="D46" s="5">
        <f t="shared" si="9"/>
        <v>0</v>
      </c>
      <c r="E46" s="6" t="str">
        <f t="shared" si="9"/>
        <v>*Ge[1]</v>
      </c>
      <c r="F46" s="14">
        <f t="shared" ref="F46:U55" ca="1" si="10">$A46*H.Ar + $B46*H.Se + $C46*H.Ge + $D46*H.Ga</f>
        <v>-16.29</v>
      </c>
      <c r="G46" s="14">
        <f t="shared" ca="1" si="10"/>
        <v>-15.65</v>
      </c>
      <c r="H46" s="14">
        <f t="shared" ca="1" si="10"/>
        <v>-15.09</v>
      </c>
      <c r="I46" s="14">
        <f t="shared" ca="1" si="10"/>
        <v>-14.59</v>
      </c>
      <c r="J46" s="14">
        <f t="shared" ca="1" si="10"/>
        <v>-14.16</v>
      </c>
      <c r="K46" s="14">
        <f t="shared" ca="1" si="10"/>
        <v>-13.03</v>
      </c>
      <c r="L46" s="14">
        <f t="shared" ca="1" si="10"/>
        <v>-11.8</v>
      </c>
      <c r="M46" s="14">
        <f t="shared" ca="1" si="10"/>
        <v>-10.67</v>
      </c>
      <c r="N46" s="14">
        <f t="shared" ca="1" si="10"/>
        <v>-9.6150000000000002</v>
      </c>
      <c r="O46" s="14">
        <f t="shared" ca="1" si="10"/>
        <v>-6.04</v>
      </c>
      <c r="P46" s="14">
        <f t="shared" ca="1" si="10"/>
        <v>-5.2759999999999998</v>
      </c>
      <c r="Q46" s="14">
        <f t="shared" ca="1" si="10"/>
        <v>-4.5529999999999999</v>
      </c>
      <c r="R46" s="14">
        <f t="shared" ca="1" si="10"/>
        <v>-4.1150000000000002</v>
      </c>
      <c r="S46" s="14">
        <f t="shared" ca="1" si="10"/>
        <v>-4.1550000000000002</v>
      </c>
      <c r="T46" s="14">
        <f t="shared" ca="1" si="10"/>
        <v>-4.3170000000000002</v>
      </c>
      <c r="U46" s="14">
        <f t="shared" ca="1" si="10"/>
        <v>-4.4809999999999999</v>
      </c>
      <c r="V46" s="14">
        <f t="shared" ref="V46:AL46" ca="1" si="11">$A46*H.Ar + $B46*H.Se + $C46*H.Ge + $D46*H.Ga</f>
        <v>-4.6429999999999998</v>
      </c>
      <c r="W46" s="14">
        <f t="shared" ca="1" si="11"/>
        <v>-4.6829999999999998</v>
      </c>
      <c r="X46" s="14">
        <f t="shared" ca="1" si="11"/>
        <v>-4.7220000000000004</v>
      </c>
      <c r="Y46" s="14">
        <f t="shared" ca="1" si="11"/>
        <v>-4.7619999999999996</v>
      </c>
      <c r="Z46" s="14">
        <f t="shared" ca="1" si="11"/>
        <v>-4.8010000000000002</v>
      </c>
      <c r="AA46" s="14">
        <f t="shared" ca="1" si="11"/>
        <v>-4.84</v>
      </c>
      <c r="AB46" s="14">
        <f t="shared" ca="1" si="11"/>
        <v>-4.8780000000000001</v>
      </c>
      <c r="AC46" s="14">
        <f t="shared" ca="1" si="11"/>
        <v>-4.9169999999999998</v>
      </c>
      <c r="AD46" s="14">
        <f t="shared" ca="1" si="11"/>
        <v>-4.9550000000000001</v>
      </c>
      <c r="AE46" s="14">
        <f t="shared" ca="1" si="11"/>
        <v>-5.1040000000000001</v>
      </c>
      <c r="AF46" s="14">
        <f t="shared" ca="1" si="11"/>
        <v>-5.2489999999999997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1</v>
      </c>
      <c r="D47" s="5">
        <f t="shared" si="9"/>
        <v>0</v>
      </c>
      <c r="E47" s="6" t="str">
        <f t="shared" si="9"/>
        <v>*Ge</v>
      </c>
      <c r="F47" s="14">
        <f t="shared" ca="1" si="10"/>
        <v>-16.29</v>
      </c>
      <c r="G47" s="14">
        <f t="shared" ref="G47:AL54" ca="1" si="12">$A47*H.Ar + $B47*H.Se + $C47*H.Ge + $D47*H.Ga</f>
        <v>-15.65</v>
      </c>
      <c r="H47" s="14">
        <f t="shared" ca="1" si="12"/>
        <v>-15.09</v>
      </c>
      <c r="I47" s="14">
        <f t="shared" ca="1" si="12"/>
        <v>-14.59</v>
      </c>
      <c r="J47" s="14">
        <f t="shared" ca="1" si="12"/>
        <v>-14.16</v>
      </c>
      <c r="K47" s="14">
        <f t="shared" ca="1" si="12"/>
        <v>-13.03</v>
      </c>
      <c r="L47" s="14">
        <f t="shared" ca="1" si="12"/>
        <v>-11.8</v>
      </c>
      <c r="M47" s="14">
        <f t="shared" ca="1" si="12"/>
        <v>-10.67</v>
      </c>
      <c r="N47" s="14">
        <f t="shared" ca="1" si="12"/>
        <v>-9.6150000000000002</v>
      </c>
      <c r="O47" s="14">
        <f t="shared" ca="1" si="12"/>
        <v>-6.04</v>
      </c>
      <c r="P47" s="14">
        <f t="shared" ca="1" si="12"/>
        <v>-5.2759999999999998</v>
      </c>
      <c r="Q47" s="14">
        <f t="shared" ca="1" si="12"/>
        <v>-4.5529999999999999</v>
      </c>
      <c r="R47" s="14">
        <f t="shared" ca="1" si="12"/>
        <v>-4.1150000000000002</v>
      </c>
      <c r="S47" s="14">
        <f t="shared" ca="1" si="12"/>
        <v>-4.1550000000000002</v>
      </c>
      <c r="T47" s="14">
        <f t="shared" ca="1" si="12"/>
        <v>-4.3170000000000002</v>
      </c>
      <c r="U47" s="14">
        <f t="shared" ca="1" si="12"/>
        <v>-4.4809999999999999</v>
      </c>
      <c r="V47" s="14">
        <f t="shared" ca="1" si="12"/>
        <v>-4.6429999999999998</v>
      </c>
      <c r="W47" s="14">
        <f t="shared" ca="1" si="12"/>
        <v>-4.6829999999999998</v>
      </c>
      <c r="X47" s="14">
        <f t="shared" ca="1" si="12"/>
        <v>-4.7220000000000004</v>
      </c>
      <c r="Y47" s="14">
        <f t="shared" ca="1" si="12"/>
        <v>-4.7619999999999996</v>
      </c>
      <c r="Z47" s="14">
        <f t="shared" ca="1" si="12"/>
        <v>-4.8010000000000002</v>
      </c>
      <c r="AA47" s="14">
        <f t="shared" ca="1" si="12"/>
        <v>-4.84</v>
      </c>
      <c r="AB47" s="14">
        <f t="shared" ca="1" si="12"/>
        <v>-4.8780000000000001</v>
      </c>
      <c r="AC47" s="14">
        <f t="shared" ca="1" si="12"/>
        <v>-4.9169999999999998</v>
      </c>
      <c r="AD47" s="14">
        <f t="shared" ca="1" si="12"/>
        <v>-4.9550000000000001</v>
      </c>
      <c r="AE47" s="14">
        <f t="shared" ca="1" si="12"/>
        <v>-5.1040000000000001</v>
      </c>
      <c r="AF47" s="14">
        <f t="shared" ca="1" si="12"/>
        <v>-5.2489999999999997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1</v>
      </c>
      <c r="C48" s="5">
        <f t="shared" si="9"/>
        <v>1</v>
      </c>
      <c r="D48" s="5">
        <f t="shared" si="9"/>
        <v>0</v>
      </c>
      <c r="E48" s="6" t="str">
        <f t="shared" si="9"/>
        <v>*GeSe</v>
      </c>
      <c r="F48" s="14">
        <f t="shared" ca="1" si="10"/>
        <v>-39.81</v>
      </c>
      <c r="G48" s="14">
        <f t="shared" ca="1" si="12"/>
        <v>-38.06</v>
      </c>
      <c r="H48" s="14">
        <f t="shared" ca="1" si="12"/>
        <v>-36.510000000000005</v>
      </c>
      <c r="I48" s="14">
        <f t="shared" ca="1" si="12"/>
        <v>-35.129999999999995</v>
      </c>
      <c r="J48" s="14">
        <f t="shared" ca="1" si="12"/>
        <v>-33.92</v>
      </c>
      <c r="K48" s="14">
        <f t="shared" ca="1" si="12"/>
        <v>-32.82</v>
      </c>
      <c r="L48" s="14">
        <f t="shared" ca="1" si="12"/>
        <v>-31.830000000000002</v>
      </c>
      <c r="M48" s="14">
        <f t="shared" ca="1" si="12"/>
        <v>-30.950000000000003</v>
      </c>
      <c r="N48" s="14">
        <f t="shared" ca="1" si="12"/>
        <v>-30.134999999999998</v>
      </c>
      <c r="O48" s="14">
        <f t="shared" ca="1" si="12"/>
        <v>-27.56</v>
      </c>
      <c r="P48" s="14">
        <f t="shared" ca="1" si="12"/>
        <v>-27.045999999999999</v>
      </c>
      <c r="Q48" s="14">
        <f t="shared" ca="1" si="12"/>
        <v>-26.573</v>
      </c>
      <c r="R48" s="14">
        <f t="shared" ca="1" si="12"/>
        <v>-26.384999999999998</v>
      </c>
      <c r="S48" s="14">
        <f t="shared" ca="1" si="12"/>
        <v>-26.665000000000003</v>
      </c>
      <c r="T48" s="14">
        <f t="shared" ca="1" si="12"/>
        <v>-27.797000000000001</v>
      </c>
      <c r="U48" s="14">
        <f t="shared" ca="1" si="12"/>
        <v>-28.890999999999998</v>
      </c>
      <c r="V48" s="14">
        <f t="shared" ca="1" si="12"/>
        <v>-29.952999999999999</v>
      </c>
      <c r="W48" s="14">
        <f t="shared" ca="1" si="12"/>
        <v>-30.213000000000001</v>
      </c>
      <c r="X48" s="14">
        <f t="shared" ca="1" si="12"/>
        <v>-30.472000000000001</v>
      </c>
      <c r="Y48" s="14">
        <f t="shared" ca="1" si="12"/>
        <v>-30.722000000000001</v>
      </c>
      <c r="Z48" s="14">
        <f t="shared" ca="1" si="12"/>
        <v>-30.981000000000002</v>
      </c>
      <c r="AA48" s="14">
        <f t="shared" ca="1" si="12"/>
        <v>-31.23</v>
      </c>
      <c r="AB48" s="14">
        <f t="shared" ca="1" si="12"/>
        <v>-31.478000000000002</v>
      </c>
      <c r="AC48" s="14">
        <f t="shared" ca="1" si="12"/>
        <v>-31.726999999999997</v>
      </c>
      <c r="AD48" s="14">
        <f t="shared" ca="1" si="12"/>
        <v>-31.975000000000001</v>
      </c>
      <c r="AE48" s="14">
        <f t="shared" ca="1" si="12"/>
        <v>-32.933999999999997</v>
      </c>
      <c r="AF48" s="14">
        <f t="shared" ca="1" si="12"/>
        <v>-33.869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1</v>
      </c>
      <c r="E49" s="6" t="str">
        <f t="shared" si="9"/>
        <v>*Ga[1]</v>
      </c>
      <c r="F49" s="14">
        <f t="shared" ca="1" si="10"/>
        <v>-66.760000000000005</v>
      </c>
      <c r="G49" s="14">
        <f t="shared" ca="1" si="12"/>
        <v>-63.28</v>
      </c>
      <c r="H49" s="14">
        <f t="shared" ca="1" si="12"/>
        <v>-60.18</v>
      </c>
      <c r="I49" s="14">
        <f t="shared" ca="1" si="12"/>
        <v>-57.4</v>
      </c>
      <c r="J49" s="14">
        <f t="shared" ca="1" si="12"/>
        <v>-54.91</v>
      </c>
      <c r="K49" s="14">
        <f t="shared" ca="1" si="12"/>
        <v>-51.53</v>
      </c>
      <c r="L49" s="14">
        <f t="shared" ca="1" si="12"/>
        <v>-48.17</v>
      </c>
      <c r="M49" s="14">
        <f t="shared" ca="1" si="12"/>
        <v>-45.06</v>
      </c>
      <c r="N49" s="14">
        <f t="shared" ca="1" si="12"/>
        <v>-42.19</v>
      </c>
      <c r="O49" s="14">
        <f t="shared" ca="1" si="12"/>
        <v>-32.53</v>
      </c>
      <c r="P49" s="14">
        <f t="shared" ca="1" si="12"/>
        <v>-30.48</v>
      </c>
      <c r="Q49" s="14">
        <f t="shared" ca="1" si="12"/>
        <v>-28.55</v>
      </c>
      <c r="R49" s="14">
        <f t="shared" ca="1" si="12"/>
        <v>-26.74</v>
      </c>
      <c r="S49" s="14">
        <f t="shared" ca="1" si="12"/>
        <v>-25.02</v>
      </c>
      <c r="T49" s="14">
        <f t="shared" ca="1" si="12"/>
        <v>-18.96</v>
      </c>
      <c r="U49" s="14">
        <f t="shared" ca="1" si="12"/>
        <v>-13.95</v>
      </c>
      <c r="V49" s="14">
        <f t="shared" ca="1" si="12"/>
        <v>-9.7059999999999995</v>
      </c>
      <c r="W49" s="14">
        <f t="shared" ca="1" si="12"/>
        <v>-8.7420000000000009</v>
      </c>
      <c r="X49" s="14">
        <f t="shared" ca="1" si="12"/>
        <v>-8.2560000000000002</v>
      </c>
      <c r="Y49" s="14">
        <f t="shared" ca="1" si="12"/>
        <v>-7.8470000000000004</v>
      </c>
      <c r="Z49" s="14">
        <f t="shared" ca="1" si="12"/>
        <v>-7.6349999999999998</v>
      </c>
      <c r="AA49" s="14">
        <f t="shared" ca="1" si="12"/>
        <v>-7.7149999999999999</v>
      </c>
      <c r="AB49" s="14">
        <f t="shared" ca="1" si="12"/>
        <v>-7.7960000000000003</v>
      </c>
      <c r="AC49" s="14">
        <f t="shared" ca="1" si="12"/>
        <v>-7.8789999999999996</v>
      </c>
      <c r="AD49" s="14">
        <f t="shared" ca="1" si="12"/>
        <v>-7.9630000000000001</v>
      </c>
      <c r="AE49" s="14">
        <f t="shared" ca="1" si="12"/>
        <v>-8.3190000000000008</v>
      </c>
      <c r="AF49" s="14">
        <f t="shared" ca="1" si="12"/>
        <v>-8.7249999999999996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1</v>
      </c>
      <c r="C50" s="5">
        <f t="shared" si="9"/>
        <v>0</v>
      </c>
      <c r="D50" s="5">
        <f t="shared" si="9"/>
        <v>2</v>
      </c>
      <c r="E50" s="6" t="str">
        <f t="shared" si="9"/>
        <v>*Ga2Se</v>
      </c>
      <c r="F50" s="14">
        <f t="shared" ca="1" si="10"/>
        <v>-157.04000000000002</v>
      </c>
      <c r="G50" s="14">
        <f t="shared" ca="1" si="12"/>
        <v>-148.97</v>
      </c>
      <c r="H50" s="14">
        <f t="shared" ca="1" si="12"/>
        <v>-141.78</v>
      </c>
      <c r="I50" s="14">
        <f t="shared" ca="1" si="12"/>
        <v>-135.34</v>
      </c>
      <c r="J50" s="14">
        <f t="shared" ca="1" si="12"/>
        <v>-129.57999999999998</v>
      </c>
      <c r="K50" s="14">
        <f t="shared" ca="1" si="12"/>
        <v>-122.85</v>
      </c>
      <c r="L50" s="14">
        <f t="shared" ca="1" si="12"/>
        <v>-116.37</v>
      </c>
      <c r="M50" s="14">
        <f t="shared" ca="1" si="12"/>
        <v>-110.4</v>
      </c>
      <c r="N50" s="14">
        <f t="shared" ca="1" si="12"/>
        <v>-104.89999999999999</v>
      </c>
      <c r="O50" s="14">
        <f t="shared" ca="1" si="12"/>
        <v>-86.58</v>
      </c>
      <c r="P50" s="14">
        <f t="shared" ca="1" si="12"/>
        <v>-82.73</v>
      </c>
      <c r="Q50" s="14">
        <f t="shared" ca="1" si="12"/>
        <v>-79.12</v>
      </c>
      <c r="R50" s="14">
        <f t="shared" ca="1" si="12"/>
        <v>-75.75</v>
      </c>
      <c r="S50" s="14">
        <f t="shared" ca="1" si="12"/>
        <v>-72.55</v>
      </c>
      <c r="T50" s="14">
        <f t="shared" ca="1" si="12"/>
        <v>-61.400000000000006</v>
      </c>
      <c r="U50" s="14">
        <f t="shared" ca="1" si="12"/>
        <v>-52.31</v>
      </c>
      <c r="V50" s="14">
        <f t="shared" ca="1" si="12"/>
        <v>-44.721999999999994</v>
      </c>
      <c r="W50" s="14">
        <f t="shared" ca="1" si="12"/>
        <v>-43.014000000000003</v>
      </c>
      <c r="X50" s="14">
        <f t="shared" ca="1" si="12"/>
        <v>-42.262</v>
      </c>
      <c r="Y50" s="14">
        <f t="shared" ca="1" si="12"/>
        <v>-41.654000000000003</v>
      </c>
      <c r="Z50" s="14">
        <f t="shared" ca="1" si="12"/>
        <v>-41.45</v>
      </c>
      <c r="AA50" s="14">
        <f t="shared" ca="1" si="12"/>
        <v>-41.82</v>
      </c>
      <c r="AB50" s="14">
        <f t="shared" ca="1" si="12"/>
        <v>-42.192</v>
      </c>
      <c r="AC50" s="14">
        <f t="shared" ca="1" si="12"/>
        <v>-42.567999999999998</v>
      </c>
      <c r="AD50" s="14">
        <f t="shared" ca="1" si="12"/>
        <v>-42.945999999999998</v>
      </c>
      <c r="AE50" s="14">
        <f t="shared" ca="1" si="12"/>
        <v>-44.468000000000004</v>
      </c>
      <c r="AF50" s="14">
        <f t="shared" ca="1" si="12"/>
        <v>-46.07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1</v>
      </c>
      <c r="D51" s="5">
        <f t="shared" si="9"/>
        <v>0</v>
      </c>
      <c r="E51" s="6" t="str">
        <f t="shared" si="9"/>
        <v>*Ge[c]</v>
      </c>
      <c r="F51" s="14">
        <f t="shared" ca="1" si="10"/>
        <v>-16.29</v>
      </c>
      <c r="G51" s="14">
        <f t="shared" ca="1" si="12"/>
        <v>-15.65</v>
      </c>
      <c r="H51" s="14">
        <f t="shared" ca="1" si="12"/>
        <v>-15.09</v>
      </c>
      <c r="I51" s="14">
        <f t="shared" ca="1" si="12"/>
        <v>-14.59</v>
      </c>
      <c r="J51" s="14">
        <f t="shared" ca="1" si="12"/>
        <v>-14.16</v>
      </c>
      <c r="K51" s="14">
        <f t="shared" ca="1" si="12"/>
        <v>-13.03</v>
      </c>
      <c r="L51" s="14">
        <f t="shared" ca="1" si="12"/>
        <v>-11.8</v>
      </c>
      <c r="M51" s="14">
        <f t="shared" ca="1" si="12"/>
        <v>-10.67</v>
      </c>
      <c r="N51" s="14">
        <f t="shared" ca="1" si="12"/>
        <v>-9.6150000000000002</v>
      </c>
      <c r="O51" s="14">
        <f t="shared" ca="1" si="12"/>
        <v>-6.04</v>
      </c>
      <c r="P51" s="14">
        <f t="shared" ca="1" si="12"/>
        <v>-5.2759999999999998</v>
      </c>
      <c r="Q51" s="14">
        <f t="shared" ca="1" si="12"/>
        <v>-4.5529999999999999</v>
      </c>
      <c r="R51" s="14">
        <f t="shared" ca="1" si="12"/>
        <v>-4.1150000000000002</v>
      </c>
      <c r="S51" s="14">
        <f t="shared" ca="1" si="12"/>
        <v>-4.1550000000000002</v>
      </c>
      <c r="T51" s="14">
        <f t="shared" ca="1" si="12"/>
        <v>-4.3170000000000002</v>
      </c>
      <c r="U51" s="14">
        <f t="shared" ca="1" si="12"/>
        <v>-4.4809999999999999</v>
      </c>
      <c r="V51" s="14">
        <f t="shared" ca="1" si="12"/>
        <v>-4.6429999999999998</v>
      </c>
      <c r="W51" s="14">
        <f t="shared" ca="1" si="12"/>
        <v>-4.6829999999999998</v>
      </c>
      <c r="X51" s="14">
        <f t="shared" ca="1" si="12"/>
        <v>-4.7220000000000004</v>
      </c>
      <c r="Y51" s="14">
        <f t="shared" ca="1" si="12"/>
        <v>-4.7619999999999996</v>
      </c>
      <c r="Z51" s="14">
        <f t="shared" ca="1" si="12"/>
        <v>-4.8010000000000002</v>
      </c>
      <c r="AA51" s="14">
        <f t="shared" ca="1" si="12"/>
        <v>-4.84</v>
      </c>
      <c r="AB51" s="14">
        <f t="shared" ca="1" si="12"/>
        <v>-4.8780000000000001</v>
      </c>
      <c r="AC51" s="14">
        <f t="shared" ca="1" si="12"/>
        <v>-4.9169999999999998</v>
      </c>
      <c r="AD51" s="14">
        <f t="shared" ca="1" si="12"/>
        <v>-4.9550000000000001</v>
      </c>
      <c r="AE51" s="14">
        <f t="shared" ca="1" si="12"/>
        <v>-5.1040000000000001</v>
      </c>
      <c r="AF51" s="14">
        <f t="shared" ca="1" si="12"/>
        <v>-5.2489999999999997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1</v>
      </c>
      <c r="C52" s="5">
        <f t="shared" si="9"/>
        <v>0</v>
      </c>
      <c r="D52" s="5">
        <f t="shared" si="9"/>
        <v>0</v>
      </c>
      <c r="E52" s="6" t="str">
        <f t="shared" si="9"/>
        <v>*Se[m]</v>
      </c>
      <c r="F52" s="14">
        <f t="shared" ca="1" si="10"/>
        <v>-23.52</v>
      </c>
      <c r="G52" s="14">
        <f t="shared" ca="1" si="12"/>
        <v>-22.41</v>
      </c>
      <c r="H52" s="14">
        <f t="shared" ca="1" si="12"/>
        <v>-21.42</v>
      </c>
      <c r="I52" s="14">
        <f t="shared" ca="1" si="12"/>
        <v>-20.54</v>
      </c>
      <c r="J52" s="14">
        <f t="shared" ca="1" si="12"/>
        <v>-19.760000000000002</v>
      </c>
      <c r="K52" s="14">
        <f t="shared" ca="1" si="12"/>
        <v>-19.79</v>
      </c>
      <c r="L52" s="14">
        <f t="shared" ca="1" si="12"/>
        <v>-20.03</v>
      </c>
      <c r="M52" s="14">
        <f t="shared" ca="1" si="12"/>
        <v>-20.28</v>
      </c>
      <c r="N52" s="14">
        <f t="shared" ca="1" si="12"/>
        <v>-20.52</v>
      </c>
      <c r="O52" s="14">
        <f t="shared" ca="1" si="12"/>
        <v>-21.52</v>
      </c>
      <c r="P52" s="14">
        <f t="shared" ca="1" si="12"/>
        <v>-21.77</v>
      </c>
      <c r="Q52" s="14">
        <f t="shared" ca="1" si="12"/>
        <v>-22.02</v>
      </c>
      <c r="R52" s="14">
        <f t="shared" ca="1" si="12"/>
        <v>-22.27</v>
      </c>
      <c r="S52" s="14">
        <f t="shared" ca="1" si="12"/>
        <v>-22.51</v>
      </c>
      <c r="T52" s="14">
        <f t="shared" ca="1" si="12"/>
        <v>-23.48</v>
      </c>
      <c r="U52" s="14">
        <f t="shared" ca="1" si="12"/>
        <v>-24.41</v>
      </c>
      <c r="V52" s="14">
        <f t="shared" ca="1" si="12"/>
        <v>-25.31</v>
      </c>
      <c r="W52" s="14">
        <f t="shared" ca="1" si="12"/>
        <v>-25.53</v>
      </c>
      <c r="X52" s="14">
        <f t="shared" ca="1" si="12"/>
        <v>-25.75</v>
      </c>
      <c r="Y52" s="14">
        <f t="shared" ca="1" si="12"/>
        <v>-25.96</v>
      </c>
      <c r="Z52" s="14">
        <f t="shared" ca="1" si="12"/>
        <v>-26.18</v>
      </c>
      <c r="AA52" s="14">
        <f t="shared" ca="1" si="12"/>
        <v>-26.39</v>
      </c>
      <c r="AB52" s="14">
        <f t="shared" ca="1" si="12"/>
        <v>-26.6</v>
      </c>
      <c r="AC52" s="14">
        <f t="shared" ca="1" si="12"/>
        <v>-26.81</v>
      </c>
      <c r="AD52" s="14">
        <f t="shared" ca="1" si="12"/>
        <v>-27.02</v>
      </c>
      <c r="AE52" s="14">
        <f t="shared" ca="1" si="12"/>
        <v>-27.83</v>
      </c>
      <c r="AF52" s="14">
        <f t="shared" ca="1" si="12"/>
        <v>-28.62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1</v>
      </c>
      <c r="D53" s="5">
        <f t="shared" si="9"/>
        <v>0</v>
      </c>
      <c r="E53" s="6" t="str">
        <f t="shared" si="9"/>
        <v>*GeSe2</v>
      </c>
      <c r="F53" s="14">
        <f t="shared" ca="1" si="10"/>
        <v>-63.33</v>
      </c>
      <c r="G53" s="14">
        <f t="shared" ca="1" si="12"/>
        <v>-60.47</v>
      </c>
      <c r="H53" s="14">
        <f t="shared" ca="1" si="12"/>
        <v>-57.930000000000007</v>
      </c>
      <c r="I53" s="14">
        <f t="shared" ca="1" si="12"/>
        <v>-55.67</v>
      </c>
      <c r="J53" s="14">
        <f t="shared" ca="1" si="12"/>
        <v>-53.680000000000007</v>
      </c>
      <c r="K53" s="14">
        <f t="shared" ca="1" si="12"/>
        <v>-52.61</v>
      </c>
      <c r="L53" s="14">
        <f t="shared" ca="1" si="12"/>
        <v>-51.86</v>
      </c>
      <c r="M53" s="14">
        <f t="shared" ca="1" si="12"/>
        <v>-51.230000000000004</v>
      </c>
      <c r="N53" s="14">
        <f t="shared" ca="1" si="12"/>
        <v>-50.655000000000001</v>
      </c>
      <c r="O53" s="14">
        <f t="shared" ca="1" si="12"/>
        <v>-49.08</v>
      </c>
      <c r="P53" s="14">
        <f t="shared" ca="1" si="12"/>
        <v>-48.816000000000003</v>
      </c>
      <c r="Q53" s="14">
        <f t="shared" ca="1" si="12"/>
        <v>-48.592999999999996</v>
      </c>
      <c r="R53" s="14">
        <f t="shared" ca="1" si="12"/>
        <v>-48.655000000000001</v>
      </c>
      <c r="S53" s="14">
        <f t="shared" ca="1" si="12"/>
        <v>-49.175000000000004</v>
      </c>
      <c r="T53" s="14">
        <f t="shared" ca="1" si="12"/>
        <v>-51.277000000000001</v>
      </c>
      <c r="U53" s="14">
        <f t="shared" ca="1" si="12"/>
        <v>-53.301000000000002</v>
      </c>
      <c r="V53" s="14">
        <f t="shared" ca="1" si="12"/>
        <v>-55.262999999999998</v>
      </c>
      <c r="W53" s="14">
        <f t="shared" ca="1" si="12"/>
        <v>-55.743000000000002</v>
      </c>
      <c r="X53" s="14">
        <f t="shared" ca="1" si="12"/>
        <v>-56.222000000000001</v>
      </c>
      <c r="Y53" s="14">
        <f t="shared" ca="1" si="12"/>
        <v>-56.682000000000002</v>
      </c>
      <c r="Z53" s="14">
        <f t="shared" ca="1" si="12"/>
        <v>-57.161000000000001</v>
      </c>
      <c r="AA53" s="14">
        <f t="shared" ca="1" si="12"/>
        <v>-57.620000000000005</v>
      </c>
      <c r="AB53" s="14">
        <f t="shared" ca="1" si="12"/>
        <v>-58.078000000000003</v>
      </c>
      <c r="AC53" s="14">
        <f t="shared" ca="1" si="12"/>
        <v>-58.536999999999999</v>
      </c>
      <c r="AD53" s="14">
        <f t="shared" ca="1" si="12"/>
        <v>-58.994999999999997</v>
      </c>
      <c r="AE53" s="14">
        <f t="shared" ca="1" si="12"/>
        <v>-60.763999999999996</v>
      </c>
      <c r="AF53" s="14">
        <f t="shared" ca="1" si="12"/>
        <v>-62.489000000000004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3</v>
      </c>
      <c r="C54" s="5">
        <f t="shared" si="9"/>
        <v>0</v>
      </c>
      <c r="D54" s="5">
        <f t="shared" si="9"/>
        <v>2</v>
      </c>
      <c r="E54" s="6" t="str">
        <f t="shared" si="9"/>
        <v>Ga2Se3</v>
      </c>
      <c r="F54" s="14">
        <f t="shared" ca="1" si="10"/>
        <v>-204.08</v>
      </c>
      <c r="G54" s="14">
        <f t="shared" ca="1" si="12"/>
        <v>-193.79000000000002</v>
      </c>
      <c r="H54" s="14">
        <f t="shared" ca="1" si="12"/>
        <v>-184.62</v>
      </c>
      <c r="I54" s="14">
        <f t="shared" ca="1" si="12"/>
        <v>-176.42</v>
      </c>
      <c r="J54" s="14">
        <f t="shared" ca="1" si="12"/>
        <v>-169.1</v>
      </c>
      <c r="K54" s="14">
        <f t="shared" ca="1" si="12"/>
        <v>-162.43</v>
      </c>
      <c r="L54" s="14">
        <f t="shared" ca="1" si="12"/>
        <v>-156.43</v>
      </c>
      <c r="M54" s="14">
        <f t="shared" ca="1" si="12"/>
        <v>-150.96</v>
      </c>
      <c r="N54" s="14">
        <f t="shared" ca="1" si="12"/>
        <v>-145.94</v>
      </c>
      <c r="O54" s="14">
        <f t="shared" ca="1" si="12"/>
        <v>-129.62</v>
      </c>
      <c r="P54" s="14">
        <f t="shared" ca="1" si="12"/>
        <v>-126.27000000000001</v>
      </c>
      <c r="Q54" s="14">
        <f t="shared" ca="1" si="12"/>
        <v>-123.16</v>
      </c>
      <c r="R54" s="14">
        <f t="shared" ca="1" si="12"/>
        <v>-120.28999999999999</v>
      </c>
      <c r="S54" s="14">
        <f t="shared" ca="1" si="12"/>
        <v>-117.57</v>
      </c>
      <c r="T54" s="14">
        <f t="shared" ca="1" si="12"/>
        <v>-108.36</v>
      </c>
      <c r="U54" s="14">
        <f t="shared" ref="U54:AL54" ca="1" si="13">$A54*H.Ar + $B54*H.Se + $C54*H.Ge + $D54*H.Ga</f>
        <v>-101.13</v>
      </c>
      <c r="V54" s="14">
        <f t="shared" ca="1" si="13"/>
        <v>-95.341999999999985</v>
      </c>
      <c r="W54" s="14">
        <f t="shared" ca="1" si="13"/>
        <v>-94.074000000000012</v>
      </c>
      <c r="X54" s="14">
        <f t="shared" ca="1" si="13"/>
        <v>-93.762</v>
      </c>
      <c r="Y54" s="14">
        <f t="shared" ca="1" si="13"/>
        <v>-93.573999999999998</v>
      </c>
      <c r="Z54" s="14">
        <f t="shared" ca="1" si="13"/>
        <v>-93.809999999999988</v>
      </c>
      <c r="AA54" s="14">
        <f t="shared" ca="1" si="13"/>
        <v>-94.6</v>
      </c>
      <c r="AB54" s="14">
        <f t="shared" ca="1" si="13"/>
        <v>-95.39200000000001</v>
      </c>
      <c r="AC54" s="14">
        <f t="shared" ca="1" si="13"/>
        <v>-96.187999999999988</v>
      </c>
      <c r="AD54" s="14">
        <f t="shared" ca="1" si="13"/>
        <v>-96.986000000000004</v>
      </c>
      <c r="AE54" s="14">
        <f t="shared" ca="1" si="13"/>
        <v>-100.128</v>
      </c>
      <c r="AF54" s="14">
        <f t="shared" ca="1" si="13"/>
        <v>-103.31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-157.04000000000002</v>
      </c>
      <c r="G55" s="14">
        <f t="shared" ref="G55:AL62" ca="1" si="14">$A55*H.Ar + $B55*H.Se + $C55*H.Ge + $D55*H.Ga</f>
        <v>-148.97</v>
      </c>
      <c r="H55" s="14">
        <f t="shared" ca="1" si="14"/>
        <v>-141.78</v>
      </c>
      <c r="I55" s="14">
        <f t="shared" ca="1" si="14"/>
        <v>-135.34</v>
      </c>
      <c r="J55" s="14">
        <f t="shared" ca="1" si="14"/>
        <v>-129.57999999999998</v>
      </c>
      <c r="K55" s="14">
        <f t="shared" ca="1" si="14"/>
        <v>-122.85</v>
      </c>
      <c r="L55" s="14">
        <f t="shared" ca="1" si="14"/>
        <v>-116.37</v>
      </c>
      <c r="M55" s="14">
        <f t="shared" ca="1" si="14"/>
        <v>-110.4</v>
      </c>
      <c r="N55" s="14">
        <f t="shared" ca="1" si="14"/>
        <v>-104.89999999999999</v>
      </c>
      <c r="O55" s="14">
        <f t="shared" ca="1" si="14"/>
        <v>-86.58</v>
      </c>
      <c r="P55" s="14">
        <f t="shared" ca="1" si="14"/>
        <v>-82.73</v>
      </c>
      <c r="Q55" s="14">
        <f t="shared" ca="1" si="14"/>
        <v>-79.12</v>
      </c>
      <c r="R55" s="14">
        <f t="shared" ca="1" si="14"/>
        <v>-75.75</v>
      </c>
      <c r="S55" s="14">
        <f t="shared" ca="1" si="14"/>
        <v>-72.55</v>
      </c>
      <c r="T55" s="14">
        <f t="shared" ca="1" si="14"/>
        <v>-61.400000000000006</v>
      </c>
      <c r="U55" s="14">
        <f t="shared" ca="1" si="14"/>
        <v>-52.31</v>
      </c>
      <c r="V55" s="14">
        <f t="shared" ca="1" si="14"/>
        <v>-44.721999999999994</v>
      </c>
      <c r="W55" s="14">
        <f t="shared" ca="1" si="14"/>
        <v>-43.014000000000003</v>
      </c>
      <c r="X55" s="14">
        <f t="shared" ca="1" si="14"/>
        <v>-42.262</v>
      </c>
      <c r="Y55" s="14">
        <f t="shared" ca="1" si="14"/>
        <v>-41.654000000000003</v>
      </c>
      <c r="Z55" s="14">
        <f t="shared" ca="1" si="14"/>
        <v>-41.45</v>
      </c>
      <c r="AA55" s="14">
        <f t="shared" ca="1" si="14"/>
        <v>-41.82</v>
      </c>
      <c r="AB55" s="14">
        <f t="shared" ca="1" si="14"/>
        <v>-42.192</v>
      </c>
      <c r="AC55" s="14">
        <f t="shared" ca="1" si="14"/>
        <v>-42.567999999999998</v>
      </c>
      <c r="AD55" s="14">
        <f t="shared" ca="1" si="14"/>
        <v>-42.945999999999998</v>
      </c>
      <c r="AE55" s="14">
        <f t="shared" ca="1" si="14"/>
        <v>-44.468000000000004</v>
      </c>
      <c r="AF55" s="14">
        <f t="shared" ca="1" si="14"/>
        <v>-46.07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-18.72</v>
      </c>
      <c r="G56" s="14">
        <f t="shared" ca="1" si="16"/>
        <v>-18.71</v>
      </c>
      <c r="H56" s="14">
        <f t="shared" ca="1" si="16"/>
        <v>-18.71</v>
      </c>
      <c r="I56" s="14">
        <f t="shared" ca="1" si="16"/>
        <v>-18.71</v>
      </c>
      <c r="J56" s="14">
        <f t="shared" ca="1" si="16"/>
        <v>-18.73</v>
      </c>
      <c r="K56" s="14">
        <f t="shared" ca="1" si="16"/>
        <v>-18.739999999999998</v>
      </c>
      <c r="L56" s="14">
        <f t="shared" ca="1" si="16"/>
        <v>-18.760000000000002</v>
      </c>
      <c r="M56" s="14">
        <f t="shared" ca="1" si="16"/>
        <v>-18.79</v>
      </c>
      <c r="N56" s="14">
        <f t="shared" ca="1" si="16"/>
        <v>-18.809999999999999</v>
      </c>
      <c r="O56" s="14">
        <f t="shared" ca="1" si="16"/>
        <v>-18.93</v>
      </c>
      <c r="P56" s="14">
        <f t="shared" ca="1" si="16"/>
        <v>-18.97</v>
      </c>
      <c r="Q56" s="14">
        <f t="shared" ca="1" si="16"/>
        <v>-19</v>
      </c>
      <c r="R56" s="14">
        <f t="shared" ca="1" si="16"/>
        <v>-19.03</v>
      </c>
      <c r="S56" s="14">
        <f t="shared" ca="1" si="16"/>
        <v>-19.07</v>
      </c>
      <c r="T56" s="14">
        <f t="shared" ca="1" si="16"/>
        <v>-19.2</v>
      </c>
      <c r="U56" s="14">
        <f t="shared" ca="1" si="16"/>
        <v>-19.34</v>
      </c>
      <c r="V56" s="14">
        <f t="shared" ca="1" si="14"/>
        <v>-19.48</v>
      </c>
      <c r="W56" s="14">
        <f t="shared" ca="1" si="14"/>
        <v>-19.510000000000002</v>
      </c>
      <c r="X56" s="14">
        <f t="shared" ca="1" si="14"/>
        <v>-19.489999999999998</v>
      </c>
      <c r="Y56" s="14">
        <f t="shared" ca="1" si="14"/>
        <v>-19.5</v>
      </c>
      <c r="Z56" s="14">
        <f t="shared" ca="1" si="14"/>
        <v>-19.52</v>
      </c>
      <c r="AA56" s="14">
        <f t="shared" ca="1" si="14"/>
        <v>-19.55</v>
      </c>
      <c r="AB56" s="14">
        <f t="shared" ca="1" si="14"/>
        <v>-19.579999999999998</v>
      </c>
      <c r="AC56" s="14">
        <f t="shared" ca="1" si="14"/>
        <v>-19.61</v>
      </c>
      <c r="AD56" s="14">
        <f t="shared" ca="1" si="14"/>
        <v>-19.64</v>
      </c>
      <c r="AE56" s="14">
        <f t="shared" ca="1" si="14"/>
        <v>-19.760000000000002</v>
      </c>
      <c r="AF56" s="14">
        <f t="shared" ca="1" si="14"/>
        <v>-19.88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(1)Ga[1]</v>
      </c>
      <c r="F57" s="14">
        <f t="shared" ca="1" si="16"/>
        <v>-66.760000000000005</v>
      </c>
      <c r="G57" s="14">
        <f t="shared" ca="1" si="14"/>
        <v>-63.28</v>
      </c>
      <c r="H57" s="14">
        <f t="shared" ca="1" si="14"/>
        <v>-60.18</v>
      </c>
      <c r="I57" s="14">
        <f t="shared" ca="1" si="14"/>
        <v>-57.4</v>
      </c>
      <c r="J57" s="14">
        <f t="shared" ca="1" si="14"/>
        <v>-54.91</v>
      </c>
      <c r="K57" s="14">
        <f t="shared" ca="1" si="14"/>
        <v>-51.53</v>
      </c>
      <c r="L57" s="14">
        <f t="shared" ca="1" si="14"/>
        <v>-48.17</v>
      </c>
      <c r="M57" s="14">
        <f t="shared" ca="1" si="14"/>
        <v>-45.06</v>
      </c>
      <c r="N57" s="14">
        <f t="shared" ca="1" si="14"/>
        <v>-42.19</v>
      </c>
      <c r="O57" s="14">
        <f t="shared" ca="1" si="14"/>
        <v>-32.53</v>
      </c>
      <c r="P57" s="14">
        <f t="shared" ca="1" si="14"/>
        <v>-30.48</v>
      </c>
      <c r="Q57" s="14">
        <f t="shared" ca="1" si="14"/>
        <v>-28.55</v>
      </c>
      <c r="R57" s="14">
        <f t="shared" ca="1" si="14"/>
        <v>-26.74</v>
      </c>
      <c r="S57" s="14">
        <f t="shared" ca="1" si="14"/>
        <v>-25.02</v>
      </c>
      <c r="T57" s="14">
        <f t="shared" ca="1" si="14"/>
        <v>-18.96</v>
      </c>
      <c r="U57" s="14">
        <f t="shared" ca="1" si="14"/>
        <v>-13.95</v>
      </c>
      <c r="V57" s="14">
        <f t="shared" ca="1" si="14"/>
        <v>-9.7059999999999995</v>
      </c>
      <c r="W57" s="14">
        <f t="shared" ca="1" si="14"/>
        <v>-8.7420000000000009</v>
      </c>
      <c r="X57" s="14">
        <f t="shared" ca="1" si="14"/>
        <v>-8.2560000000000002</v>
      </c>
      <c r="Y57" s="14">
        <f t="shared" ca="1" si="14"/>
        <v>-7.8470000000000004</v>
      </c>
      <c r="Z57" s="14">
        <f t="shared" ca="1" si="14"/>
        <v>-7.6349999999999998</v>
      </c>
      <c r="AA57" s="14">
        <f t="shared" ca="1" si="14"/>
        <v>-7.7149999999999999</v>
      </c>
      <c r="AB57" s="14">
        <f t="shared" ca="1" si="14"/>
        <v>-7.7960000000000003</v>
      </c>
      <c r="AC57" s="14">
        <f t="shared" ca="1" si="14"/>
        <v>-7.8789999999999996</v>
      </c>
      <c r="AD57" s="14">
        <f t="shared" ca="1" si="14"/>
        <v>-7.9630000000000001</v>
      </c>
      <c r="AE57" s="14">
        <f t="shared" ca="1" si="14"/>
        <v>-8.3190000000000008</v>
      </c>
      <c r="AF57" s="14">
        <f t="shared" ca="1" si="14"/>
        <v>-8.7249999999999996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(1)Ge[1]</v>
      </c>
      <c r="F58" s="14">
        <f t="shared" ca="1" si="16"/>
        <v>-16.29</v>
      </c>
      <c r="G58" s="14">
        <f t="shared" ca="1" si="14"/>
        <v>-15.65</v>
      </c>
      <c r="H58" s="14">
        <f t="shared" ca="1" si="14"/>
        <v>-15.09</v>
      </c>
      <c r="I58" s="14">
        <f t="shared" ca="1" si="14"/>
        <v>-14.59</v>
      </c>
      <c r="J58" s="14">
        <f t="shared" ca="1" si="14"/>
        <v>-14.16</v>
      </c>
      <c r="K58" s="14">
        <f t="shared" ca="1" si="14"/>
        <v>-13.03</v>
      </c>
      <c r="L58" s="14">
        <f t="shared" ca="1" si="14"/>
        <v>-11.8</v>
      </c>
      <c r="M58" s="14">
        <f t="shared" ca="1" si="14"/>
        <v>-10.67</v>
      </c>
      <c r="N58" s="14">
        <f t="shared" ca="1" si="14"/>
        <v>-9.6150000000000002</v>
      </c>
      <c r="O58" s="14">
        <f t="shared" ca="1" si="14"/>
        <v>-6.04</v>
      </c>
      <c r="P58" s="14">
        <f t="shared" ca="1" si="14"/>
        <v>-5.2759999999999998</v>
      </c>
      <c r="Q58" s="14">
        <f t="shared" ca="1" si="14"/>
        <v>-4.5529999999999999</v>
      </c>
      <c r="R58" s="14">
        <f t="shared" ca="1" si="14"/>
        <v>-4.1150000000000002</v>
      </c>
      <c r="S58" s="14">
        <f t="shared" ca="1" si="14"/>
        <v>-4.1550000000000002</v>
      </c>
      <c r="T58" s="14">
        <f t="shared" ca="1" si="14"/>
        <v>-4.3170000000000002</v>
      </c>
      <c r="U58" s="14">
        <f t="shared" ca="1" si="14"/>
        <v>-4.4809999999999999</v>
      </c>
      <c r="V58" s="14">
        <f t="shared" ca="1" si="14"/>
        <v>-4.6429999999999998</v>
      </c>
      <c r="W58" s="14">
        <f t="shared" ca="1" si="14"/>
        <v>-4.6829999999999998</v>
      </c>
      <c r="X58" s="14">
        <f t="shared" ca="1" si="14"/>
        <v>-4.7220000000000004</v>
      </c>
      <c r="Y58" s="14">
        <f t="shared" ca="1" si="14"/>
        <v>-4.7619999999999996</v>
      </c>
      <c r="Z58" s="14">
        <f t="shared" ca="1" si="14"/>
        <v>-4.8010000000000002</v>
      </c>
      <c r="AA58" s="14">
        <f t="shared" ca="1" si="14"/>
        <v>-4.84</v>
      </c>
      <c r="AB58" s="14">
        <f t="shared" ca="1" si="14"/>
        <v>-4.8780000000000001</v>
      </c>
      <c r="AC58" s="14">
        <f t="shared" ca="1" si="14"/>
        <v>-4.9169999999999998</v>
      </c>
      <c r="AD58" s="14">
        <f t="shared" ca="1" si="14"/>
        <v>-4.9550000000000001</v>
      </c>
      <c r="AE58" s="14">
        <f t="shared" ca="1" si="14"/>
        <v>-5.1040000000000001</v>
      </c>
      <c r="AF58" s="14">
        <f t="shared" ca="1" si="14"/>
        <v>-5.2489999999999997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1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 t="str">
        <f t="shared" si="15"/>
        <v>H (Ar)</v>
      </c>
      <c r="F59" s="14">
        <f t="shared" ca="1" si="16"/>
        <v>-18.72</v>
      </c>
      <c r="G59" s="14">
        <f t="shared" ca="1" si="14"/>
        <v>-18.71</v>
      </c>
      <c r="H59" s="14">
        <f t="shared" ca="1" si="14"/>
        <v>-18.71</v>
      </c>
      <c r="I59" s="14">
        <f t="shared" ca="1" si="14"/>
        <v>-18.71</v>
      </c>
      <c r="J59" s="14">
        <f t="shared" ca="1" si="14"/>
        <v>-18.73</v>
      </c>
      <c r="K59" s="14">
        <f t="shared" ca="1" si="14"/>
        <v>-18.739999999999998</v>
      </c>
      <c r="L59" s="14">
        <f t="shared" ca="1" si="14"/>
        <v>-18.760000000000002</v>
      </c>
      <c r="M59" s="14">
        <f t="shared" ca="1" si="14"/>
        <v>-18.79</v>
      </c>
      <c r="N59" s="14">
        <f t="shared" ca="1" si="14"/>
        <v>-18.809999999999999</v>
      </c>
      <c r="O59" s="14">
        <f t="shared" ca="1" si="14"/>
        <v>-18.93</v>
      </c>
      <c r="P59" s="14">
        <f t="shared" ca="1" si="14"/>
        <v>-18.97</v>
      </c>
      <c r="Q59" s="14">
        <f t="shared" ca="1" si="14"/>
        <v>-19</v>
      </c>
      <c r="R59" s="14">
        <f t="shared" ca="1" si="14"/>
        <v>-19.03</v>
      </c>
      <c r="S59" s="14">
        <f t="shared" ca="1" si="14"/>
        <v>-19.07</v>
      </c>
      <c r="T59" s="14">
        <f t="shared" ca="1" si="14"/>
        <v>-19.2</v>
      </c>
      <c r="U59" s="14">
        <f t="shared" ca="1" si="14"/>
        <v>-19.34</v>
      </c>
      <c r="V59" s="14">
        <f t="shared" ca="1" si="14"/>
        <v>-19.48</v>
      </c>
      <c r="W59" s="14">
        <f t="shared" ca="1" si="14"/>
        <v>-19.510000000000002</v>
      </c>
      <c r="X59" s="14">
        <f t="shared" ca="1" si="14"/>
        <v>-19.489999999999998</v>
      </c>
      <c r="Y59" s="14">
        <f t="shared" ca="1" si="14"/>
        <v>-19.5</v>
      </c>
      <c r="Z59" s="14">
        <f t="shared" ca="1" si="14"/>
        <v>-19.52</v>
      </c>
      <c r="AA59" s="14">
        <f t="shared" ca="1" si="14"/>
        <v>-19.55</v>
      </c>
      <c r="AB59" s="14">
        <f t="shared" ca="1" si="14"/>
        <v>-19.579999999999998</v>
      </c>
      <c r="AC59" s="14">
        <f t="shared" ca="1" si="14"/>
        <v>-19.61</v>
      </c>
      <c r="AD59" s="14">
        <f t="shared" ca="1" si="14"/>
        <v>-19.64</v>
      </c>
      <c r="AE59" s="14">
        <f t="shared" ca="1" si="14"/>
        <v>-19.760000000000002</v>
      </c>
      <c r="AF59" s="14">
        <f t="shared" ca="1" si="14"/>
        <v>-19.88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1</v>
      </c>
      <c r="E60" s="6" t="str">
        <f t="shared" si="15"/>
        <v>H (Ga)</v>
      </c>
      <c r="F60" s="14">
        <f t="shared" ca="1" si="16"/>
        <v>-66.760000000000005</v>
      </c>
      <c r="G60" s="14">
        <f t="shared" ca="1" si="14"/>
        <v>-63.28</v>
      </c>
      <c r="H60" s="14">
        <f t="shared" ca="1" si="14"/>
        <v>-60.18</v>
      </c>
      <c r="I60" s="14">
        <f t="shared" ca="1" si="14"/>
        <v>-57.4</v>
      </c>
      <c r="J60" s="14">
        <f t="shared" ca="1" si="14"/>
        <v>-54.91</v>
      </c>
      <c r="K60" s="14">
        <f t="shared" ca="1" si="14"/>
        <v>-51.53</v>
      </c>
      <c r="L60" s="14">
        <f t="shared" ca="1" si="14"/>
        <v>-48.17</v>
      </c>
      <c r="M60" s="14">
        <f t="shared" ca="1" si="14"/>
        <v>-45.06</v>
      </c>
      <c r="N60" s="14">
        <f t="shared" ca="1" si="14"/>
        <v>-42.19</v>
      </c>
      <c r="O60" s="14">
        <f t="shared" ca="1" si="14"/>
        <v>-32.53</v>
      </c>
      <c r="P60" s="14">
        <f t="shared" ca="1" si="14"/>
        <v>-30.48</v>
      </c>
      <c r="Q60" s="14">
        <f t="shared" ca="1" si="14"/>
        <v>-28.55</v>
      </c>
      <c r="R60" s="14">
        <f t="shared" ca="1" si="14"/>
        <v>-26.74</v>
      </c>
      <c r="S60" s="14">
        <f t="shared" ca="1" si="14"/>
        <v>-25.02</v>
      </c>
      <c r="T60" s="14">
        <f t="shared" ca="1" si="14"/>
        <v>-18.96</v>
      </c>
      <c r="U60" s="14">
        <f t="shared" ca="1" si="14"/>
        <v>-13.95</v>
      </c>
      <c r="V60" s="14">
        <f t="shared" ca="1" si="14"/>
        <v>-9.7059999999999995</v>
      </c>
      <c r="W60" s="14">
        <f t="shared" ca="1" si="14"/>
        <v>-8.7420000000000009</v>
      </c>
      <c r="X60" s="14">
        <f t="shared" ca="1" si="14"/>
        <v>-8.2560000000000002</v>
      </c>
      <c r="Y60" s="14">
        <f t="shared" ca="1" si="14"/>
        <v>-7.8470000000000004</v>
      </c>
      <c r="Z60" s="14">
        <f t="shared" ca="1" si="14"/>
        <v>-7.6349999999999998</v>
      </c>
      <c r="AA60" s="14">
        <f t="shared" ca="1" si="14"/>
        <v>-7.7149999999999999</v>
      </c>
      <c r="AB60" s="14">
        <f t="shared" ca="1" si="14"/>
        <v>-7.7960000000000003</v>
      </c>
      <c r="AC60" s="14">
        <f t="shared" ca="1" si="14"/>
        <v>-7.8789999999999996</v>
      </c>
      <c r="AD60" s="14">
        <f t="shared" ca="1" si="14"/>
        <v>-7.9630000000000001</v>
      </c>
      <c r="AE60" s="14">
        <f t="shared" ca="1" si="14"/>
        <v>-8.3190000000000008</v>
      </c>
      <c r="AF60" s="14">
        <f t="shared" ca="1" si="14"/>
        <v>-8.7249999999999996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1</v>
      </c>
      <c r="D61" s="5">
        <f t="shared" si="15"/>
        <v>0</v>
      </c>
      <c r="E61" s="6" t="str">
        <f t="shared" si="15"/>
        <v>H (Ge)</v>
      </c>
      <c r="F61" s="14">
        <f t="shared" ca="1" si="16"/>
        <v>-16.29</v>
      </c>
      <c r="G61" s="14">
        <f t="shared" ca="1" si="14"/>
        <v>-15.65</v>
      </c>
      <c r="H61" s="14">
        <f t="shared" ca="1" si="14"/>
        <v>-15.09</v>
      </c>
      <c r="I61" s="14">
        <f t="shared" ca="1" si="14"/>
        <v>-14.59</v>
      </c>
      <c r="J61" s="14">
        <f t="shared" ca="1" si="14"/>
        <v>-14.16</v>
      </c>
      <c r="K61" s="14">
        <f t="shared" ca="1" si="14"/>
        <v>-13.03</v>
      </c>
      <c r="L61" s="14">
        <f t="shared" ca="1" si="14"/>
        <v>-11.8</v>
      </c>
      <c r="M61" s="14">
        <f t="shared" ca="1" si="14"/>
        <v>-10.67</v>
      </c>
      <c r="N61" s="14">
        <f t="shared" ca="1" si="14"/>
        <v>-9.6150000000000002</v>
      </c>
      <c r="O61" s="14">
        <f t="shared" ca="1" si="14"/>
        <v>-6.04</v>
      </c>
      <c r="P61" s="14">
        <f t="shared" ca="1" si="14"/>
        <v>-5.2759999999999998</v>
      </c>
      <c r="Q61" s="14">
        <f t="shared" ca="1" si="14"/>
        <v>-4.5529999999999999</v>
      </c>
      <c r="R61" s="14">
        <f t="shared" ca="1" si="14"/>
        <v>-4.1150000000000002</v>
      </c>
      <c r="S61" s="14">
        <f t="shared" ca="1" si="14"/>
        <v>-4.1550000000000002</v>
      </c>
      <c r="T61" s="14">
        <f t="shared" ca="1" si="14"/>
        <v>-4.3170000000000002</v>
      </c>
      <c r="U61" s="14">
        <f t="shared" ca="1" si="14"/>
        <v>-4.4809999999999999</v>
      </c>
      <c r="V61" s="14">
        <f t="shared" ca="1" si="14"/>
        <v>-4.6429999999999998</v>
      </c>
      <c r="W61" s="14">
        <f t="shared" ca="1" si="14"/>
        <v>-4.6829999999999998</v>
      </c>
      <c r="X61" s="14">
        <f t="shared" ca="1" si="14"/>
        <v>-4.7220000000000004</v>
      </c>
      <c r="Y61" s="14">
        <f t="shared" ca="1" si="14"/>
        <v>-4.7619999999999996</v>
      </c>
      <c r="Z61" s="14">
        <f t="shared" ca="1" si="14"/>
        <v>-4.8010000000000002</v>
      </c>
      <c r="AA61" s="14">
        <f t="shared" ca="1" si="14"/>
        <v>-4.84</v>
      </c>
      <c r="AB61" s="14">
        <f t="shared" ca="1" si="14"/>
        <v>-4.8780000000000001</v>
      </c>
      <c r="AC61" s="14">
        <f t="shared" ca="1" si="14"/>
        <v>-4.9169999999999998</v>
      </c>
      <c r="AD61" s="14">
        <f t="shared" ca="1" si="14"/>
        <v>-4.9550000000000001</v>
      </c>
      <c r="AE61" s="14">
        <f t="shared" ca="1" si="14"/>
        <v>-5.1040000000000001</v>
      </c>
      <c r="AF61" s="14">
        <f t="shared" ca="1" si="14"/>
        <v>-5.2489999999999997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H (Se)</v>
      </c>
      <c r="F62" s="14">
        <f t="shared" ca="1" si="16"/>
        <v>-23.52</v>
      </c>
      <c r="G62" s="14">
        <f t="shared" ca="1" si="14"/>
        <v>-22.41</v>
      </c>
      <c r="H62" s="14">
        <f t="shared" ca="1" si="14"/>
        <v>-21.42</v>
      </c>
      <c r="I62" s="14">
        <f t="shared" ca="1" si="14"/>
        <v>-20.54</v>
      </c>
      <c r="J62" s="14">
        <f t="shared" ca="1" si="14"/>
        <v>-19.760000000000002</v>
      </c>
      <c r="K62" s="14">
        <f t="shared" ca="1" si="14"/>
        <v>-19.79</v>
      </c>
      <c r="L62" s="14">
        <f t="shared" ca="1" si="14"/>
        <v>-20.03</v>
      </c>
      <c r="M62" s="14">
        <f t="shared" ca="1" si="14"/>
        <v>-20.28</v>
      </c>
      <c r="N62" s="14">
        <f t="shared" ca="1" si="14"/>
        <v>-20.52</v>
      </c>
      <c r="O62" s="14">
        <f t="shared" ca="1" si="14"/>
        <v>-21.52</v>
      </c>
      <c r="P62" s="14">
        <f t="shared" ca="1" si="14"/>
        <v>-21.77</v>
      </c>
      <c r="Q62" s="14">
        <f t="shared" ca="1" si="14"/>
        <v>-22.02</v>
      </c>
      <c r="R62" s="14">
        <f t="shared" ca="1" si="14"/>
        <v>-22.27</v>
      </c>
      <c r="S62" s="14">
        <f t="shared" ca="1" si="14"/>
        <v>-22.51</v>
      </c>
      <c r="T62" s="14">
        <f t="shared" ca="1" si="14"/>
        <v>-23.48</v>
      </c>
      <c r="U62" s="14">
        <f t="shared" ca="1" si="14"/>
        <v>-24.41</v>
      </c>
      <c r="V62" s="14">
        <f t="shared" ca="1" si="14"/>
        <v>-25.31</v>
      </c>
      <c r="W62" s="14">
        <f t="shared" ca="1" si="14"/>
        <v>-25.53</v>
      </c>
      <c r="X62" s="14">
        <f t="shared" ca="1" si="14"/>
        <v>-25.75</v>
      </c>
      <c r="Y62" s="14">
        <f t="shared" ca="1" si="14"/>
        <v>-25.96</v>
      </c>
      <c r="Z62" s="14">
        <f t="shared" ca="1" si="14"/>
        <v>-26.18</v>
      </c>
      <c r="AA62" s="14">
        <f t="shared" ca="1" si="14"/>
        <v>-26.39</v>
      </c>
      <c r="AB62" s="14">
        <f t="shared" ca="1" si="14"/>
        <v>-26.6</v>
      </c>
      <c r="AC62" s="14">
        <f t="shared" ca="1" si="14"/>
        <v>-26.81</v>
      </c>
      <c r="AD62" s="14">
        <f t="shared" ca="1" si="14"/>
        <v>-27.02</v>
      </c>
      <c r="AE62" s="14">
        <f t="shared" ca="1" si="14"/>
        <v>-27.83</v>
      </c>
      <c r="AF62" s="14">
        <f t="shared" ca="1" si="14"/>
        <v>-28.62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</v>
      </c>
      <c r="F79" s="3">
        <f t="shared" ref="F79:AL79" si="24">F3</f>
        <v>273.10000000000002</v>
      </c>
      <c r="G79" s="3">
        <f t="shared" si="24"/>
        <v>289.7</v>
      </c>
      <c r="H79" s="3">
        <f t="shared" si="24"/>
        <v>306.2</v>
      </c>
      <c r="I79" s="3">
        <f t="shared" si="24"/>
        <v>322.7</v>
      </c>
      <c r="J79" s="3">
        <f t="shared" si="24"/>
        <v>339.2</v>
      </c>
      <c r="K79" s="3">
        <f t="shared" si="24"/>
        <v>355.7</v>
      </c>
      <c r="L79" s="3">
        <f t="shared" si="24"/>
        <v>372.3</v>
      </c>
      <c r="M79" s="3">
        <f t="shared" si="24"/>
        <v>388.8</v>
      </c>
      <c r="N79" s="3">
        <f t="shared" si="24"/>
        <v>405.3</v>
      </c>
      <c r="O79" s="3">
        <f t="shared" si="24"/>
        <v>471.4</v>
      </c>
      <c r="P79" s="3">
        <f t="shared" si="24"/>
        <v>487.9</v>
      </c>
      <c r="Q79" s="3">
        <f t="shared" si="24"/>
        <v>504.4</v>
      </c>
      <c r="R79" s="3">
        <f t="shared" si="24"/>
        <v>520.9</v>
      </c>
      <c r="S79" s="3">
        <f t="shared" si="24"/>
        <v>537.5</v>
      </c>
      <c r="T79" s="3">
        <f t="shared" si="24"/>
        <v>603.5</v>
      </c>
      <c r="U79" s="3">
        <f t="shared" si="24"/>
        <v>669.6</v>
      </c>
      <c r="V79" s="3">
        <f t="shared" si="24"/>
        <v>735.7</v>
      </c>
      <c r="W79" s="3">
        <f t="shared" si="24"/>
        <v>752.2</v>
      </c>
      <c r="X79" s="3">
        <f t="shared" si="24"/>
        <v>768.7</v>
      </c>
      <c r="Y79" s="3">
        <f t="shared" si="24"/>
        <v>785.2</v>
      </c>
      <c r="Z79" s="3">
        <f t="shared" si="24"/>
        <v>801.8</v>
      </c>
      <c r="AA79" s="3">
        <f t="shared" si="24"/>
        <v>818.3</v>
      </c>
      <c r="AB79" s="3">
        <f t="shared" si="24"/>
        <v>834.8</v>
      </c>
      <c r="AC79" s="3">
        <f t="shared" si="24"/>
        <v>851.3</v>
      </c>
      <c r="AD79" s="3">
        <f t="shared" si="24"/>
        <v>867.8</v>
      </c>
      <c r="AE79" s="3">
        <f t="shared" si="24"/>
        <v>933.9</v>
      </c>
      <c r="AF79" s="3">
        <f t="shared" si="24"/>
        <v>1000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1</v>
      </c>
      <c r="D80" s="5">
        <f t="shared" si="25"/>
        <v>0</v>
      </c>
      <c r="E80" s="6" t="str">
        <f t="shared" si="23"/>
        <v>*Ge[1]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0</v>
      </c>
      <c r="N80" s="14">
        <f t="shared" si="26"/>
        <v>0</v>
      </c>
      <c r="O80" s="14">
        <f t="shared" si="26"/>
        <v>0</v>
      </c>
      <c r="P80" s="14">
        <f t="shared" si="26"/>
        <v>0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2.3876785714285713E-17</v>
      </c>
      <c r="U80" s="14">
        <f t="shared" si="26"/>
        <v>6.292857142857142E-13</v>
      </c>
      <c r="V80" s="14">
        <f t="shared" si="26"/>
        <v>2.0978571428571427E-13</v>
      </c>
      <c r="W80" s="14">
        <f t="shared" si="26"/>
        <v>1.7686071428571429E-20</v>
      </c>
      <c r="X80" s="14">
        <f t="shared" si="26"/>
        <v>1.2741428571428571E-27</v>
      </c>
      <c r="Y80" s="14">
        <f t="shared" si="26"/>
        <v>0</v>
      </c>
      <c r="Z80" s="14">
        <f t="shared" si="26"/>
        <v>1.8444642857142856E-19</v>
      </c>
      <c r="AA80" s="14">
        <f t="shared" si="26"/>
        <v>8.5182142857142854E-13</v>
      </c>
      <c r="AB80" s="14">
        <f t="shared" si="26"/>
        <v>6.4507142857142855E-17</v>
      </c>
      <c r="AC80" s="14">
        <f t="shared" si="26"/>
        <v>3.0617142857142854E-19</v>
      </c>
      <c r="AD80" s="14">
        <f t="shared" si="26"/>
        <v>2.4185357142857143E-19</v>
      </c>
      <c r="AE80" s="14">
        <f t="shared" si="26"/>
        <v>7.5185714285714282E-14</v>
      </c>
      <c r="AF80" s="14">
        <f t="shared" si="26"/>
        <v>1.6431071428571427E-8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1</v>
      </c>
      <c r="D81" s="5">
        <f t="shared" si="27"/>
        <v>0</v>
      </c>
      <c r="E81" s="6" t="str">
        <f t="shared" si="23"/>
        <v>*Ge</v>
      </c>
      <c r="F81" s="14">
        <f t="shared" ref="F81:AL81" si="28">F5*$C$78</f>
        <v>0</v>
      </c>
      <c r="G81" s="14">
        <f t="shared" si="28"/>
        <v>0</v>
      </c>
      <c r="H81" s="14">
        <f t="shared" si="28"/>
        <v>0</v>
      </c>
      <c r="I81" s="14">
        <f t="shared" si="28"/>
        <v>0</v>
      </c>
      <c r="J81" s="14">
        <f t="shared" si="28"/>
        <v>0</v>
      </c>
      <c r="K81" s="14">
        <f t="shared" si="28"/>
        <v>0</v>
      </c>
      <c r="L81" s="14">
        <f t="shared" si="28"/>
        <v>0</v>
      </c>
      <c r="M81" s="14">
        <f t="shared" si="28"/>
        <v>5.8528571428571417E-33</v>
      </c>
      <c r="N81" s="14">
        <f t="shared" si="28"/>
        <v>1.817892857142857E-25</v>
      </c>
      <c r="O81" s="14">
        <f t="shared" si="28"/>
        <v>5.4767857142857141E-11</v>
      </c>
      <c r="P81" s="14">
        <f t="shared" si="28"/>
        <v>1.579642857142857E-9</v>
      </c>
      <c r="Q81" s="14">
        <f t="shared" si="28"/>
        <v>6.678928571428571E-8</v>
      </c>
      <c r="R81" s="14">
        <f t="shared" si="28"/>
        <v>0.5</v>
      </c>
      <c r="S81" s="14">
        <f t="shared" si="28"/>
        <v>0.5</v>
      </c>
      <c r="T81" s="14">
        <f t="shared" si="28"/>
        <v>0.5</v>
      </c>
      <c r="U81" s="14">
        <f t="shared" si="28"/>
        <v>0.5</v>
      </c>
      <c r="V81" s="14">
        <f t="shared" si="28"/>
        <v>0.5</v>
      </c>
      <c r="W81" s="14">
        <f t="shared" si="28"/>
        <v>0.5</v>
      </c>
      <c r="X81" s="14">
        <f t="shared" si="28"/>
        <v>0.5</v>
      </c>
      <c r="Y81" s="14">
        <f t="shared" si="28"/>
        <v>0.5</v>
      </c>
      <c r="Z81" s="14">
        <f t="shared" si="28"/>
        <v>0.48753571428571424</v>
      </c>
      <c r="AA81" s="14">
        <f t="shared" si="28"/>
        <v>0.48528571428571426</v>
      </c>
      <c r="AB81" s="14">
        <f t="shared" si="28"/>
        <v>0.48314285714285715</v>
      </c>
      <c r="AC81" s="14">
        <f t="shared" si="28"/>
        <v>0.48078571428571421</v>
      </c>
      <c r="AD81" s="14">
        <f t="shared" si="28"/>
        <v>0.47817857142857145</v>
      </c>
      <c r="AE81" s="14">
        <f t="shared" si="28"/>
        <v>0.46389285714285711</v>
      </c>
      <c r="AF81" s="14">
        <f t="shared" si="28"/>
        <v>0.43917857142857136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1</v>
      </c>
      <c r="C82" s="5">
        <f t="shared" si="27"/>
        <v>1</v>
      </c>
      <c r="D82" s="5">
        <f t="shared" si="27"/>
        <v>0</v>
      </c>
      <c r="E82" s="6" t="str">
        <f t="shared" si="23"/>
        <v>*GeSe</v>
      </c>
      <c r="F82" s="14">
        <f t="shared" ref="F82:AL82" si="29">F6*$C$78</f>
        <v>0.5</v>
      </c>
      <c r="G82" s="14">
        <f t="shared" si="29"/>
        <v>0.5</v>
      </c>
      <c r="H82" s="14">
        <f t="shared" si="29"/>
        <v>0.5</v>
      </c>
      <c r="I82" s="14">
        <f t="shared" si="29"/>
        <v>0.5</v>
      </c>
      <c r="J82" s="14">
        <f t="shared" si="29"/>
        <v>0.5</v>
      </c>
      <c r="K82" s="14">
        <f t="shared" si="29"/>
        <v>1</v>
      </c>
      <c r="L82" s="14">
        <f t="shared" si="29"/>
        <v>1</v>
      </c>
      <c r="M82" s="14">
        <f t="shared" si="29"/>
        <v>1</v>
      </c>
      <c r="N82" s="14">
        <f t="shared" si="29"/>
        <v>1</v>
      </c>
      <c r="O82" s="14">
        <f t="shared" si="29"/>
        <v>1</v>
      </c>
      <c r="P82" s="14">
        <f t="shared" si="29"/>
        <v>1</v>
      </c>
      <c r="Q82" s="14">
        <f t="shared" si="29"/>
        <v>1</v>
      </c>
      <c r="R82" s="14">
        <f t="shared" si="29"/>
        <v>7.2624999999999993E-7</v>
      </c>
      <c r="S82" s="14">
        <f t="shared" si="29"/>
        <v>6.9196428571428564E-9</v>
      </c>
      <c r="T82" s="14">
        <f t="shared" si="29"/>
        <v>1.0331428571428571E-12</v>
      </c>
      <c r="U82" s="14">
        <f t="shared" si="29"/>
        <v>2.0990357142857142E-20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1</v>
      </c>
      <c r="E83" s="6" t="str">
        <f t="shared" si="23"/>
        <v>*Ga[1]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0</v>
      </c>
      <c r="N83" s="14">
        <f t="shared" si="30"/>
        <v>0</v>
      </c>
      <c r="O83" s="14">
        <f t="shared" si="30"/>
        <v>0</v>
      </c>
      <c r="P83" s="14">
        <f t="shared" si="30"/>
        <v>0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1.3908571428571428E-35</v>
      </c>
      <c r="V83" s="14">
        <f t="shared" si="30"/>
        <v>3.898214285714285E-20</v>
      </c>
      <c r="W83" s="14">
        <f t="shared" si="30"/>
        <v>9.7035714285714285E-20</v>
      </c>
      <c r="X83" s="14">
        <f t="shared" si="30"/>
        <v>9.814999999999999E-17</v>
      </c>
      <c r="Y83" s="14">
        <f t="shared" si="30"/>
        <v>7.7342857142857135E-17</v>
      </c>
      <c r="Z83" s="14">
        <f t="shared" si="30"/>
        <v>1.477142857142857E-7</v>
      </c>
      <c r="AA83" s="14">
        <f t="shared" si="30"/>
        <v>1.2239999999999998E-6</v>
      </c>
      <c r="AB83" s="14">
        <f t="shared" si="30"/>
        <v>9.115357142857142E-7</v>
      </c>
      <c r="AC83" s="14">
        <f t="shared" si="30"/>
        <v>6.7664285714285713E-7</v>
      </c>
      <c r="AD83" s="14">
        <f t="shared" si="30"/>
        <v>5.8535714285714282E-7</v>
      </c>
      <c r="AE83" s="14">
        <f t="shared" si="30"/>
        <v>2.0250357142857141E-7</v>
      </c>
      <c r="AF83" s="14">
        <f t="shared" si="30"/>
        <v>5.8517857142857141E-8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1</v>
      </c>
      <c r="C84" s="5">
        <f t="shared" si="27"/>
        <v>0</v>
      </c>
      <c r="D84" s="5">
        <f t="shared" si="27"/>
        <v>2</v>
      </c>
      <c r="E84" s="6" t="str">
        <f t="shared" si="23"/>
        <v>*Ga2Se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0</v>
      </c>
      <c r="J84" s="14">
        <f t="shared" si="31"/>
        <v>0</v>
      </c>
      <c r="K84" s="14">
        <f t="shared" si="31"/>
        <v>0</v>
      </c>
      <c r="L84" s="14">
        <f t="shared" si="31"/>
        <v>0</v>
      </c>
      <c r="M84" s="14">
        <f t="shared" si="31"/>
        <v>0</v>
      </c>
      <c r="N84" s="14">
        <f t="shared" si="31"/>
        <v>0</v>
      </c>
      <c r="O84" s="14">
        <f t="shared" si="31"/>
        <v>0</v>
      </c>
      <c r="P84" s="14">
        <f t="shared" si="31"/>
        <v>0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1.1073571428571427E-28</v>
      </c>
      <c r="V84" s="14">
        <f t="shared" si="31"/>
        <v>1.4957857142857142E-11</v>
      </c>
      <c r="W84" s="14">
        <f t="shared" si="31"/>
        <v>1.511642857142857E-6</v>
      </c>
      <c r="X84" s="14">
        <f t="shared" si="31"/>
        <v>4.3725E-2</v>
      </c>
      <c r="Y84" s="14">
        <f t="shared" si="31"/>
        <v>6.1253571428571421E-2</v>
      </c>
      <c r="Z84" s="14">
        <f t="shared" si="31"/>
        <v>9.3660714285714287E-8</v>
      </c>
      <c r="AA84" s="14">
        <f t="shared" si="31"/>
        <v>2.2606785714285714E-12</v>
      </c>
      <c r="AB84" s="14">
        <f t="shared" si="31"/>
        <v>1.8461428571428567E-24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1</v>
      </c>
      <c r="D85" s="5">
        <f t="shared" si="27"/>
        <v>0</v>
      </c>
      <c r="E85" s="6" t="str">
        <f t="shared" si="23"/>
        <v>*Ge[c]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0</v>
      </c>
      <c r="J85" s="14">
        <f t="shared" si="32"/>
        <v>0</v>
      </c>
      <c r="K85" s="14">
        <f t="shared" si="32"/>
        <v>0</v>
      </c>
      <c r="L85" s="14">
        <f t="shared" si="32"/>
        <v>0</v>
      </c>
      <c r="M85" s="14">
        <f t="shared" si="32"/>
        <v>5.8528571428571417E-33</v>
      </c>
      <c r="N85" s="14">
        <f t="shared" si="32"/>
        <v>1.817892857142857E-25</v>
      </c>
      <c r="O85" s="14">
        <f t="shared" si="32"/>
        <v>5.4767857142857141E-11</v>
      </c>
      <c r="P85" s="14">
        <f t="shared" si="32"/>
        <v>1.579642857142857E-9</v>
      </c>
      <c r="Q85" s="14">
        <f t="shared" si="32"/>
        <v>6.678928571428571E-8</v>
      </c>
      <c r="R85" s="14">
        <f t="shared" si="32"/>
        <v>0.5</v>
      </c>
      <c r="S85" s="14">
        <f t="shared" si="32"/>
        <v>0.5</v>
      </c>
      <c r="T85" s="14">
        <f t="shared" si="32"/>
        <v>0.5</v>
      </c>
      <c r="U85" s="14">
        <f t="shared" si="32"/>
        <v>0.5</v>
      </c>
      <c r="V85" s="14">
        <f t="shared" si="32"/>
        <v>0.5</v>
      </c>
      <c r="W85" s="14">
        <f t="shared" si="32"/>
        <v>0.5</v>
      </c>
      <c r="X85" s="14">
        <f t="shared" si="32"/>
        <v>0.5</v>
      </c>
      <c r="Y85" s="14">
        <f t="shared" si="32"/>
        <v>0.5</v>
      </c>
      <c r="Z85" s="14">
        <f t="shared" si="32"/>
        <v>0.48753571428571424</v>
      </c>
      <c r="AA85" s="14">
        <f t="shared" si="32"/>
        <v>0.48528571428571426</v>
      </c>
      <c r="AB85" s="14">
        <f t="shared" si="32"/>
        <v>0.48314285714285715</v>
      </c>
      <c r="AC85" s="14">
        <f t="shared" si="32"/>
        <v>0.48078571428571421</v>
      </c>
      <c r="AD85" s="14">
        <f t="shared" si="32"/>
        <v>0.47817857142857145</v>
      </c>
      <c r="AE85" s="14">
        <f t="shared" si="32"/>
        <v>0.46389285714285711</v>
      </c>
      <c r="AF85" s="14">
        <f t="shared" si="32"/>
        <v>0.43917857142857136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1</v>
      </c>
      <c r="C86" s="5">
        <f t="shared" si="27"/>
        <v>0</v>
      </c>
      <c r="D86" s="5">
        <f t="shared" si="27"/>
        <v>0</v>
      </c>
      <c r="E86" s="6" t="str">
        <f t="shared" si="23"/>
        <v>*Se[m]</v>
      </c>
      <c r="F86" s="14">
        <f t="shared" ref="F86:AL86" si="33">F10*$C$78</f>
        <v>5.4553571428571421E-21</v>
      </c>
      <c r="G86" s="14">
        <f t="shared" si="33"/>
        <v>4.6507142857142859E-17</v>
      </c>
      <c r="H86" s="14">
        <f t="shared" si="33"/>
        <v>1.4723928571428569E-11</v>
      </c>
      <c r="I86" s="14">
        <f t="shared" si="33"/>
        <v>5.2053571428571422E-9</v>
      </c>
      <c r="J86" s="14">
        <f t="shared" si="33"/>
        <v>1.089642857142857E-6</v>
      </c>
      <c r="K86" s="14">
        <f t="shared" si="33"/>
        <v>0.5</v>
      </c>
      <c r="L86" s="14">
        <f t="shared" si="33"/>
        <v>0.5</v>
      </c>
      <c r="M86" s="14">
        <f t="shared" si="33"/>
        <v>0.5</v>
      </c>
      <c r="N86" s="14">
        <f t="shared" si="33"/>
        <v>0.5</v>
      </c>
      <c r="O86" s="14">
        <f t="shared" si="33"/>
        <v>0.5</v>
      </c>
      <c r="P86" s="14">
        <f t="shared" si="33"/>
        <v>0.5</v>
      </c>
      <c r="Q86" s="14">
        <f t="shared" si="33"/>
        <v>0.5</v>
      </c>
      <c r="R86" s="14">
        <f t="shared" si="33"/>
        <v>1.4999999999999998</v>
      </c>
      <c r="S86" s="14">
        <f t="shared" si="33"/>
        <v>1.4999999999999998</v>
      </c>
      <c r="T86" s="14">
        <f t="shared" si="33"/>
        <v>1.4999999999999998</v>
      </c>
      <c r="U86" s="14">
        <f t="shared" si="33"/>
        <v>1.4999999999999998</v>
      </c>
      <c r="V86" s="14">
        <f t="shared" si="33"/>
        <v>1.4999999999999998</v>
      </c>
      <c r="W86" s="14">
        <f t="shared" si="33"/>
        <v>1.4999999999999998</v>
      </c>
      <c r="X86" s="14">
        <f t="shared" si="33"/>
        <v>1.5874642857142856</v>
      </c>
      <c r="Y86" s="14">
        <f t="shared" si="33"/>
        <v>1.6224999999999998</v>
      </c>
      <c r="Z86" s="14">
        <f t="shared" si="33"/>
        <v>1.706142857142857</v>
      </c>
      <c r="AA86" s="14">
        <f t="shared" si="33"/>
        <v>1.7129999999999999</v>
      </c>
      <c r="AB86" s="14">
        <f t="shared" si="33"/>
        <v>1.7140714285714285</v>
      </c>
      <c r="AC86" s="14">
        <f t="shared" si="33"/>
        <v>1.7142500000000001</v>
      </c>
      <c r="AD86" s="14">
        <f t="shared" si="33"/>
        <v>1.7142857142857142</v>
      </c>
      <c r="AE86" s="14">
        <f t="shared" si="33"/>
        <v>1.7142857142857142</v>
      </c>
      <c r="AF86" s="14">
        <f t="shared" si="33"/>
        <v>1.7142857142857142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1</v>
      </c>
      <c r="D87" s="5">
        <f t="shared" si="27"/>
        <v>0</v>
      </c>
      <c r="E87" s="6" t="str">
        <f t="shared" si="23"/>
        <v>*GeSe2</v>
      </c>
      <c r="F87" s="14">
        <f t="shared" ref="F87:AL87" si="34">F11*$C$78</f>
        <v>0.5</v>
      </c>
      <c r="G87" s="14">
        <f t="shared" si="34"/>
        <v>0.5</v>
      </c>
      <c r="H87" s="14">
        <f t="shared" si="34"/>
        <v>0.5</v>
      </c>
      <c r="I87" s="14">
        <f t="shared" si="34"/>
        <v>0.5</v>
      </c>
      <c r="J87" s="14">
        <f t="shared" si="34"/>
        <v>0.5</v>
      </c>
      <c r="K87" s="14">
        <f t="shared" si="34"/>
        <v>1.1503571428571428E-8</v>
      </c>
      <c r="L87" s="14">
        <f t="shared" si="34"/>
        <v>7.1342857142857134E-10</v>
      </c>
      <c r="M87" s="14">
        <f t="shared" si="34"/>
        <v>3.4407499999999999E-11</v>
      </c>
      <c r="N87" s="14">
        <f t="shared" si="34"/>
        <v>5.0417857142857133E-13</v>
      </c>
      <c r="O87" s="14">
        <f t="shared" si="34"/>
        <v>1.0128928571428571E-25</v>
      </c>
      <c r="P87" s="14">
        <f t="shared" si="34"/>
        <v>0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3</v>
      </c>
      <c r="C88" s="5">
        <f t="shared" si="27"/>
        <v>0</v>
      </c>
      <c r="D88" s="5">
        <f t="shared" si="27"/>
        <v>2</v>
      </c>
      <c r="E88" s="6" t="str">
        <f t="shared" si="23"/>
        <v>Ga2Se3</v>
      </c>
      <c r="F88" s="14">
        <f t="shared" ref="F88:AL88" si="35">F12*$C$78</f>
        <v>7.1428571428571425E-2</v>
      </c>
      <c r="G88" s="14">
        <f t="shared" si="35"/>
        <v>7.1428571428571425E-2</v>
      </c>
      <c r="H88" s="14">
        <f t="shared" si="35"/>
        <v>7.1428571428571425E-2</v>
      </c>
      <c r="I88" s="14">
        <f t="shared" si="35"/>
        <v>7.1428571428571425E-2</v>
      </c>
      <c r="J88" s="14">
        <f t="shared" si="35"/>
        <v>7.1428571428571425E-2</v>
      </c>
      <c r="K88" s="14">
        <f t="shared" si="35"/>
        <v>7.1428571428571425E-2</v>
      </c>
      <c r="L88" s="14">
        <f t="shared" si="35"/>
        <v>7.1428571428571425E-2</v>
      </c>
      <c r="M88" s="14">
        <f t="shared" si="35"/>
        <v>7.1428571428571425E-2</v>
      </c>
      <c r="N88" s="14">
        <f t="shared" si="35"/>
        <v>7.1428571428571425E-2</v>
      </c>
      <c r="O88" s="14">
        <f t="shared" si="35"/>
        <v>7.1428571428571425E-2</v>
      </c>
      <c r="P88" s="14">
        <f t="shared" si="35"/>
        <v>7.1428571428571425E-2</v>
      </c>
      <c r="Q88" s="14">
        <f t="shared" si="35"/>
        <v>7.1428571428571425E-2</v>
      </c>
      <c r="R88" s="14">
        <f t="shared" si="35"/>
        <v>7.1428571428571425E-2</v>
      </c>
      <c r="S88" s="14">
        <f t="shared" si="35"/>
        <v>7.1428571428571425E-2</v>
      </c>
      <c r="T88" s="14">
        <f t="shared" si="35"/>
        <v>7.1428571428571425E-2</v>
      </c>
      <c r="U88" s="14">
        <f t="shared" si="35"/>
        <v>7.1428571428571425E-2</v>
      </c>
      <c r="V88" s="14">
        <f t="shared" si="35"/>
        <v>7.1428571428571425E-2</v>
      </c>
      <c r="W88" s="14">
        <f t="shared" si="35"/>
        <v>7.1428571428571425E-2</v>
      </c>
      <c r="X88" s="14">
        <f t="shared" si="35"/>
        <v>2.7702142857142856E-2</v>
      </c>
      <c r="Y88" s="14">
        <f t="shared" si="35"/>
        <v>1.0173928571428572E-2</v>
      </c>
      <c r="Z88" s="14">
        <f t="shared" si="35"/>
        <v>2.710107142857143E-3</v>
      </c>
      <c r="AA88" s="14">
        <f t="shared" si="35"/>
        <v>4.2853571428571425E-4</v>
      </c>
      <c r="AB88" s="14">
        <f t="shared" si="35"/>
        <v>7.1503571428571422E-5</v>
      </c>
      <c r="AC88" s="14">
        <f t="shared" si="35"/>
        <v>1.2518928571428572E-5</v>
      </c>
      <c r="AD88" s="14">
        <f t="shared" si="35"/>
        <v>2.2916071428571428E-6</v>
      </c>
      <c r="AE88" s="14">
        <f t="shared" si="35"/>
        <v>3.7796428571428569E-9</v>
      </c>
      <c r="AF88" s="14">
        <f t="shared" si="35"/>
        <v>1.0065714285714285E-11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0</v>
      </c>
      <c r="M89" s="14">
        <f t="shared" si="36"/>
        <v>0</v>
      </c>
      <c r="N89" s="14">
        <f t="shared" si="36"/>
        <v>0</v>
      </c>
      <c r="O89" s="14">
        <f t="shared" si="36"/>
        <v>2.3860714285714284E-32</v>
      </c>
      <c r="P89" s="14">
        <f t="shared" si="36"/>
        <v>2.7910714285714284E-30</v>
      </c>
      <c r="Q89" s="14">
        <f t="shared" si="36"/>
        <v>2.4427499999999996E-28</v>
      </c>
      <c r="R89" s="14">
        <f t="shared" si="36"/>
        <v>1.6434642857142857E-26</v>
      </c>
      <c r="S89" s="14">
        <f t="shared" si="36"/>
        <v>8.7046428571428554E-25</v>
      </c>
      <c r="T89" s="14">
        <f t="shared" si="36"/>
        <v>9.2060714285714283E-19</v>
      </c>
      <c r="U89" s="14">
        <f t="shared" si="36"/>
        <v>7.8985714285714276E-14</v>
      </c>
      <c r="V89" s="14">
        <f t="shared" si="36"/>
        <v>1.0674285714285715E-9</v>
      </c>
      <c r="W89" s="14">
        <f t="shared" si="36"/>
        <v>9.1175000000000004E-9</v>
      </c>
      <c r="X89" s="14">
        <f t="shared" si="36"/>
        <v>2.7843214285714284E-8</v>
      </c>
      <c r="Y89" s="14">
        <f t="shared" si="36"/>
        <v>7.4592857142857132E-8</v>
      </c>
      <c r="Z89" s="14">
        <f t="shared" si="36"/>
        <v>1.3490714285714283E-7</v>
      </c>
      <c r="AA89" s="14">
        <f t="shared" si="36"/>
        <v>1.3537857142857142E-7</v>
      </c>
      <c r="AB89" s="14">
        <f t="shared" si="36"/>
        <v>1.34525E-7</v>
      </c>
      <c r="AC89" s="14">
        <f t="shared" si="36"/>
        <v>1.3209285714285714E-7</v>
      </c>
      <c r="AD89" s="14">
        <f t="shared" si="36"/>
        <v>1.2814642857142858E-7</v>
      </c>
      <c r="AE89" s="14">
        <f t="shared" si="36"/>
        <v>1.0039642857142857E-7</v>
      </c>
      <c r="AF89" s="14">
        <f t="shared" si="36"/>
        <v>6.3507142857142854E-8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0.7142857142857143</v>
      </c>
      <c r="G90" s="14">
        <f t="shared" si="37"/>
        <v>0.7142857142857143</v>
      </c>
      <c r="H90" s="14">
        <f t="shared" si="37"/>
        <v>0.7142857142857143</v>
      </c>
      <c r="I90" s="14">
        <f t="shared" si="37"/>
        <v>0.7142857142857143</v>
      </c>
      <c r="J90" s="14">
        <f t="shared" si="37"/>
        <v>0.7142857142857143</v>
      </c>
      <c r="K90" s="14">
        <f t="shared" si="37"/>
        <v>0.7142857142857143</v>
      </c>
      <c r="L90" s="14">
        <f t="shared" si="37"/>
        <v>0.7142857142857143</v>
      </c>
      <c r="M90" s="14">
        <f t="shared" si="37"/>
        <v>0.7142857142857143</v>
      </c>
      <c r="N90" s="14">
        <f t="shared" si="37"/>
        <v>0.7142857142857143</v>
      </c>
      <c r="O90" s="14">
        <f t="shared" si="37"/>
        <v>0.7142857142857143</v>
      </c>
      <c r="P90" s="14">
        <f t="shared" si="37"/>
        <v>0.7142857142857143</v>
      </c>
      <c r="Q90" s="14">
        <f t="shared" si="37"/>
        <v>0.7142857142857143</v>
      </c>
      <c r="R90" s="14">
        <f t="shared" si="37"/>
        <v>0.7142857142857143</v>
      </c>
      <c r="S90" s="14">
        <f t="shared" si="37"/>
        <v>0.7142857142857143</v>
      </c>
      <c r="T90" s="14">
        <f t="shared" si="37"/>
        <v>0.7142857142857143</v>
      </c>
      <c r="U90" s="14">
        <f t="shared" si="37"/>
        <v>0.7142857142857143</v>
      </c>
      <c r="V90" s="14">
        <f t="shared" si="37"/>
        <v>0.7142857142857143</v>
      </c>
      <c r="W90" s="14">
        <f t="shared" si="37"/>
        <v>0.7142857142857143</v>
      </c>
      <c r="X90" s="14">
        <f t="shared" si="37"/>
        <v>0.7142857142857143</v>
      </c>
      <c r="Y90" s="14">
        <f t="shared" si="37"/>
        <v>0.7142857142857143</v>
      </c>
      <c r="Z90" s="14">
        <f t="shared" si="37"/>
        <v>0.7142857142857143</v>
      </c>
      <c r="AA90" s="14">
        <f t="shared" si="37"/>
        <v>0.7142857142857143</v>
      </c>
      <c r="AB90" s="14">
        <f t="shared" si="37"/>
        <v>0.7142857142857143</v>
      </c>
      <c r="AC90" s="14">
        <f t="shared" si="37"/>
        <v>0.7142857142857143</v>
      </c>
      <c r="AD90" s="14">
        <f t="shared" si="37"/>
        <v>0.7142857142857143</v>
      </c>
      <c r="AE90" s="14">
        <f t="shared" si="37"/>
        <v>0.7142857142857143</v>
      </c>
      <c r="AF90" s="14">
        <f t="shared" si="37"/>
        <v>0.7142857142857143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(1)Ga[1]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0</v>
      </c>
      <c r="O91" s="14">
        <f t="shared" si="38"/>
        <v>0</v>
      </c>
      <c r="P91" s="14">
        <f t="shared" si="38"/>
        <v>0</v>
      </c>
      <c r="Q91" s="14">
        <f t="shared" si="38"/>
        <v>0</v>
      </c>
      <c r="R91" s="14">
        <f t="shared" si="38"/>
        <v>0</v>
      </c>
      <c r="S91" s="14">
        <f t="shared" si="38"/>
        <v>0</v>
      </c>
      <c r="T91" s="14">
        <f t="shared" si="38"/>
        <v>1.2942142857142857E-19</v>
      </c>
      <c r="U91" s="14">
        <f t="shared" si="38"/>
        <v>2.5154642857142856E-13</v>
      </c>
      <c r="V91" s="14">
        <f t="shared" si="38"/>
        <v>1.0573214285714285E-9</v>
      </c>
      <c r="W91" s="14">
        <f t="shared" si="38"/>
        <v>3.7107142857142853E-10</v>
      </c>
      <c r="X91" s="14">
        <f t="shared" si="38"/>
        <v>5.4135714285714276E-8</v>
      </c>
      <c r="Y91" s="14">
        <f t="shared" si="38"/>
        <v>7.6699999999999992E-7</v>
      </c>
      <c r="Z91" s="14">
        <f t="shared" si="38"/>
        <v>0.13743571428571427</v>
      </c>
      <c r="AA91" s="14">
        <f t="shared" si="38"/>
        <v>0.14199999999999999</v>
      </c>
      <c r="AB91" s="14">
        <f t="shared" si="38"/>
        <v>0.14271428571428571</v>
      </c>
      <c r="AC91" s="14">
        <f t="shared" si="38"/>
        <v>0.14283214285714285</v>
      </c>
      <c r="AD91" s="14">
        <f t="shared" si="38"/>
        <v>0.14284999999999998</v>
      </c>
      <c r="AE91" s="14">
        <f t="shared" si="38"/>
        <v>0.14285714285714285</v>
      </c>
      <c r="AF91" s="14">
        <f t="shared" si="38"/>
        <v>0.14285714285714285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(1)Ge[1]</v>
      </c>
      <c r="F92" s="14">
        <f t="shared" ref="F92:AL92" si="39">F16*$C$78</f>
        <v>0</v>
      </c>
      <c r="G92" s="14">
        <f t="shared" si="39"/>
        <v>0</v>
      </c>
      <c r="H92" s="14">
        <f t="shared" si="39"/>
        <v>0</v>
      </c>
      <c r="I92" s="14">
        <f t="shared" si="39"/>
        <v>0</v>
      </c>
      <c r="J92" s="14">
        <f t="shared" si="39"/>
        <v>0</v>
      </c>
      <c r="K92" s="14">
        <f t="shared" si="39"/>
        <v>0</v>
      </c>
      <c r="L92" s="14">
        <f t="shared" si="39"/>
        <v>0</v>
      </c>
      <c r="M92" s="14">
        <f t="shared" si="39"/>
        <v>0</v>
      </c>
      <c r="N92" s="14">
        <f t="shared" si="39"/>
        <v>0</v>
      </c>
      <c r="O92" s="14">
        <f t="shared" si="39"/>
        <v>2.6473571428571426E-35</v>
      </c>
      <c r="P92" s="14">
        <f t="shared" si="39"/>
        <v>0</v>
      </c>
      <c r="Q92" s="14">
        <f t="shared" si="39"/>
        <v>0</v>
      </c>
      <c r="R92" s="14">
        <f t="shared" si="39"/>
        <v>0</v>
      </c>
      <c r="S92" s="14">
        <f t="shared" si="39"/>
        <v>0</v>
      </c>
      <c r="T92" s="14">
        <f t="shared" si="39"/>
        <v>7.2117857142857136E-16</v>
      </c>
      <c r="U92" s="14">
        <f t="shared" si="39"/>
        <v>1.42975E-11</v>
      </c>
      <c r="V92" s="14">
        <f t="shared" si="39"/>
        <v>1.1881785714285715E-9</v>
      </c>
      <c r="W92" s="14">
        <f t="shared" si="39"/>
        <v>1.702392857142857E-10</v>
      </c>
      <c r="X92" s="14">
        <f t="shared" si="39"/>
        <v>1.6296785714285713E-8</v>
      </c>
      <c r="Y92" s="14">
        <f t="shared" si="39"/>
        <v>1.6277857142857142E-7</v>
      </c>
      <c r="Z92" s="14">
        <f t="shared" si="39"/>
        <v>2.4954285714285714E-2</v>
      </c>
      <c r="AA92" s="14">
        <f t="shared" si="39"/>
        <v>2.9449285714285709E-2</v>
      </c>
      <c r="AB92" s="14">
        <f t="shared" si="39"/>
        <v>3.3730714285714281E-2</v>
      </c>
      <c r="AC92" s="14">
        <f t="shared" si="39"/>
        <v>3.8403571428571426E-2</v>
      </c>
      <c r="AD92" s="14">
        <f t="shared" si="39"/>
        <v>4.3628571428571426E-2</v>
      </c>
      <c r="AE92" s="14">
        <f t="shared" si="39"/>
        <v>7.2246428571428573E-2</v>
      </c>
      <c r="AF92" s="14">
        <f t="shared" si="39"/>
        <v>0.12164999999999999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1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 t="str">
        <f t="shared" si="23"/>
        <v>H (Ar)</v>
      </c>
      <c r="F93" s="14">
        <f t="shared" ref="F93:AL93" si="40">F17*$C$78</f>
        <v>-66.857142857142847</v>
      </c>
      <c r="G93" s="14">
        <f t="shared" si="40"/>
        <v>-66.821428571428569</v>
      </c>
      <c r="H93" s="14">
        <f t="shared" si="40"/>
        <v>-66.821428571428569</v>
      </c>
      <c r="I93" s="14">
        <f t="shared" si="40"/>
        <v>-66.821428571428569</v>
      </c>
      <c r="J93" s="14">
        <f t="shared" si="40"/>
        <v>-66.892857142857139</v>
      </c>
      <c r="K93" s="14">
        <f t="shared" si="40"/>
        <v>-66.928571428571416</v>
      </c>
      <c r="L93" s="14">
        <f t="shared" si="40"/>
        <v>-67</v>
      </c>
      <c r="M93" s="14">
        <f t="shared" si="40"/>
        <v>-67.107142857142847</v>
      </c>
      <c r="N93" s="14">
        <f t="shared" si="40"/>
        <v>-67.178571428571416</v>
      </c>
      <c r="O93" s="14">
        <f t="shared" si="40"/>
        <v>-67.607142857142847</v>
      </c>
      <c r="P93" s="14">
        <f t="shared" si="40"/>
        <v>-67.749999999999986</v>
      </c>
      <c r="Q93" s="14">
        <f t="shared" si="40"/>
        <v>-67.857142857142847</v>
      </c>
      <c r="R93" s="14">
        <f t="shared" si="40"/>
        <v>-67.964285714285708</v>
      </c>
      <c r="S93" s="14">
        <f t="shared" si="40"/>
        <v>-68.107142857142847</v>
      </c>
      <c r="T93" s="14">
        <f t="shared" si="40"/>
        <v>-68.571428571428569</v>
      </c>
      <c r="U93" s="14">
        <f t="shared" si="40"/>
        <v>-69.071428571428569</v>
      </c>
      <c r="V93" s="14">
        <f t="shared" si="40"/>
        <v>-69.571428571428569</v>
      </c>
      <c r="W93" s="14">
        <f t="shared" si="40"/>
        <v>-69.678571428571431</v>
      </c>
      <c r="X93" s="14">
        <f t="shared" si="40"/>
        <v>-69.607142857142847</v>
      </c>
      <c r="Y93" s="14">
        <f t="shared" si="40"/>
        <v>-69.642857142857139</v>
      </c>
      <c r="Z93" s="14">
        <f t="shared" si="40"/>
        <v>-69.714285714285708</v>
      </c>
      <c r="AA93" s="14">
        <f t="shared" si="40"/>
        <v>-69.821428571428569</v>
      </c>
      <c r="AB93" s="14">
        <f t="shared" si="40"/>
        <v>-69.928571428571416</v>
      </c>
      <c r="AC93" s="14">
        <f t="shared" si="40"/>
        <v>-70.035714285714278</v>
      </c>
      <c r="AD93" s="14">
        <f t="shared" si="40"/>
        <v>-70.142857142857139</v>
      </c>
      <c r="AE93" s="14">
        <f t="shared" si="40"/>
        <v>-70.571428571428569</v>
      </c>
      <c r="AF93" s="14">
        <f t="shared" si="40"/>
        <v>-70.999999999999986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1</v>
      </c>
      <c r="E94" s="6" t="str">
        <f t="shared" si="23"/>
        <v>H (Ga)</v>
      </c>
      <c r="F94" s="14">
        <f t="shared" ref="F94:AL94" si="41">F18*$C$78</f>
        <v>-238.42857142857142</v>
      </c>
      <c r="G94" s="14">
        <f t="shared" si="41"/>
        <v>-226</v>
      </c>
      <c r="H94" s="14">
        <f t="shared" si="41"/>
        <v>-214.92857142857142</v>
      </c>
      <c r="I94" s="14">
        <f t="shared" si="41"/>
        <v>-204.99999999999997</v>
      </c>
      <c r="J94" s="14">
        <f t="shared" si="41"/>
        <v>-196.10714285714283</v>
      </c>
      <c r="K94" s="14">
        <f t="shared" si="41"/>
        <v>-184.03571428571428</v>
      </c>
      <c r="L94" s="14">
        <f t="shared" si="41"/>
        <v>-172.03571428571428</v>
      </c>
      <c r="M94" s="14">
        <f t="shared" si="41"/>
        <v>-160.92857142857142</v>
      </c>
      <c r="N94" s="14">
        <f t="shared" si="41"/>
        <v>-150.67857142857142</v>
      </c>
      <c r="O94" s="14">
        <f t="shared" si="41"/>
        <v>-116.17857142857143</v>
      </c>
      <c r="P94" s="14">
        <f t="shared" si="41"/>
        <v>-108.85714285714285</v>
      </c>
      <c r="Q94" s="14">
        <f t="shared" si="41"/>
        <v>-101.96428571428571</v>
      </c>
      <c r="R94" s="14">
        <f t="shared" si="41"/>
        <v>-95.499999999999986</v>
      </c>
      <c r="S94" s="14">
        <f t="shared" si="41"/>
        <v>-89.357142857142847</v>
      </c>
      <c r="T94" s="14">
        <f t="shared" si="41"/>
        <v>-67.714285714285708</v>
      </c>
      <c r="U94" s="14">
        <f t="shared" si="41"/>
        <v>-49.821428571428562</v>
      </c>
      <c r="V94" s="14">
        <f t="shared" si="41"/>
        <v>-34.664285714285711</v>
      </c>
      <c r="W94" s="14">
        <f t="shared" si="41"/>
        <v>-31.221428571428572</v>
      </c>
      <c r="X94" s="14">
        <f t="shared" si="41"/>
        <v>-29.485714285714284</v>
      </c>
      <c r="Y94" s="14">
        <f t="shared" si="41"/>
        <v>-28.024999999999999</v>
      </c>
      <c r="Z94" s="14">
        <f t="shared" si="41"/>
        <v>-27.267857142857139</v>
      </c>
      <c r="AA94" s="14">
        <f t="shared" si="41"/>
        <v>-27.553571428571427</v>
      </c>
      <c r="AB94" s="14">
        <f t="shared" si="41"/>
        <v>-27.842857142857142</v>
      </c>
      <c r="AC94" s="14">
        <f t="shared" si="41"/>
        <v>-28.139285714285712</v>
      </c>
      <c r="AD94" s="14">
        <f t="shared" si="41"/>
        <v>-28.439285714285713</v>
      </c>
      <c r="AE94" s="14">
        <f t="shared" si="41"/>
        <v>-29.710714285714285</v>
      </c>
      <c r="AF94" s="14">
        <f t="shared" si="41"/>
        <v>-31.160714285714281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1</v>
      </c>
      <c r="D95" s="5">
        <f t="shared" si="27"/>
        <v>0</v>
      </c>
      <c r="E95" s="6" t="str">
        <f t="shared" si="23"/>
        <v>H (Ge)</v>
      </c>
      <c r="F95" s="14">
        <f t="shared" ref="F95:AL95" si="42">F19*$C$78</f>
        <v>-58.178571428571423</v>
      </c>
      <c r="G95" s="14">
        <f t="shared" si="42"/>
        <v>-55.892857142857139</v>
      </c>
      <c r="H95" s="14">
        <f t="shared" si="42"/>
        <v>-53.892857142857139</v>
      </c>
      <c r="I95" s="14">
        <f t="shared" si="42"/>
        <v>-52.107142857142854</v>
      </c>
      <c r="J95" s="14">
        <f t="shared" si="42"/>
        <v>-50.571428571428569</v>
      </c>
      <c r="K95" s="14">
        <f t="shared" si="42"/>
        <v>-46.535714285714278</v>
      </c>
      <c r="L95" s="14">
        <f t="shared" si="42"/>
        <v>-42.142857142857146</v>
      </c>
      <c r="M95" s="14">
        <f t="shared" si="42"/>
        <v>-38.107142857142854</v>
      </c>
      <c r="N95" s="14">
        <f t="shared" si="42"/>
        <v>-34.339285714285715</v>
      </c>
      <c r="O95" s="14">
        <f t="shared" si="42"/>
        <v>-21.571428571428569</v>
      </c>
      <c r="P95" s="14">
        <f t="shared" si="42"/>
        <v>-18.842857142857142</v>
      </c>
      <c r="Q95" s="14">
        <f t="shared" si="42"/>
        <v>-16.260714285714283</v>
      </c>
      <c r="R95" s="14">
        <f t="shared" si="42"/>
        <v>-14.696428571428571</v>
      </c>
      <c r="S95" s="14">
        <f t="shared" si="42"/>
        <v>-14.839285714285714</v>
      </c>
      <c r="T95" s="14">
        <f t="shared" si="42"/>
        <v>-15.417857142857143</v>
      </c>
      <c r="U95" s="14">
        <f t="shared" si="42"/>
        <v>-16.003571428571426</v>
      </c>
      <c r="V95" s="14">
        <f t="shared" si="42"/>
        <v>-16.582142857142856</v>
      </c>
      <c r="W95" s="14">
        <f t="shared" si="42"/>
        <v>-16.724999999999998</v>
      </c>
      <c r="X95" s="14">
        <f t="shared" si="42"/>
        <v>-16.864285714285714</v>
      </c>
      <c r="Y95" s="14">
        <f t="shared" si="42"/>
        <v>-17.007142857142853</v>
      </c>
      <c r="Z95" s="14">
        <f t="shared" si="42"/>
        <v>-17.146428571428572</v>
      </c>
      <c r="AA95" s="14">
        <f t="shared" si="42"/>
        <v>-17.285714285714285</v>
      </c>
      <c r="AB95" s="14">
        <f t="shared" si="42"/>
        <v>-17.421428571428571</v>
      </c>
      <c r="AC95" s="14">
        <f t="shared" si="42"/>
        <v>-17.560714285714283</v>
      </c>
      <c r="AD95" s="14">
        <f t="shared" si="42"/>
        <v>-17.696428571428569</v>
      </c>
      <c r="AE95" s="14">
        <f t="shared" si="42"/>
        <v>-18.228571428571428</v>
      </c>
      <c r="AF95" s="14">
        <f t="shared" si="42"/>
        <v>-18.74642857142857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1</v>
      </c>
      <c r="C96" s="5">
        <f t="shared" si="27"/>
        <v>0</v>
      </c>
      <c r="D96" s="5">
        <f t="shared" si="27"/>
        <v>0</v>
      </c>
      <c r="E96" s="6" t="str">
        <f t="shared" si="23"/>
        <v>H (Se)</v>
      </c>
      <c r="F96" s="14">
        <f t="shared" ref="F96:AL96" si="43">F20*$C$78</f>
        <v>-83.999999999999986</v>
      </c>
      <c r="G96" s="14">
        <f t="shared" si="43"/>
        <v>-80.035714285714278</v>
      </c>
      <c r="H96" s="14">
        <f t="shared" si="43"/>
        <v>-76.5</v>
      </c>
      <c r="I96" s="14">
        <f t="shared" si="43"/>
        <v>-73.357142857142847</v>
      </c>
      <c r="J96" s="14">
        <f t="shared" si="43"/>
        <v>-70.571428571428569</v>
      </c>
      <c r="K96" s="14">
        <f t="shared" si="43"/>
        <v>-70.678571428571416</v>
      </c>
      <c r="L96" s="14">
        <f t="shared" si="43"/>
        <v>-71.535714285714278</v>
      </c>
      <c r="M96" s="14">
        <f t="shared" si="43"/>
        <v>-72.428571428571431</v>
      </c>
      <c r="N96" s="14">
        <f t="shared" si="43"/>
        <v>-73.285714285714278</v>
      </c>
      <c r="O96" s="14">
        <f t="shared" si="43"/>
        <v>-76.857142857142847</v>
      </c>
      <c r="P96" s="14">
        <f t="shared" si="43"/>
        <v>-77.75</v>
      </c>
      <c r="Q96" s="14">
        <f t="shared" si="43"/>
        <v>-78.642857142857139</v>
      </c>
      <c r="R96" s="14">
        <f t="shared" si="43"/>
        <v>-79.535714285714278</v>
      </c>
      <c r="S96" s="14">
        <f t="shared" si="43"/>
        <v>-80.392857142857139</v>
      </c>
      <c r="T96" s="14">
        <f t="shared" si="43"/>
        <v>-83.857142857142847</v>
      </c>
      <c r="U96" s="14">
        <f t="shared" si="43"/>
        <v>-87.178571428571416</v>
      </c>
      <c r="V96" s="14">
        <f t="shared" si="43"/>
        <v>-90.392857142857139</v>
      </c>
      <c r="W96" s="14">
        <f t="shared" si="43"/>
        <v>-91.178571428571431</v>
      </c>
      <c r="X96" s="14">
        <f t="shared" si="43"/>
        <v>-91.964285714285708</v>
      </c>
      <c r="Y96" s="14">
        <f t="shared" si="43"/>
        <v>-92.714285714285708</v>
      </c>
      <c r="Z96" s="14">
        <f t="shared" si="43"/>
        <v>-93.499999999999986</v>
      </c>
      <c r="AA96" s="14">
        <f t="shared" si="43"/>
        <v>-94.25</v>
      </c>
      <c r="AB96" s="14">
        <f t="shared" si="43"/>
        <v>-95</v>
      </c>
      <c r="AC96" s="14">
        <f t="shared" si="43"/>
        <v>-95.749999999999986</v>
      </c>
      <c r="AD96" s="14">
        <f t="shared" si="43"/>
        <v>-96.499999999999986</v>
      </c>
      <c r="AE96" s="14">
        <f t="shared" si="43"/>
        <v>-99.392857142857125</v>
      </c>
      <c r="AF96" s="14">
        <f t="shared" si="43"/>
        <v>-102.21428571428571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289.7</v>
      </c>
      <c r="H113" s="4">
        <f t="shared" si="57"/>
        <v>306.2</v>
      </c>
      <c r="I113" s="4">
        <f t="shared" si="57"/>
        <v>322.7</v>
      </c>
      <c r="J113" s="4">
        <f t="shared" si="57"/>
        <v>339.2</v>
      </c>
      <c r="K113" s="4">
        <f t="shared" si="57"/>
        <v>355.7</v>
      </c>
      <c r="L113" s="4">
        <f t="shared" si="57"/>
        <v>372.3</v>
      </c>
      <c r="M113" s="4">
        <f t="shared" si="57"/>
        <v>388.8</v>
      </c>
      <c r="N113" s="4">
        <f t="shared" si="57"/>
        <v>405.3</v>
      </c>
      <c r="O113" s="4">
        <f t="shared" si="57"/>
        <v>471.4</v>
      </c>
      <c r="P113" s="4">
        <f t="shared" si="57"/>
        <v>487.9</v>
      </c>
      <c r="Q113" s="4">
        <f t="shared" si="57"/>
        <v>504.4</v>
      </c>
      <c r="R113" s="4">
        <f t="shared" si="57"/>
        <v>520.9</v>
      </c>
      <c r="S113" s="4">
        <f t="shared" si="57"/>
        <v>537.5</v>
      </c>
      <c r="T113" s="4">
        <f t="shared" si="57"/>
        <v>603.5</v>
      </c>
      <c r="U113" s="4">
        <f t="shared" si="57"/>
        <v>669.6</v>
      </c>
      <c r="V113" s="4">
        <f t="shared" si="57"/>
        <v>735.7</v>
      </c>
      <c r="W113" s="4">
        <f t="shared" si="57"/>
        <v>752.2</v>
      </c>
      <c r="X113" s="4">
        <f t="shared" si="57"/>
        <v>768.7</v>
      </c>
      <c r="Y113" s="4">
        <f t="shared" si="57"/>
        <v>785.2</v>
      </c>
      <c r="Z113" s="4">
        <f t="shared" si="57"/>
        <v>801.8</v>
      </c>
      <c r="AA113" s="4">
        <f t="shared" si="57"/>
        <v>818.3</v>
      </c>
      <c r="AB113" s="4">
        <f t="shared" si="57"/>
        <v>834.8</v>
      </c>
      <c r="AC113" s="4">
        <f t="shared" si="57"/>
        <v>851.3</v>
      </c>
      <c r="AD113" s="4">
        <f t="shared" si="57"/>
        <v>867.8</v>
      </c>
      <c r="AE113" s="4">
        <f t="shared" si="57"/>
        <v>933.9</v>
      </c>
      <c r="AF113" s="4">
        <f t="shared" si="57"/>
        <v>1000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-461.93936657142854</v>
      </c>
      <c r="C114" s="24">
        <f>COUNTA(E114:E121)+1</f>
        <v>5</v>
      </c>
      <c r="E114" s="17" t="s">
        <v>33</v>
      </c>
      <c r="F114" s="52">
        <f t="shared" ref="F114:AL114" ca="1" si="58">F$113*$B$2*SUMPRODUCT(F$90:F$91,F$56:F$57)/1000</f>
        <v>-30.36236847428572</v>
      </c>
      <c r="G114" s="52">
        <f t="shared" ca="1" si="58"/>
        <v>-32.190697329642859</v>
      </c>
      <c r="H114" s="52">
        <f t="shared" ca="1" si="58"/>
        <v>-34.024133663571433</v>
      </c>
      <c r="I114" s="52">
        <f t="shared" ca="1" si="58"/>
        <v>-35.857569997500008</v>
      </c>
      <c r="J114" s="52">
        <f t="shared" ca="1" si="58"/>
        <v>-37.731296022857144</v>
      </c>
      <c r="K114" s="52">
        <f t="shared" ca="1" si="58"/>
        <v>-39.587816972142853</v>
      </c>
      <c r="L114" s="52">
        <f t="shared" ca="1" si="58"/>
        <v>-41.479543890000016</v>
      </c>
      <c r="M114" s="52">
        <f t="shared" ca="1" si="58"/>
        <v>-43.387151502857144</v>
      </c>
      <c r="N114" s="52">
        <f t="shared" ca="1" si="58"/>
        <v>-45.276568177500003</v>
      </c>
      <c r="O114" s="52">
        <f t="shared" ca="1" si="58"/>
        <v>-52.996634877857147</v>
      </c>
      <c r="P114" s="52">
        <f t="shared" ca="1" si="58"/>
        <v>-54.967533652499995</v>
      </c>
      <c r="Q114" s="52">
        <f t="shared" ca="1" si="58"/>
        <v>-56.916315857142855</v>
      </c>
      <c r="R114" s="52">
        <f t="shared" ca="1" si="58"/>
        <v>-58.870977601071424</v>
      </c>
      <c r="S114" s="52">
        <f t="shared" ca="1" si="58"/>
        <v>-60.874760223214295</v>
      </c>
      <c r="T114" s="52">
        <f t="shared" ca="1" si="58"/>
        <v>-68.815553142857141</v>
      </c>
      <c r="U114" s="52">
        <f t="shared" ca="1" si="58"/>
        <v>-76.909505091448111</v>
      </c>
      <c r="V114" s="52">
        <f t="shared" ca="1" si="58"/>
        <v>-85.11337479277465</v>
      </c>
      <c r="W114" s="52">
        <f t="shared" ca="1" si="58"/>
        <v>-87.156283033859381</v>
      </c>
      <c r="X114" s="52">
        <f t="shared" ca="1" si="58"/>
        <v>-88.976810973366909</v>
      </c>
      <c r="Y114" s="52">
        <f t="shared" ca="1" si="58"/>
        <v>-90.933350221594679</v>
      </c>
      <c r="Z114" s="52">
        <f t="shared" ca="1" si="58"/>
        <v>-99.946351096073656</v>
      </c>
      <c r="AA114" s="52">
        <f t="shared" ca="1" si="58"/>
        <v>-102.46330173608551</v>
      </c>
      <c r="AB114" s="52">
        <f t="shared" ca="1" si="58"/>
        <v>-104.79656697678547</v>
      </c>
      <c r="AC114" s="52">
        <f t="shared" ca="1" si="58"/>
        <v>-107.10998301267776</v>
      </c>
      <c r="AD114" s="52">
        <f t="shared" ca="1" si="58"/>
        <v>-109.42821049777254</v>
      </c>
      <c r="AE114" s="52">
        <f t="shared" ca="1" si="58"/>
        <v>-118.8242229034929</v>
      </c>
      <c r="AF114" s="52">
        <f t="shared" ca="1" si="58"/>
        <v>-128.42933035714285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27</v>
      </c>
      <c r="E115" s="17" t="s">
        <v>14</v>
      </c>
      <c r="F115" s="14">
        <f t="shared" ref="F115:AL115" ca="1" si="59">F$113*$B$2*SUMPRODUCT(F$87:F$88,F$53:F$54)/1000</f>
        <v>-105.00156905217857</v>
      </c>
      <c r="G115" s="14">
        <f t="shared" ca="1" si="59"/>
        <v>-106.16908342157144</v>
      </c>
      <c r="H115" s="14">
        <f t="shared" ca="1" si="59"/>
        <v>-107.31513628478572</v>
      </c>
      <c r="I115" s="14">
        <f t="shared" ca="1" si="59"/>
        <v>-108.49454276475001</v>
      </c>
      <c r="J115" s="14">
        <f t="shared" ca="1" si="59"/>
        <v>-109.76120635885717</v>
      </c>
      <c r="K115" s="14">
        <f t="shared" ca="1" si="59"/>
        <v>-34.312963960546547</v>
      </c>
      <c r="L115" s="14">
        <f t="shared" ca="1" si="59"/>
        <v>-34.587660299563851</v>
      </c>
      <c r="M115" s="14">
        <f t="shared" ca="1" si="59"/>
        <v>-34.857500755412516</v>
      </c>
      <c r="N115" s="14">
        <f t="shared" ca="1" si="59"/>
        <v>-35.128454863586065</v>
      </c>
      <c r="O115" s="14">
        <f t="shared" ca="1" si="59"/>
        <v>-36.288556856142861</v>
      </c>
      <c r="P115" s="14">
        <f t="shared" ca="1" si="59"/>
        <v>-36.588036237750003</v>
      </c>
      <c r="Q115" s="14">
        <f t="shared" ca="1" si="59"/>
        <v>-36.893755057714287</v>
      </c>
      <c r="R115" s="14">
        <f t="shared" ca="1" si="59"/>
        <v>-37.212768763178559</v>
      </c>
      <c r="S115" s="14">
        <f t="shared" ca="1" si="59"/>
        <v>-37.530390977678572</v>
      </c>
      <c r="T115" s="14">
        <f t="shared" ca="1" si="59"/>
        <v>-38.837777804999995</v>
      </c>
      <c r="U115" s="14">
        <f t="shared" ca="1" si="59"/>
        <v>-40.21643355685714</v>
      </c>
      <c r="V115" s="14">
        <f t="shared" ca="1" si="59"/>
        <v>-41.657491650449991</v>
      </c>
      <c r="W115" s="14">
        <f t="shared" ca="1" si="59"/>
        <v>-42.025321210757156</v>
      </c>
      <c r="X115" s="14">
        <f t="shared" ca="1" si="59"/>
        <v>-16.600961630962662</v>
      </c>
      <c r="Y115" s="14">
        <f t="shared" ca="1" si="59"/>
        <v>-6.2152744033943677</v>
      </c>
      <c r="Z115" s="14">
        <f t="shared" ca="1" si="59"/>
        <v>-1.6948754395611645</v>
      </c>
      <c r="AA115" s="14">
        <f t="shared" ca="1" si="59"/>
        <v>-0.27582069421656752</v>
      </c>
      <c r="AB115" s="14">
        <f t="shared" ca="1" si="59"/>
        <v>-4.7343271671417671E-2</v>
      </c>
      <c r="AC115" s="14">
        <f t="shared" ca="1" si="59"/>
        <v>-8.5232814029598137E-3</v>
      </c>
      <c r="AD115" s="14">
        <f t="shared" ca="1" si="59"/>
        <v>-1.6036330519329123E-3</v>
      </c>
      <c r="AE115" s="14">
        <f t="shared" ca="1" si="59"/>
        <v>-2.9386158674673239E-6</v>
      </c>
      <c r="AF115" s="14">
        <f t="shared" ca="1" si="59"/>
        <v>-8.6461566153857137E-9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t="shared" ref="F116:AL116" ca="1" si="60">F$113*$B$2*SUMPRODUCT(F$87:F$89,F$53:F$55)/1000</f>
        <v>-105.00156905217857</v>
      </c>
      <c r="G116" s="14">
        <f t="shared" ca="1" si="60"/>
        <v>-106.16908342157144</v>
      </c>
      <c r="H116" s="14">
        <f t="shared" ca="1" si="60"/>
        <v>-107.31513628478572</v>
      </c>
      <c r="I116" s="14">
        <f t="shared" ca="1" si="60"/>
        <v>-108.49454276475001</v>
      </c>
      <c r="J116" s="14">
        <f t="shared" ca="1" si="60"/>
        <v>-109.76120635885717</v>
      </c>
      <c r="K116" s="14">
        <f t="shared" ca="1" si="60"/>
        <v>-34.312963960546547</v>
      </c>
      <c r="L116" s="14">
        <f t="shared" ca="1" si="60"/>
        <v>-34.587660299563851</v>
      </c>
      <c r="M116" s="14">
        <f t="shared" ca="1" si="60"/>
        <v>-34.857500755412516</v>
      </c>
      <c r="N116" s="14">
        <f t="shared" ca="1" si="60"/>
        <v>-35.128454863586065</v>
      </c>
      <c r="O116" s="14">
        <f t="shared" ca="1" si="60"/>
        <v>-36.288556856142861</v>
      </c>
      <c r="P116" s="14">
        <f t="shared" ca="1" si="60"/>
        <v>-36.588036237750003</v>
      </c>
      <c r="Q116" s="14">
        <f t="shared" ca="1" si="60"/>
        <v>-36.893755057714287</v>
      </c>
      <c r="R116" s="14">
        <f t="shared" ca="1" si="60"/>
        <v>-37.212768763178559</v>
      </c>
      <c r="S116" s="14">
        <f t="shared" ca="1" si="60"/>
        <v>-37.530390977678572</v>
      </c>
      <c r="T116" s="14">
        <f t="shared" ca="1" si="60"/>
        <v>-38.837777804999995</v>
      </c>
      <c r="U116" s="14">
        <f t="shared" ca="1" si="60"/>
        <v>-40.216433556880148</v>
      </c>
      <c r="V116" s="14">
        <f t="shared" ca="1" si="60"/>
        <v>-41.657491942459465</v>
      </c>
      <c r="W116" s="14">
        <f t="shared" ca="1" si="60"/>
        <v>-42.025323663517234</v>
      </c>
      <c r="X116" s="14">
        <f t="shared" ca="1" si="60"/>
        <v>-16.600969151734859</v>
      </c>
      <c r="Y116" s="14">
        <f t="shared" ca="1" si="60"/>
        <v>-6.2152946881781839</v>
      </c>
      <c r="Z116" s="14">
        <f t="shared" ca="1" si="60"/>
        <v>-1.6949127183392816</v>
      </c>
      <c r="AA116" s="14">
        <f t="shared" ca="1" si="60"/>
        <v>-0.27585921389422974</v>
      </c>
      <c r="AB116" s="14">
        <f t="shared" ca="1" si="60"/>
        <v>-4.738266763172478E-2</v>
      </c>
      <c r="AC116" s="14">
        <f t="shared" ca="1" si="60"/>
        <v>-8.5630812452307699E-3</v>
      </c>
      <c r="AD116" s="14">
        <f t="shared" ca="1" si="60"/>
        <v>-1.6433416916759736E-3</v>
      </c>
      <c r="AE116" s="14">
        <f t="shared" ca="1" si="60"/>
        <v>-3.7604507403848038E-5</v>
      </c>
      <c r="AF116" s="14">
        <f t="shared" ca="1" si="60"/>
        <v>-2.433499467350824E-5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34</v>
      </c>
      <c r="F117" s="14">
        <f ca="1">F115+F114</f>
        <v>-135.3639375264643</v>
      </c>
      <c r="G117" s="14">
        <f t="shared" ref="G117:AL117" ca="1" si="61">G115+G114</f>
        <v>-138.35978075121432</v>
      </c>
      <c r="H117" s="14">
        <f t="shared" ca="1" si="61"/>
        <v>-141.33926994835716</v>
      </c>
      <c r="I117" s="14">
        <f t="shared" ca="1" si="61"/>
        <v>-144.35211276225002</v>
      </c>
      <c r="J117" s="14">
        <f t="shared" ca="1" si="61"/>
        <v>-147.4925023817143</v>
      </c>
      <c r="K117" s="14">
        <f t="shared" ca="1" si="61"/>
        <v>-73.900780932689401</v>
      </c>
      <c r="L117" s="14">
        <f t="shared" ca="1" si="61"/>
        <v>-76.067204189563867</v>
      </c>
      <c r="M117" s="14">
        <f t="shared" ca="1" si="61"/>
        <v>-78.244652258269667</v>
      </c>
      <c r="N117" s="14">
        <f t="shared" ca="1" si="61"/>
        <v>-80.405023041086068</v>
      </c>
      <c r="O117" s="14">
        <f t="shared" ca="1" si="61"/>
        <v>-89.285191734000009</v>
      </c>
      <c r="P117" s="14">
        <f t="shared" ca="1" si="61"/>
        <v>-91.555569890249998</v>
      </c>
      <c r="Q117" s="14">
        <f t="shared" ca="1" si="61"/>
        <v>-93.810070914857135</v>
      </c>
      <c r="R117" s="14">
        <f t="shared" ca="1" si="61"/>
        <v>-96.083746364249976</v>
      </c>
      <c r="S117" s="14">
        <f t="shared" ca="1" si="61"/>
        <v>-98.405151200892874</v>
      </c>
      <c r="T117" s="14">
        <f t="shared" ca="1" si="61"/>
        <v>-107.65333094785714</v>
      </c>
      <c r="U117" s="14">
        <f t="shared" ca="1" si="61"/>
        <v>-117.12593864830525</v>
      </c>
      <c r="V117" s="14">
        <f t="shared" ca="1" si="61"/>
        <v>-126.77086644322463</v>
      </c>
      <c r="W117" s="14">
        <f t="shared" ca="1" si="61"/>
        <v>-129.18160424461655</v>
      </c>
      <c r="X117" s="14">
        <f t="shared" ca="1" si="61"/>
        <v>-105.57777260432957</v>
      </c>
      <c r="Y117" s="14">
        <f t="shared" ca="1" si="61"/>
        <v>-97.148624624989054</v>
      </c>
      <c r="Z117" s="14">
        <f t="shared" ca="1" si="61"/>
        <v>-101.64122653563481</v>
      </c>
      <c r="AA117" s="14">
        <f t="shared" ca="1" si="61"/>
        <v>-102.73912243030207</v>
      </c>
      <c r="AB117" s="14">
        <f t="shared" ca="1" si="61"/>
        <v>-104.84391024845689</v>
      </c>
      <c r="AC117" s="14">
        <f t="shared" ca="1" si="61"/>
        <v>-107.11850629408072</v>
      </c>
      <c r="AD117" s="14">
        <f t="shared" ca="1" si="61"/>
        <v>-109.42981413082447</v>
      </c>
      <c r="AE117" s="14">
        <f t="shared" ca="1" si="61"/>
        <v>-118.82422584210876</v>
      </c>
      <c r="AF117" s="14">
        <f t="shared" ca="1" si="61"/>
        <v>-128.42933036578901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603.5</v>
      </c>
      <c r="U122" s="62">
        <f ca="1"/>
        <v>669.6</v>
      </c>
      <c r="V122" s="63">
        <f ca="1"/>
        <v>735.7</v>
      </c>
      <c r="W122" s="65">
        <f ca="1"/>
        <v>752.2</v>
      </c>
      <c r="X122" s="59">
        <f ca="1"/>
        <v>768.7</v>
      </c>
      <c r="Y122" s="4">
        <f ca="1"/>
        <v>785.2</v>
      </c>
      <c r="Z122" s="4">
        <f ca="1"/>
        <v>801.8</v>
      </c>
      <c r="AA122" s="4">
        <f ca="1"/>
        <v>818.3</v>
      </c>
      <c r="AB122" s="4">
        <f ca="1"/>
        <v>834.8</v>
      </c>
      <c r="AC122" s="4">
        <f ca="1"/>
        <v>851.3</v>
      </c>
      <c r="AD122" s="4">
        <f ca="1"/>
        <v>867.8</v>
      </c>
      <c r="AE122" s="4">
        <f ca="1"/>
        <v>933.9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>
        <f ca="1"/>
        <v>-30.36236847428572</v>
      </c>
      <c r="G123" s="55">
        <f ca="1"/>
        <v>-32.190697329642859</v>
      </c>
      <c r="H123" s="55">
        <f ca="1"/>
        <v>-34.024133663571433</v>
      </c>
      <c r="I123" s="55">
        <f ca="1"/>
        <v>-35.857569997500008</v>
      </c>
      <c r="J123" s="55">
        <f ca="1"/>
        <v>-37.731296022857144</v>
      </c>
      <c r="K123" s="55">
        <f ca="1"/>
        <v>-39.587816972142853</v>
      </c>
      <c r="L123" s="55">
        <f ca="1"/>
        <v>-41.479543890000016</v>
      </c>
      <c r="M123" s="55">
        <f ca="1"/>
        <v>-43.387151502857144</v>
      </c>
      <c r="N123" s="55">
        <f ca="1"/>
        <v>-45.276568177500003</v>
      </c>
      <c r="O123" s="55">
        <f ca="1"/>
        <v>-52.996634877857147</v>
      </c>
      <c r="P123" s="55">
        <f ca="1"/>
        <v>-54.967533652499995</v>
      </c>
      <c r="Q123" s="55">
        <f ca="1"/>
        <v>-56.916315857142855</v>
      </c>
      <c r="R123" s="55">
        <f ca="1"/>
        <v>-58.870977601071424</v>
      </c>
      <c r="S123" s="55">
        <f ca="1"/>
        <v>-60.874760223214295</v>
      </c>
      <c r="T123" s="55">
        <f ca="1"/>
        <v>-68.815553142857141</v>
      </c>
      <c r="U123" s="55">
        <f ca="1"/>
        <v>-76.909505091448111</v>
      </c>
      <c r="V123" s="55">
        <f ca="1"/>
        <v>-85.11337479277465</v>
      </c>
      <c r="W123" s="55">
        <f ca="1"/>
        <v>-87.156283033859381</v>
      </c>
      <c r="X123" s="55">
        <f ca="1"/>
        <v>-88.976810973366909</v>
      </c>
      <c r="Y123" s="55">
        <f ca="1"/>
        <v>-90.933350221594679</v>
      </c>
      <c r="Z123" s="55">
        <f ca="1"/>
        <v>-99.946351096073656</v>
      </c>
      <c r="AA123" s="55">
        <f ca="1"/>
        <v>-102.46330173608551</v>
      </c>
      <c r="AB123" s="55">
        <f ca="1"/>
        <v>-104.79656697678547</v>
      </c>
      <c r="AC123" s="55">
        <f ca="1"/>
        <v>-107.10998301267776</v>
      </c>
      <c r="AD123" s="55">
        <f ca="1"/>
        <v>-109.42821049777254</v>
      </c>
      <c r="AE123" s="55">
        <f ca="1"/>
        <v>-118.8242229034929</v>
      </c>
      <c r="AF123" s="55">
        <f ca="1"/>
        <v>-128.42933035714285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-105.00156905217857</v>
      </c>
      <c r="G124" s="55">
        <f ca="1"/>
        <v>-106.16908342157144</v>
      </c>
      <c r="H124" s="55">
        <f ca="1"/>
        <v>-107.31513628478572</v>
      </c>
      <c r="I124" s="55">
        <f ca="1"/>
        <v>-108.49454276475001</v>
      </c>
      <c r="J124" s="55">
        <f ca="1"/>
        <v>-109.76120635885717</v>
      </c>
      <c r="K124" s="55">
        <f ca="1"/>
        <v>-34.312963960546547</v>
      </c>
      <c r="L124" s="55">
        <f ca="1"/>
        <v>-34.587660299563851</v>
      </c>
      <c r="M124" s="55">
        <f ca="1"/>
        <v>-34.857500755412516</v>
      </c>
      <c r="N124" s="55">
        <f ca="1"/>
        <v>-35.128454863586065</v>
      </c>
      <c r="O124" s="55">
        <f ca="1"/>
        <v>-36.288556856142861</v>
      </c>
      <c r="P124" s="55">
        <f ca="1"/>
        <v>-36.588036237750003</v>
      </c>
      <c r="Q124" s="55">
        <f ca="1"/>
        <v>-36.893755057714287</v>
      </c>
      <c r="R124" s="55">
        <f ca="1"/>
        <v>-37.212768763178559</v>
      </c>
      <c r="S124" s="55">
        <f ca="1"/>
        <v>-37.530390977678572</v>
      </c>
      <c r="T124" s="55">
        <f ca="1"/>
        <v>-38.837777804999995</v>
      </c>
      <c r="U124" s="55">
        <f ca="1"/>
        <v>-40.21643355685714</v>
      </c>
      <c r="V124" s="55">
        <f ca="1"/>
        <v>-41.657491650449991</v>
      </c>
      <c r="W124" s="55">
        <f ca="1"/>
        <v>-42.025321210757156</v>
      </c>
      <c r="X124" s="55">
        <f ca="1"/>
        <v>-16.600961630962662</v>
      </c>
      <c r="Y124" s="55">
        <f ca="1"/>
        <v>-6.2152744033943677</v>
      </c>
      <c r="Z124" s="55">
        <f ca="1"/>
        <v>-1.6948754395611645</v>
      </c>
      <c r="AA124" s="55">
        <f ca="1"/>
        <v>-0.27582069421656752</v>
      </c>
      <c r="AB124" s="55">
        <f ca="1"/>
        <v>-4.7343271671417671E-2</v>
      </c>
      <c r="AC124" s="55">
        <f ca="1"/>
        <v>-8.5232814029598137E-3</v>
      </c>
      <c r="AD124" s="55">
        <f ca="1"/>
        <v>-1.6036330519329123E-3</v>
      </c>
      <c r="AE124" s="55">
        <f ca="1"/>
        <v>-2.9386158674673239E-6</v>
      </c>
      <c r="AF124" s="55">
        <f ca="1"/>
        <v>-8.6461566153857137E-9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-105.00156905217857</v>
      </c>
      <c r="G125" s="55">
        <f ca="1"/>
        <v>-106.16908342157144</v>
      </c>
      <c r="H125" s="55">
        <f ca="1"/>
        <v>-107.31513628478572</v>
      </c>
      <c r="I125" s="55">
        <f ca="1"/>
        <v>-108.49454276475001</v>
      </c>
      <c r="J125" s="55">
        <f ca="1"/>
        <v>-109.76120635885717</v>
      </c>
      <c r="K125" s="55">
        <f ca="1"/>
        <v>-34.312963960546547</v>
      </c>
      <c r="L125" s="55">
        <f ca="1"/>
        <v>-34.587660299563851</v>
      </c>
      <c r="M125" s="55">
        <f ca="1"/>
        <v>-34.857500755412516</v>
      </c>
      <c r="N125" s="55">
        <f ca="1"/>
        <v>-35.128454863586065</v>
      </c>
      <c r="O125" s="55">
        <f ca="1"/>
        <v>-36.288556856142861</v>
      </c>
      <c r="P125" s="55">
        <f ca="1"/>
        <v>-36.588036237750003</v>
      </c>
      <c r="Q125" s="55">
        <f ca="1"/>
        <v>-36.893755057714287</v>
      </c>
      <c r="R125" s="55">
        <f ca="1"/>
        <v>-37.212768763178559</v>
      </c>
      <c r="S125" s="55">
        <f ca="1"/>
        <v>-37.530390977678572</v>
      </c>
      <c r="T125" s="55">
        <f ca="1"/>
        <v>-38.837777804999995</v>
      </c>
      <c r="U125" s="55">
        <f ca="1"/>
        <v>-40.216433556880148</v>
      </c>
      <c r="V125" s="55">
        <f ca="1"/>
        <v>-41.657491942459465</v>
      </c>
      <c r="W125" s="55">
        <f ca="1"/>
        <v>-42.025323663517234</v>
      </c>
      <c r="X125" s="55">
        <f ca="1"/>
        <v>-16.600969151734859</v>
      </c>
      <c r="Y125" s="55">
        <f ca="1"/>
        <v>-6.2152946881781839</v>
      </c>
      <c r="Z125" s="55">
        <f ca="1"/>
        <v>-1.6949127183392816</v>
      </c>
      <c r="AA125" s="55">
        <f ca="1"/>
        <v>-0.27585921389422974</v>
      </c>
      <c r="AB125" s="55">
        <f ca="1"/>
        <v>-4.738266763172478E-2</v>
      </c>
      <c r="AC125" s="55">
        <f ca="1"/>
        <v>-8.5630812452307699E-3</v>
      </c>
      <c r="AD125" s="55">
        <f ca="1"/>
        <v>-1.6433416916759736E-3</v>
      </c>
      <c r="AE125" s="55">
        <f ca="1"/>
        <v>-3.7604507403848038E-5</v>
      </c>
      <c r="AF125" s="55">
        <f ca="1"/>
        <v>-2.433499467350824E-5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>
        <f ca="1"/>
        <v>-135.3639375264643</v>
      </c>
      <c r="G126" s="55">
        <f ca="1"/>
        <v>-138.35978075121432</v>
      </c>
      <c r="H126" s="55">
        <f ca="1"/>
        <v>-141.33926994835716</v>
      </c>
      <c r="I126" s="55">
        <f ca="1"/>
        <v>-144.35211276225002</v>
      </c>
      <c r="J126" s="55">
        <f ca="1"/>
        <v>-147.4925023817143</v>
      </c>
      <c r="K126" s="55">
        <f ca="1"/>
        <v>-73.900780932689401</v>
      </c>
      <c r="L126" s="55">
        <f ca="1"/>
        <v>-76.067204189563867</v>
      </c>
      <c r="M126" s="55">
        <f ca="1"/>
        <v>-78.244652258269667</v>
      </c>
      <c r="N126" s="55">
        <f ca="1"/>
        <v>-80.405023041086068</v>
      </c>
      <c r="O126" s="55">
        <f ca="1"/>
        <v>-89.285191734000009</v>
      </c>
      <c r="P126" s="55">
        <f ca="1"/>
        <v>-91.555569890249998</v>
      </c>
      <c r="Q126" s="55">
        <f ca="1"/>
        <v>-93.810070914857135</v>
      </c>
      <c r="R126" s="55">
        <f ca="1"/>
        <v>-96.083746364249976</v>
      </c>
      <c r="S126" s="55">
        <f ca="1"/>
        <v>-98.405151200892874</v>
      </c>
      <c r="T126" s="55">
        <f ca="1"/>
        <v>-107.65333094785714</v>
      </c>
      <c r="U126" s="55">
        <f ca="1"/>
        <v>-117.12593864830525</v>
      </c>
      <c r="V126" s="55">
        <f ca="1"/>
        <v>-126.77086644322463</v>
      </c>
      <c r="W126" s="55">
        <f ca="1"/>
        <v>-129.18160424461655</v>
      </c>
      <c r="X126" s="55">
        <f ca="1"/>
        <v>-105.57777260432957</v>
      </c>
      <c r="Y126" s="55">
        <f ca="1"/>
        <v>-97.148624624989054</v>
      </c>
      <c r="Z126" s="55">
        <f ca="1"/>
        <v>-101.64122653563481</v>
      </c>
      <c r="AA126" s="55">
        <f ca="1"/>
        <v>-102.73912243030207</v>
      </c>
      <c r="AB126" s="55">
        <f ca="1"/>
        <v>-104.84391024845689</v>
      </c>
      <c r="AC126" s="55">
        <f ca="1"/>
        <v>-107.11850629408072</v>
      </c>
      <c r="AD126" s="55">
        <f ca="1"/>
        <v>-109.42981413082447</v>
      </c>
      <c r="AE126" s="55">
        <f ca="1"/>
        <v>-118.82422584210876</v>
      </c>
      <c r="AF126" s="55">
        <f ca="1"/>
        <v>-128.42933036578901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7"/>
  <sheetViews>
    <sheetView tabSelected="1" zoomScale="85" zoomScaleNormal="85" workbookViewId="0">
      <pane ySplit="1" topLeftCell="A72" activePane="bottomLeft" state="frozen"/>
      <selection pane="bottomLeft" activeCell="A100" sqref="A100:BT157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4" width="10.90625" hidden="1" customWidth="1"/>
    <col min="35" max="71" width="4.26953125" hidden="1" customWidth="1"/>
    <col min="72" max="72" width="6.08984375" customWidth="1"/>
    <col min="73" max="16384" width="8.7265625" style="37"/>
  </cols>
  <sheetData>
    <row r="1" spans="1:77" ht="18.75" customHeight="1" thickBot="1" x14ac:dyDescent="0.4">
      <c r="A1" s="34" t="s">
        <v>18</v>
      </c>
      <c r="B1" s="39">
        <v>300</v>
      </c>
      <c r="C1" s="66">
        <v>1000</v>
      </c>
      <c r="D1" s="67" t="s">
        <v>19</v>
      </c>
      <c r="E1" s="68">
        <v>70</v>
      </c>
      <c r="F1" s="37"/>
      <c r="G1" s="37"/>
      <c r="H1" s="37"/>
      <c r="I1" s="37"/>
      <c r="J1" s="37"/>
      <c r="BX1" s="200" t="s">
        <v>94</v>
      </c>
      <c r="BY1" s="200"/>
    </row>
    <row r="2" spans="1:77" ht="23.25" customHeight="1" thickTop="1" thickBot="1" x14ac:dyDescent="0.4">
      <c r="A2" s="4" t="s">
        <v>29</v>
      </c>
      <c r="B2" s="69">
        <f>FLUID!F45</f>
        <v>273</v>
      </c>
      <c r="C2" s="69">
        <f>FLUID!G45</f>
        <v>339.2</v>
      </c>
      <c r="D2" s="69">
        <f>FLUID!H45</f>
        <v>405.3</v>
      </c>
      <c r="E2" s="69">
        <f>FLUID!I45</f>
        <v>471.4</v>
      </c>
      <c r="F2" s="69">
        <f>FLUID!J45</f>
        <v>537.5</v>
      </c>
      <c r="G2" s="69">
        <f>FLUID!K45</f>
        <v>603.5</v>
      </c>
      <c r="H2" s="69">
        <f>FLUID!L45</f>
        <v>669.6</v>
      </c>
      <c r="I2" s="69">
        <f>FLUID!M45</f>
        <v>735.7</v>
      </c>
      <c r="J2" s="69">
        <f>FLUID!N45</f>
        <v>801.8</v>
      </c>
      <c r="K2" s="69">
        <f>FLUID!O45</f>
        <v>867.8</v>
      </c>
      <c r="L2" s="69">
        <f>FLUID!P45</f>
        <v>933.9</v>
      </c>
      <c r="M2" s="69">
        <f>FLUID!Q45</f>
        <v>1000</v>
      </c>
      <c r="N2" s="69">
        <f>FLUID!R45</f>
        <v>0</v>
      </c>
      <c r="O2" s="69">
        <f>FLUID!S45</f>
        <v>0</v>
      </c>
      <c r="P2" s="69">
        <f>FLUID!T45</f>
        <v>0</v>
      </c>
      <c r="Q2" s="69">
        <f>FLUID!U45</f>
        <v>0</v>
      </c>
      <c r="R2" s="69">
        <f>FLUID!V45</f>
        <v>0</v>
      </c>
      <c r="S2" s="69">
        <f>FLUID!W45</f>
        <v>0</v>
      </c>
      <c r="T2" s="69">
        <f>FLUID!X45</f>
        <v>0</v>
      </c>
      <c r="U2" s="69">
        <f>FLUID!Y45</f>
        <v>0</v>
      </c>
      <c r="V2" s="69">
        <f>FLUID!Z45</f>
        <v>0</v>
      </c>
      <c r="W2" s="69">
        <f>FLUID!AA45</f>
        <v>0</v>
      </c>
      <c r="X2" s="69">
        <f>FLUID!AB45</f>
        <v>0</v>
      </c>
      <c r="Y2" s="69">
        <f>FLUID!AC45</f>
        <v>0</v>
      </c>
      <c r="Z2" s="69">
        <f>FLUID!AD45</f>
        <v>0</v>
      </c>
      <c r="AA2" s="69">
        <f>FLUID!AE45</f>
        <v>0</v>
      </c>
      <c r="AB2" s="69">
        <f>FLUID!AF45</f>
        <v>0</v>
      </c>
      <c r="AC2" s="69">
        <f>FLUID!AG45</f>
        <v>0</v>
      </c>
      <c r="AD2" s="69">
        <f>FLUID!AH45</f>
        <v>0</v>
      </c>
      <c r="AE2" s="69">
        <f>FLUID!AI45</f>
        <v>0</v>
      </c>
      <c r="AF2" s="69">
        <f>FLUID!AJ45</f>
        <v>0</v>
      </c>
      <c r="AG2" s="69">
        <f>FLUID!AK45</f>
        <v>0</v>
      </c>
      <c r="AH2" s="69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</row>
    <row r="3" spans="1:77" ht="22.5" hidden="1" outlineLevel="1" thickTop="1" thickBot="1" x14ac:dyDescent="0.4">
      <c r="A3" s="48" t="str">
        <f>FLUID!E46</f>
        <v>*Se[l]</v>
      </c>
      <c r="B3" s="16">
        <f ca="1">FLUID!F46</f>
        <v>-4.7</v>
      </c>
      <c r="C3" s="16">
        <f ca="1">FLUID!G46</f>
        <v>-5.0519999999999996</v>
      </c>
      <c r="D3" s="16">
        <f ca="1">FLUID!H46</f>
        <v>-5.4409999999999998</v>
      </c>
      <c r="E3" s="16">
        <f ca="1">FLUID!I46</f>
        <v>-5.8239999999999998</v>
      </c>
      <c r="F3" s="14">
        <f ca="1">FLUID!J46</f>
        <v>-6.1890000000000001</v>
      </c>
      <c r="G3" s="14">
        <f ca="1">FLUID!K46</f>
        <v>-6.53</v>
      </c>
      <c r="H3" s="14">
        <f ca="1">FLUID!L46</f>
        <v>-6.8470000000000004</v>
      </c>
      <c r="I3" s="14">
        <f ca="1">FLUID!M46</f>
        <v>-7.1420000000000003</v>
      </c>
      <c r="J3" s="14">
        <f ca="1">FLUID!N46</f>
        <v>-7.42</v>
      </c>
      <c r="K3" s="14">
        <f ca="1">FLUID!O46</f>
        <v>-7.6909999999999998</v>
      </c>
      <c r="L3" s="14">
        <f ca="1">FLUID!P46</f>
        <v>-7.9740000000000002</v>
      </c>
      <c r="M3" s="14">
        <f ca="1">FLUID!Q46</f>
        <v>-8.298</v>
      </c>
      <c r="N3" s="14">
        <f ca="1">FLUID!R46</f>
        <v>0</v>
      </c>
      <c r="O3" s="14">
        <f ca="1">FLUID!S46</f>
        <v>0</v>
      </c>
      <c r="P3" s="14">
        <f ca="1">FLUID!T46</f>
        <v>0</v>
      </c>
      <c r="Q3" s="14">
        <f ca="1">FLUID!U46</f>
        <v>0</v>
      </c>
      <c r="R3" s="14">
        <f ca="1">FLUID!V46</f>
        <v>0</v>
      </c>
      <c r="S3" s="14">
        <f ca="1">FLUID!W46</f>
        <v>0</v>
      </c>
      <c r="T3" s="14">
        <f ca="1">FLUID!X46</f>
        <v>0</v>
      </c>
      <c r="U3" s="14">
        <f ca="1">FLUID!Y46</f>
        <v>0</v>
      </c>
      <c r="V3" s="14">
        <f ca="1">FLUID!Z46</f>
        <v>0</v>
      </c>
      <c r="W3" s="14">
        <f ca="1">FLUID!AA46</f>
        <v>0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</row>
    <row r="4" spans="1:77" ht="22.5" hidden="1" outlineLevel="1" thickTop="1" thickBot="1" x14ac:dyDescent="0.4">
      <c r="A4" s="36" t="str">
        <f>FLUID!E47</f>
        <v>Se3</v>
      </c>
      <c r="B4" s="16">
        <f ca="1">FLUID!F47</f>
        <v>-14.100000000000001</v>
      </c>
      <c r="C4" s="16">
        <f ca="1">FLUID!G47</f>
        <v>-15.155999999999999</v>
      </c>
      <c r="D4" s="16">
        <f ca="1">FLUID!H47</f>
        <v>-16.323</v>
      </c>
      <c r="E4" s="16">
        <f ca="1">FLUID!I47</f>
        <v>-17.472000000000001</v>
      </c>
      <c r="F4" s="14">
        <f ca="1">FLUID!J47</f>
        <v>-18.567</v>
      </c>
      <c r="G4" s="14">
        <f ca="1">FLUID!K47</f>
        <v>-19.59</v>
      </c>
      <c r="H4" s="14">
        <f ca="1">FLUID!L47</f>
        <v>-20.541</v>
      </c>
      <c r="I4" s="14">
        <f ca="1">FLUID!M47</f>
        <v>-21.426000000000002</v>
      </c>
      <c r="J4" s="14">
        <f ca="1">FLUID!N47</f>
        <v>-22.259999999999998</v>
      </c>
      <c r="K4" s="14">
        <f ca="1">FLUID!O47</f>
        <v>-23.073</v>
      </c>
      <c r="L4" s="14">
        <f ca="1">FLUID!P47</f>
        <v>-23.922000000000001</v>
      </c>
      <c r="M4" s="14">
        <f ca="1">FLUID!Q47</f>
        <v>-24.893999999999998</v>
      </c>
      <c r="N4" s="14">
        <f ca="1">FLUID!R47</f>
        <v>0</v>
      </c>
      <c r="O4" s="14">
        <f ca="1">FLUID!S47</f>
        <v>0</v>
      </c>
      <c r="P4" s="14">
        <f ca="1">FLUID!T47</f>
        <v>0</v>
      </c>
      <c r="Q4" s="14">
        <f ca="1">FLUID!U47</f>
        <v>0</v>
      </c>
      <c r="R4" s="14">
        <f ca="1">FLUID!V47</f>
        <v>0</v>
      </c>
      <c r="S4" s="14">
        <f ca="1">FLUID!W47</f>
        <v>0</v>
      </c>
      <c r="T4" s="14">
        <f ca="1">FLUID!X47</f>
        <v>0</v>
      </c>
      <c r="U4" s="14">
        <f ca="1">FLUID!Y47</f>
        <v>0</v>
      </c>
      <c r="V4" s="14">
        <f ca="1">FLUID!Z47</f>
        <v>0</v>
      </c>
      <c r="W4" s="14">
        <f ca="1">FLUID!AA47</f>
        <v>0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</row>
    <row r="5" spans="1:77" ht="22.5" hidden="1" outlineLevel="1" thickTop="1" thickBot="1" x14ac:dyDescent="0.4">
      <c r="A5" s="36" t="str">
        <f>FLUID!E48</f>
        <v>Se4</v>
      </c>
      <c r="B5" s="16">
        <f ca="1">FLUID!F48</f>
        <v>-18.8</v>
      </c>
      <c r="C5" s="16">
        <f ca="1">FLUID!G48</f>
        <v>-20.207999999999998</v>
      </c>
      <c r="D5" s="16">
        <f ca="1">FLUID!H48</f>
        <v>-21.763999999999999</v>
      </c>
      <c r="E5" s="16">
        <f ca="1">FLUID!I48</f>
        <v>-23.295999999999999</v>
      </c>
      <c r="F5" s="14">
        <f ca="1">FLUID!J48</f>
        <v>-24.756</v>
      </c>
      <c r="G5" s="14">
        <f ca="1">FLUID!K48</f>
        <v>-26.12</v>
      </c>
      <c r="H5" s="14">
        <f ca="1">FLUID!L48</f>
        <v>-27.388000000000002</v>
      </c>
      <c r="I5" s="14">
        <f ca="1">FLUID!M48</f>
        <v>-28.568000000000001</v>
      </c>
      <c r="J5" s="14">
        <f ca="1">FLUID!N48</f>
        <v>-29.68</v>
      </c>
      <c r="K5" s="14">
        <f ca="1">FLUID!O48</f>
        <v>-30.763999999999999</v>
      </c>
      <c r="L5" s="14">
        <f ca="1">FLUID!P48</f>
        <v>-31.896000000000001</v>
      </c>
      <c r="M5" s="14">
        <f ca="1">FLUID!Q48</f>
        <v>-33.192</v>
      </c>
      <c r="N5" s="14">
        <f ca="1">FLUID!R48</f>
        <v>0</v>
      </c>
      <c r="O5" s="14">
        <f ca="1">FLUID!S48</f>
        <v>0</v>
      </c>
      <c r="P5" s="14">
        <f ca="1">FLUID!T48</f>
        <v>0</v>
      </c>
      <c r="Q5" s="14">
        <f ca="1">FLUID!U48</f>
        <v>0</v>
      </c>
      <c r="R5" s="14">
        <f ca="1">FLUID!V48</f>
        <v>0</v>
      </c>
      <c r="S5" s="14">
        <f ca="1">FLUID!W48</f>
        <v>0</v>
      </c>
      <c r="T5" s="14">
        <f ca="1">FLUID!X48</f>
        <v>0</v>
      </c>
      <c r="U5" s="14">
        <f ca="1">FLUID!Y48</f>
        <v>0</v>
      </c>
      <c r="V5" s="14">
        <f ca="1">FLUID!Z48</f>
        <v>0</v>
      </c>
      <c r="W5" s="14">
        <f ca="1">FLUID!AA48</f>
        <v>0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</row>
    <row r="6" spans="1:77" ht="22.5" hidden="1" outlineLevel="1" thickTop="1" thickBot="1" x14ac:dyDescent="0.4">
      <c r="A6" s="36" t="str">
        <f>FLUID!E49</f>
        <v>Se5</v>
      </c>
      <c r="B6" s="16">
        <f ca="1">FLUID!F49</f>
        <v>-23.5</v>
      </c>
      <c r="C6" s="16">
        <f ca="1">FLUID!G49</f>
        <v>-25.259999999999998</v>
      </c>
      <c r="D6" s="16">
        <f ca="1">FLUID!H49</f>
        <v>-27.204999999999998</v>
      </c>
      <c r="E6" s="16">
        <f ca="1">FLUID!I49</f>
        <v>-29.119999999999997</v>
      </c>
      <c r="F6" s="14">
        <f ca="1">FLUID!J49</f>
        <v>-30.945</v>
      </c>
      <c r="G6" s="14">
        <f ca="1">FLUID!K49</f>
        <v>-32.65</v>
      </c>
      <c r="H6" s="14">
        <f ca="1">FLUID!L49</f>
        <v>-34.234999999999999</v>
      </c>
      <c r="I6" s="14">
        <f ca="1">FLUID!M49</f>
        <v>-35.71</v>
      </c>
      <c r="J6" s="14">
        <f ca="1">FLUID!N49</f>
        <v>-37.1</v>
      </c>
      <c r="K6" s="14">
        <f ca="1">FLUID!O49</f>
        <v>-38.454999999999998</v>
      </c>
      <c r="L6" s="14">
        <f ca="1">FLUID!P49</f>
        <v>-39.870000000000005</v>
      </c>
      <c r="M6" s="14">
        <f ca="1">FLUID!Q49</f>
        <v>-41.49</v>
      </c>
      <c r="N6" s="14">
        <f ca="1">FLUID!R49</f>
        <v>0</v>
      </c>
      <c r="O6" s="14">
        <f ca="1">FLUID!S49</f>
        <v>0</v>
      </c>
      <c r="P6" s="14">
        <f ca="1">FLUID!T49</f>
        <v>0</v>
      </c>
      <c r="Q6" s="14">
        <f ca="1">FLUID!U49</f>
        <v>0</v>
      </c>
      <c r="R6" s="14">
        <f ca="1">FLUID!V49</f>
        <v>0</v>
      </c>
      <c r="S6" s="14">
        <f ca="1">FLUID!W49</f>
        <v>0</v>
      </c>
      <c r="T6" s="14">
        <f ca="1">FLUID!X49</f>
        <v>0</v>
      </c>
      <c r="U6" s="14">
        <f ca="1">FLUID!Y49</f>
        <v>0</v>
      </c>
      <c r="V6" s="14">
        <f ca="1">FLUID!Z49</f>
        <v>0</v>
      </c>
      <c r="W6" s="14">
        <f ca="1">FLUID!AA49</f>
        <v>0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</row>
    <row r="7" spans="1:77" ht="22.5" hidden="1" outlineLevel="1" thickTop="1" thickBot="1" x14ac:dyDescent="0.4">
      <c r="A7" s="36" t="str">
        <f>FLUID!E50</f>
        <v>Se6</v>
      </c>
      <c r="B7" s="16">
        <f ca="1">FLUID!F50</f>
        <v>-28.200000000000003</v>
      </c>
      <c r="C7" s="16">
        <f ca="1">FLUID!G50</f>
        <v>-30.311999999999998</v>
      </c>
      <c r="D7" s="16">
        <f ca="1">FLUID!H50</f>
        <v>-32.646000000000001</v>
      </c>
      <c r="E7" s="16">
        <f ca="1">FLUID!I50</f>
        <v>-34.944000000000003</v>
      </c>
      <c r="F7" s="14">
        <f ca="1">FLUID!J50</f>
        <v>-37.134</v>
      </c>
      <c r="G7" s="14">
        <f ca="1">FLUID!K50</f>
        <v>-39.18</v>
      </c>
      <c r="H7" s="14">
        <f ca="1">FLUID!L50</f>
        <v>-41.082000000000001</v>
      </c>
      <c r="I7" s="14">
        <f ca="1">FLUID!M50</f>
        <v>-42.852000000000004</v>
      </c>
      <c r="J7" s="14">
        <f ca="1">FLUID!N50</f>
        <v>-44.519999999999996</v>
      </c>
      <c r="K7" s="14">
        <f ca="1">FLUID!O50</f>
        <v>-46.146000000000001</v>
      </c>
      <c r="L7" s="14">
        <f ca="1">FLUID!P50</f>
        <v>-47.844000000000001</v>
      </c>
      <c r="M7" s="14">
        <f ca="1">FLUID!Q50</f>
        <v>-49.787999999999997</v>
      </c>
      <c r="N7" s="14">
        <f ca="1">FLUID!R50</f>
        <v>0</v>
      </c>
      <c r="O7" s="14">
        <f ca="1">FLUID!S50</f>
        <v>0</v>
      </c>
      <c r="P7" s="14">
        <f ca="1">FLUID!T50</f>
        <v>0</v>
      </c>
      <c r="Q7" s="14">
        <f ca="1">FLUID!U50</f>
        <v>0</v>
      </c>
      <c r="R7" s="14">
        <f ca="1">FLUID!V50</f>
        <v>0</v>
      </c>
      <c r="S7" s="14">
        <f ca="1">FLUID!W50</f>
        <v>0</v>
      </c>
      <c r="T7" s="14">
        <f ca="1">FLUID!X50</f>
        <v>0</v>
      </c>
      <c r="U7" s="14">
        <f ca="1">FLUID!Y50</f>
        <v>0</v>
      </c>
      <c r="V7" s="14">
        <f ca="1">FLUID!Z50</f>
        <v>0</v>
      </c>
      <c r="W7" s="14">
        <f ca="1">FLUID!AA50</f>
        <v>0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</row>
    <row r="8" spans="1:77" ht="22.5" hidden="1" outlineLevel="1" thickTop="1" thickBot="1" x14ac:dyDescent="0.4">
      <c r="A8" s="36" t="str">
        <f>FLUID!E51</f>
        <v>Se7</v>
      </c>
      <c r="B8" s="16">
        <f ca="1">FLUID!F51</f>
        <v>-32.9</v>
      </c>
      <c r="C8" s="16">
        <f ca="1">FLUID!G51</f>
        <v>-35.363999999999997</v>
      </c>
      <c r="D8" s="16">
        <f ca="1">FLUID!H51</f>
        <v>-38.086999999999996</v>
      </c>
      <c r="E8" s="16">
        <f ca="1">FLUID!I51</f>
        <v>-40.768000000000001</v>
      </c>
      <c r="F8" s="14">
        <f ca="1">FLUID!J51</f>
        <v>-43.323</v>
      </c>
      <c r="G8" s="14">
        <f ca="1">FLUID!K51</f>
        <v>-45.71</v>
      </c>
      <c r="H8" s="14">
        <f ca="1">FLUID!L51</f>
        <v>-47.929000000000002</v>
      </c>
      <c r="I8" s="14">
        <f ca="1">FLUID!M51</f>
        <v>-49.994</v>
      </c>
      <c r="J8" s="14">
        <f ca="1">FLUID!N51</f>
        <v>-51.94</v>
      </c>
      <c r="K8" s="14">
        <f ca="1">FLUID!O51</f>
        <v>-53.836999999999996</v>
      </c>
      <c r="L8" s="14">
        <f ca="1">FLUID!P51</f>
        <v>-55.817999999999998</v>
      </c>
      <c r="M8" s="14">
        <f ca="1">FLUID!Q51</f>
        <v>-58.085999999999999</v>
      </c>
      <c r="N8" s="14">
        <f ca="1">FLUID!R51</f>
        <v>0</v>
      </c>
      <c r="O8" s="14">
        <f ca="1">FLUID!S51</f>
        <v>0</v>
      </c>
      <c r="P8" s="14">
        <f ca="1">FLUID!T51</f>
        <v>0</v>
      </c>
      <c r="Q8" s="14">
        <f ca="1">FLUID!U51</f>
        <v>0</v>
      </c>
      <c r="R8" s="14">
        <f ca="1">FLUID!V51</f>
        <v>0</v>
      </c>
      <c r="S8" s="14">
        <f ca="1">FLUID!W51</f>
        <v>0</v>
      </c>
      <c r="T8" s="14">
        <f ca="1">FLUID!X51</f>
        <v>0</v>
      </c>
      <c r="U8" s="14">
        <f ca="1">FLUID!Y51</f>
        <v>0</v>
      </c>
      <c r="V8" s="14">
        <f ca="1">FLUID!Z51</f>
        <v>0</v>
      </c>
      <c r="W8" s="14">
        <f ca="1">FLUID!AA51</f>
        <v>0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</row>
    <row r="9" spans="1:77" ht="22.5" hidden="1" outlineLevel="1" thickTop="1" thickBot="1" x14ac:dyDescent="0.4">
      <c r="A9" s="36" t="str">
        <f>FLUID!E52</f>
        <v>Se8</v>
      </c>
      <c r="B9" s="16">
        <f ca="1">FLUID!F52</f>
        <v>-37.6</v>
      </c>
      <c r="C9" s="16">
        <f ca="1">FLUID!G52</f>
        <v>-40.415999999999997</v>
      </c>
      <c r="D9" s="16">
        <f ca="1">FLUID!H52</f>
        <v>-43.527999999999999</v>
      </c>
      <c r="E9" s="16">
        <f ca="1">FLUID!I52</f>
        <v>-46.591999999999999</v>
      </c>
      <c r="F9" s="14">
        <f ca="1">FLUID!J52</f>
        <v>-49.512</v>
      </c>
      <c r="G9" s="14">
        <f ca="1">FLUID!K52</f>
        <v>-52.24</v>
      </c>
      <c r="H9" s="14">
        <f ca="1">FLUID!L52</f>
        <v>-54.776000000000003</v>
      </c>
      <c r="I9" s="14">
        <f ca="1">FLUID!M52</f>
        <v>-57.136000000000003</v>
      </c>
      <c r="J9" s="14">
        <f ca="1">FLUID!N52</f>
        <v>-59.36</v>
      </c>
      <c r="K9" s="14">
        <f ca="1">FLUID!O52</f>
        <v>-61.527999999999999</v>
      </c>
      <c r="L9" s="14">
        <f ca="1">FLUID!P52</f>
        <v>-63.792000000000002</v>
      </c>
      <c r="M9" s="14">
        <f ca="1">FLUID!Q52</f>
        <v>-66.384</v>
      </c>
      <c r="N9" s="14">
        <f ca="1">FLUID!R52</f>
        <v>0</v>
      </c>
      <c r="O9" s="14">
        <f ca="1">FLUID!S52</f>
        <v>0</v>
      </c>
      <c r="P9" s="14">
        <f ca="1">FLUID!T52</f>
        <v>0</v>
      </c>
      <c r="Q9" s="14">
        <f ca="1">FLUID!U52</f>
        <v>0</v>
      </c>
      <c r="R9" s="14">
        <f ca="1">FLUID!V52</f>
        <v>0</v>
      </c>
      <c r="S9" s="14">
        <f ca="1">FLUID!W52</f>
        <v>0</v>
      </c>
      <c r="T9" s="14">
        <f ca="1">FLUID!X52</f>
        <v>0</v>
      </c>
      <c r="U9" s="14">
        <f ca="1">FLUID!Y52</f>
        <v>0</v>
      </c>
      <c r="V9" s="14">
        <f ca="1">FLUID!Z52</f>
        <v>0</v>
      </c>
      <c r="W9" s="14">
        <f ca="1">FLUID!AA52</f>
        <v>0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</row>
    <row r="10" spans="1:77" ht="22.5" hidden="1" outlineLevel="1" thickTop="1" thickBot="1" x14ac:dyDescent="0.4">
      <c r="A10" s="36" t="str">
        <f>FLUID!E53</f>
        <v>Se2</v>
      </c>
      <c r="B10" s="16">
        <f ca="1">FLUID!F53</f>
        <v>-9.4</v>
      </c>
      <c r="C10" s="16">
        <f ca="1">FLUID!G53</f>
        <v>-10.103999999999999</v>
      </c>
      <c r="D10" s="16">
        <f ca="1">FLUID!H53</f>
        <v>-10.882</v>
      </c>
      <c r="E10" s="16">
        <f ca="1">FLUID!I53</f>
        <v>-11.648</v>
      </c>
      <c r="F10" s="14">
        <f ca="1">FLUID!J53</f>
        <v>-12.378</v>
      </c>
      <c r="G10" s="14">
        <f ca="1">FLUID!K53</f>
        <v>-13.06</v>
      </c>
      <c r="H10" s="14">
        <f ca="1">FLUID!L53</f>
        <v>-13.694000000000001</v>
      </c>
      <c r="I10" s="14">
        <f ca="1">FLUID!M53</f>
        <v>-14.284000000000001</v>
      </c>
      <c r="J10" s="14">
        <f ca="1">FLUID!N53</f>
        <v>-14.84</v>
      </c>
      <c r="K10" s="14">
        <f ca="1">FLUID!O53</f>
        <v>-15.382</v>
      </c>
      <c r="L10" s="14">
        <f ca="1">FLUID!P53</f>
        <v>-15.948</v>
      </c>
      <c r="M10" s="14">
        <f ca="1">FLUID!Q53</f>
        <v>-16.596</v>
      </c>
      <c r="N10" s="14">
        <f ca="1">FLUID!R53</f>
        <v>0</v>
      </c>
      <c r="O10" s="14">
        <f ca="1">FLUID!S53</f>
        <v>0</v>
      </c>
      <c r="P10" s="14">
        <f ca="1">FLUID!T53</f>
        <v>0</v>
      </c>
      <c r="Q10" s="14">
        <f ca="1">FLUID!U53</f>
        <v>0</v>
      </c>
      <c r="R10" s="14">
        <f ca="1">FLUID!V53</f>
        <v>0</v>
      </c>
      <c r="S10" s="14">
        <f ca="1">FLUID!W53</f>
        <v>0</v>
      </c>
      <c r="T10" s="14">
        <f ca="1">FLUID!X53</f>
        <v>0</v>
      </c>
      <c r="U10" s="14">
        <f ca="1">FLUID!Y53</f>
        <v>0</v>
      </c>
      <c r="V10" s="14">
        <f ca="1">FLUID!Z53</f>
        <v>0</v>
      </c>
      <c r="W10" s="14">
        <f ca="1">FLUID!AA53</f>
        <v>0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</row>
    <row r="11" spans="1:77" ht="22.5" hidden="1" outlineLevel="1" thickTop="1" thickBot="1" x14ac:dyDescent="0.4">
      <c r="A11" s="36" t="str">
        <f>FLUID!E54</f>
        <v>Se</v>
      </c>
      <c r="B11" s="16">
        <f ca="1">FLUID!F54</f>
        <v>-4.7</v>
      </c>
      <c r="C11" s="16">
        <f ca="1">FLUID!G54</f>
        <v>-5.0519999999999996</v>
      </c>
      <c r="D11" s="16">
        <f ca="1">FLUID!H54</f>
        <v>-5.4409999999999998</v>
      </c>
      <c r="E11" s="16">
        <f ca="1">FLUID!I54</f>
        <v>-5.8239999999999998</v>
      </c>
      <c r="F11" s="14">
        <f ca="1">FLUID!J54</f>
        <v>-6.1890000000000001</v>
      </c>
      <c r="G11" s="14">
        <f ca="1">FLUID!K54</f>
        <v>-6.53</v>
      </c>
      <c r="H11" s="14">
        <f ca="1">FLUID!L54</f>
        <v>-6.8470000000000004</v>
      </c>
      <c r="I11" s="14">
        <f ca="1">FLUID!M54</f>
        <v>-7.1420000000000003</v>
      </c>
      <c r="J11" s="14">
        <f ca="1">FLUID!N54</f>
        <v>-7.42</v>
      </c>
      <c r="K11" s="14">
        <f ca="1">FLUID!O54</f>
        <v>-7.6909999999999998</v>
      </c>
      <c r="L11" s="14">
        <f ca="1">FLUID!P54</f>
        <v>-7.9740000000000002</v>
      </c>
      <c r="M11" s="14">
        <f ca="1">FLUID!Q54</f>
        <v>-8.298</v>
      </c>
      <c r="N11" s="14">
        <f ca="1">FLUID!R54</f>
        <v>0</v>
      </c>
      <c r="O11" s="14">
        <f ca="1">FLUID!S54</f>
        <v>0</v>
      </c>
      <c r="P11" s="14">
        <f ca="1">FLUID!T54</f>
        <v>0</v>
      </c>
      <c r="Q11" s="14">
        <f ca="1">FLUID!U54</f>
        <v>0</v>
      </c>
      <c r="R11" s="14">
        <f ca="1">FLUID!V54</f>
        <v>0</v>
      </c>
      <c r="S11" s="14">
        <f ca="1">FLUID!W54</f>
        <v>0</v>
      </c>
      <c r="T11" s="14">
        <f ca="1">FLUID!X54</f>
        <v>0</v>
      </c>
      <c r="U11" s="14">
        <f ca="1">FLUID!Y54</f>
        <v>0</v>
      </c>
      <c r="V11" s="14">
        <f ca="1">FLUID!Z54</f>
        <v>0</v>
      </c>
      <c r="W11" s="14">
        <f ca="1">FLUID!AA54</f>
        <v>0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</row>
    <row r="12" spans="1:77" ht="22.5" hidden="1" outlineLevel="1" thickTop="1" thickBot="1" x14ac:dyDescent="0.4">
      <c r="A12" s="36" t="str">
        <f>FLUID!E55</f>
        <v>Ga2Se</v>
      </c>
      <c r="B12" s="16">
        <f ca="1">FLUID!F55</f>
        <v>-20.026</v>
      </c>
      <c r="C12" s="16">
        <f ca="1">FLUID!G55</f>
        <v>-21.361999999999998</v>
      </c>
      <c r="D12" s="16">
        <f ca="1">FLUID!H55</f>
        <v>-22.631</v>
      </c>
      <c r="E12" s="16">
        <f ca="1">FLUID!I55</f>
        <v>-23.799999999999997</v>
      </c>
      <c r="F12" s="14">
        <f ca="1">FLUID!J55</f>
        <v>-24.879000000000001</v>
      </c>
      <c r="G12" s="14">
        <f ca="1">FLUID!K55</f>
        <v>-25.904</v>
      </c>
      <c r="H12" s="14">
        <f ca="1">FLUID!L55</f>
        <v>-26.947000000000003</v>
      </c>
      <c r="I12" s="14">
        <f ca="1">FLUID!M55</f>
        <v>-28.082000000000001</v>
      </c>
      <c r="J12" s="14">
        <f ca="1">FLUID!N55</f>
        <v>-29.259999999999998</v>
      </c>
      <c r="K12" s="14">
        <f ca="1">FLUID!O55</f>
        <v>-30.430999999999997</v>
      </c>
      <c r="L12" s="14">
        <f ca="1">FLUID!P55</f>
        <v>-31.594000000000001</v>
      </c>
      <c r="M12" s="14">
        <f ca="1">FLUID!Q55</f>
        <v>-32.738</v>
      </c>
      <c r="N12" s="14">
        <f ca="1">FLUID!R55</f>
        <v>0</v>
      </c>
      <c r="O12" s="14">
        <f ca="1">FLUID!S55</f>
        <v>0</v>
      </c>
      <c r="P12" s="14">
        <f ca="1">FLUID!T55</f>
        <v>0</v>
      </c>
      <c r="Q12" s="14">
        <f ca="1">FLUID!U55</f>
        <v>0</v>
      </c>
      <c r="R12" s="14">
        <f ca="1">FLUID!V55</f>
        <v>0</v>
      </c>
      <c r="S12" s="14">
        <f ca="1">FLUID!W55</f>
        <v>0</v>
      </c>
      <c r="T12" s="14">
        <f ca="1">FLUID!X55</f>
        <v>0</v>
      </c>
      <c r="U12" s="14">
        <f ca="1">FLUID!Y55</f>
        <v>0</v>
      </c>
      <c r="V12" s="14">
        <f ca="1">FLUID!Z55</f>
        <v>0</v>
      </c>
      <c r="W12" s="14">
        <f ca="1">FLUID!AA55</f>
        <v>0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</row>
    <row r="13" spans="1:77" ht="22.5" hidden="1" outlineLevel="1" thickTop="1" thickBot="1" x14ac:dyDescent="0.4">
      <c r="A13" s="36" t="str">
        <f>FLUID!E56</f>
        <v>Ar</v>
      </c>
      <c r="B13" s="16">
        <f ca="1">FLUID!F56</f>
        <v>-18.62</v>
      </c>
      <c r="C13" s="16">
        <f ca="1">FLUID!G56</f>
        <v>-18.63</v>
      </c>
      <c r="D13" s="16">
        <f ca="1">FLUID!H56</f>
        <v>-18.72</v>
      </c>
      <c r="E13" s="16">
        <f ca="1">FLUID!I56</f>
        <v>-18.84</v>
      </c>
      <c r="F13" s="14">
        <f ca="1">FLUID!J56</f>
        <v>-18.97</v>
      </c>
      <c r="G13" s="14">
        <f ca="1">FLUID!K56</f>
        <v>-19.11</v>
      </c>
      <c r="H13" s="14">
        <f ca="1">FLUID!L56</f>
        <v>-19.260000000000002</v>
      </c>
      <c r="I13" s="14">
        <f ca="1">FLUID!M56</f>
        <v>-19.41</v>
      </c>
      <c r="J13" s="14">
        <f ca="1">FLUID!N56</f>
        <v>-19.559999999999999</v>
      </c>
      <c r="K13" s="14">
        <f ca="1">FLUID!O56</f>
        <v>-19.73</v>
      </c>
      <c r="L13" s="14">
        <f ca="1">FLUID!P56</f>
        <v>-19.940000000000001</v>
      </c>
      <c r="M13" s="14">
        <f ca="1">FLUID!Q56</f>
        <v>-20.2</v>
      </c>
      <c r="N13" s="14">
        <f ca="1">FLUID!R56</f>
        <v>0</v>
      </c>
      <c r="O13" s="14">
        <f ca="1">FLUID!S56</f>
        <v>0</v>
      </c>
      <c r="P13" s="14">
        <f ca="1">FLUID!T56</f>
        <v>0</v>
      </c>
      <c r="Q13" s="14">
        <f ca="1">FLUID!U56</f>
        <v>0</v>
      </c>
      <c r="R13" s="14">
        <f ca="1">FLUID!V56</f>
        <v>0</v>
      </c>
      <c r="S13" s="14">
        <f ca="1">FLUID!W56</f>
        <v>0</v>
      </c>
      <c r="T13" s="14">
        <f ca="1">FLUID!X56</f>
        <v>0</v>
      </c>
      <c r="U13" s="14">
        <f ca="1">FLUID!Y56</f>
        <v>0</v>
      </c>
      <c r="V13" s="14">
        <f ca="1">FLUID!Z56</f>
        <v>0</v>
      </c>
      <c r="W13" s="14">
        <f ca="1">FLUID!AA56</f>
        <v>0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</row>
    <row r="14" spans="1:77" ht="22.5" hidden="1" outlineLevel="1" thickTop="1" thickBot="1" x14ac:dyDescent="0.4">
      <c r="A14" s="36" t="str">
        <f>FLUID!E57</f>
        <v>(l)Ga[l]</v>
      </c>
      <c r="B14" s="16">
        <f ca="1">FLUID!F57</f>
        <v>-7.6630000000000003</v>
      </c>
      <c r="C14" s="16">
        <f ca="1">FLUID!G57</f>
        <v>-8.1549999999999994</v>
      </c>
      <c r="D14" s="16">
        <f ca="1">FLUID!H57</f>
        <v>-8.5950000000000006</v>
      </c>
      <c r="E14" s="16">
        <f ca="1">FLUID!I57</f>
        <v>-8.9879999999999995</v>
      </c>
      <c r="F14" s="14">
        <f ca="1">FLUID!J57</f>
        <v>-9.3450000000000006</v>
      </c>
      <c r="G14" s="14">
        <f ca="1">FLUID!K57</f>
        <v>-9.6869999999999994</v>
      </c>
      <c r="H14" s="14">
        <f ca="1">FLUID!L57</f>
        <v>-10.050000000000001</v>
      </c>
      <c r="I14" s="14">
        <f ca="1">FLUID!M57</f>
        <v>-10.47</v>
      </c>
      <c r="J14" s="14">
        <f ca="1">FLUID!N57</f>
        <v>-10.92</v>
      </c>
      <c r="K14" s="14">
        <f ca="1">FLUID!O57</f>
        <v>-11.37</v>
      </c>
      <c r="L14" s="14">
        <f ca="1">FLUID!P57</f>
        <v>-11.81</v>
      </c>
      <c r="M14" s="14">
        <f ca="1">FLUID!Q57</f>
        <v>-12.22</v>
      </c>
      <c r="N14" s="14">
        <f ca="1">FLUID!R57</f>
        <v>0</v>
      </c>
      <c r="O14" s="14">
        <f ca="1">FLUID!S57</f>
        <v>0</v>
      </c>
      <c r="P14" s="14">
        <f ca="1">FLUID!T57</f>
        <v>0</v>
      </c>
      <c r="Q14" s="14">
        <f ca="1">FLUID!U57</f>
        <v>0</v>
      </c>
      <c r="R14" s="14">
        <f ca="1">FLUID!V57</f>
        <v>0</v>
      </c>
      <c r="S14" s="14">
        <f ca="1">FLUID!W57</f>
        <v>0</v>
      </c>
      <c r="T14" s="14">
        <f ca="1">FLUID!X57</f>
        <v>0</v>
      </c>
      <c r="U14" s="14">
        <f ca="1">FLUID!Y57</f>
        <v>0</v>
      </c>
      <c r="V14" s="14">
        <f ca="1">FLUID!Z57</f>
        <v>0</v>
      </c>
      <c r="W14" s="14">
        <f ca="1">FLUID!AA57</f>
        <v>0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</row>
    <row r="15" spans="1:77" ht="22.5" hidden="1" outlineLevel="1" thickTop="1" thickBot="1" x14ac:dyDescent="0.4">
      <c r="A15" s="36" t="str">
        <f>FLUID!E58</f>
        <v>(l)Ge[l]</v>
      </c>
      <c r="B15" s="16">
        <f ca="1">FLUID!F58</f>
        <v>7.5119999999999996</v>
      </c>
      <c r="C15" s="16">
        <f ca="1">FLUID!G58</f>
        <v>4.4539999999999997</v>
      </c>
      <c r="D15" s="16">
        <f ca="1">FLUID!H58</f>
        <v>2.2879999999999998</v>
      </c>
      <c r="E15" s="16">
        <f ca="1">FLUID!I58</f>
        <v>0.65210000000000001</v>
      </c>
      <c r="F15" s="14">
        <f ca="1">FLUID!J58</f>
        <v>-0.63829999999999998</v>
      </c>
      <c r="G15" s="14">
        <f ca="1">FLUID!K58</f>
        <v>-1.6890000000000001</v>
      </c>
      <c r="H15" s="14">
        <f ca="1">FLUID!L58</f>
        <v>-2.5640000000000001</v>
      </c>
      <c r="I15" s="14">
        <f ca="1">FLUID!M58</f>
        <v>-3.3050000000000002</v>
      </c>
      <c r="J15" s="14">
        <f ca="1">FLUID!N58</f>
        <v>-3.9390000000000001</v>
      </c>
      <c r="K15" s="14">
        <f ca="1">FLUID!O58</f>
        <v>-4.4790000000000001</v>
      </c>
      <c r="L15" s="14">
        <f ca="1">FLUID!P58</f>
        <v>-4.9219999999999997</v>
      </c>
      <c r="M15" s="14">
        <f ca="1">FLUID!Q58</f>
        <v>-5.2549999999999999</v>
      </c>
      <c r="N15" s="14">
        <f ca="1">FLUID!R58</f>
        <v>0</v>
      </c>
      <c r="O15" s="14">
        <f ca="1">FLUID!S58</f>
        <v>0</v>
      </c>
      <c r="P15" s="14">
        <f ca="1">FLUID!T58</f>
        <v>0</v>
      </c>
      <c r="Q15" s="14">
        <f ca="1">FLUID!U58</f>
        <v>0</v>
      </c>
      <c r="R15" s="14">
        <f ca="1">FLUID!V58</f>
        <v>0</v>
      </c>
      <c r="S15" s="14">
        <f ca="1">FLUID!W58</f>
        <v>0</v>
      </c>
      <c r="T15" s="14">
        <f ca="1">FLUID!X58</f>
        <v>0</v>
      </c>
      <c r="U15" s="14">
        <f ca="1">FLUID!Y58</f>
        <v>0</v>
      </c>
      <c r="V15" s="14">
        <f ca="1">FLUID!Z58</f>
        <v>0</v>
      </c>
      <c r="W15" s="14">
        <f ca="1">FLUID!AA58</f>
        <v>0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</row>
    <row r="16" spans="1:77" ht="22.5" hidden="1" outlineLevel="1" thickTop="1" thickBot="1" x14ac:dyDescent="0.4">
      <c r="A16" s="36" t="str">
        <f>FLUID!E59</f>
        <v>(l)Se[l]</v>
      </c>
      <c r="B16" s="16">
        <f ca="1">FLUID!F59</f>
        <v>-4.7</v>
      </c>
      <c r="C16" s="16">
        <f ca="1">FLUID!G59</f>
        <v>-5.0519999999999996</v>
      </c>
      <c r="D16" s="16">
        <f ca="1">FLUID!H59</f>
        <v>-5.4409999999999998</v>
      </c>
      <c r="E16" s="16">
        <f ca="1">FLUID!I59</f>
        <v>-5.8239999999999998</v>
      </c>
      <c r="F16" s="14">
        <f ca="1">FLUID!J59</f>
        <v>-6.1890000000000001</v>
      </c>
      <c r="G16" s="14">
        <f ca="1">FLUID!K59</f>
        <v>-6.53</v>
      </c>
      <c r="H16" s="14">
        <f ca="1">FLUID!L59</f>
        <v>-6.8470000000000004</v>
      </c>
      <c r="I16" s="14">
        <f ca="1">FLUID!M59</f>
        <v>-7.1420000000000003</v>
      </c>
      <c r="J16" s="14">
        <f ca="1">FLUID!N59</f>
        <v>-7.42</v>
      </c>
      <c r="K16" s="14">
        <f ca="1">FLUID!O59</f>
        <v>-7.6909999999999998</v>
      </c>
      <c r="L16" s="14">
        <f ca="1">FLUID!P59</f>
        <v>-7.9740000000000002</v>
      </c>
      <c r="M16" s="14">
        <f ca="1">FLUID!Q59</f>
        <v>-8.298</v>
      </c>
      <c r="N16" s="14">
        <f ca="1">FLUID!R59</f>
        <v>0</v>
      </c>
      <c r="O16" s="14">
        <f ca="1">FLUID!S59</f>
        <v>0</v>
      </c>
      <c r="P16" s="14">
        <f ca="1">FLUID!T59</f>
        <v>0</v>
      </c>
      <c r="Q16" s="14">
        <f ca="1">FLUID!U59</f>
        <v>0</v>
      </c>
      <c r="R16" s="14">
        <f ca="1">FLUID!V59</f>
        <v>0</v>
      </c>
      <c r="S16" s="14">
        <f ca="1">FLUID!W59</f>
        <v>0</v>
      </c>
      <c r="T16" s="14">
        <f ca="1">FLUID!X59</f>
        <v>0</v>
      </c>
      <c r="U16" s="14">
        <f ca="1">FLUID!Y59</f>
        <v>0</v>
      </c>
      <c r="V16" s="14">
        <f ca="1">FLUID!Z59</f>
        <v>0</v>
      </c>
      <c r="W16" s="14">
        <f ca="1">FLUID!AA59</f>
        <v>0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</row>
    <row r="17" spans="1:72" ht="22.5" hidden="1" outlineLevel="1" thickTop="1" thickBot="1" x14ac:dyDescent="0.4">
      <c r="A17" s="36" t="str">
        <f>FLUID!E60</f>
        <v>H (Ar)</v>
      </c>
      <c r="B17" s="16">
        <f ca="1">FLUID!F60</f>
        <v>-18.62</v>
      </c>
      <c r="C17" s="16">
        <f ca="1">FLUID!G60</f>
        <v>-18.63</v>
      </c>
      <c r="D17" s="16">
        <f ca="1">FLUID!H60</f>
        <v>-18.72</v>
      </c>
      <c r="E17" s="16">
        <f ca="1">FLUID!I60</f>
        <v>-18.84</v>
      </c>
      <c r="F17" s="14">
        <f ca="1">FLUID!J60</f>
        <v>-18.97</v>
      </c>
      <c r="G17" s="14">
        <f ca="1">FLUID!K60</f>
        <v>-19.11</v>
      </c>
      <c r="H17" s="14">
        <f ca="1">FLUID!L60</f>
        <v>-19.260000000000002</v>
      </c>
      <c r="I17" s="14">
        <f ca="1">FLUID!M60</f>
        <v>-19.41</v>
      </c>
      <c r="J17" s="14">
        <f ca="1">FLUID!N60</f>
        <v>-19.559999999999999</v>
      </c>
      <c r="K17" s="14">
        <f ca="1">FLUID!O60</f>
        <v>-19.73</v>
      </c>
      <c r="L17" s="14">
        <f ca="1">FLUID!P60</f>
        <v>-19.940000000000001</v>
      </c>
      <c r="M17" s="14">
        <f ca="1">FLUID!Q60</f>
        <v>-20.2</v>
      </c>
      <c r="N17" s="14">
        <f ca="1">FLUID!R60</f>
        <v>0</v>
      </c>
      <c r="O17" s="14">
        <f ca="1">FLUID!S60</f>
        <v>0</v>
      </c>
      <c r="P17" s="14">
        <f ca="1">FLUID!T60</f>
        <v>0</v>
      </c>
      <c r="Q17" s="14">
        <f ca="1">FLUID!U60</f>
        <v>0</v>
      </c>
      <c r="R17" s="14">
        <f ca="1">FLUID!V60</f>
        <v>0</v>
      </c>
      <c r="S17" s="14">
        <f ca="1">FLUID!W60</f>
        <v>0</v>
      </c>
      <c r="T17" s="14">
        <f ca="1">FLUID!X60</f>
        <v>0</v>
      </c>
      <c r="U17" s="14">
        <f ca="1">FLUID!Y60</f>
        <v>0</v>
      </c>
      <c r="V17" s="14">
        <f ca="1">FLUID!Z60</f>
        <v>0</v>
      </c>
      <c r="W17" s="14">
        <f ca="1">FLUID!AA60</f>
        <v>0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</row>
    <row r="18" spans="1:72" ht="22.5" hidden="1" outlineLevel="1" thickTop="1" thickBot="1" x14ac:dyDescent="0.4">
      <c r="A18" s="36" t="str">
        <f>FLUID!E61</f>
        <v>H (Ga)</v>
      </c>
      <c r="B18" s="16">
        <f ca="1">FLUID!F61</f>
        <v>-7.6630000000000003</v>
      </c>
      <c r="C18" s="16">
        <f ca="1">FLUID!G61</f>
        <v>-8.1549999999999994</v>
      </c>
      <c r="D18" s="16">
        <f ca="1">FLUID!H61</f>
        <v>-8.5950000000000006</v>
      </c>
      <c r="E18" s="16">
        <f ca="1">FLUID!I61</f>
        <v>-8.9879999999999995</v>
      </c>
      <c r="F18" s="14">
        <f ca="1">FLUID!J61</f>
        <v>-9.3450000000000006</v>
      </c>
      <c r="G18" s="14">
        <f ca="1">FLUID!K61</f>
        <v>-9.6869999999999994</v>
      </c>
      <c r="H18" s="14">
        <f ca="1">FLUID!L61</f>
        <v>-10.050000000000001</v>
      </c>
      <c r="I18" s="14">
        <f ca="1">FLUID!M61</f>
        <v>-10.47</v>
      </c>
      <c r="J18" s="14">
        <f ca="1">FLUID!N61</f>
        <v>-10.92</v>
      </c>
      <c r="K18" s="14">
        <f ca="1">FLUID!O61</f>
        <v>-11.37</v>
      </c>
      <c r="L18" s="14">
        <f ca="1">FLUID!P61</f>
        <v>-11.81</v>
      </c>
      <c r="M18" s="14">
        <f ca="1">FLUID!Q61</f>
        <v>-12.22</v>
      </c>
      <c r="N18" s="14">
        <f ca="1">FLUID!R61</f>
        <v>0</v>
      </c>
      <c r="O18" s="14">
        <f ca="1">FLUID!S61</f>
        <v>0</v>
      </c>
      <c r="P18" s="14">
        <f ca="1">FLUID!T61</f>
        <v>0</v>
      </c>
      <c r="Q18" s="14">
        <f ca="1">FLUID!U61</f>
        <v>0</v>
      </c>
      <c r="R18" s="14">
        <f ca="1">FLUID!V61</f>
        <v>0</v>
      </c>
      <c r="S18" s="14">
        <f ca="1">FLUID!W61</f>
        <v>0</v>
      </c>
      <c r="T18" s="14">
        <f ca="1">FLUID!X61</f>
        <v>0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</row>
    <row r="19" spans="1:72" ht="22.5" hidden="1" customHeight="1" outlineLevel="1" thickBot="1" x14ac:dyDescent="0.4">
      <c r="A19" s="36" t="str">
        <f>FLUID!E62</f>
        <v>H (Ge)</v>
      </c>
      <c r="B19" s="16">
        <f ca="1">FLUID!F62</f>
        <v>7.5119999999999996</v>
      </c>
      <c r="C19" s="16">
        <f ca="1">FLUID!G62</f>
        <v>4.4539999999999997</v>
      </c>
      <c r="D19" s="16">
        <f ca="1">FLUID!H62</f>
        <v>2.2879999999999998</v>
      </c>
      <c r="E19" s="16">
        <f ca="1">FLUID!I62</f>
        <v>0.65210000000000001</v>
      </c>
      <c r="F19" s="14">
        <f ca="1">FLUID!J62</f>
        <v>-0.63829999999999998</v>
      </c>
      <c r="G19" s="14">
        <f ca="1">FLUID!K62</f>
        <v>-1.6890000000000001</v>
      </c>
      <c r="H19" s="14">
        <f ca="1">FLUID!L62</f>
        <v>-2.5640000000000001</v>
      </c>
      <c r="I19" s="14">
        <f ca="1">FLUID!M62</f>
        <v>-3.3050000000000002</v>
      </c>
      <c r="J19" s="14">
        <f ca="1">FLUID!N62</f>
        <v>-3.9390000000000001</v>
      </c>
      <c r="K19" s="14">
        <f ca="1">FLUID!O62</f>
        <v>-4.4790000000000001</v>
      </c>
      <c r="L19" s="14">
        <f ca="1">FLUID!P62</f>
        <v>-4.9219999999999997</v>
      </c>
      <c r="M19" s="14">
        <f ca="1">FLUID!Q62</f>
        <v>-5.2549999999999999</v>
      </c>
      <c r="N19" s="14">
        <f ca="1">FLUID!R62</f>
        <v>0</v>
      </c>
      <c r="O19" s="14">
        <f ca="1">FLUID!S62</f>
        <v>0</v>
      </c>
      <c r="P19" s="14">
        <f ca="1">FLUID!T62</f>
        <v>0</v>
      </c>
      <c r="Q19" s="14">
        <f ca="1">FLUID!U62</f>
        <v>0</v>
      </c>
      <c r="R19" s="14">
        <f ca="1">FLUID!V62</f>
        <v>0</v>
      </c>
      <c r="S19" s="14">
        <f ca="1">FLUID!W62</f>
        <v>0</v>
      </c>
      <c r="T19" s="14">
        <f ca="1">FLUID!X62</f>
        <v>0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</row>
    <row r="20" spans="1:72" ht="22.5" hidden="1" customHeight="1" outlineLevel="1" thickBot="1" x14ac:dyDescent="0.4">
      <c r="A20" s="36" t="str">
        <f>FLUID!E63</f>
        <v>H (Se)</v>
      </c>
      <c r="B20" s="16">
        <f ca="1">FLUID!F63</f>
        <v>-4.7</v>
      </c>
      <c r="C20" s="16">
        <f ca="1">FLUID!G63</f>
        <v>-5.0519999999999996</v>
      </c>
      <c r="D20" s="16">
        <f ca="1">FLUID!H63</f>
        <v>-5.4409999999999998</v>
      </c>
      <c r="E20" s="16">
        <f ca="1">FLUID!I63</f>
        <v>-5.8239999999999998</v>
      </c>
      <c r="F20" s="14">
        <f ca="1">FLUID!J63</f>
        <v>-6.1890000000000001</v>
      </c>
      <c r="G20" s="14">
        <f ca="1">FLUID!K63</f>
        <v>-6.53</v>
      </c>
      <c r="H20" s="14">
        <f ca="1">FLUID!L63</f>
        <v>-6.8470000000000004</v>
      </c>
      <c r="I20" s="14">
        <f ca="1">FLUID!M63</f>
        <v>-7.1420000000000003</v>
      </c>
      <c r="J20" s="14">
        <f ca="1">FLUID!N63</f>
        <v>-7.42</v>
      </c>
      <c r="K20" s="14">
        <f ca="1">FLUID!O63</f>
        <v>-7.6909999999999998</v>
      </c>
      <c r="L20" s="14">
        <f ca="1">FLUID!P63</f>
        <v>-7.9740000000000002</v>
      </c>
      <c r="M20" s="14">
        <f ca="1">FLUID!Q63</f>
        <v>-8.298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</row>
    <row r="21" spans="1:72" ht="22.5" hidden="1" customHeight="1" outlineLevel="1" thickBot="1" x14ac:dyDescent="0.4">
      <c r="A21" s="36">
        <f>FLUID!E64</f>
        <v>0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</row>
    <row r="22" spans="1:72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</row>
    <row r="23" spans="1:72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</row>
    <row r="24" spans="1:72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</row>
    <row r="25" spans="1:72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</row>
    <row r="26" spans="1:72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</row>
    <row r="27" spans="1:72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</row>
    <row r="28" spans="1:72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</row>
    <row r="29" spans="1:72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</row>
    <row r="30" spans="1:72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</row>
    <row r="31" spans="1:72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</row>
    <row r="32" spans="1:72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</row>
    <row r="33" spans="1:72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</row>
    <row r="34" spans="1:72" ht="22.5" thickTop="1" thickBot="1" x14ac:dyDescent="0.4">
      <c r="A34" s="4" t="s">
        <v>30</v>
      </c>
      <c r="B34" s="69">
        <f>SOLID!F3</f>
        <v>273.10000000000002</v>
      </c>
      <c r="C34" s="69">
        <f>SOLID!G3</f>
        <v>289.7</v>
      </c>
      <c r="D34" s="69">
        <f>SOLID!H3</f>
        <v>306.2</v>
      </c>
      <c r="E34" s="69">
        <f>SOLID!I3</f>
        <v>322.7</v>
      </c>
      <c r="F34" s="69">
        <f>SOLID!J3</f>
        <v>339.2</v>
      </c>
      <c r="G34" s="69">
        <f>SOLID!K3</f>
        <v>355.7</v>
      </c>
      <c r="H34" s="69">
        <f>SOLID!L3</f>
        <v>372.3</v>
      </c>
      <c r="I34" s="69">
        <f>SOLID!M3</f>
        <v>388.8</v>
      </c>
      <c r="J34" s="69">
        <f>SOLID!N3</f>
        <v>405.3</v>
      </c>
      <c r="K34" s="69">
        <f>SOLID!O3</f>
        <v>471.4</v>
      </c>
      <c r="L34" s="69">
        <f>SOLID!P3</f>
        <v>487.9</v>
      </c>
      <c r="M34" s="69">
        <f>SOLID!Q3</f>
        <v>504.4</v>
      </c>
      <c r="N34" s="69">
        <f>SOLID!R3</f>
        <v>520.9</v>
      </c>
      <c r="O34" s="69">
        <f>SOLID!S3</f>
        <v>537.5</v>
      </c>
      <c r="P34" s="69">
        <f>SOLID!T3</f>
        <v>603.5</v>
      </c>
      <c r="Q34" s="69">
        <f>SOLID!U3</f>
        <v>669.6</v>
      </c>
      <c r="R34" s="69">
        <f>SOLID!V3</f>
        <v>735.7</v>
      </c>
      <c r="S34" s="69">
        <f>SOLID!W3</f>
        <v>752.2</v>
      </c>
      <c r="T34" s="69">
        <f>SOLID!X3</f>
        <v>768.7</v>
      </c>
      <c r="U34" s="69">
        <f>SOLID!Y3</f>
        <v>785.2</v>
      </c>
      <c r="V34" s="69">
        <f>SOLID!Z3</f>
        <v>801.8</v>
      </c>
      <c r="W34" s="69">
        <f>SOLID!AA3</f>
        <v>818.3</v>
      </c>
      <c r="X34" s="69">
        <f>SOLID!AB3</f>
        <v>834.8</v>
      </c>
      <c r="Y34" s="69">
        <f>SOLID!AC3</f>
        <v>851.3</v>
      </c>
      <c r="Z34" s="69">
        <f>SOLID!AD3</f>
        <v>867.8</v>
      </c>
      <c r="AA34" s="69">
        <f>SOLID!AE3</f>
        <v>933.9</v>
      </c>
      <c r="AB34" s="69">
        <f>SOLID!AF3</f>
        <v>1000</v>
      </c>
      <c r="AC34" s="69">
        <f>SOLID!AG3</f>
        <v>0</v>
      </c>
      <c r="AD34" s="69">
        <f>SOLID!AH3</f>
        <v>0</v>
      </c>
      <c r="AE34" s="69">
        <f>SOLID!AI3</f>
        <v>0</v>
      </c>
      <c r="AF34" s="69">
        <f>SOLID!AJ3</f>
        <v>0</v>
      </c>
      <c r="AG34" s="69">
        <f>SOLID!AK3</f>
        <v>0</v>
      </c>
      <c r="AH34" s="69">
        <f>SOLID!AL3</f>
        <v>0</v>
      </c>
      <c r="AI34" s="69">
        <f>SOLID!AM3</f>
        <v>0</v>
      </c>
      <c r="AJ34" s="69">
        <f>SOLID!AN3</f>
        <v>0</v>
      </c>
      <c r="AK34" s="69">
        <f>SOLID!AO3</f>
        <v>0</v>
      </c>
      <c r="AL34" s="69">
        <f>SOLID!AP3</f>
        <v>0</v>
      </c>
      <c r="AM34" s="69">
        <f>SOLID!AQ3</f>
        <v>0</v>
      </c>
      <c r="AN34" s="69">
        <f>SOLID!AR3</f>
        <v>0</v>
      </c>
      <c r="AO34" s="69">
        <f>SOLID!AS3</f>
        <v>0</v>
      </c>
      <c r="AP34" s="69">
        <f>SOLID!AT3</f>
        <v>0</v>
      </c>
      <c r="AQ34" s="69">
        <f>SOLID!AU3</f>
        <v>0</v>
      </c>
      <c r="AR34" s="69">
        <f>SOLID!AV3</f>
        <v>0</v>
      </c>
      <c r="AS34" s="69">
        <f>SOLID!AW3</f>
        <v>0</v>
      </c>
      <c r="AT34" s="69">
        <f>SOLID!AX3</f>
        <v>0</v>
      </c>
      <c r="AU34" s="69">
        <f>SOLID!AY3</f>
        <v>0</v>
      </c>
      <c r="AV34" s="69">
        <f>SOLID!AZ3</f>
        <v>0</v>
      </c>
      <c r="AW34" s="69">
        <f>SOLID!BA3</f>
        <v>700</v>
      </c>
      <c r="AX34" s="69">
        <f>SOLID!BB3</f>
        <v>0</v>
      </c>
      <c r="AY34" s="69">
        <f>SOLID!BC3</f>
        <v>0</v>
      </c>
      <c r="AZ34" s="69">
        <f>SOLID!BD3</f>
        <v>0</v>
      </c>
      <c r="BA34" s="69">
        <f>SOLID!BE3</f>
        <v>0</v>
      </c>
      <c r="BB34" s="69">
        <f>SOLID!BF3</f>
        <v>0</v>
      </c>
      <c r="BC34" s="69">
        <f>SOLID!BG3</f>
        <v>0</v>
      </c>
      <c r="BD34" s="69">
        <f>SOLID!BH3</f>
        <v>0</v>
      </c>
      <c r="BE34" s="69">
        <f>SOLID!BI3</f>
        <v>0</v>
      </c>
      <c r="BF34" s="69">
        <f>SOLID!BJ3</f>
        <v>0</v>
      </c>
      <c r="BG34" s="69">
        <f>SOLID!BK3</f>
        <v>0</v>
      </c>
      <c r="BH34" s="69">
        <f>SOLID!BL3</f>
        <v>0</v>
      </c>
      <c r="BI34" s="69">
        <f>SOLID!BM3</f>
        <v>0</v>
      </c>
      <c r="BJ34" s="69">
        <f>SOLID!BN3</f>
        <v>0</v>
      </c>
      <c r="BK34" s="69">
        <f>SOLID!BO3</f>
        <v>0</v>
      </c>
      <c r="BL34" s="69">
        <f>SOLID!BP3</f>
        <v>0</v>
      </c>
      <c r="BM34" s="69">
        <f>SOLID!BQ3</f>
        <v>0</v>
      </c>
      <c r="BN34" s="69">
        <f>SOLID!BR3</f>
        <v>0</v>
      </c>
      <c r="BO34" s="69">
        <f>SOLID!BS3</f>
        <v>0</v>
      </c>
      <c r="BP34" s="69">
        <f>SOLID!BT3</f>
        <v>0</v>
      </c>
      <c r="BQ34" s="69">
        <f>SOLID!BU3</f>
        <v>0</v>
      </c>
      <c r="BR34" s="69">
        <f>SOLID!BV3</f>
        <v>0</v>
      </c>
      <c r="BS34" s="69">
        <f>SOLID!BW3</f>
        <v>0</v>
      </c>
      <c r="BT34" s="69">
        <f>SOLID!BX3</f>
        <v>0</v>
      </c>
    </row>
    <row r="35" spans="1:72" ht="22.5" outlineLevel="1" thickTop="1" thickBot="1" x14ac:dyDescent="0.4">
      <c r="A35" s="35" t="str">
        <f>SOLID!E4</f>
        <v>*Ge[1]</v>
      </c>
      <c r="B35" s="16">
        <f>SOLID!F4</f>
        <v>0</v>
      </c>
      <c r="C35" s="16">
        <f>SOLID!G4</f>
        <v>0</v>
      </c>
      <c r="D35" s="16">
        <f>SOLID!H4</f>
        <v>0</v>
      </c>
      <c r="E35" s="16">
        <f>SOLID!I4</f>
        <v>0</v>
      </c>
      <c r="F35" s="14">
        <f>SOLID!J4</f>
        <v>0</v>
      </c>
      <c r="G35" s="14">
        <f>SOLID!K4</f>
        <v>0</v>
      </c>
      <c r="H35" s="14">
        <f>SOLID!L4</f>
        <v>0</v>
      </c>
      <c r="I35" s="14">
        <f>SOLID!M4</f>
        <v>0</v>
      </c>
      <c r="J35" s="14">
        <f>SOLID!N4</f>
        <v>0</v>
      </c>
      <c r="K35" s="14">
        <f>SOLID!O4</f>
        <v>0</v>
      </c>
      <c r="L35" s="14">
        <f>SOLID!P4</f>
        <v>0</v>
      </c>
      <c r="M35" s="14">
        <f>SOLID!Q4</f>
        <v>0</v>
      </c>
      <c r="N35" s="14">
        <f>SOLID!R4</f>
        <v>0</v>
      </c>
      <c r="O35" s="14">
        <f>SOLID!S4</f>
        <v>0</v>
      </c>
      <c r="P35" s="14">
        <f>SOLID!T4</f>
        <v>6.6855000000000004E-18</v>
      </c>
      <c r="Q35" s="14">
        <f>SOLID!U4</f>
        <v>1.762E-13</v>
      </c>
      <c r="R35" s="14">
        <f>SOLID!V4</f>
        <v>5.8739999999999998E-14</v>
      </c>
      <c r="S35" s="14">
        <f>SOLID!W4</f>
        <v>4.9521000000000001E-21</v>
      </c>
      <c r="T35" s="14">
        <f>SOLID!X4</f>
        <v>3.5675999999999999E-28</v>
      </c>
      <c r="U35" s="14">
        <f>SOLID!Y4</f>
        <v>0</v>
      </c>
      <c r="V35" s="14">
        <f>SOLID!Z4</f>
        <v>5.1645000000000003E-20</v>
      </c>
      <c r="W35" s="14">
        <f>SOLID!AA4</f>
        <v>2.3851000000000001E-13</v>
      </c>
      <c r="X35" s="14">
        <f>SOLID!AB4</f>
        <v>1.8062000000000001E-17</v>
      </c>
      <c r="Y35" s="14">
        <f>SOLID!AC4</f>
        <v>8.5727999999999997E-20</v>
      </c>
      <c r="Z35" s="14">
        <f>SOLID!AD4</f>
        <v>6.7719000000000002E-20</v>
      </c>
      <c r="AA35" s="14">
        <f>SOLID!AE4</f>
        <v>2.1051999999999999E-14</v>
      </c>
      <c r="AB35" s="14">
        <f>SOLID!AF4</f>
        <v>4.6006999999999996E-9</v>
      </c>
      <c r="AC35" s="14">
        <f>SOLID!AG4</f>
        <v>0</v>
      </c>
      <c r="AD35" s="14">
        <f>SOLID!AH4</f>
        <v>0</v>
      </c>
      <c r="AE35" s="14">
        <f>SOLID!AI4</f>
        <v>0</v>
      </c>
      <c r="AF35" s="14">
        <f>SOLID!AJ4</f>
        <v>0</v>
      </c>
      <c r="AG35" s="14">
        <f>SOLID!AK4</f>
        <v>0</v>
      </c>
      <c r="AH35" s="14">
        <f>SOLID!AL4</f>
        <v>0</v>
      </c>
      <c r="AI35" s="55">
        <f>SOLID!AM4</f>
        <v>0</v>
      </c>
      <c r="AJ35" s="55">
        <f>SOLID!AN4</f>
        <v>0</v>
      </c>
      <c r="AK35" s="55">
        <f>SOLID!AO4</f>
        <v>0</v>
      </c>
      <c r="AL35" s="55">
        <f>SOLID!AP4</f>
        <v>0</v>
      </c>
      <c r="AM35" s="55">
        <f>SOLID!AQ4</f>
        <v>0</v>
      </c>
      <c r="AN35" s="55">
        <f>SOLID!AR4</f>
        <v>0</v>
      </c>
      <c r="AO35" s="55">
        <f>SOLID!AS4</f>
        <v>0</v>
      </c>
      <c r="AP35" s="55">
        <f>SOLID!AT4</f>
        <v>0</v>
      </c>
      <c r="AQ35" s="55">
        <f>SOLID!AU4</f>
        <v>0</v>
      </c>
      <c r="AR35" s="55">
        <f>SOLID!AV4</f>
        <v>0</v>
      </c>
      <c r="AS35" s="55">
        <f>SOLID!AW4</f>
        <v>0</v>
      </c>
      <c r="AT35" s="55">
        <f>SOLID!AX4</f>
        <v>0</v>
      </c>
      <c r="AU35" s="55">
        <f>SOLID!AY4</f>
        <v>0</v>
      </c>
      <c r="AV35" s="55">
        <f>SOLID!AZ4</f>
        <v>0</v>
      </c>
      <c r="AW35" s="55">
        <f>SOLID!BA4</f>
        <v>700</v>
      </c>
      <c r="AX35" s="55">
        <f>SOLID!BB4</f>
        <v>1</v>
      </c>
      <c r="AY35" s="55">
        <f>SOLID!BC4</f>
        <v>0</v>
      </c>
      <c r="AZ35" s="55">
        <f>SOLID!BD4</f>
        <v>0</v>
      </c>
      <c r="BA35" s="55">
        <f>SOLID!BE4</f>
        <v>0</v>
      </c>
      <c r="BB35" s="55">
        <f>SOLID!BF4</f>
        <v>0</v>
      </c>
      <c r="BC35" s="55">
        <f>SOLID!BG4</f>
        <v>0</v>
      </c>
      <c r="BD35" s="55">
        <f>SOLID!BH4</f>
        <v>0</v>
      </c>
      <c r="BE35" s="55">
        <f>SOLID!BI4</f>
        <v>0</v>
      </c>
      <c r="BF35" s="55">
        <f>SOLID!BJ4</f>
        <v>0</v>
      </c>
      <c r="BG35" s="55">
        <f>SOLID!BK4</f>
        <v>0</v>
      </c>
      <c r="BH35" s="55">
        <f>SOLID!BL4</f>
        <v>0</v>
      </c>
      <c r="BI35" s="55">
        <f>SOLID!BM4</f>
        <v>0</v>
      </c>
      <c r="BJ35" s="55">
        <f>SOLID!BN4</f>
        <v>0</v>
      </c>
      <c r="BK35" s="55">
        <f>SOLID!BO4</f>
        <v>0</v>
      </c>
      <c r="BL35" s="55">
        <f>SOLID!BP4</f>
        <v>0</v>
      </c>
      <c r="BM35" s="55">
        <f>SOLID!BQ4</f>
        <v>0</v>
      </c>
      <c r="BN35" s="55">
        <f>SOLID!BR4</f>
        <v>0</v>
      </c>
      <c r="BO35" s="55">
        <f>SOLID!BS4</f>
        <v>0</v>
      </c>
      <c r="BP35" s="55">
        <f>SOLID!BT4</f>
        <v>0</v>
      </c>
      <c r="BQ35" s="55">
        <f>SOLID!BU4</f>
        <v>0</v>
      </c>
      <c r="BR35" s="55">
        <f>SOLID!BV4</f>
        <v>0</v>
      </c>
      <c r="BS35" s="55">
        <f>SOLID!BW4</f>
        <v>0</v>
      </c>
      <c r="BT35" s="55">
        <f>SOLID!BX4</f>
        <v>0</v>
      </c>
    </row>
    <row r="36" spans="1:72" ht="21.75" outlineLevel="1" thickBot="1" x14ac:dyDescent="0.4">
      <c r="A36" s="35" t="str">
        <f>SOLID!E5</f>
        <v>*Ge</v>
      </c>
      <c r="B36" s="16">
        <f>SOLID!F5</f>
        <v>0</v>
      </c>
      <c r="C36" s="16">
        <f>SOLID!G5</f>
        <v>0</v>
      </c>
      <c r="D36" s="16">
        <f>SOLID!H5</f>
        <v>0</v>
      </c>
      <c r="E36" s="16">
        <f>SOLID!I5</f>
        <v>0</v>
      </c>
      <c r="F36" s="14">
        <f>SOLID!J5</f>
        <v>0</v>
      </c>
      <c r="G36" s="14">
        <f>SOLID!K5</f>
        <v>0</v>
      </c>
      <c r="H36" s="14">
        <f>SOLID!L5</f>
        <v>0</v>
      </c>
      <c r="I36" s="14">
        <f>SOLID!M5</f>
        <v>1.6387999999999999E-33</v>
      </c>
      <c r="J36" s="14">
        <f>SOLID!N5</f>
        <v>5.0901000000000002E-26</v>
      </c>
      <c r="K36" s="14">
        <f>SOLID!O5</f>
        <v>1.5335000000000001E-11</v>
      </c>
      <c r="L36" s="14">
        <f>SOLID!P5</f>
        <v>4.4230000000000001E-10</v>
      </c>
      <c r="M36" s="14">
        <f>SOLID!Q5</f>
        <v>1.8701E-8</v>
      </c>
      <c r="N36" s="14">
        <f>SOLID!R5</f>
        <v>0.14000000000000001</v>
      </c>
      <c r="O36" s="14">
        <f>SOLID!S5</f>
        <v>0.14000000000000001</v>
      </c>
      <c r="P36" s="14">
        <f>SOLID!T5</f>
        <v>0.14000000000000001</v>
      </c>
      <c r="Q36" s="14">
        <f>SOLID!U5</f>
        <v>0.14000000000000001</v>
      </c>
      <c r="R36" s="14">
        <f>SOLID!V5</f>
        <v>0.14000000000000001</v>
      </c>
      <c r="S36" s="14">
        <f>SOLID!W5</f>
        <v>0.14000000000000001</v>
      </c>
      <c r="T36" s="14">
        <f>SOLID!X5</f>
        <v>0.14000000000000001</v>
      </c>
      <c r="U36" s="14">
        <f>SOLID!Y5</f>
        <v>0.14000000000000001</v>
      </c>
      <c r="V36" s="14">
        <f>SOLID!Z5</f>
        <v>0.13650999999999999</v>
      </c>
      <c r="W36" s="14">
        <f>SOLID!AA5</f>
        <v>0.13588</v>
      </c>
      <c r="X36" s="14">
        <f>SOLID!AB5</f>
        <v>0.13528000000000001</v>
      </c>
      <c r="Y36" s="14">
        <f>SOLID!AC5</f>
        <v>0.13461999999999999</v>
      </c>
      <c r="Z36" s="14">
        <f>SOLID!AD5</f>
        <v>0.13389000000000001</v>
      </c>
      <c r="AA36" s="14">
        <f>SOLID!AE5</f>
        <v>0.12989000000000001</v>
      </c>
      <c r="AB36" s="14">
        <f>SOLID!AF5</f>
        <v>0.12297</v>
      </c>
      <c r="AC36" s="14">
        <f>SOLID!AG5</f>
        <v>0</v>
      </c>
      <c r="AD36" s="14">
        <f>SOLID!AH5</f>
        <v>0</v>
      </c>
      <c r="AE36" s="14">
        <f>SOLID!AI5</f>
        <v>0</v>
      </c>
      <c r="AF36" s="14">
        <f>SOLID!AJ5</f>
        <v>0</v>
      </c>
      <c r="AG36" s="14">
        <f>SOLID!AK5</f>
        <v>0</v>
      </c>
      <c r="AH36" s="14">
        <f>SOLID!AL5</f>
        <v>0</v>
      </c>
      <c r="AI36" s="55">
        <f>SOLID!AM5</f>
        <v>0</v>
      </c>
      <c r="AJ36" s="55">
        <f>SOLID!AN5</f>
        <v>0</v>
      </c>
      <c r="AK36" s="55">
        <f>SOLID!AO5</f>
        <v>0</v>
      </c>
      <c r="AL36" s="55">
        <f>SOLID!AP5</f>
        <v>0</v>
      </c>
      <c r="AM36" s="55">
        <f>SOLID!AQ5</f>
        <v>0</v>
      </c>
      <c r="AN36" s="55">
        <f>SOLID!AR5</f>
        <v>0</v>
      </c>
      <c r="AO36" s="55">
        <f>SOLID!AS5</f>
        <v>0</v>
      </c>
      <c r="AP36" s="55">
        <f>SOLID!AT5</f>
        <v>0</v>
      </c>
      <c r="AQ36" s="55">
        <f>SOLID!AU5</f>
        <v>0</v>
      </c>
      <c r="AR36" s="55">
        <f>SOLID!AV5</f>
        <v>0</v>
      </c>
      <c r="AS36" s="55">
        <f>SOLID!AW5</f>
        <v>0</v>
      </c>
      <c r="AT36" s="55">
        <f>SOLID!AX5</f>
        <v>0</v>
      </c>
      <c r="AU36" s="55">
        <f>SOLID!AY5</f>
        <v>0</v>
      </c>
      <c r="AV36" s="55">
        <f>SOLID!AZ5</f>
        <v>0</v>
      </c>
      <c r="AW36" s="55">
        <f>SOLID!BA5</f>
        <v>0</v>
      </c>
      <c r="AX36" s="55">
        <f>SOLID!BB5</f>
        <v>0</v>
      </c>
      <c r="AY36" s="55">
        <f>SOLID!BC5</f>
        <v>0</v>
      </c>
      <c r="AZ36" s="55">
        <f>SOLID!BD5</f>
        <v>0</v>
      </c>
      <c r="BA36" s="55">
        <f>SOLID!BE5</f>
        <v>0</v>
      </c>
      <c r="BB36" s="55">
        <f>SOLID!BF5</f>
        <v>0</v>
      </c>
      <c r="BC36" s="55">
        <f>SOLID!BG5</f>
        <v>0</v>
      </c>
      <c r="BD36" s="55">
        <f>SOLID!BH5</f>
        <v>0</v>
      </c>
      <c r="BE36" s="55">
        <f>SOLID!BI5</f>
        <v>0</v>
      </c>
      <c r="BF36" s="55">
        <f>SOLID!BJ5</f>
        <v>0</v>
      </c>
      <c r="BG36" s="55">
        <f>SOLID!BK5</f>
        <v>0</v>
      </c>
      <c r="BH36" s="55">
        <f>SOLID!BL5</f>
        <v>0</v>
      </c>
      <c r="BI36" s="55">
        <f>SOLID!BM5</f>
        <v>0</v>
      </c>
      <c r="BJ36" s="55">
        <f>SOLID!BN5</f>
        <v>0</v>
      </c>
      <c r="BK36" s="55">
        <f>SOLID!BO5</f>
        <v>0</v>
      </c>
      <c r="BL36" s="55">
        <f>SOLID!BP5</f>
        <v>0</v>
      </c>
      <c r="BM36" s="55">
        <f>SOLID!BQ5</f>
        <v>0</v>
      </c>
      <c r="BN36" s="55">
        <f>SOLID!BR5</f>
        <v>0</v>
      </c>
      <c r="BO36" s="55">
        <f>SOLID!BS5</f>
        <v>0</v>
      </c>
      <c r="BP36" s="55">
        <f>SOLID!BT5</f>
        <v>0</v>
      </c>
      <c r="BQ36" s="55">
        <f>SOLID!BU5</f>
        <v>0</v>
      </c>
      <c r="BR36" s="55">
        <f>SOLID!BV5</f>
        <v>0</v>
      </c>
      <c r="BS36" s="55">
        <f>SOLID!BW5</f>
        <v>0</v>
      </c>
      <c r="BT36" s="55">
        <f>SOLID!BX5</f>
        <v>0</v>
      </c>
    </row>
    <row r="37" spans="1:72" ht="21.75" outlineLevel="1" thickBot="1" x14ac:dyDescent="0.4">
      <c r="A37" s="35" t="str">
        <f>SOLID!E6</f>
        <v>*GeSe</v>
      </c>
      <c r="B37" s="16">
        <f>SOLID!F6</f>
        <v>0.14000000000000001</v>
      </c>
      <c r="C37" s="16">
        <f>SOLID!G6</f>
        <v>0.14000000000000001</v>
      </c>
      <c r="D37" s="16">
        <f>SOLID!H6</f>
        <v>0.14000000000000001</v>
      </c>
      <c r="E37" s="16">
        <f>SOLID!I6</f>
        <v>0.14000000000000001</v>
      </c>
      <c r="F37" s="14">
        <f>SOLID!J6</f>
        <v>0.14000000000000001</v>
      </c>
      <c r="G37" s="14">
        <f>SOLID!K6</f>
        <v>0.28000000000000003</v>
      </c>
      <c r="H37" s="14">
        <f>SOLID!L6</f>
        <v>0.28000000000000003</v>
      </c>
      <c r="I37" s="14">
        <f>SOLID!M6</f>
        <v>0.28000000000000003</v>
      </c>
      <c r="J37" s="14">
        <f>SOLID!N6</f>
        <v>0.28000000000000003</v>
      </c>
      <c r="K37" s="14">
        <f>SOLID!O6</f>
        <v>0.28000000000000003</v>
      </c>
      <c r="L37" s="14">
        <f>SOLID!P6</f>
        <v>0.28000000000000003</v>
      </c>
      <c r="M37" s="14">
        <f>SOLID!Q6</f>
        <v>0.28000000000000003</v>
      </c>
      <c r="N37" s="14">
        <f>SOLID!R6</f>
        <v>2.0335E-7</v>
      </c>
      <c r="O37" s="14">
        <f>SOLID!S6</f>
        <v>1.9375E-9</v>
      </c>
      <c r="P37" s="14">
        <f>SOLID!T6</f>
        <v>2.8928000000000001E-13</v>
      </c>
      <c r="Q37" s="14">
        <f>SOLID!U6</f>
        <v>5.8773E-21</v>
      </c>
      <c r="R37" s="14">
        <f>SOLID!V6</f>
        <v>0</v>
      </c>
      <c r="S37" s="14">
        <f>SOLID!W6</f>
        <v>0</v>
      </c>
      <c r="T37" s="14">
        <f>SOLID!X6</f>
        <v>0</v>
      </c>
      <c r="U37" s="14">
        <f>SOLID!Y6</f>
        <v>0</v>
      </c>
      <c r="V37" s="14">
        <f>SOLID!Z6</f>
        <v>0</v>
      </c>
      <c r="W37" s="14">
        <f>SOLID!AA6</f>
        <v>0</v>
      </c>
      <c r="X37" s="14">
        <f>SOLID!AB6</f>
        <v>0</v>
      </c>
      <c r="Y37" s="14">
        <f>SOLID!AC6</f>
        <v>0</v>
      </c>
      <c r="Z37" s="14">
        <f>SOLID!AD6</f>
        <v>0</v>
      </c>
      <c r="AA37" s="14">
        <f>SOLID!AE6</f>
        <v>0</v>
      </c>
      <c r="AB37" s="14">
        <f>SOLID!AF6</f>
        <v>0</v>
      </c>
      <c r="AC37" s="14">
        <f>SOLID!AG6</f>
        <v>0</v>
      </c>
      <c r="AD37" s="14">
        <f>SOLID!AH6</f>
        <v>0</v>
      </c>
      <c r="AE37" s="14">
        <f>SOLID!AI6</f>
        <v>0</v>
      </c>
      <c r="AF37" s="14">
        <f>SOLID!AJ6</f>
        <v>0</v>
      </c>
      <c r="AG37" s="14">
        <f>SOLID!AK6</f>
        <v>0</v>
      </c>
      <c r="AH37" s="14">
        <f>SOLID!AL6</f>
        <v>0</v>
      </c>
      <c r="AI37" s="55">
        <f>SOLID!AM6</f>
        <v>0</v>
      </c>
      <c r="AJ37" s="55">
        <f>SOLID!AN6</f>
        <v>0</v>
      </c>
      <c r="AK37" s="55">
        <f>SOLID!AO6</f>
        <v>0</v>
      </c>
      <c r="AL37" s="55">
        <f>SOLID!AP6</f>
        <v>0</v>
      </c>
      <c r="AM37" s="55">
        <f>SOLID!AQ6</f>
        <v>0</v>
      </c>
      <c r="AN37" s="55">
        <f>SOLID!AR6</f>
        <v>0</v>
      </c>
      <c r="AO37" s="55">
        <f>SOLID!AS6</f>
        <v>0</v>
      </c>
      <c r="AP37" s="55">
        <f>SOLID!AT6</f>
        <v>0</v>
      </c>
      <c r="AQ37" s="55">
        <f>SOLID!AU6</f>
        <v>0</v>
      </c>
      <c r="AR37" s="55">
        <f>SOLID!AV6</f>
        <v>0</v>
      </c>
      <c r="AS37" s="55">
        <f>SOLID!AW6</f>
        <v>0</v>
      </c>
      <c r="AT37" s="55">
        <f>SOLID!AX6</f>
        <v>0</v>
      </c>
      <c r="AU37" s="55">
        <f>SOLID!AY6</f>
        <v>0</v>
      </c>
      <c r="AV37" s="55">
        <f>SOLID!AZ6</f>
        <v>0</v>
      </c>
      <c r="AW37" s="55">
        <f>SOLID!BA6</f>
        <v>0</v>
      </c>
      <c r="AX37" s="55">
        <f>SOLID!BB6</f>
        <v>0</v>
      </c>
      <c r="AY37" s="55">
        <f>SOLID!BC6</f>
        <v>0</v>
      </c>
      <c r="AZ37" s="55">
        <f>SOLID!BD6</f>
        <v>0</v>
      </c>
      <c r="BA37" s="55">
        <f>SOLID!BE6</f>
        <v>0</v>
      </c>
      <c r="BB37" s="55">
        <f>SOLID!BF6</f>
        <v>0</v>
      </c>
      <c r="BC37" s="55">
        <f>SOLID!BG6</f>
        <v>0</v>
      </c>
      <c r="BD37" s="55">
        <f>SOLID!BH6</f>
        <v>0</v>
      </c>
      <c r="BE37" s="55">
        <f>SOLID!BI6</f>
        <v>0</v>
      </c>
      <c r="BF37" s="55">
        <f>SOLID!BJ6</f>
        <v>0</v>
      </c>
      <c r="BG37" s="55">
        <f>SOLID!BK6</f>
        <v>0</v>
      </c>
      <c r="BH37" s="55">
        <f>SOLID!BL6</f>
        <v>0</v>
      </c>
      <c r="BI37" s="55">
        <f>SOLID!BM6</f>
        <v>0</v>
      </c>
      <c r="BJ37" s="55">
        <f>SOLID!BN6</f>
        <v>0</v>
      </c>
      <c r="BK37" s="55">
        <f>SOLID!BO6</f>
        <v>0</v>
      </c>
      <c r="BL37" s="55">
        <f>SOLID!BP6</f>
        <v>0</v>
      </c>
      <c r="BM37" s="55">
        <f>SOLID!BQ6</f>
        <v>0</v>
      </c>
      <c r="BN37" s="55">
        <f>SOLID!BR6</f>
        <v>0</v>
      </c>
      <c r="BO37" s="55">
        <f>SOLID!BS6</f>
        <v>0</v>
      </c>
      <c r="BP37" s="55">
        <f>SOLID!BT6</f>
        <v>0</v>
      </c>
      <c r="BQ37" s="55">
        <f>SOLID!BU6</f>
        <v>0</v>
      </c>
      <c r="BR37" s="55">
        <f>SOLID!BV6</f>
        <v>0</v>
      </c>
      <c r="BS37" s="55">
        <f>SOLID!BW6</f>
        <v>0</v>
      </c>
      <c r="BT37" s="55">
        <f>SOLID!BX6</f>
        <v>0</v>
      </c>
    </row>
    <row r="38" spans="1:72" ht="21.75" outlineLevel="1" thickBot="1" x14ac:dyDescent="0.4">
      <c r="A38" s="35" t="str">
        <f>SOLID!E7</f>
        <v>*Ga[1]</v>
      </c>
      <c r="B38" s="16">
        <f>SOLID!F7</f>
        <v>0</v>
      </c>
      <c r="C38" s="16">
        <f>SOLID!G7</f>
        <v>0</v>
      </c>
      <c r="D38" s="16">
        <f>SOLID!H7</f>
        <v>0</v>
      </c>
      <c r="E38" s="16">
        <f>SOLID!I7</f>
        <v>0</v>
      </c>
      <c r="F38" s="14">
        <f>SOLID!J7</f>
        <v>0</v>
      </c>
      <c r="G38" s="14">
        <f>SOLID!K7</f>
        <v>0</v>
      </c>
      <c r="H38" s="14">
        <f>SOLID!L7</f>
        <v>0</v>
      </c>
      <c r="I38" s="14">
        <f>SOLID!M7</f>
        <v>0</v>
      </c>
      <c r="J38" s="14">
        <f>SOLID!N7</f>
        <v>0</v>
      </c>
      <c r="K38" s="14">
        <f>SOLID!O7</f>
        <v>0</v>
      </c>
      <c r="L38" s="14">
        <f>SOLID!P7</f>
        <v>0</v>
      </c>
      <c r="M38" s="14">
        <f>SOLID!Q7</f>
        <v>0</v>
      </c>
      <c r="N38" s="14">
        <f>SOLID!R7</f>
        <v>0</v>
      </c>
      <c r="O38" s="14">
        <f>SOLID!S7</f>
        <v>0</v>
      </c>
      <c r="P38" s="14">
        <f>SOLID!T7</f>
        <v>0</v>
      </c>
      <c r="Q38" s="14">
        <f>SOLID!U7</f>
        <v>3.8944000000000003E-36</v>
      </c>
      <c r="R38" s="14">
        <f>SOLID!V7</f>
        <v>1.0914999999999999E-20</v>
      </c>
      <c r="S38" s="14">
        <f>SOLID!W7</f>
        <v>2.7170000000000003E-20</v>
      </c>
      <c r="T38" s="14">
        <f>SOLID!X7</f>
        <v>2.7481999999999999E-17</v>
      </c>
      <c r="U38" s="14">
        <f>SOLID!Y7</f>
        <v>2.1655999999999999E-17</v>
      </c>
      <c r="V38" s="14">
        <f>SOLID!Z7</f>
        <v>4.1360000000000001E-8</v>
      </c>
      <c r="W38" s="14">
        <f>SOLID!AA7</f>
        <v>3.4271999999999999E-7</v>
      </c>
      <c r="X38" s="14">
        <f>SOLID!AB7</f>
        <v>2.5522999999999999E-7</v>
      </c>
      <c r="Y38" s="14">
        <f>SOLID!AC7</f>
        <v>1.8946E-7</v>
      </c>
      <c r="Z38" s="14">
        <f>SOLID!AD7</f>
        <v>1.6390000000000001E-7</v>
      </c>
      <c r="AA38" s="14">
        <f>SOLID!AE7</f>
        <v>5.6700999999999999E-8</v>
      </c>
      <c r="AB38" s="14">
        <f>SOLID!AF7</f>
        <v>1.6385000000000001E-8</v>
      </c>
      <c r="AC38" s="14">
        <f>SOLID!AG7</f>
        <v>0</v>
      </c>
      <c r="AD38" s="14">
        <f>SOLID!AH7</f>
        <v>0</v>
      </c>
      <c r="AE38" s="14">
        <f>SOLID!AI7</f>
        <v>0</v>
      </c>
      <c r="AF38" s="14">
        <f>SOLID!AJ7</f>
        <v>0</v>
      </c>
      <c r="AG38" s="14">
        <f>SOLID!AK7</f>
        <v>0</v>
      </c>
      <c r="AH38" s="14">
        <f>SOLID!AL7</f>
        <v>0</v>
      </c>
      <c r="AI38" s="55">
        <f>SOLID!AM7</f>
        <v>0</v>
      </c>
      <c r="AJ38" s="55">
        <f>SOLID!AN7</f>
        <v>0</v>
      </c>
      <c r="AK38" s="55">
        <f>SOLID!AO7</f>
        <v>0</v>
      </c>
      <c r="AL38" s="55">
        <f>SOLID!AP7</f>
        <v>0</v>
      </c>
      <c r="AM38" s="55">
        <f>SOLID!AQ7</f>
        <v>0</v>
      </c>
      <c r="AN38" s="55">
        <f>SOLID!AR7</f>
        <v>0</v>
      </c>
      <c r="AO38" s="55">
        <f>SOLID!AS7</f>
        <v>0</v>
      </c>
      <c r="AP38" s="55">
        <f>SOLID!AT7</f>
        <v>0</v>
      </c>
      <c r="AQ38" s="55">
        <f>SOLID!AU7</f>
        <v>0</v>
      </c>
      <c r="AR38" s="55">
        <f>SOLID!AV7</f>
        <v>0</v>
      </c>
      <c r="AS38" s="55">
        <f>SOLID!AW7</f>
        <v>0</v>
      </c>
      <c r="AT38" s="55">
        <f>SOLID!AX7</f>
        <v>0</v>
      </c>
      <c r="AU38" s="55">
        <f>SOLID!AY7</f>
        <v>0</v>
      </c>
      <c r="AV38" s="55">
        <f>SOLID!AZ7</f>
        <v>0</v>
      </c>
      <c r="AW38" s="55">
        <f>SOLID!BA7</f>
        <v>0</v>
      </c>
      <c r="AX38" s="55">
        <f>SOLID!BB7</f>
        <v>0</v>
      </c>
      <c r="AY38" s="55">
        <f>SOLID!BC7</f>
        <v>0</v>
      </c>
      <c r="AZ38" s="55">
        <f>SOLID!BD7</f>
        <v>0</v>
      </c>
      <c r="BA38" s="55">
        <f>SOLID!BE7</f>
        <v>0</v>
      </c>
      <c r="BB38" s="55">
        <f>SOLID!BF7</f>
        <v>0</v>
      </c>
      <c r="BC38" s="55">
        <f>SOLID!BG7</f>
        <v>0</v>
      </c>
      <c r="BD38" s="55">
        <f>SOLID!BH7</f>
        <v>0</v>
      </c>
      <c r="BE38" s="55">
        <f>SOLID!BI7</f>
        <v>0</v>
      </c>
      <c r="BF38" s="55">
        <f>SOLID!BJ7</f>
        <v>0</v>
      </c>
      <c r="BG38" s="55">
        <f>SOLID!BK7</f>
        <v>0</v>
      </c>
      <c r="BH38" s="55">
        <f>SOLID!BL7</f>
        <v>0</v>
      </c>
      <c r="BI38" s="55">
        <f>SOLID!BM7</f>
        <v>0</v>
      </c>
      <c r="BJ38" s="55">
        <f>SOLID!BN7</f>
        <v>0</v>
      </c>
      <c r="BK38" s="55">
        <f>SOLID!BO7</f>
        <v>0</v>
      </c>
      <c r="BL38" s="55">
        <f>SOLID!BP7</f>
        <v>0</v>
      </c>
      <c r="BM38" s="55">
        <f>SOLID!BQ7</f>
        <v>0</v>
      </c>
      <c r="BN38" s="55">
        <f>SOLID!BR7</f>
        <v>0</v>
      </c>
      <c r="BO38" s="55">
        <f>SOLID!BS7</f>
        <v>0</v>
      </c>
      <c r="BP38" s="55">
        <f>SOLID!BT7</f>
        <v>0</v>
      </c>
      <c r="BQ38" s="55">
        <f>SOLID!BU7</f>
        <v>0</v>
      </c>
      <c r="BR38" s="55">
        <f>SOLID!BV7</f>
        <v>0</v>
      </c>
      <c r="BS38" s="55">
        <f>SOLID!BW7</f>
        <v>0</v>
      </c>
      <c r="BT38" s="55">
        <f>SOLID!BX7</f>
        <v>0</v>
      </c>
    </row>
    <row r="39" spans="1:72" ht="21.75" outlineLevel="1" thickBot="1" x14ac:dyDescent="0.4">
      <c r="A39" s="35" t="str">
        <f>SOLID!E8</f>
        <v>*Ga2Se</v>
      </c>
      <c r="B39" s="16">
        <f>SOLID!F8</f>
        <v>0</v>
      </c>
      <c r="C39" s="16">
        <f>SOLID!G8</f>
        <v>0</v>
      </c>
      <c r="D39" s="16">
        <f>SOLID!H8</f>
        <v>0</v>
      </c>
      <c r="E39" s="16">
        <f>SOLID!I8</f>
        <v>0</v>
      </c>
      <c r="F39" s="14">
        <f>SOLID!J8</f>
        <v>0</v>
      </c>
      <c r="G39" s="14">
        <f>SOLID!K8</f>
        <v>0</v>
      </c>
      <c r="H39" s="14">
        <f>SOLID!L8</f>
        <v>0</v>
      </c>
      <c r="I39" s="14">
        <f>SOLID!M8</f>
        <v>0</v>
      </c>
      <c r="J39" s="14">
        <f>SOLID!N8</f>
        <v>0</v>
      </c>
      <c r="K39" s="14">
        <f>SOLID!O8</f>
        <v>0</v>
      </c>
      <c r="L39" s="14">
        <f>SOLID!P8</f>
        <v>0</v>
      </c>
      <c r="M39" s="14">
        <f>SOLID!Q8</f>
        <v>0</v>
      </c>
      <c r="N39" s="14">
        <f>SOLID!R8</f>
        <v>0</v>
      </c>
      <c r="O39" s="14">
        <f>SOLID!S8</f>
        <v>0</v>
      </c>
      <c r="P39" s="14">
        <f>SOLID!T8</f>
        <v>0</v>
      </c>
      <c r="Q39" s="14">
        <f>SOLID!U8</f>
        <v>3.1006E-29</v>
      </c>
      <c r="R39" s="14">
        <f>SOLID!V8</f>
        <v>4.1882000000000003E-12</v>
      </c>
      <c r="S39" s="14">
        <f>SOLID!W8</f>
        <v>4.2325999999999999E-7</v>
      </c>
      <c r="T39" s="14">
        <f>SOLID!X8</f>
        <v>1.2243E-2</v>
      </c>
      <c r="U39" s="14">
        <f>SOLID!Y8</f>
        <v>1.7151E-2</v>
      </c>
      <c r="V39" s="14">
        <f>SOLID!Z8</f>
        <v>2.6225000000000002E-8</v>
      </c>
      <c r="W39" s="14">
        <f>SOLID!AA8</f>
        <v>6.3299000000000001E-13</v>
      </c>
      <c r="X39" s="14">
        <f>SOLID!AB8</f>
        <v>5.1691999999999997E-25</v>
      </c>
      <c r="Y39" s="14">
        <f>SOLID!AC8</f>
        <v>0</v>
      </c>
      <c r="Z39" s="14">
        <f>SOLID!AD8</f>
        <v>0</v>
      </c>
      <c r="AA39" s="14">
        <f>SOLID!AE8</f>
        <v>0</v>
      </c>
      <c r="AB39" s="14">
        <f>SOLID!AF8</f>
        <v>0</v>
      </c>
      <c r="AC39" s="14">
        <f>SOLID!AG8</f>
        <v>0</v>
      </c>
      <c r="AD39" s="14">
        <f>SOLID!AH8</f>
        <v>0</v>
      </c>
      <c r="AE39" s="14">
        <f>SOLID!AI8</f>
        <v>0</v>
      </c>
      <c r="AF39" s="14">
        <f>SOLID!AJ8</f>
        <v>0</v>
      </c>
      <c r="AG39" s="14">
        <f>SOLID!AK8</f>
        <v>0</v>
      </c>
      <c r="AH39" s="14">
        <f>SOLID!AL8</f>
        <v>0</v>
      </c>
      <c r="AI39" s="55">
        <f>SOLID!AM8</f>
        <v>0</v>
      </c>
      <c r="AJ39" s="55">
        <f>SOLID!AN8</f>
        <v>0</v>
      </c>
      <c r="AK39" s="55">
        <f>SOLID!AO8</f>
        <v>0</v>
      </c>
      <c r="AL39" s="55">
        <f>SOLID!AP8</f>
        <v>0</v>
      </c>
      <c r="AM39" s="55">
        <f>SOLID!AQ8</f>
        <v>0</v>
      </c>
      <c r="AN39" s="55">
        <f>SOLID!AR8</f>
        <v>0</v>
      </c>
      <c r="AO39" s="55">
        <f>SOLID!AS8</f>
        <v>0</v>
      </c>
      <c r="AP39" s="55">
        <f>SOLID!AT8</f>
        <v>0</v>
      </c>
      <c r="AQ39" s="55">
        <f>SOLID!AU8</f>
        <v>0</v>
      </c>
      <c r="AR39" s="55">
        <f>SOLID!AV8</f>
        <v>0</v>
      </c>
      <c r="AS39" s="55">
        <f>SOLID!AW8</f>
        <v>0</v>
      </c>
      <c r="AT39" s="55">
        <f>SOLID!AX8</f>
        <v>0</v>
      </c>
      <c r="AU39" s="55">
        <f>SOLID!AY8</f>
        <v>0</v>
      </c>
      <c r="AV39" s="55">
        <f>SOLID!AZ8</f>
        <v>0</v>
      </c>
      <c r="AW39" s="55">
        <f>SOLID!BA8</f>
        <v>0</v>
      </c>
      <c r="AX39" s="55">
        <f>SOLID!BB8</f>
        <v>0</v>
      </c>
      <c r="AY39" s="55">
        <f>SOLID!BC8</f>
        <v>0</v>
      </c>
      <c r="AZ39" s="55">
        <f>SOLID!BD8</f>
        <v>0</v>
      </c>
      <c r="BA39" s="55">
        <f>SOLID!BE8</f>
        <v>0</v>
      </c>
      <c r="BB39" s="55">
        <f>SOLID!BF8</f>
        <v>0</v>
      </c>
      <c r="BC39" s="55">
        <f>SOLID!BG8</f>
        <v>0</v>
      </c>
      <c r="BD39" s="55">
        <f>SOLID!BH8</f>
        <v>0</v>
      </c>
      <c r="BE39" s="55">
        <f>SOLID!BI8</f>
        <v>0</v>
      </c>
      <c r="BF39" s="55">
        <f>SOLID!BJ8</f>
        <v>0</v>
      </c>
      <c r="BG39" s="55">
        <f>SOLID!BK8</f>
        <v>0</v>
      </c>
      <c r="BH39" s="55">
        <f>SOLID!BL8</f>
        <v>0</v>
      </c>
      <c r="BI39" s="55">
        <f>SOLID!BM8</f>
        <v>0</v>
      </c>
      <c r="BJ39" s="55">
        <f>SOLID!BN8</f>
        <v>0</v>
      </c>
      <c r="BK39" s="55">
        <f>SOLID!BO8</f>
        <v>0</v>
      </c>
      <c r="BL39" s="55">
        <f>SOLID!BP8</f>
        <v>0</v>
      </c>
      <c r="BM39" s="55">
        <f>SOLID!BQ8</f>
        <v>0</v>
      </c>
      <c r="BN39" s="55">
        <f>SOLID!BR8</f>
        <v>0</v>
      </c>
      <c r="BO39" s="55">
        <f>SOLID!BS8</f>
        <v>0</v>
      </c>
      <c r="BP39" s="55">
        <f>SOLID!BT8</f>
        <v>0</v>
      </c>
      <c r="BQ39" s="55">
        <f>SOLID!BU8</f>
        <v>0</v>
      </c>
      <c r="BR39" s="55">
        <f>SOLID!BV8</f>
        <v>0</v>
      </c>
      <c r="BS39" s="55">
        <f>SOLID!BW8</f>
        <v>0</v>
      </c>
      <c r="BT39" s="55">
        <f>SOLID!BX8</f>
        <v>0</v>
      </c>
    </row>
    <row r="40" spans="1:72" ht="21.75" outlineLevel="1" thickBot="1" x14ac:dyDescent="0.4">
      <c r="A40" s="35" t="str">
        <f>SOLID!E9</f>
        <v>*Ge[c]</v>
      </c>
      <c r="B40" s="16">
        <f>SOLID!F9</f>
        <v>0</v>
      </c>
      <c r="C40" s="16">
        <f>SOLID!G9</f>
        <v>0</v>
      </c>
      <c r="D40" s="16">
        <f>SOLID!H9</f>
        <v>0</v>
      </c>
      <c r="E40" s="16">
        <f>SOLID!I9</f>
        <v>0</v>
      </c>
      <c r="F40" s="14">
        <f>SOLID!J9</f>
        <v>0</v>
      </c>
      <c r="G40" s="14">
        <f>SOLID!K9</f>
        <v>0</v>
      </c>
      <c r="H40" s="14">
        <f>SOLID!L9</f>
        <v>0</v>
      </c>
      <c r="I40" s="14">
        <f>SOLID!M9</f>
        <v>1.6387999999999999E-33</v>
      </c>
      <c r="J40" s="14">
        <f>SOLID!N9</f>
        <v>5.0901000000000002E-26</v>
      </c>
      <c r="K40" s="14">
        <f>SOLID!O9</f>
        <v>1.5335000000000001E-11</v>
      </c>
      <c r="L40" s="14">
        <f>SOLID!P9</f>
        <v>4.4230000000000001E-10</v>
      </c>
      <c r="M40" s="14">
        <f>SOLID!Q9</f>
        <v>1.8701E-8</v>
      </c>
      <c r="N40" s="14">
        <f>SOLID!R9</f>
        <v>0.14000000000000001</v>
      </c>
      <c r="O40" s="14">
        <f>SOLID!S9</f>
        <v>0.14000000000000001</v>
      </c>
      <c r="P40" s="14">
        <f>SOLID!T9</f>
        <v>0.14000000000000001</v>
      </c>
      <c r="Q40" s="14">
        <f>SOLID!U9</f>
        <v>0.14000000000000001</v>
      </c>
      <c r="R40" s="14">
        <f>SOLID!V9</f>
        <v>0.14000000000000001</v>
      </c>
      <c r="S40" s="14">
        <f>SOLID!W9</f>
        <v>0.14000000000000001</v>
      </c>
      <c r="T40" s="14">
        <f>SOLID!X9</f>
        <v>0.14000000000000001</v>
      </c>
      <c r="U40" s="14">
        <f>SOLID!Y9</f>
        <v>0.14000000000000001</v>
      </c>
      <c r="V40" s="14">
        <f>SOLID!Z9</f>
        <v>0.13650999999999999</v>
      </c>
      <c r="W40" s="14">
        <f>SOLID!AA9</f>
        <v>0.13588</v>
      </c>
      <c r="X40" s="14">
        <f>SOLID!AB9</f>
        <v>0.13528000000000001</v>
      </c>
      <c r="Y40" s="14">
        <f>SOLID!AC9</f>
        <v>0.13461999999999999</v>
      </c>
      <c r="Z40" s="14">
        <f>SOLID!AD9</f>
        <v>0.13389000000000001</v>
      </c>
      <c r="AA40" s="14">
        <f>SOLID!AE9</f>
        <v>0.12989000000000001</v>
      </c>
      <c r="AB40" s="14">
        <f>SOLID!AF9</f>
        <v>0.12297</v>
      </c>
      <c r="AC40" s="14">
        <f>SOLID!AG9</f>
        <v>0</v>
      </c>
      <c r="AD40" s="14">
        <f>SOLID!AH9</f>
        <v>0</v>
      </c>
      <c r="AE40" s="14">
        <f>SOLID!AI9</f>
        <v>0</v>
      </c>
      <c r="AF40" s="14">
        <f>SOLID!AJ9</f>
        <v>0</v>
      </c>
      <c r="AG40" s="14">
        <f>SOLID!AK9</f>
        <v>0</v>
      </c>
      <c r="AH40" s="14">
        <f>SOLID!AL9</f>
        <v>0</v>
      </c>
      <c r="AI40" s="55">
        <f>SOLID!AM9</f>
        <v>0</v>
      </c>
      <c r="AJ40" s="55">
        <f>SOLID!AN9</f>
        <v>0</v>
      </c>
      <c r="AK40" s="55">
        <f>SOLID!AO9</f>
        <v>0</v>
      </c>
      <c r="AL40" s="55">
        <f>SOLID!AP9</f>
        <v>0</v>
      </c>
      <c r="AM40" s="55">
        <f>SOLID!AQ9</f>
        <v>0</v>
      </c>
      <c r="AN40" s="55">
        <f>SOLID!AR9</f>
        <v>0</v>
      </c>
      <c r="AO40" s="55">
        <f>SOLID!AS9</f>
        <v>0</v>
      </c>
      <c r="AP40" s="55">
        <f>SOLID!AT9</f>
        <v>0</v>
      </c>
      <c r="AQ40" s="55">
        <f>SOLID!AU9</f>
        <v>0</v>
      </c>
      <c r="AR40" s="55">
        <f>SOLID!AV9</f>
        <v>0</v>
      </c>
      <c r="AS40" s="55">
        <f>SOLID!AW9</f>
        <v>0</v>
      </c>
      <c r="AT40" s="55">
        <f>SOLID!AX9</f>
        <v>0</v>
      </c>
      <c r="AU40" s="55">
        <f>SOLID!AY9</f>
        <v>0</v>
      </c>
      <c r="AV40" s="55">
        <f>SOLID!AZ9</f>
        <v>0</v>
      </c>
      <c r="AW40" s="55">
        <f>SOLID!BA9</f>
        <v>0</v>
      </c>
      <c r="AX40" s="55">
        <f>SOLID!BB9</f>
        <v>0</v>
      </c>
      <c r="AY40" s="55">
        <f>SOLID!BC9</f>
        <v>0</v>
      </c>
      <c r="AZ40" s="55">
        <f>SOLID!BD9</f>
        <v>0</v>
      </c>
      <c r="BA40" s="55">
        <f>SOLID!BE9</f>
        <v>0</v>
      </c>
      <c r="BB40" s="55">
        <f>SOLID!BF9</f>
        <v>0</v>
      </c>
      <c r="BC40" s="55">
        <f>SOLID!BG9</f>
        <v>0</v>
      </c>
      <c r="BD40" s="55">
        <f>SOLID!BH9</f>
        <v>0</v>
      </c>
      <c r="BE40" s="55">
        <f>SOLID!BI9</f>
        <v>0</v>
      </c>
      <c r="BF40" s="55">
        <f>SOLID!BJ9</f>
        <v>0</v>
      </c>
      <c r="BG40" s="55">
        <f>SOLID!BK9</f>
        <v>0</v>
      </c>
      <c r="BH40" s="55">
        <f>SOLID!BL9</f>
        <v>0</v>
      </c>
      <c r="BI40" s="55">
        <f>SOLID!BM9</f>
        <v>0</v>
      </c>
      <c r="BJ40" s="55">
        <f>SOLID!BN9</f>
        <v>0</v>
      </c>
      <c r="BK40" s="55">
        <f>SOLID!BO9</f>
        <v>0</v>
      </c>
      <c r="BL40" s="55">
        <f>SOLID!BP9</f>
        <v>0</v>
      </c>
      <c r="BM40" s="55">
        <f>SOLID!BQ9</f>
        <v>0</v>
      </c>
      <c r="BN40" s="55">
        <f>SOLID!BR9</f>
        <v>0</v>
      </c>
      <c r="BO40" s="55">
        <f>SOLID!BS9</f>
        <v>0</v>
      </c>
      <c r="BP40" s="55">
        <f>SOLID!BT9</f>
        <v>0</v>
      </c>
      <c r="BQ40" s="55">
        <f>SOLID!BU9</f>
        <v>0</v>
      </c>
      <c r="BR40" s="55">
        <f>SOLID!BV9</f>
        <v>0</v>
      </c>
      <c r="BS40" s="55">
        <f>SOLID!BW9</f>
        <v>0</v>
      </c>
      <c r="BT40" s="55">
        <f>SOLID!BX9</f>
        <v>0</v>
      </c>
    </row>
    <row r="41" spans="1:72" ht="21.75" outlineLevel="1" thickBot="1" x14ac:dyDescent="0.4">
      <c r="A41" s="35" t="str">
        <f>SOLID!E10</f>
        <v>*Se[m]</v>
      </c>
      <c r="B41" s="16">
        <f>SOLID!F10</f>
        <v>1.5275E-21</v>
      </c>
      <c r="C41" s="16">
        <f>SOLID!G10</f>
        <v>1.3022000000000001E-17</v>
      </c>
      <c r="D41" s="16">
        <f>SOLID!H10</f>
        <v>4.1226999999999998E-12</v>
      </c>
      <c r="E41" s="16">
        <f>SOLID!I10</f>
        <v>1.4575E-9</v>
      </c>
      <c r="F41" s="14">
        <f>SOLID!J10</f>
        <v>3.051E-7</v>
      </c>
      <c r="G41" s="14">
        <f>SOLID!K10</f>
        <v>0.14000000000000001</v>
      </c>
      <c r="H41" s="14">
        <f>SOLID!L10</f>
        <v>0.14000000000000001</v>
      </c>
      <c r="I41" s="14">
        <f>SOLID!M10</f>
        <v>0.14000000000000001</v>
      </c>
      <c r="J41" s="14">
        <f>SOLID!N10</f>
        <v>0.14000000000000001</v>
      </c>
      <c r="K41" s="14">
        <f>SOLID!O10</f>
        <v>0.14000000000000001</v>
      </c>
      <c r="L41" s="14">
        <f>SOLID!P10</f>
        <v>0.14000000000000001</v>
      </c>
      <c r="M41" s="14">
        <f>SOLID!Q10</f>
        <v>0.14000000000000001</v>
      </c>
      <c r="N41" s="14">
        <f>SOLID!R10</f>
        <v>0.42</v>
      </c>
      <c r="O41" s="14">
        <f>SOLID!S10</f>
        <v>0.42</v>
      </c>
      <c r="P41" s="14">
        <f>SOLID!T10</f>
        <v>0.42</v>
      </c>
      <c r="Q41" s="14">
        <f>SOLID!U10</f>
        <v>0.42</v>
      </c>
      <c r="R41" s="14">
        <f>SOLID!V10</f>
        <v>0.42</v>
      </c>
      <c r="S41" s="14">
        <f>SOLID!W10</f>
        <v>0.42</v>
      </c>
      <c r="T41" s="14">
        <f>SOLID!X10</f>
        <v>0.44449</v>
      </c>
      <c r="U41" s="14">
        <f>SOLID!Y10</f>
        <v>0.45429999999999998</v>
      </c>
      <c r="V41" s="14">
        <f>SOLID!Z10</f>
        <v>0.47771999999999998</v>
      </c>
      <c r="W41" s="14">
        <f>SOLID!AA10</f>
        <v>0.47964000000000001</v>
      </c>
      <c r="X41" s="14">
        <f>SOLID!AB10</f>
        <v>0.47993999999999998</v>
      </c>
      <c r="Y41" s="14">
        <f>SOLID!AC10</f>
        <v>0.47999000000000003</v>
      </c>
      <c r="Z41" s="14">
        <f>SOLID!AD10</f>
        <v>0.48</v>
      </c>
      <c r="AA41" s="14">
        <f>SOLID!AE10</f>
        <v>0.48</v>
      </c>
      <c r="AB41" s="14">
        <f>SOLID!AF10</f>
        <v>0.48</v>
      </c>
      <c r="AC41" s="14">
        <f>SOLID!AG10</f>
        <v>0</v>
      </c>
      <c r="AD41" s="14">
        <f>SOLID!AH10</f>
        <v>0</v>
      </c>
      <c r="AE41" s="14">
        <f>SOLID!AI10</f>
        <v>0</v>
      </c>
      <c r="AF41" s="14">
        <f>SOLID!AJ10</f>
        <v>0</v>
      </c>
      <c r="AG41" s="14">
        <f>SOLID!AK10</f>
        <v>0</v>
      </c>
      <c r="AH41" s="14">
        <f>SOLID!AL10</f>
        <v>0</v>
      </c>
      <c r="AI41" s="55">
        <f>SOLID!AM10</f>
        <v>0</v>
      </c>
      <c r="AJ41" s="55">
        <f>SOLID!AN10</f>
        <v>0</v>
      </c>
      <c r="AK41" s="55">
        <f>SOLID!AO10</f>
        <v>0</v>
      </c>
      <c r="AL41" s="55">
        <f>SOLID!AP10</f>
        <v>0</v>
      </c>
      <c r="AM41" s="55">
        <f>SOLID!AQ10</f>
        <v>0</v>
      </c>
      <c r="AN41" s="55">
        <f>SOLID!AR10</f>
        <v>0</v>
      </c>
      <c r="AO41" s="55">
        <f>SOLID!AS10</f>
        <v>0</v>
      </c>
      <c r="AP41" s="55">
        <f>SOLID!AT10</f>
        <v>0</v>
      </c>
      <c r="AQ41" s="55">
        <f>SOLID!AU10</f>
        <v>0</v>
      </c>
      <c r="AR41" s="55">
        <f>SOLID!AV10</f>
        <v>0</v>
      </c>
      <c r="AS41" s="55">
        <f>SOLID!AW10</f>
        <v>0</v>
      </c>
      <c r="AT41" s="55">
        <f>SOLID!AX10</f>
        <v>0</v>
      </c>
      <c r="AU41" s="55">
        <f>SOLID!AY10</f>
        <v>0</v>
      </c>
      <c r="AV41" s="55">
        <f>SOLID!AZ10</f>
        <v>0</v>
      </c>
      <c r="AW41" s="55">
        <f>SOLID!BA10</f>
        <v>0</v>
      </c>
      <c r="AX41" s="55">
        <f>SOLID!BB10</f>
        <v>0</v>
      </c>
      <c r="AY41" s="55">
        <f>SOLID!BC10</f>
        <v>0</v>
      </c>
      <c r="AZ41" s="55">
        <f>SOLID!BD10</f>
        <v>0</v>
      </c>
      <c r="BA41" s="55">
        <f>SOLID!BE10</f>
        <v>0</v>
      </c>
      <c r="BB41" s="55">
        <f>SOLID!BF10</f>
        <v>0</v>
      </c>
      <c r="BC41" s="55">
        <f>SOLID!BG10</f>
        <v>0</v>
      </c>
      <c r="BD41" s="55">
        <f>SOLID!BH10</f>
        <v>0</v>
      </c>
      <c r="BE41" s="55">
        <f>SOLID!BI10</f>
        <v>0</v>
      </c>
      <c r="BF41" s="55">
        <f>SOLID!BJ10</f>
        <v>0</v>
      </c>
      <c r="BG41" s="55">
        <f>SOLID!BK10</f>
        <v>0</v>
      </c>
      <c r="BH41" s="55">
        <f>SOLID!BL10</f>
        <v>0</v>
      </c>
      <c r="BI41" s="55">
        <f>SOLID!BM10</f>
        <v>0</v>
      </c>
      <c r="BJ41" s="55">
        <f>SOLID!BN10</f>
        <v>0</v>
      </c>
      <c r="BK41" s="55">
        <f>SOLID!BO10</f>
        <v>0</v>
      </c>
      <c r="BL41" s="55">
        <f>SOLID!BP10</f>
        <v>0</v>
      </c>
      <c r="BM41" s="55">
        <f>SOLID!BQ10</f>
        <v>0</v>
      </c>
      <c r="BN41" s="55">
        <f>SOLID!BR10</f>
        <v>0</v>
      </c>
      <c r="BO41" s="55">
        <f>SOLID!BS10</f>
        <v>0</v>
      </c>
      <c r="BP41" s="55">
        <f>SOLID!BT10</f>
        <v>0</v>
      </c>
      <c r="BQ41" s="55">
        <f>SOLID!BU10</f>
        <v>0</v>
      </c>
      <c r="BR41" s="55">
        <f>SOLID!BV10</f>
        <v>0</v>
      </c>
      <c r="BS41" s="55">
        <f>SOLID!BW10</f>
        <v>0</v>
      </c>
      <c r="BT41" s="55">
        <f>SOLID!BX10</f>
        <v>0</v>
      </c>
    </row>
    <row r="42" spans="1:72" ht="21.75" outlineLevel="1" thickBot="1" x14ac:dyDescent="0.4">
      <c r="A42" s="35" t="str">
        <f>SOLID!E11</f>
        <v>*GeSe2</v>
      </c>
      <c r="B42" s="16">
        <f>SOLID!F11</f>
        <v>0.14000000000000001</v>
      </c>
      <c r="C42" s="16">
        <f>SOLID!G11</f>
        <v>0.14000000000000001</v>
      </c>
      <c r="D42" s="16">
        <f>SOLID!H11</f>
        <v>0.14000000000000001</v>
      </c>
      <c r="E42" s="16">
        <f>SOLID!I11</f>
        <v>0.14000000000000001</v>
      </c>
      <c r="F42" s="14">
        <f>SOLID!J11</f>
        <v>0.14000000000000001</v>
      </c>
      <c r="G42" s="14">
        <f>SOLID!K11</f>
        <v>3.2209999999999999E-9</v>
      </c>
      <c r="H42" s="14">
        <f>SOLID!L11</f>
        <v>1.9975999999999999E-10</v>
      </c>
      <c r="I42" s="14">
        <f>SOLID!M11</f>
        <v>9.6340999999999999E-12</v>
      </c>
      <c r="J42" s="14">
        <f>SOLID!N11</f>
        <v>1.4116999999999999E-13</v>
      </c>
      <c r="K42" s="14">
        <f>SOLID!O11</f>
        <v>2.8361000000000002E-26</v>
      </c>
      <c r="L42" s="14">
        <f>SOLID!P11</f>
        <v>0</v>
      </c>
      <c r="M42" s="14">
        <f>SOLID!Q11</f>
        <v>0</v>
      </c>
      <c r="N42" s="14">
        <f>SOLID!R11</f>
        <v>0</v>
      </c>
      <c r="O42" s="14">
        <f>SOLID!S11</f>
        <v>0</v>
      </c>
      <c r="P42" s="14">
        <f>SOLID!T11</f>
        <v>0</v>
      </c>
      <c r="Q42" s="14">
        <f>SOLID!U11</f>
        <v>0</v>
      </c>
      <c r="R42" s="14">
        <f>SOLID!V11</f>
        <v>0</v>
      </c>
      <c r="S42" s="14">
        <f>SOLID!W11</f>
        <v>0</v>
      </c>
      <c r="T42" s="14">
        <f>SOLID!X11</f>
        <v>0</v>
      </c>
      <c r="U42" s="14">
        <f>SOLID!Y11</f>
        <v>0</v>
      </c>
      <c r="V42" s="14">
        <f>SOLID!Z11</f>
        <v>0</v>
      </c>
      <c r="W42" s="14">
        <f>SOLID!AA11</f>
        <v>0</v>
      </c>
      <c r="X42" s="14">
        <f>SOLID!AB11</f>
        <v>0</v>
      </c>
      <c r="Y42" s="14">
        <f>SOLID!AC11</f>
        <v>0</v>
      </c>
      <c r="Z42" s="14">
        <f>SOLID!AD11</f>
        <v>0</v>
      </c>
      <c r="AA42" s="14">
        <f>SOLID!AE11</f>
        <v>0</v>
      </c>
      <c r="AB42" s="14">
        <f>SOLID!AF11</f>
        <v>0</v>
      </c>
      <c r="AC42" s="14">
        <f>SOLID!AG11</f>
        <v>0</v>
      </c>
      <c r="AD42" s="14">
        <f>SOLID!AH11</f>
        <v>0</v>
      </c>
      <c r="AE42" s="14">
        <f>SOLID!AI11</f>
        <v>0</v>
      </c>
      <c r="AF42" s="14">
        <f>SOLID!AJ11</f>
        <v>0</v>
      </c>
      <c r="AG42" s="14">
        <f>SOLID!AK11</f>
        <v>0</v>
      </c>
      <c r="AH42" s="14">
        <f>SOLID!AL11</f>
        <v>0</v>
      </c>
      <c r="AI42" s="55">
        <f>SOLID!AM11</f>
        <v>0</v>
      </c>
      <c r="AJ42" s="55">
        <f>SOLID!AN11</f>
        <v>0</v>
      </c>
      <c r="AK42" s="55">
        <f>SOLID!AO11</f>
        <v>0</v>
      </c>
      <c r="AL42" s="55">
        <f>SOLID!AP11</f>
        <v>0</v>
      </c>
      <c r="AM42" s="55">
        <f>SOLID!AQ11</f>
        <v>0</v>
      </c>
      <c r="AN42" s="55">
        <f>SOLID!AR11</f>
        <v>0</v>
      </c>
      <c r="AO42" s="55">
        <f>SOLID!AS11</f>
        <v>0</v>
      </c>
      <c r="AP42" s="55">
        <f>SOLID!AT11</f>
        <v>0</v>
      </c>
      <c r="AQ42" s="55">
        <f>SOLID!AU11</f>
        <v>0</v>
      </c>
      <c r="AR42" s="55">
        <f>SOLID!AV11</f>
        <v>0</v>
      </c>
      <c r="AS42" s="55">
        <f>SOLID!AW11</f>
        <v>0</v>
      </c>
      <c r="AT42" s="55">
        <f>SOLID!AX11</f>
        <v>0</v>
      </c>
      <c r="AU42" s="55">
        <f>SOLID!AY11</f>
        <v>0</v>
      </c>
      <c r="AV42" s="55">
        <f>SOLID!AZ11</f>
        <v>0</v>
      </c>
      <c r="AW42" s="55">
        <f>SOLID!BA11</f>
        <v>0</v>
      </c>
      <c r="AX42" s="55">
        <f>SOLID!BB11</f>
        <v>0</v>
      </c>
      <c r="AY42" s="55">
        <f>SOLID!BC11</f>
        <v>0</v>
      </c>
      <c r="AZ42" s="55">
        <f>SOLID!BD11</f>
        <v>0</v>
      </c>
      <c r="BA42" s="55">
        <f>SOLID!BE11</f>
        <v>0</v>
      </c>
      <c r="BB42" s="55">
        <f>SOLID!BF11</f>
        <v>0</v>
      </c>
      <c r="BC42" s="55">
        <f>SOLID!BG11</f>
        <v>0</v>
      </c>
      <c r="BD42" s="55">
        <f>SOLID!BH11</f>
        <v>0</v>
      </c>
      <c r="BE42" s="55">
        <f>SOLID!BI11</f>
        <v>0</v>
      </c>
      <c r="BF42" s="55">
        <f>SOLID!BJ11</f>
        <v>0</v>
      </c>
      <c r="BG42" s="55">
        <f>SOLID!BK11</f>
        <v>0</v>
      </c>
      <c r="BH42" s="55">
        <f>SOLID!BL11</f>
        <v>0</v>
      </c>
      <c r="BI42" s="55">
        <f>SOLID!BM11</f>
        <v>0</v>
      </c>
      <c r="BJ42" s="55">
        <f>SOLID!BN11</f>
        <v>0</v>
      </c>
      <c r="BK42" s="55">
        <f>SOLID!BO11</f>
        <v>0</v>
      </c>
      <c r="BL42" s="55">
        <f>SOLID!BP11</f>
        <v>0</v>
      </c>
      <c r="BM42" s="55">
        <f>SOLID!BQ11</f>
        <v>0</v>
      </c>
      <c r="BN42" s="55">
        <f>SOLID!BR11</f>
        <v>0</v>
      </c>
      <c r="BO42" s="55">
        <f>SOLID!BS11</f>
        <v>0</v>
      </c>
      <c r="BP42" s="55">
        <f>SOLID!BT11</f>
        <v>0</v>
      </c>
      <c r="BQ42" s="55">
        <f>SOLID!BU11</f>
        <v>0</v>
      </c>
      <c r="BR42" s="55">
        <f>SOLID!BV11</f>
        <v>0</v>
      </c>
      <c r="BS42" s="55">
        <f>SOLID!BW11</f>
        <v>0</v>
      </c>
      <c r="BT42" s="55">
        <f>SOLID!BX11</f>
        <v>0</v>
      </c>
    </row>
    <row r="43" spans="1:72" ht="21.75" outlineLevel="1" thickBot="1" x14ac:dyDescent="0.4">
      <c r="A43" s="35" t="str">
        <f>SOLID!E12</f>
        <v>Ga2Se3</v>
      </c>
      <c r="B43" s="16">
        <f>SOLID!F12</f>
        <v>0.02</v>
      </c>
      <c r="C43" s="16">
        <f>SOLID!G12</f>
        <v>0.02</v>
      </c>
      <c r="D43" s="16">
        <f>SOLID!H12</f>
        <v>0.02</v>
      </c>
      <c r="E43" s="16">
        <f>SOLID!I12</f>
        <v>0.02</v>
      </c>
      <c r="F43" s="14">
        <f>SOLID!J12</f>
        <v>0.02</v>
      </c>
      <c r="G43" s="14">
        <f>SOLID!K12</f>
        <v>0.02</v>
      </c>
      <c r="H43" s="14">
        <f>SOLID!L12</f>
        <v>0.02</v>
      </c>
      <c r="I43" s="14">
        <f>SOLID!M12</f>
        <v>0.02</v>
      </c>
      <c r="J43" s="14">
        <f>SOLID!N12</f>
        <v>0.02</v>
      </c>
      <c r="K43" s="14">
        <f>SOLID!O12</f>
        <v>0.02</v>
      </c>
      <c r="L43" s="14">
        <f>SOLID!P12</f>
        <v>0.02</v>
      </c>
      <c r="M43" s="14">
        <f>SOLID!Q12</f>
        <v>0.02</v>
      </c>
      <c r="N43" s="14">
        <f>SOLID!R12</f>
        <v>0.02</v>
      </c>
      <c r="O43" s="14">
        <f>SOLID!S12</f>
        <v>0.02</v>
      </c>
      <c r="P43" s="14">
        <f>SOLID!T12</f>
        <v>0.02</v>
      </c>
      <c r="Q43" s="14">
        <f>SOLID!U12</f>
        <v>0.02</v>
      </c>
      <c r="R43" s="14">
        <f>SOLID!V12</f>
        <v>0.02</v>
      </c>
      <c r="S43" s="14">
        <f>SOLID!W12</f>
        <v>0.02</v>
      </c>
      <c r="T43" s="14">
        <f>SOLID!X12</f>
        <v>7.7565999999999998E-3</v>
      </c>
      <c r="U43" s="14">
        <f>SOLID!Y12</f>
        <v>2.8487E-3</v>
      </c>
      <c r="V43" s="14">
        <f>SOLID!Z12</f>
        <v>7.5883000000000005E-4</v>
      </c>
      <c r="W43" s="14">
        <f>SOLID!AA12</f>
        <v>1.1998999999999999E-4</v>
      </c>
      <c r="X43" s="14">
        <f>SOLID!AB12</f>
        <v>2.0021E-5</v>
      </c>
      <c r="Y43" s="14">
        <f>SOLID!AC12</f>
        <v>3.5053000000000001E-6</v>
      </c>
      <c r="Z43" s="14">
        <f>SOLID!AD12</f>
        <v>6.4165000000000003E-7</v>
      </c>
      <c r="AA43" s="14">
        <f>SOLID!AE12</f>
        <v>1.0583E-9</v>
      </c>
      <c r="AB43" s="14">
        <f>SOLID!AF12</f>
        <v>2.8184000000000002E-12</v>
      </c>
      <c r="AC43" s="14">
        <f>SOLID!AG12</f>
        <v>0</v>
      </c>
      <c r="AD43" s="14">
        <f>SOLID!AH12</f>
        <v>0</v>
      </c>
      <c r="AE43" s="14">
        <f>SOLID!AI12</f>
        <v>0</v>
      </c>
      <c r="AF43" s="14">
        <f>SOLID!AJ12</f>
        <v>0</v>
      </c>
      <c r="AG43" s="14">
        <f>SOLID!AK12</f>
        <v>0</v>
      </c>
      <c r="AH43" s="14">
        <f>SOLID!AL12</f>
        <v>0</v>
      </c>
      <c r="AI43" s="55">
        <f>SOLID!AM12</f>
        <v>0</v>
      </c>
      <c r="AJ43" s="55">
        <f>SOLID!AN12</f>
        <v>0</v>
      </c>
      <c r="AK43" s="55">
        <f>SOLID!AO12</f>
        <v>0</v>
      </c>
      <c r="AL43" s="55">
        <f>SOLID!AP12</f>
        <v>0</v>
      </c>
      <c r="AM43" s="55">
        <f>SOLID!AQ12</f>
        <v>0</v>
      </c>
      <c r="AN43" s="55">
        <f>SOLID!AR12</f>
        <v>0</v>
      </c>
      <c r="AO43" s="55">
        <f>SOLID!AS12</f>
        <v>0</v>
      </c>
      <c r="AP43" s="55">
        <f>SOLID!AT12</f>
        <v>0</v>
      </c>
      <c r="AQ43" s="55">
        <f>SOLID!AU12</f>
        <v>0</v>
      </c>
      <c r="AR43" s="55">
        <f>SOLID!AV12</f>
        <v>0</v>
      </c>
      <c r="AS43" s="55">
        <f>SOLID!AW12</f>
        <v>0</v>
      </c>
      <c r="AT43" s="55">
        <f>SOLID!AX12</f>
        <v>0</v>
      </c>
      <c r="AU43" s="55">
        <f>SOLID!AY12</f>
        <v>0</v>
      </c>
      <c r="AV43" s="55">
        <f>SOLID!AZ12</f>
        <v>0</v>
      </c>
      <c r="AW43" s="55">
        <f>SOLID!BA12</f>
        <v>0</v>
      </c>
      <c r="AX43" s="55">
        <f>SOLID!BB12</f>
        <v>0</v>
      </c>
      <c r="AY43" s="55">
        <f>SOLID!BC12</f>
        <v>0</v>
      </c>
      <c r="AZ43" s="55">
        <f>SOLID!BD12</f>
        <v>0</v>
      </c>
      <c r="BA43" s="55">
        <f>SOLID!BE12</f>
        <v>0</v>
      </c>
      <c r="BB43" s="55">
        <f>SOLID!BF12</f>
        <v>0</v>
      </c>
      <c r="BC43" s="55">
        <f>SOLID!BG12</f>
        <v>0</v>
      </c>
      <c r="BD43" s="55">
        <f>SOLID!BH12</f>
        <v>0</v>
      </c>
      <c r="BE43" s="55">
        <f>SOLID!BI12</f>
        <v>0</v>
      </c>
      <c r="BF43" s="55">
        <f>SOLID!BJ12</f>
        <v>0</v>
      </c>
      <c r="BG43" s="55">
        <f>SOLID!BK12</f>
        <v>0</v>
      </c>
      <c r="BH43" s="55">
        <f>SOLID!BL12</f>
        <v>0</v>
      </c>
      <c r="BI43" s="55">
        <f>SOLID!BM12</f>
        <v>0</v>
      </c>
      <c r="BJ43" s="55">
        <f>SOLID!BN12</f>
        <v>0</v>
      </c>
      <c r="BK43" s="55">
        <f>SOLID!BO12</f>
        <v>0</v>
      </c>
      <c r="BL43" s="55">
        <f>SOLID!BP12</f>
        <v>0</v>
      </c>
      <c r="BM43" s="55">
        <f>SOLID!BQ12</f>
        <v>0</v>
      </c>
      <c r="BN43" s="55">
        <f>SOLID!BR12</f>
        <v>0</v>
      </c>
      <c r="BO43" s="55">
        <f>SOLID!BS12</f>
        <v>0</v>
      </c>
      <c r="BP43" s="55">
        <f>SOLID!BT12</f>
        <v>0</v>
      </c>
      <c r="BQ43" s="55">
        <f>SOLID!BU12</f>
        <v>0</v>
      </c>
      <c r="BR43" s="55">
        <f>SOLID!BV12</f>
        <v>0</v>
      </c>
      <c r="BS43" s="55">
        <f>SOLID!BW12</f>
        <v>0</v>
      </c>
      <c r="BT43" s="55">
        <f>SOLID!BX12</f>
        <v>0</v>
      </c>
    </row>
    <row r="44" spans="1:72" ht="21.75" outlineLevel="1" thickBot="1" x14ac:dyDescent="0.4">
      <c r="A44" s="35" t="str">
        <f>SOLID!E13</f>
        <v>Ga2Se</v>
      </c>
      <c r="B44" s="16">
        <f>SOLID!F13</f>
        <v>0</v>
      </c>
      <c r="C44" s="16">
        <f>SOLID!G13</f>
        <v>0</v>
      </c>
      <c r="D44" s="16">
        <f>SOLID!H13</f>
        <v>0</v>
      </c>
      <c r="E44" s="16">
        <f>SOLID!I13</f>
        <v>0</v>
      </c>
      <c r="F44" s="14">
        <f>SOLID!J13</f>
        <v>0</v>
      </c>
      <c r="G44" s="14">
        <f>SOLID!K13</f>
        <v>0</v>
      </c>
      <c r="H44" s="14">
        <f>SOLID!L13</f>
        <v>0</v>
      </c>
      <c r="I44" s="14">
        <f>SOLID!M13</f>
        <v>0</v>
      </c>
      <c r="J44" s="14">
        <f>SOLID!N13</f>
        <v>0</v>
      </c>
      <c r="K44" s="14">
        <f>SOLID!O13</f>
        <v>6.6809999999999997E-33</v>
      </c>
      <c r="L44" s="14">
        <f>SOLID!P13</f>
        <v>7.8149999999999998E-31</v>
      </c>
      <c r="M44" s="14">
        <f>SOLID!Q13</f>
        <v>6.8396999999999999E-29</v>
      </c>
      <c r="N44" s="14">
        <f>SOLID!R13</f>
        <v>4.6017E-27</v>
      </c>
      <c r="O44" s="14">
        <f>SOLID!S13</f>
        <v>2.4372999999999999E-25</v>
      </c>
      <c r="P44" s="14">
        <f>SOLID!T13</f>
        <v>2.5777E-19</v>
      </c>
      <c r="Q44" s="14">
        <f>SOLID!U13</f>
        <v>2.2115999999999999E-14</v>
      </c>
      <c r="R44" s="14">
        <f>SOLID!V13</f>
        <v>2.9888000000000001E-10</v>
      </c>
      <c r="S44" s="14">
        <f>SOLID!W13</f>
        <v>2.5529000000000001E-9</v>
      </c>
      <c r="T44" s="14">
        <f>SOLID!X13</f>
        <v>7.7960999999999996E-9</v>
      </c>
      <c r="U44" s="14">
        <f>SOLID!Y13</f>
        <v>2.0885999999999999E-8</v>
      </c>
      <c r="V44" s="14">
        <f>SOLID!Z13</f>
        <v>3.7773999999999998E-8</v>
      </c>
      <c r="W44" s="14">
        <f>SOLID!AA13</f>
        <v>3.7906000000000002E-8</v>
      </c>
      <c r="X44" s="14">
        <f>SOLID!AB13</f>
        <v>3.7667000000000002E-8</v>
      </c>
      <c r="Y44" s="14">
        <f>SOLID!AC13</f>
        <v>3.6985999999999998E-8</v>
      </c>
      <c r="Z44" s="14">
        <f>SOLID!AD13</f>
        <v>3.5881000000000002E-8</v>
      </c>
      <c r="AA44" s="14">
        <f>SOLID!AE13</f>
        <v>2.8110999999999999E-8</v>
      </c>
      <c r="AB44" s="14">
        <f>SOLID!AF13</f>
        <v>1.7782E-8</v>
      </c>
      <c r="AC44" s="14">
        <f>SOLID!AG13</f>
        <v>0</v>
      </c>
      <c r="AD44" s="14">
        <f>SOLID!AH13</f>
        <v>0</v>
      </c>
      <c r="AE44" s="14">
        <f>SOLID!AI13</f>
        <v>0</v>
      </c>
      <c r="AF44" s="14">
        <f>SOLID!AJ13</f>
        <v>0</v>
      </c>
      <c r="AG44" s="14">
        <f>SOLID!AK13</f>
        <v>0</v>
      </c>
      <c r="AH44" s="14">
        <f>SOLID!AL13</f>
        <v>0</v>
      </c>
      <c r="AI44" s="55">
        <f>SOLID!AM13</f>
        <v>0</v>
      </c>
      <c r="AJ44" s="55">
        <f>SOLID!AN13</f>
        <v>0</v>
      </c>
      <c r="AK44" s="55">
        <f>SOLID!AO13</f>
        <v>0</v>
      </c>
      <c r="AL44" s="55">
        <f>SOLID!AP13</f>
        <v>0</v>
      </c>
      <c r="AM44" s="55">
        <f>SOLID!AQ13</f>
        <v>0</v>
      </c>
      <c r="AN44" s="55">
        <f>SOLID!AR13</f>
        <v>0</v>
      </c>
      <c r="AO44" s="55">
        <f>SOLID!AS13</f>
        <v>0</v>
      </c>
      <c r="AP44" s="55">
        <f>SOLID!AT13</f>
        <v>0</v>
      </c>
      <c r="AQ44" s="55">
        <f>SOLID!AU13</f>
        <v>0</v>
      </c>
      <c r="AR44" s="55">
        <f>SOLID!AV13</f>
        <v>0</v>
      </c>
      <c r="AS44" s="55">
        <f>SOLID!AW13</f>
        <v>0</v>
      </c>
      <c r="AT44" s="55">
        <f>SOLID!AX13</f>
        <v>0</v>
      </c>
      <c r="AU44" s="55">
        <f>SOLID!AY13</f>
        <v>0</v>
      </c>
      <c r="AV44" s="55">
        <f>SOLID!AZ13</f>
        <v>0</v>
      </c>
      <c r="AW44" s="55">
        <f>SOLID!BA13</f>
        <v>0</v>
      </c>
      <c r="AX44" s="55">
        <f>SOLID!BB13</f>
        <v>0</v>
      </c>
      <c r="AY44" s="55">
        <f>SOLID!BC13</f>
        <v>0</v>
      </c>
      <c r="AZ44" s="55">
        <f>SOLID!BD13</f>
        <v>0</v>
      </c>
      <c r="BA44" s="55">
        <f>SOLID!BE13</f>
        <v>0</v>
      </c>
      <c r="BB44" s="55">
        <f>SOLID!BF13</f>
        <v>0</v>
      </c>
      <c r="BC44" s="55">
        <f>SOLID!BG13</f>
        <v>0</v>
      </c>
      <c r="BD44" s="55">
        <f>SOLID!BH13</f>
        <v>0</v>
      </c>
      <c r="BE44" s="55">
        <f>SOLID!BI13</f>
        <v>0</v>
      </c>
      <c r="BF44" s="55">
        <f>SOLID!BJ13</f>
        <v>0</v>
      </c>
      <c r="BG44" s="55">
        <f>SOLID!BK13</f>
        <v>0</v>
      </c>
      <c r="BH44" s="55">
        <f>SOLID!BL13</f>
        <v>0</v>
      </c>
      <c r="BI44" s="55">
        <f>SOLID!BM13</f>
        <v>0</v>
      </c>
      <c r="BJ44" s="55">
        <f>SOLID!BN13</f>
        <v>0</v>
      </c>
      <c r="BK44" s="55">
        <f>SOLID!BO13</f>
        <v>0</v>
      </c>
      <c r="BL44" s="55">
        <f>SOLID!BP13</f>
        <v>0</v>
      </c>
      <c r="BM44" s="55">
        <f>SOLID!BQ13</f>
        <v>0</v>
      </c>
      <c r="BN44" s="55">
        <f>SOLID!BR13</f>
        <v>0</v>
      </c>
      <c r="BO44" s="55">
        <f>SOLID!BS13</f>
        <v>0</v>
      </c>
      <c r="BP44" s="55">
        <f>SOLID!BT13</f>
        <v>0</v>
      </c>
      <c r="BQ44" s="55">
        <f>SOLID!BU13</f>
        <v>0</v>
      </c>
      <c r="BR44" s="55">
        <f>SOLID!BV13</f>
        <v>0</v>
      </c>
      <c r="BS44" s="55">
        <f>SOLID!BW13</f>
        <v>0</v>
      </c>
      <c r="BT44" s="55">
        <f>SOLID!BX13</f>
        <v>0</v>
      </c>
    </row>
    <row r="45" spans="1:72" ht="21.75" outlineLevel="1" thickBot="1" x14ac:dyDescent="0.4">
      <c r="A45" s="35" t="str">
        <f>SOLID!E14</f>
        <v>Ar</v>
      </c>
      <c r="B45" s="16">
        <f>SOLID!F14</f>
        <v>0.2</v>
      </c>
      <c r="C45" s="16">
        <f>SOLID!G14</f>
        <v>0.2</v>
      </c>
      <c r="D45" s="16">
        <f>SOLID!H14</f>
        <v>0.2</v>
      </c>
      <c r="E45" s="16">
        <f>SOLID!I14</f>
        <v>0.2</v>
      </c>
      <c r="F45" s="14">
        <f>SOLID!J14</f>
        <v>0.2</v>
      </c>
      <c r="G45" s="14">
        <f>SOLID!K14</f>
        <v>0.2</v>
      </c>
      <c r="H45" s="14">
        <f>SOLID!L14</f>
        <v>0.2</v>
      </c>
      <c r="I45" s="14">
        <f>SOLID!M14</f>
        <v>0.2</v>
      </c>
      <c r="J45" s="14">
        <f>SOLID!N14</f>
        <v>0.2</v>
      </c>
      <c r="K45" s="14">
        <f>SOLID!O14</f>
        <v>0.2</v>
      </c>
      <c r="L45" s="14">
        <f>SOLID!P14</f>
        <v>0.2</v>
      </c>
      <c r="M45" s="14">
        <f>SOLID!Q14</f>
        <v>0.2</v>
      </c>
      <c r="N45" s="14">
        <f>SOLID!R14</f>
        <v>0.2</v>
      </c>
      <c r="O45" s="14">
        <f>SOLID!S14</f>
        <v>0.2</v>
      </c>
      <c r="P45" s="14">
        <f>SOLID!T14</f>
        <v>0.2</v>
      </c>
      <c r="Q45" s="14">
        <f>SOLID!U14</f>
        <v>0.2</v>
      </c>
      <c r="R45" s="14">
        <f>SOLID!V14</f>
        <v>0.2</v>
      </c>
      <c r="S45" s="14">
        <f>SOLID!W14</f>
        <v>0.2</v>
      </c>
      <c r="T45" s="14">
        <f>SOLID!X14</f>
        <v>0.2</v>
      </c>
      <c r="U45" s="14">
        <f>SOLID!Y14</f>
        <v>0.2</v>
      </c>
      <c r="V45" s="14">
        <f>SOLID!Z14</f>
        <v>0.2</v>
      </c>
      <c r="W45" s="14">
        <f>SOLID!AA14</f>
        <v>0.2</v>
      </c>
      <c r="X45" s="14">
        <f>SOLID!AB14</f>
        <v>0.2</v>
      </c>
      <c r="Y45" s="14">
        <f>SOLID!AC14</f>
        <v>0.2</v>
      </c>
      <c r="Z45" s="14">
        <f>SOLID!AD14</f>
        <v>0.2</v>
      </c>
      <c r="AA45" s="14">
        <f>SOLID!AE14</f>
        <v>0.2</v>
      </c>
      <c r="AB45" s="14">
        <f>SOLID!AF14</f>
        <v>0.2</v>
      </c>
      <c r="AC45" s="14">
        <f>SOLID!AG14</f>
        <v>0</v>
      </c>
      <c r="AD45" s="14">
        <f>SOLID!AH14</f>
        <v>0</v>
      </c>
      <c r="AE45" s="14">
        <f>SOLID!AI14</f>
        <v>0</v>
      </c>
      <c r="AF45" s="14">
        <f>SOLID!AJ14</f>
        <v>0</v>
      </c>
      <c r="AG45" s="14">
        <f>SOLID!AK14</f>
        <v>0</v>
      </c>
      <c r="AH45" s="14">
        <f>SOLID!AL14</f>
        <v>0</v>
      </c>
      <c r="AI45" s="55">
        <f>SOLID!AM14</f>
        <v>0</v>
      </c>
      <c r="AJ45" s="55">
        <f>SOLID!AN14</f>
        <v>0</v>
      </c>
      <c r="AK45" s="55">
        <f>SOLID!AO14</f>
        <v>0</v>
      </c>
      <c r="AL45" s="55">
        <f>SOLID!AP14</f>
        <v>0</v>
      </c>
      <c r="AM45" s="55">
        <f>SOLID!AQ14</f>
        <v>0</v>
      </c>
      <c r="AN45" s="55">
        <f>SOLID!AR14</f>
        <v>0</v>
      </c>
      <c r="AO45" s="55">
        <f>SOLID!AS14</f>
        <v>0</v>
      </c>
      <c r="AP45" s="55">
        <f>SOLID!AT14</f>
        <v>0</v>
      </c>
      <c r="AQ45" s="55">
        <f>SOLID!AU14</f>
        <v>0</v>
      </c>
      <c r="AR45" s="55">
        <f>SOLID!AV14</f>
        <v>0</v>
      </c>
      <c r="AS45" s="55">
        <f>SOLID!AW14</f>
        <v>0</v>
      </c>
      <c r="AT45" s="55">
        <f>SOLID!AX14</f>
        <v>0</v>
      </c>
      <c r="AU45" s="55">
        <f>SOLID!AY14</f>
        <v>0</v>
      </c>
      <c r="AV45" s="55">
        <f>SOLID!AZ14</f>
        <v>0</v>
      </c>
      <c r="AW45" s="55">
        <f>SOLID!BA14</f>
        <v>0</v>
      </c>
      <c r="AX45" s="55">
        <f>SOLID!BB14</f>
        <v>0</v>
      </c>
      <c r="AY45" s="55">
        <f>SOLID!BC14</f>
        <v>0</v>
      </c>
      <c r="AZ45" s="55">
        <f>SOLID!BD14</f>
        <v>0</v>
      </c>
      <c r="BA45" s="55">
        <f>SOLID!BE14</f>
        <v>0</v>
      </c>
      <c r="BB45" s="55">
        <f>SOLID!BF14</f>
        <v>0</v>
      </c>
      <c r="BC45" s="55">
        <f>SOLID!BG14</f>
        <v>0</v>
      </c>
      <c r="BD45" s="55">
        <f>SOLID!BH14</f>
        <v>0</v>
      </c>
      <c r="BE45" s="55">
        <f>SOLID!BI14</f>
        <v>0</v>
      </c>
      <c r="BF45" s="55">
        <f>SOLID!BJ14</f>
        <v>0</v>
      </c>
      <c r="BG45" s="55">
        <f>SOLID!BK14</f>
        <v>0</v>
      </c>
      <c r="BH45" s="55">
        <f>SOLID!BL14</f>
        <v>0</v>
      </c>
      <c r="BI45" s="55">
        <f>SOLID!BM14</f>
        <v>0</v>
      </c>
      <c r="BJ45" s="55">
        <f>SOLID!BN14</f>
        <v>0</v>
      </c>
      <c r="BK45" s="55">
        <f>SOLID!BO14</f>
        <v>0</v>
      </c>
      <c r="BL45" s="55">
        <f>SOLID!BP14</f>
        <v>0</v>
      </c>
      <c r="BM45" s="55">
        <f>SOLID!BQ14</f>
        <v>0</v>
      </c>
      <c r="BN45" s="55">
        <f>SOLID!BR14</f>
        <v>0</v>
      </c>
      <c r="BO45" s="55">
        <f>SOLID!BS14</f>
        <v>0</v>
      </c>
      <c r="BP45" s="55">
        <f>SOLID!BT14</f>
        <v>0</v>
      </c>
      <c r="BQ45" s="55">
        <f>SOLID!BU14</f>
        <v>0</v>
      </c>
      <c r="BR45" s="55">
        <f>SOLID!BV14</f>
        <v>0</v>
      </c>
      <c r="BS45" s="55">
        <f>SOLID!BW14</f>
        <v>0</v>
      </c>
      <c r="BT45" s="55">
        <f>SOLID!BX14</f>
        <v>0</v>
      </c>
    </row>
    <row r="46" spans="1:72" ht="21.75" outlineLevel="1" thickBot="1" x14ac:dyDescent="0.4">
      <c r="A46" s="35" t="str">
        <f>SOLID!E15</f>
        <v>(1)Ga[1]</v>
      </c>
      <c r="B46" s="16">
        <f>SOLID!F15</f>
        <v>0</v>
      </c>
      <c r="C46" s="16">
        <f>SOLID!G15</f>
        <v>0</v>
      </c>
      <c r="D46" s="16">
        <f>SOLID!H15</f>
        <v>0</v>
      </c>
      <c r="E46" s="16">
        <f>SOLID!I15</f>
        <v>0</v>
      </c>
      <c r="F46" s="14">
        <f>SOLID!J15</f>
        <v>0</v>
      </c>
      <c r="G46" s="14">
        <f>SOLID!K15</f>
        <v>0</v>
      </c>
      <c r="H46" s="14">
        <f>SOLID!L15</f>
        <v>0</v>
      </c>
      <c r="I46" s="14">
        <f>SOLID!M15</f>
        <v>0</v>
      </c>
      <c r="J46" s="14">
        <f>SOLID!N15</f>
        <v>0</v>
      </c>
      <c r="K46" s="14">
        <f>SOLID!O15</f>
        <v>0</v>
      </c>
      <c r="L46" s="14">
        <f>SOLID!P15</f>
        <v>0</v>
      </c>
      <c r="M46" s="14">
        <f>SOLID!Q15</f>
        <v>0</v>
      </c>
      <c r="N46" s="14">
        <f>SOLID!R15</f>
        <v>0</v>
      </c>
      <c r="O46" s="14">
        <f>SOLID!S15</f>
        <v>0</v>
      </c>
      <c r="P46" s="14">
        <f>SOLID!T15</f>
        <v>3.6238000000000002E-20</v>
      </c>
      <c r="Q46" s="14">
        <f>SOLID!U15</f>
        <v>7.0432999999999999E-14</v>
      </c>
      <c r="R46" s="14">
        <f>SOLID!V15</f>
        <v>2.9604999999999998E-10</v>
      </c>
      <c r="S46" s="14">
        <f>SOLID!W15</f>
        <v>1.039E-10</v>
      </c>
      <c r="T46" s="14">
        <f>SOLID!X15</f>
        <v>1.5157999999999999E-8</v>
      </c>
      <c r="U46" s="14">
        <f>SOLID!Y15</f>
        <v>2.1476E-7</v>
      </c>
      <c r="V46" s="14">
        <f>SOLID!Z15</f>
        <v>3.8482000000000002E-2</v>
      </c>
      <c r="W46" s="14">
        <f>SOLID!AA15</f>
        <v>3.9759999999999997E-2</v>
      </c>
      <c r="X46" s="14">
        <f>SOLID!AB15</f>
        <v>3.9960000000000002E-2</v>
      </c>
      <c r="Y46" s="14">
        <f>SOLID!AC15</f>
        <v>3.9993000000000001E-2</v>
      </c>
      <c r="Z46" s="14">
        <f>SOLID!AD15</f>
        <v>3.9997999999999999E-2</v>
      </c>
      <c r="AA46" s="14">
        <f>SOLID!AE15</f>
        <v>0.04</v>
      </c>
      <c r="AB46" s="14">
        <f>SOLID!AF15</f>
        <v>0.04</v>
      </c>
      <c r="AC46" s="14">
        <f>SOLID!AG15</f>
        <v>0</v>
      </c>
      <c r="AD46" s="14">
        <f>SOLID!AH15</f>
        <v>0</v>
      </c>
      <c r="AE46" s="14">
        <f>SOLID!AI15</f>
        <v>0</v>
      </c>
      <c r="AF46" s="14">
        <f>SOLID!AJ15</f>
        <v>0</v>
      </c>
      <c r="AG46" s="14">
        <f>SOLID!AK15</f>
        <v>0</v>
      </c>
      <c r="AH46" s="14">
        <f>SOLID!AL15</f>
        <v>0</v>
      </c>
      <c r="AI46" s="55">
        <f>SOLID!AM15</f>
        <v>0</v>
      </c>
      <c r="AJ46" s="55">
        <f>SOLID!AN15</f>
        <v>0</v>
      </c>
      <c r="AK46" s="55">
        <f>SOLID!AO15</f>
        <v>0</v>
      </c>
      <c r="AL46" s="55">
        <f>SOLID!AP15</f>
        <v>0</v>
      </c>
      <c r="AM46" s="55">
        <f>SOLID!AQ15</f>
        <v>0</v>
      </c>
      <c r="AN46" s="55">
        <f>SOLID!AR15</f>
        <v>0</v>
      </c>
      <c r="AO46" s="55">
        <f>SOLID!AS15</f>
        <v>0</v>
      </c>
      <c r="AP46" s="55">
        <f>SOLID!AT15</f>
        <v>0</v>
      </c>
      <c r="AQ46" s="55">
        <f>SOLID!AU15</f>
        <v>0</v>
      </c>
      <c r="AR46" s="55">
        <f>SOLID!AV15</f>
        <v>0</v>
      </c>
      <c r="AS46" s="55">
        <f>SOLID!AW15</f>
        <v>0</v>
      </c>
      <c r="AT46" s="55">
        <f>SOLID!AX15</f>
        <v>0</v>
      </c>
      <c r="AU46" s="55">
        <f>SOLID!AY15</f>
        <v>0</v>
      </c>
      <c r="AV46" s="55">
        <f>SOLID!AZ15</f>
        <v>0</v>
      </c>
      <c r="AW46" s="55">
        <f>SOLID!BA15</f>
        <v>0</v>
      </c>
      <c r="AX46" s="55">
        <f>SOLID!BB15</f>
        <v>0</v>
      </c>
      <c r="AY46" s="55">
        <f>SOLID!BC15</f>
        <v>0</v>
      </c>
      <c r="AZ46" s="55">
        <f>SOLID!BD15</f>
        <v>0</v>
      </c>
      <c r="BA46" s="55">
        <f>SOLID!BE15</f>
        <v>0</v>
      </c>
      <c r="BB46" s="55">
        <f>SOLID!BF15</f>
        <v>0</v>
      </c>
      <c r="BC46" s="55">
        <f>SOLID!BG15</f>
        <v>0</v>
      </c>
      <c r="BD46" s="55">
        <f>SOLID!BH15</f>
        <v>0</v>
      </c>
      <c r="BE46" s="55">
        <f>SOLID!BI15</f>
        <v>0</v>
      </c>
      <c r="BF46" s="55">
        <f>SOLID!BJ15</f>
        <v>0</v>
      </c>
      <c r="BG46" s="55">
        <f>SOLID!BK15</f>
        <v>0</v>
      </c>
      <c r="BH46" s="55">
        <f>SOLID!BL15</f>
        <v>0</v>
      </c>
      <c r="BI46" s="55">
        <f>SOLID!BM15</f>
        <v>0</v>
      </c>
      <c r="BJ46" s="55">
        <f>SOLID!BN15</f>
        <v>0</v>
      </c>
      <c r="BK46" s="55">
        <f>SOLID!BO15</f>
        <v>0</v>
      </c>
      <c r="BL46" s="55">
        <f>SOLID!BP15</f>
        <v>0</v>
      </c>
      <c r="BM46" s="55">
        <f>SOLID!BQ15</f>
        <v>0</v>
      </c>
      <c r="BN46" s="55">
        <f>SOLID!BR15</f>
        <v>0</v>
      </c>
      <c r="BO46" s="55">
        <f>SOLID!BS15</f>
        <v>0</v>
      </c>
      <c r="BP46" s="55">
        <f>SOLID!BT15</f>
        <v>0</v>
      </c>
      <c r="BQ46" s="55">
        <f>SOLID!BU15</f>
        <v>0</v>
      </c>
      <c r="BR46" s="55">
        <f>SOLID!BV15</f>
        <v>0</v>
      </c>
      <c r="BS46" s="55">
        <f>SOLID!BW15</f>
        <v>0</v>
      </c>
      <c r="BT46" s="55">
        <f>SOLID!BX15</f>
        <v>0</v>
      </c>
    </row>
    <row r="47" spans="1:72" ht="21.75" outlineLevel="1" thickBot="1" x14ac:dyDescent="0.4">
      <c r="A47" s="35" t="str">
        <f>SOLID!E16</f>
        <v>(1)Ge[1]</v>
      </c>
      <c r="B47" s="16">
        <f>SOLID!F16</f>
        <v>0</v>
      </c>
      <c r="C47" s="16">
        <f>SOLID!G16</f>
        <v>0</v>
      </c>
      <c r="D47" s="16">
        <f>SOLID!H16</f>
        <v>0</v>
      </c>
      <c r="E47" s="16">
        <f>SOLID!I16</f>
        <v>0</v>
      </c>
      <c r="F47" s="14">
        <f>SOLID!J16</f>
        <v>0</v>
      </c>
      <c r="G47" s="14">
        <f>SOLID!K16</f>
        <v>0</v>
      </c>
      <c r="H47" s="14">
        <f>SOLID!L16</f>
        <v>0</v>
      </c>
      <c r="I47" s="14">
        <f>SOLID!M16</f>
        <v>0</v>
      </c>
      <c r="J47" s="14">
        <f>SOLID!N16</f>
        <v>0</v>
      </c>
      <c r="K47" s="14">
        <f>SOLID!O16</f>
        <v>7.4125999999999999E-36</v>
      </c>
      <c r="L47" s="14">
        <f>SOLID!P16</f>
        <v>0</v>
      </c>
      <c r="M47" s="14">
        <f>SOLID!Q16</f>
        <v>0</v>
      </c>
      <c r="N47" s="14">
        <f>SOLID!R16</f>
        <v>0</v>
      </c>
      <c r="O47" s="14">
        <f>SOLID!S16</f>
        <v>0</v>
      </c>
      <c r="P47" s="14">
        <f>SOLID!T16</f>
        <v>2.0193000000000001E-16</v>
      </c>
      <c r="Q47" s="14">
        <f>SOLID!U16</f>
        <v>4.0033000000000001E-12</v>
      </c>
      <c r="R47" s="14">
        <f>SOLID!V16</f>
        <v>3.3269000000000002E-10</v>
      </c>
      <c r="S47" s="14">
        <f>SOLID!W16</f>
        <v>4.7667000000000002E-11</v>
      </c>
      <c r="T47" s="14">
        <f>SOLID!X16</f>
        <v>4.5630999999999997E-9</v>
      </c>
      <c r="U47" s="14">
        <f>SOLID!Y16</f>
        <v>4.5578E-8</v>
      </c>
      <c r="V47" s="14">
        <f>SOLID!Z16</f>
        <v>6.9871999999999998E-3</v>
      </c>
      <c r="W47" s="14">
        <f>SOLID!AA16</f>
        <v>8.2457999999999993E-3</v>
      </c>
      <c r="X47" s="14">
        <f>SOLID!AB16</f>
        <v>9.4445999999999992E-3</v>
      </c>
      <c r="Y47" s="14">
        <f>SOLID!AC16</f>
        <v>1.0753E-2</v>
      </c>
      <c r="Z47" s="14">
        <f>SOLID!AD16</f>
        <v>1.2215999999999999E-2</v>
      </c>
      <c r="AA47" s="14">
        <f>SOLID!AE16</f>
        <v>2.0229E-2</v>
      </c>
      <c r="AB47" s="14">
        <f>SOLID!AF16</f>
        <v>3.4062000000000002E-2</v>
      </c>
      <c r="AC47" s="14">
        <f>SOLID!AG16</f>
        <v>0</v>
      </c>
      <c r="AD47" s="14">
        <f>SOLID!AH16</f>
        <v>0</v>
      </c>
      <c r="AE47" s="14">
        <f>SOLID!AI16</f>
        <v>0</v>
      </c>
      <c r="AF47" s="14">
        <f>SOLID!AJ16</f>
        <v>0</v>
      </c>
      <c r="AG47" s="14">
        <f>SOLID!AK16</f>
        <v>0</v>
      </c>
      <c r="AH47" s="14">
        <f>SOLID!AL16</f>
        <v>0</v>
      </c>
      <c r="AI47" s="55">
        <f>SOLID!AM16</f>
        <v>0</v>
      </c>
      <c r="AJ47" s="55">
        <f>SOLID!AN16</f>
        <v>0</v>
      </c>
      <c r="AK47" s="55">
        <f>SOLID!AO16</f>
        <v>0</v>
      </c>
      <c r="AL47" s="55">
        <f>SOLID!AP16</f>
        <v>0</v>
      </c>
      <c r="AM47" s="55">
        <f>SOLID!AQ16</f>
        <v>0</v>
      </c>
      <c r="AN47" s="55">
        <f>SOLID!AR16</f>
        <v>0</v>
      </c>
      <c r="AO47" s="55">
        <f>SOLID!AS16</f>
        <v>0</v>
      </c>
      <c r="AP47" s="55">
        <f>SOLID!AT16</f>
        <v>0</v>
      </c>
      <c r="AQ47" s="55">
        <f>SOLID!AU16</f>
        <v>0</v>
      </c>
      <c r="AR47" s="55">
        <f>SOLID!AV16</f>
        <v>0</v>
      </c>
      <c r="AS47" s="55">
        <f>SOLID!AW16</f>
        <v>0</v>
      </c>
      <c r="AT47" s="55">
        <f>SOLID!AX16</f>
        <v>0</v>
      </c>
      <c r="AU47" s="55">
        <f>SOLID!AY16</f>
        <v>0</v>
      </c>
      <c r="AV47" s="55">
        <f>SOLID!AZ16</f>
        <v>0</v>
      </c>
      <c r="AW47" s="55">
        <f>SOLID!BA16</f>
        <v>0</v>
      </c>
      <c r="AX47" s="55">
        <f>SOLID!BB16</f>
        <v>0</v>
      </c>
      <c r="AY47" s="55">
        <f>SOLID!BC16</f>
        <v>0</v>
      </c>
      <c r="AZ47" s="55">
        <f>SOLID!BD16</f>
        <v>0</v>
      </c>
      <c r="BA47" s="55">
        <f>SOLID!BE16</f>
        <v>0</v>
      </c>
      <c r="BB47" s="55">
        <f>SOLID!BF16</f>
        <v>0</v>
      </c>
      <c r="BC47" s="55">
        <f>SOLID!BG16</f>
        <v>0</v>
      </c>
      <c r="BD47" s="55">
        <f>SOLID!BH16</f>
        <v>0</v>
      </c>
      <c r="BE47" s="55">
        <f>SOLID!BI16</f>
        <v>0</v>
      </c>
      <c r="BF47" s="55">
        <f>SOLID!BJ16</f>
        <v>0</v>
      </c>
      <c r="BG47" s="55">
        <f>SOLID!BK16</f>
        <v>0</v>
      </c>
      <c r="BH47" s="55">
        <f>SOLID!BL16</f>
        <v>0</v>
      </c>
      <c r="BI47" s="55">
        <f>SOLID!BM16</f>
        <v>0</v>
      </c>
      <c r="BJ47" s="55">
        <f>SOLID!BN16</f>
        <v>0</v>
      </c>
      <c r="BK47" s="55">
        <f>SOLID!BO16</f>
        <v>0</v>
      </c>
      <c r="BL47" s="55">
        <f>SOLID!BP16</f>
        <v>0</v>
      </c>
      <c r="BM47" s="55">
        <f>SOLID!BQ16</f>
        <v>0</v>
      </c>
      <c r="BN47" s="55">
        <f>SOLID!BR16</f>
        <v>0</v>
      </c>
      <c r="BO47" s="55">
        <f>SOLID!BS16</f>
        <v>0</v>
      </c>
      <c r="BP47" s="55">
        <f>SOLID!BT16</f>
        <v>0</v>
      </c>
      <c r="BQ47" s="55">
        <f>SOLID!BU16</f>
        <v>0</v>
      </c>
      <c r="BR47" s="55">
        <f>SOLID!BV16</f>
        <v>0</v>
      </c>
      <c r="BS47" s="55">
        <f>SOLID!BW16</f>
        <v>0</v>
      </c>
      <c r="BT47" s="55">
        <f>SOLID!BX16</f>
        <v>0</v>
      </c>
    </row>
    <row r="48" spans="1:72" ht="21.75" outlineLevel="1" thickBot="1" x14ac:dyDescent="0.4">
      <c r="A48" s="35" t="str">
        <f>SOLID!E17</f>
        <v>H (Ar)</v>
      </c>
      <c r="B48" s="16">
        <f>SOLID!F17</f>
        <v>-18.72</v>
      </c>
      <c r="C48" s="16">
        <f>SOLID!G17</f>
        <v>-18.71</v>
      </c>
      <c r="D48" s="16">
        <f>SOLID!H17</f>
        <v>-18.71</v>
      </c>
      <c r="E48" s="16">
        <f>SOLID!I17</f>
        <v>-18.71</v>
      </c>
      <c r="F48" s="14">
        <f>SOLID!J17</f>
        <v>-18.73</v>
      </c>
      <c r="G48" s="14">
        <f>SOLID!K17</f>
        <v>-18.739999999999998</v>
      </c>
      <c r="H48" s="14">
        <f>SOLID!L17</f>
        <v>-18.760000000000002</v>
      </c>
      <c r="I48" s="14">
        <f>SOLID!M17</f>
        <v>-18.79</v>
      </c>
      <c r="J48" s="14">
        <f>SOLID!N17</f>
        <v>-18.809999999999999</v>
      </c>
      <c r="K48" s="14">
        <f>SOLID!O17</f>
        <v>-18.93</v>
      </c>
      <c r="L48" s="14">
        <f>SOLID!P17</f>
        <v>-18.97</v>
      </c>
      <c r="M48" s="14">
        <f>SOLID!Q17</f>
        <v>-19</v>
      </c>
      <c r="N48" s="14">
        <f>SOLID!R17</f>
        <v>-19.03</v>
      </c>
      <c r="O48" s="14">
        <f>SOLID!S17</f>
        <v>-19.07</v>
      </c>
      <c r="P48" s="14">
        <f>SOLID!T17</f>
        <v>-19.2</v>
      </c>
      <c r="Q48" s="14">
        <f>SOLID!U17</f>
        <v>-19.34</v>
      </c>
      <c r="R48" s="14">
        <f>SOLID!V17</f>
        <v>-19.48</v>
      </c>
      <c r="S48" s="14">
        <f>SOLID!W17</f>
        <v>-19.510000000000002</v>
      </c>
      <c r="T48" s="14">
        <f>SOLID!X17</f>
        <v>-19.489999999999998</v>
      </c>
      <c r="U48" s="14">
        <f>SOLID!Y17</f>
        <v>-19.5</v>
      </c>
      <c r="V48" s="14">
        <f>SOLID!Z17</f>
        <v>-19.52</v>
      </c>
      <c r="W48" s="14">
        <f>SOLID!AA17</f>
        <v>-19.55</v>
      </c>
      <c r="X48" s="14">
        <f>SOLID!AB17</f>
        <v>-19.579999999999998</v>
      </c>
      <c r="Y48" s="14">
        <f>SOLID!AC17</f>
        <v>-19.61</v>
      </c>
      <c r="Z48" s="14">
        <f>SOLID!AD17</f>
        <v>-19.64</v>
      </c>
      <c r="AA48" s="14">
        <f>SOLID!AE17</f>
        <v>-19.760000000000002</v>
      </c>
      <c r="AB48" s="14">
        <f>SOLID!AF17</f>
        <v>-19.88</v>
      </c>
      <c r="AC48" s="14">
        <f>SOLID!AG17</f>
        <v>0</v>
      </c>
      <c r="AD48" s="14">
        <f>SOLID!AH17</f>
        <v>0</v>
      </c>
      <c r="AE48" s="14">
        <f>SOLID!AI17</f>
        <v>0</v>
      </c>
      <c r="AF48" s="14">
        <f>SOLID!AJ17</f>
        <v>0</v>
      </c>
      <c r="AG48" s="14">
        <f>SOLID!AK17</f>
        <v>0</v>
      </c>
      <c r="AH48" s="14">
        <f>SOLID!AL17</f>
        <v>0</v>
      </c>
      <c r="AI48" s="55">
        <f>SOLID!AM17</f>
        <v>0</v>
      </c>
      <c r="AJ48" s="55">
        <f>SOLID!AN17</f>
        <v>0</v>
      </c>
      <c r="AK48" s="55">
        <f>SOLID!AO17</f>
        <v>0</v>
      </c>
      <c r="AL48" s="55">
        <f>SOLID!AP17</f>
        <v>0</v>
      </c>
      <c r="AM48" s="55">
        <f>SOLID!AQ17</f>
        <v>0</v>
      </c>
      <c r="AN48" s="55">
        <f>SOLID!AR17</f>
        <v>0</v>
      </c>
      <c r="AO48" s="55">
        <f>SOLID!AS17</f>
        <v>0</v>
      </c>
      <c r="AP48" s="55">
        <f>SOLID!AT17</f>
        <v>0</v>
      </c>
      <c r="AQ48" s="55">
        <f>SOLID!AU17</f>
        <v>0</v>
      </c>
      <c r="AR48" s="55">
        <f>SOLID!AV17</f>
        <v>0</v>
      </c>
      <c r="AS48" s="55">
        <f>SOLID!AW17</f>
        <v>0</v>
      </c>
      <c r="AT48" s="55">
        <f>SOLID!AX17</f>
        <v>0</v>
      </c>
      <c r="AU48" s="55">
        <f>SOLID!AY17</f>
        <v>0</v>
      </c>
      <c r="AV48" s="55">
        <f>SOLID!AZ17</f>
        <v>0</v>
      </c>
      <c r="AW48" s="55">
        <f>SOLID!BA17</f>
        <v>0</v>
      </c>
      <c r="AX48" s="55">
        <f>SOLID!BB17</f>
        <v>0</v>
      </c>
      <c r="AY48" s="55">
        <f>SOLID!BC17</f>
        <v>0</v>
      </c>
      <c r="AZ48" s="55">
        <f>SOLID!BD17</f>
        <v>0</v>
      </c>
      <c r="BA48" s="55">
        <f>SOLID!BE17</f>
        <v>0</v>
      </c>
      <c r="BB48" s="55">
        <f>SOLID!BF17</f>
        <v>0</v>
      </c>
      <c r="BC48" s="55">
        <f>SOLID!BG17</f>
        <v>0</v>
      </c>
      <c r="BD48" s="55">
        <f>SOLID!BH17</f>
        <v>0</v>
      </c>
      <c r="BE48" s="55">
        <f>SOLID!BI17</f>
        <v>0</v>
      </c>
      <c r="BF48" s="55">
        <f>SOLID!BJ17</f>
        <v>0</v>
      </c>
      <c r="BG48" s="55">
        <f>SOLID!BK17</f>
        <v>0</v>
      </c>
      <c r="BH48" s="55">
        <f>SOLID!BL17</f>
        <v>0</v>
      </c>
      <c r="BI48" s="55">
        <f>SOLID!BM17</f>
        <v>0</v>
      </c>
      <c r="BJ48" s="55">
        <f>SOLID!BN17</f>
        <v>0</v>
      </c>
      <c r="BK48" s="55">
        <f>SOLID!BO17</f>
        <v>0</v>
      </c>
      <c r="BL48" s="55">
        <f>SOLID!BP17</f>
        <v>0</v>
      </c>
      <c r="BM48" s="55">
        <f>SOLID!BQ17</f>
        <v>0</v>
      </c>
      <c r="BN48" s="55">
        <f>SOLID!BR17</f>
        <v>0</v>
      </c>
      <c r="BO48" s="55">
        <f>SOLID!BS17</f>
        <v>0</v>
      </c>
      <c r="BP48" s="55">
        <f>SOLID!BT17</f>
        <v>0</v>
      </c>
      <c r="BQ48" s="55">
        <f>SOLID!BU17</f>
        <v>0</v>
      </c>
      <c r="BR48" s="55">
        <f>SOLID!BV17</f>
        <v>0</v>
      </c>
      <c r="BS48" s="55">
        <f>SOLID!BW17</f>
        <v>0</v>
      </c>
      <c r="BT48" s="55">
        <f>SOLID!BX17</f>
        <v>0</v>
      </c>
    </row>
    <row r="49" spans="1:72" ht="21.75" outlineLevel="1" thickBot="1" x14ac:dyDescent="0.4">
      <c r="A49" s="35" t="str">
        <f>SOLID!E18</f>
        <v>H (Ga)</v>
      </c>
      <c r="B49" s="16">
        <f>SOLID!F18</f>
        <v>-66.760000000000005</v>
      </c>
      <c r="C49" s="16">
        <f>SOLID!G18</f>
        <v>-63.28</v>
      </c>
      <c r="D49" s="16">
        <f>SOLID!H18</f>
        <v>-60.18</v>
      </c>
      <c r="E49" s="16">
        <f>SOLID!I18</f>
        <v>-57.4</v>
      </c>
      <c r="F49" s="14">
        <f>SOLID!J18</f>
        <v>-54.91</v>
      </c>
      <c r="G49" s="14">
        <f>SOLID!K18</f>
        <v>-51.53</v>
      </c>
      <c r="H49" s="14">
        <f>SOLID!L18</f>
        <v>-48.17</v>
      </c>
      <c r="I49" s="14">
        <f>SOLID!M18</f>
        <v>-45.06</v>
      </c>
      <c r="J49" s="14">
        <f>SOLID!N18</f>
        <v>-42.19</v>
      </c>
      <c r="K49" s="14">
        <f>SOLID!O18</f>
        <v>-32.53</v>
      </c>
      <c r="L49" s="14">
        <f>SOLID!P18</f>
        <v>-30.48</v>
      </c>
      <c r="M49" s="14">
        <f>SOLID!Q18</f>
        <v>-28.55</v>
      </c>
      <c r="N49" s="14">
        <f>SOLID!R18</f>
        <v>-26.74</v>
      </c>
      <c r="O49" s="14">
        <f>SOLID!S18</f>
        <v>-25.02</v>
      </c>
      <c r="P49" s="14">
        <f>SOLID!T18</f>
        <v>-18.96</v>
      </c>
      <c r="Q49" s="14">
        <f>SOLID!U18</f>
        <v>-13.95</v>
      </c>
      <c r="R49" s="14">
        <f>SOLID!V18</f>
        <v>-9.7059999999999995</v>
      </c>
      <c r="S49" s="14">
        <f>SOLID!W18</f>
        <v>-8.7420000000000009</v>
      </c>
      <c r="T49" s="14">
        <f>SOLID!X18</f>
        <v>-8.2560000000000002</v>
      </c>
      <c r="U49" s="14">
        <f>SOLID!Y18</f>
        <v>-7.8470000000000004</v>
      </c>
      <c r="V49" s="14">
        <f>SOLID!Z18</f>
        <v>-7.6349999999999998</v>
      </c>
      <c r="W49" s="14">
        <f>SOLID!AA18</f>
        <v>-7.7149999999999999</v>
      </c>
      <c r="X49" s="14">
        <f>SOLID!AB18</f>
        <v>-7.7960000000000003</v>
      </c>
      <c r="Y49" s="14">
        <f>SOLID!AC18</f>
        <v>-7.8789999999999996</v>
      </c>
      <c r="Z49" s="14">
        <f>SOLID!AD18</f>
        <v>-7.9630000000000001</v>
      </c>
      <c r="AA49" s="14">
        <f>SOLID!AE18</f>
        <v>-8.3190000000000008</v>
      </c>
      <c r="AB49" s="14">
        <f>SOLID!AF18</f>
        <v>-8.7249999999999996</v>
      </c>
      <c r="AC49" s="14">
        <f>SOLID!AG18</f>
        <v>0</v>
      </c>
      <c r="AD49" s="14">
        <f>SOLID!AH18</f>
        <v>0</v>
      </c>
      <c r="AE49" s="14">
        <f>SOLID!AI18</f>
        <v>0</v>
      </c>
      <c r="AF49" s="14">
        <f>SOLID!AJ18</f>
        <v>0</v>
      </c>
      <c r="AG49" s="14">
        <f>SOLID!AK18</f>
        <v>0</v>
      </c>
      <c r="AH49" s="14">
        <f>SOLID!AL18</f>
        <v>0</v>
      </c>
      <c r="AI49" s="55">
        <f>SOLID!AM18</f>
        <v>0</v>
      </c>
      <c r="AJ49" s="55">
        <f>SOLID!AN18</f>
        <v>0</v>
      </c>
      <c r="AK49" s="55">
        <f>SOLID!AO18</f>
        <v>0</v>
      </c>
      <c r="AL49" s="55">
        <f>SOLID!AP18</f>
        <v>0</v>
      </c>
      <c r="AM49" s="55">
        <f>SOLID!AQ18</f>
        <v>0</v>
      </c>
      <c r="AN49" s="55">
        <f>SOLID!AR18</f>
        <v>0</v>
      </c>
      <c r="AO49" s="55">
        <f>SOLID!AS18</f>
        <v>0</v>
      </c>
      <c r="AP49" s="55">
        <f>SOLID!AT18</f>
        <v>0</v>
      </c>
      <c r="AQ49" s="55">
        <f>SOLID!AU18</f>
        <v>0</v>
      </c>
      <c r="AR49" s="55">
        <f>SOLID!AV18</f>
        <v>0</v>
      </c>
      <c r="AS49" s="55">
        <f>SOLID!AW18</f>
        <v>0</v>
      </c>
      <c r="AT49" s="55">
        <f>SOLID!AX18</f>
        <v>0</v>
      </c>
      <c r="AU49" s="55">
        <f>SOLID!AY18</f>
        <v>0</v>
      </c>
      <c r="AV49" s="55">
        <f>SOLID!AZ18</f>
        <v>0</v>
      </c>
      <c r="AW49" s="55">
        <f>SOLID!BA18</f>
        <v>0</v>
      </c>
      <c r="AX49" s="55">
        <f>SOLID!BB18</f>
        <v>0</v>
      </c>
      <c r="AY49" s="55">
        <f>SOLID!BC18</f>
        <v>0</v>
      </c>
      <c r="AZ49" s="55">
        <f>SOLID!BD18</f>
        <v>0</v>
      </c>
      <c r="BA49" s="55">
        <f>SOLID!BE18</f>
        <v>0</v>
      </c>
      <c r="BB49" s="55">
        <f>SOLID!BF18</f>
        <v>0</v>
      </c>
      <c r="BC49" s="55">
        <f>SOLID!BG18</f>
        <v>0</v>
      </c>
      <c r="BD49" s="55">
        <f>SOLID!BH18</f>
        <v>0</v>
      </c>
      <c r="BE49" s="55">
        <f>SOLID!BI18</f>
        <v>0</v>
      </c>
      <c r="BF49" s="55">
        <f>SOLID!BJ18</f>
        <v>0</v>
      </c>
      <c r="BG49" s="55">
        <f>SOLID!BK18</f>
        <v>0</v>
      </c>
      <c r="BH49" s="55">
        <f>SOLID!BL18</f>
        <v>0</v>
      </c>
      <c r="BI49" s="55">
        <f>SOLID!BM18</f>
        <v>0</v>
      </c>
      <c r="BJ49" s="55">
        <f>SOLID!BN18</f>
        <v>0</v>
      </c>
      <c r="BK49" s="55">
        <f>SOLID!BO18</f>
        <v>0</v>
      </c>
      <c r="BL49" s="55">
        <f>SOLID!BP18</f>
        <v>0</v>
      </c>
      <c r="BM49" s="55">
        <f>SOLID!BQ18</f>
        <v>0</v>
      </c>
      <c r="BN49" s="55">
        <f>SOLID!BR18</f>
        <v>0</v>
      </c>
      <c r="BO49" s="55">
        <f>SOLID!BS18</f>
        <v>0</v>
      </c>
      <c r="BP49" s="55">
        <f>SOLID!BT18</f>
        <v>0</v>
      </c>
      <c r="BQ49" s="55">
        <f>SOLID!BU18</f>
        <v>0</v>
      </c>
      <c r="BR49" s="55">
        <f>SOLID!BV18</f>
        <v>0</v>
      </c>
      <c r="BS49" s="55">
        <f>SOLID!BW18</f>
        <v>0</v>
      </c>
      <c r="BT49" s="55">
        <f>SOLID!BX18</f>
        <v>0</v>
      </c>
    </row>
    <row r="50" spans="1:72" ht="21.75" outlineLevel="1" thickBot="1" x14ac:dyDescent="0.4">
      <c r="A50" s="35" t="str">
        <f>SOLID!E19</f>
        <v>H (Ge)</v>
      </c>
      <c r="B50" s="16">
        <f>SOLID!F19</f>
        <v>-16.29</v>
      </c>
      <c r="C50" s="16">
        <f>SOLID!G19</f>
        <v>-15.65</v>
      </c>
      <c r="D50" s="16">
        <f>SOLID!H19</f>
        <v>-15.09</v>
      </c>
      <c r="E50" s="16">
        <f>SOLID!I19</f>
        <v>-14.59</v>
      </c>
      <c r="F50" s="14">
        <f>SOLID!J19</f>
        <v>-14.16</v>
      </c>
      <c r="G50" s="14">
        <f>SOLID!K19</f>
        <v>-13.03</v>
      </c>
      <c r="H50" s="14">
        <f>SOLID!L19</f>
        <v>-11.8</v>
      </c>
      <c r="I50" s="14">
        <f>SOLID!M19</f>
        <v>-10.67</v>
      </c>
      <c r="J50" s="14">
        <f>SOLID!N19</f>
        <v>-9.6150000000000002</v>
      </c>
      <c r="K50" s="14">
        <f>SOLID!O19</f>
        <v>-6.04</v>
      </c>
      <c r="L50" s="14">
        <f>SOLID!P19</f>
        <v>-5.2759999999999998</v>
      </c>
      <c r="M50" s="14">
        <f>SOLID!Q19</f>
        <v>-4.5529999999999999</v>
      </c>
      <c r="N50" s="14">
        <f>SOLID!R19</f>
        <v>-4.1150000000000002</v>
      </c>
      <c r="O50" s="14">
        <f>SOLID!S19</f>
        <v>-4.1550000000000002</v>
      </c>
      <c r="P50" s="14">
        <f>SOLID!T19</f>
        <v>-4.3170000000000002</v>
      </c>
      <c r="Q50" s="14">
        <f>SOLID!U19</f>
        <v>-4.4809999999999999</v>
      </c>
      <c r="R50" s="14">
        <f>SOLID!V19</f>
        <v>-4.6429999999999998</v>
      </c>
      <c r="S50" s="14">
        <f>SOLID!W19</f>
        <v>-4.6829999999999998</v>
      </c>
      <c r="T50" s="14">
        <f>SOLID!X19</f>
        <v>-4.7220000000000004</v>
      </c>
      <c r="U50" s="14">
        <f>SOLID!Y19</f>
        <v>-4.7619999999999996</v>
      </c>
      <c r="V50" s="14">
        <f>SOLID!Z19</f>
        <v>-4.8010000000000002</v>
      </c>
      <c r="W50" s="14">
        <f>SOLID!AA19</f>
        <v>-4.84</v>
      </c>
      <c r="X50" s="14">
        <f>SOLID!AB19</f>
        <v>-4.8780000000000001</v>
      </c>
      <c r="Y50" s="14">
        <f>SOLID!AC19</f>
        <v>-4.9169999999999998</v>
      </c>
      <c r="Z50" s="14">
        <f>SOLID!AD19</f>
        <v>-4.9550000000000001</v>
      </c>
      <c r="AA50" s="14">
        <f>SOLID!AE19</f>
        <v>-5.1040000000000001</v>
      </c>
      <c r="AB50" s="14">
        <f>SOLID!AF19</f>
        <v>-5.2489999999999997</v>
      </c>
      <c r="AC50" s="14">
        <f>SOLID!AG19</f>
        <v>0</v>
      </c>
      <c r="AD50" s="14">
        <f>SOLID!AH19</f>
        <v>0</v>
      </c>
      <c r="AE50" s="14">
        <f>SOLID!AI19</f>
        <v>0</v>
      </c>
      <c r="AF50" s="14">
        <f>SOLID!AJ19</f>
        <v>0</v>
      </c>
      <c r="AG50" s="14">
        <f>SOLID!AK19</f>
        <v>0</v>
      </c>
      <c r="AH50" s="14">
        <f>SOLID!AL19</f>
        <v>0</v>
      </c>
      <c r="AI50" s="55">
        <f>SOLID!AM19</f>
        <v>0</v>
      </c>
      <c r="AJ50" s="55">
        <f>SOLID!AN19</f>
        <v>0</v>
      </c>
      <c r="AK50" s="55">
        <f>SOLID!AO19</f>
        <v>0</v>
      </c>
      <c r="AL50" s="55">
        <f>SOLID!AP19</f>
        <v>0</v>
      </c>
      <c r="AM50" s="55">
        <f>SOLID!AQ19</f>
        <v>0</v>
      </c>
      <c r="AN50" s="55">
        <f>SOLID!AR19</f>
        <v>0</v>
      </c>
      <c r="AO50" s="55">
        <f>SOLID!AS19</f>
        <v>0</v>
      </c>
      <c r="AP50" s="55">
        <f>SOLID!AT19</f>
        <v>0</v>
      </c>
      <c r="AQ50" s="55">
        <f>SOLID!AU19</f>
        <v>0</v>
      </c>
      <c r="AR50" s="55">
        <f>SOLID!AV19</f>
        <v>0</v>
      </c>
      <c r="AS50" s="55">
        <f>SOLID!AW19</f>
        <v>0</v>
      </c>
      <c r="AT50" s="55">
        <f>SOLID!AX19</f>
        <v>0</v>
      </c>
      <c r="AU50" s="55">
        <f>SOLID!AY19</f>
        <v>0</v>
      </c>
      <c r="AV50" s="55">
        <f>SOLID!AZ19</f>
        <v>0</v>
      </c>
      <c r="AW50" s="55">
        <f>SOLID!BA19</f>
        <v>0</v>
      </c>
      <c r="AX50" s="55">
        <f>SOLID!BB19</f>
        <v>0</v>
      </c>
      <c r="AY50" s="55">
        <f>SOLID!BC19</f>
        <v>0</v>
      </c>
      <c r="AZ50" s="55">
        <f>SOLID!BD19</f>
        <v>0</v>
      </c>
      <c r="BA50" s="55">
        <f>SOLID!BE19</f>
        <v>0</v>
      </c>
      <c r="BB50" s="55">
        <f>SOLID!BF19</f>
        <v>0</v>
      </c>
      <c r="BC50" s="55">
        <f>SOLID!BG19</f>
        <v>0</v>
      </c>
      <c r="BD50" s="55">
        <f>SOLID!BH19</f>
        <v>0</v>
      </c>
      <c r="BE50" s="55">
        <f>SOLID!BI19</f>
        <v>0</v>
      </c>
      <c r="BF50" s="55">
        <f>SOLID!BJ19</f>
        <v>0</v>
      </c>
      <c r="BG50" s="55">
        <f>SOLID!BK19</f>
        <v>0</v>
      </c>
      <c r="BH50" s="55">
        <f>SOLID!BL19</f>
        <v>0</v>
      </c>
      <c r="BI50" s="55">
        <f>SOLID!BM19</f>
        <v>0</v>
      </c>
      <c r="BJ50" s="55">
        <f>SOLID!BN19</f>
        <v>0</v>
      </c>
      <c r="BK50" s="55">
        <f>SOLID!BO19</f>
        <v>0</v>
      </c>
      <c r="BL50" s="55">
        <f>SOLID!BP19</f>
        <v>0</v>
      </c>
      <c r="BM50" s="55">
        <f>SOLID!BQ19</f>
        <v>0</v>
      </c>
      <c r="BN50" s="55">
        <f>SOLID!BR19</f>
        <v>0</v>
      </c>
      <c r="BO50" s="55">
        <f>SOLID!BS19</f>
        <v>0</v>
      </c>
      <c r="BP50" s="55">
        <f>SOLID!BT19</f>
        <v>0</v>
      </c>
      <c r="BQ50" s="55">
        <f>SOLID!BU19</f>
        <v>0</v>
      </c>
      <c r="BR50" s="55">
        <f>SOLID!BV19</f>
        <v>0</v>
      </c>
      <c r="BS50" s="55">
        <f>SOLID!BW19</f>
        <v>0</v>
      </c>
      <c r="BT50" s="55">
        <f>SOLID!BX19</f>
        <v>0</v>
      </c>
    </row>
    <row r="51" spans="1:72" ht="21.75" outlineLevel="1" thickBot="1" x14ac:dyDescent="0.4">
      <c r="A51" s="35" t="str">
        <f>SOLID!E20</f>
        <v>H (Se)</v>
      </c>
      <c r="B51" s="16">
        <f>SOLID!F20</f>
        <v>-23.52</v>
      </c>
      <c r="C51" s="16">
        <f>SOLID!G20</f>
        <v>-22.41</v>
      </c>
      <c r="D51" s="16">
        <f>SOLID!H20</f>
        <v>-21.42</v>
      </c>
      <c r="E51" s="16">
        <f>SOLID!I20</f>
        <v>-20.54</v>
      </c>
      <c r="F51" s="14">
        <f>SOLID!J20</f>
        <v>-19.760000000000002</v>
      </c>
      <c r="G51" s="14">
        <f>SOLID!K20</f>
        <v>-19.79</v>
      </c>
      <c r="H51" s="14">
        <f>SOLID!L20</f>
        <v>-20.03</v>
      </c>
      <c r="I51" s="14">
        <f>SOLID!M20</f>
        <v>-20.28</v>
      </c>
      <c r="J51" s="14">
        <f>SOLID!N20</f>
        <v>-20.52</v>
      </c>
      <c r="K51" s="14">
        <f>SOLID!O20</f>
        <v>-21.52</v>
      </c>
      <c r="L51" s="14">
        <f>SOLID!P20</f>
        <v>-21.77</v>
      </c>
      <c r="M51" s="14">
        <f>SOLID!Q20</f>
        <v>-22.02</v>
      </c>
      <c r="N51" s="14">
        <f>SOLID!R20</f>
        <v>-22.27</v>
      </c>
      <c r="O51" s="14">
        <f>SOLID!S20</f>
        <v>-22.51</v>
      </c>
      <c r="P51" s="14">
        <f>SOLID!T20</f>
        <v>-23.48</v>
      </c>
      <c r="Q51" s="14">
        <f>SOLID!U20</f>
        <v>-24.41</v>
      </c>
      <c r="R51" s="14">
        <f>SOLID!V20</f>
        <v>-25.31</v>
      </c>
      <c r="S51" s="14">
        <f>SOLID!W20</f>
        <v>-25.53</v>
      </c>
      <c r="T51" s="14">
        <f>SOLID!X20</f>
        <v>-25.75</v>
      </c>
      <c r="U51" s="14">
        <f>SOLID!Y20</f>
        <v>-25.96</v>
      </c>
      <c r="V51" s="14">
        <f>SOLID!Z20</f>
        <v>-26.18</v>
      </c>
      <c r="W51" s="14">
        <f>SOLID!AA20</f>
        <v>-26.39</v>
      </c>
      <c r="X51" s="14">
        <f>SOLID!AB20</f>
        <v>-26.6</v>
      </c>
      <c r="Y51" s="14">
        <f>SOLID!AC20</f>
        <v>-26.81</v>
      </c>
      <c r="Z51" s="14">
        <f>SOLID!AD20</f>
        <v>-27.02</v>
      </c>
      <c r="AA51" s="14">
        <f>SOLID!AE20</f>
        <v>-27.83</v>
      </c>
      <c r="AB51" s="14">
        <f>SOLID!AF20</f>
        <v>-28.62</v>
      </c>
      <c r="AC51" s="14">
        <f>SOLID!AG20</f>
        <v>0</v>
      </c>
      <c r="AD51" s="14">
        <f>SOLID!AH20</f>
        <v>0</v>
      </c>
      <c r="AE51" s="14">
        <f>SOLID!AI20</f>
        <v>0</v>
      </c>
      <c r="AF51" s="14">
        <f>SOLID!AJ20</f>
        <v>0</v>
      </c>
      <c r="AG51" s="14">
        <f>SOLID!AK20</f>
        <v>0</v>
      </c>
      <c r="AH51" s="14">
        <f>SOLID!AL20</f>
        <v>0</v>
      </c>
      <c r="AI51" s="55">
        <f>SOLID!AM20</f>
        <v>0</v>
      </c>
      <c r="AJ51" s="55">
        <f>SOLID!AN20</f>
        <v>0</v>
      </c>
      <c r="AK51" s="55">
        <f>SOLID!AO20</f>
        <v>0</v>
      </c>
      <c r="AL51" s="55">
        <f>SOLID!AP20</f>
        <v>0</v>
      </c>
      <c r="AM51" s="55">
        <f>SOLID!AQ20</f>
        <v>0</v>
      </c>
      <c r="AN51" s="55">
        <f>SOLID!AR20</f>
        <v>0</v>
      </c>
      <c r="AO51" s="55">
        <f>SOLID!AS20</f>
        <v>0</v>
      </c>
      <c r="AP51" s="55">
        <f>SOLID!AT20</f>
        <v>0</v>
      </c>
      <c r="AQ51" s="55">
        <f>SOLID!AU20</f>
        <v>0</v>
      </c>
      <c r="AR51" s="55">
        <f>SOLID!AV20</f>
        <v>0</v>
      </c>
      <c r="AS51" s="55">
        <f>SOLID!AW20</f>
        <v>0</v>
      </c>
      <c r="AT51" s="55">
        <f>SOLID!AX20</f>
        <v>0</v>
      </c>
      <c r="AU51" s="55">
        <f>SOLID!AY20</f>
        <v>0</v>
      </c>
      <c r="AV51" s="55">
        <f>SOLID!AZ20</f>
        <v>0</v>
      </c>
      <c r="AW51" s="55">
        <f>SOLID!BA20</f>
        <v>0</v>
      </c>
      <c r="AX51" s="55">
        <f>SOLID!BB20</f>
        <v>0</v>
      </c>
      <c r="AY51" s="55">
        <f>SOLID!BC20</f>
        <v>0</v>
      </c>
      <c r="AZ51" s="55">
        <f>SOLID!BD20</f>
        <v>0</v>
      </c>
      <c r="BA51" s="55">
        <f>SOLID!BE20</f>
        <v>0</v>
      </c>
      <c r="BB51" s="55">
        <f>SOLID!BF20</f>
        <v>0</v>
      </c>
      <c r="BC51" s="55">
        <f>SOLID!BG20</f>
        <v>0</v>
      </c>
      <c r="BD51" s="55">
        <f>SOLID!BH20</f>
        <v>0</v>
      </c>
      <c r="BE51" s="55">
        <f>SOLID!BI20</f>
        <v>0</v>
      </c>
      <c r="BF51" s="55">
        <f>SOLID!BJ20</f>
        <v>0</v>
      </c>
      <c r="BG51" s="55">
        <f>SOLID!BK20</f>
        <v>0</v>
      </c>
      <c r="BH51" s="55">
        <f>SOLID!BL20</f>
        <v>0</v>
      </c>
      <c r="BI51" s="55">
        <f>SOLID!BM20</f>
        <v>0</v>
      </c>
      <c r="BJ51" s="55">
        <f>SOLID!BN20</f>
        <v>0</v>
      </c>
      <c r="BK51" s="55">
        <f>SOLID!BO20</f>
        <v>0</v>
      </c>
      <c r="BL51" s="55">
        <f>SOLID!BP20</f>
        <v>0</v>
      </c>
      <c r="BM51" s="55">
        <f>SOLID!BQ20</f>
        <v>0</v>
      </c>
      <c r="BN51" s="55">
        <f>SOLID!BR20</f>
        <v>0</v>
      </c>
      <c r="BO51" s="55">
        <f>SOLID!BS20</f>
        <v>0</v>
      </c>
      <c r="BP51" s="55">
        <f>SOLID!BT20</f>
        <v>0</v>
      </c>
      <c r="BQ51" s="55">
        <f>SOLID!BU20</f>
        <v>0</v>
      </c>
      <c r="BR51" s="55">
        <f>SOLID!BV20</f>
        <v>0</v>
      </c>
      <c r="BS51" s="55">
        <f>SOLID!BW20</f>
        <v>0</v>
      </c>
      <c r="BT51" s="55">
        <f>SOLID!BX20</f>
        <v>0</v>
      </c>
    </row>
    <row r="52" spans="1:72" ht="21.75" outlineLevel="1" thickBot="1" x14ac:dyDescent="0.4">
      <c r="A52" s="36">
        <f>SOLID!E21</f>
        <v>0</v>
      </c>
      <c r="B52" s="16">
        <f>SOLID!F21</f>
        <v>0</v>
      </c>
      <c r="C52" s="16">
        <f>SOLID!G21</f>
        <v>0</v>
      </c>
      <c r="D52" s="16">
        <f>SOLID!H21</f>
        <v>0</v>
      </c>
      <c r="E52" s="16">
        <f>SOLID!I21</f>
        <v>0</v>
      </c>
      <c r="F52" s="14">
        <f>SOLID!J21</f>
        <v>0</v>
      </c>
      <c r="G52" s="14">
        <f>SOLID!K21</f>
        <v>0</v>
      </c>
      <c r="H52" s="14">
        <f>SOLID!L21</f>
        <v>0</v>
      </c>
      <c r="I52" s="14">
        <f>SOLID!M21</f>
        <v>0</v>
      </c>
      <c r="J52" s="14">
        <f>SOLID!N21</f>
        <v>0</v>
      </c>
      <c r="K52" s="14">
        <f>SOLID!O21</f>
        <v>0</v>
      </c>
      <c r="L52" s="14">
        <f>SOLID!P21</f>
        <v>0</v>
      </c>
      <c r="M52" s="14">
        <f>SOLID!Q21</f>
        <v>0</v>
      </c>
      <c r="N52" s="14">
        <f>SOLID!R21</f>
        <v>0</v>
      </c>
      <c r="O52" s="14">
        <f>SOLID!S21</f>
        <v>0</v>
      </c>
      <c r="P52" s="14">
        <f>SOLID!T21</f>
        <v>0</v>
      </c>
      <c r="Q52" s="14">
        <f>SOLID!U21</f>
        <v>0</v>
      </c>
      <c r="R52" s="14">
        <f>SOLID!V21</f>
        <v>0</v>
      </c>
      <c r="S52" s="14">
        <f>SOLID!W21</f>
        <v>0</v>
      </c>
      <c r="T52" s="14">
        <f>SOLID!X21</f>
        <v>0</v>
      </c>
      <c r="U52" s="14">
        <f>SOLID!Y21</f>
        <v>0</v>
      </c>
      <c r="V52" s="14">
        <f>SOLID!Z21</f>
        <v>0</v>
      </c>
      <c r="W52" s="14">
        <f>SOLID!AA21</f>
        <v>0</v>
      </c>
      <c r="X52" s="14">
        <f>SOLID!AB21</f>
        <v>0</v>
      </c>
      <c r="Y52" s="14">
        <f>SOLID!AC21</f>
        <v>0</v>
      </c>
      <c r="Z52" s="14">
        <f>SOLID!AD21</f>
        <v>0</v>
      </c>
      <c r="AA52" s="14">
        <f>SOLID!AE21</f>
        <v>0</v>
      </c>
      <c r="AB52" s="14">
        <f>SOLID!AF21</f>
        <v>0</v>
      </c>
      <c r="AC52" s="14">
        <f>SOLID!AG21</f>
        <v>0</v>
      </c>
      <c r="AD52" s="14">
        <f>SOLID!AH21</f>
        <v>0</v>
      </c>
      <c r="AE52" s="14">
        <f>SOLID!AI21</f>
        <v>0</v>
      </c>
      <c r="AF52" s="14">
        <f>SOLID!AJ21</f>
        <v>0</v>
      </c>
      <c r="AG52" s="14">
        <f>SOLID!AK21</f>
        <v>0</v>
      </c>
      <c r="AH52" s="14">
        <f>SOLID!AL21</f>
        <v>0</v>
      </c>
      <c r="AI52" s="55">
        <f>SOLID!AM21</f>
        <v>0</v>
      </c>
      <c r="AJ52" s="55">
        <f>SOLID!AN21</f>
        <v>0</v>
      </c>
      <c r="AK52" s="55">
        <f>SOLID!AO21</f>
        <v>0</v>
      </c>
      <c r="AL52" s="55">
        <f>SOLID!AP21</f>
        <v>0</v>
      </c>
      <c r="AM52" s="55">
        <f>SOLID!AQ21</f>
        <v>0</v>
      </c>
      <c r="AN52" s="55">
        <f>SOLID!AR21</f>
        <v>0</v>
      </c>
      <c r="AO52" s="55">
        <f>SOLID!AS21</f>
        <v>0</v>
      </c>
      <c r="AP52" s="55">
        <f>SOLID!AT21</f>
        <v>0</v>
      </c>
      <c r="AQ52" s="55">
        <f>SOLID!AU21</f>
        <v>0</v>
      </c>
      <c r="AR52" s="55">
        <f>SOLID!AV21</f>
        <v>0</v>
      </c>
      <c r="AS52" s="55">
        <f>SOLID!AW21</f>
        <v>0</v>
      </c>
      <c r="AT52" s="55">
        <f>SOLID!AX21</f>
        <v>0</v>
      </c>
      <c r="AU52" s="55">
        <f>SOLID!AY21</f>
        <v>0</v>
      </c>
      <c r="AV52" s="55">
        <f>SOLID!AZ21</f>
        <v>0</v>
      </c>
      <c r="AW52" s="55">
        <f>SOLID!BA21</f>
        <v>0</v>
      </c>
      <c r="AX52" s="55">
        <f>SOLID!BB21</f>
        <v>0</v>
      </c>
      <c r="AY52" s="55">
        <f>SOLID!BC21</f>
        <v>0</v>
      </c>
      <c r="AZ52" s="55">
        <f>SOLID!BD21</f>
        <v>0</v>
      </c>
      <c r="BA52" s="55">
        <f>SOLID!BE21</f>
        <v>0</v>
      </c>
      <c r="BB52" s="55">
        <f>SOLID!BF21</f>
        <v>0</v>
      </c>
      <c r="BC52" s="55">
        <f>SOLID!BG21</f>
        <v>0</v>
      </c>
      <c r="BD52" s="55">
        <f>SOLID!BH21</f>
        <v>0</v>
      </c>
      <c r="BE52" s="55">
        <f>SOLID!BI21</f>
        <v>0</v>
      </c>
      <c r="BF52" s="55">
        <f>SOLID!BJ21</f>
        <v>0</v>
      </c>
      <c r="BG52" s="55">
        <f>SOLID!BK21</f>
        <v>0</v>
      </c>
      <c r="BH52" s="55">
        <f>SOLID!BL21</f>
        <v>0</v>
      </c>
      <c r="BI52" s="55">
        <f>SOLID!BM21</f>
        <v>0</v>
      </c>
      <c r="BJ52" s="55">
        <f>SOLID!BN21</f>
        <v>0</v>
      </c>
      <c r="BK52" s="55">
        <f>SOLID!BO21</f>
        <v>0</v>
      </c>
      <c r="BL52" s="55">
        <f>SOLID!BP21</f>
        <v>0</v>
      </c>
      <c r="BM52" s="55">
        <f>SOLID!BQ21</f>
        <v>0</v>
      </c>
      <c r="BN52" s="55">
        <f>SOLID!BR21</f>
        <v>0</v>
      </c>
      <c r="BO52" s="55">
        <f>SOLID!BS21</f>
        <v>0</v>
      </c>
      <c r="BP52" s="55">
        <f>SOLID!BT21</f>
        <v>0</v>
      </c>
      <c r="BQ52" s="55">
        <f>SOLID!BU21</f>
        <v>0</v>
      </c>
      <c r="BR52" s="55">
        <f>SOLID!BV21</f>
        <v>0</v>
      </c>
      <c r="BS52" s="55">
        <f>SOLID!BW21</f>
        <v>0</v>
      </c>
      <c r="BT52" s="55">
        <f>SOLID!BX21</f>
        <v>0</v>
      </c>
    </row>
    <row r="53" spans="1:72" ht="21.75" outlineLevel="1" thickBot="1" x14ac:dyDescent="0.4">
      <c r="A53" s="36">
        <f>SOLID!E22</f>
        <v>0</v>
      </c>
      <c r="B53" s="16">
        <f>SOLID!F22</f>
        <v>0</v>
      </c>
      <c r="C53" s="16">
        <f>SOLID!G22</f>
        <v>0</v>
      </c>
      <c r="D53" s="16">
        <f>SOLID!H22</f>
        <v>0</v>
      </c>
      <c r="E53" s="16">
        <f>SOLID!I22</f>
        <v>0</v>
      </c>
      <c r="F53" s="14">
        <f>SOLID!J22</f>
        <v>0</v>
      </c>
      <c r="G53" s="14">
        <f>SOLID!K22</f>
        <v>0</v>
      </c>
      <c r="H53" s="14">
        <f>SOLID!L22</f>
        <v>0</v>
      </c>
      <c r="I53" s="14">
        <f>SOLID!M22</f>
        <v>0</v>
      </c>
      <c r="J53" s="14">
        <f>SOLID!N22</f>
        <v>0</v>
      </c>
      <c r="K53" s="14">
        <f>SOLID!O22</f>
        <v>0</v>
      </c>
      <c r="L53" s="14">
        <f>SOLID!P22</f>
        <v>0</v>
      </c>
      <c r="M53" s="14">
        <f>SOLID!Q22</f>
        <v>0</v>
      </c>
      <c r="N53" s="14">
        <f>SOLID!R22</f>
        <v>0</v>
      </c>
      <c r="O53" s="14">
        <f>SOLID!S22</f>
        <v>0</v>
      </c>
      <c r="P53" s="14">
        <f>SOLID!T22</f>
        <v>0</v>
      </c>
      <c r="Q53" s="14">
        <f>SOLID!U22</f>
        <v>0</v>
      </c>
      <c r="R53" s="14">
        <f>SOLID!V22</f>
        <v>0</v>
      </c>
      <c r="S53" s="14">
        <f>SOLID!W22</f>
        <v>0</v>
      </c>
      <c r="T53" s="14">
        <f>SOLID!X22</f>
        <v>0</v>
      </c>
      <c r="U53" s="14">
        <f>SOLID!Y22</f>
        <v>0</v>
      </c>
      <c r="V53" s="14">
        <f>SOLID!Z22</f>
        <v>0</v>
      </c>
      <c r="W53" s="14">
        <f>SOLID!AA22</f>
        <v>0</v>
      </c>
      <c r="X53" s="14">
        <f>SOLID!AB22</f>
        <v>0</v>
      </c>
      <c r="Y53" s="14">
        <f>SOLID!AC22</f>
        <v>0</v>
      </c>
      <c r="Z53" s="14">
        <f>SOLID!AD22</f>
        <v>0</v>
      </c>
      <c r="AA53" s="14">
        <f>SOLID!AE22</f>
        <v>0</v>
      </c>
      <c r="AB53" s="14">
        <f>SOLID!AF22</f>
        <v>0</v>
      </c>
      <c r="AC53" s="14">
        <f>SOLID!AG22</f>
        <v>0</v>
      </c>
      <c r="AD53" s="14">
        <f>SOLID!AH22</f>
        <v>0</v>
      </c>
      <c r="AE53" s="14">
        <f>SOLID!AI22</f>
        <v>0</v>
      </c>
      <c r="AF53" s="14">
        <f>SOLID!AJ22</f>
        <v>0</v>
      </c>
      <c r="AG53" s="14">
        <f>SOLID!AK22</f>
        <v>0</v>
      </c>
      <c r="AH53" s="14">
        <f>SOLID!AL22</f>
        <v>0</v>
      </c>
      <c r="AI53" s="55">
        <f>SOLID!AM22</f>
        <v>0</v>
      </c>
      <c r="AJ53" s="55">
        <f>SOLID!AN22</f>
        <v>0</v>
      </c>
      <c r="AK53" s="55">
        <f>SOLID!AO22</f>
        <v>0</v>
      </c>
      <c r="AL53" s="55">
        <f>SOLID!AP22</f>
        <v>0</v>
      </c>
      <c r="AM53" s="55">
        <f>SOLID!AQ22</f>
        <v>0</v>
      </c>
      <c r="AN53" s="55">
        <f>SOLID!AR22</f>
        <v>0</v>
      </c>
      <c r="AO53" s="55">
        <f>SOLID!AS22</f>
        <v>0</v>
      </c>
      <c r="AP53" s="55">
        <f>SOLID!AT22</f>
        <v>0</v>
      </c>
      <c r="AQ53" s="55">
        <f>SOLID!AU22</f>
        <v>0</v>
      </c>
      <c r="AR53" s="55">
        <f>SOLID!AV22</f>
        <v>0</v>
      </c>
      <c r="AS53" s="55">
        <f>SOLID!AW22</f>
        <v>0</v>
      </c>
      <c r="AT53" s="55">
        <f>SOLID!AX22</f>
        <v>0</v>
      </c>
      <c r="AU53" s="55">
        <f>SOLID!AY22</f>
        <v>0</v>
      </c>
      <c r="AV53" s="55">
        <f>SOLID!AZ22</f>
        <v>0</v>
      </c>
      <c r="AW53" s="55">
        <f>SOLID!BA22</f>
        <v>0</v>
      </c>
      <c r="AX53" s="55">
        <f>SOLID!BB22</f>
        <v>0</v>
      </c>
      <c r="AY53" s="55">
        <f>SOLID!BC22</f>
        <v>0</v>
      </c>
      <c r="AZ53" s="55">
        <f>SOLID!BD22</f>
        <v>0</v>
      </c>
      <c r="BA53" s="55">
        <f>SOLID!BE22</f>
        <v>0</v>
      </c>
      <c r="BB53" s="55">
        <f>SOLID!BF22</f>
        <v>0</v>
      </c>
      <c r="BC53" s="55">
        <f>SOLID!BG22</f>
        <v>0</v>
      </c>
      <c r="BD53" s="55">
        <f>SOLID!BH22</f>
        <v>0</v>
      </c>
      <c r="BE53" s="55">
        <f>SOLID!BI22</f>
        <v>0</v>
      </c>
      <c r="BF53" s="55">
        <f>SOLID!BJ22</f>
        <v>0</v>
      </c>
      <c r="BG53" s="55">
        <f>SOLID!BK22</f>
        <v>0</v>
      </c>
      <c r="BH53" s="55">
        <f>SOLID!BL22</f>
        <v>0</v>
      </c>
      <c r="BI53" s="55">
        <f>SOLID!BM22</f>
        <v>0</v>
      </c>
      <c r="BJ53" s="55">
        <f>SOLID!BN22</f>
        <v>0</v>
      </c>
      <c r="BK53" s="55">
        <f>SOLID!BO22</f>
        <v>0</v>
      </c>
      <c r="BL53" s="55">
        <f>SOLID!BP22</f>
        <v>0</v>
      </c>
      <c r="BM53" s="55">
        <f>SOLID!BQ22</f>
        <v>0</v>
      </c>
      <c r="BN53" s="55">
        <f>SOLID!BR22</f>
        <v>0</v>
      </c>
      <c r="BO53" s="55">
        <f>SOLID!BS22</f>
        <v>0</v>
      </c>
      <c r="BP53" s="55">
        <f>SOLID!BT22</f>
        <v>0</v>
      </c>
      <c r="BQ53" s="55">
        <f>SOLID!BU22</f>
        <v>0</v>
      </c>
      <c r="BR53" s="55">
        <f>SOLID!BV22</f>
        <v>0</v>
      </c>
      <c r="BS53" s="55">
        <f>SOLID!BW22</f>
        <v>0</v>
      </c>
      <c r="BT53" s="55">
        <f>SOLID!BX22</f>
        <v>0</v>
      </c>
    </row>
    <row r="54" spans="1:72" ht="21.75" outlineLevel="1" thickBot="1" x14ac:dyDescent="0.4">
      <c r="A54" s="36">
        <f>SOLID!E23</f>
        <v>0</v>
      </c>
      <c r="B54" s="16">
        <f>SOLID!F23</f>
        <v>0</v>
      </c>
      <c r="C54" s="16">
        <f>SOLID!G23</f>
        <v>0</v>
      </c>
      <c r="D54" s="16">
        <f>SOLID!H23</f>
        <v>0</v>
      </c>
      <c r="E54" s="16">
        <f>SOLID!I23</f>
        <v>0</v>
      </c>
      <c r="F54" s="14">
        <f>SOLID!J23</f>
        <v>0</v>
      </c>
      <c r="G54" s="14">
        <f>SOLID!K23</f>
        <v>0</v>
      </c>
      <c r="H54" s="14">
        <f>SOLID!L23</f>
        <v>0</v>
      </c>
      <c r="I54" s="14">
        <f>SOLID!M23</f>
        <v>0</v>
      </c>
      <c r="J54" s="14">
        <f>SOLID!N23</f>
        <v>0</v>
      </c>
      <c r="K54" s="14">
        <f>SOLID!O23</f>
        <v>0</v>
      </c>
      <c r="L54" s="14">
        <f>SOLID!P23</f>
        <v>0</v>
      </c>
      <c r="M54" s="14">
        <f>SOLID!Q23</f>
        <v>0</v>
      </c>
      <c r="N54" s="14">
        <f>SOLID!R23</f>
        <v>0</v>
      </c>
      <c r="O54" s="14">
        <f>SOLID!S23</f>
        <v>0</v>
      </c>
      <c r="P54" s="14">
        <f>SOLID!T23</f>
        <v>0</v>
      </c>
      <c r="Q54" s="14">
        <f>SOLID!U23</f>
        <v>0</v>
      </c>
      <c r="R54" s="14">
        <f>SOLID!V23</f>
        <v>0</v>
      </c>
      <c r="S54" s="14">
        <f>SOLID!W23</f>
        <v>0</v>
      </c>
      <c r="T54" s="14">
        <f>SOLID!X23</f>
        <v>0</v>
      </c>
      <c r="U54" s="14">
        <f>SOLID!Y23</f>
        <v>0</v>
      </c>
      <c r="V54" s="14">
        <f>SOLID!Z23</f>
        <v>0</v>
      </c>
      <c r="W54" s="14">
        <f>SOLID!AA23</f>
        <v>0</v>
      </c>
      <c r="X54" s="14">
        <f>SOLID!AB23</f>
        <v>0</v>
      </c>
      <c r="Y54" s="14">
        <f>SOLID!AC23</f>
        <v>0</v>
      </c>
      <c r="Z54" s="14">
        <f>SOLID!AD23</f>
        <v>0</v>
      </c>
      <c r="AA54" s="14">
        <f>SOLID!AE23</f>
        <v>0</v>
      </c>
      <c r="AB54" s="14">
        <f>SOLID!AF23</f>
        <v>0</v>
      </c>
      <c r="AC54" s="14">
        <f>SOLID!AG23</f>
        <v>0</v>
      </c>
      <c r="AD54" s="14">
        <f>SOLID!AH23</f>
        <v>0</v>
      </c>
      <c r="AE54" s="14">
        <f>SOLID!AI23</f>
        <v>0</v>
      </c>
      <c r="AF54" s="14">
        <f>SOLID!AJ23</f>
        <v>0</v>
      </c>
      <c r="AG54" s="14">
        <f>SOLID!AK23</f>
        <v>0</v>
      </c>
      <c r="AH54" s="14">
        <f>SOLID!AL23</f>
        <v>0</v>
      </c>
      <c r="AI54" s="55">
        <f>SOLID!AM23</f>
        <v>0</v>
      </c>
      <c r="AJ54" s="55">
        <f>SOLID!AN23</f>
        <v>0</v>
      </c>
      <c r="AK54" s="55">
        <f>SOLID!AO23</f>
        <v>0</v>
      </c>
      <c r="AL54" s="55">
        <f>SOLID!AP23</f>
        <v>0</v>
      </c>
      <c r="AM54" s="55">
        <f>SOLID!AQ23</f>
        <v>0</v>
      </c>
      <c r="AN54" s="55">
        <f>SOLID!AR23</f>
        <v>0</v>
      </c>
      <c r="AO54" s="55">
        <f>SOLID!AS23</f>
        <v>0</v>
      </c>
      <c r="AP54" s="55">
        <f>SOLID!AT23</f>
        <v>0</v>
      </c>
      <c r="AQ54" s="55">
        <f>SOLID!AU23</f>
        <v>0</v>
      </c>
      <c r="AR54" s="55">
        <f>SOLID!AV23</f>
        <v>0</v>
      </c>
      <c r="AS54" s="55">
        <f>SOLID!AW23</f>
        <v>0</v>
      </c>
      <c r="AT54" s="55">
        <f>SOLID!AX23</f>
        <v>0</v>
      </c>
      <c r="AU54" s="55">
        <f>SOLID!AY23</f>
        <v>0</v>
      </c>
      <c r="AV54" s="55">
        <f>SOLID!AZ23</f>
        <v>0</v>
      </c>
      <c r="AW54" s="55">
        <f>SOLID!BA23</f>
        <v>0</v>
      </c>
      <c r="AX54" s="55">
        <f>SOLID!BB23</f>
        <v>0</v>
      </c>
      <c r="AY54" s="55">
        <f>SOLID!BC23</f>
        <v>0</v>
      </c>
      <c r="AZ54" s="55">
        <f>SOLID!BD23</f>
        <v>0</v>
      </c>
      <c r="BA54" s="55">
        <f>SOLID!BE23</f>
        <v>0</v>
      </c>
      <c r="BB54" s="55">
        <f>SOLID!BF23</f>
        <v>0</v>
      </c>
      <c r="BC54" s="55">
        <f>SOLID!BG23</f>
        <v>0</v>
      </c>
      <c r="BD54" s="55">
        <f>SOLID!BH23</f>
        <v>0</v>
      </c>
      <c r="BE54" s="55">
        <f>SOLID!BI23</f>
        <v>0</v>
      </c>
      <c r="BF54" s="55">
        <f>SOLID!BJ23</f>
        <v>0</v>
      </c>
      <c r="BG54" s="55">
        <f>SOLID!BK23</f>
        <v>0</v>
      </c>
      <c r="BH54" s="55">
        <f>SOLID!BL23</f>
        <v>0</v>
      </c>
      <c r="BI54" s="55">
        <f>SOLID!BM23</f>
        <v>0</v>
      </c>
      <c r="BJ54" s="55">
        <f>SOLID!BN23</f>
        <v>0</v>
      </c>
      <c r="BK54" s="55">
        <f>SOLID!BO23</f>
        <v>0</v>
      </c>
      <c r="BL54" s="55">
        <f>SOLID!BP23</f>
        <v>0</v>
      </c>
      <c r="BM54" s="55">
        <f>SOLID!BQ23</f>
        <v>0</v>
      </c>
      <c r="BN54" s="55">
        <f>SOLID!BR23</f>
        <v>0</v>
      </c>
      <c r="BO54" s="55">
        <f>SOLID!BS23</f>
        <v>0</v>
      </c>
      <c r="BP54" s="55">
        <f>SOLID!BT23</f>
        <v>0</v>
      </c>
      <c r="BQ54" s="55">
        <f>SOLID!BU23</f>
        <v>0</v>
      </c>
      <c r="BR54" s="55">
        <f>SOLID!BV23</f>
        <v>0</v>
      </c>
      <c r="BS54" s="55">
        <f>SOLID!BW23</f>
        <v>0</v>
      </c>
      <c r="BT54" s="55">
        <f>SOLID!BX23</f>
        <v>0</v>
      </c>
    </row>
    <row r="55" spans="1:72" ht="21.75" outlineLevel="1" thickBot="1" x14ac:dyDescent="0.4">
      <c r="A55" s="36">
        <f>SOLID!E24</f>
        <v>0</v>
      </c>
      <c r="B55" s="16">
        <f>SOLID!F24</f>
        <v>0</v>
      </c>
      <c r="C55" s="16">
        <f>SOLID!G24</f>
        <v>0</v>
      </c>
      <c r="D55" s="16">
        <f>SOLID!H24</f>
        <v>0</v>
      </c>
      <c r="E55" s="16">
        <f>SOLID!I24</f>
        <v>0</v>
      </c>
      <c r="F55" s="14">
        <f>SOLID!J24</f>
        <v>0</v>
      </c>
      <c r="G55" s="14">
        <f>SOLID!K24</f>
        <v>0</v>
      </c>
      <c r="H55" s="14">
        <f>SOLID!L24</f>
        <v>0</v>
      </c>
      <c r="I55" s="14">
        <f>SOLID!M24</f>
        <v>0</v>
      </c>
      <c r="J55" s="14">
        <f>SOLID!N24</f>
        <v>0</v>
      </c>
      <c r="K55" s="14">
        <f>SOLID!O24</f>
        <v>0</v>
      </c>
      <c r="L55" s="14">
        <f>SOLID!P24</f>
        <v>0</v>
      </c>
      <c r="M55" s="14">
        <f>SOLID!Q24</f>
        <v>0</v>
      </c>
      <c r="N55" s="14">
        <f>SOLID!R24</f>
        <v>0</v>
      </c>
      <c r="O55" s="14">
        <f>SOLID!S24</f>
        <v>0</v>
      </c>
      <c r="P55" s="14">
        <f>SOLID!T24</f>
        <v>0</v>
      </c>
      <c r="Q55" s="14">
        <f>SOLID!U24</f>
        <v>0</v>
      </c>
      <c r="R55" s="14">
        <f>SOLID!V24</f>
        <v>0</v>
      </c>
      <c r="S55" s="14">
        <f>SOLID!W24</f>
        <v>0</v>
      </c>
      <c r="T55" s="14">
        <f>SOLID!X24</f>
        <v>0</v>
      </c>
      <c r="U55" s="14">
        <f>SOLID!Y24</f>
        <v>0</v>
      </c>
      <c r="V55" s="14">
        <f>SOLID!Z24</f>
        <v>0</v>
      </c>
      <c r="W55" s="14">
        <f>SOLID!AA24</f>
        <v>0</v>
      </c>
      <c r="X55" s="14">
        <f>SOLID!AB24</f>
        <v>0</v>
      </c>
      <c r="Y55" s="14">
        <f>SOLID!AC24</f>
        <v>0</v>
      </c>
      <c r="Z55" s="14">
        <f>SOLID!AD24</f>
        <v>0</v>
      </c>
      <c r="AA55" s="14">
        <f>SOLID!AE24</f>
        <v>0</v>
      </c>
      <c r="AB55" s="14">
        <f>SOLID!AF24</f>
        <v>0</v>
      </c>
      <c r="AC55" s="14">
        <f>SOLID!AG24</f>
        <v>0</v>
      </c>
      <c r="AD55" s="14">
        <f>SOLID!AH24</f>
        <v>0</v>
      </c>
      <c r="AE55" s="14">
        <f>SOLID!AI24</f>
        <v>0</v>
      </c>
      <c r="AF55" s="14">
        <f>SOLID!AJ24</f>
        <v>0</v>
      </c>
      <c r="AG55" s="14">
        <f>SOLID!AK24</f>
        <v>0</v>
      </c>
      <c r="AH55" s="14">
        <f>SOLID!AL24</f>
        <v>0</v>
      </c>
      <c r="AI55" s="55">
        <f>SOLID!AM24</f>
        <v>0</v>
      </c>
      <c r="AJ55" s="55">
        <f>SOLID!AN24</f>
        <v>0</v>
      </c>
      <c r="AK55" s="55">
        <f>SOLID!AO24</f>
        <v>0</v>
      </c>
      <c r="AL55" s="55">
        <f>SOLID!AP24</f>
        <v>0</v>
      </c>
      <c r="AM55" s="55">
        <f>SOLID!AQ24</f>
        <v>0</v>
      </c>
      <c r="AN55" s="55">
        <f>SOLID!AR24</f>
        <v>0</v>
      </c>
      <c r="AO55" s="55">
        <f>SOLID!AS24</f>
        <v>0</v>
      </c>
      <c r="AP55" s="55">
        <f>SOLID!AT24</f>
        <v>0</v>
      </c>
      <c r="AQ55" s="55">
        <f>SOLID!AU24</f>
        <v>0</v>
      </c>
      <c r="AR55" s="55">
        <f>SOLID!AV24</f>
        <v>0</v>
      </c>
      <c r="AS55" s="55">
        <f>SOLID!AW24</f>
        <v>0</v>
      </c>
      <c r="AT55" s="55">
        <f>SOLID!AX24</f>
        <v>0</v>
      </c>
      <c r="AU55" s="55">
        <f>SOLID!AY24</f>
        <v>0</v>
      </c>
      <c r="AV55" s="55">
        <f>SOLID!AZ24</f>
        <v>0</v>
      </c>
      <c r="AW55" s="55">
        <f>SOLID!BA24</f>
        <v>0</v>
      </c>
      <c r="AX55" s="55">
        <f>SOLID!BB24</f>
        <v>0</v>
      </c>
      <c r="AY55" s="55">
        <f>SOLID!BC24</f>
        <v>0</v>
      </c>
      <c r="AZ55" s="55">
        <f>SOLID!BD24</f>
        <v>0</v>
      </c>
      <c r="BA55" s="55">
        <f>SOLID!BE24</f>
        <v>0</v>
      </c>
      <c r="BB55" s="55">
        <f>SOLID!BF24</f>
        <v>0</v>
      </c>
      <c r="BC55" s="55">
        <f>SOLID!BG24</f>
        <v>0</v>
      </c>
      <c r="BD55" s="55">
        <f>SOLID!BH24</f>
        <v>0</v>
      </c>
      <c r="BE55" s="55">
        <f>SOLID!BI24</f>
        <v>0</v>
      </c>
      <c r="BF55" s="55">
        <f>SOLID!BJ24</f>
        <v>0</v>
      </c>
      <c r="BG55" s="55">
        <f>SOLID!BK24</f>
        <v>0</v>
      </c>
      <c r="BH55" s="55">
        <f>SOLID!BL24</f>
        <v>0</v>
      </c>
      <c r="BI55" s="55">
        <f>SOLID!BM24</f>
        <v>0</v>
      </c>
      <c r="BJ55" s="55">
        <f>SOLID!BN24</f>
        <v>0</v>
      </c>
      <c r="BK55" s="55">
        <f>SOLID!BO24</f>
        <v>0</v>
      </c>
      <c r="BL55" s="55">
        <f>SOLID!BP24</f>
        <v>0</v>
      </c>
      <c r="BM55" s="55">
        <f>SOLID!BQ24</f>
        <v>0</v>
      </c>
      <c r="BN55" s="55">
        <f>SOLID!BR24</f>
        <v>0</v>
      </c>
      <c r="BO55" s="55">
        <f>SOLID!BS24</f>
        <v>0</v>
      </c>
      <c r="BP55" s="55">
        <f>SOLID!BT24</f>
        <v>0</v>
      </c>
      <c r="BQ55" s="55">
        <f>SOLID!BU24</f>
        <v>0</v>
      </c>
      <c r="BR55" s="55">
        <f>SOLID!BV24</f>
        <v>0</v>
      </c>
      <c r="BS55" s="55">
        <f>SOLID!BW24</f>
        <v>0</v>
      </c>
      <c r="BT55" s="55">
        <f>SOLID!BX24</f>
        <v>0</v>
      </c>
    </row>
    <row r="56" spans="1:72" ht="21.75" outlineLevel="1" thickBot="1" x14ac:dyDescent="0.4">
      <c r="A56" s="36">
        <f>SOLID!E25</f>
        <v>0</v>
      </c>
      <c r="B56" s="16">
        <f>SOLID!F25</f>
        <v>0</v>
      </c>
      <c r="C56" s="16">
        <f>SOLID!G25</f>
        <v>0</v>
      </c>
      <c r="D56" s="16">
        <f>SOLID!H25</f>
        <v>0</v>
      </c>
      <c r="E56" s="16">
        <f>SOLID!I25</f>
        <v>0</v>
      </c>
      <c r="F56" s="14">
        <f>SOLID!J25</f>
        <v>0</v>
      </c>
      <c r="G56" s="14">
        <f>SOLID!K25</f>
        <v>0</v>
      </c>
      <c r="H56" s="14">
        <f>SOLID!L25</f>
        <v>0</v>
      </c>
      <c r="I56" s="14">
        <f>SOLID!M25</f>
        <v>0</v>
      </c>
      <c r="J56" s="14">
        <f>SOLID!N25</f>
        <v>0</v>
      </c>
      <c r="K56" s="14">
        <f>SOLID!O25</f>
        <v>0</v>
      </c>
      <c r="L56" s="14">
        <f>SOLID!P25</f>
        <v>0</v>
      </c>
      <c r="M56" s="14">
        <f>SOLID!Q25</f>
        <v>0</v>
      </c>
      <c r="N56" s="14">
        <f>SOLID!R25</f>
        <v>0</v>
      </c>
      <c r="O56" s="14">
        <f>SOLID!S25</f>
        <v>0</v>
      </c>
      <c r="P56" s="14">
        <f>SOLID!T25</f>
        <v>0</v>
      </c>
      <c r="Q56" s="14">
        <f>SOLID!U25</f>
        <v>0</v>
      </c>
      <c r="R56" s="14">
        <f>SOLID!V25</f>
        <v>0</v>
      </c>
      <c r="S56" s="14">
        <f>SOLID!W25</f>
        <v>0</v>
      </c>
      <c r="T56" s="14">
        <f>SOLID!X25</f>
        <v>0</v>
      </c>
      <c r="U56" s="14">
        <f>SOLID!Y25</f>
        <v>0</v>
      </c>
      <c r="V56" s="14">
        <f>SOLID!Z25</f>
        <v>0</v>
      </c>
      <c r="W56" s="14">
        <f>SOLID!AA25</f>
        <v>0</v>
      </c>
      <c r="X56" s="14">
        <f>SOLID!AB25</f>
        <v>0</v>
      </c>
      <c r="Y56" s="14">
        <f>SOLID!AC25</f>
        <v>0</v>
      </c>
      <c r="Z56" s="14">
        <f>SOLID!AD25</f>
        <v>0</v>
      </c>
      <c r="AA56" s="14">
        <f>SOLID!AE25</f>
        <v>0</v>
      </c>
      <c r="AB56" s="14">
        <f>SOLID!AF25</f>
        <v>0</v>
      </c>
      <c r="AC56" s="14">
        <f>SOLID!AG25</f>
        <v>0</v>
      </c>
      <c r="AD56" s="14">
        <f>SOLID!AH25</f>
        <v>0</v>
      </c>
      <c r="AE56" s="14">
        <f>SOLID!AI25</f>
        <v>0</v>
      </c>
      <c r="AF56" s="14">
        <f>SOLID!AJ25</f>
        <v>0</v>
      </c>
      <c r="AG56" s="14">
        <f>SOLID!AK25</f>
        <v>0</v>
      </c>
      <c r="AH56" s="14">
        <f>SOLID!AL25</f>
        <v>0</v>
      </c>
      <c r="AI56" s="55">
        <f>SOLID!AM25</f>
        <v>0</v>
      </c>
      <c r="AJ56" s="55">
        <f>SOLID!AN25</f>
        <v>0</v>
      </c>
      <c r="AK56" s="55">
        <f>SOLID!AO25</f>
        <v>0</v>
      </c>
      <c r="AL56" s="55">
        <f>SOLID!AP25</f>
        <v>0</v>
      </c>
      <c r="AM56" s="55">
        <f>SOLID!AQ25</f>
        <v>0</v>
      </c>
      <c r="AN56" s="55">
        <f>SOLID!AR25</f>
        <v>0</v>
      </c>
      <c r="AO56" s="55">
        <f>SOLID!AS25</f>
        <v>0</v>
      </c>
      <c r="AP56" s="55">
        <f>SOLID!AT25</f>
        <v>0</v>
      </c>
      <c r="AQ56" s="55">
        <f>SOLID!AU25</f>
        <v>0</v>
      </c>
      <c r="AR56" s="55">
        <f>SOLID!AV25</f>
        <v>0</v>
      </c>
      <c r="AS56" s="55">
        <f>SOLID!AW25</f>
        <v>0</v>
      </c>
      <c r="AT56" s="55">
        <f>SOLID!AX25</f>
        <v>0</v>
      </c>
      <c r="AU56" s="55">
        <f>SOLID!AY25</f>
        <v>0</v>
      </c>
      <c r="AV56" s="55">
        <f>SOLID!AZ25</f>
        <v>0</v>
      </c>
      <c r="AW56" s="55">
        <f>SOLID!BA25</f>
        <v>0</v>
      </c>
      <c r="AX56" s="55">
        <f>SOLID!BB25</f>
        <v>0</v>
      </c>
      <c r="AY56" s="55">
        <f>SOLID!BC25</f>
        <v>0</v>
      </c>
      <c r="AZ56" s="55">
        <f>SOLID!BD25</f>
        <v>0</v>
      </c>
      <c r="BA56" s="55">
        <f>SOLID!BE25</f>
        <v>0</v>
      </c>
      <c r="BB56" s="55">
        <f>SOLID!BF25</f>
        <v>0</v>
      </c>
      <c r="BC56" s="55">
        <f>SOLID!BG25</f>
        <v>0</v>
      </c>
      <c r="BD56" s="55">
        <f>SOLID!BH25</f>
        <v>0</v>
      </c>
      <c r="BE56" s="55">
        <f>SOLID!BI25</f>
        <v>0</v>
      </c>
      <c r="BF56" s="55">
        <f>SOLID!BJ25</f>
        <v>0</v>
      </c>
      <c r="BG56" s="55">
        <f>SOLID!BK25</f>
        <v>0</v>
      </c>
      <c r="BH56" s="55">
        <f>SOLID!BL25</f>
        <v>0</v>
      </c>
      <c r="BI56" s="55">
        <f>SOLID!BM25</f>
        <v>0</v>
      </c>
      <c r="BJ56" s="55">
        <f>SOLID!BN25</f>
        <v>0</v>
      </c>
      <c r="BK56" s="55">
        <f>SOLID!BO25</f>
        <v>0</v>
      </c>
      <c r="BL56" s="55">
        <f>SOLID!BP25</f>
        <v>0</v>
      </c>
      <c r="BM56" s="55">
        <f>SOLID!BQ25</f>
        <v>0</v>
      </c>
      <c r="BN56" s="55">
        <f>SOLID!BR25</f>
        <v>0</v>
      </c>
      <c r="BO56" s="55">
        <f>SOLID!BS25</f>
        <v>0</v>
      </c>
      <c r="BP56" s="55">
        <f>SOLID!BT25</f>
        <v>0</v>
      </c>
      <c r="BQ56" s="55">
        <f>SOLID!BU25</f>
        <v>0</v>
      </c>
      <c r="BR56" s="55">
        <f>SOLID!BV25</f>
        <v>0</v>
      </c>
      <c r="BS56" s="55">
        <f>SOLID!BW25</f>
        <v>0</v>
      </c>
      <c r="BT56" s="55">
        <f>SOLID!BX25</f>
        <v>0</v>
      </c>
    </row>
    <row r="57" spans="1:72" ht="21.75" outlineLevel="1" thickBot="1" x14ac:dyDescent="0.4">
      <c r="A57" s="36">
        <f>SOLID!E26</f>
        <v>0</v>
      </c>
      <c r="B57" s="16">
        <f>SOLID!F26</f>
        <v>0</v>
      </c>
      <c r="C57" s="16">
        <f>SOLID!G26</f>
        <v>0</v>
      </c>
      <c r="D57" s="16">
        <f>SOLID!H26</f>
        <v>0</v>
      </c>
      <c r="E57" s="16">
        <f>SOLID!I26</f>
        <v>0</v>
      </c>
      <c r="F57" s="14">
        <f>SOLID!J26</f>
        <v>0</v>
      </c>
      <c r="G57" s="14">
        <f>SOLID!K26</f>
        <v>0</v>
      </c>
      <c r="H57" s="14">
        <f>SOLID!L26</f>
        <v>0</v>
      </c>
      <c r="I57" s="14">
        <f>SOLID!M26</f>
        <v>0</v>
      </c>
      <c r="J57" s="14">
        <f>SOLID!N26</f>
        <v>0</v>
      </c>
      <c r="K57" s="14">
        <f>SOLID!O26</f>
        <v>0</v>
      </c>
      <c r="L57" s="14">
        <f>SOLID!P26</f>
        <v>0</v>
      </c>
      <c r="M57" s="14">
        <f>SOLID!Q26</f>
        <v>0</v>
      </c>
      <c r="N57" s="14">
        <f>SOLID!R26</f>
        <v>0</v>
      </c>
      <c r="O57" s="14">
        <f>SOLID!S26</f>
        <v>0</v>
      </c>
      <c r="P57" s="14">
        <f>SOLID!T26</f>
        <v>0</v>
      </c>
      <c r="Q57" s="14">
        <f>SOLID!U26</f>
        <v>0</v>
      </c>
      <c r="R57" s="14">
        <f>SOLID!V26</f>
        <v>0</v>
      </c>
      <c r="S57" s="14">
        <f>SOLID!W26</f>
        <v>0</v>
      </c>
      <c r="T57" s="14">
        <f>SOLID!X26</f>
        <v>0</v>
      </c>
      <c r="U57" s="14">
        <f>SOLID!Y26</f>
        <v>0</v>
      </c>
      <c r="V57" s="14">
        <f>SOLID!Z26</f>
        <v>0</v>
      </c>
      <c r="W57" s="14">
        <f>SOLID!AA26</f>
        <v>0</v>
      </c>
      <c r="X57" s="14">
        <f>SOLID!AB26</f>
        <v>0</v>
      </c>
      <c r="Y57" s="14">
        <f>SOLID!AC26</f>
        <v>0</v>
      </c>
      <c r="Z57" s="14">
        <f>SOLID!AD26</f>
        <v>0</v>
      </c>
      <c r="AA57" s="14">
        <f>SOLID!AE26</f>
        <v>0</v>
      </c>
      <c r="AB57" s="14">
        <f>SOLID!AF26</f>
        <v>0</v>
      </c>
      <c r="AC57" s="14">
        <f>SOLID!AG26</f>
        <v>0</v>
      </c>
      <c r="AD57" s="14">
        <f>SOLID!AH26</f>
        <v>0</v>
      </c>
      <c r="AE57" s="14">
        <f>SOLID!AI26</f>
        <v>0</v>
      </c>
      <c r="AF57" s="14">
        <f>SOLID!AJ26</f>
        <v>0</v>
      </c>
      <c r="AG57" s="14">
        <f>SOLID!AK26</f>
        <v>0</v>
      </c>
      <c r="AH57" s="14">
        <f>SOLID!AL26</f>
        <v>0</v>
      </c>
      <c r="AI57" s="55">
        <f>SOLID!AM26</f>
        <v>0</v>
      </c>
      <c r="AJ57" s="55">
        <f>SOLID!AN26</f>
        <v>0</v>
      </c>
      <c r="AK57" s="55">
        <f>SOLID!AO26</f>
        <v>0</v>
      </c>
      <c r="AL57" s="55">
        <f>SOLID!AP26</f>
        <v>0</v>
      </c>
      <c r="AM57" s="55">
        <f>SOLID!AQ26</f>
        <v>0</v>
      </c>
      <c r="AN57" s="55">
        <f>SOLID!AR26</f>
        <v>0</v>
      </c>
      <c r="AO57" s="55">
        <f>SOLID!AS26</f>
        <v>0</v>
      </c>
      <c r="AP57" s="55">
        <f>SOLID!AT26</f>
        <v>0</v>
      </c>
      <c r="AQ57" s="55">
        <f>SOLID!AU26</f>
        <v>0</v>
      </c>
      <c r="AR57" s="55">
        <f>SOLID!AV26</f>
        <v>0</v>
      </c>
      <c r="AS57" s="55">
        <f>SOLID!AW26</f>
        <v>0</v>
      </c>
      <c r="AT57" s="55">
        <f>SOLID!AX26</f>
        <v>0</v>
      </c>
      <c r="AU57" s="55">
        <f>SOLID!AY26</f>
        <v>0</v>
      </c>
      <c r="AV57" s="55">
        <f>SOLID!AZ26</f>
        <v>0</v>
      </c>
      <c r="AW57" s="55">
        <f>SOLID!BA26</f>
        <v>0</v>
      </c>
      <c r="AX57" s="55">
        <f>SOLID!BB26</f>
        <v>0</v>
      </c>
      <c r="AY57" s="55">
        <f>SOLID!BC26</f>
        <v>0</v>
      </c>
      <c r="AZ57" s="55">
        <f>SOLID!BD26</f>
        <v>0</v>
      </c>
      <c r="BA57" s="55">
        <f>SOLID!BE26</f>
        <v>0</v>
      </c>
      <c r="BB57" s="55">
        <f>SOLID!BF26</f>
        <v>0</v>
      </c>
      <c r="BC57" s="55">
        <f>SOLID!BG26</f>
        <v>0</v>
      </c>
      <c r="BD57" s="55">
        <f>SOLID!BH26</f>
        <v>0</v>
      </c>
      <c r="BE57" s="55">
        <f>SOLID!BI26</f>
        <v>0</v>
      </c>
      <c r="BF57" s="55">
        <f>SOLID!BJ26</f>
        <v>0</v>
      </c>
      <c r="BG57" s="55">
        <f>SOLID!BK26</f>
        <v>0</v>
      </c>
      <c r="BH57" s="55">
        <f>SOLID!BL26</f>
        <v>0</v>
      </c>
      <c r="BI57" s="55">
        <f>SOLID!BM26</f>
        <v>0</v>
      </c>
      <c r="BJ57" s="55">
        <f>SOLID!BN26</f>
        <v>0</v>
      </c>
      <c r="BK57" s="55">
        <f>SOLID!BO26</f>
        <v>0</v>
      </c>
      <c r="BL57" s="55">
        <f>SOLID!BP26</f>
        <v>0</v>
      </c>
      <c r="BM57" s="55">
        <f>SOLID!BQ26</f>
        <v>0</v>
      </c>
      <c r="BN57" s="55">
        <f>SOLID!BR26</f>
        <v>0</v>
      </c>
      <c r="BO57" s="55">
        <f>SOLID!BS26</f>
        <v>0</v>
      </c>
      <c r="BP57" s="55">
        <f>SOLID!BT26</f>
        <v>0</v>
      </c>
      <c r="BQ57" s="55">
        <f>SOLID!BU26</f>
        <v>0</v>
      </c>
      <c r="BR57" s="55">
        <f>SOLID!BV26</f>
        <v>0</v>
      </c>
      <c r="BS57" s="55">
        <f>SOLID!BW26</f>
        <v>0</v>
      </c>
      <c r="BT57" s="55">
        <f>SOLID!BX26</f>
        <v>0</v>
      </c>
    </row>
    <row r="58" spans="1:72" ht="21.75" outlineLevel="1" thickBot="1" x14ac:dyDescent="0.4">
      <c r="A58" s="36">
        <f>SOLID!E27</f>
        <v>0</v>
      </c>
      <c r="B58" s="16">
        <f>SOLID!F27</f>
        <v>0</v>
      </c>
      <c r="C58" s="16">
        <f>SOLID!G27</f>
        <v>0</v>
      </c>
      <c r="D58" s="16">
        <f>SOLID!H27</f>
        <v>0</v>
      </c>
      <c r="E58" s="16">
        <f>SOLID!I27</f>
        <v>0</v>
      </c>
      <c r="F58" s="14">
        <f>SOLID!J27</f>
        <v>0</v>
      </c>
      <c r="G58" s="14">
        <f>SOLID!K27</f>
        <v>0</v>
      </c>
      <c r="H58" s="14">
        <f>SOLID!L27</f>
        <v>0</v>
      </c>
      <c r="I58" s="14">
        <f>SOLID!M27</f>
        <v>0</v>
      </c>
      <c r="J58" s="14">
        <f>SOLID!N27</f>
        <v>0</v>
      </c>
      <c r="K58" s="14">
        <f>SOLID!O27</f>
        <v>0</v>
      </c>
      <c r="L58" s="14">
        <f>SOLID!P27</f>
        <v>0</v>
      </c>
      <c r="M58" s="14">
        <f>SOLID!Q27</f>
        <v>0</v>
      </c>
      <c r="N58" s="14">
        <f>SOLID!R27</f>
        <v>0</v>
      </c>
      <c r="O58" s="14">
        <f>SOLID!S27</f>
        <v>0</v>
      </c>
      <c r="P58" s="14">
        <f>SOLID!T27</f>
        <v>0</v>
      </c>
      <c r="Q58" s="14">
        <f>SOLID!U27</f>
        <v>0</v>
      </c>
      <c r="R58" s="14">
        <f>SOLID!V27</f>
        <v>0</v>
      </c>
      <c r="S58" s="14">
        <f>SOLID!W27</f>
        <v>0</v>
      </c>
      <c r="T58" s="14">
        <f>SOLID!X27</f>
        <v>0</v>
      </c>
      <c r="U58" s="14">
        <f>SOLID!Y27</f>
        <v>0</v>
      </c>
      <c r="V58" s="14">
        <f>SOLID!Z27</f>
        <v>0</v>
      </c>
      <c r="W58" s="14">
        <f>SOLID!AA27</f>
        <v>0</v>
      </c>
      <c r="X58" s="14">
        <f>SOLID!AB27</f>
        <v>0</v>
      </c>
      <c r="Y58" s="14">
        <f>SOLID!AC27</f>
        <v>0</v>
      </c>
      <c r="Z58" s="14">
        <f>SOLID!AD27</f>
        <v>0</v>
      </c>
      <c r="AA58" s="14">
        <f>SOLID!AE27</f>
        <v>0</v>
      </c>
      <c r="AB58" s="14">
        <f>SOLID!AF27</f>
        <v>0</v>
      </c>
      <c r="AC58" s="14">
        <f>SOLID!AG27</f>
        <v>0</v>
      </c>
      <c r="AD58" s="14">
        <f>SOLID!AH27</f>
        <v>0</v>
      </c>
      <c r="AE58" s="14">
        <f>SOLID!AI27</f>
        <v>0</v>
      </c>
      <c r="AF58" s="14">
        <f>SOLID!AJ27</f>
        <v>0</v>
      </c>
      <c r="AG58" s="14">
        <f>SOLID!AK27</f>
        <v>0</v>
      </c>
      <c r="AH58" s="14">
        <f>SOLID!AL27</f>
        <v>0</v>
      </c>
      <c r="AI58" s="55">
        <f>SOLID!AM27</f>
        <v>0</v>
      </c>
      <c r="AJ58" s="55">
        <f>SOLID!AN27</f>
        <v>0</v>
      </c>
      <c r="AK58" s="55">
        <f>SOLID!AO27</f>
        <v>0</v>
      </c>
      <c r="AL58" s="55">
        <f>SOLID!AP27</f>
        <v>0</v>
      </c>
      <c r="AM58" s="55">
        <f>SOLID!AQ27</f>
        <v>0</v>
      </c>
      <c r="AN58" s="55">
        <f>SOLID!AR27</f>
        <v>0</v>
      </c>
      <c r="AO58" s="55">
        <f>SOLID!AS27</f>
        <v>0</v>
      </c>
      <c r="AP58" s="55">
        <f>SOLID!AT27</f>
        <v>0</v>
      </c>
      <c r="AQ58" s="55">
        <f>SOLID!AU27</f>
        <v>0</v>
      </c>
      <c r="AR58" s="55">
        <f>SOLID!AV27</f>
        <v>0</v>
      </c>
      <c r="AS58" s="55">
        <f>SOLID!AW27</f>
        <v>0</v>
      </c>
      <c r="AT58" s="55">
        <f>SOLID!AX27</f>
        <v>0</v>
      </c>
      <c r="AU58" s="55">
        <f>SOLID!AY27</f>
        <v>0</v>
      </c>
      <c r="AV58" s="55">
        <f>SOLID!AZ27</f>
        <v>0</v>
      </c>
      <c r="AW58" s="55">
        <f>SOLID!BA27</f>
        <v>0</v>
      </c>
      <c r="AX58" s="55">
        <f>SOLID!BB27</f>
        <v>0</v>
      </c>
      <c r="AY58" s="55">
        <f>SOLID!BC27</f>
        <v>0</v>
      </c>
      <c r="AZ58" s="55">
        <f>SOLID!BD27</f>
        <v>0</v>
      </c>
      <c r="BA58" s="55">
        <f>SOLID!BE27</f>
        <v>0</v>
      </c>
      <c r="BB58" s="55">
        <f>SOLID!BF27</f>
        <v>0</v>
      </c>
      <c r="BC58" s="55">
        <f>SOLID!BG27</f>
        <v>0</v>
      </c>
      <c r="BD58" s="55">
        <f>SOLID!BH27</f>
        <v>0</v>
      </c>
      <c r="BE58" s="55">
        <f>SOLID!BI27</f>
        <v>0</v>
      </c>
      <c r="BF58" s="55">
        <f>SOLID!BJ27</f>
        <v>0</v>
      </c>
      <c r="BG58" s="55">
        <f>SOLID!BK27</f>
        <v>0</v>
      </c>
      <c r="BH58" s="55">
        <f>SOLID!BL27</f>
        <v>0</v>
      </c>
      <c r="BI58" s="55">
        <f>SOLID!BM27</f>
        <v>0</v>
      </c>
      <c r="BJ58" s="55">
        <f>SOLID!BN27</f>
        <v>0</v>
      </c>
      <c r="BK58" s="55">
        <f>SOLID!BO27</f>
        <v>0</v>
      </c>
      <c r="BL58" s="55">
        <f>SOLID!BP27</f>
        <v>0</v>
      </c>
      <c r="BM58" s="55">
        <f>SOLID!BQ27</f>
        <v>0</v>
      </c>
      <c r="BN58" s="55">
        <f>SOLID!BR27</f>
        <v>0</v>
      </c>
      <c r="BO58" s="55">
        <f>SOLID!BS27</f>
        <v>0</v>
      </c>
      <c r="BP58" s="55">
        <f>SOLID!BT27</f>
        <v>0</v>
      </c>
      <c r="BQ58" s="55">
        <f>SOLID!BU27</f>
        <v>0</v>
      </c>
      <c r="BR58" s="55">
        <f>SOLID!BV27</f>
        <v>0</v>
      </c>
      <c r="BS58" s="55">
        <f>SOLID!BW27</f>
        <v>0</v>
      </c>
      <c r="BT58" s="55">
        <f>SOLID!BX27</f>
        <v>0</v>
      </c>
    </row>
    <row r="59" spans="1:72" ht="21.75" outlineLevel="1" thickBot="1" x14ac:dyDescent="0.4">
      <c r="A59" s="36">
        <f>SOLID!E28</f>
        <v>0</v>
      </c>
      <c r="B59" s="16">
        <f>SOLID!F28</f>
        <v>0</v>
      </c>
      <c r="C59" s="16">
        <f>SOLID!G28</f>
        <v>0</v>
      </c>
      <c r="D59" s="16">
        <f>SOLID!H28</f>
        <v>0</v>
      </c>
      <c r="E59" s="16">
        <f>SOLID!I28</f>
        <v>0</v>
      </c>
      <c r="F59" s="14">
        <f>SOLID!J28</f>
        <v>0</v>
      </c>
      <c r="G59" s="14">
        <f>SOLID!K28</f>
        <v>0</v>
      </c>
      <c r="H59" s="14">
        <f>SOLID!L28</f>
        <v>0</v>
      </c>
      <c r="I59" s="14">
        <f>SOLID!M28</f>
        <v>0</v>
      </c>
      <c r="J59" s="14">
        <f>SOLID!N28</f>
        <v>0</v>
      </c>
      <c r="K59" s="14">
        <f>SOLID!O28</f>
        <v>0</v>
      </c>
      <c r="L59" s="14">
        <f>SOLID!P28</f>
        <v>0</v>
      </c>
      <c r="M59" s="14">
        <f>SOLID!Q28</f>
        <v>0</v>
      </c>
      <c r="N59" s="14">
        <f>SOLID!R28</f>
        <v>0</v>
      </c>
      <c r="O59" s="14">
        <f>SOLID!S28</f>
        <v>0</v>
      </c>
      <c r="P59" s="14">
        <f>SOLID!T28</f>
        <v>0</v>
      </c>
      <c r="Q59" s="14">
        <f>SOLID!U28</f>
        <v>0</v>
      </c>
      <c r="R59" s="14">
        <f>SOLID!V28</f>
        <v>0</v>
      </c>
      <c r="S59" s="14">
        <f>SOLID!W28</f>
        <v>0</v>
      </c>
      <c r="T59" s="14">
        <f>SOLID!X28</f>
        <v>0</v>
      </c>
      <c r="U59" s="14">
        <f>SOLID!Y28</f>
        <v>0</v>
      </c>
      <c r="V59" s="14">
        <f>SOLID!Z28</f>
        <v>0</v>
      </c>
      <c r="W59" s="14">
        <f>SOLID!AA28</f>
        <v>0</v>
      </c>
      <c r="X59" s="14">
        <f>SOLID!AB28</f>
        <v>0</v>
      </c>
      <c r="Y59" s="14">
        <f>SOLID!AC28</f>
        <v>0</v>
      </c>
      <c r="Z59" s="14">
        <f>SOLID!AD28</f>
        <v>0</v>
      </c>
      <c r="AA59" s="14">
        <f>SOLID!AE28</f>
        <v>0</v>
      </c>
      <c r="AB59" s="14">
        <f>SOLID!AF28</f>
        <v>0</v>
      </c>
      <c r="AC59" s="14">
        <f>SOLID!AG28</f>
        <v>0</v>
      </c>
      <c r="AD59" s="14">
        <f>SOLID!AH28</f>
        <v>0</v>
      </c>
      <c r="AE59" s="14">
        <f>SOLID!AI28</f>
        <v>0</v>
      </c>
      <c r="AF59" s="14">
        <f>SOLID!AJ28</f>
        <v>0</v>
      </c>
      <c r="AG59" s="14">
        <f>SOLID!AK28</f>
        <v>0</v>
      </c>
      <c r="AH59" s="14">
        <f>SOLID!AL28</f>
        <v>0</v>
      </c>
      <c r="AI59" s="55">
        <f>SOLID!AM28</f>
        <v>0</v>
      </c>
      <c r="AJ59" s="55">
        <f>SOLID!AN28</f>
        <v>0</v>
      </c>
      <c r="AK59" s="55">
        <f>SOLID!AO28</f>
        <v>0</v>
      </c>
      <c r="AL59" s="55">
        <f>SOLID!AP28</f>
        <v>0</v>
      </c>
      <c r="AM59" s="55">
        <f>SOLID!AQ28</f>
        <v>0</v>
      </c>
      <c r="AN59" s="55">
        <f>SOLID!AR28</f>
        <v>0</v>
      </c>
      <c r="AO59" s="55">
        <f>SOLID!AS28</f>
        <v>0</v>
      </c>
      <c r="AP59" s="55">
        <f>SOLID!AT28</f>
        <v>0</v>
      </c>
      <c r="AQ59" s="55">
        <f>SOLID!AU28</f>
        <v>0</v>
      </c>
      <c r="AR59" s="55">
        <f>SOLID!AV28</f>
        <v>0</v>
      </c>
      <c r="AS59" s="55">
        <f>SOLID!AW28</f>
        <v>0</v>
      </c>
      <c r="AT59" s="55">
        <f>SOLID!AX28</f>
        <v>0</v>
      </c>
      <c r="AU59" s="55">
        <f>SOLID!AY28</f>
        <v>0</v>
      </c>
      <c r="AV59" s="55">
        <f>SOLID!AZ28</f>
        <v>0</v>
      </c>
      <c r="AW59" s="55">
        <f>SOLID!BA28</f>
        <v>0</v>
      </c>
      <c r="AX59" s="55">
        <f>SOLID!BB28</f>
        <v>0</v>
      </c>
      <c r="AY59" s="55">
        <f>SOLID!BC28</f>
        <v>0</v>
      </c>
      <c r="AZ59" s="55">
        <f>SOLID!BD28</f>
        <v>0</v>
      </c>
      <c r="BA59" s="55">
        <f>SOLID!BE28</f>
        <v>0</v>
      </c>
      <c r="BB59" s="55">
        <f>SOLID!BF28</f>
        <v>0</v>
      </c>
      <c r="BC59" s="55">
        <f>SOLID!BG28</f>
        <v>0</v>
      </c>
      <c r="BD59" s="55">
        <f>SOLID!BH28</f>
        <v>0</v>
      </c>
      <c r="BE59" s="55">
        <f>SOLID!BI28</f>
        <v>0</v>
      </c>
      <c r="BF59" s="55">
        <f>SOLID!BJ28</f>
        <v>0</v>
      </c>
      <c r="BG59" s="55">
        <f>SOLID!BK28</f>
        <v>0</v>
      </c>
      <c r="BH59" s="55">
        <f>SOLID!BL28</f>
        <v>0</v>
      </c>
      <c r="BI59" s="55">
        <f>SOLID!BM28</f>
        <v>0</v>
      </c>
      <c r="BJ59" s="55">
        <f>SOLID!BN28</f>
        <v>0</v>
      </c>
      <c r="BK59" s="55">
        <f>SOLID!BO28</f>
        <v>0</v>
      </c>
      <c r="BL59" s="55">
        <f>SOLID!BP28</f>
        <v>0</v>
      </c>
      <c r="BM59" s="55">
        <f>SOLID!BQ28</f>
        <v>0</v>
      </c>
      <c r="BN59" s="55">
        <f>SOLID!BR28</f>
        <v>0</v>
      </c>
      <c r="BO59" s="55">
        <f>SOLID!BS28</f>
        <v>0</v>
      </c>
      <c r="BP59" s="55">
        <f>SOLID!BT28</f>
        <v>0</v>
      </c>
      <c r="BQ59" s="55">
        <f>SOLID!BU28</f>
        <v>0</v>
      </c>
      <c r="BR59" s="55">
        <f>SOLID!BV28</f>
        <v>0</v>
      </c>
      <c r="BS59" s="55">
        <f>SOLID!BW28</f>
        <v>0</v>
      </c>
      <c r="BT59" s="55">
        <f>SOLID!BX28</f>
        <v>0</v>
      </c>
    </row>
    <row r="60" spans="1:72" ht="21.75" outlineLevel="1" thickBot="1" x14ac:dyDescent="0.4">
      <c r="A60" s="36">
        <f>SOLID!E29</f>
        <v>0</v>
      </c>
      <c r="B60" s="16">
        <f>SOLID!F29</f>
        <v>0</v>
      </c>
      <c r="C60" s="16">
        <f>SOLID!G29</f>
        <v>0</v>
      </c>
      <c r="D60" s="16">
        <f>SOLID!H29</f>
        <v>0</v>
      </c>
      <c r="E60" s="16">
        <f>SOLID!I29</f>
        <v>0</v>
      </c>
      <c r="F60" s="14">
        <f>SOLID!J29</f>
        <v>0</v>
      </c>
      <c r="G60" s="14">
        <f>SOLID!K29</f>
        <v>0</v>
      </c>
      <c r="H60" s="14">
        <f>SOLID!L29</f>
        <v>0</v>
      </c>
      <c r="I60" s="14">
        <f>SOLID!M29</f>
        <v>0</v>
      </c>
      <c r="J60" s="14">
        <f>SOLID!N29</f>
        <v>0</v>
      </c>
      <c r="K60" s="14">
        <f>SOLID!O29</f>
        <v>0</v>
      </c>
      <c r="L60" s="14">
        <f>SOLID!P29</f>
        <v>0</v>
      </c>
      <c r="M60" s="14">
        <f>SOLID!Q29</f>
        <v>0</v>
      </c>
      <c r="N60" s="14">
        <f>SOLID!R29</f>
        <v>0</v>
      </c>
      <c r="O60" s="14">
        <f>SOLID!S29</f>
        <v>0</v>
      </c>
      <c r="P60" s="14">
        <f>SOLID!T29</f>
        <v>0</v>
      </c>
      <c r="Q60" s="14">
        <f>SOLID!U29</f>
        <v>0</v>
      </c>
      <c r="R60" s="14">
        <f>SOLID!V29</f>
        <v>0</v>
      </c>
      <c r="S60" s="14">
        <f>SOLID!W29</f>
        <v>0</v>
      </c>
      <c r="T60" s="14">
        <f>SOLID!X29</f>
        <v>0</v>
      </c>
      <c r="U60" s="14">
        <f>SOLID!Y29</f>
        <v>0</v>
      </c>
      <c r="V60" s="14">
        <f>SOLID!Z29</f>
        <v>0</v>
      </c>
      <c r="W60" s="14">
        <f>SOLID!AA29</f>
        <v>0</v>
      </c>
      <c r="X60" s="14">
        <f>SOLID!AB29</f>
        <v>0</v>
      </c>
      <c r="Y60" s="14">
        <f>SOLID!AC29</f>
        <v>0</v>
      </c>
      <c r="Z60" s="14">
        <f>SOLID!AD29</f>
        <v>0</v>
      </c>
      <c r="AA60" s="14">
        <f>SOLID!AE29</f>
        <v>0</v>
      </c>
      <c r="AB60" s="14">
        <f>SOLID!AF29</f>
        <v>0</v>
      </c>
      <c r="AC60" s="14">
        <f>SOLID!AG29</f>
        <v>0</v>
      </c>
      <c r="AD60" s="14">
        <f>SOLID!AH29</f>
        <v>0</v>
      </c>
      <c r="AE60" s="14">
        <f>SOLID!AI29</f>
        <v>0</v>
      </c>
      <c r="AF60" s="14">
        <f>SOLID!AJ29</f>
        <v>0</v>
      </c>
      <c r="AG60" s="14">
        <f>SOLID!AK29</f>
        <v>0</v>
      </c>
      <c r="AH60" s="14">
        <f>SOLID!AL29</f>
        <v>0</v>
      </c>
      <c r="AI60" s="55">
        <f>SOLID!AM29</f>
        <v>0</v>
      </c>
      <c r="AJ60" s="55">
        <f>SOLID!AN29</f>
        <v>0</v>
      </c>
      <c r="AK60" s="55">
        <f>SOLID!AO29</f>
        <v>0</v>
      </c>
      <c r="AL60" s="55">
        <f>SOLID!AP29</f>
        <v>0</v>
      </c>
      <c r="AM60" s="55">
        <f>SOLID!AQ29</f>
        <v>0</v>
      </c>
      <c r="AN60" s="55">
        <f>SOLID!AR29</f>
        <v>0</v>
      </c>
      <c r="AO60" s="55">
        <f>SOLID!AS29</f>
        <v>0</v>
      </c>
      <c r="AP60" s="55">
        <f>SOLID!AT29</f>
        <v>0</v>
      </c>
      <c r="AQ60" s="55">
        <f>SOLID!AU29</f>
        <v>0</v>
      </c>
      <c r="AR60" s="55">
        <f>SOLID!AV29</f>
        <v>0</v>
      </c>
      <c r="AS60" s="55">
        <f>SOLID!AW29</f>
        <v>0</v>
      </c>
      <c r="AT60" s="55">
        <f>SOLID!AX29</f>
        <v>0</v>
      </c>
      <c r="AU60" s="55">
        <f>SOLID!AY29</f>
        <v>0</v>
      </c>
      <c r="AV60" s="55">
        <f>SOLID!AZ29</f>
        <v>0</v>
      </c>
      <c r="AW60" s="55">
        <f>SOLID!BA29</f>
        <v>0</v>
      </c>
      <c r="AX60" s="55">
        <f>SOLID!BB29</f>
        <v>0</v>
      </c>
      <c r="AY60" s="55">
        <f>SOLID!BC29</f>
        <v>0</v>
      </c>
      <c r="AZ60" s="55">
        <f>SOLID!BD29</f>
        <v>0</v>
      </c>
      <c r="BA60" s="55">
        <f>SOLID!BE29</f>
        <v>0</v>
      </c>
      <c r="BB60" s="55">
        <f>SOLID!BF29</f>
        <v>0</v>
      </c>
      <c r="BC60" s="55">
        <f>SOLID!BG29</f>
        <v>0</v>
      </c>
      <c r="BD60" s="55">
        <f>SOLID!BH29</f>
        <v>0</v>
      </c>
      <c r="BE60" s="55">
        <f>SOLID!BI29</f>
        <v>0</v>
      </c>
      <c r="BF60" s="55">
        <f>SOLID!BJ29</f>
        <v>0</v>
      </c>
      <c r="BG60" s="55">
        <f>SOLID!BK29</f>
        <v>0</v>
      </c>
      <c r="BH60" s="55">
        <f>SOLID!BL29</f>
        <v>0</v>
      </c>
      <c r="BI60" s="55">
        <f>SOLID!BM29</f>
        <v>0</v>
      </c>
      <c r="BJ60" s="55">
        <f>SOLID!BN29</f>
        <v>0</v>
      </c>
      <c r="BK60" s="55">
        <f>SOLID!BO29</f>
        <v>0</v>
      </c>
      <c r="BL60" s="55">
        <f>SOLID!BP29</f>
        <v>0</v>
      </c>
      <c r="BM60" s="55">
        <f>SOLID!BQ29</f>
        <v>0</v>
      </c>
      <c r="BN60" s="55">
        <f>SOLID!BR29</f>
        <v>0</v>
      </c>
      <c r="BO60" s="55">
        <f>SOLID!BS29</f>
        <v>0</v>
      </c>
      <c r="BP60" s="55">
        <f>SOLID!BT29</f>
        <v>0</v>
      </c>
      <c r="BQ60" s="55">
        <f>SOLID!BU29</f>
        <v>0</v>
      </c>
      <c r="BR60" s="55">
        <f>SOLID!BV29</f>
        <v>0</v>
      </c>
      <c r="BS60" s="55">
        <f>SOLID!BW29</f>
        <v>0</v>
      </c>
      <c r="BT60" s="55">
        <f>SOLID!BX29</f>
        <v>0</v>
      </c>
    </row>
    <row r="61" spans="1:72" ht="21.75" outlineLevel="1" thickBot="1" x14ac:dyDescent="0.4">
      <c r="A61" s="36">
        <f>SOLID!E30</f>
        <v>0</v>
      </c>
      <c r="B61" s="16">
        <f>SOLID!F30</f>
        <v>0</v>
      </c>
      <c r="C61" s="16">
        <f>SOLID!G30</f>
        <v>0</v>
      </c>
      <c r="D61" s="16">
        <f>SOLID!H30</f>
        <v>0</v>
      </c>
      <c r="E61" s="16">
        <f>SOLID!I30</f>
        <v>0</v>
      </c>
      <c r="F61" s="14">
        <f>SOLID!J30</f>
        <v>0</v>
      </c>
      <c r="G61" s="14">
        <f>SOLID!K30</f>
        <v>0</v>
      </c>
      <c r="H61" s="14">
        <f>SOLID!L30</f>
        <v>0</v>
      </c>
      <c r="I61" s="14">
        <f>SOLID!M30</f>
        <v>0</v>
      </c>
      <c r="J61" s="14">
        <f>SOLID!N30</f>
        <v>0</v>
      </c>
      <c r="K61" s="14">
        <f>SOLID!O30</f>
        <v>0</v>
      </c>
      <c r="L61" s="14">
        <f>SOLID!P30</f>
        <v>0</v>
      </c>
      <c r="M61" s="14">
        <f>SOLID!Q30</f>
        <v>0</v>
      </c>
      <c r="N61" s="14">
        <f>SOLID!R30</f>
        <v>0</v>
      </c>
      <c r="O61" s="14">
        <f>SOLID!S30</f>
        <v>0</v>
      </c>
      <c r="P61" s="14">
        <f>SOLID!T30</f>
        <v>0</v>
      </c>
      <c r="Q61" s="14">
        <f>SOLID!U30</f>
        <v>0</v>
      </c>
      <c r="R61" s="14">
        <f>SOLID!V30</f>
        <v>0</v>
      </c>
      <c r="S61" s="14">
        <f>SOLID!W30</f>
        <v>0</v>
      </c>
      <c r="T61" s="14">
        <f>SOLID!X30</f>
        <v>0</v>
      </c>
      <c r="U61" s="14">
        <f>SOLID!Y30</f>
        <v>0</v>
      </c>
      <c r="V61" s="14">
        <f>SOLID!Z30</f>
        <v>0</v>
      </c>
      <c r="W61" s="14">
        <f>SOLID!AA30</f>
        <v>0</v>
      </c>
      <c r="X61" s="14">
        <f>SOLID!AB30</f>
        <v>0</v>
      </c>
      <c r="Y61" s="14">
        <f>SOLID!AC30</f>
        <v>0</v>
      </c>
      <c r="Z61" s="14">
        <f>SOLID!AD30</f>
        <v>0</v>
      </c>
      <c r="AA61" s="14">
        <f>SOLID!AE30</f>
        <v>0</v>
      </c>
      <c r="AB61" s="14">
        <f>SOLID!AF30</f>
        <v>0</v>
      </c>
      <c r="AC61" s="14">
        <f>SOLID!AG30</f>
        <v>0</v>
      </c>
      <c r="AD61" s="14">
        <f>SOLID!AH30</f>
        <v>0</v>
      </c>
      <c r="AE61" s="14">
        <f>SOLID!AI30</f>
        <v>0</v>
      </c>
      <c r="AF61" s="14">
        <f>SOLID!AJ30</f>
        <v>0</v>
      </c>
      <c r="AG61" s="14">
        <f>SOLID!AK30</f>
        <v>0</v>
      </c>
      <c r="AH61" s="14">
        <f>SOLID!AL30</f>
        <v>0</v>
      </c>
      <c r="AI61" s="55">
        <f>SOLID!AM30</f>
        <v>0</v>
      </c>
      <c r="AJ61" s="55">
        <f>SOLID!AN30</f>
        <v>0</v>
      </c>
      <c r="AK61" s="55">
        <f>SOLID!AO30</f>
        <v>0</v>
      </c>
      <c r="AL61" s="55">
        <f>SOLID!AP30</f>
        <v>0</v>
      </c>
      <c r="AM61" s="55">
        <f>SOLID!AQ30</f>
        <v>0</v>
      </c>
      <c r="AN61" s="55">
        <f>SOLID!AR30</f>
        <v>0</v>
      </c>
      <c r="AO61" s="55">
        <f>SOLID!AS30</f>
        <v>0</v>
      </c>
      <c r="AP61" s="55">
        <f>SOLID!AT30</f>
        <v>0</v>
      </c>
      <c r="AQ61" s="55">
        <f>SOLID!AU30</f>
        <v>0</v>
      </c>
      <c r="AR61" s="55">
        <f>SOLID!AV30</f>
        <v>0</v>
      </c>
      <c r="AS61" s="55">
        <f>SOLID!AW30</f>
        <v>0</v>
      </c>
      <c r="AT61" s="55">
        <f>SOLID!AX30</f>
        <v>0</v>
      </c>
      <c r="AU61" s="55">
        <f>SOLID!AY30</f>
        <v>0</v>
      </c>
      <c r="AV61" s="55">
        <f>SOLID!AZ30</f>
        <v>0</v>
      </c>
      <c r="AW61" s="55">
        <f>SOLID!BA30</f>
        <v>0</v>
      </c>
      <c r="AX61" s="55">
        <f>SOLID!BB30</f>
        <v>0</v>
      </c>
      <c r="AY61" s="55">
        <f>SOLID!BC30</f>
        <v>0</v>
      </c>
      <c r="AZ61" s="55">
        <f>SOLID!BD30</f>
        <v>0</v>
      </c>
      <c r="BA61" s="55">
        <f>SOLID!BE30</f>
        <v>0</v>
      </c>
      <c r="BB61" s="55">
        <f>SOLID!BF30</f>
        <v>0</v>
      </c>
      <c r="BC61" s="55">
        <f>SOLID!BG30</f>
        <v>0</v>
      </c>
      <c r="BD61" s="55">
        <f>SOLID!BH30</f>
        <v>0</v>
      </c>
      <c r="BE61" s="55">
        <f>SOLID!BI30</f>
        <v>0</v>
      </c>
      <c r="BF61" s="55">
        <f>SOLID!BJ30</f>
        <v>0</v>
      </c>
      <c r="BG61" s="55">
        <f>SOLID!BK30</f>
        <v>0</v>
      </c>
      <c r="BH61" s="55">
        <f>SOLID!BL30</f>
        <v>0</v>
      </c>
      <c r="BI61" s="55">
        <f>SOLID!BM30</f>
        <v>0</v>
      </c>
      <c r="BJ61" s="55">
        <f>SOLID!BN30</f>
        <v>0</v>
      </c>
      <c r="BK61" s="55">
        <f>SOLID!BO30</f>
        <v>0</v>
      </c>
      <c r="BL61" s="55">
        <f>SOLID!BP30</f>
        <v>0</v>
      </c>
      <c r="BM61" s="55">
        <f>SOLID!BQ30</f>
        <v>0</v>
      </c>
      <c r="BN61" s="55">
        <f>SOLID!BR30</f>
        <v>0</v>
      </c>
      <c r="BO61" s="55">
        <f>SOLID!BS30</f>
        <v>0</v>
      </c>
      <c r="BP61" s="55">
        <f>SOLID!BT30</f>
        <v>0</v>
      </c>
      <c r="BQ61" s="55">
        <f>SOLID!BU30</f>
        <v>0</v>
      </c>
      <c r="BR61" s="55">
        <f>SOLID!BV30</f>
        <v>0</v>
      </c>
      <c r="BS61" s="55">
        <f>SOLID!BW30</f>
        <v>0</v>
      </c>
      <c r="BT61" s="55">
        <f>SOLID!BX30</f>
        <v>0</v>
      </c>
    </row>
    <row r="62" spans="1:72" ht="21.75" outlineLevel="1" thickBot="1" x14ac:dyDescent="0.4">
      <c r="A62" s="36">
        <f>SOLID!E31</f>
        <v>0</v>
      </c>
      <c r="B62" s="16">
        <f>SOLID!F31</f>
        <v>0</v>
      </c>
      <c r="C62" s="16">
        <f>SOLID!G31</f>
        <v>0</v>
      </c>
      <c r="D62" s="16">
        <f>SOLID!H31</f>
        <v>0</v>
      </c>
      <c r="E62" s="16">
        <f>SOLID!I31</f>
        <v>0</v>
      </c>
      <c r="F62" s="14">
        <f>SOLID!J31</f>
        <v>0</v>
      </c>
      <c r="G62" s="14">
        <f>SOLID!K31</f>
        <v>0</v>
      </c>
      <c r="H62" s="14">
        <f>SOLID!L31</f>
        <v>0</v>
      </c>
      <c r="I62" s="14">
        <f>SOLID!M31</f>
        <v>0</v>
      </c>
      <c r="J62" s="14">
        <f>SOLID!N31</f>
        <v>0</v>
      </c>
      <c r="K62" s="14">
        <f>SOLID!O31</f>
        <v>0</v>
      </c>
      <c r="L62" s="14">
        <f>SOLID!P31</f>
        <v>0</v>
      </c>
      <c r="M62" s="14">
        <f>SOLID!Q31</f>
        <v>0</v>
      </c>
      <c r="N62" s="14">
        <f>SOLID!R31</f>
        <v>0</v>
      </c>
      <c r="O62" s="14">
        <f>SOLID!S31</f>
        <v>0</v>
      </c>
      <c r="P62" s="14">
        <f>SOLID!T31</f>
        <v>0</v>
      </c>
      <c r="Q62" s="14">
        <f>SOLID!U31</f>
        <v>0</v>
      </c>
      <c r="R62" s="14">
        <f>SOLID!V31</f>
        <v>0</v>
      </c>
      <c r="S62" s="14">
        <f>SOLID!W31</f>
        <v>0</v>
      </c>
      <c r="T62" s="14">
        <f>SOLID!X31</f>
        <v>0</v>
      </c>
      <c r="U62" s="14">
        <f>SOLID!Y31</f>
        <v>0</v>
      </c>
      <c r="V62" s="14">
        <f>SOLID!Z31</f>
        <v>0</v>
      </c>
      <c r="W62" s="14">
        <f>SOLID!AA31</f>
        <v>0</v>
      </c>
      <c r="X62" s="14">
        <f>SOLID!AB31</f>
        <v>0</v>
      </c>
      <c r="Y62" s="14">
        <f>SOLID!AC31</f>
        <v>0</v>
      </c>
      <c r="Z62" s="14">
        <f>SOLID!AD31</f>
        <v>0</v>
      </c>
      <c r="AA62" s="14">
        <f>SOLID!AE31</f>
        <v>0</v>
      </c>
      <c r="AB62" s="14">
        <f>SOLID!AF31</f>
        <v>0</v>
      </c>
      <c r="AC62" s="14">
        <f>SOLID!AG31</f>
        <v>0</v>
      </c>
      <c r="AD62" s="14">
        <f>SOLID!AH31</f>
        <v>0</v>
      </c>
      <c r="AE62" s="14">
        <f>SOLID!AI31</f>
        <v>0</v>
      </c>
      <c r="AF62" s="14">
        <f>SOLID!AJ31</f>
        <v>0</v>
      </c>
      <c r="AG62" s="14">
        <f>SOLID!AK31</f>
        <v>0</v>
      </c>
      <c r="AH62" s="14">
        <f>SOLID!AL31</f>
        <v>0</v>
      </c>
      <c r="AI62" s="55">
        <f>SOLID!AM31</f>
        <v>0</v>
      </c>
      <c r="AJ62" s="55">
        <f>SOLID!AN31</f>
        <v>0</v>
      </c>
      <c r="AK62" s="55">
        <f>SOLID!AO31</f>
        <v>0</v>
      </c>
      <c r="AL62" s="55">
        <f>SOLID!AP31</f>
        <v>0</v>
      </c>
      <c r="AM62" s="55">
        <f>SOLID!AQ31</f>
        <v>0</v>
      </c>
      <c r="AN62" s="55">
        <f>SOLID!AR31</f>
        <v>0</v>
      </c>
      <c r="AO62" s="55">
        <f>SOLID!AS31</f>
        <v>0</v>
      </c>
      <c r="AP62" s="55">
        <f>SOLID!AT31</f>
        <v>0</v>
      </c>
      <c r="AQ62" s="55">
        <f>SOLID!AU31</f>
        <v>0</v>
      </c>
      <c r="AR62" s="55">
        <f>SOLID!AV31</f>
        <v>0</v>
      </c>
      <c r="AS62" s="55">
        <f>SOLID!AW31</f>
        <v>0</v>
      </c>
      <c r="AT62" s="55">
        <f>SOLID!AX31</f>
        <v>0</v>
      </c>
      <c r="AU62" s="55">
        <f>SOLID!AY31</f>
        <v>0</v>
      </c>
      <c r="AV62" s="55">
        <f>SOLID!AZ31</f>
        <v>0</v>
      </c>
      <c r="AW62" s="55">
        <f>SOLID!BA31</f>
        <v>0</v>
      </c>
      <c r="AX62" s="55">
        <f>SOLID!BB31</f>
        <v>0</v>
      </c>
      <c r="AY62" s="55">
        <f>SOLID!BC31</f>
        <v>0</v>
      </c>
      <c r="AZ62" s="55">
        <f>SOLID!BD31</f>
        <v>0</v>
      </c>
      <c r="BA62" s="55">
        <f>SOLID!BE31</f>
        <v>0</v>
      </c>
      <c r="BB62" s="55">
        <f>SOLID!BF31</f>
        <v>0</v>
      </c>
      <c r="BC62" s="55">
        <f>SOLID!BG31</f>
        <v>0</v>
      </c>
      <c r="BD62" s="55">
        <f>SOLID!BH31</f>
        <v>0</v>
      </c>
      <c r="BE62" s="55">
        <f>SOLID!BI31</f>
        <v>0</v>
      </c>
      <c r="BF62" s="55">
        <f>SOLID!BJ31</f>
        <v>0</v>
      </c>
      <c r="BG62" s="55">
        <f>SOLID!BK31</f>
        <v>0</v>
      </c>
      <c r="BH62" s="55">
        <f>SOLID!BL31</f>
        <v>0</v>
      </c>
      <c r="BI62" s="55">
        <f>SOLID!BM31</f>
        <v>0</v>
      </c>
      <c r="BJ62" s="55">
        <f>SOLID!BN31</f>
        <v>0</v>
      </c>
      <c r="BK62" s="55">
        <f>SOLID!BO31</f>
        <v>0</v>
      </c>
      <c r="BL62" s="55">
        <f>SOLID!BP31</f>
        <v>0</v>
      </c>
      <c r="BM62" s="55">
        <f>SOLID!BQ31</f>
        <v>0</v>
      </c>
      <c r="BN62" s="55">
        <f>SOLID!BR31</f>
        <v>0</v>
      </c>
      <c r="BO62" s="55">
        <f>SOLID!BS31</f>
        <v>0</v>
      </c>
      <c r="BP62" s="55">
        <f>SOLID!BT31</f>
        <v>0</v>
      </c>
      <c r="BQ62" s="55">
        <f>SOLID!BU31</f>
        <v>0</v>
      </c>
      <c r="BR62" s="55">
        <f>SOLID!BV31</f>
        <v>0</v>
      </c>
      <c r="BS62" s="55">
        <f>SOLID!BW31</f>
        <v>0</v>
      </c>
      <c r="BT62" s="55">
        <f>SOLID!BX31</f>
        <v>0</v>
      </c>
    </row>
    <row r="63" spans="1:72" ht="21.75" outlineLevel="1" thickBot="1" x14ac:dyDescent="0.4">
      <c r="A63" s="36">
        <f>SOLID!E32</f>
        <v>0</v>
      </c>
      <c r="B63" s="16">
        <f>SOLID!F32</f>
        <v>0</v>
      </c>
      <c r="C63" s="16">
        <f>SOLID!G32</f>
        <v>0</v>
      </c>
      <c r="D63" s="16">
        <f>SOLID!H32</f>
        <v>0</v>
      </c>
      <c r="E63" s="16">
        <f>SOLID!I32</f>
        <v>0</v>
      </c>
      <c r="F63" s="14">
        <f>SOLID!J32</f>
        <v>0</v>
      </c>
      <c r="G63" s="14">
        <f>SOLID!K32</f>
        <v>0</v>
      </c>
      <c r="H63" s="14">
        <f>SOLID!L32</f>
        <v>0</v>
      </c>
      <c r="I63" s="14">
        <f>SOLID!M32</f>
        <v>0</v>
      </c>
      <c r="J63" s="14">
        <f>SOLID!N32</f>
        <v>0</v>
      </c>
      <c r="K63" s="14">
        <f>SOLID!O32</f>
        <v>0</v>
      </c>
      <c r="L63" s="14">
        <f>SOLID!P32</f>
        <v>0</v>
      </c>
      <c r="M63" s="14">
        <f>SOLID!Q32</f>
        <v>0</v>
      </c>
      <c r="N63" s="14">
        <f>SOLID!R32</f>
        <v>0</v>
      </c>
      <c r="O63" s="14">
        <f>SOLID!S32</f>
        <v>0</v>
      </c>
      <c r="P63" s="14">
        <f>SOLID!T32</f>
        <v>0</v>
      </c>
      <c r="Q63" s="14">
        <f>SOLID!U32</f>
        <v>0</v>
      </c>
      <c r="R63" s="14">
        <f>SOLID!V32</f>
        <v>0</v>
      </c>
      <c r="S63" s="14">
        <f>SOLID!W32</f>
        <v>0</v>
      </c>
      <c r="T63" s="14">
        <f>SOLID!X32</f>
        <v>0</v>
      </c>
      <c r="U63" s="14">
        <f>SOLID!Y32</f>
        <v>0</v>
      </c>
      <c r="V63" s="14">
        <f>SOLID!Z32</f>
        <v>0</v>
      </c>
      <c r="W63" s="14">
        <f>SOLID!AA32</f>
        <v>0</v>
      </c>
      <c r="X63" s="14">
        <f>SOLID!AB32</f>
        <v>0</v>
      </c>
      <c r="Y63" s="14">
        <f>SOLID!AC32</f>
        <v>0</v>
      </c>
      <c r="Z63" s="14">
        <f>SOLID!AD32</f>
        <v>0</v>
      </c>
      <c r="AA63" s="14">
        <f>SOLID!AE32</f>
        <v>0</v>
      </c>
      <c r="AB63" s="14">
        <f>SOLID!AF32</f>
        <v>0</v>
      </c>
      <c r="AC63" s="14">
        <f>SOLID!AG32</f>
        <v>0</v>
      </c>
      <c r="AD63" s="14">
        <f>SOLID!AH32</f>
        <v>0</v>
      </c>
      <c r="AE63" s="14">
        <f>SOLID!AI32</f>
        <v>0</v>
      </c>
      <c r="AF63" s="14">
        <f>SOLID!AJ32</f>
        <v>0</v>
      </c>
      <c r="AG63" s="14">
        <f>SOLID!AK32</f>
        <v>0</v>
      </c>
      <c r="AH63" s="14">
        <f>SOLID!AL32</f>
        <v>0</v>
      </c>
      <c r="AI63" s="55">
        <f>SOLID!AM32</f>
        <v>0</v>
      </c>
      <c r="AJ63" s="55">
        <f>SOLID!AN32</f>
        <v>0</v>
      </c>
      <c r="AK63" s="55">
        <f>SOLID!AO32</f>
        <v>0</v>
      </c>
      <c r="AL63" s="55">
        <f>SOLID!AP32</f>
        <v>0</v>
      </c>
      <c r="AM63" s="55">
        <f>SOLID!AQ32</f>
        <v>0</v>
      </c>
      <c r="AN63" s="55">
        <f>SOLID!AR32</f>
        <v>0</v>
      </c>
      <c r="AO63" s="55">
        <f>SOLID!AS32</f>
        <v>0</v>
      </c>
      <c r="AP63" s="55">
        <f>SOLID!AT32</f>
        <v>0</v>
      </c>
      <c r="AQ63" s="55">
        <f>SOLID!AU32</f>
        <v>0</v>
      </c>
      <c r="AR63" s="55">
        <f>SOLID!AV32</f>
        <v>0</v>
      </c>
      <c r="AS63" s="55">
        <f>SOLID!AW32</f>
        <v>0</v>
      </c>
      <c r="AT63" s="55">
        <f>SOLID!AX32</f>
        <v>0</v>
      </c>
      <c r="AU63" s="55">
        <f>SOLID!AY32</f>
        <v>0</v>
      </c>
      <c r="AV63" s="55">
        <f>SOLID!AZ32</f>
        <v>0</v>
      </c>
      <c r="AW63" s="55">
        <f>SOLID!BA32</f>
        <v>0</v>
      </c>
      <c r="AX63" s="55">
        <f>SOLID!BB32</f>
        <v>0</v>
      </c>
      <c r="AY63" s="55">
        <f>SOLID!BC32</f>
        <v>0</v>
      </c>
      <c r="AZ63" s="55">
        <f>SOLID!BD32</f>
        <v>0</v>
      </c>
      <c r="BA63" s="55">
        <f>SOLID!BE32</f>
        <v>0</v>
      </c>
      <c r="BB63" s="55">
        <f>SOLID!BF32</f>
        <v>0</v>
      </c>
      <c r="BC63" s="55">
        <f>SOLID!BG32</f>
        <v>0</v>
      </c>
      <c r="BD63" s="55">
        <f>SOLID!BH32</f>
        <v>0</v>
      </c>
      <c r="BE63" s="55">
        <f>SOLID!BI32</f>
        <v>0</v>
      </c>
      <c r="BF63" s="55">
        <f>SOLID!BJ32</f>
        <v>0</v>
      </c>
      <c r="BG63" s="55">
        <f>SOLID!BK32</f>
        <v>0</v>
      </c>
      <c r="BH63" s="55">
        <f>SOLID!BL32</f>
        <v>0</v>
      </c>
      <c r="BI63" s="55">
        <f>SOLID!BM32</f>
        <v>0</v>
      </c>
      <c r="BJ63" s="55">
        <f>SOLID!BN32</f>
        <v>0</v>
      </c>
      <c r="BK63" s="55">
        <f>SOLID!BO32</f>
        <v>0</v>
      </c>
      <c r="BL63" s="55">
        <f>SOLID!BP32</f>
        <v>0</v>
      </c>
      <c r="BM63" s="55">
        <f>SOLID!BQ32</f>
        <v>0</v>
      </c>
      <c r="BN63" s="55">
        <f>SOLID!BR32</f>
        <v>0</v>
      </c>
      <c r="BO63" s="55">
        <f>SOLID!BS32</f>
        <v>0</v>
      </c>
      <c r="BP63" s="55">
        <f>SOLID!BT32</f>
        <v>0</v>
      </c>
      <c r="BQ63" s="55">
        <f>SOLID!BU32</f>
        <v>0</v>
      </c>
      <c r="BR63" s="55">
        <f>SOLID!BV32</f>
        <v>0</v>
      </c>
      <c r="BS63" s="55">
        <f>SOLID!BW32</f>
        <v>0</v>
      </c>
      <c r="BT63" s="55">
        <f>SOLID!BX32</f>
        <v>0</v>
      </c>
    </row>
    <row r="64" spans="1:72" ht="21.75" outlineLevel="1" thickBot="1" x14ac:dyDescent="0.4">
      <c r="A64" s="36">
        <f>SOLID!E33</f>
        <v>1</v>
      </c>
      <c r="B64" s="16">
        <f>SOLID!F33</f>
        <v>0</v>
      </c>
      <c r="C64" s="16">
        <f>SOLID!G33</f>
        <v>0</v>
      </c>
      <c r="D64" s="16">
        <f>SOLID!H33</f>
        <v>0</v>
      </c>
      <c r="E64" s="16">
        <f>SOLID!I33</f>
        <v>0</v>
      </c>
      <c r="F64" s="14">
        <f>SOLID!J33</f>
        <v>0</v>
      </c>
      <c r="G64" s="14">
        <f>SOLID!K33</f>
        <v>0</v>
      </c>
      <c r="H64" s="14">
        <f>SOLID!L33</f>
        <v>0</v>
      </c>
      <c r="I64" s="14">
        <f>SOLID!M33</f>
        <v>0</v>
      </c>
      <c r="J64" s="14">
        <f>SOLID!N33</f>
        <v>0</v>
      </c>
      <c r="K64" s="14">
        <f>SOLID!O33</f>
        <v>0</v>
      </c>
      <c r="L64" s="14">
        <f>SOLID!P33</f>
        <v>0</v>
      </c>
      <c r="M64" s="14">
        <f>SOLID!Q33</f>
        <v>0</v>
      </c>
      <c r="N64" s="14">
        <f>SOLID!R33</f>
        <v>0</v>
      </c>
      <c r="O64" s="14">
        <f>SOLID!S33</f>
        <v>0</v>
      </c>
      <c r="P64" s="14">
        <f>SOLID!T33</f>
        <v>0</v>
      </c>
      <c r="Q64" s="14">
        <f>SOLID!U33</f>
        <v>0</v>
      </c>
      <c r="R64" s="14">
        <f>SOLID!V33</f>
        <v>0</v>
      </c>
      <c r="S64" s="14">
        <f>SOLID!W33</f>
        <v>0</v>
      </c>
      <c r="T64" s="14">
        <f>SOLID!X33</f>
        <v>0</v>
      </c>
      <c r="U64" s="14">
        <f>SOLID!Y33</f>
        <v>0</v>
      </c>
      <c r="V64" s="14">
        <f>SOLID!Z33</f>
        <v>0</v>
      </c>
      <c r="W64" s="14">
        <f>SOLID!AA33</f>
        <v>0</v>
      </c>
      <c r="X64" s="14">
        <f>SOLID!AB33</f>
        <v>0</v>
      </c>
      <c r="Y64" s="14">
        <f>SOLID!AC33</f>
        <v>0</v>
      </c>
      <c r="Z64" s="14">
        <f>SOLID!AD33</f>
        <v>0</v>
      </c>
      <c r="AA64" s="14">
        <f>SOLID!AE33</f>
        <v>0</v>
      </c>
      <c r="AB64" s="14">
        <f>SOLID!AF33</f>
        <v>0</v>
      </c>
      <c r="AC64" s="14">
        <f>SOLID!AG33</f>
        <v>0</v>
      </c>
      <c r="AD64" s="14">
        <f>SOLID!AH33</f>
        <v>0</v>
      </c>
      <c r="AE64" s="14">
        <f>SOLID!AI33</f>
        <v>0</v>
      </c>
      <c r="AF64" s="14">
        <f>SOLID!AJ33</f>
        <v>0</v>
      </c>
      <c r="AG64" s="14">
        <f>SOLID!AK33</f>
        <v>0</v>
      </c>
      <c r="AH64" s="14">
        <f>SOLID!AL33</f>
        <v>0</v>
      </c>
      <c r="AI64" s="55">
        <f>SOLID!AM33</f>
        <v>0</v>
      </c>
      <c r="AJ64" s="55">
        <f>SOLID!AN33</f>
        <v>0</v>
      </c>
      <c r="AK64" s="55">
        <f>SOLID!AO33</f>
        <v>0</v>
      </c>
      <c r="AL64" s="55">
        <f>SOLID!AP33</f>
        <v>0</v>
      </c>
      <c r="AM64" s="55">
        <f>SOLID!AQ33</f>
        <v>0</v>
      </c>
      <c r="AN64" s="55">
        <f>SOLID!AR33</f>
        <v>0</v>
      </c>
      <c r="AO64" s="55">
        <f>SOLID!AS33</f>
        <v>0</v>
      </c>
      <c r="AP64" s="55">
        <f>SOLID!AT33</f>
        <v>0</v>
      </c>
      <c r="AQ64" s="55">
        <f>SOLID!AU33</f>
        <v>0</v>
      </c>
      <c r="AR64" s="55">
        <f>SOLID!AV33</f>
        <v>0</v>
      </c>
      <c r="AS64" s="55">
        <f>SOLID!AW33</f>
        <v>0</v>
      </c>
      <c r="AT64" s="55">
        <f>SOLID!AX33</f>
        <v>0</v>
      </c>
      <c r="AU64" s="55">
        <f>SOLID!AY33</f>
        <v>0</v>
      </c>
      <c r="AV64" s="55">
        <f>SOLID!AZ33</f>
        <v>0</v>
      </c>
      <c r="AW64" s="55">
        <f>SOLID!BA33</f>
        <v>0</v>
      </c>
      <c r="AX64" s="55">
        <f>SOLID!BB33</f>
        <v>0</v>
      </c>
      <c r="AY64" s="55">
        <f>SOLID!BC33</f>
        <v>0</v>
      </c>
      <c r="AZ64" s="55">
        <f>SOLID!BD33</f>
        <v>0</v>
      </c>
      <c r="BA64" s="55">
        <f>SOLID!BE33</f>
        <v>0</v>
      </c>
      <c r="BB64" s="55">
        <f>SOLID!BF33</f>
        <v>0</v>
      </c>
      <c r="BC64" s="55">
        <f>SOLID!BG33</f>
        <v>0</v>
      </c>
      <c r="BD64" s="55">
        <f>SOLID!BH33</f>
        <v>0</v>
      </c>
      <c r="BE64" s="55">
        <f>SOLID!BI33</f>
        <v>0</v>
      </c>
      <c r="BF64" s="55">
        <f>SOLID!BJ33</f>
        <v>0</v>
      </c>
      <c r="BG64" s="55">
        <f>SOLID!BK33</f>
        <v>0</v>
      </c>
      <c r="BH64" s="55">
        <f>SOLID!BL33</f>
        <v>0</v>
      </c>
      <c r="BI64" s="55">
        <f>SOLID!BM33</f>
        <v>0</v>
      </c>
      <c r="BJ64" s="55">
        <f>SOLID!BN33</f>
        <v>0</v>
      </c>
      <c r="BK64" s="55">
        <f>SOLID!BO33</f>
        <v>0</v>
      </c>
      <c r="BL64" s="55">
        <f>SOLID!BP33</f>
        <v>0</v>
      </c>
      <c r="BM64" s="55">
        <f>SOLID!BQ33</f>
        <v>0</v>
      </c>
      <c r="BN64" s="55">
        <f>SOLID!BR33</f>
        <v>0</v>
      </c>
      <c r="BO64" s="55">
        <f>SOLID!BS33</f>
        <v>0</v>
      </c>
      <c r="BP64" s="55">
        <f>SOLID!BT33</f>
        <v>0</v>
      </c>
      <c r="BQ64" s="55">
        <f>SOLID!BU33</f>
        <v>0</v>
      </c>
      <c r="BR64" s="55">
        <f>SOLID!BV33</f>
        <v>0</v>
      </c>
      <c r="BS64" s="55">
        <f>SOLID!BW33</f>
        <v>0</v>
      </c>
      <c r="BT64" s="55">
        <f>SOLID!BX33</f>
        <v>0</v>
      </c>
    </row>
    <row r="65" spans="1:72" ht="21.75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</row>
    <row r="66" spans="1:72" ht="22.5" thickTop="1" thickBot="1" x14ac:dyDescent="0.4">
      <c r="A66" s="4" t="s">
        <v>31</v>
      </c>
      <c r="B66" s="69">
        <f>ALL!F3</f>
        <v>273.10000000000002</v>
      </c>
      <c r="C66" s="69">
        <f>ALL!G3</f>
        <v>289.7</v>
      </c>
      <c r="D66" s="69">
        <f>ALL!H3</f>
        <v>306.2</v>
      </c>
      <c r="E66" s="69">
        <f>ALL!I3</f>
        <v>322.7</v>
      </c>
      <c r="F66" s="69">
        <f>ALL!J3</f>
        <v>339.2</v>
      </c>
      <c r="G66" s="69">
        <f>ALL!K3</f>
        <v>405.3</v>
      </c>
      <c r="H66" s="69">
        <f>ALL!L3</f>
        <v>421.8</v>
      </c>
      <c r="I66" s="69">
        <f>ALL!M3</f>
        <v>438.3</v>
      </c>
      <c r="J66" s="69">
        <f>ALL!N3</f>
        <v>454.9</v>
      </c>
      <c r="K66" s="69">
        <f>ALL!O3</f>
        <v>471.4</v>
      </c>
      <c r="L66" s="69">
        <f>ALL!P3</f>
        <v>487.9</v>
      </c>
      <c r="M66" s="69">
        <f>ALL!Q3</f>
        <v>504.4</v>
      </c>
      <c r="N66" s="69">
        <f>ALL!R3</f>
        <v>520.9</v>
      </c>
      <c r="O66" s="69">
        <f>ALL!S3</f>
        <v>537.5</v>
      </c>
      <c r="P66" s="69">
        <f>ALL!T3</f>
        <v>554</v>
      </c>
      <c r="Q66" s="69">
        <f>ALL!U3</f>
        <v>570.5</v>
      </c>
      <c r="R66" s="69">
        <f>ALL!V3</f>
        <v>587</v>
      </c>
      <c r="S66" s="69">
        <f>ALL!W3</f>
        <v>603.5</v>
      </c>
      <c r="T66" s="69">
        <f>ALL!X3</f>
        <v>620.1</v>
      </c>
      <c r="U66" s="69">
        <f>ALL!Y3</f>
        <v>636.6</v>
      </c>
      <c r="V66" s="69">
        <f>ALL!Z3</f>
        <v>653.1</v>
      </c>
      <c r="W66" s="69">
        <f>ALL!AA3</f>
        <v>669.6</v>
      </c>
      <c r="X66" s="69">
        <f>ALL!AB3</f>
        <v>735.7</v>
      </c>
      <c r="Y66" s="69">
        <f>ALL!AC3</f>
        <v>801.8</v>
      </c>
      <c r="Z66" s="69">
        <f>ALL!AD3</f>
        <v>818.3</v>
      </c>
      <c r="AA66" s="69">
        <f>ALL!AE3</f>
        <v>834.8</v>
      </c>
      <c r="AB66" s="69">
        <f>ALL!AF3</f>
        <v>851.3</v>
      </c>
      <c r="AC66" s="69">
        <f>ALL!AG3</f>
        <v>867.8</v>
      </c>
      <c r="AD66" s="69">
        <f>ALL!AH3</f>
        <v>884.4</v>
      </c>
      <c r="AE66" s="69">
        <f>ALL!AI3</f>
        <v>900.9</v>
      </c>
      <c r="AF66" s="69">
        <f>ALL!AJ3</f>
        <v>917.4</v>
      </c>
      <c r="AG66" s="69">
        <f>ALL!AK3</f>
        <v>933.9</v>
      </c>
      <c r="AH66" s="69">
        <f>ALL!AL3</f>
        <v>1000</v>
      </c>
      <c r="AI66" s="69">
        <f>ALL!AM3</f>
        <v>0</v>
      </c>
      <c r="AJ66" s="69">
        <f>ALL!AN3</f>
        <v>0</v>
      </c>
      <c r="AK66" s="69">
        <f>ALL!AO3</f>
        <v>0</v>
      </c>
      <c r="AL66" s="69">
        <f>ALL!AP3</f>
        <v>0</v>
      </c>
      <c r="AM66" s="69">
        <f>ALL!AQ3</f>
        <v>0</v>
      </c>
      <c r="AN66" s="69">
        <f>ALL!AR3</f>
        <v>0</v>
      </c>
      <c r="AO66" s="69">
        <f>ALL!AS3</f>
        <v>0</v>
      </c>
      <c r="AP66" s="69">
        <f>ALL!AT3</f>
        <v>0</v>
      </c>
      <c r="AQ66" s="69">
        <f>ALL!AU3</f>
        <v>0</v>
      </c>
      <c r="AR66" s="69">
        <f>ALL!AV3</f>
        <v>0</v>
      </c>
      <c r="AS66" s="69">
        <f>ALL!AW3</f>
        <v>0</v>
      </c>
      <c r="AT66" s="69">
        <f>ALL!AX3</f>
        <v>0</v>
      </c>
      <c r="AU66" s="69">
        <f>ALL!AY3</f>
        <v>0</v>
      </c>
      <c r="AV66" s="69">
        <f>ALL!AZ3</f>
        <v>0</v>
      </c>
      <c r="AW66" s="69">
        <f>ALL!BA3</f>
        <v>700</v>
      </c>
      <c r="AX66" s="69">
        <f>ALL!BB3</f>
        <v>0</v>
      </c>
      <c r="AY66" s="69">
        <f>ALL!BC3</f>
        <v>0</v>
      </c>
      <c r="AZ66" s="69">
        <f>ALL!BD3</f>
        <v>0</v>
      </c>
      <c r="BA66" s="69">
        <f>ALL!BE3</f>
        <v>0</v>
      </c>
      <c r="BB66" s="69">
        <f>ALL!BF3</f>
        <v>0</v>
      </c>
      <c r="BC66" s="69">
        <f>ALL!BG3</f>
        <v>0</v>
      </c>
      <c r="BD66" s="69">
        <f>ALL!BH3</f>
        <v>0</v>
      </c>
      <c r="BE66" s="69">
        <f>ALL!BI3</f>
        <v>0</v>
      </c>
      <c r="BF66" s="69">
        <f>ALL!BJ3</f>
        <v>0</v>
      </c>
      <c r="BG66" s="69">
        <f>ALL!BK3</f>
        <v>0</v>
      </c>
      <c r="BH66" s="69">
        <f>ALL!BL3</f>
        <v>0</v>
      </c>
      <c r="BI66" s="69">
        <f>ALL!BM3</f>
        <v>0</v>
      </c>
      <c r="BJ66" s="69">
        <f>ALL!BN3</f>
        <v>0</v>
      </c>
      <c r="BK66" s="69">
        <f>ALL!BO3</f>
        <v>0</v>
      </c>
      <c r="BL66" s="69">
        <f>ALL!BP3</f>
        <v>0</v>
      </c>
      <c r="BM66" s="69">
        <f>ALL!BQ3</f>
        <v>0</v>
      </c>
      <c r="BN66" s="69">
        <f>ALL!BR3</f>
        <v>0</v>
      </c>
      <c r="BO66" s="69">
        <f>ALL!BS3</f>
        <v>0</v>
      </c>
      <c r="BP66" s="69">
        <f>ALL!BT3</f>
        <v>0</v>
      </c>
      <c r="BQ66" s="69">
        <f>ALL!BU3</f>
        <v>0</v>
      </c>
      <c r="BR66" s="69">
        <f>ALL!BV3</f>
        <v>0</v>
      </c>
      <c r="BS66" s="69">
        <f>ALL!BW3</f>
        <v>0</v>
      </c>
      <c r="BT66" s="69">
        <f>ALL!BX3</f>
        <v>0</v>
      </c>
    </row>
    <row r="67" spans="1:72" ht="22.5" outlineLevel="1" thickTop="1" thickBot="1" x14ac:dyDescent="0.4">
      <c r="A67" s="36" t="str">
        <f>ALL!E4</f>
        <v>*GeSe</v>
      </c>
      <c r="B67" s="16">
        <f>ALL!F4</f>
        <v>2.9827000000000001E-9</v>
      </c>
      <c r="C67" s="16">
        <f>ALL!G4</f>
        <v>5.4655999999999998E-9</v>
      </c>
      <c r="D67" s="16">
        <f>ALL!H4</f>
        <v>8.6291999999999999E-9</v>
      </c>
      <c r="E67" s="16">
        <f>ALL!I4</f>
        <v>1.5218000000000001E-8</v>
      </c>
      <c r="F67" s="16">
        <f>ALL!J4</f>
        <v>2.2297999999999999E-8</v>
      </c>
      <c r="G67" s="16">
        <f>ALL!K4</f>
        <v>3.6994E-8</v>
      </c>
      <c r="H67" s="16">
        <f>ALL!L4</f>
        <v>2.3000000000000001E-8</v>
      </c>
      <c r="I67" s="16">
        <f>ALL!M4</f>
        <v>1.1274000000000001E-8</v>
      </c>
      <c r="J67" s="16">
        <f>ALL!N4</f>
        <v>3.6984E-9</v>
      </c>
      <c r="K67" s="16">
        <f>ALL!O4</f>
        <v>4.7711999999999997E-12</v>
      </c>
      <c r="L67" s="16">
        <f>ALL!P4</f>
        <v>7.1197000000000007E-18</v>
      </c>
      <c r="M67" s="16">
        <f>ALL!Q4</f>
        <v>5.4020999999999997E-25</v>
      </c>
      <c r="N67" s="16">
        <f>ALL!R4</f>
        <v>1.4035000000000001E-32</v>
      </c>
      <c r="O67" s="16">
        <f>ALL!S4</f>
        <v>0</v>
      </c>
      <c r="P67" s="16">
        <f>ALL!T4</f>
        <v>0</v>
      </c>
      <c r="Q67" s="16">
        <f>ALL!U4</f>
        <v>0</v>
      </c>
      <c r="R67" s="16">
        <f>ALL!V4</f>
        <v>0</v>
      </c>
      <c r="S67" s="16">
        <f>ALL!W4</f>
        <v>0</v>
      </c>
      <c r="T67" s="16">
        <f>ALL!X4</f>
        <v>0</v>
      </c>
      <c r="U67" s="16">
        <f>ALL!Y4</f>
        <v>0</v>
      </c>
      <c r="V67" s="16">
        <f>ALL!Z4</f>
        <v>0</v>
      </c>
      <c r="W67" s="16">
        <f>ALL!AA4</f>
        <v>0</v>
      </c>
      <c r="X67" s="16">
        <f>ALL!AB4</f>
        <v>0</v>
      </c>
      <c r="Y67" s="16">
        <f>ALL!AC4</f>
        <v>0</v>
      </c>
      <c r="Z67" s="16">
        <f>ALL!AD4</f>
        <v>0</v>
      </c>
      <c r="AA67" s="16">
        <f>ALL!AE4</f>
        <v>0</v>
      </c>
      <c r="AB67" s="16">
        <f>ALL!AF4</f>
        <v>0</v>
      </c>
      <c r="AC67" s="16">
        <f>ALL!AG4</f>
        <v>0</v>
      </c>
      <c r="AD67" s="16">
        <f>ALL!AH4</f>
        <v>0</v>
      </c>
      <c r="AE67" s="16">
        <f>ALL!AI4</f>
        <v>0</v>
      </c>
      <c r="AF67" s="16">
        <f>ALL!AJ4</f>
        <v>0</v>
      </c>
      <c r="AG67" s="16">
        <f>ALL!AK4</f>
        <v>0</v>
      </c>
      <c r="AH67" s="16">
        <f>ALL!AL4</f>
        <v>0</v>
      </c>
      <c r="AI67" s="16">
        <f>ALL!AM4</f>
        <v>0</v>
      </c>
      <c r="AJ67" s="16">
        <f>ALL!AN4</f>
        <v>0</v>
      </c>
      <c r="AK67" s="16">
        <f>ALL!AO4</f>
        <v>0</v>
      </c>
      <c r="AL67" s="16">
        <f>ALL!AP4</f>
        <v>0</v>
      </c>
      <c r="AM67" s="16">
        <f>ALL!AQ4</f>
        <v>0</v>
      </c>
      <c r="AN67" s="16">
        <f>ALL!AR4</f>
        <v>0</v>
      </c>
      <c r="AO67" s="16">
        <f>ALL!AS4</f>
        <v>0</v>
      </c>
      <c r="AP67" s="16">
        <f>ALL!AT4</f>
        <v>0</v>
      </c>
      <c r="AQ67" s="16">
        <f>ALL!AU4</f>
        <v>0</v>
      </c>
      <c r="AR67" s="16">
        <f>ALL!AV4</f>
        <v>0</v>
      </c>
      <c r="AS67" s="16">
        <f>ALL!AW4</f>
        <v>0</v>
      </c>
      <c r="AT67" s="16">
        <f>ALL!AX4</f>
        <v>0</v>
      </c>
      <c r="AU67" s="16">
        <f>ALL!AY4</f>
        <v>0</v>
      </c>
      <c r="AV67" s="16">
        <f>ALL!AZ4</f>
        <v>0</v>
      </c>
      <c r="AW67" s="16">
        <f>ALL!BA4</f>
        <v>700</v>
      </c>
      <c r="AX67" s="16">
        <f>ALL!BB4</f>
        <v>1</v>
      </c>
      <c r="AY67" s="16">
        <f>ALL!BC4</f>
        <v>0</v>
      </c>
      <c r="AZ67" s="16">
        <f>ALL!BD4</f>
        <v>0</v>
      </c>
      <c r="BA67" s="16">
        <f>ALL!BE4</f>
        <v>0</v>
      </c>
      <c r="BB67" s="16">
        <f>ALL!BF4</f>
        <v>0</v>
      </c>
      <c r="BC67" s="16">
        <f>ALL!BG4</f>
        <v>0</v>
      </c>
      <c r="BD67" s="16">
        <f>ALL!BH4</f>
        <v>0</v>
      </c>
      <c r="BE67" s="16">
        <f>ALL!BI4</f>
        <v>0</v>
      </c>
      <c r="BF67" s="16">
        <f>ALL!BJ4</f>
        <v>0</v>
      </c>
      <c r="BG67" s="16">
        <f>ALL!BK4</f>
        <v>0</v>
      </c>
      <c r="BH67" s="16">
        <f>ALL!BL4</f>
        <v>0</v>
      </c>
      <c r="BI67" s="16">
        <f>ALL!BM4</f>
        <v>0</v>
      </c>
      <c r="BJ67" s="16">
        <f>ALL!BN4</f>
        <v>0</v>
      </c>
      <c r="BK67" s="16">
        <f>ALL!BO4</f>
        <v>0</v>
      </c>
      <c r="BL67" s="16">
        <f>ALL!BP4</f>
        <v>0</v>
      </c>
      <c r="BM67" s="16">
        <f>ALL!BQ4</f>
        <v>0</v>
      </c>
      <c r="BN67" s="16">
        <f>ALL!BR4</f>
        <v>0</v>
      </c>
      <c r="BO67" s="16">
        <f>ALL!BS4</f>
        <v>0</v>
      </c>
      <c r="BP67" s="16">
        <f>ALL!BT4</f>
        <v>0</v>
      </c>
      <c r="BQ67" s="16">
        <f>ALL!BU4</f>
        <v>0</v>
      </c>
      <c r="BR67" s="16">
        <f>ALL!BV4</f>
        <v>0</v>
      </c>
      <c r="BS67" s="16">
        <f>ALL!BW4</f>
        <v>0</v>
      </c>
      <c r="BT67" s="16">
        <f>ALL!BX4</f>
        <v>0</v>
      </c>
    </row>
    <row r="68" spans="1:72" ht="21.75" outlineLevel="1" thickBot="1" x14ac:dyDescent="0.4">
      <c r="A68" s="36" t="str">
        <f>ALL!E5</f>
        <v>*Ga[1]</v>
      </c>
      <c r="B68" s="16">
        <f>ALL!F5</f>
        <v>0</v>
      </c>
      <c r="C68" s="16">
        <f>ALL!G5</f>
        <v>0</v>
      </c>
      <c r="D68" s="16">
        <f>ALL!H5</f>
        <v>0</v>
      </c>
      <c r="E68" s="16">
        <f>ALL!I5</f>
        <v>0</v>
      </c>
      <c r="F68" s="16">
        <f>ALL!J5</f>
        <v>0</v>
      </c>
      <c r="G68" s="16">
        <f>ALL!K5</f>
        <v>0</v>
      </c>
      <c r="H68" s="16">
        <f>ALL!L5</f>
        <v>0</v>
      </c>
      <c r="I68" s="16">
        <f>ALL!M5</f>
        <v>0</v>
      </c>
      <c r="J68" s="16">
        <f>ALL!N5</f>
        <v>0</v>
      </c>
      <c r="K68" s="16">
        <f>ALL!O5</f>
        <v>0</v>
      </c>
      <c r="L68" s="16">
        <f>ALL!P5</f>
        <v>0</v>
      </c>
      <c r="M68" s="16">
        <f>ALL!Q5</f>
        <v>0</v>
      </c>
      <c r="N68" s="16">
        <f>ALL!R5</f>
        <v>0</v>
      </c>
      <c r="O68" s="16">
        <f>ALL!S5</f>
        <v>0</v>
      </c>
      <c r="P68" s="16">
        <f>ALL!T5</f>
        <v>0</v>
      </c>
      <c r="Q68" s="16">
        <f>ALL!U5</f>
        <v>0</v>
      </c>
      <c r="R68" s="16">
        <f>ALL!V5</f>
        <v>0</v>
      </c>
      <c r="S68" s="16">
        <f>ALL!W5</f>
        <v>0</v>
      </c>
      <c r="T68" s="16">
        <f>ALL!X5</f>
        <v>0</v>
      </c>
      <c r="U68" s="16">
        <f>ALL!Y5</f>
        <v>0</v>
      </c>
      <c r="V68" s="16">
        <f>ALL!Z5</f>
        <v>0</v>
      </c>
      <c r="W68" s="16">
        <f>ALL!AA5</f>
        <v>0</v>
      </c>
      <c r="X68" s="16">
        <f>ALL!AB5</f>
        <v>0</v>
      </c>
      <c r="Y68" s="16">
        <f>ALL!AC5</f>
        <v>6.1428999999999998E-28</v>
      </c>
      <c r="Z68" s="16">
        <f>ALL!AD5</f>
        <v>1.8061E-22</v>
      </c>
      <c r="AA68" s="16">
        <f>ALL!AE5</f>
        <v>2.1782E-17</v>
      </c>
      <c r="AB68" s="16">
        <f>ALL!AF5</f>
        <v>1.0454999999999999E-12</v>
      </c>
      <c r="AC68" s="16">
        <f>ALL!AG5</f>
        <v>5.7881999999999997E-10</v>
      </c>
      <c r="AD68" s="16">
        <f>ALL!AH5</f>
        <v>1.8897999999999999E-7</v>
      </c>
      <c r="AE68" s="16">
        <f>ALL!AI5</f>
        <v>6.7478E-6</v>
      </c>
      <c r="AF68" s="16">
        <f>ALL!AJ5</f>
        <v>5.5303999999999996E-6</v>
      </c>
      <c r="AG68" s="16">
        <f>ALL!AK5</f>
        <v>4.3992000000000002E-6</v>
      </c>
      <c r="AH68" s="16">
        <f>ALL!AL5</f>
        <v>2.1291999999999999E-6</v>
      </c>
      <c r="AI68" s="16">
        <f>ALL!AM5</f>
        <v>0</v>
      </c>
      <c r="AJ68" s="16">
        <f>ALL!AN5</f>
        <v>0</v>
      </c>
      <c r="AK68" s="16">
        <f>ALL!AO5</f>
        <v>0</v>
      </c>
      <c r="AL68" s="16">
        <f>ALL!AP5</f>
        <v>0</v>
      </c>
      <c r="AM68" s="16">
        <f>ALL!AQ5</f>
        <v>0</v>
      </c>
      <c r="AN68" s="16">
        <f>ALL!AR5</f>
        <v>0</v>
      </c>
      <c r="AO68" s="16">
        <f>ALL!AS5</f>
        <v>0</v>
      </c>
      <c r="AP68" s="16">
        <f>ALL!AT5</f>
        <v>0</v>
      </c>
      <c r="AQ68" s="16">
        <f>ALL!AU5</f>
        <v>0</v>
      </c>
      <c r="AR68" s="16">
        <f>ALL!AV5</f>
        <v>0</v>
      </c>
      <c r="AS68" s="16">
        <f>ALL!AW5</f>
        <v>0</v>
      </c>
      <c r="AT68" s="16">
        <f>ALL!AX5</f>
        <v>0</v>
      </c>
      <c r="AU68" s="16">
        <f>ALL!AY5</f>
        <v>0</v>
      </c>
      <c r="AV68" s="16">
        <f>ALL!AZ5</f>
        <v>0</v>
      </c>
      <c r="AW68" s="16">
        <f>ALL!BA5</f>
        <v>0</v>
      </c>
      <c r="AX68" s="16">
        <f>ALL!BB5</f>
        <v>0</v>
      </c>
      <c r="AY68" s="16">
        <f>ALL!BC5</f>
        <v>0</v>
      </c>
      <c r="AZ68" s="16">
        <f>ALL!BD5</f>
        <v>0</v>
      </c>
      <c r="BA68" s="16">
        <f>ALL!BE5</f>
        <v>0</v>
      </c>
      <c r="BB68" s="16">
        <f>ALL!BF5</f>
        <v>0</v>
      </c>
      <c r="BC68" s="16">
        <f>ALL!BG5</f>
        <v>0</v>
      </c>
      <c r="BD68" s="16">
        <f>ALL!BH5</f>
        <v>0</v>
      </c>
      <c r="BE68" s="16">
        <f>ALL!BI5</f>
        <v>0</v>
      </c>
      <c r="BF68" s="16">
        <f>ALL!BJ5</f>
        <v>0</v>
      </c>
      <c r="BG68" s="16">
        <f>ALL!BK5</f>
        <v>0</v>
      </c>
      <c r="BH68" s="16">
        <f>ALL!BL5</f>
        <v>0</v>
      </c>
      <c r="BI68" s="16">
        <f>ALL!BM5</f>
        <v>0</v>
      </c>
      <c r="BJ68" s="16">
        <f>ALL!BN5</f>
        <v>0</v>
      </c>
      <c r="BK68" s="16">
        <f>ALL!BO5</f>
        <v>0</v>
      </c>
      <c r="BL68" s="16">
        <f>ALL!BP5</f>
        <v>0</v>
      </c>
      <c r="BM68" s="16">
        <f>ALL!BQ5</f>
        <v>0</v>
      </c>
      <c r="BN68" s="16">
        <f>ALL!BR5</f>
        <v>0</v>
      </c>
      <c r="BO68" s="16">
        <f>ALL!BS5</f>
        <v>0</v>
      </c>
      <c r="BP68" s="16">
        <f>ALL!BT5</f>
        <v>0</v>
      </c>
      <c r="BQ68" s="16">
        <f>ALL!BU5</f>
        <v>0</v>
      </c>
      <c r="BR68" s="16">
        <f>ALL!BV5</f>
        <v>0</v>
      </c>
      <c r="BS68" s="16">
        <f>ALL!BW5</f>
        <v>0</v>
      </c>
      <c r="BT68" s="16">
        <f>ALL!BX5</f>
        <v>0</v>
      </c>
    </row>
    <row r="69" spans="1:72" ht="21.75" outlineLevel="1" thickBot="1" x14ac:dyDescent="0.4">
      <c r="A69" s="36" t="str">
        <f>ALL!E6</f>
        <v>*Se[m]</v>
      </c>
      <c r="B69" s="16">
        <f>ALL!F6</f>
        <v>0</v>
      </c>
      <c r="C69" s="16">
        <f>ALL!G6</f>
        <v>0</v>
      </c>
      <c r="D69" s="16">
        <f>ALL!H6</f>
        <v>5.8711000000000001E-31</v>
      </c>
      <c r="E69" s="16">
        <f>ALL!I6</f>
        <v>6.2772999999999996E-25</v>
      </c>
      <c r="F69" s="16">
        <f>ALL!J6</f>
        <v>8.6447999999999994E-22</v>
      </c>
      <c r="G69" s="16">
        <f>ALL!K6</f>
        <v>2.0010999999999999E-17</v>
      </c>
      <c r="H69" s="16">
        <f>ALL!L6</f>
        <v>7.7615999999999997E-16</v>
      </c>
      <c r="I69" s="16">
        <f>ALL!M6</f>
        <v>3.5560999999999999E-13</v>
      </c>
      <c r="J69" s="16">
        <f>ALL!N6</f>
        <v>4.4159000000000002E-10</v>
      </c>
      <c r="K69" s="16">
        <f>ALL!O6</f>
        <v>5.0248000000000003E-9</v>
      </c>
      <c r="L69" s="16">
        <f>ALL!P6</f>
        <v>6.2596000000000002E-9</v>
      </c>
      <c r="M69" s="16">
        <f>ALL!Q6</f>
        <v>1.0265E-8</v>
      </c>
      <c r="N69" s="16">
        <f>ALL!R6</f>
        <v>2.1635999999999999E-8</v>
      </c>
      <c r="O69" s="16">
        <f>ALL!S6</f>
        <v>1.5935E-8</v>
      </c>
      <c r="P69" s="16">
        <f>ALL!T6</f>
        <v>2.6362000000000001E-8</v>
      </c>
      <c r="Q69" s="16">
        <f>ALL!U6</f>
        <v>2.0599000000000001E-8</v>
      </c>
      <c r="R69" s="16">
        <f>ALL!V6</f>
        <v>2.3733000000000001E-8</v>
      </c>
      <c r="S69" s="16">
        <f>ALL!W6</f>
        <v>2.3631999999999999E-8</v>
      </c>
      <c r="T69" s="16">
        <f>ALL!X6</f>
        <v>2.2979E-8</v>
      </c>
      <c r="U69" s="16">
        <f>ALL!Y6</f>
        <v>2.3184999999999999E-8</v>
      </c>
      <c r="V69" s="16">
        <f>ALL!Z6</f>
        <v>2.3359000000000001E-8</v>
      </c>
      <c r="W69" s="16">
        <f>ALL!AA6</f>
        <v>2.4491999999999999E-8</v>
      </c>
      <c r="X69" s="16">
        <f>ALL!AB6</f>
        <v>3.1211000000000001E-8</v>
      </c>
      <c r="Y69" s="16">
        <f>ALL!AC6</f>
        <v>3.2555000000000003E-8</v>
      </c>
      <c r="Z69" s="16">
        <f>ALL!AD6</f>
        <v>3.2135999999999997E-8</v>
      </c>
      <c r="AA69" s="16">
        <f>ALL!AE6</f>
        <v>3.1651999999999998E-8</v>
      </c>
      <c r="AB69" s="16">
        <f>ALL!AF6</f>
        <v>3.1298E-8</v>
      </c>
      <c r="AC69" s="16">
        <f>ALL!AG6</f>
        <v>1.2007000000000001E-10</v>
      </c>
      <c r="AD69" s="16">
        <f>ALL!AH6</f>
        <v>1.5713E-29</v>
      </c>
      <c r="AE69" s="16">
        <f>ALL!AI6</f>
        <v>1.8893E-29</v>
      </c>
      <c r="AF69" s="16">
        <f>ALL!AJ6</f>
        <v>3.5658999999999998E-30</v>
      </c>
      <c r="AG69" s="16">
        <f>ALL!AK6</f>
        <v>2.3366000000000001E-29</v>
      </c>
      <c r="AH69" s="16">
        <f>ALL!AL6</f>
        <v>4.121E-23</v>
      </c>
      <c r="AI69" s="16">
        <f>ALL!AM6</f>
        <v>0</v>
      </c>
      <c r="AJ69" s="16">
        <f>ALL!AN6</f>
        <v>0</v>
      </c>
      <c r="AK69" s="16">
        <f>ALL!AO6</f>
        <v>0</v>
      </c>
      <c r="AL69" s="16">
        <f>ALL!AP6</f>
        <v>0</v>
      </c>
      <c r="AM69" s="16">
        <f>ALL!AQ6</f>
        <v>0</v>
      </c>
      <c r="AN69" s="16">
        <f>ALL!AR6</f>
        <v>0</v>
      </c>
      <c r="AO69" s="16">
        <f>ALL!AS6</f>
        <v>0</v>
      </c>
      <c r="AP69" s="16">
        <f>ALL!AT6</f>
        <v>0</v>
      </c>
      <c r="AQ69" s="16">
        <f>ALL!AU6</f>
        <v>0</v>
      </c>
      <c r="AR69" s="16">
        <f>ALL!AV6</f>
        <v>0</v>
      </c>
      <c r="AS69" s="16">
        <f>ALL!AW6</f>
        <v>0</v>
      </c>
      <c r="AT69" s="16">
        <f>ALL!AX6</f>
        <v>0</v>
      </c>
      <c r="AU69" s="16">
        <f>ALL!AY6</f>
        <v>0</v>
      </c>
      <c r="AV69" s="16">
        <f>ALL!AZ6</f>
        <v>0</v>
      </c>
      <c r="AW69" s="16">
        <f>ALL!BA6</f>
        <v>0</v>
      </c>
      <c r="AX69" s="16">
        <f>ALL!BB6</f>
        <v>0</v>
      </c>
      <c r="AY69" s="16">
        <f>ALL!BC6</f>
        <v>0</v>
      </c>
      <c r="AZ69" s="16">
        <f>ALL!BD6</f>
        <v>0</v>
      </c>
      <c r="BA69" s="16">
        <f>ALL!BE6</f>
        <v>0</v>
      </c>
      <c r="BB69" s="16">
        <f>ALL!BF6</f>
        <v>0</v>
      </c>
      <c r="BC69" s="16">
        <f>ALL!BG6</f>
        <v>0</v>
      </c>
      <c r="BD69" s="16">
        <f>ALL!BH6</f>
        <v>0</v>
      </c>
      <c r="BE69" s="16">
        <f>ALL!BI6</f>
        <v>0</v>
      </c>
      <c r="BF69" s="16">
        <f>ALL!BJ6</f>
        <v>0</v>
      </c>
      <c r="BG69" s="16">
        <f>ALL!BK6</f>
        <v>0</v>
      </c>
      <c r="BH69" s="16">
        <f>ALL!BL6</f>
        <v>0</v>
      </c>
      <c r="BI69" s="16">
        <f>ALL!BM6</f>
        <v>0</v>
      </c>
      <c r="BJ69" s="16">
        <f>ALL!BN6</f>
        <v>0</v>
      </c>
      <c r="BK69" s="16">
        <f>ALL!BO6</f>
        <v>0</v>
      </c>
      <c r="BL69" s="16">
        <f>ALL!BP6</f>
        <v>0</v>
      </c>
      <c r="BM69" s="16">
        <f>ALL!BQ6</f>
        <v>0</v>
      </c>
      <c r="BN69" s="16">
        <f>ALL!BR6</f>
        <v>0</v>
      </c>
      <c r="BO69" s="16">
        <f>ALL!BS6</f>
        <v>0</v>
      </c>
      <c r="BP69" s="16">
        <f>ALL!BT6</f>
        <v>0</v>
      </c>
      <c r="BQ69" s="16">
        <f>ALL!BU6</f>
        <v>0</v>
      </c>
      <c r="BR69" s="16">
        <f>ALL!BV6</f>
        <v>0</v>
      </c>
      <c r="BS69" s="16">
        <f>ALL!BW6</f>
        <v>0</v>
      </c>
      <c r="BT69" s="16">
        <f>ALL!BX6</f>
        <v>0</v>
      </c>
    </row>
    <row r="70" spans="1:72" ht="21.75" outlineLevel="1" thickBot="1" x14ac:dyDescent="0.4">
      <c r="A70" s="36" t="str">
        <f>ALL!E7</f>
        <v>*GeSe2</v>
      </c>
      <c r="B70" s="16">
        <f>ALL!F7</f>
        <v>1.4458999999999999E-9</v>
      </c>
      <c r="C70" s="16">
        <f>ALL!G7</f>
        <v>2.5027000000000001E-10</v>
      </c>
      <c r="D70" s="16">
        <f>ALL!H7</f>
        <v>1.1699000000000001E-12</v>
      </c>
      <c r="E70" s="16">
        <f>ALL!I7</f>
        <v>1.2121E-17</v>
      </c>
      <c r="F70" s="16">
        <f>ALL!J7</f>
        <v>2.3451999999999999E-26</v>
      </c>
      <c r="G70" s="16">
        <f>ALL!K7</f>
        <v>0</v>
      </c>
      <c r="H70" s="16">
        <f>ALL!L7</f>
        <v>0</v>
      </c>
      <c r="I70" s="16">
        <f>ALL!M7</f>
        <v>0</v>
      </c>
      <c r="J70" s="16">
        <f>ALL!N7</f>
        <v>0</v>
      </c>
      <c r="K70" s="16">
        <f>ALL!O7</f>
        <v>0</v>
      </c>
      <c r="L70" s="16">
        <f>ALL!P7</f>
        <v>0</v>
      </c>
      <c r="M70" s="16">
        <f>ALL!Q7</f>
        <v>0</v>
      </c>
      <c r="N70" s="16">
        <f>ALL!R7</f>
        <v>0</v>
      </c>
      <c r="O70" s="16">
        <f>ALL!S7</f>
        <v>0</v>
      </c>
      <c r="P70" s="16">
        <f>ALL!T7</f>
        <v>0</v>
      </c>
      <c r="Q70" s="16">
        <f>ALL!U7</f>
        <v>0</v>
      </c>
      <c r="R70" s="16">
        <f>ALL!V7</f>
        <v>0</v>
      </c>
      <c r="S70" s="16">
        <f>ALL!W7</f>
        <v>0</v>
      </c>
      <c r="T70" s="16">
        <f>ALL!X7</f>
        <v>0</v>
      </c>
      <c r="U70" s="16">
        <f>ALL!Y7</f>
        <v>0</v>
      </c>
      <c r="V70" s="16">
        <f>ALL!Z7</f>
        <v>0</v>
      </c>
      <c r="W70" s="16">
        <f>ALL!AA7</f>
        <v>0</v>
      </c>
      <c r="X70" s="16">
        <f>ALL!AB7</f>
        <v>0</v>
      </c>
      <c r="Y70" s="16">
        <f>ALL!AC7</f>
        <v>0</v>
      </c>
      <c r="Z70" s="16">
        <f>ALL!AD7</f>
        <v>0</v>
      </c>
      <c r="AA70" s="16">
        <f>ALL!AE7</f>
        <v>0</v>
      </c>
      <c r="AB70" s="16">
        <f>ALL!AF7</f>
        <v>0</v>
      </c>
      <c r="AC70" s="16">
        <f>ALL!AG7</f>
        <v>0</v>
      </c>
      <c r="AD70" s="16">
        <f>ALL!AH7</f>
        <v>0</v>
      </c>
      <c r="AE70" s="16">
        <f>ALL!AI7</f>
        <v>0</v>
      </c>
      <c r="AF70" s="16">
        <f>ALL!AJ7</f>
        <v>0</v>
      </c>
      <c r="AG70" s="16">
        <f>ALL!AK7</f>
        <v>0</v>
      </c>
      <c r="AH70" s="16">
        <f>ALL!AL7</f>
        <v>0</v>
      </c>
      <c r="AI70" s="16">
        <f>ALL!AM7</f>
        <v>0</v>
      </c>
      <c r="AJ70" s="16">
        <f>ALL!AN7</f>
        <v>0</v>
      </c>
      <c r="AK70" s="16">
        <f>ALL!AO7</f>
        <v>0</v>
      </c>
      <c r="AL70" s="16">
        <f>ALL!AP7</f>
        <v>0</v>
      </c>
      <c r="AM70" s="16">
        <f>ALL!AQ7</f>
        <v>0</v>
      </c>
      <c r="AN70" s="16">
        <f>ALL!AR7</f>
        <v>0</v>
      </c>
      <c r="AO70" s="16">
        <f>ALL!AS7</f>
        <v>0</v>
      </c>
      <c r="AP70" s="16">
        <f>ALL!AT7</f>
        <v>0</v>
      </c>
      <c r="AQ70" s="16">
        <f>ALL!AU7</f>
        <v>0</v>
      </c>
      <c r="AR70" s="16">
        <f>ALL!AV7</f>
        <v>0</v>
      </c>
      <c r="AS70" s="16">
        <f>ALL!AW7</f>
        <v>0</v>
      </c>
      <c r="AT70" s="16">
        <f>ALL!AX7</f>
        <v>0</v>
      </c>
      <c r="AU70" s="16">
        <f>ALL!AY7</f>
        <v>0</v>
      </c>
      <c r="AV70" s="16">
        <f>ALL!AZ7</f>
        <v>0</v>
      </c>
      <c r="AW70" s="16">
        <f>ALL!BA7</f>
        <v>0</v>
      </c>
      <c r="AX70" s="16">
        <f>ALL!BB7</f>
        <v>0</v>
      </c>
      <c r="AY70" s="16">
        <f>ALL!BC7</f>
        <v>0</v>
      </c>
      <c r="AZ70" s="16">
        <f>ALL!BD7</f>
        <v>0</v>
      </c>
      <c r="BA70" s="16">
        <f>ALL!BE7</f>
        <v>0</v>
      </c>
      <c r="BB70" s="16">
        <f>ALL!BF7</f>
        <v>0</v>
      </c>
      <c r="BC70" s="16">
        <f>ALL!BG7</f>
        <v>0</v>
      </c>
      <c r="BD70" s="16">
        <f>ALL!BH7</f>
        <v>0</v>
      </c>
      <c r="BE70" s="16">
        <f>ALL!BI7</f>
        <v>0</v>
      </c>
      <c r="BF70" s="16">
        <f>ALL!BJ7</f>
        <v>0</v>
      </c>
      <c r="BG70" s="16">
        <f>ALL!BK7</f>
        <v>0</v>
      </c>
      <c r="BH70" s="16">
        <f>ALL!BL7</f>
        <v>0</v>
      </c>
      <c r="BI70" s="16">
        <f>ALL!BM7</f>
        <v>0</v>
      </c>
      <c r="BJ70" s="16">
        <f>ALL!BN7</f>
        <v>0</v>
      </c>
      <c r="BK70" s="16">
        <f>ALL!BO7</f>
        <v>0</v>
      </c>
      <c r="BL70" s="16">
        <f>ALL!BP7</f>
        <v>0</v>
      </c>
      <c r="BM70" s="16">
        <f>ALL!BQ7</f>
        <v>0</v>
      </c>
      <c r="BN70" s="16">
        <f>ALL!BR7</f>
        <v>0</v>
      </c>
      <c r="BO70" s="16">
        <f>ALL!BS7</f>
        <v>0</v>
      </c>
      <c r="BP70" s="16">
        <f>ALL!BT7</f>
        <v>0</v>
      </c>
      <c r="BQ70" s="16">
        <f>ALL!BU7</f>
        <v>0</v>
      </c>
      <c r="BR70" s="16">
        <f>ALL!BV7</f>
        <v>0</v>
      </c>
      <c r="BS70" s="16">
        <f>ALL!BW7</f>
        <v>0</v>
      </c>
      <c r="BT70" s="16">
        <f>ALL!BX7</f>
        <v>0</v>
      </c>
    </row>
    <row r="71" spans="1:72" ht="21.75" outlineLevel="1" thickBot="1" x14ac:dyDescent="0.4">
      <c r="A71" s="36" t="str">
        <f>ALL!E8</f>
        <v>Ga2Se3</v>
      </c>
      <c r="B71" s="16">
        <f>ALL!F8</f>
        <v>8.2921999999999996E-3</v>
      </c>
      <c r="C71" s="16">
        <f>ALL!G8</f>
        <v>8.1940999999999993E-3</v>
      </c>
      <c r="D71" s="16">
        <f>ALL!H8</f>
        <v>7.9570000000000005E-3</v>
      </c>
      <c r="E71" s="16">
        <f>ALL!I8</f>
        <v>7.561E-3</v>
      </c>
      <c r="F71" s="16">
        <f>ALL!J8</f>
        <v>7.1253000000000002E-3</v>
      </c>
      <c r="G71" s="16">
        <f>ALL!K8</f>
        <v>6.4335E-3</v>
      </c>
      <c r="H71" s="16">
        <f>ALL!L8</f>
        <v>6.3306999999999999E-3</v>
      </c>
      <c r="I71" s="16">
        <f>ALL!M8</f>
        <v>6.1551000000000002E-3</v>
      </c>
      <c r="J71" s="16">
        <f>ALL!N8</f>
        <v>5.8837000000000004E-3</v>
      </c>
      <c r="K71" s="16">
        <f>ALL!O8</f>
        <v>5.5401000000000001E-3</v>
      </c>
      <c r="L71" s="16">
        <f>ALL!P8</f>
        <v>5.1904000000000004E-3</v>
      </c>
      <c r="M71" s="16">
        <f>ALL!Q8</f>
        <v>4.9026E-3</v>
      </c>
      <c r="N71" s="16">
        <f>ALL!R8</f>
        <v>4.7057999999999996E-3</v>
      </c>
      <c r="O71" s="16">
        <f>ALL!S8</f>
        <v>4.5878999999999998E-3</v>
      </c>
      <c r="P71" s="16">
        <f>ALL!T8</f>
        <v>4.5222999999999999E-3</v>
      </c>
      <c r="Q71" s="16">
        <f>ALL!U8</f>
        <v>4.4869000000000003E-3</v>
      </c>
      <c r="R71" s="16">
        <f>ALL!V8</f>
        <v>4.4676999999999998E-3</v>
      </c>
      <c r="S71" s="16">
        <f>ALL!W8</f>
        <v>4.4561999999999996E-3</v>
      </c>
      <c r="T71" s="16">
        <f>ALL!X8</f>
        <v>4.4453000000000001E-3</v>
      </c>
      <c r="U71" s="16">
        <f>ALL!Y8</f>
        <v>4.4216000000000004E-3</v>
      </c>
      <c r="V71" s="16">
        <f>ALL!Z8</f>
        <v>4.3454000000000001E-3</v>
      </c>
      <c r="W71" s="16">
        <f>ALL!AA8</f>
        <v>4.1025999999999996E-3</v>
      </c>
      <c r="X71" s="16">
        <f>ALL!AB8</f>
        <v>4.5949000000000001E-4</v>
      </c>
      <c r="Y71" s="16">
        <f>ALL!AC8</f>
        <v>7.2798000000000002E-6</v>
      </c>
      <c r="Z71" s="16">
        <f>ALL!AD8</f>
        <v>2.5911999999999999E-6</v>
      </c>
      <c r="AA71" s="16">
        <f>ALL!AE8</f>
        <v>9.2691999999999999E-7</v>
      </c>
      <c r="AB71" s="16">
        <f>ALL!AF8</f>
        <v>3.3339E-7</v>
      </c>
      <c r="AC71" s="16">
        <f>ALL!AG8</f>
        <v>1.2088000000000001E-7</v>
      </c>
      <c r="AD71" s="16">
        <f>ALL!AH8</f>
        <v>4.3569999999999999E-8</v>
      </c>
      <c r="AE71" s="16">
        <f>ALL!AI8</f>
        <v>9.6765999999999994E-9</v>
      </c>
      <c r="AF71" s="16">
        <f>ALL!AJ8</f>
        <v>2.1810999999999998E-9</v>
      </c>
      <c r="AG71" s="16">
        <f>ALL!AK8</f>
        <v>5.0700000000000001E-10</v>
      </c>
      <c r="AH71" s="16">
        <f>ALL!AL8</f>
        <v>2.0327E-12</v>
      </c>
      <c r="AI71" s="16">
        <f>ALL!AM8</f>
        <v>0</v>
      </c>
      <c r="AJ71" s="16">
        <f>ALL!AN8</f>
        <v>0</v>
      </c>
      <c r="AK71" s="16">
        <f>ALL!AO8</f>
        <v>0</v>
      </c>
      <c r="AL71" s="16">
        <f>ALL!AP8</f>
        <v>0</v>
      </c>
      <c r="AM71" s="16">
        <f>ALL!AQ8</f>
        <v>0</v>
      </c>
      <c r="AN71" s="16">
        <f>ALL!AR8</f>
        <v>0</v>
      </c>
      <c r="AO71" s="16">
        <f>ALL!AS8</f>
        <v>0</v>
      </c>
      <c r="AP71" s="16">
        <f>ALL!AT8</f>
        <v>0</v>
      </c>
      <c r="AQ71" s="16">
        <f>ALL!AU8</f>
        <v>0</v>
      </c>
      <c r="AR71" s="16">
        <f>ALL!AV8</f>
        <v>0</v>
      </c>
      <c r="AS71" s="16">
        <f>ALL!AW8</f>
        <v>0</v>
      </c>
      <c r="AT71" s="16">
        <f>ALL!AX8</f>
        <v>0</v>
      </c>
      <c r="AU71" s="16">
        <f>ALL!AY8</f>
        <v>0</v>
      </c>
      <c r="AV71" s="16">
        <f>ALL!AZ8</f>
        <v>0</v>
      </c>
      <c r="AW71" s="16">
        <f>ALL!BA8</f>
        <v>0</v>
      </c>
      <c r="AX71" s="16">
        <f>ALL!BB8</f>
        <v>0</v>
      </c>
      <c r="AY71" s="16">
        <f>ALL!BC8</f>
        <v>0</v>
      </c>
      <c r="AZ71" s="16">
        <f>ALL!BD8</f>
        <v>0</v>
      </c>
      <c r="BA71" s="16">
        <f>ALL!BE8</f>
        <v>0</v>
      </c>
      <c r="BB71" s="16">
        <f>ALL!BF8</f>
        <v>0</v>
      </c>
      <c r="BC71" s="16">
        <f>ALL!BG8</f>
        <v>0</v>
      </c>
      <c r="BD71" s="16">
        <f>ALL!BH8</f>
        <v>0</v>
      </c>
      <c r="BE71" s="16">
        <f>ALL!BI8</f>
        <v>0</v>
      </c>
      <c r="BF71" s="16">
        <f>ALL!BJ8</f>
        <v>0</v>
      </c>
      <c r="BG71" s="16">
        <f>ALL!BK8</f>
        <v>0</v>
      </c>
      <c r="BH71" s="16">
        <f>ALL!BL8</f>
        <v>0</v>
      </c>
      <c r="BI71" s="16">
        <f>ALL!BM8</f>
        <v>0</v>
      </c>
      <c r="BJ71" s="16">
        <f>ALL!BN8</f>
        <v>0</v>
      </c>
      <c r="BK71" s="16">
        <f>ALL!BO8</f>
        <v>0</v>
      </c>
      <c r="BL71" s="16">
        <f>ALL!BP8</f>
        <v>0</v>
      </c>
      <c r="BM71" s="16">
        <f>ALL!BQ8</f>
        <v>0</v>
      </c>
      <c r="BN71" s="16">
        <f>ALL!BR8</f>
        <v>0</v>
      </c>
      <c r="BO71" s="16">
        <f>ALL!BS8</f>
        <v>0</v>
      </c>
      <c r="BP71" s="16">
        <f>ALL!BT8</f>
        <v>0</v>
      </c>
      <c r="BQ71" s="16">
        <f>ALL!BU8</f>
        <v>0</v>
      </c>
      <c r="BR71" s="16">
        <f>ALL!BV8</f>
        <v>0</v>
      </c>
      <c r="BS71" s="16">
        <f>ALL!BW8</f>
        <v>0</v>
      </c>
      <c r="BT71" s="16">
        <f>ALL!BX8</f>
        <v>0</v>
      </c>
    </row>
    <row r="72" spans="1:72" ht="21.75" outlineLevel="1" thickBot="1" x14ac:dyDescent="0.4">
      <c r="A72" s="36" t="str">
        <f>ALL!E9</f>
        <v>Ga2Se</v>
      </c>
      <c r="B72" s="16">
        <f>ALL!F9</f>
        <v>0</v>
      </c>
      <c r="C72" s="16">
        <f>ALL!G9</f>
        <v>0</v>
      </c>
      <c r="D72" s="16">
        <f>ALL!H9</f>
        <v>0</v>
      </c>
      <c r="E72" s="16">
        <f>ALL!I9</f>
        <v>0</v>
      </c>
      <c r="F72" s="16">
        <f>ALL!J9</f>
        <v>0</v>
      </c>
      <c r="G72" s="16">
        <f>ALL!K9</f>
        <v>0</v>
      </c>
      <c r="H72" s="16">
        <f>ALL!L9</f>
        <v>0</v>
      </c>
      <c r="I72" s="16">
        <f>ALL!M9</f>
        <v>0</v>
      </c>
      <c r="J72" s="16">
        <f>ALL!N9</f>
        <v>7.4465000000000001E-35</v>
      </c>
      <c r="K72" s="16">
        <f>ALL!O9</f>
        <v>9.0942999999999997E-33</v>
      </c>
      <c r="L72" s="16">
        <f>ALL!P9</f>
        <v>8.2290000000000008E-31</v>
      </c>
      <c r="M72" s="16">
        <f>ALL!Q9</f>
        <v>5.9169000000000003E-29</v>
      </c>
      <c r="N72" s="16">
        <f>ALL!R9</f>
        <v>3.5006000000000002E-27</v>
      </c>
      <c r="O72" s="16">
        <f>ALL!S9</f>
        <v>1.7198000000000001E-25</v>
      </c>
      <c r="P72" s="16">
        <f>ALL!T9</f>
        <v>7.0269E-24</v>
      </c>
      <c r="Q72" s="16">
        <f>ALL!U9</f>
        <v>2.3967999999999999E-22</v>
      </c>
      <c r="R72" s="16">
        <f>ALL!V9</f>
        <v>6.8768000000000004E-21</v>
      </c>
      <c r="S72" s="16">
        <f>ALL!W9</f>
        <v>1.6759E-19</v>
      </c>
      <c r="T72" s="16">
        <f>ALL!X9</f>
        <v>3.5032999999999997E-18</v>
      </c>
      <c r="U72" s="16">
        <f>ALL!Y9</f>
        <v>6.3313999999999995E-17</v>
      </c>
      <c r="V72" s="16">
        <f>ALL!Z9</f>
        <v>9.8978000000000008E-16</v>
      </c>
      <c r="W72" s="16">
        <f>ALL!AA9</f>
        <v>1.3115E-14</v>
      </c>
      <c r="X72" s="16">
        <f>ALL!AB9</f>
        <v>1.8892E-11</v>
      </c>
      <c r="Y72" s="16">
        <f>ALL!AC9</f>
        <v>9.9455999999999992E-10</v>
      </c>
      <c r="Z72" s="16">
        <f>ALL!AD9</f>
        <v>2.2495000000000001E-9</v>
      </c>
      <c r="AA72" s="16">
        <f>ALL!AE9</f>
        <v>4.7989E-9</v>
      </c>
      <c r="AB72" s="16">
        <f>ALL!AF9</f>
        <v>9.6941999999999999E-9</v>
      </c>
      <c r="AC72" s="16">
        <f>ALL!AG9</f>
        <v>1.8652000000000001E-8</v>
      </c>
      <c r="AD72" s="16">
        <f>ALL!AH9</f>
        <v>3.3769000000000003E-8</v>
      </c>
      <c r="AE72" s="16">
        <f>ALL!AI9</f>
        <v>3.4797999999999998E-8</v>
      </c>
      <c r="AF72" s="16">
        <f>ALL!AJ9</f>
        <v>3.5021E-8</v>
      </c>
      <c r="AG72" s="16">
        <f>ALL!AK9</f>
        <v>3.4928E-8</v>
      </c>
      <c r="AH72" s="16">
        <f>ALL!AL9</f>
        <v>3.2273000000000001E-8</v>
      </c>
      <c r="AI72" s="16">
        <f>ALL!AM9</f>
        <v>0</v>
      </c>
      <c r="AJ72" s="16">
        <f>ALL!AN9</f>
        <v>0</v>
      </c>
      <c r="AK72" s="16">
        <f>ALL!AO9</f>
        <v>0</v>
      </c>
      <c r="AL72" s="16">
        <f>ALL!AP9</f>
        <v>0</v>
      </c>
      <c r="AM72" s="16">
        <f>ALL!AQ9</f>
        <v>0</v>
      </c>
      <c r="AN72" s="16">
        <f>ALL!AR9</f>
        <v>0</v>
      </c>
      <c r="AO72" s="16">
        <f>ALL!AS9</f>
        <v>0</v>
      </c>
      <c r="AP72" s="16">
        <f>ALL!AT9</f>
        <v>0</v>
      </c>
      <c r="AQ72" s="16">
        <f>ALL!AU9</f>
        <v>0</v>
      </c>
      <c r="AR72" s="16">
        <f>ALL!AV9</f>
        <v>0</v>
      </c>
      <c r="AS72" s="16">
        <f>ALL!AW9</f>
        <v>0</v>
      </c>
      <c r="AT72" s="16">
        <f>ALL!AX9</f>
        <v>0</v>
      </c>
      <c r="AU72" s="16">
        <f>ALL!AY9</f>
        <v>0</v>
      </c>
      <c r="AV72" s="16">
        <f>ALL!AZ9</f>
        <v>0</v>
      </c>
      <c r="AW72" s="16">
        <f>ALL!BA9</f>
        <v>0</v>
      </c>
      <c r="AX72" s="16">
        <f>ALL!BB9</f>
        <v>0</v>
      </c>
      <c r="AY72" s="16">
        <f>ALL!BC9</f>
        <v>0</v>
      </c>
      <c r="AZ72" s="16">
        <f>ALL!BD9</f>
        <v>0</v>
      </c>
      <c r="BA72" s="16">
        <f>ALL!BE9</f>
        <v>0</v>
      </c>
      <c r="BB72" s="16">
        <f>ALL!BF9</f>
        <v>0</v>
      </c>
      <c r="BC72" s="16">
        <f>ALL!BG9</f>
        <v>0</v>
      </c>
      <c r="BD72" s="16">
        <f>ALL!BH9</f>
        <v>0</v>
      </c>
      <c r="BE72" s="16">
        <f>ALL!BI9</f>
        <v>0</v>
      </c>
      <c r="BF72" s="16">
        <f>ALL!BJ9</f>
        <v>0</v>
      </c>
      <c r="BG72" s="16">
        <f>ALL!BK9</f>
        <v>0</v>
      </c>
      <c r="BH72" s="16">
        <f>ALL!BL9</f>
        <v>0</v>
      </c>
      <c r="BI72" s="16">
        <f>ALL!BM9</f>
        <v>0</v>
      </c>
      <c r="BJ72" s="16">
        <f>ALL!BN9</f>
        <v>0</v>
      </c>
      <c r="BK72" s="16">
        <f>ALL!BO9</f>
        <v>0</v>
      </c>
      <c r="BL72" s="16">
        <f>ALL!BP9</f>
        <v>0</v>
      </c>
      <c r="BM72" s="16">
        <f>ALL!BQ9</f>
        <v>0</v>
      </c>
      <c r="BN72" s="16">
        <f>ALL!BR9</f>
        <v>0</v>
      </c>
      <c r="BO72" s="16">
        <f>ALL!BS9</f>
        <v>0</v>
      </c>
      <c r="BP72" s="16">
        <f>ALL!BT9</f>
        <v>0</v>
      </c>
      <c r="BQ72" s="16">
        <f>ALL!BU9</f>
        <v>0</v>
      </c>
      <c r="BR72" s="16">
        <f>ALL!BV9</f>
        <v>0</v>
      </c>
      <c r="BS72" s="16">
        <f>ALL!BW9</f>
        <v>0</v>
      </c>
      <c r="BT72" s="16">
        <f>ALL!BX9</f>
        <v>0</v>
      </c>
    </row>
    <row r="73" spans="1:72" ht="21.75" outlineLevel="1" thickBot="1" x14ac:dyDescent="0.4">
      <c r="A73" s="36" t="str">
        <f>ALL!E10</f>
        <v>Ga</v>
      </c>
      <c r="B73" s="16">
        <f>ALL!F10</f>
        <v>0</v>
      </c>
      <c r="C73" s="16">
        <f>ALL!G10</f>
        <v>0</v>
      </c>
      <c r="D73" s="16">
        <f>ALL!H10</f>
        <v>0</v>
      </c>
      <c r="E73" s="16">
        <f>ALL!I10</f>
        <v>0</v>
      </c>
      <c r="F73" s="16">
        <f>ALL!J10</f>
        <v>0</v>
      </c>
      <c r="G73" s="16">
        <f>ALL!K10</f>
        <v>0</v>
      </c>
      <c r="H73" s="16">
        <f>ALL!L10</f>
        <v>0</v>
      </c>
      <c r="I73" s="16">
        <f>ALL!M10</f>
        <v>0</v>
      </c>
      <c r="J73" s="16">
        <f>ALL!N10</f>
        <v>0</v>
      </c>
      <c r="K73" s="16">
        <f>ALL!O10</f>
        <v>0</v>
      </c>
      <c r="L73" s="16">
        <f>ALL!P10</f>
        <v>1.2616E-34</v>
      </c>
      <c r="M73" s="16">
        <f>ALL!Q10</f>
        <v>7.1091E-33</v>
      </c>
      <c r="N73" s="16">
        <f>ALL!R10</f>
        <v>3.2809E-31</v>
      </c>
      <c r="O73" s="16">
        <f>ALL!S10</f>
        <v>1.2545E-29</v>
      </c>
      <c r="P73" s="16">
        <f>ALL!T10</f>
        <v>3.9983999999999998E-28</v>
      </c>
      <c r="Q73" s="16">
        <f>ALL!U10</f>
        <v>1.0702999999999999E-26</v>
      </c>
      <c r="R73" s="16">
        <f>ALL!V10</f>
        <v>2.4292999999999999E-25</v>
      </c>
      <c r="S73" s="16">
        <f>ALL!W10</f>
        <v>4.7242999999999998E-24</v>
      </c>
      <c r="T73" s="16">
        <f>ALL!X10</f>
        <v>7.9534999999999998E-23</v>
      </c>
      <c r="U73" s="16">
        <f>ALL!Y10</f>
        <v>1.1693999999999999E-21</v>
      </c>
      <c r="V73" s="16">
        <f>ALL!Z10</f>
        <v>1.5085999999999999E-20</v>
      </c>
      <c r="W73" s="16">
        <f>ALL!AA10</f>
        <v>1.6962000000000001E-19</v>
      </c>
      <c r="X73" s="16">
        <f>ALL!AB10</f>
        <v>3.6142999999999999E-16</v>
      </c>
      <c r="Y73" s="16">
        <f>ALL!AC10</f>
        <v>8.1400999999999996E-14</v>
      </c>
      <c r="Z73" s="16">
        <f>ALL!AD10</f>
        <v>2.6731E-13</v>
      </c>
      <c r="AA73" s="16">
        <f>ALL!AE10</f>
        <v>8.2919000000000002E-13</v>
      </c>
      <c r="AB73" s="16">
        <f>ALL!AF10</f>
        <v>2.4381999999999998E-12</v>
      </c>
      <c r="AC73" s="16">
        <f>ALL!AG10</f>
        <v>6.8258000000000003E-12</v>
      </c>
      <c r="AD73" s="16">
        <f>ALL!AH10</f>
        <v>1.8101E-11</v>
      </c>
      <c r="AE73" s="16">
        <f>ALL!AI10</f>
        <v>3.5168999999999998E-11</v>
      </c>
      <c r="AF73" s="16">
        <f>ALL!AJ10</f>
        <v>6.6286000000000003E-11</v>
      </c>
      <c r="AG73" s="16">
        <f>ALL!AK10</f>
        <v>1.221E-10</v>
      </c>
      <c r="AH73" s="16">
        <f>ALL!AL10</f>
        <v>1.1423999999999999E-9</v>
      </c>
      <c r="AI73" s="16">
        <f>ALL!AM10</f>
        <v>0</v>
      </c>
      <c r="AJ73" s="16">
        <f>ALL!AN10</f>
        <v>0</v>
      </c>
      <c r="AK73" s="16">
        <f>ALL!AO10</f>
        <v>0</v>
      </c>
      <c r="AL73" s="16">
        <f>ALL!AP10</f>
        <v>0</v>
      </c>
      <c r="AM73" s="16">
        <f>ALL!AQ10</f>
        <v>0</v>
      </c>
      <c r="AN73" s="16">
        <f>ALL!AR10</f>
        <v>0</v>
      </c>
      <c r="AO73" s="16">
        <f>ALL!AS10</f>
        <v>0</v>
      </c>
      <c r="AP73" s="16">
        <f>ALL!AT10</f>
        <v>0</v>
      </c>
      <c r="AQ73" s="16">
        <f>ALL!AU10</f>
        <v>0</v>
      </c>
      <c r="AR73" s="16">
        <f>ALL!AV10</f>
        <v>0</v>
      </c>
      <c r="AS73" s="16">
        <f>ALL!AW10</f>
        <v>0</v>
      </c>
      <c r="AT73" s="16">
        <f>ALL!AX10</f>
        <v>0</v>
      </c>
      <c r="AU73" s="16">
        <f>ALL!AY10</f>
        <v>0</v>
      </c>
      <c r="AV73" s="16">
        <f>ALL!AZ10</f>
        <v>0</v>
      </c>
      <c r="AW73" s="16">
        <f>ALL!BA10</f>
        <v>0</v>
      </c>
      <c r="AX73" s="16">
        <f>ALL!BB10</f>
        <v>0</v>
      </c>
      <c r="AY73" s="16">
        <f>ALL!BC10</f>
        <v>0</v>
      </c>
      <c r="AZ73" s="16">
        <f>ALL!BD10</f>
        <v>0</v>
      </c>
      <c r="BA73" s="16">
        <f>ALL!BE10</f>
        <v>0</v>
      </c>
      <c r="BB73" s="16">
        <f>ALL!BF10</f>
        <v>0</v>
      </c>
      <c r="BC73" s="16">
        <f>ALL!BG10</f>
        <v>0</v>
      </c>
      <c r="BD73" s="16">
        <f>ALL!BH10</f>
        <v>0</v>
      </c>
      <c r="BE73" s="16">
        <f>ALL!BI10</f>
        <v>0</v>
      </c>
      <c r="BF73" s="16">
        <f>ALL!BJ10</f>
        <v>0</v>
      </c>
      <c r="BG73" s="16">
        <f>ALL!BK10</f>
        <v>0</v>
      </c>
      <c r="BH73" s="16">
        <f>ALL!BL10</f>
        <v>0</v>
      </c>
      <c r="BI73" s="16">
        <f>ALL!BM10</f>
        <v>0</v>
      </c>
      <c r="BJ73" s="16">
        <f>ALL!BN10</f>
        <v>0</v>
      </c>
      <c r="BK73" s="16">
        <f>ALL!BO10</f>
        <v>0</v>
      </c>
      <c r="BL73" s="16">
        <f>ALL!BP10</f>
        <v>0</v>
      </c>
      <c r="BM73" s="16">
        <f>ALL!BQ10</f>
        <v>0</v>
      </c>
      <c r="BN73" s="16">
        <f>ALL!BR10</f>
        <v>0</v>
      </c>
      <c r="BO73" s="16">
        <f>ALL!BS10</f>
        <v>0</v>
      </c>
      <c r="BP73" s="16">
        <f>ALL!BT10</f>
        <v>0</v>
      </c>
      <c r="BQ73" s="16">
        <f>ALL!BU10</f>
        <v>0</v>
      </c>
      <c r="BR73" s="16">
        <f>ALL!BV10</f>
        <v>0</v>
      </c>
      <c r="BS73" s="16">
        <f>ALL!BW10</f>
        <v>0</v>
      </c>
      <c r="BT73" s="16">
        <f>ALL!BX10</f>
        <v>0</v>
      </c>
    </row>
    <row r="74" spans="1:72" ht="21.75" outlineLevel="1" thickBot="1" x14ac:dyDescent="0.4">
      <c r="A74" s="36" t="str">
        <f>ALL!E11</f>
        <v>Ar</v>
      </c>
      <c r="B74" s="16">
        <f>ALL!F11</f>
        <v>0.2</v>
      </c>
      <c r="C74" s="16">
        <f>ALL!G11</f>
        <v>0.2</v>
      </c>
      <c r="D74" s="16">
        <f>ALL!H11</f>
        <v>0.2</v>
      </c>
      <c r="E74" s="16">
        <f>ALL!I11</f>
        <v>0.2</v>
      </c>
      <c r="F74" s="16">
        <f>ALL!J11</f>
        <v>0.2</v>
      </c>
      <c r="G74" s="16">
        <f>ALL!K11</f>
        <v>0.2</v>
      </c>
      <c r="H74" s="16">
        <f>ALL!L11</f>
        <v>0.2</v>
      </c>
      <c r="I74" s="16">
        <f>ALL!M11</f>
        <v>0.2</v>
      </c>
      <c r="J74" s="16">
        <f>ALL!N11</f>
        <v>0.2</v>
      </c>
      <c r="K74" s="16">
        <f>ALL!O11</f>
        <v>0.2</v>
      </c>
      <c r="L74" s="16">
        <f>ALL!P11</f>
        <v>0.2</v>
      </c>
      <c r="M74" s="16">
        <f>ALL!Q11</f>
        <v>0.2</v>
      </c>
      <c r="N74" s="16">
        <f>ALL!R11</f>
        <v>0.2</v>
      </c>
      <c r="O74" s="16">
        <f>ALL!S11</f>
        <v>0.2</v>
      </c>
      <c r="P74" s="16">
        <f>ALL!T11</f>
        <v>0.2</v>
      </c>
      <c r="Q74" s="16">
        <f>ALL!U11</f>
        <v>0.2</v>
      </c>
      <c r="R74" s="16">
        <f>ALL!V11</f>
        <v>0.2</v>
      </c>
      <c r="S74" s="16">
        <f>ALL!W11</f>
        <v>0.2</v>
      </c>
      <c r="T74" s="16">
        <f>ALL!X11</f>
        <v>0.2</v>
      </c>
      <c r="U74" s="16">
        <f>ALL!Y11</f>
        <v>0.2</v>
      </c>
      <c r="V74" s="16">
        <f>ALL!Z11</f>
        <v>0.2</v>
      </c>
      <c r="W74" s="16">
        <f>ALL!AA11</f>
        <v>0.2</v>
      </c>
      <c r="X74" s="16">
        <f>ALL!AB11</f>
        <v>0.2</v>
      </c>
      <c r="Y74" s="16">
        <f>ALL!AC11</f>
        <v>0.2</v>
      </c>
      <c r="Z74" s="16">
        <f>ALL!AD11</f>
        <v>0.2</v>
      </c>
      <c r="AA74" s="16">
        <f>ALL!AE11</f>
        <v>0.2</v>
      </c>
      <c r="AB74" s="16">
        <f>ALL!AF11</f>
        <v>0.2</v>
      </c>
      <c r="AC74" s="16">
        <f>ALL!AG11</f>
        <v>0.2</v>
      </c>
      <c r="AD74" s="16">
        <f>ALL!AH11</f>
        <v>0.2</v>
      </c>
      <c r="AE74" s="16">
        <f>ALL!AI11</f>
        <v>0.2</v>
      </c>
      <c r="AF74" s="16">
        <f>ALL!AJ11</f>
        <v>0.2</v>
      </c>
      <c r="AG74" s="16">
        <f>ALL!AK11</f>
        <v>0.2</v>
      </c>
      <c r="AH74" s="16">
        <f>ALL!AL11</f>
        <v>0.2</v>
      </c>
      <c r="AI74" s="16">
        <f>ALL!AM11</f>
        <v>0</v>
      </c>
      <c r="AJ74" s="16">
        <f>ALL!AN11</f>
        <v>0</v>
      </c>
      <c r="AK74" s="16">
        <f>ALL!AO11</f>
        <v>0</v>
      </c>
      <c r="AL74" s="16">
        <f>ALL!AP11</f>
        <v>0</v>
      </c>
      <c r="AM74" s="16">
        <f>ALL!AQ11</f>
        <v>0</v>
      </c>
      <c r="AN74" s="16">
        <f>ALL!AR11</f>
        <v>0</v>
      </c>
      <c r="AO74" s="16">
        <f>ALL!AS11</f>
        <v>0</v>
      </c>
      <c r="AP74" s="16">
        <f>ALL!AT11</f>
        <v>0</v>
      </c>
      <c r="AQ74" s="16">
        <f>ALL!AU11</f>
        <v>0</v>
      </c>
      <c r="AR74" s="16">
        <f>ALL!AV11</f>
        <v>0</v>
      </c>
      <c r="AS74" s="16">
        <f>ALL!AW11</f>
        <v>0</v>
      </c>
      <c r="AT74" s="16">
        <f>ALL!AX11</f>
        <v>0</v>
      </c>
      <c r="AU74" s="16">
        <f>ALL!AY11</f>
        <v>0</v>
      </c>
      <c r="AV74" s="16">
        <f>ALL!AZ11</f>
        <v>0</v>
      </c>
      <c r="AW74" s="16">
        <f>ALL!BA11</f>
        <v>0</v>
      </c>
      <c r="AX74" s="16">
        <f>ALL!BB11</f>
        <v>0</v>
      </c>
      <c r="AY74" s="16">
        <f>ALL!BC11</f>
        <v>0</v>
      </c>
      <c r="AZ74" s="16">
        <f>ALL!BD11</f>
        <v>0</v>
      </c>
      <c r="BA74" s="16">
        <f>ALL!BE11</f>
        <v>0</v>
      </c>
      <c r="BB74" s="16">
        <f>ALL!BF11</f>
        <v>0</v>
      </c>
      <c r="BC74" s="16">
        <f>ALL!BG11</f>
        <v>0</v>
      </c>
      <c r="BD74" s="16">
        <f>ALL!BH11</f>
        <v>0</v>
      </c>
      <c r="BE74" s="16">
        <f>ALL!BI11</f>
        <v>0</v>
      </c>
      <c r="BF74" s="16">
        <f>ALL!BJ11</f>
        <v>0</v>
      </c>
      <c r="BG74" s="16">
        <f>ALL!BK11</f>
        <v>0</v>
      </c>
      <c r="BH74" s="16">
        <f>ALL!BL11</f>
        <v>0</v>
      </c>
      <c r="BI74" s="16">
        <f>ALL!BM11</f>
        <v>0</v>
      </c>
      <c r="BJ74" s="16">
        <f>ALL!BN11</f>
        <v>0</v>
      </c>
      <c r="BK74" s="16">
        <f>ALL!BO11</f>
        <v>0</v>
      </c>
      <c r="BL74" s="16">
        <f>ALL!BP11</f>
        <v>0</v>
      </c>
      <c r="BM74" s="16">
        <f>ALL!BQ11</f>
        <v>0</v>
      </c>
      <c r="BN74" s="16">
        <f>ALL!BR11</f>
        <v>0</v>
      </c>
      <c r="BO74" s="16">
        <f>ALL!BS11</f>
        <v>0</v>
      </c>
      <c r="BP74" s="16">
        <f>ALL!BT11</f>
        <v>0</v>
      </c>
      <c r="BQ74" s="16">
        <f>ALL!BU11</f>
        <v>0</v>
      </c>
      <c r="BR74" s="16">
        <f>ALL!BV11</f>
        <v>0</v>
      </c>
      <c r="BS74" s="16">
        <f>ALL!BW11</f>
        <v>0</v>
      </c>
      <c r="BT74" s="16">
        <f>ALL!BX11</f>
        <v>0</v>
      </c>
    </row>
    <row r="75" spans="1:72" ht="21.75" outlineLevel="1" thickBot="1" x14ac:dyDescent="0.4">
      <c r="A75" s="36" t="str">
        <f>ALL!E12</f>
        <v>(1)GeSe2</v>
      </c>
      <c r="B75" s="16">
        <f>ALL!F12</f>
        <v>0.13761999999999999</v>
      </c>
      <c r="C75" s="16">
        <f>ALL!G12</f>
        <v>0.13184000000000001</v>
      </c>
      <c r="D75" s="16">
        <f>ALL!H12</f>
        <v>0.1173</v>
      </c>
      <c r="E75" s="16">
        <f>ALL!I12</f>
        <v>9.0985999999999997E-2</v>
      </c>
      <c r="F75" s="16">
        <f>ALL!J12</f>
        <v>5.8673000000000003E-2</v>
      </c>
      <c r="G75" s="16">
        <f>ALL!K12</f>
        <v>3.5301E-3</v>
      </c>
      <c r="H75" s="16">
        <f>ALL!L12</f>
        <v>1.7362E-3</v>
      </c>
      <c r="I75" s="16">
        <f>ALL!M12</f>
        <v>8.7681E-4</v>
      </c>
      <c r="J75" s="16">
        <f>ALL!N12</f>
        <v>4.4354000000000003E-4</v>
      </c>
      <c r="K75" s="16">
        <f>ALL!O12</f>
        <v>2.1458999999999999E-4</v>
      </c>
      <c r="L75" s="16">
        <f>ALL!P12</f>
        <v>9.4772999999999995E-5</v>
      </c>
      <c r="M75" s="16">
        <f>ALL!Q12</f>
        <v>3.7471000000000001E-5</v>
      </c>
      <c r="N75" s="16">
        <f>ALL!R12</f>
        <v>1.3517E-5</v>
      </c>
      <c r="O75" s="16">
        <f>ALL!S12</f>
        <v>4.6341999999999996E-6</v>
      </c>
      <c r="P75" s="16">
        <f>ALL!T12</f>
        <v>1.5689999999999999E-6</v>
      </c>
      <c r="Q75" s="16">
        <f>ALL!U12</f>
        <v>5.3781999999999998E-7</v>
      </c>
      <c r="R75" s="16">
        <f>ALL!V12</f>
        <v>1.8911999999999999E-7</v>
      </c>
      <c r="S75" s="16">
        <f>ALL!W12</f>
        <v>6.8608000000000001E-8</v>
      </c>
      <c r="T75" s="16">
        <f>ALL!X12</f>
        <v>2.5722E-8</v>
      </c>
      <c r="U75" s="16">
        <f>ALL!Y12</f>
        <v>9.9647999999999993E-9</v>
      </c>
      <c r="V75" s="16">
        <f>ALL!Z12</f>
        <v>3.9866999999999999E-9</v>
      </c>
      <c r="W75" s="16">
        <f>ALL!AA12</f>
        <v>1.6471E-9</v>
      </c>
      <c r="X75" s="16">
        <f>ALL!AB12</f>
        <v>6.4954000000000001E-11</v>
      </c>
      <c r="Y75" s="16">
        <f>ALL!AC12</f>
        <v>3.496E-12</v>
      </c>
      <c r="Z75" s="16">
        <f>ALL!AD12</f>
        <v>1.7611E-12</v>
      </c>
      <c r="AA75" s="16">
        <f>ALL!AE12</f>
        <v>9.0203999999999996E-13</v>
      </c>
      <c r="AB75" s="16">
        <f>ALL!AF12</f>
        <v>4.6937999999999996E-13</v>
      </c>
      <c r="AC75" s="16">
        <f>ALL!AG12</f>
        <v>2.4795999999999999E-13</v>
      </c>
      <c r="AD75" s="16">
        <f>ALL!AH12</f>
        <v>1.3305E-13</v>
      </c>
      <c r="AE75" s="16">
        <f>ALL!AI12</f>
        <v>7.4307999999999995E-14</v>
      </c>
      <c r="AF75" s="16">
        <f>ALL!AJ12</f>
        <v>4.1655E-14</v>
      </c>
      <c r="AG75" s="16">
        <f>ALL!AK12</f>
        <v>2.3510999999999999E-14</v>
      </c>
      <c r="AH75" s="16">
        <f>ALL!AL12</f>
        <v>2.6029999999999999E-15</v>
      </c>
      <c r="AI75" s="16">
        <f>ALL!AM12</f>
        <v>0</v>
      </c>
      <c r="AJ75" s="16">
        <f>ALL!AN12</f>
        <v>0</v>
      </c>
      <c r="AK75" s="16">
        <f>ALL!AO12</f>
        <v>0</v>
      </c>
      <c r="AL75" s="16">
        <f>ALL!AP12</f>
        <v>0</v>
      </c>
      <c r="AM75" s="16">
        <f>ALL!AQ12</f>
        <v>0</v>
      </c>
      <c r="AN75" s="16">
        <f>ALL!AR12</f>
        <v>0</v>
      </c>
      <c r="AO75" s="16">
        <f>ALL!AS12</f>
        <v>0</v>
      </c>
      <c r="AP75" s="16">
        <f>ALL!AT12</f>
        <v>0</v>
      </c>
      <c r="AQ75" s="16">
        <f>ALL!AU12</f>
        <v>0</v>
      </c>
      <c r="AR75" s="16">
        <f>ALL!AV12</f>
        <v>0</v>
      </c>
      <c r="AS75" s="16">
        <f>ALL!AW12</f>
        <v>0</v>
      </c>
      <c r="AT75" s="16">
        <f>ALL!AX12</f>
        <v>0</v>
      </c>
      <c r="AU75" s="16">
        <f>ALL!AY12</f>
        <v>0</v>
      </c>
      <c r="AV75" s="16">
        <f>ALL!AZ12</f>
        <v>0</v>
      </c>
      <c r="AW75" s="16">
        <f>ALL!BA12</f>
        <v>0</v>
      </c>
      <c r="AX75" s="16">
        <f>ALL!BB12</f>
        <v>0</v>
      </c>
      <c r="AY75" s="16">
        <f>ALL!BC12</f>
        <v>0</v>
      </c>
      <c r="AZ75" s="16">
        <f>ALL!BD12</f>
        <v>0</v>
      </c>
      <c r="BA75" s="16">
        <f>ALL!BE12</f>
        <v>0</v>
      </c>
      <c r="BB75" s="16">
        <f>ALL!BF12</f>
        <v>0</v>
      </c>
      <c r="BC75" s="16">
        <f>ALL!BG12</f>
        <v>0</v>
      </c>
      <c r="BD75" s="16">
        <f>ALL!BH12</f>
        <v>0</v>
      </c>
      <c r="BE75" s="16">
        <f>ALL!BI12</f>
        <v>0</v>
      </c>
      <c r="BF75" s="16">
        <f>ALL!BJ12</f>
        <v>0</v>
      </c>
      <c r="BG75" s="16">
        <f>ALL!BK12</f>
        <v>0</v>
      </c>
      <c r="BH75" s="16">
        <f>ALL!BL12</f>
        <v>0</v>
      </c>
      <c r="BI75" s="16">
        <f>ALL!BM12</f>
        <v>0</v>
      </c>
      <c r="BJ75" s="16">
        <f>ALL!BN12</f>
        <v>0</v>
      </c>
      <c r="BK75" s="16">
        <f>ALL!BO12</f>
        <v>0</v>
      </c>
      <c r="BL75" s="16">
        <f>ALL!BP12</f>
        <v>0</v>
      </c>
      <c r="BM75" s="16">
        <f>ALL!BQ12</f>
        <v>0</v>
      </c>
      <c r="BN75" s="16">
        <f>ALL!BR12</f>
        <v>0</v>
      </c>
      <c r="BO75" s="16">
        <f>ALL!BS12</f>
        <v>0</v>
      </c>
      <c r="BP75" s="16">
        <f>ALL!BT12</f>
        <v>0</v>
      </c>
      <c r="BQ75" s="16">
        <f>ALL!BU12</f>
        <v>0</v>
      </c>
      <c r="BR75" s="16">
        <f>ALL!BV12</f>
        <v>0</v>
      </c>
      <c r="BS75" s="16">
        <f>ALL!BW12</f>
        <v>0</v>
      </c>
      <c r="BT75" s="16">
        <f>ALL!BX12</f>
        <v>0</v>
      </c>
    </row>
    <row r="76" spans="1:72" ht="21.75" outlineLevel="1" thickBot="1" x14ac:dyDescent="0.4">
      <c r="A76" s="36" t="str">
        <f>ALL!E13</f>
        <v>(1)GeSe</v>
      </c>
      <c r="B76" s="16">
        <f>ALL!F13</f>
        <v>0.14238000000000001</v>
      </c>
      <c r="C76" s="16">
        <f>ALL!G13</f>
        <v>0.14815</v>
      </c>
      <c r="D76" s="16">
        <f>ALL!H13</f>
        <v>0.16269</v>
      </c>
      <c r="E76" s="16">
        <f>ALL!I13</f>
        <v>0.189</v>
      </c>
      <c r="F76" s="16">
        <f>ALL!J13</f>
        <v>0.22128</v>
      </c>
      <c r="G76" s="16">
        <f>ALL!K13</f>
        <v>0.27118999999999999</v>
      </c>
      <c r="H76" s="16">
        <f>ALL!L13</f>
        <v>0.26468999999999998</v>
      </c>
      <c r="I76" s="16">
        <f>ALL!M13</f>
        <v>0.24837999999999999</v>
      </c>
      <c r="J76" s="16">
        <f>ALL!N13</f>
        <v>0.21926999999999999</v>
      </c>
      <c r="K76" s="16">
        <f>ALL!O13</f>
        <v>0.17757000000000001</v>
      </c>
      <c r="L76" s="16">
        <f>ALL!P13</f>
        <v>0.12916</v>
      </c>
      <c r="M76" s="16">
        <f>ALL!Q13</f>
        <v>8.4039000000000003E-2</v>
      </c>
      <c r="N76" s="16">
        <f>ALL!R13</f>
        <v>4.9964000000000001E-2</v>
      </c>
      <c r="O76" s="16">
        <f>ALL!S13</f>
        <v>2.8131E-2</v>
      </c>
      <c r="P76" s="16">
        <f>ALL!T13</f>
        <v>1.5495999999999999E-2</v>
      </c>
      <c r="Q76" s="16">
        <f>ALL!U13</f>
        <v>8.5325999999999996E-3</v>
      </c>
      <c r="R76" s="16">
        <f>ALL!V13</f>
        <v>4.7505999999999998E-3</v>
      </c>
      <c r="S76" s="16">
        <f>ALL!W13</f>
        <v>2.6887999999999999E-3</v>
      </c>
      <c r="T76" s="16">
        <f>ALL!X13</f>
        <v>1.5502999999999999E-3</v>
      </c>
      <c r="U76" s="16">
        <f>ALL!Y13</f>
        <v>9.1091999999999996E-4</v>
      </c>
      <c r="V76" s="16">
        <f>ALL!Z13</f>
        <v>5.4536999999999999E-4</v>
      </c>
      <c r="W76" s="16">
        <f>ALL!AA13</f>
        <v>3.3270000000000001E-4</v>
      </c>
      <c r="X76" s="16">
        <f>ALL!AB13</f>
        <v>5.4917000000000003E-5</v>
      </c>
      <c r="Y76" s="16">
        <f>ALL!AC13</f>
        <v>1.0937999999999999E-5</v>
      </c>
      <c r="Z76" s="16">
        <f>ALL!AD13</f>
        <v>7.5044999999999999E-6</v>
      </c>
      <c r="AA76" s="16">
        <f>ALL!AE13</f>
        <v>5.1990999999999999E-6</v>
      </c>
      <c r="AB76" s="16">
        <f>ALL!AF13</f>
        <v>3.6355000000000002E-6</v>
      </c>
      <c r="AC76" s="16">
        <f>ALL!AG13</f>
        <v>2.5647000000000002E-6</v>
      </c>
      <c r="AD76" s="16">
        <f>ALL!AH13</f>
        <v>1.8256999999999999E-6</v>
      </c>
      <c r="AE76" s="16">
        <f>ALL!AI13</f>
        <v>1.3259000000000001E-6</v>
      </c>
      <c r="AF76" s="16">
        <f>ALL!AJ13</f>
        <v>9.660599999999999E-7</v>
      </c>
      <c r="AG76" s="16">
        <f>ALL!AK13</f>
        <v>7.0707999999999995E-7</v>
      </c>
      <c r="AH76" s="16">
        <f>ALL!AL13</f>
        <v>2.1397999999999999E-7</v>
      </c>
      <c r="AI76" s="16">
        <f>ALL!AM13</f>
        <v>0</v>
      </c>
      <c r="AJ76" s="16">
        <f>ALL!AN13</f>
        <v>0</v>
      </c>
      <c r="AK76" s="16">
        <f>ALL!AO13</f>
        <v>0</v>
      </c>
      <c r="AL76" s="16">
        <f>ALL!AP13</f>
        <v>0</v>
      </c>
      <c r="AM76" s="16">
        <f>ALL!AQ13</f>
        <v>0</v>
      </c>
      <c r="AN76" s="16">
        <f>ALL!AR13</f>
        <v>0</v>
      </c>
      <c r="AO76" s="16">
        <f>ALL!AS13</f>
        <v>0</v>
      </c>
      <c r="AP76" s="16">
        <f>ALL!AT13</f>
        <v>0</v>
      </c>
      <c r="AQ76" s="16">
        <f>ALL!AU13</f>
        <v>0</v>
      </c>
      <c r="AR76" s="16">
        <f>ALL!AV13</f>
        <v>0</v>
      </c>
      <c r="AS76" s="16">
        <f>ALL!AW13</f>
        <v>0</v>
      </c>
      <c r="AT76" s="16">
        <f>ALL!AX13</f>
        <v>0</v>
      </c>
      <c r="AU76" s="16">
        <f>ALL!AY13</f>
        <v>0</v>
      </c>
      <c r="AV76" s="16">
        <f>ALL!AZ13</f>
        <v>0</v>
      </c>
      <c r="AW76" s="16">
        <f>ALL!BA13</f>
        <v>0</v>
      </c>
      <c r="AX76" s="16">
        <f>ALL!BB13</f>
        <v>0</v>
      </c>
      <c r="AY76" s="16">
        <f>ALL!BC13</f>
        <v>0</v>
      </c>
      <c r="AZ76" s="16">
        <f>ALL!BD13</f>
        <v>0</v>
      </c>
      <c r="BA76" s="16">
        <f>ALL!BE13</f>
        <v>0</v>
      </c>
      <c r="BB76" s="16">
        <f>ALL!BF13</f>
        <v>0</v>
      </c>
      <c r="BC76" s="16">
        <f>ALL!BG13</f>
        <v>0</v>
      </c>
      <c r="BD76" s="16">
        <f>ALL!BH13</f>
        <v>0</v>
      </c>
      <c r="BE76" s="16">
        <f>ALL!BI13</f>
        <v>0</v>
      </c>
      <c r="BF76" s="16">
        <f>ALL!BJ13</f>
        <v>0</v>
      </c>
      <c r="BG76" s="16">
        <f>ALL!BK13</f>
        <v>0</v>
      </c>
      <c r="BH76" s="16">
        <f>ALL!BL13</f>
        <v>0</v>
      </c>
      <c r="BI76" s="16">
        <f>ALL!BM13</f>
        <v>0</v>
      </c>
      <c r="BJ76" s="16">
        <f>ALL!BN13</f>
        <v>0</v>
      </c>
      <c r="BK76" s="16">
        <f>ALL!BO13</f>
        <v>0</v>
      </c>
      <c r="BL76" s="16">
        <f>ALL!BP13</f>
        <v>0</v>
      </c>
      <c r="BM76" s="16">
        <f>ALL!BQ13</f>
        <v>0</v>
      </c>
      <c r="BN76" s="16">
        <f>ALL!BR13</f>
        <v>0</v>
      </c>
      <c r="BO76" s="16">
        <f>ALL!BS13</f>
        <v>0</v>
      </c>
      <c r="BP76" s="16">
        <f>ALL!BT13</f>
        <v>0</v>
      </c>
      <c r="BQ76" s="16">
        <f>ALL!BU13</f>
        <v>0</v>
      </c>
      <c r="BR76" s="16">
        <f>ALL!BV13</f>
        <v>0</v>
      </c>
      <c r="BS76" s="16">
        <f>ALL!BW13</f>
        <v>0</v>
      </c>
      <c r="BT76" s="16">
        <f>ALL!BX13</f>
        <v>0</v>
      </c>
    </row>
    <row r="77" spans="1:72" ht="21.75" outlineLevel="1" thickBot="1" x14ac:dyDescent="0.4">
      <c r="A77" s="36" t="str">
        <f>ALL!E14</f>
        <v>(1)Ga2Se3</v>
      </c>
      <c r="B77" s="16">
        <f>ALL!F14</f>
        <v>1.1708E-2</v>
      </c>
      <c r="C77" s="16">
        <f>ALL!G14</f>
        <v>1.1806000000000001E-2</v>
      </c>
      <c r="D77" s="16">
        <f>ALL!H14</f>
        <v>1.2043E-2</v>
      </c>
      <c r="E77" s="16">
        <f>ALL!I14</f>
        <v>1.2439E-2</v>
      </c>
      <c r="F77" s="16">
        <f>ALL!J14</f>
        <v>1.2874999999999999E-2</v>
      </c>
      <c r="G77" s="16">
        <f>ALL!K14</f>
        <v>1.3566999999999999E-2</v>
      </c>
      <c r="H77" s="16">
        <f>ALL!L14</f>
        <v>1.3669000000000001E-2</v>
      </c>
      <c r="I77" s="16">
        <f>ALL!M14</f>
        <v>1.3845E-2</v>
      </c>
      <c r="J77" s="16">
        <f>ALL!N14</f>
        <v>1.4116E-2</v>
      </c>
      <c r="K77" s="16">
        <f>ALL!O14</f>
        <v>1.4460000000000001E-2</v>
      </c>
      <c r="L77" s="16">
        <f>ALL!P14</f>
        <v>1.481E-2</v>
      </c>
      <c r="M77" s="16">
        <f>ALL!Q14</f>
        <v>1.5096999999999999E-2</v>
      </c>
      <c r="N77" s="16">
        <f>ALL!R14</f>
        <v>1.5294E-2</v>
      </c>
      <c r="O77" s="16">
        <f>ALL!S14</f>
        <v>1.5412E-2</v>
      </c>
      <c r="P77" s="16">
        <f>ALL!T14</f>
        <v>1.5478E-2</v>
      </c>
      <c r="Q77" s="16">
        <f>ALL!U14</f>
        <v>1.5513000000000001E-2</v>
      </c>
      <c r="R77" s="16">
        <f>ALL!V14</f>
        <v>1.5531E-2</v>
      </c>
      <c r="S77" s="16">
        <f>ALL!W14</f>
        <v>1.5537E-2</v>
      </c>
      <c r="T77" s="16">
        <f>ALL!X14</f>
        <v>1.5526E-2</v>
      </c>
      <c r="U77" s="16">
        <f>ALL!Y14</f>
        <v>1.5462999999999999E-2</v>
      </c>
      <c r="V77" s="16">
        <f>ALL!Z14</f>
        <v>1.5226E-2</v>
      </c>
      <c r="W77" s="16">
        <f>ALL!AA14</f>
        <v>1.4445E-2</v>
      </c>
      <c r="X77" s="16">
        <f>ALL!AB14</f>
        <v>1.7378999999999999E-3</v>
      </c>
      <c r="Y77" s="16">
        <f>ALL!AC14</f>
        <v>2.8085E-5</v>
      </c>
      <c r="Z77" s="16">
        <f>ALL!AD14</f>
        <v>1.0037000000000001E-5</v>
      </c>
      <c r="AA77" s="16">
        <f>ALL!AE14</f>
        <v>3.6059000000000001E-6</v>
      </c>
      <c r="AB77" s="16">
        <f>ALL!AF14</f>
        <v>1.3024E-6</v>
      </c>
      <c r="AC77" s="16">
        <f>ALL!AG14</f>
        <v>4.7406E-7</v>
      </c>
      <c r="AD77" s="16">
        <f>ALL!AH14</f>
        <v>1.7140000000000001E-7</v>
      </c>
      <c r="AE77" s="16">
        <f>ALL!AI14</f>
        <v>3.7789000000000002E-8</v>
      </c>
      <c r="AF77" s="16">
        <f>ALL!AJ14</f>
        <v>8.4633000000000007E-9</v>
      </c>
      <c r="AG77" s="16">
        <f>ALL!AK14</f>
        <v>1.9569000000000001E-9</v>
      </c>
      <c r="AH77" s="16">
        <f>ALL!AL14</f>
        <v>7.7382000000000003E-12</v>
      </c>
      <c r="AI77" s="16">
        <f>ALL!AM14</f>
        <v>0</v>
      </c>
      <c r="AJ77" s="16">
        <f>ALL!AN14</f>
        <v>0</v>
      </c>
      <c r="AK77" s="16">
        <f>ALL!AO14</f>
        <v>0</v>
      </c>
      <c r="AL77" s="16">
        <f>ALL!AP14</f>
        <v>0</v>
      </c>
      <c r="AM77" s="16">
        <f>ALL!AQ14</f>
        <v>0</v>
      </c>
      <c r="AN77" s="16">
        <f>ALL!AR14</f>
        <v>0</v>
      </c>
      <c r="AO77" s="16">
        <f>ALL!AS14</f>
        <v>0</v>
      </c>
      <c r="AP77" s="16">
        <f>ALL!AT14</f>
        <v>0</v>
      </c>
      <c r="AQ77" s="16">
        <f>ALL!AU14</f>
        <v>0</v>
      </c>
      <c r="AR77" s="16">
        <f>ALL!AV14</f>
        <v>0</v>
      </c>
      <c r="AS77" s="16">
        <f>ALL!AW14</f>
        <v>0</v>
      </c>
      <c r="AT77" s="16">
        <f>ALL!AX14</f>
        <v>0</v>
      </c>
      <c r="AU77" s="16">
        <f>ALL!AY14</f>
        <v>0</v>
      </c>
      <c r="AV77" s="16">
        <f>ALL!AZ14</f>
        <v>0</v>
      </c>
      <c r="AW77" s="16">
        <f>ALL!BA14</f>
        <v>0</v>
      </c>
      <c r="AX77" s="16">
        <f>ALL!BB14</f>
        <v>0</v>
      </c>
      <c r="AY77" s="16">
        <f>ALL!BC14</f>
        <v>0</v>
      </c>
      <c r="AZ77" s="16">
        <f>ALL!BD14</f>
        <v>0</v>
      </c>
      <c r="BA77" s="16">
        <f>ALL!BE14</f>
        <v>0</v>
      </c>
      <c r="BB77" s="16">
        <f>ALL!BF14</f>
        <v>0</v>
      </c>
      <c r="BC77" s="16">
        <f>ALL!BG14</f>
        <v>0</v>
      </c>
      <c r="BD77" s="16">
        <f>ALL!BH14</f>
        <v>0</v>
      </c>
      <c r="BE77" s="16">
        <f>ALL!BI14</f>
        <v>0</v>
      </c>
      <c r="BF77" s="16">
        <f>ALL!BJ14</f>
        <v>0</v>
      </c>
      <c r="BG77" s="16">
        <f>ALL!BK14</f>
        <v>0</v>
      </c>
      <c r="BH77" s="16">
        <f>ALL!BL14</f>
        <v>0</v>
      </c>
      <c r="BI77" s="16">
        <f>ALL!BM14</f>
        <v>0</v>
      </c>
      <c r="BJ77" s="16">
        <f>ALL!BN14</f>
        <v>0</v>
      </c>
      <c r="BK77" s="16">
        <f>ALL!BO14</f>
        <v>0</v>
      </c>
      <c r="BL77" s="16">
        <f>ALL!BP14</f>
        <v>0</v>
      </c>
      <c r="BM77" s="16">
        <f>ALL!BQ14</f>
        <v>0</v>
      </c>
      <c r="BN77" s="16">
        <f>ALL!BR14</f>
        <v>0</v>
      </c>
      <c r="BO77" s="16">
        <f>ALL!BS14</f>
        <v>0</v>
      </c>
      <c r="BP77" s="16">
        <f>ALL!BT14</f>
        <v>0</v>
      </c>
      <c r="BQ77" s="16">
        <f>ALL!BU14</f>
        <v>0</v>
      </c>
      <c r="BR77" s="16">
        <f>ALL!BV14</f>
        <v>0</v>
      </c>
      <c r="BS77" s="16">
        <f>ALL!BW14</f>
        <v>0</v>
      </c>
      <c r="BT77" s="16">
        <f>ALL!BX14</f>
        <v>0</v>
      </c>
    </row>
    <row r="78" spans="1:72" ht="21.75" outlineLevel="1" thickBot="1" x14ac:dyDescent="0.4">
      <c r="A78" s="36" t="str">
        <f>ALL!E15</f>
        <v>(1)Ga2Se</v>
      </c>
      <c r="B78" s="16">
        <f>ALL!F15</f>
        <v>7.5756000000000005E-29</v>
      </c>
      <c r="C78" s="16">
        <f>ALL!G15</f>
        <v>2.9401999999999999E-27</v>
      </c>
      <c r="D78" s="16">
        <f>ALL!H15</f>
        <v>9.9583000000000004E-26</v>
      </c>
      <c r="E78" s="16">
        <f>ALL!I15</f>
        <v>3.5787999999999998E-24</v>
      </c>
      <c r="F78" s="16">
        <f>ALL!J15</f>
        <v>1.4182000000000001E-22</v>
      </c>
      <c r="G78" s="16">
        <f>ALL!K15</f>
        <v>1.2896E-16</v>
      </c>
      <c r="H78" s="16">
        <f>ALL!L15</f>
        <v>2.2897000000000001E-15</v>
      </c>
      <c r="I78" s="16">
        <f>ALL!M15</f>
        <v>3.1573000000000001E-14</v>
      </c>
      <c r="J78" s="16">
        <f>ALL!N15</f>
        <v>3.4560000000000001E-13</v>
      </c>
      <c r="K78" s="16">
        <f>ALL!O15</f>
        <v>3.1638999999999999E-12</v>
      </c>
      <c r="L78" s="16">
        <f>ALL!P15</f>
        <v>2.5638999999999999E-11</v>
      </c>
      <c r="M78" s="16">
        <f>ALL!Q15</f>
        <v>1.9056999999999999E-10</v>
      </c>
      <c r="N78" s="16">
        <f>ALL!R15</f>
        <v>1.3130999999999999E-9</v>
      </c>
      <c r="O78" s="16">
        <f>ALL!S15</f>
        <v>8.3702999999999995E-9</v>
      </c>
      <c r="P78" s="16">
        <f>ALL!T15</f>
        <v>4.9187999999999997E-8</v>
      </c>
      <c r="Q78" s="16">
        <f>ALL!U15</f>
        <v>2.664E-7</v>
      </c>
      <c r="R78" s="16">
        <f>ALL!V15</f>
        <v>1.3331E-6</v>
      </c>
      <c r="S78" s="16">
        <f>ALL!W15</f>
        <v>6.1879999999999999E-6</v>
      </c>
      <c r="T78" s="16">
        <f>ALL!X15</f>
        <v>2.6750999999999998E-5</v>
      </c>
      <c r="U78" s="16">
        <f>ALL!Y15</f>
        <v>1.0794999999999999E-4</v>
      </c>
      <c r="V78" s="16">
        <f>ALL!Z15</f>
        <v>4.0492000000000002E-4</v>
      </c>
      <c r="W78" s="16">
        <f>ALL!AA15</f>
        <v>1.3795999999999999E-3</v>
      </c>
      <c r="X78" s="16">
        <f>ALL!AB15</f>
        <v>1.6258999999999999E-2</v>
      </c>
      <c r="Y78" s="16">
        <f>ALL!AC15</f>
        <v>1.4115000000000001E-2</v>
      </c>
      <c r="Z78" s="16">
        <f>ALL!AD15</f>
        <v>1.2591E-2</v>
      </c>
      <c r="AA78" s="16">
        <f>ALL!AE15</f>
        <v>1.0965000000000001E-2</v>
      </c>
      <c r="AB78" s="16">
        <f>ALL!AF15</f>
        <v>9.3370999999999992E-3</v>
      </c>
      <c r="AC78" s="16">
        <f>ALL!AG15</f>
        <v>7.8056000000000002E-3</v>
      </c>
      <c r="AD78" s="16">
        <f>ALL!AH15</f>
        <v>6.3140999999999996E-3</v>
      </c>
      <c r="AE78" s="16">
        <f>ALL!AI15</f>
        <v>2.9566000000000002E-3</v>
      </c>
      <c r="AF78" s="16">
        <f>ALL!AJ15</f>
        <v>1.3887999999999999E-3</v>
      </c>
      <c r="AG78" s="16">
        <f>ALL!AK15</f>
        <v>6.6326999999999998E-4</v>
      </c>
      <c r="AH78" s="16">
        <f>ALL!AL15</f>
        <v>4.0513999999999999E-5</v>
      </c>
      <c r="AI78" s="16">
        <f>ALL!AM15</f>
        <v>0</v>
      </c>
      <c r="AJ78" s="16">
        <f>ALL!AN15</f>
        <v>0</v>
      </c>
      <c r="AK78" s="16">
        <f>ALL!AO15</f>
        <v>0</v>
      </c>
      <c r="AL78" s="16">
        <f>ALL!AP15</f>
        <v>0</v>
      </c>
      <c r="AM78" s="16">
        <f>ALL!AQ15</f>
        <v>0</v>
      </c>
      <c r="AN78" s="16">
        <f>ALL!AR15</f>
        <v>0</v>
      </c>
      <c r="AO78" s="16">
        <f>ALL!AS15</f>
        <v>0</v>
      </c>
      <c r="AP78" s="16">
        <f>ALL!AT15</f>
        <v>0</v>
      </c>
      <c r="AQ78" s="16">
        <f>ALL!AU15</f>
        <v>0</v>
      </c>
      <c r="AR78" s="16">
        <f>ALL!AV15</f>
        <v>0</v>
      </c>
      <c r="AS78" s="16">
        <f>ALL!AW15</f>
        <v>0</v>
      </c>
      <c r="AT78" s="16">
        <f>ALL!AX15</f>
        <v>0</v>
      </c>
      <c r="AU78" s="16">
        <f>ALL!AY15</f>
        <v>0</v>
      </c>
      <c r="AV78" s="16">
        <f>ALL!AZ15</f>
        <v>0</v>
      </c>
      <c r="AW78" s="16">
        <f>ALL!BA15</f>
        <v>0</v>
      </c>
      <c r="AX78" s="16">
        <f>ALL!BB15</f>
        <v>0</v>
      </c>
      <c r="AY78" s="16">
        <f>ALL!BC15</f>
        <v>0</v>
      </c>
      <c r="AZ78" s="16">
        <f>ALL!BD15</f>
        <v>0</v>
      </c>
      <c r="BA78" s="16">
        <f>ALL!BE15</f>
        <v>0</v>
      </c>
      <c r="BB78" s="16">
        <f>ALL!BF15</f>
        <v>0</v>
      </c>
      <c r="BC78" s="16">
        <f>ALL!BG15</f>
        <v>0</v>
      </c>
      <c r="BD78" s="16">
        <f>ALL!BH15</f>
        <v>0</v>
      </c>
      <c r="BE78" s="16">
        <f>ALL!BI15</f>
        <v>0</v>
      </c>
      <c r="BF78" s="16">
        <f>ALL!BJ15</f>
        <v>0</v>
      </c>
      <c r="BG78" s="16">
        <f>ALL!BK15</f>
        <v>0</v>
      </c>
      <c r="BH78" s="16">
        <f>ALL!BL15</f>
        <v>0</v>
      </c>
      <c r="BI78" s="16">
        <f>ALL!BM15</f>
        <v>0</v>
      </c>
      <c r="BJ78" s="16">
        <f>ALL!BN15</f>
        <v>0</v>
      </c>
      <c r="BK78" s="16">
        <f>ALL!BO15</f>
        <v>0</v>
      </c>
      <c r="BL78" s="16">
        <f>ALL!BP15</f>
        <v>0</v>
      </c>
      <c r="BM78" s="16">
        <f>ALL!BQ15</f>
        <v>0</v>
      </c>
      <c r="BN78" s="16">
        <f>ALL!BR15</f>
        <v>0</v>
      </c>
      <c r="BO78" s="16">
        <f>ALL!BS15</f>
        <v>0</v>
      </c>
      <c r="BP78" s="16">
        <f>ALL!BT15</f>
        <v>0</v>
      </c>
      <c r="BQ78" s="16">
        <f>ALL!BU15</f>
        <v>0</v>
      </c>
      <c r="BR78" s="16">
        <f>ALL!BV15</f>
        <v>0</v>
      </c>
      <c r="BS78" s="16">
        <f>ALL!BW15</f>
        <v>0</v>
      </c>
      <c r="BT78" s="16">
        <f>ALL!BX15</f>
        <v>0</v>
      </c>
    </row>
    <row r="79" spans="1:72" ht="21.75" outlineLevel="1" thickBot="1" x14ac:dyDescent="0.4">
      <c r="A79" s="36" t="str">
        <f>ALL!E16</f>
        <v>(1)Ge</v>
      </c>
      <c r="B79" s="16">
        <f>ALL!F16</f>
        <v>5.2854000000000005E-7</v>
      </c>
      <c r="C79" s="16">
        <f>ALL!G16</f>
        <v>1.1217E-6</v>
      </c>
      <c r="D79" s="16">
        <f>ALL!H16</f>
        <v>2.6616999999999999E-6</v>
      </c>
      <c r="E79" s="16">
        <f>ALL!I16</f>
        <v>7.6415999999999998E-6</v>
      </c>
      <c r="F79" s="16">
        <f>ALL!J16</f>
        <v>2.5486E-5</v>
      </c>
      <c r="G79" s="16">
        <f>ALL!K16</f>
        <v>2.6394000000000001E-3</v>
      </c>
      <c r="H79" s="16">
        <f>ALL!L16</f>
        <v>6.7882000000000003E-3</v>
      </c>
      <c r="I79" s="16">
        <f>ALL!M16</f>
        <v>1.537E-2</v>
      </c>
      <c r="J79" s="16">
        <f>ALL!N16</f>
        <v>3.0145000000000002E-2</v>
      </c>
      <c r="K79" s="16">
        <f>ALL!O16</f>
        <v>5.1109000000000002E-2</v>
      </c>
      <c r="L79" s="16">
        <f>ALL!P16</f>
        <v>7.5374999999999998E-2</v>
      </c>
      <c r="M79" s="16">
        <f>ALL!Q16</f>
        <v>9.7961999999999994E-2</v>
      </c>
      <c r="N79" s="16">
        <f>ALL!R16</f>
        <v>0.11501</v>
      </c>
      <c r="O79" s="16">
        <f>ALL!S16</f>
        <v>0.12592999999999999</v>
      </c>
      <c r="P79" s="16">
        <f>ALL!T16</f>
        <v>0.13225000000000001</v>
      </c>
      <c r="Q79" s="16">
        <f>ALL!U16</f>
        <v>0.13572999999999999</v>
      </c>
      <c r="R79" s="16">
        <f>ALL!V16</f>
        <v>0.13761999999999999</v>
      </c>
      <c r="S79" s="16">
        <f>ALL!W16</f>
        <v>0.13866000000000001</v>
      </c>
      <c r="T79" s="16">
        <f>ALL!X16</f>
        <v>0.13922000000000001</v>
      </c>
      <c r="U79" s="16">
        <f>ALL!Y16</f>
        <v>0.13954</v>
      </c>
      <c r="V79" s="16">
        <f>ALL!Z16</f>
        <v>0.13972999999999999</v>
      </c>
      <c r="W79" s="16">
        <f>ALL!AA16</f>
        <v>0.13983000000000001</v>
      </c>
      <c r="X79" s="16">
        <f>ALL!AB16</f>
        <v>0.13997000000000001</v>
      </c>
      <c r="Y79" s="16">
        <f>ALL!AC16</f>
        <v>0.13999</v>
      </c>
      <c r="Z79" s="16">
        <f>ALL!AD16</f>
        <v>0.14000000000000001</v>
      </c>
      <c r="AA79" s="16">
        <f>ALL!AE16</f>
        <v>0.14000000000000001</v>
      </c>
      <c r="AB79" s="16">
        <f>ALL!AF16</f>
        <v>0.14000000000000001</v>
      </c>
      <c r="AC79" s="16">
        <f>ALL!AG16</f>
        <v>0.14000000000000001</v>
      </c>
      <c r="AD79" s="16">
        <f>ALL!AH16</f>
        <v>0.13999</v>
      </c>
      <c r="AE79" s="16">
        <f>ALL!AI16</f>
        <v>0.13966999999999999</v>
      </c>
      <c r="AF79" s="16">
        <f>ALL!AJ16</f>
        <v>0.13941000000000001</v>
      </c>
      <c r="AG79" s="16">
        <f>ALL!AK16</f>
        <v>0.13919000000000001</v>
      </c>
      <c r="AH79" s="16">
        <f>ALL!AL16</f>
        <v>0.13839000000000001</v>
      </c>
      <c r="AI79" s="16">
        <f>ALL!AM16</f>
        <v>0</v>
      </c>
      <c r="AJ79" s="16">
        <f>ALL!AN16</f>
        <v>0</v>
      </c>
      <c r="AK79" s="16">
        <f>ALL!AO16</f>
        <v>0</v>
      </c>
      <c r="AL79" s="16">
        <f>ALL!AP16</f>
        <v>0</v>
      </c>
      <c r="AM79" s="16">
        <f>ALL!AQ16</f>
        <v>0</v>
      </c>
      <c r="AN79" s="16">
        <f>ALL!AR16</f>
        <v>0</v>
      </c>
      <c r="AO79" s="16">
        <f>ALL!AS16</f>
        <v>0</v>
      </c>
      <c r="AP79" s="16">
        <f>ALL!AT16</f>
        <v>0</v>
      </c>
      <c r="AQ79" s="16">
        <f>ALL!AU16</f>
        <v>0</v>
      </c>
      <c r="AR79" s="16">
        <f>ALL!AV16</f>
        <v>0</v>
      </c>
      <c r="AS79" s="16">
        <f>ALL!AW16</f>
        <v>0</v>
      </c>
      <c r="AT79" s="16">
        <f>ALL!AX16</f>
        <v>0</v>
      </c>
      <c r="AU79" s="16">
        <f>ALL!AY16</f>
        <v>0</v>
      </c>
      <c r="AV79" s="16">
        <f>ALL!AZ16</f>
        <v>0</v>
      </c>
      <c r="AW79" s="16">
        <f>ALL!BA16</f>
        <v>0</v>
      </c>
      <c r="AX79" s="16">
        <f>ALL!BB16</f>
        <v>0</v>
      </c>
      <c r="AY79" s="16">
        <f>ALL!BC16</f>
        <v>0</v>
      </c>
      <c r="AZ79" s="16">
        <f>ALL!BD16</f>
        <v>0</v>
      </c>
      <c r="BA79" s="16">
        <f>ALL!BE16</f>
        <v>0</v>
      </c>
      <c r="BB79" s="16">
        <f>ALL!BF16</f>
        <v>0</v>
      </c>
      <c r="BC79" s="16">
        <f>ALL!BG16</f>
        <v>0</v>
      </c>
      <c r="BD79" s="16">
        <f>ALL!BH16</f>
        <v>0</v>
      </c>
      <c r="BE79" s="16">
        <f>ALL!BI16</f>
        <v>0</v>
      </c>
      <c r="BF79" s="16">
        <f>ALL!BJ16</f>
        <v>0</v>
      </c>
      <c r="BG79" s="16">
        <f>ALL!BK16</f>
        <v>0</v>
      </c>
      <c r="BH79" s="16">
        <f>ALL!BL16</f>
        <v>0</v>
      </c>
      <c r="BI79" s="16">
        <f>ALL!BM16</f>
        <v>0</v>
      </c>
      <c r="BJ79" s="16">
        <f>ALL!BN16</f>
        <v>0</v>
      </c>
      <c r="BK79" s="16">
        <f>ALL!BO16</f>
        <v>0</v>
      </c>
      <c r="BL79" s="16">
        <f>ALL!BP16</f>
        <v>0</v>
      </c>
      <c r="BM79" s="16">
        <f>ALL!BQ16</f>
        <v>0</v>
      </c>
      <c r="BN79" s="16">
        <f>ALL!BR16</f>
        <v>0</v>
      </c>
      <c r="BO79" s="16">
        <f>ALL!BS16</f>
        <v>0</v>
      </c>
      <c r="BP79" s="16">
        <f>ALL!BT16</f>
        <v>0</v>
      </c>
      <c r="BQ79" s="16">
        <f>ALL!BU16</f>
        <v>0</v>
      </c>
      <c r="BR79" s="16">
        <f>ALL!BV16</f>
        <v>0</v>
      </c>
      <c r="BS79" s="16">
        <f>ALL!BW16</f>
        <v>0</v>
      </c>
      <c r="BT79" s="16">
        <f>ALL!BX16</f>
        <v>0</v>
      </c>
    </row>
    <row r="80" spans="1:72" ht="21.75" outlineLevel="1" thickBot="1" x14ac:dyDescent="0.4">
      <c r="A80" s="36" t="str">
        <f>ALL!E17</f>
        <v>(1)Ga</v>
      </c>
      <c r="B80" s="16">
        <f>ALL!F17</f>
        <v>2.7998999999999999E-28</v>
      </c>
      <c r="C80" s="16">
        <f>ALL!G17</f>
        <v>1.0385999999999999E-26</v>
      </c>
      <c r="D80" s="16">
        <f>ALL!H17</f>
        <v>3.2712999999999998E-25</v>
      </c>
      <c r="E80" s="16">
        <f>ALL!I17</f>
        <v>1.026E-23</v>
      </c>
      <c r="F80" s="16">
        <f>ALL!J17</f>
        <v>3.2961E-22</v>
      </c>
      <c r="G80" s="16">
        <f>ALL!K17</f>
        <v>1.0036000000000001E-16</v>
      </c>
      <c r="H80" s="16">
        <f>ALL!L17</f>
        <v>1.4244E-15</v>
      </c>
      <c r="I80" s="16">
        <f>ALL!M17</f>
        <v>1.6396999999999999E-14</v>
      </c>
      <c r="J80" s="16">
        <f>ALL!N17</f>
        <v>1.5638000000000001E-13</v>
      </c>
      <c r="K80" s="16">
        <f>ALL!O17</f>
        <v>1.2856000000000001E-12</v>
      </c>
      <c r="L80" s="16">
        <f>ALL!P17</f>
        <v>9.4622000000000006E-12</v>
      </c>
      <c r="M80" s="16">
        <f>ALL!Q17</f>
        <v>6.3634E-11</v>
      </c>
      <c r="N80" s="16">
        <f>ALL!R17</f>
        <v>3.9289000000000003E-10</v>
      </c>
      <c r="O80" s="16">
        <f>ALL!S17</f>
        <v>2.2262E-9</v>
      </c>
      <c r="P80" s="16">
        <f>ALL!T17</f>
        <v>1.1587E-8</v>
      </c>
      <c r="Q80" s="16">
        <f>ALL!U17</f>
        <v>5.5549000000000003E-8</v>
      </c>
      <c r="R80" s="16">
        <f>ALL!V17</f>
        <v>2.4629999999999998E-7</v>
      </c>
      <c r="S80" s="16">
        <f>ALL!W17</f>
        <v>1.0144E-6</v>
      </c>
      <c r="T80" s="16">
        <f>ALL!X17</f>
        <v>3.8963999999999997E-6</v>
      </c>
      <c r="U80" s="16">
        <f>ALL!Y17</f>
        <v>1.3995999999999999E-5</v>
      </c>
      <c r="V80" s="16">
        <f>ALL!Z17</f>
        <v>4.6999000000000002E-5</v>
      </c>
      <c r="W80" s="16">
        <f>ALL!AA17</f>
        <v>1.4606999999999999E-4</v>
      </c>
      <c r="X80" s="16">
        <f>ALL!AB17</f>
        <v>3.0864999999999998E-3</v>
      </c>
      <c r="Y80" s="16">
        <f>ALL!AC17</f>
        <v>1.1698999999999999E-2</v>
      </c>
      <c r="Z80" s="16">
        <f>ALL!AD17</f>
        <v>1.4792E-2</v>
      </c>
      <c r="AA80" s="16">
        <f>ALL!AE17</f>
        <v>1.8062000000000002E-2</v>
      </c>
      <c r="AB80" s="16">
        <f>ALL!AF17</f>
        <v>2.1322000000000001E-2</v>
      </c>
      <c r="AC80" s="16">
        <f>ALL!AG17</f>
        <v>2.4386999999999999E-2</v>
      </c>
      <c r="AD80" s="16">
        <f>ALL!AH17</f>
        <v>2.682E-2</v>
      </c>
      <c r="AE80" s="16">
        <f>ALL!AI17</f>
        <v>2.1689E-2</v>
      </c>
      <c r="AF80" s="16">
        <f>ALL!AJ17</f>
        <v>1.7243999999999999E-2</v>
      </c>
      <c r="AG80" s="16">
        <f>ALL!AK17</f>
        <v>1.3558000000000001E-2</v>
      </c>
      <c r="AH80" s="16">
        <f>ALL!AL17</f>
        <v>4.5989000000000004E-3</v>
      </c>
      <c r="AI80" s="16">
        <f>ALL!AM17</f>
        <v>0</v>
      </c>
      <c r="AJ80" s="16">
        <f>ALL!AN17</f>
        <v>0</v>
      </c>
      <c r="AK80" s="16">
        <f>ALL!AO17</f>
        <v>0</v>
      </c>
      <c r="AL80" s="16">
        <f>ALL!AP17</f>
        <v>0</v>
      </c>
      <c r="AM80" s="16">
        <f>ALL!AQ17</f>
        <v>0</v>
      </c>
      <c r="AN80" s="16">
        <f>ALL!AR17</f>
        <v>0</v>
      </c>
      <c r="AO80" s="16">
        <f>ALL!AS17</f>
        <v>0</v>
      </c>
      <c r="AP80" s="16">
        <f>ALL!AT17</f>
        <v>0</v>
      </c>
      <c r="AQ80" s="16">
        <f>ALL!AU17</f>
        <v>0</v>
      </c>
      <c r="AR80" s="16">
        <f>ALL!AV17</f>
        <v>0</v>
      </c>
      <c r="AS80" s="16">
        <f>ALL!AW17</f>
        <v>0</v>
      </c>
      <c r="AT80" s="16">
        <f>ALL!AX17</f>
        <v>0</v>
      </c>
      <c r="AU80" s="16">
        <f>ALL!AY17</f>
        <v>0</v>
      </c>
      <c r="AV80" s="16">
        <f>ALL!AZ17</f>
        <v>0</v>
      </c>
      <c r="AW80" s="16">
        <f>ALL!BA17</f>
        <v>0</v>
      </c>
      <c r="AX80" s="16">
        <f>ALL!BB17</f>
        <v>0</v>
      </c>
      <c r="AY80" s="16">
        <f>ALL!BC17</f>
        <v>0</v>
      </c>
      <c r="AZ80" s="16">
        <f>ALL!BD17</f>
        <v>0</v>
      </c>
      <c r="BA80" s="16">
        <f>ALL!BE17</f>
        <v>0</v>
      </c>
      <c r="BB80" s="16">
        <f>ALL!BF17</f>
        <v>0</v>
      </c>
      <c r="BC80" s="16">
        <f>ALL!BG17</f>
        <v>0</v>
      </c>
      <c r="BD80" s="16">
        <f>ALL!BH17</f>
        <v>0</v>
      </c>
      <c r="BE80" s="16">
        <f>ALL!BI17</f>
        <v>0</v>
      </c>
      <c r="BF80" s="16">
        <f>ALL!BJ17</f>
        <v>0</v>
      </c>
      <c r="BG80" s="16">
        <f>ALL!BK17</f>
        <v>0</v>
      </c>
      <c r="BH80" s="16">
        <f>ALL!BL17</f>
        <v>0</v>
      </c>
      <c r="BI80" s="16">
        <f>ALL!BM17</f>
        <v>0</v>
      </c>
      <c r="BJ80" s="16">
        <f>ALL!BN17</f>
        <v>0</v>
      </c>
      <c r="BK80" s="16">
        <f>ALL!BO17</f>
        <v>0</v>
      </c>
      <c r="BL80" s="16">
        <f>ALL!BP17</f>
        <v>0</v>
      </c>
      <c r="BM80" s="16">
        <f>ALL!BQ17</f>
        <v>0</v>
      </c>
      <c r="BN80" s="16">
        <f>ALL!BR17</f>
        <v>0</v>
      </c>
      <c r="BO80" s="16">
        <f>ALL!BS17</f>
        <v>0</v>
      </c>
      <c r="BP80" s="16">
        <f>ALL!BT17</f>
        <v>0</v>
      </c>
      <c r="BQ80" s="16">
        <f>ALL!BU17</f>
        <v>0</v>
      </c>
      <c r="BR80" s="16">
        <f>ALL!BV17</f>
        <v>0</v>
      </c>
      <c r="BS80" s="16">
        <f>ALL!BW17</f>
        <v>0</v>
      </c>
      <c r="BT80" s="16">
        <f>ALL!BX17</f>
        <v>0</v>
      </c>
    </row>
    <row r="81" spans="1:72" ht="21.75" outlineLevel="1" thickBot="1" x14ac:dyDescent="0.4">
      <c r="A81" s="36" t="str">
        <f>ALL!E18</f>
        <v>(1)Se</v>
      </c>
      <c r="B81" s="16">
        <f>ALL!F18</f>
        <v>2.8265000000000001E-9</v>
      </c>
      <c r="C81" s="16">
        <f>ALL!G18</f>
        <v>8.0000999999999993E-9</v>
      </c>
      <c r="D81" s="16">
        <f>ALL!H18</f>
        <v>1.8224000000000002E-8</v>
      </c>
      <c r="E81" s="16">
        <f>ALL!I18</f>
        <v>3.2019999999999998E-8</v>
      </c>
      <c r="F81" s="16">
        <f>ALL!J18</f>
        <v>4.3060000000000003E-8</v>
      </c>
      <c r="G81" s="16">
        <f>ALL!K18</f>
        <v>3.1809999999999998E-8</v>
      </c>
      <c r="H81" s="16">
        <f>ALL!L18</f>
        <v>2.7503000000000001E-8</v>
      </c>
      <c r="I81" s="16">
        <f>ALL!M18</f>
        <v>2.4861E-8</v>
      </c>
      <c r="J81" s="16">
        <f>ALL!N18</f>
        <v>2.3668999999999998E-8</v>
      </c>
      <c r="K81" s="16">
        <f>ALL!O18</f>
        <v>2.3231999999999999E-8</v>
      </c>
      <c r="L81" s="16">
        <f>ALL!P18</f>
        <v>2.2659000000000001E-8</v>
      </c>
      <c r="M81" s="16">
        <f>ALL!Q18</f>
        <v>2.1959999999999999E-8</v>
      </c>
      <c r="N81" s="16">
        <f>ALL!R18</f>
        <v>2.0686999999999999E-8</v>
      </c>
      <c r="O81" s="16">
        <f>ALL!S18</f>
        <v>1.8737999999999999E-8</v>
      </c>
      <c r="P81" s="16">
        <f>ALL!T18</f>
        <v>1.6546000000000001E-8</v>
      </c>
      <c r="Q81" s="16">
        <f>ALL!U18</f>
        <v>1.4403E-8</v>
      </c>
      <c r="R81" s="16">
        <f>ALL!V18</f>
        <v>1.2445E-8</v>
      </c>
      <c r="S81" s="16">
        <f>ALL!W18</f>
        <v>1.0713E-8</v>
      </c>
      <c r="T81" s="16">
        <f>ALL!X18</f>
        <v>9.2080999999999993E-9</v>
      </c>
      <c r="U81" s="16">
        <f>ALL!Y18</f>
        <v>7.9125999999999993E-9</v>
      </c>
      <c r="V81" s="16">
        <f>ALL!Z18</f>
        <v>6.8070999999999998E-9</v>
      </c>
      <c r="W81" s="16">
        <f>ALL!AA18</f>
        <v>5.8781999999999998E-9</v>
      </c>
      <c r="X81" s="16">
        <f>ALL!AB18</f>
        <v>3.4846000000000001E-9</v>
      </c>
      <c r="Y81" s="16">
        <f>ALL!AC18</f>
        <v>1.9703000000000001E-9</v>
      </c>
      <c r="Z81" s="16">
        <f>ALL!AD18</f>
        <v>1.7096E-9</v>
      </c>
      <c r="AA81" s="16">
        <f>ALL!AE18</f>
        <v>1.4847000000000001E-9</v>
      </c>
      <c r="AB81" s="16">
        <f>ALL!AF18</f>
        <v>1.2903E-9</v>
      </c>
      <c r="AC81" s="16">
        <f>ALL!AG18</f>
        <v>1.1219E-9</v>
      </c>
      <c r="AD81" s="16">
        <f>ALL!AH18</f>
        <v>9.7606000000000004E-10</v>
      </c>
      <c r="AE81" s="16">
        <f>ALL!AI18</f>
        <v>8.5312000000000005E-10</v>
      </c>
      <c r="AF81" s="16">
        <f>ALL!AJ18</f>
        <v>7.4336000000000001E-10</v>
      </c>
      <c r="AG81" s="16">
        <f>ALL!AK18</f>
        <v>6.4702000000000001E-10</v>
      </c>
      <c r="AH81" s="16">
        <f>ALL!AL18</f>
        <v>3.7200000000000001E-10</v>
      </c>
      <c r="AI81" s="16">
        <f>ALL!AM18</f>
        <v>0</v>
      </c>
      <c r="AJ81" s="16">
        <f>ALL!AN18</f>
        <v>0</v>
      </c>
      <c r="AK81" s="16">
        <f>ALL!AO18</f>
        <v>0</v>
      </c>
      <c r="AL81" s="16">
        <f>ALL!AP18</f>
        <v>0</v>
      </c>
      <c r="AM81" s="16">
        <f>ALL!AQ18</f>
        <v>0</v>
      </c>
      <c r="AN81" s="16">
        <f>ALL!AR18</f>
        <v>0</v>
      </c>
      <c r="AO81" s="16">
        <f>ALL!AS18</f>
        <v>0</v>
      </c>
      <c r="AP81" s="16">
        <f>ALL!AT18</f>
        <v>0</v>
      </c>
      <c r="AQ81" s="16">
        <f>ALL!AU18</f>
        <v>0</v>
      </c>
      <c r="AR81" s="16">
        <f>ALL!AV18</f>
        <v>0</v>
      </c>
      <c r="AS81" s="16">
        <f>ALL!AW18</f>
        <v>0</v>
      </c>
      <c r="AT81" s="16">
        <f>ALL!AX18</f>
        <v>0</v>
      </c>
      <c r="AU81" s="16">
        <f>ALL!AY18</f>
        <v>0</v>
      </c>
      <c r="AV81" s="16">
        <f>ALL!AZ18</f>
        <v>0</v>
      </c>
      <c r="AW81" s="16">
        <f>ALL!BA18</f>
        <v>0</v>
      </c>
      <c r="AX81" s="16">
        <f>ALL!BB18</f>
        <v>0</v>
      </c>
      <c r="AY81" s="16">
        <f>ALL!BC18</f>
        <v>0</v>
      </c>
      <c r="AZ81" s="16">
        <f>ALL!BD18</f>
        <v>0</v>
      </c>
      <c r="BA81" s="16">
        <f>ALL!BE18</f>
        <v>0</v>
      </c>
      <c r="BB81" s="16">
        <f>ALL!BF18</f>
        <v>0</v>
      </c>
      <c r="BC81" s="16">
        <f>ALL!BG18</f>
        <v>0</v>
      </c>
      <c r="BD81" s="16">
        <f>ALL!BH18</f>
        <v>0</v>
      </c>
      <c r="BE81" s="16">
        <f>ALL!BI18</f>
        <v>0</v>
      </c>
      <c r="BF81" s="16">
        <f>ALL!BJ18</f>
        <v>0</v>
      </c>
      <c r="BG81" s="16">
        <f>ALL!BK18</f>
        <v>0</v>
      </c>
      <c r="BH81" s="16">
        <f>ALL!BL18</f>
        <v>0</v>
      </c>
      <c r="BI81" s="16">
        <f>ALL!BM18</f>
        <v>0</v>
      </c>
      <c r="BJ81" s="16">
        <f>ALL!BN18</f>
        <v>0</v>
      </c>
      <c r="BK81" s="16">
        <f>ALL!BO18</f>
        <v>0</v>
      </c>
      <c r="BL81" s="16">
        <f>ALL!BP18</f>
        <v>0</v>
      </c>
      <c r="BM81" s="16">
        <f>ALL!BQ18</f>
        <v>0</v>
      </c>
      <c r="BN81" s="16">
        <f>ALL!BR18</f>
        <v>0</v>
      </c>
      <c r="BO81" s="16">
        <f>ALL!BS18</f>
        <v>0</v>
      </c>
      <c r="BP81" s="16">
        <f>ALL!BT18</f>
        <v>0</v>
      </c>
      <c r="BQ81" s="16">
        <f>ALL!BU18</f>
        <v>0</v>
      </c>
      <c r="BR81" s="16">
        <f>ALL!BV18</f>
        <v>0</v>
      </c>
      <c r="BS81" s="16">
        <f>ALL!BW18</f>
        <v>0</v>
      </c>
      <c r="BT81" s="16">
        <f>ALL!BX18</f>
        <v>0</v>
      </c>
    </row>
    <row r="82" spans="1:72" ht="21.75" outlineLevel="1" thickBot="1" x14ac:dyDescent="0.4">
      <c r="A82" s="36" t="str">
        <f>ALL!E19</f>
        <v>(1)Se[a]</v>
      </c>
      <c r="B82" s="16">
        <f>ALL!F19</f>
        <v>6.5148000000000001E-10</v>
      </c>
      <c r="C82" s="16">
        <f>ALL!G19</f>
        <v>2.0896999999999999E-9</v>
      </c>
      <c r="D82" s="16">
        <f>ALL!H19</f>
        <v>5.3268000000000003E-9</v>
      </c>
      <c r="E82" s="16">
        <f>ALL!I19</f>
        <v>1.036E-8</v>
      </c>
      <c r="F82" s="16">
        <f>ALL!J19</f>
        <v>1.5276999999999998E-8</v>
      </c>
      <c r="G82" s="16">
        <f>ALL!K19</f>
        <v>1.5183000000000001E-8</v>
      </c>
      <c r="H82" s="16">
        <f>ALL!L19</f>
        <v>1.3939999999999999E-8</v>
      </c>
      <c r="I82" s="16">
        <f>ALL!M19</f>
        <v>1.3321000000000001E-8</v>
      </c>
      <c r="J82" s="16">
        <f>ALL!N19</f>
        <v>1.3354E-8</v>
      </c>
      <c r="K82" s="16">
        <f>ALL!O19</f>
        <v>1.3752E-8</v>
      </c>
      <c r="L82" s="16">
        <f>ALL!P19</f>
        <v>1.4025999999999999E-8</v>
      </c>
      <c r="M82" s="16">
        <f>ALL!Q19</f>
        <v>1.3751E-8</v>
      </c>
      <c r="N82" s="16">
        <f>ALL!R19</f>
        <v>1.2843E-8</v>
      </c>
      <c r="O82" s="16">
        <f>ALL!S19</f>
        <v>1.1528000000000001E-8</v>
      </c>
      <c r="P82" s="16">
        <f>ALL!T19</f>
        <v>1.0085000000000001E-8</v>
      </c>
      <c r="Q82" s="16">
        <f>ALL!U19</f>
        <v>8.6941000000000004E-9</v>
      </c>
      <c r="R82" s="16">
        <f>ALL!V19</f>
        <v>7.4380999999999998E-9</v>
      </c>
      <c r="S82" s="16">
        <f>ALL!W19</f>
        <v>6.3395000000000003E-9</v>
      </c>
      <c r="T82" s="16">
        <f>ALL!X19</f>
        <v>5.3942000000000003E-9</v>
      </c>
      <c r="U82" s="16">
        <f>ALL!Y19</f>
        <v>4.5885E-9</v>
      </c>
      <c r="V82" s="16">
        <f>ALL!Z19</f>
        <v>3.9075000000000004E-9</v>
      </c>
      <c r="W82" s="16">
        <f>ALL!AA19</f>
        <v>3.3401000000000001E-9</v>
      </c>
      <c r="X82" s="16">
        <f>ALL!AB19</f>
        <v>1.9017000000000002E-9</v>
      </c>
      <c r="Y82" s="16">
        <f>ALL!AC19</f>
        <v>1.0337000000000001E-9</v>
      </c>
      <c r="Z82" s="16">
        <f>ALL!AD19</f>
        <v>8.8833999999999995E-10</v>
      </c>
      <c r="AA82" s="16">
        <f>ALL!AE19</f>
        <v>7.6410999999999996E-10</v>
      </c>
      <c r="AB82" s="16">
        <f>ALL!AF19</f>
        <v>6.5776000000000001E-10</v>
      </c>
      <c r="AC82" s="16">
        <f>ALL!AG19</f>
        <v>5.6653999999999999E-10</v>
      </c>
      <c r="AD82" s="16">
        <f>ALL!AH19</f>
        <v>4.8829999999999996E-10</v>
      </c>
      <c r="AE82" s="16">
        <f>ALL!AI19</f>
        <v>4.2284000000000001E-10</v>
      </c>
      <c r="AF82" s="16">
        <f>ALL!AJ19</f>
        <v>3.6505E-10</v>
      </c>
      <c r="AG82" s="16">
        <f>ALL!AK19</f>
        <v>3.1482999999999999E-10</v>
      </c>
      <c r="AH82" s="16">
        <f>ALL!AL19</f>
        <v>1.7455999999999999E-10</v>
      </c>
      <c r="AI82" s="16">
        <f>ALL!AM19</f>
        <v>0</v>
      </c>
      <c r="AJ82" s="16">
        <f>ALL!AN19</f>
        <v>0</v>
      </c>
      <c r="AK82" s="16">
        <f>ALL!AO19</f>
        <v>0</v>
      </c>
      <c r="AL82" s="16">
        <f>ALL!AP19</f>
        <v>0</v>
      </c>
      <c r="AM82" s="16">
        <f>ALL!AQ19</f>
        <v>0</v>
      </c>
      <c r="AN82" s="16">
        <f>ALL!AR19</f>
        <v>0</v>
      </c>
      <c r="AO82" s="16">
        <f>ALL!AS19</f>
        <v>0</v>
      </c>
      <c r="AP82" s="16">
        <f>ALL!AT19</f>
        <v>0</v>
      </c>
      <c r="AQ82" s="16">
        <f>ALL!AU19</f>
        <v>0</v>
      </c>
      <c r="AR82" s="16">
        <f>ALL!AV19</f>
        <v>0</v>
      </c>
      <c r="AS82" s="16">
        <f>ALL!AW19</f>
        <v>0</v>
      </c>
      <c r="AT82" s="16">
        <f>ALL!AX19</f>
        <v>0</v>
      </c>
      <c r="AU82" s="16">
        <f>ALL!AY19</f>
        <v>0</v>
      </c>
      <c r="AV82" s="16">
        <f>ALL!AZ19</f>
        <v>0</v>
      </c>
      <c r="AW82" s="16">
        <f>ALL!BA19</f>
        <v>0</v>
      </c>
      <c r="AX82" s="16">
        <f>ALL!BB19</f>
        <v>0</v>
      </c>
      <c r="AY82" s="16">
        <f>ALL!BC19</f>
        <v>0</v>
      </c>
      <c r="AZ82" s="16">
        <f>ALL!BD19</f>
        <v>0</v>
      </c>
      <c r="BA82" s="16">
        <f>ALL!BE19</f>
        <v>0</v>
      </c>
      <c r="BB82" s="16">
        <f>ALL!BF19</f>
        <v>0</v>
      </c>
      <c r="BC82" s="16">
        <f>ALL!BG19</f>
        <v>0</v>
      </c>
      <c r="BD82" s="16">
        <f>ALL!BH19</f>
        <v>0</v>
      </c>
      <c r="BE82" s="16">
        <f>ALL!BI19</f>
        <v>0</v>
      </c>
      <c r="BF82" s="16">
        <f>ALL!BJ19</f>
        <v>0</v>
      </c>
      <c r="BG82" s="16">
        <f>ALL!BK19</f>
        <v>0</v>
      </c>
      <c r="BH82" s="16">
        <f>ALL!BL19</f>
        <v>0</v>
      </c>
      <c r="BI82" s="16">
        <f>ALL!BM19</f>
        <v>0</v>
      </c>
      <c r="BJ82" s="16">
        <f>ALL!BN19</f>
        <v>0</v>
      </c>
      <c r="BK82" s="16">
        <f>ALL!BO19</f>
        <v>0</v>
      </c>
      <c r="BL82" s="16">
        <f>ALL!BP19</f>
        <v>0</v>
      </c>
      <c r="BM82" s="16">
        <f>ALL!BQ19</f>
        <v>0</v>
      </c>
      <c r="BN82" s="16">
        <f>ALL!BR19</f>
        <v>0</v>
      </c>
      <c r="BO82" s="16">
        <f>ALL!BS19</f>
        <v>0</v>
      </c>
      <c r="BP82" s="16">
        <f>ALL!BT19</f>
        <v>0</v>
      </c>
      <c r="BQ82" s="16">
        <f>ALL!BU19</f>
        <v>0</v>
      </c>
      <c r="BR82" s="16">
        <f>ALL!BV19</f>
        <v>0</v>
      </c>
      <c r="BS82" s="16">
        <f>ALL!BW19</f>
        <v>0</v>
      </c>
      <c r="BT82" s="16">
        <f>ALL!BX19</f>
        <v>0</v>
      </c>
    </row>
    <row r="83" spans="1:72" ht="21.75" outlineLevel="1" thickBot="1" x14ac:dyDescent="0.4">
      <c r="A83" s="36" t="str">
        <f>ALL!E20</f>
        <v>(1)Se[m]</v>
      </c>
      <c r="B83" s="16">
        <f>ALL!F20</f>
        <v>2.3804999999999998E-3</v>
      </c>
      <c r="C83" s="16">
        <f>ALL!G20</f>
        <v>8.1585000000000008E-3</v>
      </c>
      <c r="D83" s="16">
        <f>ALL!H20</f>
        <v>2.2703000000000001E-2</v>
      </c>
      <c r="E83" s="16">
        <f>ALL!I20</f>
        <v>4.9029000000000003E-2</v>
      </c>
      <c r="F83" s="16">
        <f>ALL!J20</f>
        <v>8.1378000000000006E-2</v>
      </c>
      <c r="G83" s="16">
        <f>ALL!K20</f>
        <v>0.14174999999999999</v>
      </c>
      <c r="H83" s="16">
        <f>ALL!L20</f>
        <v>0.15184</v>
      </c>
      <c r="I83" s="16">
        <f>ALL!M20</f>
        <v>0.16986000000000001</v>
      </c>
      <c r="J83" s="16">
        <f>ALL!N20</f>
        <v>0.19985</v>
      </c>
      <c r="K83" s="16">
        <f>ALL!O20</f>
        <v>0.24199999999999999</v>
      </c>
      <c r="L83" s="16">
        <f>ALL!P20</f>
        <v>0.29065999999999997</v>
      </c>
      <c r="M83" s="16">
        <f>ALL!Q20</f>
        <v>0.33589000000000002</v>
      </c>
      <c r="N83" s="16">
        <f>ALL!R20</f>
        <v>0.37001000000000001</v>
      </c>
      <c r="O83" s="16">
        <f>ALL!S20</f>
        <v>0.39185999999999999</v>
      </c>
      <c r="P83" s="16">
        <f>ALL!T20</f>
        <v>0.40450000000000003</v>
      </c>
      <c r="Q83" s="16">
        <f>ALL!U20</f>
        <v>0.41147</v>
      </c>
      <c r="R83" s="16">
        <f>ALL!V20</f>
        <v>0.41525000000000001</v>
      </c>
      <c r="S83" s="16">
        <f>ALL!W20</f>
        <v>0.41732000000000002</v>
      </c>
      <c r="T83" s="16">
        <f>ALL!X20</f>
        <v>0.41850999999999999</v>
      </c>
      <c r="U83" s="16">
        <f>ALL!Y20</f>
        <v>0.41932999999999998</v>
      </c>
      <c r="V83" s="16">
        <f>ALL!Z20</f>
        <v>0.42032999999999998</v>
      </c>
      <c r="W83" s="16">
        <f>ALL!AA20</f>
        <v>0.42265000000000003</v>
      </c>
      <c r="X83" s="16">
        <f>ALL!AB20</f>
        <v>0.45709</v>
      </c>
      <c r="Y83" s="16">
        <f>ALL!AC20</f>
        <v>0.46577000000000002</v>
      </c>
      <c r="Z83" s="16">
        <f>ALL!AD20</f>
        <v>0.46736</v>
      </c>
      <c r="AA83" s="16">
        <f>ALL!AE20</f>
        <v>0.46901999999999999</v>
      </c>
      <c r="AB83" s="16">
        <f>ALL!AF20</f>
        <v>0.47065000000000001</v>
      </c>
      <c r="AC83" s="16">
        <f>ALL!AG20</f>
        <v>0.47219</v>
      </c>
      <c r="AD83" s="16">
        <f>ALL!AH20</f>
        <v>0.47367999999999999</v>
      </c>
      <c r="AE83" s="16">
        <f>ALL!AI20</f>
        <v>0.47704000000000002</v>
      </c>
      <c r="AF83" s="16">
        <f>ALL!AJ20</f>
        <v>0.47860999999999998</v>
      </c>
      <c r="AG83" s="16">
        <f>ALL!AK20</f>
        <v>0.47933999999999999</v>
      </c>
      <c r="AH83" s="16">
        <f>ALL!AL20</f>
        <v>0.47996</v>
      </c>
      <c r="AI83" s="16">
        <f>ALL!AM20</f>
        <v>0</v>
      </c>
      <c r="AJ83" s="16">
        <f>ALL!AN20</f>
        <v>0</v>
      </c>
      <c r="AK83" s="16">
        <f>ALL!AO20</f>
        <v>0</v>
      </c>
      <c r="AL83" s="16">
        <f>ALL!AP20</f>
        <v>0</v>
      </c>
      <c r="AM83" s="16">
        <f>ALL!AQ20</f>
        <v>0</v>
      </c>
      <c r="AN83" s="16">
        <f>ALL!AR20</f>
        <v>0</v>
      </c>
      <c r="AO83" s="16">
        <f>ALL!AS20</f>
        <v>0</v>
      </c>
      <c r="AP83" s="16">
        <f>ALL!AT20</f>
        <v>0</v>
      </c>
      <c r="AQ83" s="16">
        <f>ALL!AU20</f>
        <v>0</v>
      </c>
      <c r="AR83" s="16">
        <f>ALL!AV20</f>
        <v>0</v>
      </c>
      <c r="AS83" s="16">
        <f>ALL!AW20</f>
        <v>0</v>
      </c>
      <c r="AT83" s="16">
        <f>ALL!AX20</f>
        <v>0</v>
      </c>
      <c r="AU83" s="16">
        <f>ALL!AY20</f>
        <v>0</v>
      </c>
      <c r="AV83" s="16">
        <f>ALL!AZ20</f>
        <v>0</v>
      </c>
      <c r="AW83" s="16">
        <f>ALL!BA20</f>
        <v>0</v>
      </c>
      <c r="AX83" s="16">
        <f>ALL!BB20</f>
        <v>0</v>
      </c>
      <c r="AY83" s="16">
        <f>ALL!BC20</f>
        <v>0</v>
      </c>
      <c r="AZ83" s="16">
        <f>ALL!BD20</f>
        <v>0</v>
      </c>
      <c r="BA83" s="16">
        <f>ALL!BE20</f>
        <v>0</v>
      </c>
      <c r="BB83" s="16">
        <f>ALL!BF20</f>
        <v>0</v>
      </c>
      <c r="BC83" s="16">
        <f>ALL!BG20</f>
        <v>0</v>
      </c>
      <c r="BD83" s="16">
        <f>ALL!BH20</f>
        <v>0</v>
      </c>
      <c r="BE83" s="16">
        <f>ALL!BI20</f>
        <v>0</v>
      </c>
      <c r="BF83" s="16">
        <f>ALL!BJ20</f>
        <v>0</v>
      </c>
      <c r="BG83" s="16">
        <f>ALL!BK20</f>
        <v>0</v>
      </c>
      <c r="BH83" s="16">
        <f>ALL!BL20</f>
        <v>0</v>
      </c>
      <c r="BI83" s="16">
        <f>ALL!BM20</f>
        <v>0</v>
      </c>
      <c r="BJ83" s="16">
        <f>ALL!BN20</f>
        <v>0</v>
      </c>
      <c r="BK83" s="16">
        <f>ALL!BO20</f>
        <v>0</v>
      </c>
      <c r="BL83" s="16">
        <f>ALL!BP20</f>
        <v>0</v>
      </c>
      <c r="BM83" s="16">
        <f>ALL!BQ20</f>
        <v>0</v>
      </c>
      <c r="BN83" s="16">
        <f>ALL!BR20</f>
        <v>0</v>
      </c>
      <c r="BO83" s="16">
        <f>ALL!BS20</f>
        <v>0</v>
      </c>
      <c r="BP83" s="16">
        <f>ALL!BT20</f>
        <v>0</v>
      </c>
      <c r="BQ83" s="16">
        <f>ALL!BU20</f>
        <v>0</v>
      </c>
      <c r="BR83" s="16">
        <f>ALL!BV20</f>
        <v>0</v>
      </c>
      <c r="BS83" s="16">
        <f>ALL!BW20</f>
        <v>0</v>
      </c>
      <c r="BT83" s="16">
        <f>ALL!BX20</f>
        <v>0</v>
      </c>
    </row>
    <row r="84" spans="1:72" ht="21.75" outlineLevel="1" thickBot="1" x14ac:dyDescent="0.4">
      <c r="A84" s="36" t="str">
        <f>ALL!E21</f>
        <v>(1)Se[r]</v>
      </c>
      <c r="B84" s="16">
        <f>ALL!F21</f>
        <v>7.2273000000000001E-12</v>
      </c>
      <c r="C84" s="16">
        <f>ALL!G21</f>
        <v>3.0615999999999998E-11</v>
      </c>
      <c r="D84" s="16">
        <f>ALL!H21</f>
        <v>1.0052000000000001E-10</v>
      </c>
      <c r="E84" s="16">
        <f>ALL!I21</f>
        <v>2.4645999999999999E-10</v>
      </c>
      <c r="F84" s="16">
        <f>ALL!J21</f>
        <v>4.4978000000000002E-10</v>
      </c>
      <c r="G84" s="16">
        <f>ALL!K21</f>
        <v>9.0864999999999996E-10</v>
      </c>
      <c r="H84" s="16">
        <f>ALL!L21</f>
        <v>9.6864999999999996E-10</v>
      </c>
      <c r="I84" s="16">
        <f>ALL!M21</f>
        <v>1.0653E-9</v>
      </c>
      <c r="J84" s="16">
        <f>ALL!N21</f>
        <v>1.2192000000000001E-9</v>
      </c>
      <c r="K84" s="16">
        <f>ALL!O21</f>
        <v>1.4232E-9</v>
      </c>
      <c r="L84" s="16">
        <f>ALL!P21</f>
        <v>1.6345000000000001E-9</v>
      </c>
      <c r="M84" s="16">
        <f>ALL!Q21</f>
        <v>1.7936000000000001E-9</v>
      </c>
      <c r="N84" s="16">
        <f>ALL!R21</f>
        <v>1.8648E-9</v>
      </c>
      <c r="O84" s="16">
        <f>ALL!S21</f>
        <v>1.854E-9</v>
      </c>
      <c r="P84" s="16">
        <f>ALL!T21</f>
        <v>1.7882000000000001E-9</v>
      </c>
      <c r="Q84" s="16">
        <f>ALL!U21</f>
        <v>1.6925000000000001E-9</v>
      </c>
      <c r="R84" s="16">
        <f>ALL!V21</f>
        <v>1.5835E-9</v>
      </c>
      <c r="S84" s="16">
        <f>ALL!W21</f>
        <v>1.4704E-9</v>
      </c>
      <c r="T84" s="16">
        <f>ALL!X21</f>
        <v>1.3586E-9</v>
      </c>
      <c r="U84" s="16">
        <f>ALL!Y21</f>
        <v>1.2509999999999999E-9</v>
      </c>
      <c r="V84" s="16">
        <f>ALL!Z21</f>
        <v>1.1497000000000001E-9</v>
      </c>
      <c r="W84" s="16">
        <f>ALL!AA21</f>
        <v>1.0578E-9</v>
      </c>
      <c r="X84" s="16">
        <f>ALL!AB21</f>
        <v>7.8874999999999999E-10</v>
      </c>
      <c r="Y84" s="16">
        <f>ALL!AC21</f>
        <v>5.4359999999999996E-10</v>
      </c>
      <c r="Z84" s="16">
        <f>ALL!AD21</f>
        <v>4.9357999999999996E-10</v>
      </c>
      <c r="AA84" s="16">
        <f>ALL!AE21</f>
        <v>4.4790000000000002E-10</v>
      </c>
      <c r="AB84" s="16">
        <f>ALL!AF21</f>
        <v>4.0617E-10</v>
      </c>
      <c r="AC84" s="16">
        <f>ALL!AG21</f>
        <v>3.6803000000000002E-10</v>
      </c>
      <c r="AD84" s="16">
        <f>ALL!AH21</f>
        <v>3.3325000000000001E-10</v>
      </c>
      <c r="AE84" s="16">
        <f>ALL!AI21</f>
        <v>3.0279999999999998E-10</v>
      </c>
      <c r="AF84" s="16">
        <f>ALL!AJ21</f>
        <v>2.7396999999999999E-10</v>
      </c>
      <c r="AG84" s="16">
        <f>ALL!AK21</f>
        <v>2.4734E-10</v>
      </c>
      <c r="AH84" s="16">
        <f>ALL!AL21</f>
        <v>1.6297000000000001E-10</v>
      </c>
      <c r="AI84" s="16">
        <f>ALL!AM21</f>
        <v>0</v>
      </c>
      <c r="AJ84" s="16">
        <f>ALL!AN21</f>
        <v>0</v>
      </c>
      <c r="AK84" s="16">
        <f>ALL!AO21</f>
        <v>0</v>
      </c>
      <c r="AL84" s="16">
        <f>ALL!AP21</f>
        <v>0</v>
      </c>
      <c r="AM84" s="16">
        <f>ALL!AQ21</f>
        <v>0</v>
      </c>
      <c r="AN84" s="16">
        <f>ALL!AR21</f>
        <v>0</v>
      </c>
      <c r="AO84" s="16">
        <f>ALL!AS21</f>
        <v>0</v>
      </c>
      <c r="AP84" s="16">
        <f>ALL!AT21</f>
        <v>0</v>
      </c>
      <c r="AQ84" s="16">
        <f>ALL!AU21</f>
        <v>0</v>
      </c>
      <c r="AR84" s="16">
        <f>ALL!AV21</f>
        <v>0</v>
      </c>
      <c r="AS84" s="16">
        <f>ALL!AW21</f>
        <v>0</v>
      </c>
      <c r="AT84" s="16">
        <f>ALL!AX21</f>
        <v>0</v>
      </c>
      <c r="AU84" s="16">
        <f>ALL!AY21</f>
        <v>0</v>
      </c>
      <c r="AV84" s="16">
        <f>ALL!AZ21</f>
        <v>0</v>
      </c>
      <c r="AW84" s="16">
        <f>ALL!BA21</f>
        <v>0</v>
      </c>
      <c r="AX84" s="16">
        <f>ALL!BB21</f>
        <v>0</v>
      </c>
      <c r="AY84" s="16">
        <f>ALL!BC21</f>
        <v>0</v>
      </c>
      <c r="AZ84" s="16">
        <f>ALL!BD21</f>
        <v>0</v>
      </c>
      <c r="BA84" s="16">
        <f>ALL!BE21</f>
        <v>0</v>
      </c>
      <c r="BB84" s="16">
        <f>ALL!BF21</f>
        <v>0</v>
      </c>
      <c r="BC84" s="16">
        <f>ALL!BG21</f>
        <v>0</v>
      </c>
      <c r="BD84" s="16">
        <f>ALL!BH21</f>
        <v>0</v>
      </c>
      <c r="BE84" s="16">
        <f>ALL!BI21</f>
        <v>0</v>
      </c>
      <c r="BF84" s="16">
        <f>ALL!BJ21</f>
        <v>0</v>
      </c>
      <c r="BG84" s="16">
        <f>ALL!BK21</f>
        <v>0</v>
      </c>
      <c r="BH84" s="16">
        <f>ALL!BL21</f>
        <v>0</v>
      </c>
      <c r="BI84" s="16">
        <f>ALL!BM21</f>
        <v>0</v>
      </c>
      <c r="BJ84" s="16">
        <f>ALL!BN21</f>
        <v>0</v>
      </c>
      <c r="BK84" s="16">
        <f>ALL!BO21</f>
        <v>0</v>
      </c>
      <c r="BL84" s="16">
        <f>ALL!BP21</f>
        <v>0</v>
      </c>
      <c r="BM84" s="16">
        <f>ALL!BQ21</f>
        <v>0</v>
      </c>
      <c r="BN84" s="16">
        <f>ALL!BR21</f>
        <v>0</v>
      </c>
      <c r="BO84" s="16">
        <f>ALL!BS21</f>
        <v>0</v>
      </c>
      <c r="BP84" s="16">
        <f>ALL!BT21</f>
        <v>0</v>
      </c>
      <c r="BQ84" s="16">
        <f>ALL!BU21</f>
        <v>0</v>
      </c>
      <c r="BR84" s="16">
        <f>ALL!BV21</f>
        <v>0</v>
      </c>
      <c r="BS84" s="16">
        <f>ALL!BW21</f>
        <v>0</v>
      </c>
      <c r="BT84" s="16">
        <f>ALL!BX21</f>
        <v>0</v>
      </c>
    </row>
    <row r="85" spans="1:72" ht="21.75" outlineLevel="1" thickBot="1" x14ac:dyDescent="0.4">
      <c r="A85" s="36" t="str">
        <f>ALL!E22</f>
        <v>(1)Geic]</v>
      </c>
      <c r="B85" s="16">
        <f>ALL!F22</f>
        <v>5.2854000000000005E-7</v>
      </c>
      <c r="C85" s="16">
        <f>ALL!G22</f>
        <v>1.1217E-6</v>
      </c>
      <c r="D85" s="16">
        <f>ALL!H22</f>
        <v>2.6616999999999999E-6</v>
      </c>
      <c r="E85" s="16">
        <f>ALL!I22</f>
        <v>7.6415999999999998E-6</v>
      </c>
      <c r="F85" s="16">
        <f>ALL!J22</f>
        <v>2.5486E-5</v>
      </c>
      <c r="G85" s="16">
        <f>ALL!K22</f>
        <v>2.6394000000000001E-3</v>
      </c>
      <c r="H85" s="16">
        <f>ALL!L22</f>
        <v>6.7882000000000003E-3</v>
      </c>
      <c r="I85" s="16">
        <f>ALL!M22</f>
        <v>1.537E-2</v>
      </c>
      <c r="J85" s="16">
        <f>ALL!N22</f>
        <v>3.0145000000000002E-2</v>
      </c>
      <c r="K85" s="16">
        <f>ALL!O22</f>
        <v>5.1109000000000002E-2</v>
      </c>
      <c r="L85" s="16">
        <f>ALL!P22</f>
        <v>7.5374999999999998E-2</v>
      </c>
      <c r="M85" s="16">
        <f>ALL!Q22</f>
        <v>9.7961999999999994E-2</v>
      </c>
      <c r="N85" s="16">
        <f>ALL!R22</f>
        <v>0.11501</v>
      </c>
      <c r="O85" s="16">
        <f>ALL!S22</f>
        <v>0.12592999999999999</v>
      </c>
      <c r="P85" s="16">
        <f>ALL!T22</f>
        <v>0.13225000000000001</v>
      </c>
      <c r="Q85" s="16">
        <f>ALL!U22</f>
        <v>0.13572999999999999</v>
      </c>
      <c r="R85" s="16">
        <f>ALL!V22</f>
        <v>0.13761999999999999</v>
      </c>
      <c r="S85" s="16">
        <f>ALL!W22</f>
        <v>0.13866000000000001</v>
      </c>
      <c r="T85" s="16">
        <f>ALL!X22</f>
        <v>0.13922000000000001</v>
      </c>
      <c r="U85" s="16">
        <f>ALL!Y22</f>
        <v>0.13954</v>
      </c>
      <c r="V85" s="16">
        <f>ALL!Z22</f>
        <v>0.13972999999999999</v>
      </c>
      <c r="W85" s="16">
        <f>ALL!AA22</f>
        <v>0.13983000000000001</v>
      </c>
      <c r="X85" s="16">
        <f>ALL!AB22</f>
        <v>0.13997000000000001</v>
      </c>
      <c r="Y85" s="16">
        <f>ALL!AC22</f>
        <v>0.13999</v>
      </c>
      <c r="Z85" s="16">
        <f>ALL!AD22</f>
        <v>0.14000000000000001</v>
      </c>
      <c r="AA85" s="16">
        <f>ALL!AE22</f>
        <v>0.14000000000000001</v>
      </c>
      <c r="AB85" s="16">
        <f>ALL!AF22</f>
        <v>0.14000000000000001</v>
      </c>
      <c r="AC85" s="16">
        <f>ALL!AG22</f>
        <v>0.14000000000000001</v>
      </c>
      <c r="AD85" s="16">
        <f>ALL!AH22</f>
        <v>0.13999</v>
      </c>
      <c r="AE85" s="16">
        <f>ALL!AI22</f>
        <v>0.13966999999999999</v>
      </c>
      <c r="AF85" s="16">
        <f>ALL!AJ22</f>
        <v>0.13941000000000001</v>
      </c>
      <c r="AG85" s="16">
        <f>ALL!AK22</f>
        <v>0.13919000000000001</v>
      </c>
      <c r="AH85" s="16">
        <f>ALL!AL22</f>
        <v>0.13839000000000001</v>
      </c>
      <c r="AI85" s="16">
        <f>ALL!AM22</f>
        <v>0</v>
      </c>
      <c r="AJ85" s="16">
        <f>ALL!AN22</f>
        <v>0</v>
      </c>
      <c r="AK85" s="16">
        <f>ALL!AO22</f>
        <v>0</v>
      </c>
      <c r="AL85" s="16">
        <f>ALL!AP22</f>
        <v>0</v>
      </c>
      <c r="AM85" s="16">
        <f>ALL!AQ22</f>
        <v>0</v>
      </c>
      <c r="AN85" s="16">
        <f>ALL!AR22</f>
        <v>0</v>
      </c>
      <c r="AO85" s="16">
        <f>ALL!AS22</f>
        <v>0</v>
      </c>
      <c r="AP85" s="16">
        <f>ALL!AT22</f>
        <v>0</v>
      </c>
      <c r="AQ85" s="16">
        <f>ALL!AU22</f>
        <v>0</v>
      </c>
      <c r="AR85" s="16">
        <f>ALL!AV22</f>
        <v>0</v>
      </c>
      <c r="AS85" s="16">
        <f>ALL!AW22</f>
        <v>0</v>
      </c>
      <c r="AT85" s="16">
        <f>ALL!AX22</f>
        <v>0</v>
      </c>
      <c r="AU85" s="16">
        <f>ALL!AY22</f>
        <v>0</v>
      </c>
      <c r="AV85" s="16">
        <f>ALL!AZ22</f>
        <v>0</v>
      </c>
      <c r="AW85" s="16">
        <f>ALL!BA22</f>
        <v>0</v>
      </c>
      <c r="AX85" s="16">
        <f>ALL!BB22</f>
        <v>0</v>
      </c>
      <c r="AY85" s="16">
        <f>ALL!BC22</f>
        <v>0</v>
      </c>
      <c r="AZ85" s="16">
        <f>ALL!BD22</f>
        <v>0</v>
      </c>
      <c r="BA85" s="16">
        <f>ALL!BE22</f>
        <v>0</v>
      </c>
      <c r="BB85" s="16">
        <f>ALL!BF22</f>
        <v>0</v>
      </c>
      <c r="BC85" s="16">
        <f>ALL!BG22</f>
        <v>0</v>
      </c>
      <c r="BD85" s="16">
        <f>ALL!BH22</f>
        <v>0</v>
      </c>
      <c r="BE85" s="16">
        <f>ALL!BI22</f>
        <v>0</v>
      </c>
      <c r="BF85" s="16">
        <f>ALL!BJ22</f>
        <v>0</v>
      </c>
      <c r="BG85" s="16">
        <f>ALL!BK22</f>
        <v>0</v>
      </c>
      <c r="BH85" s="16">
        <f>ALL!BL22</f>
        <v>0</v>
      </c>
      <c r="BI85" s="16">
        <f>ALL!BM22</f>
        <v>0</v>
      </c>
      <c r="BJ85" s="16">
        <f>ALL!BN22</f>
        <v>0</v>
      </c>
      <c r="BK85" s="16">
        <f>ALL!BO22</f>
        <v>0</v>
      </c>
      <c r="BL85" s="16">
        <f>ALL!BP22</f>
        <v>0</v>
      </c>
      <c r="BM85" s="16">
        <f>ALL!BQ22</f>
        <v>0</v>
      </c>
      <c r="BN85" s="16">
        <f>ALL!BR22</f>
        <v>0</v>
      </c>
      <c r="BO85" s="16">
        <f>ALL!BS22</f>
        <v>0</v>
      </c>
      <c r="BP85" s="16">
        <f>ALL!BT22</f>
        <v>0</v>
      </c>
      <c r="BQ85" s="16">
        <f>ALL!BU22</f>
        <v>0</v>
      </c>
      <c r="BR85" s="16">
        <f>ALL!BV22</f>
        <v>0</v>
      </c>
      <c r="BS85" s="16">
        <f>ALL!BW22</f>
        <v>0</v>
      </c>
      <c r="BT85" s="16">
        <f>ALL!BX22</f>
        <v>0</v>
      </c>
    </row>
    <row r="86" spans="1:72" ht="21.75" outlineLevel="1" thickBot="1" x14ac:dyDescent="0.4">
      <c r="A86" s="36" t="str">
        <f>ALL!E23</f>
        <v>(3)Ga[1]</v>
      </c>
      <c r="B86" s="16">
        <f>ALL!F23</f>
        <v>0</v>
      </c>
      <c r="C86" s="16">
        <f>ALL!G23</f>
        <v>0</v>
      </c>
      <c r="D86" s="16">
        <f>ALL!H23</f>
        <v>0</v>
      </c>
      <c r="E86" s="16">
        <f>ALL!I23</f>
        <v>0</v>
      </c>
      <c r="F86" s="16">
        <f>ALL!J23</f>
        <v>0</v>
      </c>
      <c r="G86" s="16">
        <f>ALL!K23</f>
        <v>0</v>
      </c>
      <c r="H86" s="16">
        <f>ALL!L23</f>
        <v>0</v>
      </c>
      <c r="I86" s="16">
        <f>ALL!M23</f>
        <v>0</v>
      </c>
      <c r="J86" s="16">
        <f>ALL!N23</f>
        <v>0</v>
      </c>
      <c r="K86" s="16">
        <f>ALL!O23</f>
        <v>0</v>
      </c>
      <c r="L86" s="16">
        <f>ALL!P23</f>
        <v>0</v>
      </c>
      <c r="M86" s="16">
        <f>ALL!Q23</f>
        <v>0</v>
      </c>
      <c r="N86" s="16">
        <f>ALL!R23</f>
        <v>0</v>
      </c>
      <c r="O86" s="16">
        <f>ALL!S23</f>
        <v>0</v>
      </c>
      <c r="P86" s="16">
        <f>ALL!T23</f>
        <v>0</v>
      </c>
      <c r="Q86" s="16">
        <f>ALL!U23</f>
        <v>0</v>
      </c>
      <c r="R86" s="16">
        <f>ALL!V23</f>
        <v>0</v>
      </c>
      <c r="S86" s="16">
        <f>ALL!W23</f>
        <v>0</v>
      </c>
      <c r="T86" s="16">
        <f>ALL!X23</f>
        <v>0</v>
      </c>
      <c r="U86" s="16">
        <f>ALL!Y23</f>
        <v>0</v>
      </c>
      <c r="V86" s="16">
        <f>ALL!Z23</f>
        <v>0</v>
      </c>
      <c r="W86" s="16">
        <f>ALL!AA23</f>
        <v>0</v>
      </c>
      <c r="X86" s="16">
        <f>ALL!AB23</f>
        <v>0</v>
      </c>
      <c r="Y86" s="16">
        <f>ALL!AC23</f>
        <v>1.4259E-22</v>
      </c>
      <c r="Z86" s="16">
        <f>ALL!AD23</f>
        <v>4.8393000000000001E-18</v>
      </c>
      <c r="AA86" s="16">
        <f>ALL!AE23</f>
        <v>8.6730999999999997E-14</v>
      </c>
      <c r="AB86" s="16">
        <f>ALL!AF23</f>
        <v>7.9190000000000003E-10</v>
      </c>
      <c r="AC86" s="16">
        <f>ALL!AG23</f>
        <v>1.4299000000000001E-7</v>
      </c>
      <c r="AD86" s="16">
        <f>ALL!AH23</f>
        <v>5.5106000000000003E-4</v>
      </c>
      <c r="AE86" s="16">
        <f>ALL!AI23</f>
        <v>1.2390999999999999E-2</v>
      </c>
      <c r="AF86" s="16">
        <f>ALL!AJ23</f>
        <v>1.9973000000000001E-2</v>
      </c>
      <c r="AG86" s="16">
        <f>ALL!AK23</f>
        <v>2.5111000000000001E-2</v>
      </c>
      <c r="AH86" s="16">
        <f>ALL!AL23</f>
        <v>3.5318000000000002E-2</v>
      </c>
      <c r="AI86" s="16">
        <f>ALL!AM23</f>
        <v>0</v>
      </c>
      <c r="AJ86" s="16">
        <f>ALL!AN23</f>
        <v>0</v>
      </c>
      <c r="AK86" s="16">
        <f>ALL!AO23</f>
        <v>0</v>
      </c>
      <c r="AL86" s="16">
        <f>ALL!AP23</f>
        <v>0</v>
      </c>
      <c r="AM86" s="16">
        <f>ALL!AQ23</f>
        <v>0</v>
      </c>
      <c r="AN86" s="16">
        <f>ALL!AR23</f>
        <v>0</v>
      </c>
      <c r="AO86" s="16">
        <f>ALL!AS23</f>
        <v>0</v>
      </c>
      <c r="AP86" s="16">
        <f>ALL!AT23</f>
        <v>0</v>
      </c>
      <c r="AQ86" s="16">
        <f>ALL!AU23</f>
        <v>0</v>
      </c>
      <c r="AR86" s="16">
        <f>ALL!AV23</f>
        <v>0</v>
      </c>
      <c r="AS86" s="16">
        <f>ALL!AW23</f>
        <v>0</v>
      </c>
      <c r="AT86" s="16">
        <f>ALL!AX23</f>
        <v>0</v>
      </c>
      <c r="AU86" s="16">
        <f>ALL!AY23</f>
        <v>0</v>
      </c>
      <c r="AV86" s="16">
        <f>ALL!AZ23</f>
        <v>0</v>
      </c>
      <c r="AW86" s="16">
        <f>ALL!BA23</f>
        <v>0</v>
      </c>
      <c r="AX86" s="16">
        <f>ALL!BB23</f>
        <v>0</v>
      </c>
      <c r="AY86" s="16">
        <f>ALL!BC23</f>
        <v>0</v>
      </c>
      <c r="AZ86" s="16">
        <f>ALL!BD23</f>
        <v>0</v>
      </c>
      <c r="BA86" s="16">
        <f>ALL!BE23</f>
        <v>0</v>
      </c>
      <c r="BB86" s="16">
        <f>ALL!BF23</f>
        <v>0</v>
      </c>
      <c r="BC86" s="16">
        <f>ALL!BG23</f>
        <v>0</v>
      </c>
      <c r="BD86" s="16">
        <f>ALL!BH23</f>
        <v>0</v>
      </c>
      <c r="BE86" s="16">
        <f>ALL!BI23</f>
        <v>0</v>
      </c>
      <c r="BF86" s="16">
        <f>ALL!BJ23</f>
        <v>0</v>
      </c>
      <c r="BG86" s="16">
        <f>ALL!BK23</f>
        <v>0</v>
      </c>
      <c r="BH86" s="16">
        <f>ALL!BL23</f>
        <v>0</v>
      </c>
      <c r="BI86" s="16">
        <f>ALL!BM23</f>
        <v>0</v>
      </c>
      <c r="BJ86" s="16">
        <f>ALL!BN23</f>
        <v>0</v>
      </c>
      <c r="BK86" s="16">
        <f>ALL!BO23</f>
        <v>0</v>
      </c>
      <c r="BL86" s="16">
        <f>ALL!BP23</f>
        <v>0</v>
      </c>
      <c r="BM86" s="16">
        <f>ALL!BQ23</f>
        <v>0</v>
      </c>
      <c r="BN86" s="16">
        <f>ALL!BR23</f>
        <v>0</v>
      </c>
      <c r="BO86" s="16">
        <f>ALL!BS23</f>
        <v>0</v>
      </c>
      <c r="BP86" s="16">
        <f>ALL!BT23</f>
        <v>0</v>
      </c>
      <c r="BQ86" s="16">
        <f>ALL!BU23</f>
        <v>0</v>
      </c>
      <c r="BR86" s="16">
        <f>ALL!BV23</f>
        <v>0</v>
      </c>
      <c r="BS86" s="16">
        <f>ALL!BW23</f>
        <v>0</v>
      </c>
      <c r="BT86" s="16">
        <f>ALL!BX23</f>
        <v>0</v>
      </c>
    </row>
    <row r="87" spans="1:72" ht="21.75" outlineLevel="1" thickBot="1" x14ac:dyDescent="0.4">
      <c r="A87" s="36" t="str">
        <f>ALL!E24</f>
        <v>(3)Ge[1]</v>
      </c>
      <c r="B87" s="16">
        <f>ALL!F24</f>
        <v>0</v>
      </c>
      <c r="C87" s="16">
        <f>ALL!G24</f>
        <v>0</v>
      </c>
      <c r="D87" s="16">
        <f>ALL!H24</f>
        <v>0</v>
      </c>
      <c r="E87" s="16">
        <f>ALL!I24</f>
        <v>0</v>
      </c>
      <c r="F87" s="16">
        <f>ALL!J24</f>
        <v>0</v>
      </c>
      <c r="G87" s="16">
        <f>ALL!K24</f>
        <v>0</v>
      </c>
      <c r="H87" s="16">
        <f>ALL!L24</f>
        <v>0</v>
      </c>
      <c r="I87" s="16">
        <f>ALL!M24</f>
        <v>0</v>
      </c>
      <c r="J87" s="16">
        <f>ALL!N24</f>
        <v>0</v>
      </c>
      <c r="K87" s="16">
        <f>ALL!O24</f>
        <v>0</v>
      </c>
      <c r="L87" s="16">
        <f>ALL!P24</f>
        <v>0</v>
      </c>
      <c r="M87" s="16">
        <f>ALL!Q24</f>
        <v>0</v>
      </c>
      <c r="N87" s="16">
        <f>ALL!R24</f>
        <v>0</v>
      </c>
      <c r="O87" s="16">
        <f>ALL!S24</f>
        <v>0</v>
      </c>
      <c r="P87" s="16">
        <f>ALL!T24</f>
        <v>0</v>
      </c>
      <c r="Q87" s="16">
        <f>ALL!U24</f>
        <v>0</v>
      </c>
      <c r="R87" s="16">
        <f>ALL!V24</f>
        <v>0</v>
      </c>
      <c r="S87" s="16">
        <f>ALL!W24</f>
        <v>0</v>
      </c>
      <c r="T87" s="16">
        <f>ALL!X24</f>
        <v>0</v>
      </c>
      <c r="U87" s="16">
        <f>ALL!Y24</f>
        <v>0</v>
      </c>
      <c r="V87" s="16">
        <f>ALL!Z24</f>
        <v>0</v>
      </c>
      <c r="W87" s="16">
        <f>ALL!AA24</f>
        <v>0</v>
      </c>
      <c r="X87" s="16">
        <f>ALL!AB24</f>
        <v>0</v>
      </c>
      <c r="Y87" s="16">
        <f>ALL!AC24</f>
        <v>2.2449000000000001E-23</v>
      </c>
      <c r="Z87" s="16">
        <f>ALL!AD24</f>
        <v>5.7803000000000002E-19</v>
      </c>
      <c r="AA87" s="16">
        <f>ALL!AE24</f>
        <v>8.0229000000000003E-15</v>
      </c>
      <c r="AB87" s="16">
        <f>ALL!AF24</f>
        <v>5.7836000000000002E-11</v>
      </c>
      <c r="AC87" s="16">
        <f>ALL!AG24</f>
        <v>8.3879E-9</v>
      </c>
      <c r="AD87" s="16">
        <f>ALL!AH24</f>
        <v>2.6605999999999999E-5</v>
      </c>
      <c r="AE87" s="16">
        <f>ALL!AI24</f>
        <v>6.5841999999999995E-4</v>
      </c>
      <c r="AF87" s="16">
        <f>ALL!AJ24</f>
        <v>1.1711E-3</v>
      </c>
      <c r="AG87" s="16">
        <f>ALL!AK24</f>
        <v>1.6188000000000001E-3</v>
      </c>
      <c r="AH87" s="16">
        <f>ALL!AL24</f>
        <v>3.2217000000000001E-3</v>
      </c>
      <c r="AI87" s="16">
        <f>ALL!AM24</f>
        <v>0</v>
      </c>
      <c r="AJ87" s="16">
        <f>ALL!AN24</f>
        <v>0</v>
      </c>
      <c r="AK87" s="16">
        <f>ALL!AO24</f>
        <v>0</v>
      </c>
      <c r="AL87" s="16">
        <f>ALL!AP24</f>
        <v>0</v>
      </c>
      <c r="AM87" s="16">
        <f>ALL!AQ24</f>
        <v>0</v>
      </c>
      <c r="AN87" s="16">
        <f>ALL!AR24</f>
        <v>0</v>
      </c>
      <c r="AO87" s="16">
        <f>ALL!AS24</f>
        <v>0</v>
      </c>
      <c r="AP87" s="16">
        <f>ALL!AT24</f>
        <v>0</v>
      </c>
      <c r="AQ87" s="16">
        <f>ALL!AU24</f>
        <v>0</v>
      </c>
      <c r="AR87" s="16">
        <f>ALL!AV24</f>
        <v>0</v>
      </c>
      <c r="AS87" s="16">
        <f>ALL!AW24</f>
        <v>0</v>
      </c>
      <c r="AT87" s="16">
        <f>ALL!AX24</f>
        <v>0</v>
      </c>
      <c r="AU87" s="16">
        <f>ALL!AY24</f>
        <v>0</v>
      </c>
      <c r="AV87" s="16">
        <f>ALL!AZ24</f>
        <v>0</v>
      </c>
      <c r="AW87" s="16">
        <f>ALL!BA24</f>
        <v>0</v>
      </c>
      <c r="AX87" s="16">
        <f>ALL!BB24</f>
        <v>0</v>
      </c>
      <c r="AY87" s="16">
        <f>ALL!BC24</f>
        <v>0</v>
      </c>
      <c r="AZ87" s="16">
        <f>ALL!BD24</f>
        <v>0</v>
      </c>
      <c r="BA87" s="16">
        <f>ALL!BE24</f>
        <v>0</v>
      </c>
      <c r="BB87" s="16">
        <f>ALL!BF24</f>
        <v>0</v>
      </c>
      <c r="BC87" s="16">
        <f>ALL!BG24</f>
        <v>0</v>
      </c>
      <c r="BD87" s="16">
        <f>ALL!BH24</f>
        <v>0</v>
      </c>
      <c r="BE87" s="16">
        <f>ALL!BI24</f>
        <v>0</v>
      </c>
      <c r="BF87" s="16">
        <f>ALL!BJ24</f>
        <v>0</v>
      </c>
      <c r="BG87" s="16">
        <f>ALL!BK24</f>
        <v>0</v>
      </c>
      <c r="BH87" s="16">
        <f>ALL!BL24</f>
        <v>0</v>
      </c>
      <c r="BI87" s="16">
        <f>ALL!BM24</f>
        <v>0</v>
      </c>
      <c r="BJ87" s="16">
        <f>ALL!BN24</f>
        <v>0</v>
      </c>
      <c r="BK87" s="16">
        <f>ALL!BO24</f>
        <v>0</v>
      </c>
      <c r="BL87" s="16">
        <f>ALL!BP24</f>
        <v>0</v>
      </c>
      <c r="BM87" s="16">
        <f>ALL!BQ24</f>
        <v>0</v>
      </c>
      <c r="BN87" s="16">
        <f>ALL!BR24</f>
        <v>0</v>
      </c>
      <c r="BO87" s="16">
        <f>ALL!BS24</f>
        <v>0</v>
      </c>
      <c r="BP87" s="16">
        <f>ALL!BT24</f>
        <v>0</v>
      </c>
      <c r="BQ87" s="16">
        <f>ALL!BU24</f>
        <v>0</v>
      </c>
      <c r="BR87" s="16">
        <f>ALL!BV24</f>
        <v>0</v>
      </c>
      <c r="BS87" s="16">
        <f>ALL!BW24</f>
        <v>0</v>
      </c>
      <c r="BT87" s="16">
        <f>ALL!BX24</f>
        <v>0</v>
      </c>
    </row>
    <row r="88" spans="1:72" ht="21.75" outlineLevel="1" thickBot="1" x14ac:dyDescent="0.4">
      <c r="A88" s="36" t="str">
        <f>ALL!E25</f>
        <v>H (Ar)</v>
      </c>
      <c r="B88" s="16">
        <f>ALL!F25</f>
        <v>-18.66</v>
      </c>
      <c r="C88" s="16">
        <f>ALL!G25</f>
        <v>-18.649999999999999</v>
      </c>
      <c r="D88" s="16">
        <f>ALL!H25</f>
        <v>-18.649999999999999</v>
      </c>
      <c r="E88" s="16">
        <f>ALL!I25</f>
        <v>-18.66</v>
      </c>
      <c r="F88" s="16">
        <f>ALL!J25</f>
        <v>-18.670000000000002</v>
      </c>
      <c r="G88" s="16">
        <f>ALL!K25</f>
        <v>-18.75</v>
      </c>
      <c r="H88" s="16">
        <f>ALL!L25</f>
        <v>-18.78</v>
      </c>
      <c r="I88" s="16">
        <f>ALL!M25</f>
        <v>-18.809999999999999</v>
      </c>
      <c r="J88" s="16">
        <f>ALL!N25</f>
        <v>-18.829999999999998</v>
      </c>
      <c r="K88" s="16">
        <f>ALL!O25</f>
        <v>-18.86</v>
      </c>
      <c r="L88" s="16">
        <f>ALL!P25</f>
        <v>-18.899999999999999</v>
      </c>
      <c r="M88" s="16">
        <f>ALL!Q25</f>
        <v>-18.93</v>
      </c>
      <c r="N88" s="16">
        <f>ALL!R25</f>
        <v>-18.96</v>
      </c>
      <c r="O88" s="16">
        <f>ALL!S25</f>
        <v>-18.989999999999998</v>
      </c>
      <c r="P88" s="16">
        <f>ALL!T25</f>
        <v>-19.03</v>
      </c>
      <c r="Q88" s="16">
        <f>ALL!U25</f>
        <v>-19.059999999999999</v>
      </c>
      <c r="R88" s="16">
        <f>ALL!V25</f>
        <v>-19.100000000000001</v>
      </c>
      <c r="S88" s="16">
        <f>ALL!W25</f>
        <v>-19.13</v>
      </c>
      <c r="T88" s="16">
        <f>ALL!X25</f>
        <v>-19.170000000000002</v>
      </c>
      <c r="U88" s="16">
        <f>ALL!Y25</f>
        <v>-19.2</v>
      </c>
      <c r="V88" s="16">
        <f>ALL!Z25</f>
        <v>-19.23</v>
      </c>
      <c r="W88" s="16">
        <f>ALL!AA25</f>
        <v>-19.27</v>
      </c>
      <c r="X88" s="16">
        <f>ALL!AB25</f>
        <v>-19.38</v>
      </c>
      <c r="Y88" s="16">
        <f>ALL!AC25</f>
        <v>-19.510000000000002</v>
      </c>
      <c r="Z88" s="16">
        <f>ALL!AD25</f>
        <v>-19.55</v>
      </c>
      <c r="AA88" s="16">
        <f>ALL!AE25</f>
        <v>-19.579999999999998</v>
      </c>
      <c r="AB88" s="16">
        <f>ALL!AF25</f>
        <v>-19.61</v>
      </c>
      <c r="AC88" s="16">
        <f>ALL!AG25</f>
        <v>-19.64</v>
      </c>
      <c r="AD88" s="16">
        <f>ALL!AH25</f>
        <v>-19.670000000000002</v>
      </c>
      <c r="AE88" s="16">
        <f>ALL!AI25</f>
        <v>-19.7</v>
      </c>
      <c r="AF88" s="16">
        <f>ALL!AJ25</f>
        <v>-19.73</v>
      </c>
      <c r="AG88" s="16">
        <f>ALL!AK25</f>
        <v>-19.760000000000002</v>
      </c>
      <c r="AH88" s="16">
        <f>ALL!AL25</f>
        <v>-19.88</v>
      </c>
      <c r="AI88" s="16">
        <f>ALL!AM25</f>
        <v>0</v>
      </c>
      <c r="AJ88" s="16">
        <f>ALL!AN25</f>
        <v>0</v>
      </c>
      <c r="AK88" s="16">
        <f>ALL!AO25</f>
        <v>0</v>
      </c>
      <c r="AL88" s="16">
        <f>ALL!AP25</f>
        <v>0</v>
      </c>
      <c r="AM88" s="16">
        <f>ALL!AQ25</f>
        <v>0</v>
      </c>
      <c r="AN88" s="16">
        <f>ALL!AR25</f>
        <v>0</v>
      </c>
      <c r="AO88" s="16">
        <f>ALL!AS25</f>
        <v>0</v>
      </c>
      <c r="AP88" s="16">
        <f>ALL!AT25</f>
        <v>0</v>
      </c>
      <c r="AQ88" s="16">
        <f>ALL!AU25</f>
        <v>0</v>
      </c>
      <c r="AR88" s="16">
        <f>ALL!AV25</f>
        <v>0</v>
      </c>
      <c r="AS88" s="16">
        <f>ALL!AW25</f>
        <v>0</v>
      </c>
      <c r="AT88" s="16">
        <f>ALL!AX25</f>
        <v>0</v>
      </c>
      <c r="AU88" s="16">
        <f>ALL!AY25</f>
        <v>0</v>
      </c>
      <c r="AV88" s="16">
        <f>ALL!AZ25</f>
        <v>0</v>
      </c>
      <c r="AW88" s="16">
        <f>ALL!BA25</f>
        <v>0</v>
      </c>
      <c r="AX88" s="16">
        <f>ALL!BB25</f>
        <v>0</v>
      </c>
      <c r="AY88" s="16">
        <f>ALL!BC25</f>
        <v>0</v>
      </c>
      <c r="AZ88" s="16">
        <f>ALL!BD25</f>
        <v>0</v>
      </c>
      <c r="BA88" s="16">
        <f>ALL!BE25</f>
        <v>0</v>
      </c>
      <c r="BB88" s="16">
        <f>ALL!BF25</f>
        <v>0</v>
      </c>
      <c r="BC88" s="16">
        <f>ALL!BG25</f>
        <v>0</v>
      </c>
      <c r="BD88" s="16">
        <f>ALL!BH25</f>
        <v>0</v>
      </c>
      <c r="BE88" s="16">
        <f>ALL!BI25</f>
        <v>0</v>
      </c>
      <c r="BF88" s="16">
        <f>ALL!BJ25</f>
        <v>0</v>
      </c>
      <c r="BG88" s="16">
        <f>ALL!BK25</f>
        <v>0</v>
      </c>
      <c r="BH88" s="16">
        <f>ALL!BL25</f>
        <v>0</v>
      </c>
      <c r="BI88" s="16">
        <f>ALL!BM25</f>
        <v>0</v>
      </c>
      <c r="BJ88" s="16">
        <f>ALL!BN25</f>
        <v>0</v>
      </c>
      <c r="BK88" s="16">
        <f>ALL!BO25</f>
        <v>0</v>
      </c>
      <c r="BL88" s="16">
        <f>ALL!BP25</f>
        <v>0</v>
      </c>
      <c r="BM88" s="16">
        <f>ALL!BQ25</f>
        <v>0</v>
      </c>
      <c r="BN88" s="16">
        <f>ALL!BR25</f>
        <v>0</v>
      </c>
      <c r="BO88" s="16">
        <f>ALL!BS25</f>
        <v>0</v>
      </c>
      <c r="BP88" s="16">
        <f>ALL!BT25</f>
        <v>0</v>
      </c>
      <c r="BQ88" s="16">
        <f>ALL!BU25</f>
        <v>0</v>
      </c>
      <c r="BR88" s="16">
        <f>ALL!BV25</f>
        <v>0</v>
      </c>
      <c r="BS88" s="16">
        <f>ALL!BW25</f>
        <v>0</v>
      </c>
      <c r="BT88" s="16">
        <f>ALL!BX25</f>
        <v>0</v>
      </c>
    </row>
    <row r="89" spans="1:72" ht="21.75" outlineLevel="1" thickBot="1" x14ac:dyDescent="0.4">
      <c r="A89" s="36" t="str">
        <f>ALL!E26</f>
        <v>H (Ga)</v>
      </c>
      <c r="B89" s="16">
        <f>ALL!F26</f>
        <v>-67.12</v>
      </c>
      <c r="C89" s="16">
        <f>ALL!G26</f>
        <v>-63.52</v>
      </c>
      <c r="D89" s="16">
        <f>ALL!H26</f>
        <v>-60.12</v>
      </c>
      <c r="E89" s="16">
        <f>ALL!I26</f>
        <v>-56.76</v>
      </c>
      <c r="F89" s="16">
        <f>ALL!J26</f>
        <v>-53.4</v>
      </c>
      <c r="G89" s="16">
        <f>ALL!K26</f>
        <v>-41.04</v>
      </c>
      <c r="H89" s="16">
        <f>ALL!L26</f>
        <v>-38.450000000000003</v>
      </c>
      <c r="I89" s="16">
        <f>ALL!M26</f>
        <v>-36.08</v>
      </c>
      <c r="J89" s="16">
        <f>ALL!N26</f>
        <v>-33.93</v>
      </c>
      <c r="K89" s="16">
        <f>ALL!O26</f>
        <v>-31.94</v>
      </c>
      <c r="L89" s="16">
        <f>ALL!P26</f>
        <v>-30.07</v>
      </c>
      <c r="M89" s="16">
        <f>ALL!Q26</f>
        <v>-28.28</v>
      </c>
      <c r="N89" s="16">
        <f>ALL!R26</f>
        <v>-26.54</v>
      </c>
      <c r="O89" s="16">
        <f>ALL!S26</f>
        <v>-24.87</v>
      </c>
      <c r="P89" s="16">
        <f>ALL!T26</f>
        <v>-23.27</v>
      </c>
      <c r="Q89" s="16">
        <f>ALL!U26</f>
        <v>-21.74</v>
      </c>
      <c r="R89" s="16">
        <f>ALL!V26</f>
        <v>-20.27</v>
      </c>
      <c r="S89" s="16">
        <f>ALL!W26</f>
        <v>-18.87</v>
      </c>
      <c r="T89" s="16">
        <f>ALL!X26</f>
        <v>-17.54</v>
      </c>
      <c r="U89" s="16">
        <f>ALL!Y26</f>
        <v>-16.260000000000002</v>
      </c>
      <c r="V89" s="16">
        <f>ALL!Z26</f>
        <v>-15.05</v>
      </c>
      <c r="W89" s="16">
        <f>ALL!AA26</f>
        <v>-13.91</v>
      </c>
      <c r="X89" s="16">
        <f>ALL!AB26</f>
        <v>-10.79</v>
      </c>
      <c r="Y89" s="16">
        <f>ALL!AC26</f>
        <v>-9.1989999999999998</v>
      </c>
      <c r="Z89" s="16">
        <f>ALL!AD26</f>
        <v>-8.8740000000000006</v>
      </c>
      <c r="AA89" s="16">
        <f>ALL!AE26</f>
        <v>-8.5730000000000004</v>
      </c>
      <c r="AB89" s="16">
        <f>ALL!AF26</f>
        <v>-8.2949999999999999</v>
      </c>
      <c r="AC89" s="16">
        <f>ALL!AG26</f>
        <v>-8.0359999999999996</v>
      </c>
      <c r="AD89" s="16">
        <f>ALL!AH26</f>
        <v>-7.8040000000000003</v>
      </c>
      <c r="AE89" s="16">
        <f>ALL!AI26</f>
        <v>-7.8559999999999999</v>
      </c>
      <c r="AF89" s="16">
        <f>ALL!AJ26</f>
        <v>-7.915</v>
      </c>
      <c r="AG89" s="16">
        <f>ALL!AK26</f>
        <v>-7.9720000000000004</v>
      </c>
      <c r="AH89" s="16">
        <f>ALL!AL26</f>
        <v>-8.1969999999999992</v>
      </c>
      <c r="AI89" s="16">
        <f>ALL!AM26</f>
        <v>0</v>
      </c>
      <c r="AJ89" s="16">
        <f>ALL!AN26</f>
        <v>0</v>
      </c>
      <c r="AK89" s="16">
        <f>ALL!AO26</f>
        <v>0</v>
      </c>
      <c r="AL89" s="16">
        <f>ALL!AP26</f>
        <v>0</v>
      </c>
      <c r="AM89" s="16">
        <f>ALL!AQ26</f>
        <v>0</v>
      </c>
      <c r="AN89" s="16">
        <f>ALL!AR26</f>
        <v>0</v>
      </c>
      <c r="AO89" s="16">
        <f>ALL!AS26</f>
        <v>0</v>
      </c>
      <c r="AP89" s="16">
        <f>ALL!AT26</f>
        <v>0</v>
      </c>
      <c r="AQ89" s="16">
        <f>ALL!AU26</f>
        <v>0</v>
      </c>
      <c r="AR89" s="16">
        <f>ALL!AV26</f>
        <v>0</v>
      </c>
      <c r="AS89" s="16">
        <f>ALL!AW26</f>
        <v>0</v>
      </c>
      <c r="AT89" s="16">
        <f>ALL!AX26</f>
        <v>0</v>
      </c>
      <c r="AU89" s="16">
        <f>ALL!AY26</f>
        <v>0</v>
      </c>
      <c r="AV89" s="16">
        <f>ALL!AZ26</f>
        <v>0</v>
      </c>
      <c r="AW89" s="16">
        <f>ALL!BA26</f>
        <v>0</v>
      </c>
      <c r="AX89" s="16">
        <f>ALL!BB26</f>
        <v>0</v>
      </c>
      <c r="AY89" s="16">
        <f>ALL!BC26</f>
        <v>0</v>
      </c>
      <c r="AZ89" s="16">
        <f>ALL!BD26</f>
        <v>0</v>
      </c>
      <c r="BA89" s="16">
        <f>ALL!BE26</f>
        <v>0</v>
      </c>
      <c r="BB89" s="16">
        <f>ALL!BF26</f>
        <v>0</v>
      </c>
      <c r="BC89" s="16">
        <f>ALL!BG26</f>
        <v>0</v>
      </c>
      <c r="BD89" s="16">
        <f>ALL!BH26</f>
        <v>0</v>
      </c>
      <c r="BE89" s="16">
        <f>ALL!BI26</f>
        <v>0</v>
      </c>
      <c r="BF89" s="16">
        <f>ALL!BJ26</f>
        <v>0</v>
      </c>
      <c r="BG89" s="16">
        <f>ALL!BK26</f>
        <v>0</v>
      </c>
      <c r="BH89" s="16">
        <f>ALL!BL26</f>
        <v>0</v>
      </c>
      <c r="BI89" s="16">
        <f>ALL!BM26</f>
        <v>0</v>
      </c>
      <c r="BJ89" s="16">
        <f>ALL!BN26</f>
        <v>0</v>
      </c>
      <c r="BK89" s="16">
        <f>ALL!BO26</f>
        <v>0</v>
      </c>
      <c r="BL89" s="16">
        <f>ALL!BP26</f>
        <v>0</v>
      </c>
      <c r="BM89" s="16">
        <f>ALL!BQ26</f>
        <v>0</v>
      </c>
      <c r="BN89" s="16">
        <f>ALL!BR26</f>
        <v>0</v>
      </c>
      <c r="BO89" s="16">
        <f>ALL!BS26</f>
        <v>0</v>
      </c>
      <c r="BP89" s="16">
        <f>ALL!BT26</f>
        <v>0</v>
      </c>
      <c r="BQ89" s="16">
        <f>ALL!BU26</f>
        <v>0</v>
      </c>
      <c r="BR89" s="16">
        <f>ALL!BV26</f>
        <v>0</v>
      </c>
      <c r="BS89" s="16">
        <f>ALL!BW26</f>
        <v>0</v>
      </c>
      <c r="BT89" s="16">
        <f>ALL!BX26</f>
        <v>0</v>
      </c>
    </row>
    <row r="90" spans="1:72" ht="21.75" outlineLevel="1" thickBot="1" x14ac:dyDescent="0.4">
      <c r="A90" s="36" t="str">
        <f>ALL!E27</f>
        <v>H (Ge)</v>
      </c>
      <c r="B90" s="16">
        <f>ALL!F27</f>
        <v>-16.98</v>
      </c>
      <c r="C90" s="16">
        <f>ALL!G27</f>
        <v>-16.239999999999998</v>
      </c>
      <c r="D90" s="16">
        <f>ALL!H27</f>
        <v>-15.42</v>
      </c>
      <c r="E90" s="16">
        <f>ALL!I27</f>
        <v>-14.46</v>
      </c>
      <c r="F90" s="16">
        <f>ALL!J27</f>
        <v>-13.36</v>
      </c>
      <c r="G90" s="16">
        <f>ALL!K27</f>
        <v>-8.9659999999999993</v>
      </c>
      <c r="H90" s="16">
        <f>ALL!L27</f>
        <v>-8.077</v>
      </c>
      <c r="I90" s="16">
        <f>ALL!M27</f>
        <v>-7.3339999999999996</v>
      </c>
      <c r="J90" s="16">
        <f>ALL!N27</f>
        <v>-6.7590000000000003</v>
      </c>
      <c r="K90" s="16">
        <f>ALL!O27</f>
        <v>-6.35</v>
      </c>
      <c r="L90" s="16">
        <f>ALL!P27</f>
        <v>-6.0869999999999997</v>
      </c>
      <c r="M90" s="16">
        <f>ALL!Q27</f>
        <v>-5.9379999999999997</v>
      </c>
      <c r="N90" s="16">
        <f>ALL!R27</f>
        <v>-5.87</v>
      </c>
      <c r="O90" s="16">
        <f>ALL!S27</f>
        <v>-5.8520000000000003</v>
      </c>
      <c r="P90" s="16">
        <f>ALL!T27</f>
        <v>-5.8609999999999998</v>
      </c>
      <c r="Q90" s="16">
        <f>ALL!U27</f>
        <v>-5.8860000000000001</v>
      </c>
      <c r="R90" s="16">
        <f>ALL!V27</f>
        <v>-5.9180000000000001</v>
      </c>
      <c r="S90" s="16">
        <f>ALL!W27</f>
        <v>-5.9550000000000001</v>
      </c>
      <c r="T90" s="16">
        <f>ALL!X27</f>
        <v>-5.9930000000000003</v>
      </c>
      <c r="U90" s="16">
        <f>ALL!Y27</f>
        <v>-6.0330000000000004</v>
      </c>
      <c r="V90" s="16">
        <f>ALL!Z27</f>
        <v>-6.0739999999999998</v>
      </c>
      <c r="W90" s="16">
        <f>ALL!AA27</f>
        <v>-6.1180000000000003</v>
      </c>
      <c r="X90" s="16">
        <f>ALL!AB27</f>
        <v>-6.3319999999999999</v>
      </c>
      <c r="Y90" s="16">
        <f>ALL!AC27</f>
        <v>-6.508</v>
      </c>
      <c r="Z90" s="16">
        <f>ALL!AD27</f>
        <v>-6.5510000000000002</v>
      </c>
      <c r="AA90" s="16">
        <f>ALL!AE27</f>
        <v>-6.5940000000000003</v>
      </c>
      <c r="AB90" s="16">
        <f>ALL!AF27</f>
        <v>-6.6360000000000001</v>
      </c>
      <c r="AC90" s="16">
        <f>ALL!AG27</f>
        <v>-6.6779999999999999</v>
      </c>
      <c r="AD90" s="16">
        <f>ALL!AH27</f>
        <v>-6.7190000000000003</v>
      </c>
      <c r="AE90" s="16">
        <f>ALL!AI27</f>
        <v>-6.7510000000000003</v>
      </c>
      <c r="AF90" s="16">
        <f>ALL!AJ27</f>
        <v>-6.7839999999999998</v>
      </c>
      <c r="AG90" s="16">
        <f>ALL!AK27</f>
        <v>-6.8170000000000002</v>
      </c>
      <c r="AH90" s="16">
        <f>ALL!AL27</f>
        <v>-6.9539999999999997</v>
      </c>
      <c r="AI90" s="16">
        <f>ALL!AM27</f>
        <v>0</v>
      </c>
      <c r="AJ90" s="16">
        <f>ALL!AN27</f>
        <v>0</v>
      </c>
      <c r="AK90" s="16">
        <f>ALL!AO27</f>
        <v>0</v>
      </c>
      <c r="AL90" s="16">
        <f>ALL!AP27</f>
        <v>0</v>
      </c>
      <c r="AM90" s="16">
        <f>ALL!AQ27</f>
        <v>0</v>
      </c>
      <c r="AN90" s="16">
        <f>ALL!AR27</f>
        <v>0</v>
      </c>
      <c r="AO90" s="16">
        <f>ALL!AS27</f>
        <v>0</v>
      </c>
      <c r="AP90" s="16">
        <f>ALL!AT27</f>
        <v>0</v>
      </c>
      <c r="AQ90" s="16">
        <f>ALL!AU27</f>
        <v>0</v>
      </c>
      <c r="AR90" s="16">
        <f>ALL!AV27</f>
        <v>0</v>
      </c>
      <c r="AS90" s="16">
        <f>ALL!AW27</f>
        <v>0</v>
      </c>
      <c r="AT90" s="16">
        <f>ALL!AX27</f>
        <v>0</v>
      </c>
      <c r="AU90" s="16">
        <f>ALL!AY27</f>
        <v>0</v>
      </c>
      <c r="AV90" s="16">
        <f>ALL!AZ27</f>
        <v>0</v>
      </c>
      <c r="AW90" s="16">
        <f>ALL!BA27</f>
        <v>0</v>
      </c>
      <c r="AX90" s="16">
        <f>ALL!BB27</f>
        <v>0</v>
      </c>
      <c r="AY90" s="16">
        <f>ALL!BC27</f>
        <v>0</v>
      </c>
      <c r="AZ90" s="16">
        <f>ALL!BD27</f>
        <v>0</v>
      </c>
      <c r="BA90" s="16">
        <f>ALL!BE27</f>
        <v>0</v>
      </c>
      <c r="BB90" s="16">
        <f>ALL!BF27</f>
        <v>0</v>
      </c>
      <c r="BC90" s="16">
        <f>ALL!BG27</f>
        <v>0</v>
      </c>
      <c r="BD90" s="16">
        <f>ALL!BH27</f>
        <v>0</v>
      </c>
      <c r="BE90" s="16">
        <f>ALL!BI27</f>
        <v>0</v>
      </c>
      <c r="BF90" s="16">
        <f>ALL!BJ27</f>
        <v>0</v>
      </c>
      <c r="BG90" s="16">
        <f>ALL!BK27</f>
        <v>0</v>
      </c>
      <c r="BH90" s="16">
        <f>ALL!BL27</f>
        <v>0</v>
      </c>
      <c r="BI90" s="16">
        <f>ALL!BM27</f>
        <v>0</v>
      </c>
      <c r="BJ90" s="16">
        <f>ALL!BN27</f>
        <v>0</v>
      </c>
      <c r="BK90" s="16">
        <f>ALL!BO27</f>
        <v>0</v>
      </c>
      <c r="BL90" s="16">
        <f>ALL!BP27</f>
        <v>0</v>
      </c>
      <c r="BM90" s="16">
        <f>ALL!BQ27</f>
        <v>0</v>
      </c>
      <c r="BN90" s="16">
        <f>ALL!BR27</f>
        <v>0</v>
      </c>
      <c r="BO90" s="16">
        <f>ALL!BS27</f>
        <v>0</v>
      </c>
      <c r="BP90" s="16">
        <f>ALL!BT27</f>
        <v>0</v>
      </c>
      <c r="BQ90" s="16">
        <f>ALL!BU27</f>
        <v>0</v>
      </c>
      <c r="BR90" s="16">
        <f>ALL!BV27</f>
        <v>0</v>
      </c>
      <c r="BS90" s="16">
        <f>ALL!BW27</f>
        <v>0</v>
      </c>
      <c r="BT90" s="16">
        <f>ALL!BX27</f>
        <v>0</v>
      </c>
    </row>
    <row r="91" spans="1:72" ht="21.75" outlineLevel="1" thickBot="1" x14ac:dyDescent="0.4">
      <c r="A91" s="36" t="str">
        <f>ALL!E28</f>
        <v>H (Se)</v>
      </c>
      <c r="B91" s="16">
        <f>ALL!F28</f>
        <v>-23.56</v>
      </c>
      <c r="C91" s="16">
        <f>ALL!G28</f>
        <v>-22.53</v>
      </c>
      <c r="D91" s="16">
        <f>ALL!H28</f>
        <v>-21.75</v>
      </c>
      <c r="E91" s="16">
        <f>ALL!I28</f>
        <v>-21.28</v>
      </c>
      <c r="F91" s="16">
        <f>ALL!J28</f>
        <v>-21.09</v>
      </c>
      <c r="G91" s="16">
        <f>ALL!K28</f>
        <v>-21.65</v>
      </c>
      <c r="H91" s="16">
        <f>ALL!L28</f>
        <v>-21.85</v>
      </c>
      <c r="I91" s="16">
        <f>ALL!M28</f>
        <v>-22.03</v>
      </c>
      <c r="J91" s="16">
        <f>ALL!N28</f>
        <v>-22.18</v>
      </c>
      <c r="K91" s="16">
        <f>ALL!O28</f>
        <v>-22.32</v>
      </c>
      <c r="L91" s="16">
        <f>ALL!P28</f>
        <v>-22.47</v>
      </c>
      <c r="M91" s="16">
        <f>ALL!Q28</f>
        <v>-22.65</v>
      </c>
      <c r="N91" s="16">
        <f>ALL!R28</f>
        <v>-22.86</v>
      </c>
      <c r="O91" s="16">
        <f>ALL!S28</f>
        <v>-23.08</v>
      </c>
      <c r="P91" s="16">
        <f>ALL!T28</f>
        <v>-23.31</v>
      </c>
      <c r="Q91" s="16">
        <f>ALL!U28</f>
        <v>-23.54</v>
      </c>
      <c r="R91" s="16">
        <f>ALL!V28</f>
        <v>-23.78</v>
      </c>
      <c r="S91" s="16">
        <f>ALL!W28</f>
        <v>-24.01</v>
      </c>
      <c r="T91" s="16">
        <f>ALL!X28</f>
        <v>-24.25</v>
      </c>
      <c r="U91" s="16">
        <f>ALL!Y28</f>
        <v>-24.48</v>
      </c>
      <c r="V91" s="16">
        <f>ALL!Z28</f>
        <v>-24.71</v>
      </c>
      <c r="W91" s="16">
        <f>ALL!AA28</f>
        <v>-24.94</v>
      </c>
      <c r="X91" s="16">
        <f>ALL!AB28</f>
        <v>-25.82</v>
      </c>
      <c r="Y91" s="16">
        <f>ALL!AC28</f>
        <v>-26.68</v>
      </c>
      <c r="Z91" s="16">
        <f>ALL!AD28</f>
        <v>-26.9</v>
      </c>
      <c r="AA91" s="16">
        <f>ALL!AE28</f>
        <v>-27.11</v>
      </c>
      <c r="AB91" s="16">
        <f>ALL!AF28</f>
        <v>-27.32</v>
      </c>
      <c r="AC91" s="16">
        <f>ALL!AG28</f>
        <v>-27.52</v>
      </c>
      <c r="AD91" s="16">
        <f>ALL!AH28</f>
        <v>-27.73</v>
      </c>
      <c r="AE91" s="16">
        <f>ALL!AI28</f>
        <v>-27.92</v>
      </c>
      <c r="AF91" s="16">
        <f>ALL!AJ28</f>
        <v>-28.11</v>
      </c>
      <c r="AG91" s="16">
        <f>ALL!AK28</f>
        <v>-28.3</v>
      </c>
      <c r="AH91" s="16">
        <f>ALL!AL28</f>
        <v>-29.08</v>
      </c>
      <c r="AI91" s="16">
        <f>ALL!AM28</f>
        <v>0</v>
      </c>
      <c r="AJ91" s="16">
        <f>ALL!AN28</f>
        <v>0</v>
      </c>
      <c r="AK91" s="16">
        <f>ALL!AO28</f>
        <v>0</v>
      </c>
      <c r="AL91" s="16">
        <f>ALL!AP28</f>
        <v>0</v>
      </c>
      <c r="AM91" s="16">
        <f>ALL!AQ28</f>
        <v>0</v>
      </c>
      <c r="AN91" s="16">
        <f>ALL!AR28</f>
        <v>0</v>
      </c>
      <c r="AO91" s="16">
        <f>ALL!AS28</f>
        <v>0</v>
      </c>
      <c r="AP91" s="16">
        <f>ALL!AT28</f>
        <v>0</v>
      </c>
      <c r="AQ91" s="16">
        <f>ALL!AU28</f>
        <v>0</v>
      </c>
      <c r="AR91" s="16">
        <f>ALL!AV28</f>
        <v>0</v>
      </c>
      <c r="AS91" s="16">
        <f>ALL!AW28</f>
        <v>0</v>
      </c>
      <c r="AT91" s="16">
        <f>ALL!AX28</f>
        <v>0</v>
      </c>
      <c r="AU91" s="16">
        <f>ALL!AY28</f>
        <v>0</v>
      </c>
      <c r="AV91" s="16">
        <f>ALL!AZ28</f>
        <v>0</v>
      </c>
      <c r="AW91" s="16">
        <f>ALL!BA28</f>
        <v>0</v>
      </c>
      <c r="AX91" s="16">
        <f>ALL!BB28</f>
        <v>0</v>
      </c>
      <c r="AY91" s="16">
        <f>ALL!BC28</f>
        <v>0</v>
      </c>
      <c r="AZ91" s="16">
        <f>ALL!BD28</f>
        <v>0</v>
      </c>
      <c r="BA91" s="16">
        <f>ALL!BE28</f>
        <v>0</v>
      </c>
      <c r="BB91" s="16">
        <f>ALL!BF28</f>
        <v>0</v>
      </c>
      <c r="BC91" s="16">
        <f>ALL!BG28</f>
        <v>0</v>
      </c>
      <c r="BD91" s="16">
        <f>ALL!BH28</f>
        <v>0</v>
      </c>
      <c r="BE91" s="16">
        <f>ALL!BI28</f>
        <v>0</v>
      </c>
      <c r="BF91" s="16">
        <f>ALL!BJ28</f>
        <v>0</v>
      </c>
      <c r="BG91" s="16">
        <f>ALL!BK28</f>
        <v>0</v>
      </c>
      <c r="BH91" s="16">
        <f>ALL!BL28</f>
        <v>0</v>
      </c>
      <c r="BI91" s="16">
        <f>ALL!BM28</f>
        <v>0</v>
      </c>
      <c r="BJ91" s="16">
        <f>ALL!BN28</f>
        <v>0</v>
      </c>
      <c r="BK91" s="16">
        <f>ALL!BO28</f>
        <v>0</v>
      </c>
      <c r="BL91" s="16">
        <f>ALL!BP28</f>
        <v>0</v>
      </c>
      <c r="BM91" s="16">
        <f>ALL!BQ28</f>
        <v>0</v>
      </c>
      <c r="BN91" s="16">
        <f>ALL!BR28</f>
        <v>0</v>
      </c>
      <c r="BO91" s="16">
        <f>ALL!BS28</f>
        <v>0</v>
      </c>
      <c r="BP91" s="16">
        <f>ALL!BT28</f>
        <v>0</v>
      </c>
      <c r="BQ91" s="16">
        <f>ALL!BU28</f>
        <v>0</v>
      </c>
      <c r="BR91" s="16">
        <f>ALL!BV28</f>
        <v>0</v>
      </c>
      <c r="BS91" s="16">
        <f>ALL!BW28</f>
        <v>0</v>
      </c>
      <c r="BT91" s="16">
        <f>ALL!BX28</f>
        <v>0</v>
      </c>
    </row>
    <row r="92" spans="1:72" ht="21.75" outlineLevel="1" thickBot="1" x14ac:dyDescent="0.4">
      <c r="A92" s="36">
        <f>ALL!E29</f>
        <v>0</v>
      </c>
      <c r="B92" s="16">
        <f>ALL!F29</f>
        <v>0</v>
      </c>
      <c r="C92" s="16">
        <f>ALL!G29</f>
        <v>0</v>
      </c>
      <c r="D92" s="16">
        <f>ALL!H29</f>
        <v>0</v>
      </c>
      <c r="E92" s="16">
        <f>ALL!I29</f>
        <v>0</v>
      </c>
      <c r="F92" s="16">
        <f>ALL!J29</f>
        <v>0</v>
      </c>
      <c r="G92" s="16">
        <f>ALL!K29</f>
        <v>0</v>
      </c>
      <c r="H92" s="16">
        <f>ALL!L29</f>
        <v>0</v>
      </c>
      <c r="I92" s="16">
        <f>ALL!M29</f>
        <v>0</v>
      </c>
      <c r="J92" s="16">
        <f>ALL!N29</f>
        <v>0</v>
      </c>
      <c r="K92" s="16">
        <f>ALL!O29</f>
        <v>0</v>
      </c>
      <c r="L92" s="16">
        <f>ALL!P29</f>
        <v>0</v>
      </c>
      <c r="M92" s="16">
        <f>ALL!Q29</f>
        <v>0</v>
      </c>
      <c r="N92" s="16">
        <f>ALL!R29</f>
        <v>0</v>
      </c>
      <c r="O92" s="16">
        <f>ALL!S29</f>
        <v>0</v>
      </c>
      <c r="P92" s="16">
        <f>ALL!T29</f>
        <v>0</v>
      </c>
      <c r="Q92" s="16">
        <f>ALL!U29</f>
        <v>0</v>
      </c>
      <c r="R92" s="16">
        <f>ALL!V29</f>
        <v>0</v>
      </c>
      <c r="S92" s="16">
        <f>ALL!W29</f>
        <v>0</v>
      </c>
      <c r="T92" s="16">
        <f>ALL!X29</f>
        <v>0</v>
      </c>
      <c r="U92" s="16">
        <f>ALL!Y29</f>
        <v>0</v>
      </c>
      <c r="V92" s="16">
        <f>ALL!Z29</f>
        <v>0</v>
      </c>
      <c r="W92" s="16">
        <f>ALL!AA29</f>
        <v>0</v>
      </c>
      <c r="X92" s="16">
        <f>ALL!AB29</f>
        <v>0</v>
      </c>
      <c r="Y92" s="16">
        <f>ALL!AC29</f>
        <v>0</v>
      </c>
      <c r="Z92" s="16">
        <f>ALL!AD29</f>
        <v>0</v>
      </c>
      <c r="AA92" s="16">
        <f>ALL!AE29</f>
        <v>0</v>
      </c>
      <c r="AB92" s="16">
        <f>ALL!AF29</f>
        <v>0</v>
      </c>
      <c r="AC92" s="16">
        <f>ALL!AG29</f>
        <v>0</v>
      </c>
      <c r="AD92" s="16">
        <f>ALL!AH29</f>
        <v>0</v>
      </c>
      <c r="AE92" s="16">
        <f>ALL!AI29</f>
        <v>0</v>
      </c>
      <c r="AF92" s="16">
        <f>ALL!AJ29</f>
        <v>0</v>
      </c>
      <c r="AG92" s="16">
        <f>ALL!AK29</f>
        <v>0</v>
      </c>
      <c r="AH92" s="16">
        <f>ALL!AL29</f>
        <v>0</v>
      </c>
      <c r="AI92" s="16">
        <f>ALL!AM29</f>
        <v>0</v>
      </c>
      <c r="AJ92" s="16">
        <f>ALL!AN29</f>
        <v>0</v>
      </c>
      <c r="AK92" s="16">
        <f>ALL!AO29</f>
        <v>0</v>
      </c>
      <c r="AL92" s="16">
        <f>ALL!AP29</f>
        <v>0</v>
      </c>
      <c r="AM92" s="16">
        <f>ALL!AQ29</f>
        <v>0</v>
      </c>
      <c r="AN92" s="16">
        <f>ALL!AR29</f>
        <v>0</v>
      </c>
      <c r="AO92" s="16">
        <f>ALL!AS29</f>
        <v>0</v>
      </c>
      <c r="AP92" s="16">
        <f>ALL!AT29</f>
        <v>0</v>
      </c>
      <c r="AQ92" s="16">
        <f>ALL!AU29</f>
        <v>0</v>
      </c>
      <c r="AR92" s="16">
        <f>ALL!AV29</f>
        <v>0</v>
      </c>
      <c r="AS92" s="16">
        <f>ALL!AW29</f>
        <v>0</v>
      </c>
      <c r="AT92" s="16">
        <f>ALL!AX29</f>
        <v>0</v>
      </c>
      <c r="AU92" s="16">
        <f>ALL!AY29</f>
        <v>0</v>
      </c>
      <c r="AV92" s="16">
        <f>ALL!AZ29</f>
        <v>0</v>
      </c>
      <c r="AW92" s="16">
        <f>ALL!BA29</f>
        <v>0</v>
      </c>
      <c r="AX92" s="16">
        <f>ALL!BB29</f>
        <v>0</v>
      </c>
      <c r="AY92" s="16">
        <f>ALL!BC29</f>
        <v>0</v>
      </c>
      <c r="AZ92" s="16">
        <f>ALL!BD29</f>
        <v>0</v>
      </c>
      <c r="BA92" s="16">
        <f>ALL!BE29</f>
        <v>0</v>
      </c>
      <c r="BB92" s="16">
        <f>ALL!BF29</f>
        <v>0</v>
      </c>
      <c r="BC92" s="16">
        <f>ALL!BG29</f>
        <v>0</v>
      </c>
      <c r="BD92" s="16">
        <f>ALL!BH29</f>
        <v>0</v>
      </c>
      <c r="BE92" s="16">
        <f>ALL!BI29</f>
        <v>0</v>
      </c>
      <c r="BF92" s="16">
        <f>ALL!BJ29</f>
        <v>0</v>
      </c>
      <c r="BG92" s="16">
        <f>ALL!BK29</f>
        <v>0</v>
      </c>
      <c r="BH92" s="16">
        <f>ALL!BL29</f>
        <v>0</v>
      </c>
      <c r="BI92" s="16">
        <f>ALL!BM29</f>
        <v>0</v>
      </c>
      <c r="BJ92" s="16">
        <f>ALL!BN29</f>
        <v>0</v>
      </c>
      <c r="BK92" s="16">
        <f>ALL!BO29</f>
        <v>0</v>
      </c>
      <c r="BL92" s="16">
        <f>ALL!BP29</f>
        <v>0</v>
      </c>
      <c r="BM92" s="16">
        <f>ALL!BQ29</f>
        <v>0</v>
      </c>
      <c r="BN92" s="16">
        <f>ALL!BR29</f>
        <v>0</v>
      </c>
      <c r="BO92" s="16">
        <f>ALL!BS29</f>
        <v>0</v>
      </c>
      <c r="BP92" s="16">
        <f>ALL!BT29</f>
        <v>0</v>
      </c>
      <c r="BQ92" s="16">
        <f>ALL!BU29</f>
        <v>0</v>
      </c>
      <c r="BR92" s="16">
        <f>ALL!BV29</f>
        <v>0</v>
      </c>
      <c r="BS92" s="16">
        <f>ALL!BW29</f>
        <v>0</v>
      </c>
      <c r="BT92" s="16">
        <f>ALL!BX29</f>
        <v>0</v>
      </c>
    </row>
    <row r="93" spans="1:72" ht="21.75" outlineLevel="1" thickBot="1" x14ac:dyDescent="0.4">
      <c r="A93" s="36">
        <f>ALL!E30</f>
        <v>0</v>
      </c>
      <c r="B93" s="16">
        <f>ALL!F30</f>
        <v>0</v>
      </c>
      <c r="C93" s="16">
        <f>ALL!G30</f>
        <v>0</v>
      </c>
      <c r="D93" s="16">
        <f>ALL!H30</f>
        <v>0</v>
      </c>
      <c r="E93" s="16">
        <f>ALL!I30</f>
        <v>0</v>
      </c>
      <c r="F93" s="16">
        <f>ALL!J30</f>
        <v>0</v>
      </c>
      <c r="G93" s="16">
        <f>ALL!K30</f>
        <v>0</v>
      </c>
      <c r="H93" s="16">
        <f>ALL!L30</f>
        <v>0</v>
      </c>
      <c r="I93" s="16">
        <f>ALL!M30</f>
        <v>0</v>
      </c>
      <c r="J93" s="16">
        <f>ALL!N30</f>
        <v>0</v>
      </c>
      <c r="K93" s="16">
        <f>ALL!O30</f>
        <v>0</v>
      </c>
      <c r="L93" s="16">
        <f>ALL!P30</f>
        <v>0</v>
      </c>
      <c r="M93" s="16">
        <f>ALL!Q30</f>
        <v>0</v>
      </c>
      <c r="N93" s="16">
        <f>ALL!R30</f>
        <v>0</v>
      </c>
      <c r="O93" s="16">
        <f>ALL!S30</f>
        <v>0</v>
      </c>
      <c r="P93" s="16">
        <f>ALL!T30</f>
        <v>0</v>
      </c>
      <c r="Q93" s="16">
        <f>ALL!U30</f>
        <v>0</v>
      </c>
      <c r="R93" s="16">
        <f>ALL!V30</f>
        <v>0</v>
      </c>
      <c r="S93" s="16">
        <f>ALL!W30</f>
        <v>0</v>
      </c>
      <c r="T93" s="16">
        <f>ALL!X30</f>
        <v>0</v>
      </c>
      <c r="U93" s="16">
        <f>ALL!Y30</f>
        <v>0</v>
      </c>
      <c r="V93" s="16">
        <f>ALL!Z30</f>
        <v>0</v>
      </c>
      <c r="W93" s="16">
        <f>ALL!AA30</f>
        <v>0</v>
      </c>
      <c r="X93" s="16">
        <f>ALL!AB30</f>
        <v>0</v>
      </c>
      <c r="Y93" s="16">
        <f>ALL!AC30</f>
        <v>0</v>
      </c>
      <c r="Z93" s="16">
        <f>ALL!AD30</f>
        <v>0</v>
      </c>
      <c r="AA93" s="16">
        <f>ALL!AE30</f>
        <v>0</v>
      </c>
      <c r="AB93" s="16">
        <f>ALL!AF30</f>
        <v>0</v>
      </c>
      <c r="AC93" s="16">
        <f>ALL!AG30</f>
        <v>0</v>
      </c>
      <c r="AD93" s="16">
        <f>ALL!AH30</f>
        <v>0</v>
      </c>
      <c r="AE93" s="16">
        <f>ALL!AI30</f>
        <v>0</v>
      </c>
      <c r="AF93" s="16">
        <f>ALL!AJ30</f>
        <v>0</v>
      </c>
      <c r="AG93" s="16">
        <f>ALL!AK30</f>
        <v>0</v>
      </c>
      <c r="AH93" s="16">
        <f>ALL!AL30</f>
        <v>0</v>
      </c>
      <c r="AI93" s="16">
        <f>ALL!AM30</f>
        <v>0</v>
      </c>
      <c r="AJ93" s="16">
        <f>ALL!AN30</f>
        <v>0</v>
      </c>
      <c r="AK93" s="16">
        <f>ALL!AO30</f>
        <v>0</v>
      </c>
      <c r="AL93" s="16">
        <f>ALL!AP30</f>
        <v>0</v>
      </c>
      <c r="AM93" s="16">
        <f>ALL!AQ30</f>
        <v>0</v>
      </c>
      <c r="AN93" s="16">
        <f>ALL!AR30</f>
        <v>0</v>
      </c>
      <c r="AO93" s="16">
        <f>ALL!AS30</f>
        <v>0</v>
      </c>
      <c r="AP93" s="16">
        <f>ALL!AT30</f>
        <v>0</v>
      </c>
      <c r="AQ93" s="16">
        <f>ALL!AU30</f>
        <v>0</v>
      </c>
      <c r="AR93" s="16">
        <f>ALL!AV30</f>
        <v>0</v>
      </c>
      <c r="AS93" s="16">
        <f>ALL!AW30</f>
        <v>0</v>
      </c>
      <c r="AT93" s="16">
        <f>ALL!AX30</f>
        <v>0</v>
      </c>
      <c r="AU93" s="16">
        <f>ALL!AY30</f>
        <v>0</v>
      </c>
      <c r="AV93" s="16">
        <f>ALL!AZ30</f>
        <v>0</v>
      </c>
      <c r="AW93" s="16">
        <f>ALL!BA30</f>
        <v>0</v>
      </c>
      <c r="AX93" s="16">
        <f>ALL!BB30</f>
        <v>0</v>
      </c>
      <c r="AY93" s="16">
        <f>ALL!BC30</f>
        <v>0</v>
      </c>
      <c r="AZ93" s="16">
        <f>ALL!BD30</f>
        <v>0</v>
      </c>
      <c r="BA93" s="16">
        <f>ALL!BE30</f>
        <v>0</v>
      </c>
      <c r="BB93" s="16">
        <f>ALL!BF30</f>
        <v>0</v>
      </c>
      <c r="BC93" s="16">
        <f>ALL!BG30</f>
        <v>0</v>
      </c>
      <c r="BD93" s="16">
        <f>ALL!BH30</f>
        <v>0</v>
      </c>
      <c r="BE93" s="16">
        <f>ALL!BI30</f>
        <v>0</v>
      </c>
      <c r="BF93" s="16">
        <f>ALL!BJ30</f>
        <v>0</v>
      </c>
      <c r="BG93" s="16">
        <f>ALL!BK30</f>
        <v>0</v>
      </c>
      <c r="BH93" s="16">
        <f>ALL!BL30</f>
        <v>0</v>
      </c>
      <c r="BI93" s="16">
        <f>ALL!BM30</f>
        <v>0</v>
      </c>
      <c r="BJ93" s="16">
        <f>ALL!BN30</f>
        <v>0</v>
      </c>
      <c r="BK93" s="16">
        <f>ALL!BO30</f>
        <v>0</v>
      </c>
      <c r="BL93" s="16">
        <f>ALL!BP30</f>
        <v>0</v>
      </c>
      <c r="BM93" s="16">
        <f>ALL!BQ30</f>
        <v>0</v>
      </c>
      <c r="BN93" s="16">
        <f>ALL!BR30</f>
        <v>0</v>
      </c>
      <c r="BO93" s="16">
        <f>ALL!BS30</f>
        <v>0</v>
      </c>
      <c r="BP93" s="16">
        <f>ALL!BT30</f>
        <v>0</v>
      </c>
      <c r="BQ93" s="16">
        <f>ALL!BU30</f>
        <v>0</v>
      </c>
      <c r="BR93" s="16">
        <f>ALL!BV30</f>
        <v>0</v>
      </c>
      <c r="BS93" s="16">
        <f>ALL!BW30</f>
        <v>0</v>
      </c>
      <c r="BT93" s="16">
        <f>ALL!BX30</f>
        <v>0</v>
      </c>
    </row>
    <row r="94" spans="1:72" ht="21.75" outlineLevel="1" thickBot="1" x14ac:dyDescent="0.4">
      <c r="A94" s="36">
        <f>ALL!E31</f>
        <v>0</v>
      </c>
      <c r="B94" s="16">
        <f>ALL!F31</f>
        <v>0</v>
      </c>
      <c r="C94" s="16">
        <f>ALL!G31</f>
        <v>0</v>
      </c>
      <c r="D94" s="16">
        <f>ALL!H31</f>
        <v>0</v>
      </c>
      <c r="E94" s="16">
        <f>ALL!I31</f>
        <v>0</v>
      </c>
      <c r="F94" s="16">
        <f>ALL!J31</f>
        <v>0</v>
      </c>
      <c r="G94" s="16">
        <f>ALL!K31</f>
        <v>0</v>
      </c>
      <c r="H94" s="16">
        <f>ALL!L31</f>
        <v>0</v>
      </c>
      <c r="I94" s="16">
        <f>ALL!M31</f>
        <v>0</v>
      </c>
      <c r="J94" s="16">
        <f>ALL!N31</f>
        <v>0</v>
      </c>
      <c r="K94" s="16">
        <f>ALL!O31</f>
        <v>0</v>
      </c>
      <c r="L94" s="16">
        <f>ALL!P31</f>
        <v>0</v>
      </c>
      <c r="M94" s="16">
        <f>ALL!Q31</f>
        <v>0</v>
      </c>
      <c r="N94" s="16">
        <f>ALL!R31</f>
        <v>0</v>
      </c>
      <c r="O94" s="16">
        <f>ALL!S31</f>
        <v>0</v>
      </c>
      <c r="P94" s="16">
        <f>ALL!T31</f>
        <v>0</v>
      </c>
      <c r="Q94" s="16">
        <f>ALL!U31</f>
        <v>0</v>
      </c>
      <c r="R94" s="16">
        <f>ALL!V31</f>
        <v>0</v>
      </c>
      <c r="S94" s="16">
        <f>ALL!W31</f>
        <v>0</v>
      </c>
      <c r="T94" s="16">
        <f>ALL!X31</f>
        <v>0</v>
      </c>
      <c r="U94" s="16">
        <f>ALL!Y31</f>
        <v>0</v>
      </c>
      <c r="V94" s="16">
        <f>ALL!Z31</f>
        <v>0</v>
      </c>
      <c r="W94" s="16">
        <f>ALL!AA31</f>
        <v>0</v>
      </c>
      <c r="X94" s="16">
        <f>ALL!AB31</f>
        <v>0</v>
      </c>
      <c r="Y94" s="16">
        <f>ALL!AC31</f>
        <v>0</v>
      </c>
      <c r="Z94" s="16">
        <f>ALL!AD31</f>
        <v>0</v>
      </c>
      <c r="AA94" s="16">
        <f>ALL!AE31</f>
        <v>0</v>
      </c>
      <c r="AB94" s="16">
        <f>ALL!AF31</f>
        <v>0</v>
      </c>
      <c r="AC94" s="16">
        <f>ALL!AG31</f>
        <v>0</v>
      </c>
      <c r="AD94" s="16">
        <f>ALL!AH31</f>
        <v>0</v>
      </c>
      <c r="AE94" s="16">
        <f>ALL!AI31</f>
        <v>0</v>
      </c>
      <c r="AF94" s="16">
        <f>ALL!AJ31</f>
        <v>0</v>
      </c>
      <c r="AG94" s="16">
        <f>ALL!AK31</f>
        <v>0</v>
      </c>
      <c r="AH94" s="16">
        <f>ALL!AL31</f>
        <v>0</v>
      </c>
      <c r="AI94" s="16">
        <f>ALL!AM31</f>
        <v>0</v>
      </c>
      <c r="AJ94" s="16">
        <f>ALL!AN31</f>
        <v>0</v>
      </c>
      <c r="AK94" s="16">
        <f>ALL!AO31</f>
        <v>0</v>
      </c>
      <c r="AL94" s="16">
        <f>ALL!AP31</f>
        <v>0</v>
      </c>
      <c r="AM94" s="16">
        <f>ALL!AQ31</f>
        <v>0</v>
      </c>
      <c r="AN94" s="16">
        <f>ALL!AR31</f>
        <v>0</v>
      </c>
      <c r="AO94" s="16">
        <f>ALL!AS31</f>
        <v>0</v>
      </c>
      <c r="AP94" s="16">
        <f>ALL!AT31</f>
        <v>0</v>
      </c>
      <c r="AQ94" s="16">
        <f>ALL!AU31</f>
        <v>0</v>
      </c>
      <c r="AR94" s="16">
        <f>ALL!AV31</f>
        <v>0</v>
      </c>
      <c r="AS94" s="16">
        <f>ALL!AW31</f>
        <v>0</v>
      </c>
      <c r="AT94" s="16">
        <f>ALL!AX31</f>
        <v>0</v>
      </c>
      <c r="AU94" s="16">
        <f>ALL!AY31</f>
        <v>0</v>
      </c>
      <c r="AV94" s="16">
        <f>ALL!AZ31</f>
        <v>0</v>
      </c>
      <c r="AW94" s="16">
        <f>ALL!BA31</f>
        <v>0</v>
      </c>
      <c r="AX94" s="16">
        <f>ALL!BB31</f>
        <v>0</v>
      </c>
      <c r="AY94" s="16">
        <f>ALL!BC31</f>
        <v>0</v>
      </c>
      <c r="AZ94" s="16">
        <f>ALL!BD31</f>
        <v>0</v>
      </c>
      <c r="BA94" s="16">
        <f>ALL!BE31</f>
        <v>0</v>
      </c>
      <c r="BB94" s="16">
        <f>ALL!BF31</f>
        <v>0</v>
      </c>
      <c r="BC94" s="16">
        <f>ALL!BG31</f>
        <v>0</v>
      </c>
      <c r="BD94" s="16">
        <f>ALL!BH31</f>
        <v>0</v>
      </c>
      <c r="BE94" s="16">
        <f>ALL!BI31</f>
        <v>0</v>
      </c>
      <c r="BF94" s="16">
        <f>ALL!BJ31</f>
        <v>0</v>
      </c>
      <c r="BG94" s="16">
        <f>ALL!BK31</f>
        <v>0</v>
      </c>
      <c r="BH94" s="16">
        <f>ALL!BL31</f>
        <v>0</v>
      </c>
      <c r="BI94" s="16">
        <f>ALL!BM31</f>
        <v>0</v>
      </c>
      <c r="BJ94" s="16">
        <f>ALL!BN31</f>
        <v>0</v>
      </c>
      <c r="BK94" s="16">
        <f>ALL!BO31</f>
        <v>0</v>
      </c>
      <c r="BL94" s="16">
        <f>ALL!BP31</f>
        <v>0</v>
      </c>
      <c r="BM94" s="16">
        <f>ALL!BQ31</f>
        <v>0</v>
      </c>
      <c r="BN94" s="16">
        <f>ALL!BR31</f>
        <v>0</v>
      </c>
      <c r="BO94" s="16">
        <f>ALL!BS31</f>
        <v>0</v>
      </c>
      <c r="BP94" s="16">
        <f>ALL!BT31</f>
        <v>0</v>
      </c>
      <c r="BQ94" s="16">
        <f>ALL!BU31</f>
        <v>0</v>
      </c>
      <c r="BR94" s="16">
        <f>ALL!BV31</f>
        <v>0</v>
      </c>
      <c r="BS94" s="16">
        <f>ALL!BW31</f>
        <v>0</v>
      </c>
      <c r="BT94" s="16">
        <f>ALL!BX31</f>
        <v>0</v>
      </c>
    </row>
    <row r="95" spans="1:72" ht="21.75" outlineLevel="1" thickBot="1" x14ac:dyDescent="0.4">
      <c r="A95" s="36">
        <f>ALL!E32</f>
        <v>0</v>
      </c>
      <c r="B95" s="16">
        <f>ALL!F32</f>
        <v>0</v>
      </c>
      <c r="C95" s="16">
        <f>ALL!G32</f>
        <v>0</v>
      </c>
      <c r="D95" s="16">
        <f>ALL!H32</f>
        <v>0</v>
      </c>
      <c r="E95" s="16">
        <f>ALL!I32</f>
        <v>0</v>
      </c>
      <c r="F95" s="16">
        <f>ALL!J32</f>
        <v>0</v>
      </c>
      <c r="G95" s="16">
        <f>ALL!K32</f>
        <v>0</v>
      </c>
      <c r="H95" s="16">
        <f>ALL!L32</f>
        <v>0</v>
      </c>
      <c r="I95" s="16">
        <f>ALL!M32</f>
        <v>0</v>
      </c>
      <c r="J95" s="16">
        <f>ALL!N32</f>
        <v>0</v>
      </c>
      <c r="K95" s="16">
        <f>ALL!O32</f>
        <v>0</v>
      </c>
      <c r="L95" s="16">
        <f>ALL!P32</f>
        <v>0</v>
      </c>
      <c r="M95" s="16">
        <f>ALL!Q32</f>
        <v>0</v>
      </c>
      <c r="N95" s="16">
        <f>ALL!R32</f>
        <v>0</v>
      </c>
      <c r="O95" s="16">
        <f>ALL!S32</f>
        <v>0</v>
      </c>
      <c r="P95" s="16">
        <f>ALL!T32</f>
        <v>0</v>
      </c>
      <c r="Q95" s="16">
        <f>ALL!U32</f>
        <v>0</v>
      </c>
      <c r="R95" s="16">
        <f>ALL!V32</f>
        <v>0</v>
      </c>
      <c r="S95" s="16">
        <f>ALL!W32</f>
        <v>0</v>
      </c>
      <c r="T95" s="16">
        <f>ALL!X32</f>
        <v>0</v>
      </c>
      <c r="U95" s="16">
        <f>ALL!Y32</f>
        <v>0</v>
      </c>
      <c r="V95" s="16">
        <f>ALL!Z32</f>
        <v>0</v>
      </c>
      <c r="W95" s="16">
        <f>ALL!AA32</f>
        <v>0</v>
      </c>
      <c r="X95" s="16">
        <f>ALL!AB32</f>
        <v>0</v>
      </c>
      <c r="Y95" s="16">
        <f>ALL!AC32</f>
        <v>0</v>
      </c>
      <c r="Z95" s="16">
        <f>ALL!AD32</f>
        <v>0</v>
      </c>
      <c r="AA95" s="16">
        <f>ALL!AE32</f>
        <v>0</v>
      </c>
      <c r="AB95" s="16">
        <f>ALL!AF32</f>
        <v>0</v>
      </c>
      <c r="AC95" s="16">
        <f>ALL!AG32</f>
        <v>0</v>
      </c>
      <c r="AD95" s="16">
        <f>ALL!AH32</f>
        <v>0</v>
      </c>
      <c r="AE95" s="16">
        <f>ALL!AI32</f>
        <v>0</v>
      </c>
      <c r="AF95" s="16">
        <f>ALL!AJ32</f>
        <v>0</v>
      </c>
      <c r="AG95" s="16">
        <f>ALL!AK32</f>
        <v>0</v>
      </c>
      <c r="AH95" s="16">
        <f>ALL!AL32</f>
        <v>0</v>
      </c>
      <c r="AI95" s="16">
        <f>ALL!AM32</f>
        <v>0</v>
      </c>
      <c r="AJ95" s="16">
        <f>ALL!AN32</f>
        <v>0</v>
      </c>
      <c r="AK95" s="16">
        <f>ALL!AO32</f>
        <v>0</v>
      </c>
      <c r="AL95" s="16">
        <f>ALL!AP32</f>
        <v>0</v>
      </c>
      <c r="AM95" s="16">
        <f>ALL!AQ32</f>
        <v>0</v>
      </c>
      <c r="AN95" s="16">
        <f>ALL!AR32</f>
        <v>0</v>
      </c>
      <c r="AO95" s="16">
        <f>ALL!AS32</f>
        <v>0</v>
      </c>
      <c r="AP95" s="16">
        <f>ALL!AT32</f>
        <v>0</v>
      </c>
      <c r="AQ95" s="16">
        <f>ALL!AU32</f>
        <v>0</v>
      </c>
      <c r="AR95" s="16">
        <f>ALL!AV32</f>
        <v>0</v>
      </c>
      <c r="AS95" s="16">
        <f>ALL!AW32</f>
        <v>0</v>
      </c>
      <c r="AT95" s="16">
        <f>ALL!AX32</f>
        <v>0</v>
      </c>
      <c r="AU95" s="16">
        <f>ALL!AY32</f>
        <v>0</v>
      </c>
      <c r="AV95" s="16">
        <f>ALL!AZ32</f>
        <v>0</v>
      </c>
      <c r="AW95" s="16">
        <f>ALL!BA32</f>
        <v>0</v>
      </c>
      <c r="AX95" s="16">
        <f>ALL!BB32</f>
        <v>0</v>
      </c>
      <c r="AY95" s="16">
        <f>ALL!BC32</f>
        <v>0</v>
      </c>
      <c r="AZ95" s="16">
        <f>ALL!BD32</f>
        <v>0</v>
      </c>
      <c r="BA95" s="16">
        <f>ALL!BE32</f>
        <v>0</v>
      </c>
      <c r="BB95" s="16">
        <f>ALL!BF32</f>
        <v>0</v>
      </c>
      <c r="BC95" s="16">
        <f>ALL!BG32</f>
        <v>0</v>
      </c>
      <c r="BD95" s="16">
        <f>ALL!BH32</f>
        <v>0</v>
      </c>
      <c r="BE95" s="16">
        <f>ALL!BI32</f>
        <v>0</v>
      </c>
      <c r="BF95" s="16">
        <f>ALL!BJ32</f>
        <v>0</v>
      </c>
      <c r="BG95" s="16">
        <f>ALL!BK32</f>
        <v>0</v>
      </c>
      <c r="BH95" s="16">
        <f>ALL!BL32</f>
        <v>0</v>
      </c>
      <c r="BI95" s="16">
        <f>ALL!BM32</f>
        <v>0</v>
      </c>
      <c r="BJ95" s="16">
        <f>ALL!BN32</f>
        <v>0</v>
      </c>
      <c r="BK95" s="16">
        <f>ALL!BO32</f>
        <v>0</v>
      </c>
      <c r="BL95" s="16">
        <f>ALL!BP32</f>
        <v>0</v>
      </c>
      <c r="BM95" s="16">
        <f>ALL!BQ32</f>
        <v>0</v>
      </c>
      <c r="BN95" s="16">
        <f>ALL!BR32</f>
        <v>0</v>
      </c>
      <c r="BO95" s="16">
        <f>ALL!BS32</f>
        <v>0</v>
      </c>
      <c r="BP95" s="16">
        <f>ALL!BT32</f>
        <v>0</v>
      </c>
      <c r="BQ95" s="16">
        <f>ALL!BU32</f>
        <v>0</v>
      </c>
      <c r="BR95" s="16">
        <f>ALL!BV32</f>
        <v>0</v>
      </c>
      <c r="BS95" s="16">
        <f>ALL!BW32</f>
        <v>0</v>
      </c>
      <c r="BT95" s="16">
        <f>ALL!BX32</f>
        <v>0</v>
      </c>
    </row>
    <row r="96" spans="1:72" ht="21.75" outlineLevel="1" thickBot="1" x14ac:dyDescent="0.4">
      <c r="A96" s="36">
        <f>ALL!E33</f>
        <v>1</v>
      </c>
      <c r="B96" s="16">
        <f>ALL!F33</f>
        <v>0</v>
      </c>
      <c r="C96" s="16">
        <f>ALL!G33</f>
        <v>0</v>
      </c>
      <c r="D96" s="16">
        <f>ALL!H33</f>
        <v>0</v>
      </c>
      <c r="E96" s="16">
        <f>ALL!I33</f>
        <v>0</v>
      </c>
      <c r="F96" s="16">
        <f>ALL!J33</f>
        <v>0</v>
      </c>
      <c r="G96" s="16">
        <f>ALL!K33</f>
        <v>0</v>
      </c>
      <c r="H96" s="16">
        <f>ALL!L33</f>
        <v>0</v>
      </c>
      <c r="I96" s="16">
        <f>ALL!M33</f>
        <v>0</v>
      </c>
      <c r="J96" s="16">
        <f>ALL!N33</f>
        <v>0</v>
      </c>
      <c r="K96" s="16">
        <f>ALL!O33</f>
        <v>0</v>
      </c>
      <c r="L96" s="16">
        <f>ALL!P33</f>
        <v>0</v>
      </c>
      <c r="M96" s="16">
        <f>ALL!Q33</f>
        <v>0</v>
      </c>
      <c r="N96" s="16">
        <f>ALL!R33</f>
        <v>0</v>
      </c>
      <c r="O96" s="16">
        <f>ALL!S33</f>
        <v>0</v>
      </c>
      <c r="P96" s="16">
        <f>ALL!T33</f>
        <v>0</v>
      </c>
      <c r="Q96" s="16">
        <f>ALL!U33</f>
        <v>0</v>
      </c>
      <c r="R96" s="16">
        <f>ALL!V33</f>
        <v>0</v>
      </c>
      <c r="S96" s="16">
        <f>ALL!W33</f>
        <v>0</v>
      </c>
      <c r="T96" s="16">
        <f>ALL!X33</f>
        <v>0</v>
      </c>
      <c r="U96" s="16">
        <f>ALL!Y33</f>
        <v>0</v>
      </c>
      <c r="V96" s="16">
        <f>ALL!Z33</f>
        <v>0</v>
      </c>
      <c r="W96" s="16">
        <f>ALL!AA33</f>
        <v>0</v>
      </c>
      <c r="X96" s="16">
        <f>ALL!AB33</f>
        <v>0</v>
      </c>
      <c r="Y96" s="16">
        <f>ALL!AC33</f>
        <v>0</v>
      </c>
      <c r="Z96" s="16">
        <f>ALL!AD33</f>
        <v>0</v>
      </c>
      <c r="AA96" s="16">
        <f>ALL!AE33</f>
        <v>0</v>
      </c>
      <c r="AB96" s="16">
        <f>ALL!AF33</f>
        <v>0</v>
      </c>
      <c r="AC96" s="16">
        <f>ALL!AG33</f>
        <v>0</v>
      </c>
      <c r="AD96" s="16">
        <f>ALL!AH33</f>
        <v>0</v>
      </c>
      <c r="AE96" s="16">
        <f>ALL!AI33</f>
        <v>0</v>
      </c>
      <c r="AF96" s="16">
        <f>ALL!AJ33</f>
        <v>0</v>
      </c>
      <c r="AG96" s="16">
        <f>ALL!AK33</f>
        <v>0</v>
      </c>
      <c r="AH96" s="16">
        <f>ALL!AL33</f>
        <v>0</v>
      </c>
      <c r="AI96" s="16">
        <f>ALL!AM33</f>
        <v>0</v>
      </c>
      <c r="AJ96" s="16">
        <f>ALL!AN33</f>
        <v>0</v>
      </c>
      <c r="AK96" s="16">
        <f>ALL!AO33</f>
        <v>0</v>
      </c>
      <c r="AL96" s="16">
        <f>ALL!AP33</f>
        <v>0</v>
      </c>
      <c r="AM96" s="16">
        <f>ALL!AQ33</f>
        <v>0</v>
      </c>
      <c r="AN96" s="16">
        <f>ALL!AR33</f>
        <v>0</v>
      </c>
      <c r="AO96" s="16">
        <f>ALL!AS33</f>
        <v>0</v>
      </c>
      <c r="AP96" s="16">
        <f>ALL!AT33</f>
        <v>0</v>
      </c>
      <c r="AQ96" s="16">
        <f>ALL!AU33</f>
        <v>0</v>
      </c>
      <c r="AR96" s="16">
        <f>ALL!AV33</f>
        <v>0</v>
      </c>
      <c r="AS96" s="16">
        <f>ALL!AW33</f>
        <v>0</v>
      </c>
      <c r="AT96" s="16">
        <f>ALL!AX33</f>
        <v>0</v>
      </c>
      <c r="AU96" s="16">
        <f>ALL!AY33</f>
        <v>0</v>
      </c>
      <c r="AV96" s="16">
        <f>ALL!AZ33</f>
        <v>0</v>
      </c>
      <c r="AW96" s="16">
        <f>ALL!BA33</f>
        <v>0</v>
      </c>
      <c r="AX96" s="16">
        <f>ALL!BB33</f>
        <v>0</v>
      </c>
      <c r="AY96" s="16">
        <f>ALL!BC33</f>
        <v>0</v>
      </c>
      <c r="AZ96" s="16">
        <f>ALL!BD33</f>
        <v>0</v>
      </c>
      <c r="BA96" s="16">
        <f>ALL!BE33</f>
        <v>0</v>
      </c>
      <c r="BB96" s="16">
        <f>ALL!BF33</f>
        <v>0</v>
      </c>
      <c r="BC96" s="16">
        <f>ALL!BG33</f>
        <v>0</v>
      </c>
      <c r="BD96" s="16">
        <f>ALL!BH33</f>
        <v>0</v>
      </c>
      <c r="BE96" s="16">
        <f>ALL!BI33</f>
        <v>0</v>
      </c>
      <c r="BF96" s="16">
        <f>ALL!BJ33</f>
        <v>0</v>
      </c>
      <c r="BG96" s="16">
        <f>ALL!BK33</f>
        <v>0</v>
      </c>
      <c r="BH96" s="16">
        <f>ALL!BL33</f>
        <v>0</v>
      </c>
      <c r="BI96" s="16">
        <f>ALL!BM33</f>
        <v>0</v>
      </c>
      <c r="BJ96" s="16">
        <f>ALL!BN33</f>
        <v>0</v>
      </c>
      <c r="BK96" s="16">
        <f>ALL!BO33</f>
        <v>0</v>
      </c>
      <c r="BL96" s="16">
        <f>ALL!BP33</f>
        <v>0</v>
      </c>
      <c r="BM96" s="16">
        <f>ALL!BQ33</f>
        <v>0</v>
      </c>
      <c r="BN96" s="16">
        <f>ALL!BR33</f>
        <v>0</v>
      </c>
      <c r="BO96" s="16">
        <f>ALL!BS33</f>
        <v>0</v>
      </c>
      <c r="BP96" s="16">
        <f>ALL!BT33</f>
        <v>0</v>
      </c>
      <c r="BQ96" s="16">
        <f>ALL!BU33</f>
        <v>0</v>
      </c>
      <c r="BR96" s="16">
        <f>ALL!BV33</f>
        <v>0</v>
      </c>
      <c r="BS96" s="16">
        <f>ALL!BW33</f>
        <v>0</v>
      </c>
      <c r="BT96" s="16">
        <f>ALL!BX33</f>
        <v>0</v>
      </c>
    </row>
    <row r="97" spans="1:72" x14ac:dyDescent="0.35">
      <c r="A97" s="186" t="s">
        <v>10</v>
      </c>
      <c r="B97" s="18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72" x14ac:dyDescent="0.35">
      <c r="A98" s="21">
        <f>Values!B1</f>
        <v>700</v>
      </c>
      <c r="B98" s="53">
        <f>MIN(B100:BT154)</f>
        <v>-61.344848484848484</v>
      </c>
    </row>
    <row r="99" spans="1:72" ht="21.75" thickBot="1" x14ac:dyDescent="0.4">
      <c r="A99" s="22">
        <f>A98</f>
        <v>700</v>
      </c>
      <c r="B99" s="54">
        <v>0</v>
      </c>
    </row>
    <row r="100" spans="1:72" ht="22.5" thickTop="1" thickBot="1" x14ac:dyDescent="0.4">
      <c r="A100" s="4" t="s">
        <v>30</v>
      </c>
      <c r="B100" s="69">
        <v>300</v>
      </c>
      <c r="C100" s="69">
        <v>310</v>
      </c>
      <c r="D100" s="69">
        <v>320</v>
      </c>
      <c r="E100" s="69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18" t="s">
        <v>90</v>
      </c>
      <c r="B101" s="38">
        <v>0</v>
      </c>
      <c r="C101" s="38">
        <v>0</v>
      </c>
      <c r="D101" s="38">
        <v>0</v>
      </c>
      <c r="E101" s="38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2.5323863636363638E-19</v>
      </c>
      <c r="AA101">
        <v>1.2661931818181818E-18</v>
      </c>
      <c r="AB101">
        <v>2.2791477272727273E-18</v>
      </c>
      <c r="AC101">
        <v>3.2921022727272726E-18</v>
      </c>
      <c r="AD101">
        <v>4.3050568181818183E-18</v>
      </c>
      <c r="AE101">
        <v>5.3180113636363633E-18</v>
      </c>
      <c r="AF101">
        <v>6.330965909090909E-18</v>
      </c>
      <c r="AG101">
        <v>1.7332805685325256E-14</v>
      </c>
      <c r="AH101">
        <v>4.398837520121027E-14</v>
      </c>
      <c r="AI101">
        <v>7.0643944717095287E-14</v>
      </c>
      <c r="AJ101">
        <v>9.7299514232980298E-14</v>
      </c>
      <c r="AK101">
        <v>1.2395508374886532E-13</v>
      </c>
      <c r="AL101">
        <v>1.5061065326475033E-13</v>
      </c>
      <c r="AM101">
        <v>1.7548919818456886E-13</v>
      </c>
      <c r="AN101">
        <v>1.5771915279878976E-13</v>
      </c>
      <c r="AO101">
        <v>1.3994910741301065E-13</v>
      </c>
      <c r="AP101">
        <v>1.2217906202723152E-13</v>
      </c>
      <c r="AQ101">
        <v>1.0440901664145241E-13</v>
      </c>
      <c r="AR101">
        <v>8.663897125567329E-14</v>
      </c>
      <c r="AS101">
        <v>6.8868925869894173E-14</v>
      </c>
      <c r="AT101">
        <v>4.3432001290547433E-14</v>
      </c>
      <c r="AU101">
        <v>7.8320042918201611E-15</v>
      </c>
      <c r="AV101">
        <v>2.6111074413774684E-21</v>
      </c>
      <c r="AW101">
        <v>3.2865163636363735E-28</v>
      </c>
      <c r="AX101">
        <v>1.1243345454545551E-28</v>
      </c>
      <c r="AY101">
        <v>1.4933493975903557E-20</v>
      </c>
      <c r="AZ101">
        <v>4.6044939759036258E-20</v>
      </c>
      <c r="BA101">
        <v>1.185322684032431E-13</v>
      </c>
      <c r="BB101">
        <v>2.1393810335757511E-13</v>
      </c>
      <c r="BC101">
        <v>6.9397534872726628E-14</v>
      </c>
      <c r="BD101">
        <v>1.2396750642424195E-17</v>
      </c>
      <c r="BE101">
        <v>1.5020403393938913E-18</v>
      </c>
      <c r="BF101">
        <v>7.6232345454545409E-20</v>
      </c>
      <c r="BG101">
        <v>7.0073717464600512E-16</v>
      </c>
      <c r="BH101">
        <v>3.8855983366732349E-15</v>
      </c>
      <c r="BI101">
        <v>7.0704594987004655E-15</v>
      </c>
      <c r="BJ101">
        <v>1.0255320660727694E-14</v>
      </c>
      <c r="BK101">
        <v>1.3440181822754924E-14</v>
      </c>
      <c r="BL101">
        <v>1.6625042984782154E-14</v>
      </c>
      <c r="BM101">
        <v>1.9809904146809385E-14</v>
      </c>
      <c r="BN101">
        <v>4.2459202904689998E-10</v>
      </c>
      <c r="BO101">
        <v>1.1206100242057498E-9</v>
      </c>
      <c r="BP101">
        <v>1.8166280193645998E-9</v>
      </c>
      <c r="BQ101">
        <v>2.5126460145234498E-9</v>
      </c>
      <c r="BR101">
        <v>3.2086640096822996E-9</v>
      </c>
      <c r="BS101">
        <v>3.9046820048411494E-9</v>
      </c>
      <c r="BT101">
        <v>4.6006999999999996E-9</v>
      </c>
    </row>
    <row r="102" spans="1:72" ht="21.75" thickBot="1" x14ac:dyDescent="0.4">
      <c r="A102" s="18" t="s">
        <v>77</v>
      </c>
      <c r="B102" s="38">
        <v>0</v>
      </c>
      <c r="C102" s="38">
        <v>0</v>
      </c>
      <c r="D102" s="38">
        <v>0</v>
      </c>
      <c r="E102" s="38">
        <v>0</v>
      </c>
      <c r="F102">
        <v>0</v>
      </c>
      <c r="G102">
        <v>0</v>
      </c>
      <c r="H102">
        <v>0</v>
      </c>
      <c r="I102">
        <v>0</v>
      </c>
      <c r="J102">
        <v>7.6477333333333218E-34</v>
      </c>
      <c r="K102">
        <v>3.7018924287054201E-27</v>
      </c>
      <c r="L102">
        <v>3.4550982344584207E-26</v>
      </c>
      <c r="M102">
        <v>1.0903857791225867E-12</v>
      </c>
      <c r="N102">
        <v>3.4103555219364985E-12</v>
      </c>
      <c r="O102">
        <v>5.7303252647504103E-12</v>
      </c>
      <c r="P102">
        <v>8.0502950075643224E-12</v>
      </c>
      <c r="Q102">
        <v>1.0370264750378235E-11</v>
      </c>
      <c r="R102">
        <v>1.2690234493192147E-11</v>
      </c>
      <c r="S102">
        <v>1.5010204236006057E-11</v>
      </c>
      <c r="T102">
        <v>2.3787433333333395E-10</v>
      </c>
      <c r="U102">
        <v>2.7661345454545706E-9</v>
      </c>
      <c r="V102">
        <v>1.3832013333333357E-8</v>
      </c>
      <c r="W102">
        <v>4.751516386914565E-2</v>
      </c>
      <c r="X102">
        <v>0.13236363738369111</v>
      </c>
      <c r="Y102">
        <v>0.14000000000000001</v>
      </c>
      <c r="Z102">
        <v>0.14000000000000001</v>
      </c>
      <c r="AA102">
        <v>0.14000000000000001</v>
      </c>
      <c r="AB102">
        <v>0.14000000000000001</v>
      </c>
      <c r="AC102">
        <v>0.14000000000000001</v>
      </c>
      <c r="AD102">
        <v>0.14000000000000001</v>
      </c>
      <c r="AE102">
        <v>0.14000000000000001</v>
      </c>
      <c r="AF102">
        <v>0.14000000000000001</v>
      </c>
      <c r="AG102">
        <v>0.14000000000000001</v>
      </c>
      <c r="AH102">
        <v>0.14000000000000001</v>
      </c>
      <c r="AI102">
        <v>0.14000000000000001</v>
      </c>
      <c r="AJ102">
        <v>0.14000000000000001</v>
      </c>
      <c r="AK102">
        <v>0.14000000000000001</v>
      </c>
      <c r="AL102">
        <v>0.14000000000000001</v>
      </c>
      <c r="AM102">
        <v>0.14000000000000001</v>
      </c>
      <c r="AN102">
        <v>0.14000000000000001</v>
      </c>
      <c r="AO102">
        <v>0.14000000000000001</v>
      </c>
      <c r="AP102">
        <v>0.14000000000000001</v>
      </c>
      <c r="AQ102">
        <v>0.14000000000000001</v>
      </c>
      <c r="AR102">
        <v>0.14000000000000001</v>
      </c>
      <c r="AS102">
        <v>0.14000000000000001</v>
      </c>
      <c r="AT102">
        <v>0.14000000000000001</v>
      </c>
      <c r="AU102">
        <v>0.14000000000000001</v>
      </c>
      <c r="AV102">
        <v>0.14000000000000001</v>
      </c>
      <c r="AW102">
        <v>0.14000000000000001</v>
      </c>
      <c r="AX102">
        <v>0.14000000000000001</v>
      </c>
      <c r="AY102">
        <v>0.13899084337349399</v>
      </c>
      <c r="AZ102">
        <v>0.13688843373493975</v>
      </c>
      <c r="BA102">
        <v>0.13619690909090909</v>
      </c>
      <c r="BB102">
        <v>0.13581818181818181</v>
      </c>
      <c r="BC102">
        <v>0.13545454545454547</v>
      </c>
      <c r="BD102">
        <v>0.135072</v>
      </c>
      <c r="BE102">
        <v>0.13467199999999999</v>
      </c>
      <c r="BF102">
        <v>0.13423509090909092</v>
      </c>
      <c r="BG102">
        <v>0.13375686838124054</v>
      </c>
      <c r="BH102">
        <v>0.13315172465960667</v>
      </c>
      <c r="BI102">
        <v>0.13254658093797278</v>
      </c>
      <c r="BJ102">
        <v>0.13194143721633889</v>
      </c>
      <c r="BK102">
        <v>0.13133629349470499</v>
      </c>
      <c r="BL102">
        <v>0.1307311497730711</v>
      </c>
      <c r="BM102">
        <v>0.13012600605143723</v>
      </c>
      <c r="BN102">
        <v>0.12925139183055975</v>
      </c>
      <c r="BO102">
        <v>0.12820449319213315</v>
      </c>
      <c r="BP102">
        <v>0.12715759455370651</v>
      </c>
      <c r="BQ102">
        <v>0.12611069591527987</v>
      </c>
      <c r="BR102">
        <v>0.12506379727685324</v>
      </c>
      <c r="BS102">
        <v>0.12401689863842662</v>
      </c>
      <c r="BT102">
        <v>0.12297</v>
      </c>
    </row>
    <row r="103" spans="1:72" ht="21.75" thickBot="1" x14ac:dyDescent="0.4">
      <c r="A103" s="18" t="s">
        <v>41</v>
      </c>
      <c r="B103" s="38">
        <v>0.14000000000000001</v>
      </c>
      <c r="C103" s="38">
        <v>0.14000000000000001</v>
      </c>
      <c r="D103" s="38">
        <v>0.14000000000000001</v>
      </c>
      <c r="E103" s="38">
        <v>0.14000000000000001</v>
      </c>
      <c r="F103">
        <v>0.14678787878787891</v>
      </c>
      <c r="G103">
        <v>0.23163636363636375</v>
      </c>
      <c r="H103">
        <v>0.28000000000000003</v>
      </c>
      <c r="I103">
        <v>0.28000000000000003</v>
      </c>
      <c r="J103">
        <v>0.28000000000000003</v>
      </c>
      <c r="K103">
        <v>0.28000000000000003</v>
      </c>
      <c r="L103">
        <v>0.28000000000000003</v>
      </c>
      <c r="M103">
        <v>0.28000000000000003</v>
      </c>
      <c r="N103">
        <v>0.28000000000000003</v>
      </c>
      <c r="O103">
        <v>0.28000000000000003</v>
      </c>
      <c r="P103">
        <v>0.28000000000000003</v>
      </c>
      <c r="Q103">
        <v>0.28000000000000003</v>
      </c>
      <c r="R103">
        <v>0.28000000000000003</v>
      </c>
      <c r="S103">
        <v>0.28000000000000003</v>
      </c>
      <c r="T103">
        <v>0.28000000000000003</v>
      </c>
      <c r="U103">
        <v>0.28000000000000003</v>
      </c>
      <c r="V103">
        <v>0.28000000000000003</v>
      </c>
      <c r="W103">
        <v>0.18496976598545417</v>
      </c>
      <c r="X103">
        <v>1.5272919530908702E-2</v>
      </c>
      <c r="Y103">
        <v>9.2937123493975774E-8</v>
      </c>
      <c r="Z103">
        <v>1.8641208060606062E-9</v>
      </c>
      <c r="AA103">
        <v>1.5706040303030303E-9</v>
      </c>
      <c r="AB103">
        <v>1.2770872545454544E-9</v>
      </c>
      <c r="AC103">
        <v>9.835704787878787E-10</v>
      </c>
      <c r="AD103">
        <v>6.9005370303030281E-10</v>
      </c>
      <c r="AE103">
        <v>3.9653692727272713E-10</v>
      </c>
      <c r="AF103">
        <v>1.0302015151515124E-10</v>
      </c>
      <c r="AG103">
        <v>2.6083340451138354E-13</v>
      </c>
      <c r="AH103">
        <v>2.1706941145197357E-13</v>
      </c>
      <c r="AI103">
        <v>1.7330541839256359E-13</v>
      </c>
      <c r="AJ103">
        <v>1.2954142533315362E-13</v>
      </c>
      <c r="AK103">
        <v>8.5777432273743667E-14</v>
      </c>
      <c r="AL103">
        <v>4.2013439214333693E-14</v>
      </c>
      <c r="AM103">
        <v>5.8417338880484137E-21</v>
      </c>
      <c r="AN103">
        <v>4.9525810892587012E-21</v>
      </c>
      <c r="AO103">
        <v>4.0634282904689888E-21</v>
      </c>
      <c r="AP103">
        <v>3.1742754916792768E-21</v>
      </c>
      <c r="AQ103">
        <v>2.2851226928895648E-21</v>
      </c>
      <c r="AR103">
        <v>1.3959698940998524E-21</v>
      </c>
      <c r="AS103">
        <v>5.0681709531013994E-22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72" ht="21.75" thickBot="1" x14ac:dyDescent="0.4">
      <c r="A104" s="18" t="s">
        <v>53</v>
      </c>
      <c r="B104" s="38">
        <v>0</v>
      </c>
      <c r="C104" s="38">
        <v>0</v>
      </c>
      <c r="D104" s="38">
        <v>0</v>
      </c>
      <c r="E104" s="38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3.8295915279878965E-37</v>
      </c>
      <c r="AH104">
        <v>9.7212708018154291E-37</v>
      </c>
      <c r="AI104">
        <v>1.5612950075642961E-36</v>
      </c>
      <c r="AJ104">
        <v>2.1504629349470494E-36</v>
      </c>
      <c r="AK104">
        <v>2.7396308623298028E-36</v>
      </c>
      <c r="AL104">
        <v>3.3287987897125558E-36</v>
      </c>
      <c r="AM104">
        <v>6.6051437216338959E-23</v>
      </c>
      <c r="AN104">
        <v>1.7173373676248096E-21</v>
      </c>
      <c r="AO104">
        <v>3.3686232980332803E-21</v>
      </c>
      <c r="AP104">
        <v>5.0199092284417509E-21</v>
      </c>
      <c r="AQ104">
        <v>6.671195158850222E-21</v>
      </c>
      <c r="AR104">
        <v>8.322481089258693E-21</v>
      </c>
      <c r="AS104">
        <v>9.973767019667164E-21</v>
      </c>
      <c r="AT104">
        <v>1.515115151515147E-20</v>
      </c>
      <c r="AU104">
        <v>2.5002666666666624E-20</v>
      </c>
      <c r="AV104">
        <v>1.3005816909090833E-17</v>
      </c>
      <c r="AW104">
        <v>2.7022981818181833E-17</v>
      </c>
      <c r="AX104">
        <v>2.3492072727272744E-17</v>
      </c>
      <c r="AY104">
        <v>1.1959518087683135E-8</v>
      </c>
      <c r="AZ104">
        <v>3.6875180725239895E-8</v>
      </c>
      <c r="BA104">
        <v>1.911267878787887E-7</v>
      </c>
      <c r="BB104">
        <v>3.3370587878787851E-7</v>
      </c>
      <c r="BC104">
        <v>2.8068163636363612E-7</v>
      </c>
      <c r="BD104">
        <v>2.3450248484848466E-7</v>
      </c>
      <c r="BE104">
        <v>1.9464187878787859E-7</v>
      </c>
      <c r="BF104">
        <v>1.7598290909090901E-7</v>
      </c>
      <c r="BG104">
        <v>1.6033210590015122E-7</v>
      </c>
      <c r="BH104">
        <v>1.4411440544629343E-7</v>
      </c>
      <c r="BI104">
        <v>1.2789670499243564E-7</v>
      </c>
      <c r="BJ104">
        <v>1.1167900453857786E-7</v>
      </c>
      <c r="BK104">
        <v>9.5461304084720078E-8</v>
      </c>
      <c r="BL104">
        <v>7.9243603630862285E-8</v>
      </c>
      <c r="BM104">
        <v>6.3025903177004505E-8</v>
      </c>
      <c r="BN104">
        <v>5.2980461422087734E-8</v>
      </c>
      <c r="BO104">
        <v>4.6881217851739778E-8</v>
      </c>
      <c r="BP104">
        <v>4.0781974281391822E-8</v>
      </c>
      <c r="BQ104">
        <v>3.4682730711043866E-8</v>
      </c>
      <c r="BR104">
        <v>2.8583487140695906E-8</v>
      </c>
      <c r="BS104">
        <v>2.2484243570347954E-8</v>
      </c>
      <c r="BT104">
        <v>1.6384999999999997E-8</v>
      </c>
    </row>
    <row r="105" spans="1:72" ht="21.75" thickBot="1" x14ac:dyDescent="0.4">
      <c r="A105" s="18" t="s">
        <v>93</v>
      </c>
      <c r="B105" s="38">
        <v>0</v>
      </c>
      <c r="C105" s="38">
        <v>0</v>
      </c>
      <c r="D105" s="38">
        <v>0</v>
      </c>
      <c r="E105" s="38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3.0490015128593028E-30</v>
      </c>
      <c r="AH105">
        <v>7.7397730711043845E-30</v>
      </c>
      <c r="AI105">
        <v>1.2430544629349466E-29</v>
      </c>
      <c r="AJ105">
        <v>1.7121316187594548E-29</v>
      </c>
      <c r="AK105">
        <v>2.1812087745839629E-29</v>
      </c>
      <c r="AL105">
        <v>2.650285930408471E-29</v>
      </c>
      <c r="AM105">
        <v>2.5344629349469081E-14</v>
      </c>
      <c r="AN105">
        <v>6.589603630862313E-13</v>
      </c>
      <c r="AO105">
        <v>1.2925760968229934E-12</v>
      </c>
      <c r="AP105">
        <v>1.9261918305597557E-12</v>
      </c>
      <c r="AQ105">
        <v>2.5598075642965179E-12</v>
      </c>
      <c r="AR105">
        <v>3.1934232980332802E-12</v>
      </c>
      <c r="AS105">
        <v>3.8270390317700424E-12</v>
      </c>
      <c r="AT105">
        <v>1.1030721794181701E-7</v>
      </c>
      <c r="AU105">
        <v>3.6682589175999881E-7</v>
      </c>
      <c r="AV105">
        <v>5.7878231734545121E-3</v>
      </c>
      <c r="AW105">
        <v>1.2629690909090895E-2</v>
      </c>
      <c r="AX105">
        <v>1.5604236363636351E-2</v>
      </c>
      <c r="AY105">
        <v>1.219168228192773E-2</v>
      </c>
      <c r="AZ105">
        <v>1.8597703692770726E-3</v>
      </c>
      <c r="BA105">
        <v>1.3192284273818109E-8</v>
      </c>
      <c r="BB105">
        <v>5.6777284848490001E-13</v>
      </c>
      <c r="BC105">
        <v>1.8414254545491024E-13</v>
      </c>
      <c r="BD105">
        <v>3.5401187878787738E-25</v>
      </c>
      <c r="BE105">
        <v>4.0727030303028926E-26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72" ht="21.75" thickBot="1" x14ac:dyDescent="0.4">
      <c r="A106" s="18" t="s">
        <v>76</v>
      </c>
      <c r="B106" s="38">
        <v>0</v>
      </c>
      <c r="C106" s="38">
        <v>0</v>
      </c>
      <c r="D106" s="38">
        <v>0</v>
      </c>
      <c r="E106" s="38">
        <v>0</v>
      </c>
      <c r="F106">
        <v>0</v>
      </c>
      <c r="G106">
        <v>0</v>
      </c>
      <c r="H106">
        <v>0</v>
      </c>
      <c r="I106">
        <v>0</v>
      </c>
      <c r="J106">
        <v>7.6477333333333218E-34</v>
      </c>
      <c r="K106">
        <v>3.7018924287054201E-27</v>
      </c>
      <c r="L106">
        <v>3.4550982344584207E-26</v>
      </c>
      <c r="M106">
        <v>1.0903857791225867E-12</v>
      </c>
      <c r="N106">
        <v>3.4103555219364985E-12</v>
      </c>
      <c r="O106">
        <v>5.7303252647504103E-12</v>
      </c>
      <c r="P106">
        <v>8.0502950075643224E-12</v>
      </c>
      <c r="Q106">
        <v>1.0370264750378235E-11</v>
      </c>
      <c r="R106">
        <v>1.2690234493192147E-11</v>
      </c>
      <c r="S106">
        <v>1.5010204236006057E-11</v>
      </c>
      <c r="T106">
        <v>2.3787433333333395E-10</v>
      </c>
      <c r="U106">
        <v>2.7661345454545706E-9</v>
      </c>
      <c r="V106">
        <v>1.3832013333333357E-8</v>
      </c>
      <c r="W106">
        <v>4.751516386914565E-2</v>
      </c>
      <c r="X106">
        <v>0.13236363738369111</v>
      </c>
      <c r="Y106">
        <v>0.14000000000000001</v>
      </c>
      <c r="Z106">
        <v>0.14000000000000001</v>
      </c>
      <c r="AA106">
        <v>0.14000000000000001</v>
      </c>
      <c r="AB106">
        <v>0.14000000000000001</v>
      </c>
      <c r="AC106">
        <v>0.14000000000000001</v>
      </c>
      <c r="AD106">
        <v>0.14000000000000001</v>
      </c>
      <c r="AE106">
        <v>0.14000000000000001</v>
      </c>
      <c r="AF106">
        <v>0.14000000000000001</v>
      </c>
      <c r="AG106">
        <v>0.14000000000000001</v>
      </c>
      <c r="AH106">
        <v>0.14000000000000001</v>
      </c>
      <c r="AI106">
        <v>0.14000000000000001</v>
      </c>
      <c r="AJ106">
        <v>0.14000000000000001</v>
      </c>
      <c r="AK106">
        <v>0.14000000000000001</v>
      </c>
      <c r="AL106">
        <v>0.14000000000000001</v>
      </c>
      <c r="AM106">
        <v>0.14000000000000001</v>
      </c>
      <c r="AN106">
        <v>0.14000000000000001</v>
      </c>
      <c r="AO106">
        <v>0.14000000000000001</v>
      </c>
      <c r="AP106">
        <v>0.14000000000000001</v>
      </c>
      <c r="AQ106">
        <v>0.14000000000000001</v>
      </c>
      <c r="AR106">
        <v>0.14000000000000001</v>
      </c>
      <c r="AS106">
        <v>0.14000000000000001</v>
      </c>
      <c r="AT106">
        <v>0.14000000000000001</v>
      </c>
      <c r="AU106">
        <v>0.14000000000000001</v>
      </c>
      <c r="AV106">
        <v>0.14000000000000001</v>
      </c>
      <c r="AW106">
        <v>0.14000000000000001</v>
      </c>
      <c r="AX106">
        <v>0.14000000000000001</v>
      </c>
      <c r="AY106">
        <v>0.13899084337349399</v>
      </c>
      <c r="AZ106">
        <v>0.13688843373493975</v>
      </c>
      <c r="BA106">
        <v>0.13619690909090909</v>
      </c>
      <c r="BB106">
        <v>0.13581818181818181</v>
      </c>
      <c r="BC106">
        <v>0.13545454545454547</v>
      </c>
      <c r="BD106">
        <v>0.135072</v>
      </c>
      <c r="BE106">
        <v>0.13467199999999999</v>
      </c>
      <c r="BF106">
        <v>0.13423509090909092</v>
      </c>
      <c r="BG106">
        <v>0.13375686838124054</v>
      </c>
      <c r="BH106">
        <v>0.13315172465960667</v>
      </c>
      <c r="BI106">
        <v>0.13254658093797278</v>
      </c>
      <c r="BJ106">
        <v>0.13194143721633889</v>
      </c>
      <c r="BK106">
        <v>0.13133629349470499</v>
      </c>
      <c r="BL106">
        <v>0.1307311497730711</v>
      </c>
      <c r="BM106">
        <v>0.13012600605143723</v>
      </c>
      <c r="BN106">
        <v>0.12925139183055975</v>
      </c>
      <c r="BO106">
        <v>0.12820449319213315</v>
      </c>
      <c r="BP106">
        <v>0.12715759455370651</v>
      </c>
      <c r="BQ106">
        <v>0.12611069591527987</v>
      </c>
      <c r="BR106">
        <v>0.12506379727685324</v>
      </c>
      <c r="BS106">
        <v>0.12401689863842662</v>
      </c>
      <c r="BT106">
        <v>0.12297</v>
      </c>
    </row>
    <row r="107" spans="1:72" ht="21.75" thickBot="1" x14ac:dyDescent="0.4">
      <c r="A107" s="18" t="s">
        <v>42</v>
      </c>
      <c r="B107" s="38">
        <v>2.573569135539396E-12</v>
      </c>
      <c r="C107" s="38">
        <v>3.3883989636363737E-10</v>
      </c>
      <c r="D107" s="38">
        <v>1.2196746236363646E-9</v>
      </c>
      <c r="E107" s="38">
        <v>1.3579630303030326E-7</v>
      </c>
      <c r="F107">
        <v>6.7881690951516133E-3</v>
      </c>
      <c r="G107">
        <v>9.1636469034545573E-2</v>
      </c>
      <c r="H107">
        <v>0.14000000000000001</v>
      </c>
      <c r="I107">
        <v>0.14000000000000001</v>
      </c>
      <c r="J107">
        <v>0.14000000000000001</v>
      </c>
      <c r="K107">
        <v>0.14000000000000001</v>
      </c>
      <c r="L107">
        <v>0.14000000000000001</v>
      </c>
      <c r="M107">
        <v>0.14000000000000001</v>
      </c>
      <c r="N107">
        <v>0.14000000000000001</v>
      </c>
      <c r="O107">
        <v>0.14000000000000001</v>
      </c>
      <c r="P107">
        <v>0.14000000000000001</v>
      </c>
      <c r="Q107">
        <v>0.14000000000000001</v>
      </c>
      <c r="R107">
        <v>0.14000000000000001</v>
      </c>
      <c r="S107">
        <v>0.14000000000000001</v>
      </c>
      <c r="T107">
        <v>0.14000000000000001</v>
      </c>
      <c r="U107">
        <v>0.14000000000000001</v>
      </c>
      <c r="V107">
        <v>0.14000000000000001</v>
      </c>
      <c r="W107">
        <v>0.23503030303030342</v>
      </c>
      <c r="X107">
        <v>0.4047272727272731</v>
      </c>
      <c r="Y107">
        <v>0.42</v>
      </c>
      <c r="Z107">
        <v>0.42</v>
      </c>
      <c r="AA107">
        <v>0.42</v>
      </c>
      <c r="AB107">
        <v>0.42</v>
      </c>
      <c r="AC107">
        <v>0.42</v>
      </c>
      <c r="AD107">
        <v>0.42</v>
      </c>
      <c r="AE107">
        <v>0.42</v>
      </c>
      <c r="AF107">
        <v>0.42</v>
      </c>
      <c r="AG107">
        <v>0.42</v>
      </c>
      <c r="AH107">
        <v>0.42</v>
      </c>
      <c r="AI107">
        <v>0.42</v>
      </c>
      <c r="AJ107">
        <v>0.42</v>
      </c>
      <c r="AK107">
        <v>0.42</v>
      </c>
      <c r="AL107">
        <v>0.42</v>
      </c>
      <c r="AM107">
        <v>0.42</v>
      </c>
      <c r="AN107">
        <v>0.42</v>
      </c>
      <c r="AO107">
        <v>0.42</v>
      </c>
      <c r="AP107">
        <v>0.42</v>
      </c>
      <c r="AQ107">
        <v>0.42</v>
      </c>
      <c r="AR107">
        <v>0.42</v>
      </c>
      <c r="AS107">
        <v>0.42</v>
      </c>
      <c r="AT107">
        <v>0.42</v>
      </c>
      <c r="AU107">
        <v>0.42</v>
      </c>
      <c r="AV107">
        <v>0.43157709090909085</v>
      </c>
      <c r="AW107">
        <v>0.44526290909090904</v>
      </c>
      <c r="AX107">
        <v>0.45120836363636357</v>
      </c>
      <c r="AY107">
        <v>0.46107204819277103</v>
      </c>
      <c r="AZ107">
        <v>0.4751804819277109</v>
      </c>
      <c r="BA107">
        <v>0.47867418181818183</v>
      </c>
      <c r="BB107">
        <v>0.47967090909090909</v>
      </c>
      <c r="BC107">
        <v>0.47985272727272726</v>
      </c>
      <c r="BD107">
        <v>0.47995575757575759</v>
      </c>
      <c r="BE107">
        <v>0.47998606060606064</v>
      </c>
      <c r="BF107">
        <v>0.47999527272727271</v>
      </c>
      <c r="BG107">
        <v>0.48</v>
      </c>
      <c r="BH107">
        <v>0.48</v>
      </c>
      <c r="BI107">
        <v>0.48</v>
      </c>
      <c r="BJ107">
        <v>0.48</v>
      </c>
      <c r="BK107">
        <v>0.48</v>
      </c>
      <c r="BL107">
        <v>0.48</v>
      </c>
      <c r="BM107">
        <v>0.48</v>
      </c>
      <c r="BN107">
        <v>0.48</v>
      </c>
      <c r="BO107">
        <v>0.48</v>
      </c>
      <c r="BP107">
        <v>0.48</v>
      </c>
      <c r="BQ107">
        <v>0.48</v>
      </c>
      <c r="BR107">
        <v>0.48</v>
      </c>
      <c r="BS107">
        <v>0.48</v>
      </c>
      <c r="BT107">
        <v>0.48</v>
      </c>
    </row>
    <row r="108" spans="1:72" ht="21.75" thickBot="1" x14ac:dyDescent="0.4">
      <c r="A108" s="18" t="s">
        <v>75</v>
      </c>
      <c r="B108" s="38">
        <v>0.14000000000000001</v>
      </c>
      <c r="C108" s="38">
        <v>0.14000000000000001</v>
      </c>
      <c r="D108" s="38">
        <v>0.14000000000000001</v>
      </c>
      <c r="E108" s="38">
        <v>0.14000000000000001</v>
      </c>
      <c r="F108">
        <v>0.13321212136829083</v>
      </c>
      <c r="G108">
        <v>4.8363638471927178E-2</v>
      </c>
      <c r="H108">
        <v>2.438389638554216E-9</v>
      </c>
      <c r="I108">
        <v>6.1836554216867627E-10</v>
      </c>
      <c r="J108">
        <v>1.1103458000000013E-10</v>
      </c>
      <c r="K108">
        <v>8.9437050909090977E-12</v>
      </c>
      <c r="L108">
        <v>3.1904141818181896E-12</v>
      </c>
      <c r="M108">
        <v>1.3113219364599294E-13</v>
      </c>
      <c r="N108">
        <v>1.0977515885023324E-13</v>
      </c>
      <c r="O108">
        <v>8.8418124054473509E-14</v>
      </c>
      <c r="P108">
        <v>6.7061089258713806E-14</v>
      </c>
      <c r="Q108">
        <v>4.5704054462954091E-14</v>
      </c>
      <c r="R108">
        <v>2.4347019667194375E-14</v>
      </c>
      <c r="S108">
        <v>2.9899848714346473E-15</v>
      </c>
      <c r="T108">
        <v>1.3578903030302993E-26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</row>
    <row r="109" spans="1:72" ht="21.75" thickBot="1" x14ac:dyDescent="0.4">
      <c r="A109" s="18" t="s">
        <v>70</v>
      </c>
      <c r="B109" s="38">
        <v>0.02</v>
      </c>
      <c r="C109" s="38">
        <v>0.02</v>
      </c>
      <c r="D109" s="38">
        <v>0.02</v>
      </c>
      <c r="E109" s="38">
        <v>0.02</v>
      </c>
      <c r="F109">
        <v>0.02</v>
      </c>
      <c r="G109">
        <v>0.02</v>
      </c>
      <c r="H109">
        <v>0.02</v>
      </c>
      <c r="I109">
        <v>0.02</v>
      </c>
      <c r="J109">
        <v>0.02</v>
      </c>
      <c r="K109">
        <v>0.02</v>
      </c>
      <c r="L109">
        <v>0.02</v>
      </c>
      <c r="M109">
        <v>0.02</v>
      </c>
      <c r="N109">
        <v>0.02</v>
      </c>
      <c r="O109">
        <v>0.02</v>
      </c>
      <c r="P109">
        <v>0.02</v>
      </c>
      <c r="Q109">
        <v>0.02</v>
      </c>
      <c r="R109">
        <v>0.02</v>
      </c>
      <c r="S109">
        <v>0.02</v>
      </c>
      <c r="T109">
        <v>0.02</v>
      </c>
      <c r="U109">
        <v>0.02</v>
      </c>
      <c r="V109">
        <v>0.02</v>
      </c>
      <c r="W109">
        <v>0.02</v>
      </c>
      <c r="X109">
        <v>0.02</v>
      </c>
      <c r="Y109">
        <v>0.02</v>
      </c>
      <c r="Z109">
        <v>0.02</v>
      </c>
      <c r="AA109">
        <v>0.02</v>
      </c>
      <c r="AB109">
        <v>0.02</v>
      </c>
      <c r="AC109">
        <v>0.02</v>
      </c>
      <c r="AD109">
        <v>0.02</v>
      </c>
      <c r="AE109">
        <v>0.02</v>
      </c>
      <c r="AF109">
        <v>0.02</v>
      </c>
      <c r="AG109">
        <v>0.02</v>
      </c>
      <c r="AH109">
        <v>0.02</v>
      </c>
      <c r="AI109">
        <v>0.02</v>
      </c>
      <c r="AJ109">
        <v>0.02</v>
      </c>
      <c r="AK109">
        <v>0.02</v>
      </c>
      <c r="AL109">
        <v>0.02</v>
      </c>
      <c r="AM109">
        <v>0.02</v>
      </c>
      <c r="AN109">
        <v>0.02</v>
      </c>
      <c r="AO109">
        <v>0.02</v>
      </c>
      <c r="AP109">
        <v>0.02</v>
      </c>
      <c r="AQ109">
        <v>0.02</v>
      </c>
      <c r="AR109">
        <v>0.02</v>
      </c>
      <c r="AS109">
        <v>0.02</v>
      </c>
      <c r="AT109">
        <v>0.02</v>
      </c>
      <c r="AU109">
        <v>0.02</v>
      </c>
      <c r="AV109">
        <v>1.4212210909090943E-2</v>
      </c>
      <c r="AW109">
        <v>7.3699169696969831E-3</v>
      </c>
      <c r="AX109">
        <v>4.3954321212121353E-3</v>
      </c>
      <c r="AY109">
        <v>2.2444002409638579E-3</v>
      </c>
      <c r="AZ109">
        <v>9.8544240963854986E-4</v>
      </c>
      <c r="BA109">
        <v>4.4134587878787699E-4</v>
      </c>
      <c r="BB109">
        <v>1.0969016363636336E-4</v>
      </c>
      <c r="BC109">
        <v>4.9102890909090633E-5</v>
      </c>
      <c r="BD109">
        <v>1.4816052121212076E-5</v>
      </c>
      <c r="BE109">
        <v>4.806536969696922E-6</v>
      </c>
      <c r="BF109">
        <v>1.9953754545454465E-6</v>
      </c>
      <c r="BG109">
        <v>6.2032924750378176E-7</v>
      </c>
      <c r="BH109">
        <v>5.2341673615733698E-7</v>
      </c>
      <c r="BI109">
        <v>4.2650422481089226E-7</v>
      </c>
      <c r="BJ109">
        <v>3.2959171346444754E-7</v>
      </c>
      <c r="BK109">
        <v>2.3267920211800276E-7</v>
      </c>
      <c r="BL109">
        <v>1.3576669077155798E-7</v>
      </c>
      <c r="BM109">
        <v>3.8854179425113315E-8</v>
      </c>
      <c r="BN109">
        <v>9.6089549531013581E-10</v>
      </c>
      <c r="BO109">
        <v>8.0121597942511312E-10</v>
      </c>
      <c r="BP109">
        <v>6.4153646354009044E-10</v>
      </c>
      <c r="BQ109">
        <v>4.8185694765506786E-10</v>
      </c>
      <c r="BR109">
        <v>3.2217743177004517E-10</v>
      </c>
      <c r="BS109">
        <v>1.6249791588502259E-10</v>
      </c>
      <c r="BT109">
        <v>2.8183999999999E-12</v>
      </c>
    </row>
    <row r="110" spans="1:72" ht="21.75" thickBot="1" x14ac:dyDescent="0.4">
      <c r="A110" s="18" t="s">
        <v>71</v>
      </c>
      <c r="B110" s="38">
        <v>0</v>
      </c>
      <c r="C110" s="38">
        <v>0</v>
      </c>
      <c r="D110" s="38">
        <v>0</v>
      </c>
      <c r="E110" s="38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4.750484114977298E-34</v>
      </c>
      <c r="N110">
        <v>1.4857897125567317E-33</v>
      </c>
      <c r="O110">
        <v>2.4965310136157337E-33</v>
      </c>
      <c r="P110">
        <v>3.5072723146747357E-33</v>
      </c>
      <c r="Q110">
        <v>4.5180136157337374E-33</v>
      </c>
      <c r="R110">
        <v>5.5287549167927397E-33</v>
      </c>
      <c r="S110">
        <v>6.539496217851742E-33</v>
      </c>
      <c r="T110">
        <v>4.1052605454545557E-31</v>
      </c>
      <c r="U110">
        <v>9.387109090909183E-30</v>
      </c>
      <c r="V110">
        <v>5.0366200000000086E-29</v>
      </c>
      <c r="W110">
        <v>1.6069725636363698E-27</v>
      </c>
      <c r="X110">
        <v>4.3544289272727339E-27</v>
      </c>
      <c r="Y110">
        <v>1.3569010542168692E-25</v>
      </c>
      <c r="Z110">
        <v>9.7642496493181815E-21</v>
      </c>
      <c r="AA110">
        <v>4.8820273326590917E-20</v>
      </c>
      <c r="AB110">
        <v>8.7876297003863633E-20</v>
      </c>
      <c r="AC110">
        <v>1.2693232068113638E-19</v>
      </c>
      <c r="AD110">
        <v>1.659883443584091E-19</v>
      </c>
      <c r="AE110">
        <v>2.0504436803568185E-19</v>
      </c>
      <c r="AF110">
        <v>2.4410039171295454E-19</v>
      </c>
      <c r="AG110">
        <v>2.175028185960665E-15</v>
      </c>
      <c r="AH110">
        <v>5.5208288259001491E-15</v>
      </c>
      <c r="AI110">
        <v>8.8666294658396331E-15</v>
      </c>
      <c r="AJ110">
        <v>1.2212430105779116E-14</v>
      </c>
      <c r="AK110">
        <v>1.55582307457186E-14</v>
      </c>
      <c r="AL110">
        <v>1.8904031385658086E-14</v>
      </c>
      <c r="AM110">
        <v>1.8306357216337844E-12</v>
      </c>
      <c r="AN110">
        <v>4.7043628762480969E-11</v>
      </c>
      <c r="AO110">
        <v>9.2256621803328156E-11</v>
      </c>
      <c r="AP110">
        <v>1.3746961484417534E-10</v>
      </c>
      <c r="AQ110">
        <v>1.8268260788502253E-10</v>
      </c>
      <c r="AR110">
        <v>2.278956009258697E-10</v>
      </c>
      <c r="AS110">
        <v>2.7310859396671694E-10</v>
      </c>
      <c r="AT110">
        <v>8.8629127272726661E-10</v>
      </c>
      <c r="AU110">
        <v>2.2523639999999941E-9</v>
      </c>
      <c r="AV110">
        <v>5.0315036363636213E-9</v>
      </c>
      <c r="AW110">
        <v>8.827425454545418E-9</v>
      </c>
      <c r="AX110">
        <v>1.6760698181818147E-8</v>
      </c>
      <c r="AY110">
        <v>2.5769277108433713E-8</v>
      </c>
      <c r="AZ110">
        <v>3.5942771084337386E-8</v>
      </c>
      <c r="BA110">
        <v>3.7839599999999998E-8</v>
      </c>
      <c r="BB110">
        <v>3.7881375757575757E-8</v>
      </c>
      <c r="BC110">
        <v>3.7736527272727272E-8</v>
      </c>
      <c r="BD110">
        <v>3.7452381818181816E-8</v>
      </c>
      <c r="BE110">
        <v>3.7039654545454544E-8</v>
      </c>
      <c r="BF110">
        <v>3.6403363636363636E-8</v>
      </c>
      <c r="BG110">
        <v>3.5622391830559753E-8</v>
      </c>
      <c r="BH110">
        <v>3.4446900151285926E-8</v>
      </c>
      <c r="BI110">
        <v>3.3271408472012099E-8</v>
      </c>
      <c r="BJ110">
        <v>3.2095916792738272E-8</v>
      </c>
      <c r="BK110">
        <v>3.0920425113464445E-8</v>
      </c>
      <c r="BL110">
        <v>2.9744933434190619E-8</v>
      </c>
      <c r="BM110">
        <v>2.8569441754916792E-8</v>
      </c>
      <c r="BN110">
        <v>2.7157794251134639E-8</v>
      </c>
      <c r="BO110">
        <v>2.5595161875945534E-8</v>
      </c>
      <c r="BP110">
        <v>2.4032529500756428E-8</v>
      </c>
      <c r="BQ110">
        <v>2.246989712556732E-8</v>
      </c>
      <c r="BR110">
        <v>2.0907264750378214E-8</v>
      </c>
      <c r="BS110">
        <v>1.9344632375189109E-8</v>
      </c>
      <c r="BT110">
        <v>1.7782E-8</v>
      </c>
    </row>
    <row r="111" spans="1:72" ht="21.75" thickBot="1" x14ac:dyDescent="0.4">
      <c r="A111" s="18" t="s">
        <v>1</v>
      </c>
      <c r="B111" s="38">
        <v>0.2</v>
      </c>
      <c r="C111" s="38">
        <v>0.2</v>
      </c>
      <c r="D111" s="38">
        <v>0.2</v>
      </c>
      <c r="E111" s="38">
        <v>0.2</v>
      </c>
      <c r="F111">
        <v>0.2</v>
      </c>
      <c r="G111">
        <v>0.2</v>
      </c>
      <c r="H111">
        <v>0.2</v>
      </c>
      <c r="I111">
        <v>0.2</v>
      </c>
      <c r="J111">
        <v>0.2</v>
      </c>
      <c r="K111">
        <v>0.2</v>
      </c>
      <c r="L111">
        <v>0.2</v>
      </c>
      <c r="M111">
        <v>0.2</v>
      </c>
      <c r="N111">
        <v>0.2</v>
      </c>
      <c r="O111">
        <v>0.2</v>
      </c>
      <c r="P111">
        <v>0.2</v>
      </c>
      <c r="Q111">
        <v>0.2</v>
      </c>
      <c r="R111">
        <v>0.2</v>
      </c>
      <c r="S111">
        <v>0.2</v>
      </c>
      <c r="T111">
        <v>0.2</v>
      </c>
      <c r="U111">
        <v>0.2</v>
      </c>
      <c r="V111">
        <v>0.2</v>
      </c>
      <c r="W111">
        <v>0.2</v>
      </c>
      <c r="X111">
        <v>0.2</v>
      </c>
      <c r="Y111">
        <v>0.2</v>
      </c>
      <c r="Z111">
        <v>0.2</v>
      </c>
      <c r="AA111">
        <v>0.2</v>
      </c>
      <c r="AB111">
        <v>0.2</v>
      </c>
      <c r="AC111">
        <v>0.2</v>
      </c>
      <c r="AD111">
        <v>0.2</v>
      </c>
      <c r="AE111">
        <v>0.2</v>
      </c>
      <c r="AF111">
        <v>0.2</v>
      </c>
      <c r="AG111">
        <v>0.2</v>
      </c>
      <c r="AH111">
        <v>0.2</v>
      </c>
      <c r="AI111">
        <v>0.2</v>
      </c>
      <c r="AJ111">
        <v>0.2</v>
      </c>
      <c r="AK111">
        <v>0.2</v>
      </c>
      <c r="AL111">
        <v>0.2</v>
      </c>
      <c r="AM111">
        <v>0.2</v>
      </c>
      <c r="AN111">
        <v>0.2</v>
      </c>
      <c r="AO111">
        <v>0.2</v>
      </c>
      <c r="AP111">
        <v>0.2</v>
      </c>
      <c r="AQ111">
        <v>0.2</v>
      </c>
      <c r="AR111">
        <v>0.2</v>
      </c>
      <c r="AS111">
        <v>0.2</v>
      </c>
      <c r="AT111">
        <v>0.2</v>
      </c>
      <c r="AU111">
        <v>0.2</v>
      </c>
      <c r="AV111">
        <v>0.2</v>
      </c>
      <c r="AW111">
        <v>0.2</v>
      </c>
      <c r="AX111">
        <v>0.2</v>
      </c>
      <c r="AY111">
        <v>0.2</v>
      </c>
      <c r="AZ111">
        <v>0.2</v>
      </c>
      <c r="BA111">
        <v>0.2</v>
      </c>
      <c r="BB111">
        <v>0.2</v>
      </c>
      <c r="BC111">
        <v>0.2</v>
      </c>
      <c r="BD111">
        <v>0.2</v>
      </c>
      <c r="BE111">
        <v>0.2</v>
      </c>
      <c r="BF111">
        <v>0.2</v>
      </c>
      <c r="BG111">
        <v>0.2</v>
      </c>
      <c r="BH111">
        <v>0.2</v>
      </c>
      <c r="BI111">
        <v>0.2</v>
      </c>
      <c r="BJ111">
        <v>0.2</v>
      </c>
      <c r="BK111">
        <v>0.2</v>
      </c>
      <c r="BL111">
        <v>0.2</v>
      </c>
      <c r="BM111">
        <v>0.2</v>
      </c>
      <c r="BN111">
        <v>0.2</v>
      </c>
      <c r="BO111">
        <v>0.2</v>
      </c>
      <c r="BP111">
        <v>0.2</v>
      </c>
      <c r="BQ111">
        <v>0.2</v>
      </c>
      <c r="BR111">
        <v>0.2</v>
      </c>
      <c r="BS111">
        <v>0.2</v>
      </c>
      <c r="BT111">
        <v>0.2</v>
      </c>
    </row>
    <row r="112" spans="1:72" ht="21.75" thickBot="1" x14ac:dyDescent="0.4">
      <c r="A112" s="18" t="s">
        <v>91</v>
      </c>
      <c r="B112" s="38">
        <v>0</v>
      </c>
      <c r="C112" s="38">
        <v>0</v>
      </c>
      <c r="D112" s="38">
        <v>0</v>
      </c>
      <c r="E112" s="38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1.3726515151515151E-21</v>
      </c>
      <c r="AA112">
        <v>6.8632575757575751E-21</v>
      </c>
      <c r="AB112">
        <v>1.2353863636363637E-20</v>
      </c>
      <c r="AC112">
        <v>1.7844469696969697E-20</v>
      </c>
      <c r="AD112">
        <v>2.3335075757575756E-20</v>
      </c>
      <c r="AE112">
        <v>2.8825681818181815E-20</v>
      </c>
      <c r="AF112">
        <v>3.431628787878788E-20</v>
      </c>
      <c r="AG112">
        <v>6.9261219332042341E-15</v>
      </c>
      <c r="AH112">
        <v>1.7581638387364595E-14</v>
      </c>
      <c r="AI112">
        <v>2.8237154841524956E-14</v>
      </c>
      <c r="AJ112">
        <v>3.889267129568531E-14</v>
      </c>
      <c r="AK112">
        <v>4.9548187749845674E-14</v>
      </c>
      <c r="AL112">
        <v>6.0203704204006032E-14</v>
      </c>
      <c r="AM112">
        <v>1.8615347670195642E-12</v>
      </c>
      <c r="AN112">
        <v>4.6639078942511217E-11</v>
      </c>
      <c r="AO112">
        <v>9.1416623118002874E-11</v>
      </c>
      <c r="AP112">
        <v>1.3619416729349452E-10</v>
      </c>
      <c r="AQ112">
        <v>1.8097171146898619E-10</v>
      </c>
      <c r="AR112">
        <v>2.2574925564447783E-10</v>
      </c>
      <c r="AS112">
        <v>2.7052679981996953E-10</v>
      </c>
      <c r="AT112">
        <v>2.4597454545454599E-10</v>
      </c>
      <c r="AU112">
        <v>1.2952000000000053E-10</v>
      </c>
      <c r="AV112">
        <v>7.2203836363635944E-9</v>
      </c>
      <c r="AW112">
        <v>3.0884218181817631E-8</v>
      </c>
      <c r="AX112">
        <v>1.5185512727272673E-7</v>
      </c>
      <c r="AY112">
        <v>1.1127477961927668E-2</v>
      </c>
      <c r="AZ112">
        <v>3.4309276299277193E-2</v>
      </c>
      <c r="BA112">
        <v>3.9117127272727273E-2</v>
      </c>
      <c r="BB112">
        <v>3.9780606060606058E-2</v>
      </c>
      <c r="BC112">
        <v>3.9901818181818184E-2</v>
      </c>
      <c r="BD112">
        <v>3.9970400000000003E-2</v>
      </c>
      <c r="BE112">
        <v>3.9990400000000002E-2</v>
      </c>
      <c r="BF112">
        <v>3.9995636363636365E-2</v>
      </c>
      <c r="BG112">
        <v>3.9998066565809377E-2</v>
      </c>
      <c r="BH112">
        <v>3.9998369137670194E-2</v>
      </c>
      <c r="BI112">
        <v>3.999867170953101E-2</v>
      </c>
      <c r="BJ112">
        <v>3.9998974281391833E-2</v>
      </c>
      <c r="BK112">
        <v>3.9999276853252649E-2</v>
      </c>
      <c r="BL112">
        <v>3.9999579425113466E-2</v>
      </c>
      <c r="BM112">
        <v>3.9999881996974282E-2</v>
      </c>
      <c r="BN112">
        <v>0.04</v>
      </c>
      <c r="BO112">
        <v>0.04</v>
      </c>
      <c r="BP112">
        <v>0.04</v>
      </c>
      <c r="BQ112">
        <v>0.04</v>
      </c>
      <c r="BR112">
        <v>0.04</v>
      </c>
      <c r="BS112">
        <v>0.04</v>
      </c>
      <c r="BT112">
        <v>0.04</v>
      </c>
    </row>
    <row r="113" spans="1:72" ht="21.75" thickBot="1" x14ac:dyDescent="0.4">
      <c r="A113" s="18" t="s">
        <v>92</v>
      </c>
      <c r="B113" s="38">
        <v>0</v>
      </c>
      <c r="C113" s="38">
        <v>0</v>
      </c>
      <c r="D113" s="38">
        <v>0</v>
      </c>
      <c r="E113" s="38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5.2706838124054363E-37</v>
      </c>
      <c r="N113">
        <v>1.6484904689863837E-36</v>
      </c>
      <c r="O113">
        <v>2.7699125567322239E-36</v>
      </c>
      <c r="P113">
        <v>3.8913346444780645E-36</v>
      </c>
      <c r="Q113">
        <v>5.0127567322239047E-36</v>
      </c>
      <c r="R113">
        <v>6.1341788199697449E-36</v>
      </c>
      <c r="S113">
        <v>7.2556009077155844E-36</v>
      </c>
      <c r="T113">
        <v>3.5490630303030199E-36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7.6488636363636373E-18</v>
      </c>
      <c r="AA113">
        <v>3.8244318181818186E-17</v>
      </c>
      <c r="AB113">
        <v>6.8839772727272729E-17</v>
      </c>
      <c r="AC113">
        <v>9.9435227272727278E-17</v>
      </c>
      <c r="AD113">
        <v>1.3003068181818182E-16</v>
      </c>
      <c r="AE113">
        <v>1.6062613636363636E-16</v>
      </c>
      <c r="AF113">
        <v>1.9122159090909091E-16</v>
      </c>
      <c r="AG113">
        <v>3.9385000042360047E-13</v>
      </c>
      <c r="AH113">
        <v>9.9946241645990892E-13</v>
      </c>
      <c r="AI113">
        <v>1.6050748324962174E-12</v>
      </c>
      <c r="AJ113">
        <v>2.210687248532526E-12</v>
      </c>
      <c r="AK113">
        <v>2.8162996645688343E-12</v>
      </c>
      <c r="AL113">
        <v>3.4219120806051425E-12</v>
      </c>
      <c r="AM113">
        <v>5.9923269288954989E-12</v>
      </c>
      <c r="AN113">
        <v>5.5718000151285794E-11</v>
      </c>
      <c r="AO113">
        <v>1.0544367337367611E-10</v>
      </c>
      <c r="AP113">
        <v>1.5516934659606639E-10</v>
      </c>
      <c r="AQ113">
        <v>2.0489501981845671E-10</v>
      </c>
      <c r="AR113">
        <v>2.5462069304084701E-10</v>
      </c>
      <c r="AS113">
        <v>3.0434636626323733E-10</v>
      </c>
      <c r="AT113">
        <v>2.5841127878787957E-10</v>
      </c>
      <c r="AU113">
        <v>8.5670066666667455E-11</v>
      </c>
      <c r="AV113">
        <v>2.1822353272727146E-9</v>
      </c>
      <c r="AW113">
        <v>7.7945769696968558E-9</v>
      </c>
      <c r="AX113">
        <v>3.2652092121212013E-8</v>
      </c>
      <c r="AY113">
        <v>2.0204275795421608E-3</v>
      </c>
      <c r="AZ113">
        <v>6.2295567494217016E-3</v>
      </c>
      <c r="BA113">
        <v>7.612686060606064E-3</v>
      </c>
      <c r="BB113">
        <v>8.3693127272727302E-3</v>
      </c>
      <c r="BC113">
        <v>9.0958581818181838E-3</v>
      </c>
      <c r="BD113">
        <v>9.856944242424245E-3</v>
      </c>
      <c r="BE113">
        <v>1.0649913939393943E-2</v>
      </c>
      <c r="BF113">
        <v>1.1524400000000004E-2</v>
      </c>
      <c r="BG113">
        <v>1.2482695915279883E-2</v>
      </c>
      <c r="BH113">
        <v>1.369495007564297E-2</v>
      </c>
      <c r="BI113">
        <v>1.4907204236006055E-2</v>
      </c>
      <c r="BJ113">
        <v>1.6119458396369142E-2</v>
      </c>
      <c r="BK113">
        <v>1.7331712556732229E-2</v>
      </c>
      <c r="BL113">
        <v>1.8543966717095316E-2</v>
      </c>
      <c r="BM113">
        <v>1.9756220877458399E-2</v>
      </c>
      <c r="BN113">
        <v>2.1505570347957643E-2</v>
      </c>
      <c r="BO113">
        <v>2.3598308623298037E-2</v>
      </c>
      <c r="BP113">
        <v>2.569104689863843E-2</v>
      </c>
      <c r="BQ113">
        <v>2.7783785173978823E-2</v>
      </c>
      <c r="BR113">
        <v>2.9876523449319216E-2</v>
      </c>
      <c r="BS113">
        <v>3.1969261724659609E-2</v>
      </c>
      <c r="BT113">
        <v>3.4062000000000002E-2</v>
      </c>
    </row>
    <row r="114" spans="1:72" ht="21.75" thickBot="1" x14ac:dyDescent="0.4">
      <c r="A114" s="18" t="s">
        <v>28</v>
      </c>
      <c r="B114" s="38">
        <v>-18.71</v>
      </c>
      <c r="C114" s="38">
        <v>-18.71</v>
      </c>
      <c r="D114" s="38">
        <v>-18.71</v>
      </c>
      <c r="E114" s="38">
        <v>-18.718848484848486</v>
      </c>
      <c r="F114">
        <v>-18.730484848484849</v>
      </c>
      <c r="G114">
        <v>-18.736545454545453</v>
      </c>
      <c r="H114">
        <v>-18.745180722891565</v>
      </c>
      <c r="I114">
        <v>-18.757228915662651</v>
      </c>
      <c r="J114">
        <v>-18.774000000000001</v>
      </c>
      <c r="K114">
        <v>-18.791454545454545</v>
      </c>
      <c r="L114">
        <v>-18.803575757575757</v>
      </c>
      <c r="M114">
        <v>-18.818532526475035</v>
      </c>
      <c r="N114">
        <v>-18.836686838124052</v>
      </c>
      <c r="O114">
        <v>-18.854841149773069</v>
      </c>
      <c r="P114">
        <v>-18.872995461422086</v>
      </c>
      <c r="Q114">
        <v>-18.891149773071103</v>
      </c>
      <c r="R114">
        <v>-18.909304084720119</v>
      </c>
      <c r="S114">
        <v>-18.927458396369136</v>
      </c>
      <c r="T114">
        <v>-18.950848484848485</v>
      </c>
      <c r="U114">
        <v>-18.973818181818181</v>
      </c>
      <c r="V114">
        <v>-18.992000000000001</v>
      </c>
      <c r="W114">
        <v>-19.01018181818182</v>
      </c>
      <c r="X114">
        <v>-19.028363636363636</v>
      </c>
      <c r="Y114">
        <v>-19.051927710843373</v>
      </c>
      <c r="Z114">
        <v>-19.074924242424242</v>
      </c>
      <c r="AA114">
        <v>-19.094621212121211</v>
      </c>
      <c r="AB114">
        <v>-19.114318181818181</v>
      </c>
      <c r="AC114">
        <v>-19.13401515151515</v>
      </c>
      <c r="AD114">
        <v>-19.15371212121212</v>
      </c>
      <c r="AE114">
        <v>-19.17340909090909</v>
      </c>
      <c r="AF114">
        <v>-19.193106060606059</v>
      </c>
      <c r="AG114">
        <v>-19.21376701966717</v>
      </c>
      <c r="AH114">
        <v>-19.234947049924358</v>
      </c>
      <c r="AI114">
        <v>-19.256127080181543</v>
      </c>
      <c r="AJ114">
        <v>-19.277307110438727</v>
      </c>
      <c r="AK114">
        <v>-19.298487140695915</v>
      </c>
      <c r="AL114">
        <v>-19.3196671709531</v>
      </c>
      <c r="AM114">
        <v>-19.340847201210288</v>
      </c>
      <c r="AN114">
        <v>-19.362027231467472</v>
      </c>
      <c r="AO114">
        <v>-19.38320726172466</v>
      </c>
      <c r="AP114">
        <v>-19.404387291981845</v>
      </c>
      <c r="AQ114">
        <v>-19.425567322239033</v>
      </c>
      <c r="AR114">
        <v>-19.446747352496217</v>
      </c>
      <c r="AS114">
        <v>-19.467927382753405</v>
      </c>
      <c r="AT114">
        <v>-19.487818181818181</v>
      </c>
      <c r="AU114">
        <v>-19.506</v>
      </c>
      <c r="AV114">
        <v>-19.500545454545456</v>
      </c>
      <c r="AW114">
        <v>-19.490787878787877</v>
      </c>
      <c r="AX114">
        <v>-19.496848484848485</v>
      </c>
      <c r="AY114">
        <v>-19.505783132530119</v>
      </c>
      <c r="AZ114">
        <v>-19.517831325301206</v>
      </c>
      <c r="BA114">
        <v>-19.534909090909093</v>
      </c>
      <c r="BB114">
        <v>-19.553090909090908</v>
      </c>
      <c r="BC114">
        <v>-19.571272727272728</v>
      </c>
      <c r="BD114">
        <v>-19.589454545454544</v>
      </c>
      <c r="BE114">
        <v>-19.607636363636363</v>
      </c>
      <c r="BF114">
        <v>-19.625818181818182</v>
      </c>
      <c r="BG114">
        <v>-19.643993948562784</v>
      </c>
      <c r="BH114">
        <v>-19.662148260211801</v>
      </c>
      <c r="BI114">
        <v>-19.680302571860818</v>
      </c>
      <c r="BJ114">
        <v>-19.698456883509834</v>
      </c>
      <c r="BK114">
        <v>-19.716611195158851</v>
      </c>
      <c r="BL114">
        <v>-19.734765506807868</v>
      </c>
      <c r="BM114">
        <v>-19.752919818456885</v>
      </c>
      <c r="BN114">
        <v>-19.771074130105902</v>
      </c>
      <c r="BO114">
        <v>-19.789228441754918</v>
      </c>
      <c r="BP114">
        <v>-19.807382753403935</v>
      </c>
      <c r="BQ114">
        <v>-19.825537065052949</v>
      </c>
      <c r="BR114">
        <v>-19.843691376701965</v>
      </c>
      <c r="BS114">
        <v>-19.861845688350982</v>
      </c>
      <c r="BT114">
        <v>-19.88</v>
      </c>
    </row>
    <row r="115" spans="1:72" ht="21.75" thickBot="1" x14ac:dyDescent="0.4">
      <c r="A115" s="18" t="s">
        <v>5</v>
      </c>
      <c r="B115" s="38">
        <v>-61.344848484848484</v>
      </c>
      <c r="C115" s="38">
        <v>-59.539757575757577</v>
      </c>
      <c r="D115" s="38">
        <v>-57.854909090909089</v>
      </c>
      <c r="E115" s="38">
        <v>-56.298363636363632</v>
      </c>
      <c r="F115">
        <v>-54.74612121212121</v>
      </c>
      <c r="G115">
        <v>-52.697636363636363</v>
      </c>
      <c r="H115">
        <v>-50.659638554216869</v>
      </c>
      <c r="I115">
        <v>-48.635542168674704</v>
      </c>
      <c r="J115">
        <v>-46.718666666666671</v>
      </c>
      <c r="K115">
        <v>-44.851272727272729</v>
      </c>
      <c r="L115">
        <v>-43.111878787878787</v>
      </c>
      <c r="M115">
        <v>-41.503131618759454</v>
      </c>
      <c r="N115">
        <v>-40.041709531013616</v>
      </c>
      <c r="O115">
        <v>-38.580287443267778</v>
      </c>
      <c r="P115">
        <v>-37.118865355521933</v>
      </c>
      <c r="Q115">
        <v>-35.657443267776095</v>
      </c>
      <c r="R115">
        <v>-34.196021180030257</v>
      </c>
      <c r="S115">
        <v>-32.734599092284412</v>
      </c>
      <c r="T115">
        <v>-31.461515151515151</v>
      </c>
      <c r="U115">
        <v>-30.234363636363636</v>
      </c>
      <c r="V115">
        <v>-29.064666666666664</v>
      </c>
      <c r="W115">
        <v>-27.935696969696966</v>
      </c>
      <c r="X115">
        <v>-26.838727272727269</v>
      </c>
      <c r="Y115">
        <v>-25.797108433734937</v>
      </c>
      <c r="Z115">
        <v>-24.790454545454544</v>
      </c>
      <c r="AA115">
        <v>-23.872272727272726</v>
      </c>
      <c r="AB115">
        <v>-22.954090909090908</v>
      </c>
      <c r="AC115">
        <v>-22.03590909090909</v>
      </c>
      <c r="AD115">
        <v>-21.117727272727272</v>
      </c>
      <c r="AE115">
        <v>-20.199545454545454</v>
      </c>
      <c r="AF115">
        <v>-19.281363636363636</v>
      </c>
      <c r="AG115">
        <v>-18.467337367624811</v>
      </c>
      <c r="AH115">
        <v>-17.709394856278369</v>
      </c>
      <c r="AI115">
        <v>-16.951452344931923</v>
      </c>
      <c r="AJ115">
        <v>-16.193509833585477</v>
      </c>
      <c r="AK115">
        <v>-15.435567322239033</v>
      </c>
      <c r="AL115">
        <v>-14.677624810892588</v>
      </c>
      <c r="AM115">
        <v>-13.924317700453859</v>
      </c>
      <c r="AN115">
        <v>-13.282260211800303</v>
      </c>
      <c r="AO115">
        <v>-12.640202723146748</v>
      </c>
      <c r="AP115">
        <v>-11.998145234493194</v>
      </c>
      <c r="AQ115">
        <v>-11.356087745839638</v>
      </c>
      <c r="AR115">
        <v>-10.714030257186083</v>
      </c>
      <c r="AS115">
        <v>-10.071972768532529</v>
      </c>
      <c r="AT115">
        <v>-9.4547757575757601</v>
      </c>
      <c r="AU115">
        <v>-8.870533333333336</v>
      </c>
      <c r="AV115">
        <v>-8.5122545454545477</v>
      </c>
      <c r="AW115">
        <v>-8.2237757575757584</v>
      </c>
      <c r="AX115">
        <v>-7.9758969696969713</v>
      </c>
      <c r="AY115">
        <v>-7.7856987951807231</v>
      </c>
      <c r="AZ115">
        <v>-7.657987951807228</v>
      </c>
      <c r="BA115">
        <v>-7.6747575757575754</v>
      </c>
      <c r="BB115">
        <v>-7.7233454545454547</v>
      </c>
      <c r="BC115">
        <v>-7.7724363636363636</v>
      </c>
      <c r="BD115">
        <v>-7.8221575757575756</v>
      </c>
      <c r="BE115">
        <v>-7.8724606060606055</v>
      </c>
      <c r="BF115">
        <v>-7.9232909090909089</v>
      </c>
      <c r="BG115">
        <v>-7.9748487140695916</v>
      </c>
      <c r="BH115">
        <v>-8.0287065052950073</v>
      </c>
      <c r="BI115">
        <v>-8.0825642965204239</v>
      </c>
      <c r="BJ115">
        <v>-8.1364220877458404</v>
      </c>
      <c r="BK115">
        <v>-8.190279878971257</v>
      </c>
      <c r="BL115">
        <v>-8.2441376701966718</v>
      </c>
      <c r="BM115">
        <v>-8.2979954614220883</v>
      </c>
      <c r="BN115">
        <v>-8.3564674735249636</v>
      </c>
      <c r="BO115">
        <v>-8.4178895612708029</v>
      </c>
      <c r="BP115">
        <v>-8.4793116490166422</v>
      </c>
      <c r="BQ115">
        <v>-8.5407337367624816</v>
      </c>
      <c r="BR115">
        <v>-8.6021558245083209</v>
      </c>
      <c r="BS115">
        <v>-8.6635779122541603</v>
      </c>
      <c r="BT115">
        <v>-8.7249999999999996</v>
      </c>
    </row>
    <row r="116" spans="1:72" ht="21.75" thickBot="1" x14ac:dyDescent="0.4">
      <c r="A116" s="18" t="s">
        <v>6</v>
      </c>
      <c r="B116" s="38">
        <v>-15.300424242424242</v>
      </c>
      <c r="C116" s="38">
        <v>-14.974848484848485</v>
      </c>
      <c r="D116" s="38">
        <v>-14.671818181818182</v>
      </c>
      <c r="E116" s="38">
        <v>-14.399757575757576</v>
      </c>
      <c r="F116">
        <v>-14.105212121212121</v>
      </c>
      <c r="G116">
        <v>-13.420363636363636</v>
      </c>
      <c r="H116">
        <v>-12.711385542168674</v>
      </c>
      <c r="I116">
        <v>-11.970421686746988</v>
      </c>
      <c r="J116">
        <v>-11.272666666666668</v>
      </c>
      <c r="K116">
        <v>-10.593272727272728</v>
      </c>
      <c r="L116">
        <v>-9.9538787878787893</v>
      </c>
      <c r="M116">
        <v>-9.3608018154311647</v>
      </c>
      <c r="N116">
        <v>-8.8199546142208778</v>
      </c>
      <c r="O116">
        <v>-8.2791074130105908</v>
      </c>
      <c r="P116">
        <v>-7.7382602118003021</v>
      </c>
      <c r="Q116">
        <v>-7.1974130105900151</v>
      </c>
      <c r="R116">
        <v>-6.6565658093797264</v>
      </c>
      <c r="S116">
        <v>-6.1157186081694395</v>
      </c>
      <c r="T116">
        <v>-5.6417939393939385</v>
      </c>
      <c r="U116">
        <v>-5.1839818181818167</v>
      </c>
      <c r="V116">
        <v>-4.7457999999999991</v>
      </c>
      <c r="W116">
        <v>-4.4043454545454539</v>
      </c>
      <c r="X116">
        <v>-4.1388909090909083</v>
      </c>
      <c r="Y116">
        <v>-4.1369277108433735</v>
      </c>
      <c r="Z116">
        <v>-4.1611363636363636</v>
      </c>
      <c r="AA116">
        <v>-4.1856818181818181</v>
      </c>
      <c r="AB116">
        <v>-4.2102272727272734</v>
      </c>
      <c r="AC116">
        <v>-4.2347727272727278</v>
      </c>
      <c r="AD116">
        <v>-4.2593181818181822</v>
      </c>
      <c r="AE116">
        <v>-4.2838636363636367</v>
      </c>
      <c r="AF116">
        <v>-4.3084090909090911</v>
      </c>
      <c r="AG116">
        <v>-4.3331270801815434</v>
      </c>
      <c r="AH116">
        <v>-4.357937972768533</v>
      </c>
      <c r="AI116">
        <v>-4.3827488653555218</v>
      </c>
      <c r="AJ116">
        <v>-4.4075597579425114</v>
      </c>
      <c r="AK116">
        <v>-4.4323706505295011</v>
      </c>
      <c r="AL116">
        <v>-4.4571815431164898</v>
      </c>
      <c r="AM116">
        <v>-4.4819803328290471</v>
      </c>
      <c r="AN116">
        <v>-4.5064886535552189</v>
      </c>
      <c r="AO116">
        <v>-4.5309969742813916</v>
      </c>
      <c r="AP116">
        <v>-4.5555052950075643</v>
      </c>
      <c r="AQ116">
        <v>-4.5800136157337361</v>
      </c>
      <c r="AR116">
        <v>-4.6045219364599088</v>
      </c>
      <c r="AS116">
        <v>-4.6290302571860815</v>
      </c>
      <c r="AT116">
        <v>-4.6534242424242418</v>
      </c>
      <c r="AU116">
        <v>-4.6776666666666662</v>
      </c>
      <c r="AV116">
        <v>-4.7014363636363639</v>
      </c>
      <c r="AW116">
        <v>-4.7251515151515155</v>
      </c>
      <c r="AX116">
        <v>-4.7493939393939391</v>
      </c>
      <c r="AY116">
        <v>-4.7732771084337342</v>
      </c>
      <c r="AZ116">
        <v>-4.7967710843373492</v>
      </c>
      <c r="BA116">
        <v>-4.8203818181818185</v>
      </c>
      <c r="BB116">
        <v>-4.8439151515151515</v>
      </c>
      <c r="BC116">
        <v>-4.8669454545454549</v>
      </c>
      <c r="BD116">
        <v>-4.8902909090909095</v>
      </c>
      <c r="BE116">
        <v>-4.9139272727272729</v>
      </c>
      <c r="BF116">
        <v>-4.9370363636363637</v>
      </c>
      <c r="BG116">
        <v>-4.9599591527987901</v>
      </c>
      <c r="BH116">
        <v>-4.9825007564296522</v>
      </c>
      <c r="BI116">
        <v>-5.0050423600605143</v>
      </c>
      <c r="BJ116">
        <v>-5.0275839636913773</v>
      </c>
      <c r="BK116">
        <v>-5.0501255673222394</v>
      </c>
      <c r="BL116">
        <v>-5.0726671709531015</v>
      </c>
      <c r="BM116">
        <v>-5.0952087745839636</v>
      </c>
      <c r="BN116">
        <v>-5.1173812405446295</v>
      </c>
      <c r="BO116">
        <v>-5.1393177004538577</v>
      </c>
      <c r="BP116">
        <v>-5.1612541603630859</v>
      </c>
      <c r="BQ116">
        <v>-5.1831906202723141</v>
      </c>
      <c r="BR116">
        <v>-5.2051270801815432</v>
      </c>
      <c r="BS116">
        <v>-5.2270635400907715</v>
      </c>
      <c r="BT116">
        <v>-5.2489999999999997</v>
      </c>
    </row>
    <row r="117" spans="1:72" ht="21.75" thickBot="1" x14ac:dyDescent="0.4">
      <c r="A117" s="18" t="s">
        <v>7</v>
      </c>
      <c r="B117" s="38">
        <v>-21.792000000000002</v>
      </c>
      <c r="C117" s="38">
        <v>-21.217333333333332</v>
      </c>
      <c r="D117" s="38">
        <v>-20.683999999999997</v>
      </c>
      <c r="E117" s="38">
        <v>-20.194909090909089</v>
      </c>
      <c r="F117">
        <v>-19.761454545454548</v>
      </c>
      <c r="G117">
        <v>-19.779636363636364</v>
      </c>
      <c r="H117">
        <v>-19.852168674698795</v>
      </c>
      <c r="I117">
        <v>-19.996746987951809</v>
      </c>
      <c r="J117">
        <v>-20.146666666666668</v>
      </c>
      <c r="K117">
        <v>-20.297454545454546</v>
      </c>
      <c r="L117">
        <v>-20.44290909090909</v>
      </c>
      <c r="M117">
        <v>-20.591104387291981</v>
      </c>
      <c r="N117">
        <v>-20.742390317700455</v>
      </c>
      <c r="O117">
        <v>-20.893676248108925</v>
      </c>
      <c r="P117">
        <v>-21.044962178517398</v>
      </c>
      <c r="Q117">
        <v>-21.196248108925868</v>
      </c>
      <c r="R117">
        <v>-21.347534039334342</v>
      </c>
      <c r="S117">
        <v>-21.498819969742815</v>
      </c>
      <c r="T117">
        <v>-21.650303030303029</v>
      </c>
      <c r="U117">
        <v>-21.801818181818181</v>
      </c>
      <c r="V117">
        <v>-21.953333333333333</v>
      </c>
      <c r="W117">
        <v>-22.104848484848485</v>
      </c>
      <c r="X117">
        <v>-22.256363636363638</v>
      </c>
      <c r="Y117">
        <v>-22.401566265060243</v>
      </c>
      <c r="Z117">
        <v>-22.546742424242424</v>
      </c>
      <c r="AA117">
        <v>-22.693712121212123</v>
      </c>
      <c r="AB117">
        <v>-22.840681818181821</v>
      </c>
      <c r="AC117">
        <v>-22.987651515151516</v>
      </c>
      <c r="AD117">
        <v>-23.134621212121214</v>
      </c>
      <c r="AE117">
        <v>-23.281590909090909</v>
      </c>
      <c r="AF117">
        <v>-23.428560606060607</v>
      </c>
      <c r="AG117">
        <v>-23.57145234493192</v>
      </c>
      <c r="AH117">
        <v>-23.712148260211801</v>
      </c>
      <c r="AI117">
        <v>-23.852844175491679</v>
      </c>
      <c r="AJ117">
        <v>-23.993540090771557</v>
      </c>
      <c r="AK117">
        <v>-24.134236006051438</v>
      </c>
      <c r="AL117">
        <v>-24.274931921331316</v>
      </c>
      <c r="AM117">
        <v>-24.415446293494703</v>
      </c>
      <c r="AN117">
        <v>-24.551603630862328</v>
      </c>
      <c r="AO117">
        <v>-24.687760968229952</v>
      </c>
      <c r="AP117">
        <v>-24.82391830559758</v>
      </c>
      <c r="AQ117">
        <v>-24.960075642965204</v>
      </c>
      <c r="AR117">
        <v>-25.096232980332829</v>
      </c>
      <c r="AS117">
        <v>-25.232390317700453</v>
      </c>
      <c r="AT117">
        <v>-25.367333333333331</v>
      </c>
      <c r="AU117">
        <v>-25.500666666666667</v>
      </c>
      <c r="AV117">
        <v>-25.634</v>
      </c>
      <c r="AW117">
        <v>-25.766545454545454</v>
      </c>
      <c r="AX117">
        <v>-25.893818181818183</v>
      </c>
      <c r="AY117">
        <v>-26.023614457831325</v>
      </c>
      <c r="AZ117">
        <v>-26.156144578313253</v>
      </c>
      <c r="BA117">
        <v>-26.284363636363636</v>
      </c>
      <c r="BB117">
        <v>-26.411636363636365</v>
      </c>
      <c r="BC117">
        <v>-26.538909090909094</v>
      </c>
      <c r="BD117">
        <v>-26.666181818181819</v>
      </c>
      <c r="BE117">
        <v>-26.793454545454544</v>
      </c>
      <c r="BF117">
        <v>-26.920727272727273</v>
      </c>
      <c r="BG117">
        <v>-27.046959152798788</v>
      </c>
      <c r="BH117">
        <v>-27.169500756429652</v>
      </c>
      <c r="BI117">
        <v>-27.292042360060513</v>
      </c>
      <c r="BJ117">
        <v>-27.414583963691378</v>
      </c>
      <c r="BK117">
        <v>-27.537125567322239</v>
      </c>
      <c r="BL117">
        <v>-27.659667170953099</v>
      </c>
      <c r="BM117">
        <v>-27.782208774583964</v>
      </c>
      <c r="BN117">
        <v>-27.902904689863842</v>
      </c>
      <c r="BO117">
        <v>-28.022420574886535</v>
      </c>
      <c r="BP117">
        <v>-28.141936459909228</v>
      </c>
      <c r="BQ117">
        <v>-28.261452344931921</v>
      </c>
      <c r="BR117">
        <v>-28.380968229954615</v>
      </c>
      <c r="BS117">
        <v>-28.500484114977308</v>
      </c>
      <c r="BT117">
        <v>-28.62</v>
      </c>
    </row>
    <row r="118" spans="1:72" ht="21.75" thickBot="1" x14ac:dyDescent="0.4">
      <c r="A118" s="18"/>
    </row>
    <row r="119" spans="1:72" ht="21.75" thickBot="1" x14ac:dyDescent="0.4">
      <c r="A119" s="18"/>
    </row>
    <row r="120" spans="1:72" ht="21.75" thickBot="1" x14ac:dyDescent="0.4">
      <c r="A120" s="18"/>
    </row>
    <row r="121" spans="1:72" ht="21.75" thickBot="1" x14ac:dyDescent="0.4">
      <c r="A121" s="18"/>
    </row>
    <row r="122" spans="1:72" ht="21.75" thickBot="1" x14ac:dyDescent="0.4">
      <c r="A122" s="18"/>
    </row>
    <row r="123" spans="1:72" ht="21.75" thickBot="1" x14ac:dyDescent="0.4">
      <c r="A123" s="18"/>
    </row>
    <row r="124" spans="1:72" ht="21.75" thickBot="1" x14ac:dyDescent="0.4">
      <c r="A124" s="18"/>
    </row>
    <row r="125" spans="1:72" ht="21.75" thickBot="1" x14ac:dyDescent="0.4">
      <c r="A125" s="18"/>
    </row>
    <row r="126" spans="1:72" ht="21.75" thickBot="1" x14ac:dyDescent="0.4">
      <c r="A126" s="18"/>
    </row>
    <row r="127" spans="1:72" ht="21.75" thickBot="1" x14ac:dyDescent="0.4">
      <c r="A127" s="18"/>
    </row>
    <row r="128" spans="1:72" ht="21.75" thickBot="1" x14ac:dyDescent="0.4">
      <c r="A128" s="18"/>
    </row>
    <row r="129" spans="1:72" ht="21.75" thickBot="1" x14ac:dyDescent="0.4">
      <c r="A129" s="18"/>
    </row>
    <row r="130" spans="1:72" ht="21.75" thickBot="1" x14ac:dyDescent="0.4">
      <c r="A130" s="18"/>
    </row>
    <row r="131" spans="1:72" ht="21.75" thickBot="1" x14ac:dyDescent="0.4"/>
    <row r="132" spans="1:72" ht="21.75" thickBot="1" x14ac:dyDescent="0.4">
      <c r="A132" s="18" t="s">
        <v>31</v>
      </c>
      <c r="B132" s="38">
        <v>300</v>
      </c>
      <c r="C132" s="38">
        <v>310</v>
      </c>
      <c r="D132" s="38">
        <v>320</v>
      </c>
      <c r="E132" s="38">
        <v>330</v>
      </c>
      <c r="F132">
        <v>340</v>
      </c>
      <c r="G132">
        <v>350</v>
      </c>
      <c r="H132">
        <v>360</v>
      </c>
      <c r="I132">
        <v>370</v>
      </c>
      <c r="J132">
        <v>380</v>
      </c>
      <c r="K132">
        <v>390</v>
      </c>
      <c r="L132">
        <v>400</v>
      </c>
      <c r="M132">
        <v>410</v>
      </c>
      <c r="N132">
        <v>420</v>
      </c>
      <c r="O132">
        <v>430</v>
      </c>
      <c r="P132">
        <v>440</v>
      </c>
      <c r="Q132">
        <v>450</v>
      </c>
      <c r="R132">
        <v>460</v>
      </c>
      <c r="S132">
        <v>470</v>
      </c>
      <c r="T132">
        <v>480</v>
      </c>
      <c r="U132">
        <v>490</v>
      </c>
      <c r="V132">
        <v>500</v>
      </c>
      <c r="W132">
        <v>510</v>
      </c>
      <c r="X132">
        <v>520</v>
      </c>
      <c r="Y132">
        <v>530</v>
      </c>
      <c r="Z132">
        <v>540</v>
      </c>
      <c r="AA132">
        <v>550</v>
      </c>
      <c r="AB132">
        <v>560</v>
      </c>
      <c r="AC132">
        <v>570</v>
      </c>
      <c r="AD132">
        <v>580</v>
      </c>
      <c r="AE132">
        <v>590</v>
      </c>
      <c r="AF132">
        <v>600</v>
      </c>
      <c r="AG132">
        <v>610</v>
      </c>
      <c r="AH132">
        <v>620</v>
      </c>
      <c r="AI132">
        <v>630</v>
      </c>
      <c r="AJ132">
        <v>640</v>
      </c>
      <c r="AK132">
        <v>650</v>
      </c>
      <c r="AL132">
        <v>660</v>
      </c>
      <c r="AM132">
        <v>670</v>
      </c>
      <c r="AN132">
        <v>680</v>
      </c>
      <c r="AO132">
        <v>690</v>
      </c>
      <c r="AP132">
        <v>700</v>
      </c>
      <c r="AQ132">
        <v>710</v>
      </c>
      <c r="AR132">
        <v>720</v>
      </c>
      <c r="AS132">
        <v>730</v>
      </c>
      <c r="AT132">
        <v>740</v>
      </c>
      <c r="AU132">
        <v>750</v>
      </c>
      <c r="AV132">
        <v>760</v>
      </c>
      <c r="AW132">
        <v>770</v>
      </c>
      <c r="AX132">
        <v>780</v>
      </c>
      <c r="AY132">
        <v>790</v>
      </c>
      <c r="AZ132">
        <v>800</v>
      </c>
      <c r="BA132">
        <v>810</v>
      </c>
      <c r="BB132">
        <v>820</v>
      </c>
      <c r="BC132">
        <v>830</v>
      </c>
      <c r="BD132">
        <v>840</v>
      </c>
      <c r="BE132">
        <v>850</v>
      </c>
      <c r="BF132">
        <v>860</v>
      </c>
      <c r="BG132">
        <v>870</v>
      </c>
      <c r="BH132">
        <v>880</v>
      </c>
      <c r="BI132">
        <v>890</v>
      </c>
      <c r="BJ132">
        <v>900</v>
      </c>
      <c r="BK132">
        <v>910</v>
      </c>
      <c r="BL132">
        <v>920</v>
      </c>
      <c r="BM132">
        <v>930</v>
      </c>
      <c r="BN132">
        <v>940</v>
      </c>
      <c r="BO132">
        <v>950</v>
      </c>
      <c r="BP132">
        <v>960</v>
      </c>
      <c r="BQ132">
        <v>970</v>
      </c>
      <c r="BR132">
        <v>980</v>
      </c>
      <c r="BS132">
        <v>990</v>
      </c>
      <c r="BT132">
        <v>1000</v>
      </c>
    </row>
    <row r="133" spans="1:72" ht="21.75" thickBot="1" x14ac:dyDescent="0.4">
      <c r="A133" s="18" t="s">
        <v>41</v>
      </c>
      <c r="B133" s="38">
        <v>7.4404533333333352E-9</v>
      </c>
      <c r="C133" s="38">
        <v>1.0146620606060611E-8</v>
      </c>
      <c r="D133" s="38">
        <v>1.4139832727272733E-8</v>
      </c>
      <c r="E133" s="38">
        <v>1.835036363636364E-8</v>
      </c>
      <c r="F133">
        <v>2.2475863842662633E-8</v>
      </c>
      <c r="G133">
        <v>2.4699161875945537E-8</v>
      </c>
      <c r="H133">
        <v>2.6922459909228444E-8</v>
      </c>
      <c r="I133">
        <v>2.9145757942511348E-8</v>
      </c>
      <c r="J133">
        <v>3.1369055975794253E-8</v>
      </c>
      <c r="K133">
        <v>3.3592354009077157E-8</v>
      </c>
      <c r="L133">
        <v>3.5815652042360061E-8</v>
      </c>
      <c r="M133">
        <v>3.3007830303030311E-8</v>
      </c>
      <c r="N133">
        <v>2.4526618181818192E-8</v>
      </c>
      <c r="O133">
        <v>1.7172533333333343E-8</v>
      </c>
      <c r="P133">
        <v>1.0498185542168679E-8</v>
      </c>
      <c r="Q133">
        <v>5.934571084337343E-9</v>
      </c>
      <c r="R133">
        <v>2.5567329163636312E-9</v>
      </c>
      <c r="S133">
        <v>3.1817000727272244E-10</v>
      </c>
      <c r="T133">
        <v>2.28439643814666E-12</v>
      </c>
      <c r="U133">
        <v>6.2135564323903544E-18</v>
      </c>
      <c r="V133">
        <v>1.8985870628206572E-18</v>
      </c>
      <c r="W133">
        <v>3.5686600476339317E-25</v>
      </c>
      <c r="X133">
        <v>2.9466013269453742E-26</v>
      </c>
      <c r="Y133">
        <v>6.341114457831318E-33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</row>
    <row r="134" spans="1:72" ht="21.75" thickBot="1" x14ac:dyDescent="0.4">
      <c r="A134" s="18" t="s">
        <v>53</v>
      </c>
      <c r="B134" s="38">
        <v>0</v>
      </c>
      <c r="C134" s="38">
        <v>0</v>
      </c>
      <c r="D134" s="38">
        <v>0</v>
      </c>
      <c r="E134" s="38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3.9961376701966346E-29</v>
      </c>
      <c r="AU134">
        <v>1.3289481089258674E-28</v>
      </c>
      <c r="AV134">
        <v>2.2582824508320712E-28</v>
      </c>
      <c r="AW134">
        <v>3.1876167927382754E-28</v>
      </c>
      <c r="AX134">
        <v>4.1169511346444796E-28</v>
      </c>
      <c r="AY134">
        <v>5.0462854765506829E-28</v>
      </c>
      <c r="AZ134">
        <v>5.9756198184568871E-28</v>
      </c>
      <c r="BA134">
        <v>8.9758005976182309E-23</v>
      </c>
      <c r="BB134">
        <v>2.2443680623030907E-18</v>
      </c>
      <c r="BC134">
        <v>1.5445470722909153E-17</v>
      </c>
      <c r="BD134">
        <v>3.2950582646060885E-13</v>
      </c>
      <c r="BE134">
        <v>9.6312898888485118E-13</v>
      </c>
      <c r="BF134">
        <v>3.0569023636363797E-10</v>
      </c>
      <c r="BG134">
        <v>2.5547651084337829E-8</v>
      </c>
      <c r="BH134">
        <v>1.3904233783132561E-7</v>
      </c>
      <c r="BI134">
        <v>2.4150037575757666E-6</v>
      </c>
      <c r="BJ134">
        <v>6.3900461818181901E-6</v>
      </c>
      <c r="BK134">
        <v>6.0763854545454527E-6</v>
      </c>
      <c r="BL134">
        <v>5.3521503030303009E-6</v>
      </c>
      <c r="BM134">
        <v>4.6665745454545439E-6</v>
      </c>
      <c r="BN134">
        <v>4.1897143721633883E-6</v>
      </c>
      <c r="BO134">
        <v>3.8462953101361572E-6</v>
      </c>
      <c r="BP134">
        <v>3.5028762481089252E-6</v>
      </c>
      <c r="BQ134">
        <v>3.1594571860816941E-6</v>
      </c>
      <c r="BR134">
        <v>2.8160381240544626E-6</v>
      </c>
      <c r="BS134">
        <v>2.472619062027231E-6</v>
      </c>
      <c r="BT134">
        <v>2.1291999999999999E-6</v>
      </c>
    </row>
    <row r="135" spans="1:72" ht="21.75" thickBot="1" x14ac:dyDescent="0.4">
      <c r="A135" s="18" t="s">
        <v>42</v>
      </c>
      <c r="B135" s="38">
        <v>3.6649896969697013E-31</v>
      </c>
      <c r="C135" s="38">
        <v>1.4456857310890953E-25</v>
      </c>
      <c r="D135" s="38">
        <v>5.2501064152709138E-25</v>
      </c>
      <c r="E135" s="38">
        <v>3.828169161212127E-22</v>
      </c>
      <c r="F135">
        <v>2.4304463757942844E-19</v>
      </c>
      <c r="G135">
        <v>3.2702966073222409E-18</v>
      </c>
      <c r="H135">
        <v>6.2975485770650537E-18</v>
      </c>
      <c r="I135">
        <v>9.3248005468078665E-18</v>
      </c>
      <c r="J135">
        <v>1.2352052516550678E-17</v>
      </c>
      <c r="K135">
        <v>1.5379304486293494E-17</v>
      </c>
      <c r="L135">
        <v>1.8406556456036306E-17</v>
      </c>
      <c r="M135">
        <v>2.3539889696969643E-16</v>
      </c>
      <c r="N135">
        <v>6.9367101818181761E-16</v>
      </c>
      <c r="O135">
        <v>1.771178259393937E-13</v>
      </c>
      <c r="P135">
        <v>4.5542264397590152E-11</v>
      </c>
      <c r="Q135">
        <v>3.1134611379518107E-10</v>
      </c>
      <c r="R135">
        <v>1.8582185454545517E-9</v>
      </c>
      <c r="S135">
        <v>4.635921575757582E-9</v>
      </c>
      <c r="T135">
        <v>5.6683927272727289E-9</v>
      </c>
      <c r="U135">
        <v>6.769378181818187E-9</v>
      </c>
      <c r="V135">
        <v>9.1968933333333392E-9</v>
      </c>
      <c r="W135">
        <v>1.4124248484848499E-8</v>
      </c>
      <c r="X135">
        <v>2.1015763636363652E-8</v>
      </c>
      <c r="Y135">
        <v>1.851075301204819E-8</v>
      </c>
      <c r="Z135">
        <v>1.7514848484848484E-8</v>
      </c>
      <c r="AA135">
        <v>2.3834242424242425E-8</v>
      </c>
      <c r="AB135">
        <v>2.4266363636363638E-8</v>
      </c>
      <c r="AC135">
        <v>2.0773636363636364E-8</v>
      </c>
      <c r="AD135">
        <v>2.2403424242424242E-8</v>
      </c>
      <c r="AE135">
        <v>2.3714636363636364E-8</v>
      </c>
      <c r="AF135">
        <v>2.3653424242424244E-8</v>
      </c>
      <c r="AG135">
        <v>2.3376307228915662E-8</v>
      </c>
      <c r="AH135">
        <v>2.298293373493976E-8</v>
      </c>
      <c r="AI135">
        <v>2.31026E-8</v>
      </c>
      <c r="AJ135">
        <v>2.3220854545454546E-8</v>
      </c>
      <c r="AK135">
        <v>2.3326309090909091E-8</v>
      </c>
      <c r="AL135">
        <v>2.3832799999999998E-8</v>
      </c>
      <c r="AM135">
        <v>2.4532659606656577E-8</v>
      </c>
      <c r="AN135">
        <v>2.55491497730711E-8</v>
      </c>
      <c r="AO135">
        <v>2.6565639939485623E-8</v>
      </c>
      <c r="AP135">
        <v>2.7582130105900149E-8</v>
      </c>
      <c r="AQ135">
        <v>2.8598620272314672E-8</v>
      </c>
      <c r="AR135">
        <v>2.9615110438729195E-8</v>
      </c>
      <c r="AS135">
        <v>3.0631600605143721E-8</v>
      </c>
      <c r="AT135">
        <v>3.1298431164901666E-8</v>
      </c>
      <c r="AU135">
        <v>3.1501759455370649E-8</v>
      </c>
      <c r="AV135">
        <v>3.1705087745839638E-8</v>
      </c>
      <c r="AW135">
        <v>3.1908416036308627E-8</v>
      </c>
      <c r="AX135">
        <v>3.2111744326777609E-8</v>
      </c>
      <c r="AY135">
        <v>3.2315072617246598E-8</v>
      </c>
      <c r="AZ135">
        <v>3.2518400907715588E-8</v>
      </c>
      <c r="BA135">
        <v>3.2346769696969693E-8</v>
      </c>
      <c r="BB135">
        <v>3.2086133333333332E-8</v>
      </c>
      <c r="BC135">
        <v>3.1792799999999995E-8</v>
      </c>
      <c r="BD135">
        <v>3.1540436363636363E-8</v>
      </c>
      <c r="BE135">
        <v>3.1325890909090906E-8</v>
      </c>
      <c r="BF135">
        <v>1.4858727818181734E-8</v>
      </c>
      <c r="BG135">
        <v>1.0415710843373464E-10</v>
      </c>
      <c r="BH135">
        <v>3.1825783132529905E-11</v>
      </c>
      <c r="BI135">
        <v>1.6792272727272733E-29</v>
      </c>
      <c r="BJ135">
        <v>1.8719545454545458E-29</v>
      </c>
      <c r="BK135">
        <v>1.0439872121212099E-29</v>
      </c>
      <c r="BL135">
        <v>6.6859157575757857E-30</v>
      </c>
      <c r="BM135">
        <v>1.8685976363636393E-29</v>
      </c>
      <c r="BN135">
        <v>3.8030620568835225E-24</v>
      </c>
      <c r="BO135">
        <v>1.0037551714069602E-23</v>
      </c>
      <c r="BP135">
        <v>1.627204137125568E-23</v>
      </c>
      <c r="BQ135">
        <v>2.2506531028441759E-23</v>
      </c>
      <c r="BR135">
        <v>2.8741020685627843E-23</v>
      </c>
      <c r="BS135">
        <v>3.4975510342813924E-23</v>
      </c>
      <c r="BT135">
        <v>4.121E-23</v>
      </c>
    </row>
    <row r="136" spans="1:72" ht="21.75" thickBot="1" x14ac:dyDescent="0.4">
      <c r="A136" s="18" t="s">
        <v>75</v>
      </c>
      <c r="B136" s="38">
        <v>9.4771149696969521E-11</v>
      </c>
      <c r="C136" s="38">
        <v>9.004712763515144E-13</v>
      </c>
      <c r="D136" s="38">
        <v>1.9144831938181755E-13</v>
      </c>
      <c r="E136" s="38">
        <v>6.7583757679514822E-18</v>
      </c>
      <c r="F136">
        <v>2.3168163388804835E-26</v>
      </c>
      <c r="G136">
        <v>1.9620205748865352E-26</v>
      </c>
      <c r="H136">
        <v>1.6072248108925867E-26</v>
      </c>
      <c r="I136">
        <v>1.2524290468986384E-26</v>
      </c>
      <c r="J136">
        <v>8.976332829046898E-27</v>
      </c>
      <c r="K136">
        <v>5.4283751891074152E-27</v>
      </c>
      <c r="L136">
        <v>1.8804175491679294E-27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</row>
    <row r="137" spans="1:72" ht="21.75" thickBot="1" x14ac:dyDescent="0.4">
      <c r="A137" s="18" t="s">
        <v>70</v>
      </c>
      <c r="B137" s="38">
        <v>8.0460921212121214E-3</v>
      </c>
      <c r="C137" s="38">
        <v>7.8658000000000009E-3</v>
      </c>
      <c r="D137" s="38">
        <v>7.6258000000000003E-3</v>
      </c>
      <c r="E137" s="38">
        <v>7.3682357575757572E-3</v>
      </c>
      <c r="F137">
        <v>7.116927231467474E-3</v>
      </c>
      <c r="G137">
        <v>7.0122676248108931E-3</v>
      </c>
      <c r="H137">
        <v>6.9076080181543114E-3</v>
      </c>
      <c r="I137">
        <v>6.8029484114977305E-3</v>
      </c>
      <c r="J137">
        <v>6.6982888048411496E-3</v>
      </c>
      <c r="K137">
        <v>6.5936291981845687E-3</v>
      </c>
      <c r="L137">
        <v>6.4889695915279879E-3</v>
      </c>
      <c r="M137">
        <v>6.4042175757575755E-3</v>
      </c>
      <c r="N137">
        <v>6.3419145454545458E-3</v>
      </c>
      <c r="O137">
        <v>6.2434321212121212E-3</v>
      </c>
      <c r="P137">
        <v>6.1273060240963862E-3</v>
      </c>
      <c r="Q137">
        <v>5.9638120481927716E-3</v>
      </c>
      <c r="R137">
        <v>5.7774963636363632E-3</v>
      </c>
      <c r="S137">
        <v>5.5692539393939391E-3</v>
      </c>
      <c r="T137">
        <v>5.3578321212121209E-3</v>
      </c>
      <c r="U137">
        <v>5.1537709090909087E-3</v>
      </c>
      <c r="V137">
        <v>4.9793466666666663E-3</v>
      </c>
      <c r="W137">
        <v>4.8358072727272723E-3</v>
      </c>
      <c r="X137">
        <v>4.7165345454545449E-3</v>
      </c>
      <c r="Y137">
        <v>4.6411680722891566E-3</v>
      </c>
      <c r="Z137">
        <v>4.5779606060606061E-3</v>
      </c>
      <c r="AA137">
        <v>4.5382030303030303E-3</v>
      </c>
      <c r="AB137">
        <v>4.5094272727272729E-3</v>
      </c>
      <c r="AC137">
        <v>4.4879727272727279E-3</v>
      </c>
      <c r="AD137">
        <v>4.4758454545454542E-3</v>
      </c>
      <c r="AE137">
        <v>4.4656090909090907E-3</v>
      </c>
      <c r="AF137">
        <v>4.4586393939393936E-3</v>
      </c>
      <c r="AG137">
        <v>4.4519319277108432E-3</v>
      </c>
      <c r="AH137">
        <v>4.4453656626506025E-3</v>
      </c>
      <c r="AI137">
        <v>4.4310800000000004E-3</v>
      </c>
      <c r="AJ137">
        <v>4.4058981818181821E-3</v>
      </c>
      <c r="AK137">
        <v>4.3597163636363637E-3</v>
      </c>
      <c r="AL137">
        <v>4.2438654545454545E-3</v>
      </c>
      <c r="AM137">
        <v>4.0805539485627845E-3</v>
      </c>
      <c r="AN137">
        <v>3.5294026626323761E-3</v>
      </c>
      <c r="AO137">
        <v>2.9782513767019681E-3</v>
      </c>
      <c r="AP137">
        <v>2.4271000907715602E-3</v>
      </c>
      <c r="AQ137">
        <v>1.8759488048411517E-3</v>
      </c>
      <c r="AR137">
        <v>1.3247975189107433E-3</v>
      </c>
      <c r="AS137">
        <v>7.7364623298033534E-4</v>
      </c>
      <c r="AT137">
        <v>4.3007239243570376E-4</v>
      </c>
      <c r="AU137">
        <v>3.6165935158850247E-4</v>
      </c>
      <c r="AV137">
        <v>2.9324631074130112E-4</v>
      </c>
      <c r="AW137">
        <v>2.2483326989409985E-4</v>
      </c>
      <c r="AX137">
        <v>1.5642022904689852E-4</v>
      </c>
      <c r="AY137">
        <v>8.8007188199697227E-5</v>
      </c>
      <c r="AZ137">
        <v>1.959414735249593E-5</v>
      </c>
      <c r="BA137">
        <v>4.9497078787878654E-6</v>
      </c>
      <c r="BB137">
        <v>2.4197287272727226E-6</v>
      </c>
      <c r="BC137">
        <v>1.4110741818181773E-6</v>
      </c>
      <c r="BD137">
        <v>7.3986812121211958E-7</v>
      </c>
      <c r="BE137">
        <v>3.8015296969696809E-7</v>
      </c>
      <c r="BF137">
        <v>2.2133927272727215E-7</v>
      </c>
      <c r="BG137">
        <v>1.1063409638554198E-7</v>
      </c>
      <c r="BH137">
        <v>6.4061807228915534E-8</v>
      </c>
      <c r="BI137">
        <v>3.2066785454545408E-8</v>
      </c>
      <c r="BJ137">
        <v>1.1525330909090861E-8</v>
      </c>
      <c r="BK137">
        <v>5.5427181818181713E-9</v>
      </c>
      <c r="BL137">
        <v>1.9173024242424216E-9</v>
      </c>
      <c r="BM137">
        <v>9.0269636363636116E-10</v>
      </c>
      <c r="BN137">
        <v>4.6039938683812388E-10</v>
      </c>
      <c r="BO137">
        <v>3.8400493903176989E-10</v>
      </c>
      <c r="BP137">
        <v>3.0761049122541591E-10</v>
      </c>
      <c r="BQ137">
        <v>2.3121604341906198E-10</v>
      </c>
      <c r="BR137">
        <v>1.5482159561270799E-10</v>
      </c>
      <c r="BS137">
        <v>7.842714780635401E-11</v>
      </c>
      <c r="BT137">
        <v>2.0326999999999738E-12</v>
      </c>
    </row>
    <row r="138" spans="1:72" ht="21.75" thickBot="1" x14ac:dyDescent="0.4">
      <c r="A138" s="18" t="s">
        <v>71</v>
      </c>
      <c r="B138" s="38">
        <v>0</v>
      </c>
      <c r="C138" s="38">
        <v>0</v>
      </c>
      <c r="D138" s="38">
        <v>0</v>
      </c>
      <c r="E138" s="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7.6259337349397244E-36</v>
      </c>
      <c r="Q138">
        <v>5.2484367469879578E-35</v>
      </c>
      <c r="R138">
        <v>2.8624140000000119E-33</v>
      </c>
      <c r="S138">
        <v>8.3289806666666785E-33</v>
      </c>
      <c r="T138">
        <v>4.3325969515151634E-31</v>
      </c>
      <c r="U138">
        <v>8.2487672727273531E-30</v>
      </c>
      <c r="V138">
        <v>4.3610040000000088E-29</v>
      </c>
      <c r="W138">
        <v>1.2271698242424291E-27</v>
      </c>
      <c r="X138">
        <v>3.312885581818187E-27</v>
      </c>
      <c r="Y138">
        <v>9.5859789156626614E-26</v>
      </c>
      <c r="Z138">
        <v>1.2106042424242425E-24</v>
      </c>
      <c r="AA138">
        <v>5.3651012121212121E-24</v>
      </c>
      <c r="AB138">
        <v>9.1628027272727278E-23</v>
      </c>
      <c r="AC138">
        <v>2.3262990606060604E-22</v>
      </c>
      <c r="AD138">
        <v>4.0610521212121219E-21</v>
      </c>
      <c r="AE138">
        <v>3.6097381818181824E-20</v>
      </c>
      <c r="AF138">
        <v>1.3349932121212122E-19</v>
      </c>
      <c r="AG138">
        <v>1.4737415060240944E-18</v>
      </c>
      <c r="AH138">
        <v>3.4832053614457776E-18</v>
      </c>
      <c r="AI138">
        <v>3.9389719999999912E-17</v>
      </c>
      <c r="AJ138">
        <v>2.5422214545454424E-16</v>
      </c>
      <c r="AK138">
        <v>8.1571669090908979E-16</v>
      </c>
      <c r="AL138">
        <v>6.0603265454545293E-15</v>
      </c>
      <c r="AM138">
        <v>1.2735938729197531E-13</v>
      </c>
      <c r="AN138">
        <v>2.9834690695915206E-12</v>
      </c>
      <c r="AO138">
        <v>5.8395787518910659E-12</v>
      </c>
      <c r="AP138">
        <v>8.6956884341906111E-12</v>
      </c>
      <c r="AQ138">
        <v>1.1551798116490156E-11</v>
      </c>
      <c r="AR138">
        <v>1.44079077987897E-11</v>
      </c>
      <c r="AS138">
        <v>1.7264017481089245E-11</v>
      </c>
      <c r="AT138">
        <v>8.2362081694401845E-11</v>
      </c>
      <c r="AU138">
        <v>2.2996692284417509E-10</v>
      </c>
      <c r="AV138">
        <v>3.7757176399394838E-10</v>
      </c>
      <c r="AW138">
        <v>5.2517660514372171E-10</v>
      </c>
      <c r="AX138">
        <v>6.7278144629349495E-10</v>
      </c>
      <c r="AY138">
        <v>8.2038628744326829E-10</v>
      </c>
      <c r="AZ138">
        <v>9.6799112859304142E-10</v>
      </c>
      <c r="BA138">
        <v>1.618227151515155E-9</v>
      </c>
      <c r="BB138">
        <v>2.5121654545454619E-9</v>
      </c>
      <c r="BC138">
        <v>4.0572563636363712E-9</v>
      </c>
      <c r="BD138">
        <v>6.3416612121212253E-9</v>
      </c>
      <c r="BE138">
        <v>9.3085096969697099E-9</v>
      </c>
      <c r="BF138">
        <v>1.4417403636363661E-8</v>
      </c>
      <c r="BG138">
        <v>2.0655457831325342E-8</v>
      </c>
      <c r="BH138">
        <v>2.9762084337349426E-8</v>
      </c>
      <c r="BI138">
        <v>3.4118236363636363E-8</v>
      </c>
      <c r="BJ138">
        <v>3.4741872727272726E-8</v>
      </c>
      <c r="BK138">
        <v>3.492098787878788E-8</v>
      </c>
      <c r="BL138">
        <v>3.5006345454545451E-8</v>
      </c>
      <c r="BM138">
        <v>3.4949981818181816E-8</v>
      </c>
      <c r="BN138">
        <v>3.4682984871406957E-8</v>
      </c>
      <c r="BO138">
        <v>3.4281320726172467E-8</v>
      </c>
      <c r="BP138">
        <v>3.387965658093797E-8</v>
      </c>
      <c r="BQ138">
        <v>3.3477992435703479E-8</v>
      </c>
      <c r="BR138">
        <v>3.3076328290468988E-8</v>
      </c>
      <c r="BS138">
        <v>3.2674664145234491E-8</v>
      </c>
      <c r="BT138">
        <v>3.2273000000000001E-8</v>
      </c>
    </row>
    <row r="139" spans="1:72" ht="21.75" thickBot="1" x14ac:dyDescent="0.4">
      <c r="A139" s="18" t="s">
        <v>4</v>
      </c>
      <c r="B139" s="38">
        <v>0</v>
      </c>
      <c r="C139" s="38">
        <v>0</v>
      </c>
      <c r="D139" s="38">
        <v>0</v>
      </c>
      <c r="E139" s="38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6.5756121212121394E-35</v>
      </c>
      <c r="U139">
        <v>1.0148978181818279E-33</v>
      </c>
      <c r="V139">
        <v>5.2469826666666766E-33</v>
      </c>
      <c r="W139">
        <v>1.1604807212121255E-31</v>
      </c>
      <c r="X139">
        <v>3.1058195090909134E-31</v>
      </c>
      <c r="Y139">
        <v>7.0253117469879585E-30</v>
      </c>
      <c r="Z139">
        <v>7.1226060606060607E-29</v>
      </c>
      <c r="AA139">
        <v>3.0595030303030301E-28</v>
      </c>
      <c r="AB139">
        <v>4.1464436363636358E-27</v>
      </c>
      <c r="AC139">
        <v>1.039078303030303E-26</v>
      </c>
      <c r="AD139">
        <v>1.4440945454545454E-25</v>
      </c>
      <c r="AE139">
        <v>1.0577245454545453E-24</v>
      </c>
      <c r="AF139">
        <v>3.7737063636363628E-24</v>
      </c>
      <c r="AG139">
        <v>3.4017646385542127E-23</v>
      </c>
      <c r="AH139">
        <v>7.9084333132530011E-23</v>
      </c>
      <c r="AI139">
        <v>7.3345399999999845E-22</v>
      </c>
      <c r="AJ139">
        <v>4.0370630303030107E-21</v>
      </c>
      <c r="AK139">
        <v>1.2471366060606041E-20</v>
      </c>
      <c r="AL139">
        <v>7.9709309090908879E-20</v>
      </c>
      <c r="AM139">
        <v>2.3557645083206015E-18</v>
      </c>
      <c r="AN139">
        <v>5.7009377216338748E-17</v>
      </c>
      <c r="AO139">
        <v>1.116629899243569E-16</v>
      </c>
      <c r="AP139">
        <v>1.6631660263237503E-16</v>
      </c>
      <c r="AQ139">
        <v>2.2097021534039317E-16</v>
      </c>
      <c r="AR139">
        <v>2.756238280484113E-16</v>
      </c>
      <c r="AS139">
        <v>3.3027744075642944E-16</v>
      </c>
      <c r="AT139">
        <v>5.6332931013615241E-15</v>
      </c>
      <c r="AU139">
        <v>1.7893439848714034E-14</v>
      </c>
      <c r="AV139">
        <v>3.0153586596066545E-14</v>
      </c>
      <c r="AW139">
        <v>4.2413733343419055E-14</v>
      </c>
      <c r="AX139">
        <v>5.4673880090771565E-14</v>
      </c>
      <c r="AY139">
        <v>6.6934026838124088E-14</v>
      </c>
      <c r="AZ139">
        <v>7.9194173585476598E-14</v>
      </c>
      <c r="BA139">
        <v>1.737921393939399E-13</v>
      </c>
      <c r="BB139">
        <v>3.2520066666666823E-13</v>
      </c>
      <c r="BC139">
        <v>6.6573400000000153E-13</v>
      </c>
      <c r="BD139">
        <v>1.3362719393939437E-12</v>
      </c>
      <c r="BE139">
        <v>2.3114295151515195E-12</v>
      </c>
      <c r="BF139">
        <v>4.7516618181818299E-12</v>
      </c>
      <c r="BG139">
        <v>8.3201036144578603E-12</v>
      </c>
      <c r="BH139">
        <v>1.5112392771084356E-11</v>
      </c>
      <c r="BI139">
        <v>2.389377575757578E-11</v>
      </c>
      <c r="BJ139">
        <v>3.4238018181818204E-11</v>
      </c>
      <c r="BK139">
        <v>5.2330496969697012E-11</v>
      </c>
      <c r="BL139">
        <v>7.5080933333333408E-11</v>
      </c>
      <c r="BM139">
        <v>1.0890760000000008E-10</v>
      </c>
      <c r="BN139">
        <v>2.1625779122541634E-10</v>
      </c>
      <c r="BO139">
        <v>3.7061482602118023E-10</v>
      </c>
      <c r="BP139">
        <v>5.2497186081694416E-10</v>
      </c>
      <c r="BQ139">
        <v>6.793288956127081E-10</v>
      </c>
      <c r="BR139">
        <v>8.3368593040847203E-10</v>
      </c>
      <c r="BS139">
        <v>9.8804296520423597E-10</v>
      </c>
      <c r="BT139">
        <v>1.1423999999999999E-9</v>
      </c>
    </row>
    <row r="140" spans="1:72" ht="21.75" thickBot="1" x14ac:dyDescent="0.4">
      <c r="A140" s="18" t="s">
        <v>1</v>
      </c>
      <c r="B140" s="38">
        <v>0.2</v>
      </c>
      <c r="C140" s="38">
        <v>0.2</v>
      </c>
      <c r="D140" s="38">
        <v>0.2</v>
      </c>
      <c r="E140" s="38">
        <v>0.2</v>
      </c>
      <c r="F140">
        <v>0.2</v>
      </c>
      <c r="G140">
        <v>0.2</v>
      </c>
      <c r="H140">
        <v>0.2</v>
      </c>
      <c r="I140">
        <v>0.2</v>
      </c>
      <c r="J140">
        <v>0.2</v>
      </c>
      <c r="K140">
        <v>0.2</v>
      </c>
      <c r="L140">
        <v>0.2</v>
      </c>
      <c r="M140">
        <v>0.2</v>
      </c>
      <c r="N140">
        <v>0.2</v>
      </c>
      <c r="O140">
        <v>0.2</v>
      </c>
      <c r="P140">
        <v>0.2</v>
      </c>
      <c r="Q140">
        <v>0.2</v>
      </c>
      <c r="R140">
        <v>0.2</v>
      </c>
      <c r="S140">
        <v>0.2</v>
      </c>
      <c r="T140">
        <v>0.2</v>
      </c>
      <c r="U140">
        <v>0.2</v>
      </c>
      <c r="V140">
        <v>0.2</v>
      </c>
      <c r="W140">
        <v>0.2</v>
      </c>
      <c r="X140">
        <v>0.2</v>
      </c>
      <c r="Y140">
        <v>0.2</v>
      </c>
      <c r="Z140">
        <v>0.2</v>
      </c>
      <c r="AA140">
        <v>0.2</v>
      </c>
      <c r="AB140">
        <v>0.2</v>
      </c>
      <c r="AC140">
        <v>0.2</v>
      </c>
      <c r="AD140">
        <v>0.2</v>
      </c>
      <c r="AE140">
        <v>0.2</v>
      </c>
      <c r="AF140">
        <v>0.2</v>
      </c>
      <c r="AG140">
        <v>0.2</v>
      </c>
      <c r="AH140">
        <v>0.2</v>
      </c>
      <c r="AI140">
        <v>0.2</v>
      </c>
      <c r="AJ140">
        <v>0.2</v>
      </c>
      <c r="AK140">
        <v>0.2</v>
      </c>
      <c r="AL140">
        <v>0.2</v>
      </c>
      <c r="AM140">
        <v>0.2</v>
      </c>
      <c r="AN140">
        <v>0.2</v>
      </c>
      <c r="AO140">
        <v>0.2</v>
      </c>
      <c r="AP140">
        <v>0.2</v>
      </c>
      <c r="AQ140">
        <v>0.2</v>
      </c>
      <c r="AR140">
        <v>0.2</v>
      </c>
      <c r="AS140">
        <v>0.2</v>
      </c>
      <c r="AT140">
        <v>0.2</v>
      </c>
      <c r="AU140">
        <v>0.2</v>
      </c>
      <c r="AV140">
        <v>0.2</v>
      </c>
      <c r="AW140">
        <v>0.2</v>
      </c>
      <c r="AX140">
        <v>0.2</v>
      </c>
      <c r="AY140">
        <v>0.2</v>
      </c>
      <c r="AZ140">
        <v>0.2</v>
      </c>
      <c r="BA140">
        <v>0.2</v>
      </c>
      <c r="BB140">
        <v>0.2</v>
      </c>
      <c r="BC140">
        <v>0.2</v>
      </c>
      <c r="BD140">
        <v>0.2</v>
      </c>
      <c r="BE140">
        <v>0.2</v>
      </c>
      <c r="BF140">
        <v>0.2</v>
      </c>
      <c r="BG140">
        <v>0.2</v>
      </c>
      <c r="BH140">
        <v>0.2</v>
      </c>
      <c r="BI140">
        <v>0.2</v>
      </c>
      <c r="BJ140">
        <v>0.2</v>
      </c>
      <c r="BK140">
        <v>0.2</v>
      </c>
      <c r="BL140">
        <v>0.2</v>
      </c>
      <c r="BM140">
        <v>0.2</v>
      </c>
      <c r="BN140">
        <v>0.2</v>
      </c>
      <c r="BO140">
        <v>0.2</v>
      </c>
      <c r="BP140">
        <v>0.2</v>
      </c>
      <c r="BQ140">
        <v>0.2</v>
      </c>
      <c r="BR140">
        <v>0.2</v>
      </c>
      <c r="BS140">
        <v>0.2</v>
      </c>
      <c r="BT140">
        <v>0.2</v>
      </c>
    </row>
    <row r="141" spans="1:72" ht="21.75" thickBot="1" x14ac:dyDescent="0.4">
      <c r="A141" s="18" t="s">
        <v>54</v>
      </c>
      <c r="B141" s="38">
        <v>0.12276351515151515</v>
      </c>
      <c r="C141" s="38">
        <v>0.11123980606060604</v>
      </c>
      <c r="D141" s="38">
        <v>9.5291927272727256E-2</v>
      </c>
      <c r="E141" s="38">
        <v>7.6689945454545438E-2</v>
      </c>
      <c r="F141">
        <v>5.8005612405446286E-2</v>
      </c>
      <c r="G141">
        <v>4.9663267473524959E-2</v>
      </c>
      <c r="H141">
        <v>4.1320922541603633E-2</v>
      </c>
      <c r="I141">
        <v>3.29785776096823E-2</v>
      </c>
      <c r="J141">
        <v>2.4636232677760973E-2</v>
      </c>
      <c r="K141">
        <v>1.6293887745839647E-2</v>
      </c>
      <c r="L141">
        <v>7.9515428139183136E-3</v>
      </c>
      <c r="M141">
        <v>3.0191103030303042E-3</v>
      </c>
      <c r="N141">
        <v>1.9318981818181832E-3</v>
      </c>
      <c r="O141">
        <v>1.3091092121212127E-3</v>
      </c>
      <c r="P141">
        <v>8.3243897590361466E-4</v>
      </c>
      <c r="Q141">
        <v>5.714329518072286E-4</v>
      </c>
      <c r="R141">
        <v>3.7277363636363607E-4</v>
      </c>
      <c r="S141">
        <v>2.3401606060606029E-4</v>
      </c>
      <c r="T141">
        <v>1.5213992727272711E-4</v>
      </c>
      <c r="U141">
        <v>8.7480018181818094E-5</v>
      </c>
      <c r="V141">
        <v>5.2751533333333257E-5</v>
      </c>
      <c r="W141">
        <v>2.9341157575757543E-5</v>
      </c>
      <c r="X141">
        <v>1.4823581818181785E-5</v>
      </c>
      <c r="Y141">
        <v>8.6475132530120417E-6</v>
      </c>
      <c r="Z141">
        <v>4.1697757575757574E-6</v>
      </c>
      <c r="AA141">
        <v>2.3120787878787875E-6</v>
      </c>
      <c r="AB141">
        <v>1.1940254545454546E-6</v>
      </c>
      <c r="AC141">
        <v>5.6906787878787884E-7</v>
      </c>
      <c r="AD141">
        <v>3.3705333333333334E-7</v>
      </c>
      <c r="AE141">
        <v>1.6720872727272726E-7</v>
      </c>
      <c r="AF141">
        <v>9.4171151515151524E-8</v>
      </c>
      <c r="AG141">
        <v>5.181528915662653E-8</v>
      </c>
      <c r="AH141">
        <v>2.5980349397590417E-8</v>
      </c>
      <c r="AI141">
        <v>1.6267680000000021E-8</v>
      </c>
      <c r="AJ141">
        <v>8.732949090909098E-9</v>
      </c>
      <c r="AK141">
        <v>5.1098581818181899E-9</v>
      </c>
      <c r="AL141">
        <v>3.0083218181818215E-9</v>
      </c>
      <c r="AM141">
        <v>1.6375257428139188E-9</v>
      </c>
      <c r="AN141">
        <v>1.3981693131618766E-9</v>
      </c>
      <c r="AO141">
        <v>1.1588128835098343E-9</v>
      </c>
      <c r="AP141">
        <v>9.1945645385779207E-10</v>
      </c>
      <c r="AQ141">
        <v>6.8010002420574983E-10</v>
      </c>
      <c r="AR141">
        <v>4.4074359455370758E-10</v>
      </c>
      <c r="AS141">
        <v>2.0138716490166534E-10</v>
      </c>
      <c r="AT141">
        <v>6.0955975794251171E-11</v>
      </c>
      <c r="AU141">
        <v>5.1658245083207288E-11</v>
      </c>
      <c r="AV141">
        <v>4.2360514372163404E-11</v>
      </c>
      <c r="AW141">
        <v>3.3062783661119514E-11</v>
      </c>
      <c r="AX141">
        <v>2.376505295007563E-11</v>
      </c>
      <c r="AY141">
        <v>1.446732223903174E-11</v>
      </c>
      <c r="AZ141">
        <v>5.1695915279878564E-12</v>
      </c>
      <c r="BA141">
        <v>2.6338072727272681E-12</v>
      </c>
      <c r="BB141">
        <v>1.6725907878787856E-12</v>
      </c>
      <c r="BC141">
        <v>1.1519483636363612E-12</v>
      </c>
      <c r="BD141">
        <v>7.6568654545454426E-13</v>
      </c>
      <c r="BE141">
        <v>5.0346836363636243E-13</v>
      </c>
      <c r="BF141">
        <v>3.526312727272721E-13</v>
      </c>
      <c r="BG141">
        <v>2.3273096385542137E-13</v>
      </c>
      <c r="BH141">
        <v>1.6350807228915644E-13</v>
      </c>
      <c r="BI141">
        <v>1.1311332121212112E-13</v>
      </c>
      <c r="BJ141">
        <v>7.7512109090909007E-14</v>
      </c>
      <c r="BK141">
        <v>5.6299375757575713E-14</v>
      </c>
      <c r="BL141">
        <v>3.8795945454545428E-14</v>
      </c>
      <c r="BM141">
        <v>2.7799581818181791E-14</v>
      </c>
      <c r="BN141">
        <v>2.158151739788199E-14</v>
      </c>
      <c r="BO141">
        <v>1.8418431164901657E-14</v>
      </c>
      <c r="BP141">
        <v>1.5255344931921324E-14</v>
      </c>
      <c r="BQ141">
        <v>1.2092258698940994E-14</v>
      </c>
      <c r="BR141">
        <v>8.9291724659606648E-15</v>
      </c>
      <c r="BS141">
        <v>5.766086232980332E-15</v>
      </c>
      <c r="BT141">
        <v>2.6029999999999991E-15</v>
      </c>
    </row>
    <row r="142" spans="1:72" ht="21.75" thickBot="1" x14ac:dyDescent="0.4">
      <c r="A142" s="18" t="s">
        <v>74</v>
      </c>
      <c r="B142" s="38">
        <v>0.15722648484848487</v>
      </c>
      <c r="C142" s="38">
        <v>0.16874927272727275</v>
      </c>
      <c r="D142" s="38">
        <v>0.18469472727272729</v>
      </c>
      <c r="E142" s="38">
        <v>0.20328145454545457</v>
      </c>
      <c r="F142">
        <v>0.22188405446293497</v>
      </c>
      <c r="G142">
        <v>0.2294347352496218</v>
      </c>
      <c r="H142">
        <v>0.23698541603630863</v>
      </c>
      <c r="I142">
        <v>0.24453609682299546</v>
      </c>
      <c r="J142">
        <v>0.25208677760968229</v>
      </c>
      <c r="K142">
        <v>0.25963745839636909</v>
      </c>
      <c r="L142">
        <v>0.26718813918305595</v>
      </c>
      <c r="M142">
        <v>0.26933848484848483</v>
      </c>
      <c r="N142">
        <v>0.26539909090909092</v>
      </c>
      <c r="O142">
        <v>0.25658442424242422</v>
      </c>
      <c r="P142">
        <v>0.24539885542168674</v>
      </c>
      <c r="Q142">
        <v>0.22786271084337345</v>
      </c>
      <c r="R142">
        <v>0.20638090909090903</v>
      </c>
      <c r="S142">
        <v>0.18110818181818178</v>
      </c>
      <c r="T142">
        <v>0.15233812121212115</v>
      </c>
      <c r="U142">
        <v>0.12341732727272721</v>
      </c>
      <c r="V142">
        <v>9.6071266666666599E-2</v>
      </c>
      <c r="W142">
        <v>7.2474151515151464E-2</v>
      </c>
      <c r="X142">
        <v>5.1822636363636321E-2</v>
      </c>
      <c r="Y142">
        <v>3.7995307228915649E-2</v>
      </c>
      <c r="Z142">
        <v>2.6216606060606062E-2</v>
      </c>
      <c r="AA142">
        <v>1.8559030303030303E-2</v>
      </c>
      <c r="AB142">
        <v>1.2963854545454545E-2</v>
      </c>
      <c r="AC142">
        <v>8.7436121212121215E-3</v>
      </c>
      <c r="AD142">
        <v>6.3550848484848488E-3</v>
      </c>
      <c r="AE142">
        <v>4.3757272727272725E-3</v>
      </c>
      <c r="AF142">
        <v>3.126151515151515E-3</v>
      </c>
      <c r="AG142">
        <v>2.2430018072289162E-3</v>
      </c>
      <c r="AH142">
        <v>1.5571584337349411E-3</v>
      </c>
      <c r="AI142">
        <v>1.1666720000000008E-3</v>
      </c>
      <c r="AJ142">
        <v>8.3559454545454595E-4</v>
      </c>
      <c r="AK142">
        <v>6.1404909090909143E-4</v>
      </c>
      <c r="AL142">
        <v>4.5643527272727299E-4</v>
      </c>
      <c r="AM142">
        <v>3.3101901361573386E-4</v>
      </c>
      <c r="AN142">
        <v>2.8899435400907725E-4</v>
      </c>
      <c r="AO142">
        <v>2.4696969440242075E-4</v>
      </c>
      <c r="AP142">
        <v>2.0494503479576417E-4</v>
      </c>
      <c r="AQ142">
        <v>1.6292037518910758E-4</v>
      </c>
      <c r="AR142">
        <v>1.2089571558245103E-4</v>
      </c>
      <c r="AS142">
        <v>7.8871055975794472E-5</v>
      </c>
      <c r="AT142">
        <v>5.2056036308623328E-5</v>
      </c>
      <c r="AU142">
        <v>4.540263237518913E-5</v>
      </c>
      <c r="AV142">
        <v>3.8749228441754924E-5</v>
      </c>
      <c r="AW142">
        <v>3.2095824508320725E-5</v>
      </c>
      <c r="AX142">
        <v>2.5442420574886523E-5</v>
      </c>
      <c r="AY142">
        <v>1.8789016641452321E-5</v>
      </c>
      <c r="AZ142">
        <v>1.2135612708018123E-5</v>
      </c>
      <c r="BA142">
        <v>9.2316545454545363E-6</v>
      </c>
      <c r="BB142">
        <v>7.2669739393939326E-6</v>
      </c>
      <c r="BC142">
        <v>5.8697618181818117E-6</v>
      </c>
      <c r="BD142">
        <v>4.706329090909087E-6</v>
      </c>
      <c r="BE142">
        <v>3.7586927272727231E-6</v>
      </c>
      <c r="BF142">
        <v>3.0708963636363608E-6</v>
      </c>
      <c r="BG142">
        <v>2.4667602409638536E-6</v>
      </c>
      <c r="BH142">
        <v>2.0215795180722878E-6</v>
      </c>
      <c r="BI142">
        <v>1.6560709090909084E-6</v>
      </c>
      <c r="BJ142">
        <v>1.3531618181818175E-6</v>
      </c>
      <c r="BK142">
        <v>1.1274427878787875E-6</v>
      </c>
      <c r="BL142">
        <v>9.2525103030302983E-7</v>
      </c>
      <c r="BM142">
        <v>7.6829345454545416E-7</v>
      </c>
      <c r="BN142">
        <v>6.6157455370650506E-7</v>
      </c>
      <c r="BO142">
        <v>5.8697546142208761E-7</v>
      </c>
      <c r="BP142">
        <v>5.1237636913767006E-7</v>
      </c>
      <c r="BQ142">
        <v>4.3777727685325251E-7</v>
      </c>
      <c r="BR142">
        <v>3.6317818456883496E-7</v>
      </c>
      <c r="BS142">
        <v>2.8857909228441746E-7</v>
      </c>
      <c r="BT142">
        <v>2.1397999999999996E-7</v>
      </c>
    </row>
    <row r="143" spans="1:72" ht="21.75" thickBot="1" x14ac:dyDescent="0.4">
      <c r="A143" s="18" t="s">
        <v>55</v>
      </c>
      <c r="B143" s="38">
        <v>1.1953945454545456E-2</v>
      </c>
      <c r="C143" s="38">
        <v>1.21342E-2</v>
      </c>
      <c r="D143" s="38">
        <v>1.23742E-2</v>
      </c>
      <c r="E143" s="38">
        <v>1.263189696969697E-2</v>
      </c>
      <c r="F143">
        <v>1.2883375189107413E-2</v>
      </c>
      <c r="G143">
        <v>1.2988065052950075E-2</v>
      </c>
      <c r="H143">
        <v>1.3092754916792737E-2</v>
      </c>
      <c r="I143">
        <v>1.3197444780635401E-2</v>
      </c>
      <c r="J143">
        <v>1.3302134644478063E-2</v>
      </c>
      <c r="K143">
        <v>1.3406824508320725E-2</v>
      </c>
      <c r="L143">
        <v>1.3511514372163387E-2</v>
      </c>
      <c r="M143">
        <v>1.3596054545454544E-2</v>
      </c>
      <c r="N143">
        <v>1.3657872727272728E-2</v>
      </c>
      <c r="O143">
        <v>1.3756466666666666E-2</v>
      </c>
      <c r="P143">
        <v>1.3872753012048192E-2</v>
      </c>
      <c r="Q143">
        <v>1.4036006024096387E-2</v>
      </c>
      <c r="R143">
        <v>1.4222327272727273E-2</v>
      </c>
      <c r="S143">
        <v>1.4430812121212121E-2</v>
      </c>
      <c r="T143">
        <v>1.4642424242424243E-2</v>
      </c>
      <c r="U143">
        <v>1.4846527272727273E-2</v>
      </c>
      <c r="V143">
        <v>1.5020466666666666E-2</v>
      </c>
      <c r="W143">
        <v>1.5163860606060606E-2</v>
      </c>
      <c r="X143">
        <v>1.5283254545454546E-2</v>
      </c>
      <c r="Y143">
        <v>1.5358686746987952E-2</v>
      </c>
      <c r="Z143">
        <v>1.5422E-2</v>
      </c>
      <c r="AA143">
        <v>1.5462E-2</v>
      </c>
      <c r="AB143">
        <v>1.5490727272727274E-2</v>
      </c>
      <c r="AC143">
        <v>1.5511939393939394E-2</v>
      </c>
      <c r="AD143">
        <v>1.5523363636363637E-2</v>
      </c>
      <c r="AE143">
        <v>1.5532090909090909E-2</v>
      </c>
      <c r="AF143">
        <v>1.5535727272727272E-2</v>
      </c>
      <c r="AG143">
        <v>1.5532692771084338E-2</v>
      </c>
      <c r="AH143">
        <v>1.5526066265060241E-2</v>
      </c>
      <c r="AI143">
        <v>1.5488199999999999E-2</v>
      </c>
      <c r="AJ143">
        <v>1.5414163636363637E-2</v>
      </c>
      <c r="AK143">
        <v>1.5270527272727272E-2</v>
      </c>
      <c r="AL143">
        <v>1.48994E-2</v>
      </c>
      <c r="AM143">
        <v>1.4368103782148265E-2</v>
      </c>
      <c r="AN143">
        <v>1.2445698335854769E-2</v>
      </c>
      <c r="AO143">
        <v>1.0523292889561275E-2</v>
      </c>
      <c r="AP143">
        <v>8.6008874432677816E-3</v>
      </c>
      <c r="AQ143">
        <v>6.6784819969742887E-3</v>
      </c>
      <c r="AR143">
        <v>4.7560765506807941E-3</v>
      </c>
      <c r="AS143">
        <v>2.8336711043873003E-3</v>
      </c>
      <c r="AT143">
        <v>1.6266714901664154E-3</v>
      </c>
      <c r="AU143">
        <v>1.3680005370650535E-3</v>
      </c>
      <c r="AV143">
        <v>1.1093295839636917E-3</v>
      </c>
      <c r="AW143">
        <v>8.5065863086232973E-4</v>
      </c>
      <c r="AX143">
        <v>5.9198767776096777E-4</v>
      </c>
      <c r="AY143">
        <v>3.3331672465960593E-4</v>
      </c>
      <c r="AZ143">
        <v>7.4645771558243864E-5</v>
      </c>
      <c r="BA143">
        <v>1.911569090909086E-5</v>
      </c>
      <c r="BB143">
        <v>9.3744018181818012E-6</v>
      </c>
      <c r="BC143">
        <v>5.4767654545454376E-6</v>
      </c>
      <c r="BD143">
        <v>2.8799484848484783E-6</v>
      </c>
      <c r="BE143">
        <v>1.4838878787878725E-6</v>
      </c>
      <c r="BF143">
        <v>8.6563890909090678E-7</v>
      </c>
      <c r="BG143">
        <v>4.3394843373493896E-7</v>
      </c>
      <c r="BH143">
        <v>2.5162313253011997E-7</v>
      </c>
      <c r="BI143">
        <v>1.260532363636362E-7</v>
      </c>
      <c r="BJ143">
        <v>4.5076872727272533E-8</v>
      </c>
      <c r="BK143">
        <v>2.1615432121212083E-8</v>
      </c>
      <c r="BL143">
        <v>7.4380490909090825E-9</v>
      </c>
      <c r="BM143">
        <v>3.4947763636363552E-9</v>
      </c>
      <c r="BN143">
        <v>1.7770227385779119E-9</v>
      </c>
      <c r="BO143">
        <v>1.4821419821482597E-9</v>
      </c>
      <c r="BP143">
        <v>1.1872612257186079E-9</v>
      </c>
      <c r="BQ143">
        <v>8.9238046928895596E-10</v>
      </c>
      <c r="BR143">
        <v>5.9749971285930385E-10</v>
      </c>
      <c r="BS143">
        <v>3.0261895642965196E-10</v>
      </c>
      <c r="BT143">
        <v>7.7382000000000633E-12</v>
      </c>
    </row>
    <row r="144" spans="1:72" ht="21.75" thickBot="1" x14ac:dyDescent="0.4">
      <c r="A144" s="18" t="s">
        <v>56</v>
      </c>
      <c r="B144" s="38">
        <v>6.3268735757575825E-26</v>
      </c>
      <c r="C144" s="38">
        <v>9.0085721818182058E-25</v>
      </c>
      <c r="D144" s="38">
        <v>3.0094735818181841E-24</v>
      </c>
      <c r="E144" s="38">
        <v>6.4740058181818279E-23</v>
      </c>
      <c r="F144">
        <v>1.5609267904084935E-18</v>
      </c>
      <c r="G144">
        <v>2.1070738920514385E-17</v>
      </c>
      <c r="H144">
        <v>4.0580551050620279E-17</v>
      </c>
      <c r="I144">
        <v>6.0090363180726172E-17</v>
      </c>
      <c r="J144">
        <v>7.9600175310832059E-17</v>
      </c>
      <c r="K144">
        <v>9.9109987440937959E-17</v>
      </c>
      <c r="L144">
        <v>1.1861979957104385E-16</v>
      </c>
      <c r="M144">
        <v>7.4444351515151374E-16</v>
      </c>
      <c r="N144">
        <v>2.0539829090909078E-15</v>
      </c>
      <c r="O144">
        <v>1.6842612727272708E-14</v>
      </c>
      <c r="P144">
        <v>6.3732391566264908E-14</v>
      </c>
      <c r="Q144">
        <v>2.5290528313253038E-13</v>
      </c>
      <c r="R144">
        <v>1.2167109090909129E-12</v>
      </c>
      <c r="S144">
        <v>2.9247715151515189E-12</v>
      </c>
      <c r="T144">
        <v>1.4878194545454576E-11</v>
      </c>
      <c r="U144">
        <v>4.6630218181818403E-11</v>
      </c>
      <c r="V144">
        <v>1.4658840000000022E-10</v>
      </c>
      <c r="W144">
        <v>5.7154987878788028E-10</v>
      </c>
      <c r="X144">
        <v>1.2518710909090924E-9</v>
      </c>
      <c r="Y144">
        <v>5.181806024096389E-9</v>
      </c>
      <c r="Z144">
        <v>1.4554799999999999E-8</v>
      </c>
      <c r="AA144">
        <v>3.9292799999999996E-8</v>
      </c>
      <c r="AB144">
        <v>1.2817418181818183E-7</v>
      </c>
      <c r="AC144">
        <v>2.598178181818182E-7</v>
      </c>
      <c r="AD144">
        <v>8.8056060606060607E-7</v>
      </c>
      <c r="AE144">
        <v>2.215809090909091E-6</v>
      </c>
      <c r="AF144">
        <v>5.1581727272727275E-6</v>
      </c>
      <c r="AG144">
        <v>1.4239777108433725E-5</v>
      </c>
      <c r="AH144">
        <v>2.6627126506024065E-5</v>
      </c>
      <c r="AI144">
        <v>7.5470399999999886E-5</v>
      </c>
      <c r="AJ144">
        <v>1.6914381818181778E-4</v>
      </c>
      <c r="AK144">
        <v>3.4912563636363598E-4</v>
      </c>
      <c r="AL144">
        <v>8.125134545454532E-4</v>
      </c>
      <c r="AM144">
        <v>1.4696417549167875E-3</v>
      </c>
      <c r="AN144">
        <v>3.7206856278366048E-3</v>
      </c>
      <c r="AO144">
        <v>5.9717295007564227E-3</v>
      </c>
      <c r="AP144">
        <v>8.2227733736762402E-3</v>
      </c>
      <c r="AQ144">
        <v>1.0473817246596058E-2</v>
      </c>
      <c r="AR144">
        <v>1.2724861119515875E-2</v>
      </c>
      <c r="AS144">
        <v>1.4975904992435693E-2</v>
      </c>
      <c r="AT144">
        <v>1.6119526475037824E-2</v>
      </c>
      <c r="AU144">
        <v>1.5795169440242059E-2</v>
      </c>
      <c r="AV144">
        <v>1.5470812405446293E-2</v>
      </c>
      <c r="AW144">
        <v>1.5146455370650529E-2</v>
      </c>
      <c r="AX144">
        <v>1.4822098335854765E-2</v>
      </c>
      <c r="AY144">
        <v>1.4497741301059E-2</v>
      </c>
      <c r="AZ144">
        <v>1.4173384266263238E-2</v>
      </c>
      <c r="BA144">
        <v>1.3357618181818178E-2</v>
      </c>
      <c r="BB144">
        <v>1.2423472727272723E-2</v>
      </c>
      <c r="BC144">
        <v>1.1438018181818178E-2</v>
      </c>
      <c r="BD144">
        <v>1.0451964848484844E-2</v>
      </c>
      <c r="BE144">
        <v>9.4653587878787832E-3</v>
      </c>
      <c r="BF144">
        <v>8.5295818181818136E-3</v>
      </c>
      <c r="BG144">
        <v>7.607931325301201E-3</v>
      </c>
      <c r="BH144">
        <v>6.7094373493975876E-3</v>
      </c>
      <c r="BI144">
        <v>5.1745848484848435E-3</v>
      </c>
      <c r="BJ144">
        <v>3.1397363636363595E-3</v>
      </c>
      <c r="BK144">
        <v>2.0919345454545432E-3</v>
      </c>
      <c r="BL144">
        <v>1.2744740606060595E-3</v>
      </c>
      <c r="BM144">
        <v>8.3475890909090803E-4</v>
      </c>
      <c r="BN144">
        <v>6.0579932526475021E-4</v>
      </c>
      <c r="BO144">
        <v>5.1158510438729184E-4</v>
      </c>
      <c r="BP144">
        <v>4.1737088350983346E-4</v>
      </c>
      <c r="BQ144">
        <v>3.2315666263237508E-4</v>
      </c>
      <c r="BR144">
        <v>2.2894244175491671E-4</v>
      </c>
      <c r="BS144">
        <v>1.3472822087745833E-4</v>
      </c>
      <c r="BT144">
        <v>4.0513999999999958E-5</v>
      </c>
    </row>
    <row r="145" spans="1:72" ht="21.75" thickBot="1" x14ac:dyDescent="0.4">
      <c r="A145" s="18" t="s">
        <v>57</v>
      </c>
      <c r="B145" s="38">
        <v>2.0830333333333345E-6</v>
      </c>
      <c r="C145" s="38">
        <v>3.808586060606064E-6</v>
      </c>
      <c r="D145" s="38">
        <v>6.8267072727272764E-6</v>
      </c>
      <c r="E145" s="38">
        <v>1.5536395151515162E-5</v>
      </c>
      <c r="F145">
        <v>5.7121872919818898E-5</v>
      </c>
      <c r="G145">
        <v>4.5257028441754947E-4</v>
      </c>
      <c r="H145">
        <v>8.4801869591528002E-4</v>
      </c>
      <c r="I145">
        <v>1.2434671074130106E-3</v>
      </c>
      <c r="J145">
        <v>1.6389155189107411E-3</v>
      </c>
      <c r="K145">
        <v>2.0343639304084716E-3</v>
      </c>
      <c r="L145">
        <v>2.4298123419062021E-3</v>
      </c>
      <c r="M145">
        <v>3.8211793939393916E-3</v>
      </c>
      <c r="N145">
        <v>6.3356036363636341E-3</v>
      </c>
      <c r="O145">
        <v>1.105309454545454E-2</v>
      </c>
      <c r="P145">
        <v>1.6883102409638546E-2</v>
      </c>
      <c r="Q145">
        <v>2.5783704819277123E-2</v>
      </c>
      <c r="R145">
        <v>3.6624781818181851E-2</v>
      </c>
      <c r="S145">
        <v>4.9330236363636398E-2</v>
      </c>
      <c r="T145">
        <v>6.3756733333333371E-2</v>
      </c>
      <c r="U145">
        <v>7.8249709090909114E-2</v>
      </c>
      <c r="V145">
        <v>9.1938800000000029E-2</v>
      </c>
      <c r="W145">
        <v>0.1037479878787879</v>
      </c>
      <c r="X145">
        <v>0.11408010909090911</v>
      </c>
      <c r="Y145">
        <v>0.12099626506024097</v>
      </c>
      <c r="Z145">
        <v>0.12688757575757575</v>
      </c>
      <c r="AA145">
        <v>0.1307178787878788</v>
      </c>
      <c r="AB145">
        <v>0.13351545454545455</v>
      </c>
      <c r="AC145">
        <v>0.13562454545454544</v>
      </c>
      <c r="AD145">
        <v>0.13681818181818181</v>
      </c>
      <c r="AE145">
        <v>0.13780909090909091</v>
      </c>
      <c r="AF145">
        <v>0.13843939393939395</v>
      </c>
      <c r="AG145">
        <v>0.13887927710843373</v>
      </c>
      <c r="AH145">
        <v>0.13921662650602409</v>
      </c>
      <c r="AI145">
        <v>0.13941200000000001</v>
      </c>
      <c r="AJ145">
        <v>0.13957915151515152</v>
      </c>
      <c r="AK145">
        <v>0.13969430303030303</v>
      </c>
      <c r="AL145">
        <v>0.13977181818181819</v>
      </c>
      <c r="AM145">
        <v>0.13983084720121031</v>
      </c>
      <c r="AN145">
        <v>0.13985202723146747</v>
      </c>
      <c r="AO145">
        <v>0.13987320726172467</v>
      </c>
      <c r="AP145">
        <v>0.13989438729198186</v>
      </c>
      <c r="AQ145">
        <v>0.13991556732223903</v>
      </c>
      <c r="AR145">
        <v>0.13993674735249623</v>
      </c>
      <c r="AS145">
        <v>0.13995792738275342</v>
      </c>
      <c r="AT145">
        <v>0.13997130105900152</v>
      </c>
      <c r="AU145">
        <v>0.13997432677760968</v>
      </c>
      <c r="AV145">
        <v>0.13997735249621787</v>
      </c>
      <c r="AW145">
        <v>0.13998037821482603</v>
      </c>
      <c r="AX145">
        <v>0.1399834039334342</v>
      </c>
      <c r="AY145">
        <v>0.13998642965204236</v>
      </c>
      <c r="AZ145">
        <v>0.13998945537065052</v>
      </c>
      <c r="BA145">
        <v>0.1399949696969697</v>
      </c>
      <c r="BB145">
        <v>0.14000000000000001</v>
      </c>
      <c r="BC145">
        <v>0.14000000000000001</v>
      </c>
      <c r="BD145">
        <v>0.14000000000000001</v>
      </c>
      <c r="BE145">
        <v>0.14000000000000001</v>
      </c>
      <c r="BF145">
        <v>0.14000000000000001</v>
      </c>
      <c r="BG145">
        <v>0.13999867469879521</v>
      </c>
      <c r="BH145">
        <v>0.13999265060240965</v>
      </c>
      <c r="BI145">
        <v>0.13988139393939394</v>
      </c>
      <c r="BJ145">
        <v>0.13968745454545453</v>
      </c>
      <c r="BK145">
        <v>0.13952660606060605</v>
      </c>
      <c r="BL145">
        <v>0.13937533333333335</v>
      </c>
      <c r="BM145">
        <v>0.139242</v>
      </c>
      <c r="BN145">
        <v>0.13911617246596067</v>
      </c>
      <c r="BO145">
        <v>0.13899514372163391</v>
      </c>
      <c r="BP145">
        <v>0.13887411497730712</v>
      </c>
      <c r="BQ145">
        <v>0.13875308623298035</v>
      </c>
      <c r="BR145">
        <v>0.13863205748865357</v>
      </c>
      <c r="BS145">
        <v>0.1385110287443268</v>
      </c>
      <c r="BT145">
        <v>0.13839000000000001</v>
      </c>
    </row>
    <row r="146" spans="1:72" ht="21.75" thickBot="1" x14ac:dyDescent="0.4">
      <c r="A146" s="18" t="s">
        <v>58</v>
      </c>
      <c r="B146" s="38">
        <v>2.0811104242424264E-25</v>
      </c>
      <c r="C146" s="38">
        <v>2.6147000606060674E-24</v>
      </c>
      <c r="D146" s="38">
        <v>8.6346212727272787E-24</v>
      </c>
      <c r="E146" s="38">
        <v>1.5154818181818205E-22</v>
      </c>
      <c r="F146">
        <v>1.2149700988351153E-18</v>
      </c>
      <c r="G146">
        <v>1.6397976209273838E-17</v>
      </c>
      <c r="H146">
        <v>3.1580982319712566E-17</v>
      </c>
      <c r="I146">
        <v>4.676398843015129E-17</v>
      </c>
      <c r="J146">
        <v>6.1946994540590014E-17</v>
      </c>
      <c r="K146">
        <v>7.7130000651028745E-17</v>
      </c>
      <c r="L146">
        <v>9.2313006761467463E-17</v>
      </c>
      <c r="M146">
        <v>4.7751078787878695E-16</v>
      </c>
      <c r="N146">
        <v>1.2799592727272717E-15</v>
      </c>
      <c r="O146">
        <v>8.8653284848484727E-15</v>
      </c>
      <c r="P146">
        <v>3.0732608433734876E-14</v>
      </c>
      <c r="Q146">
        <v>1.1505971686747002E-13</v>
      </c>
      <c r="R146">
        <v>5.0541163636363802E-13</v>
      </c>
      <c r="S146">
        <v>1.1897873939393955E-12</v>
      </c>
      <c r="T146">
        <v>5.5473430303030418E-12</v>
      </c>
      <c r="U146">
        <v>1.6356792727272803E-11</v>
      </c>
      <c r="V146">
        <v>4.9188186666666738E-11</v>
      </c>
      <c r="W146">
        <v>1.7538149090909136E-10</v>
      </c>
      <c r="X146">
        <v>3.7493058181818229E-10</v>
      </c>
      <c r="Y146">
        <v>1.3978972891566278E-9</v>
      </c>
      <c r="Z146">
        <v>3.6445030303030302E-9</v>
      </c>
      <c r="AA146">
        <v>9.3177151515151522E-9</v>
      </c>
      <c r="AB146">
        <v>2.757318181818182E-8</v>
      </c>
      <c r="AC146">
        <v>5.4216818181818193E-8</v>
      </c>
      <c r="AD146">
        <v>1.6537533333333333E-7</v>
      </c>
      <c r="AE146">
        <v>3.8595454545454542E-7</v>
      </c>
      <c r="AF146">
        <v>8.5146969696969687E-7</v>
      </c>
      <c r="AG146">
        <v>2.1428939759036127E-6</v>
      </c>
      <c r="AH146">
        <v>3.8790385542168628E-6</v>
      </c>
      <c r="AI146">
        <v>9.9561599999999867E-6</v>
      </c>
      <c r="AJ146">
        <v>2.0796618181818135E-5</v>
      </c>
      <c r="AK146">
        <v>4.0798436363636317E-5</v>
      </c>
      <c r="AL146">
        <v>8.8428690909090777E-5</v>
      </c>
      <c r="AM146">
        <v>1.638638275340383E-4</v>
      </c>
      <c r="AN146">
        <v>6.0870951588502147E-4</v>
      </c>
      <c r="AO146">
        <v>1.0535552042360047E-3</v>
      </c>
      <c r="AP146">
        <v>1.4984008925869878E-3</v>
      </c>
      <c r="AQ146">
        <v>1.9432465809379709E-3</v>
      </c>
      <c r="AR146">
        <v>2.3880922692889541E-3</v>
      </c>
      <c r="AS146">
        <v>2.8329379576399372E-3</v>
      </c>
      <c r="AT146">
        <v>3.6467685325264699E-3</v>
      </c>
      <c r="AU146">
        <v>4.9497186081694363E-3</v>
      </c>
      <c r="AV146">
        <v>6.2526686838124037E-3</v>
      </c>
      <c r="AW146">
        <v>7.5556187594553702E-3</v>
      </c>
      <c r="AX146">
        <v>8.8585688350983367E-3</v>
      </c>
      <c r="AY146">
        <v>1.0161518910741303E-2</v>
      </c>
      <c r="AZ146">
        <v>1.1464468986384271E-2</v>
      </c>
      <c r="BA146">
        <v>1.323612727272728E-2</v>
      </c>
      <c r="BB146">
        <v>1.5128909090909099E-2</v>
      </c>
      <c r="BC146">
        <v>1.7110727272727284E-2</v>
      </c>
      <c r="BD146">
        <v>1.9089393939393951E-2</v>
      </c>
      <c r="BE146">
        <v>2.1065151515151526E-2</v>
      </c>
      <c r="BF146">
        <v>2.2938090909090918E-2</v>
      </c>
      <c r="BG146">
        <v>2.4709445783132535E-2</v>
      </c>
      <c r="BH146">
        <v>2.6175108433734943E-2</v>
      </c>
      <c r="BI146">
        <v>2.5078569696969689E-2</v>
      </c>
      <c r="BJ146">
        <v>2.1968872727272722E-2</v>
      </c>
      <c r="BK146">
        <v>1.9237515151515144E-2</v>
      </c>
      <c r="BL146">
        <v>1.6663175757575751E-2</v>
      </c>
      <c r="BM146">
        <v>1.4429236363636359E-2</v>
      </c>
      <c r="BN146">
        <v>1.2731214674735248E-2</v>
      </c>
      <c r="BO146">
        <v>1.1375828895612707E-2</v>
      </c>
      <c r="BP146">
        <v>1.0020443116490165E-2</v>
      </c>
      <c r="BQ146">
        <v>8.6650573373676237E-3</v>
      </c>
      <c r="BR146">
        <v>7.3096715582450823E-3</v>
      </c>
      <c r="BS146">
        <v>5.9542857791225418E-3</v>
      </c>
      <c r="BT146">
        <v>4.5988999999999995E-3</v>
      </c>
    </row>
    <row r="147" spans="1:72" ht="21.75" thickBot="1" x14ac:dyDescent="0.4">
      <c r="A147" s="18" t="s">
        <v>59</v>
      </c>
      <c r="B147" s="38">
        <v>1.4382292121212128E-8</v>
      </c>
      <c r="C147" s="38">
        <v>2.1401260606060618E-8</v>
      </c>
      <c r="D147" s="38">
        <v>2.9762472727272736E-8</v>
      </c>
      <c r="E147" s="38">
        <v>3.6904363636363641E-8</v>
      </c>
      <c r="F147">
        <v>4.2923842662632376E-8</v>
      </c>
      <c r="G147">
        <v>4.1221875945537069E-8</v>
      </c>
      <c r="H147">
        <v>3.9519909228441755E-8</v>
      </c>
      <c r="I147">
        <v>3.7817942511346448E-8</v>
      </c>
      <c r="J147">
        <v>3.6115975794251134E-8</v>
      </c>
      <c r="K147">
        <v>3.4414009077155827E-8</v>
      </c>
      <c r="L147">
        <v>3.2712042360060513E-8</v>
      </c>
      <c r="M147">
        <v>3.058315757575758E-8</v>
      </c>
      <c r="N147">
        <v>2.7972854545454551E-8</v>
      </c>
      <c r="O147">
        <v>2.6190006060606065E-8</v>
      </c>
      <c r="P147">
        <v>2.4738927710843374E-8</v>
      </c>
      <c r="Q147">
        <v>2.4020855421686744E-8</v>
      </c>
      <c r="R147">
        <v>2.3533927272727272E-8</v>
      </c>
      <c r="S147">
        <v>2.3269078787878787E-8</v>
      </c>
      <c r="T147">
        <v>2.2933345454545453E-8</v>
      </c>
      <c r="U147">
        <v>2.2570036363636364E-8</v>
      </c>
      <c r="V147">
        <v>2.21464E-8</v>
      </c>
      <c r="W147">
        <v>2.1527951515151512E-8</v>
      </c>
      <c r="X147">
        <v>2.075643636363636E-8</v>
      </c>
      <c r="Y147">
        <v>1.9618572289156625E-8</v>
      </c>
      <c r="Z147">
        <v>1.8405878787878787E-8</v>
      </c>
      <c r="AA147">
        <v>1.707739393939394E-8</v>
      </c>
      <c r="AB147">
        <v>1.5766727272727275E-8</v>
      </c>
      <c r="AC147">
        <v>1.4467939393939395E-8</v>
      </c>
      <c r="AD147">
        <v>1.3275666666666667E-8</v>
      </c>
      <c r="AE147">
        <v>1.2130090909090909E-8</v>
      </c>
      <c r="AF147">
        <v>1.1080393939393939E-8</v>
      </c>
      <c r="AG147">
        <v>1.0123731927710844E-8</v>
      </c>
      <c r="AH147">
        <v>9.2171656626506039E-9</v>
      </c>
      <c r="AI147">
        <v>8.4308000000000003E-9</v>
      </c>
      <c r="AJ147">
        <v>7.6848000000000014E-9</v>
      </c>
      <c r="AK147">
        <v>7.014800000000001E-9</v>
      </c>
      <c r="AL147">
        <v>6.41865090909091E-9</v>
      </c>
      <c r="AM147">
        <v>5.8637152798789721E-9</v>
      </c>
      <c r="AN147">
        <v>5.5015972768532531E-9</v>
      </c>
      <c r="AO147">
        <v>5.1394792738275351E-9</v>
      </c>
      <c r="AP147">
        <v>4.7773612708018162E-9</v>
      </c>
      <c r="AQ147">
        <v>4.4152432677760981E-9</v>
      </c>
      <c r="AR147">
        <v>4.05312526475038E-9</v>
      </c>
      <c r="AS147">
        <v>3.6910072617246611E-9</v>
      </c>
      <c r="AT147">
        <v>3.3860903177004549E-9</v>
      </c>
      <c r="AU147">
        <v>3.1569980332829056E-9</v>
      </c>
      <c r="AV147">
        <v>2.9279057488653559E-9</v>
      </c>
      <c r="AW147">
        <v>2.6988134644478062E-9</v>
      </c>
      <c r="AX147">
        <v>2.4697211800302569E-9</v>
      </c>
      <c r="AY147">
        <v>2.2406288956127077E-9</v>
      </c>
      <c r="AZ147">
        <v>2.011536611195158E-9</v>
      </c>
      <c r="BA147">
        <v>1.8407399999999994E-9</v>
      </c>
      <c r="BB147">
        <v>1.6864284848484842E-9</v>
      </c>
      <c r="BC147">
        <v>1.5501254545454539E-9</v>
      </c>
      <c r="BD147">
        <v>1.423434545454545E-9</v>
      </c>
      <c r="BE147">
        <v>1.3056163636363631E-9</v>
      </c>
      <c r="BF147">
        <v>1.2015072727272723E-9</v>
      </c>
      <c r="BG147">
        <v>1.1025718072289152E-9</v>
      </c>
      <c r="BH147">
        <v>1.0147163855421684E-9</v>
      </c>
      <c r="BI147">
        <v>9.3433490909090904E-10</v>
      </c>
      <c r="BJ147">
        <v>8.5982581818181804E-10</v>
      </c>
      <c r="BK147">
        <v>7.9258569696969685E-10</v>
      </c>
      <c r="BL147">
        <v>7.2817915151515138E-10</v>
      </c>
      <c r="BM147">
        <v>6.6979127272727258E-10</v>
      </c>
      <c r="BN147">
        <v>6.2163993948562774E-10</v>
      </c>
      <c r="BO147">
        <v>5.8003328290468985E-10</v>
      </c>
      <c r="BP147">
        <v>5.3842662632375185E-10</v>
      </c>
      <c r="BQ147">
        <v>4.9681996974281385E-10</v>
      </c>
      <c r="BR147">
        <v>4.5521331316187595E-10</v>
      </c>
      <c r="BS147">
        <v>4.1360665658093795E-10</v>
      </c>
      <c r="BT147">
        <v>3.7200000000000001E-10</v>
      </c>
    </row>
    <row r="148" spans="1:72" ht="21.75" thickBot="1" x14ac:dyDescent="0.4">
      <c r="A148" s="18" t="s">
        <v>60</v>
      </c>
      <c r="B148" s="38">
        <v>4.110435151515154E-9</v>
      </c>
      <c r="C148" s="38">
        <v>6.4859612121212154E-9</v>
      </c>
      <c r="D148" s="38">
        <v>9.5363854545454582E-9</v>
      </c>
      <c r="E148" s="38">
        <v>1.2535400000000003E-8</v>
      </c>
      <c r="F148">
        <v>1.5275862329803325E-8</v>
      </c>
      <c r="G148">
        <v>1.5261641452344932E-8</v>
      </c>
      <c r="H148">
        <v>1.5247420574886534E-8</v>
      </c>
      <c r="I148">
        <v>1.5233199697428137E-8</v>
      </c>
      <c r="J148">
        <v>1.5218978819969743E-8</v>
      </c>
      <c r="K148">
        <v>1.5204757942511346E-8</v>
      </c>
      <c r="L148">
        <v>1.5190537065052952E-8</v>
      </c>
      <c r="M148">
        <v>1.4828933333333334E-8</v>
      </c>
      <c r="N148">
        <v>1.4075600000000001E-8</v>
      </c>
      <c r="O148">
        <v>1.3632375757575758E-8</v>
      </c>
      <c r="P148">
        <v>1.3324379518072289E-8</v>
      </c>
      <c r="Q148">
        <v>1.3344259036144578E-8</v>
      </c>
      <c r="R148">
        <v>1.3477018181818183E-8</v>
      </c>
      <c r="S148">
        <v>1.3718230303030303E-8</v>
      </c>
      <c r="T148">
        <v>1.3894812121212121E-8</v>
      </c>
      <c r="U148">
        <v>1.3990999999999999E-8</v>
      </c>
      <c r="V148">
        <v>1.3824333333333333E-8</v>
      </c>
      <c r="W148">
        <v>1.3442830303030302E-8</v>
      </c>
      <c r="X148">
        <v>1.2892527272727271E-8</v>
      </c>
      <c r="Y148">
        <v>1.2122126506024095E-8</v>
      </c>
      <c r="Z148">
        <v>1.1309363636363636E-8</v>
      </c>
      <c r="AA148">
        <v>1.0434818181818182E-8</v>
      </c>
      <c r="AB148">
        <v>9.5792181818181824E-9</v>
      </c>
      <c r="AC148">
        <v>8.7362484848484858E-9</v>
      </c>
      <c r="AD148">
        <v>7.9709484848484856E-9</v>
      </c>
      <c r="AE148">
        <v>7.2383545454545455E-9</v>
      </c>
      <c r="AF148">
        <v>6.5725363636363642E-9</v>
      </c>
      <c r="AG148">
        <v>5.9693524096385552E-9</v>
      </c>
      <c r="AH148">
        <v>5.3998945783132548E-9</v>
      </c>
      <c r="AI148">
        <v>4.9107800000000011E-9</v>
      </c>
      <c r="AJ148">
        <v>4.4481727272727279E-9</v>
      </c>
      <c r="AK148">
        <v>4.0354454545454559E-9</v>
      </c>
      <c r="AL148">
        <v>3.6702236363636374E-9</v>
      </c>
      <c r="AM148">
        <v>3.3313956127080189E-9</v>
      </c>
      <c r="AN148">
        <v>3.1137859304084727E-9</v>
      </c>
      <c r="AO148">
        <v>2.8961762481089268E-9</v>
      </c>
      <c r="AP148">
        <v>2.6785665658093806E-9</v>
      </c>
      <c r="AQ148">
        <v>2.4609568835098344E-9</v>
      </c>
      <c r="AR148">
        <v>2.2433472012102885E-9</v>
      </c>
      <c r="AS148">
        <v>2.0257375189107427E-9</v>
      </c>
      <c r="AT148">
        <v>1.8452340393343426E-9</v>
      </c>
      <c r="AU148">
        <v>1.7139178517397887E-9</v>
      </c>
      <c r="AV148">
        <v>1.5826016641452347E-9</v>
      </c>
      <c r="AW148">
        <v>1.4512854765506808E-9</v>
      </c>
      <c r="AX148">
        <v>1.3199692889561269E-9</v>
      </c>
      <c r="AY148">
        <v>1.188653101361573E-9</v>
      </c>
      <c r="AZ148">
        <v>1.0573369137670191E-9</v>
      </c>
      <c r="BA148">
        <v>9.6146048484848439E-10</v>
      </c>
      <c r="BB148">
        <v>8.7554054545454506E-10</v>
      </c>
      <c r="BC148">
        <v>8.0024963636363602E-10</v>
      </c>
      <c r="BD148">
        <v>7.30593636363636E-10</v>
      </c>
      <c r="BE148">
        <v>6.6613909090909064E-10</v>
      </c>
      <c r="BF148">
        <v>6.0966218181818159E-10</v>
      </c>
      <c r="BG148">
        <v>5.5617084337349377E-10</v>
      </c>
      <c r="BH148">
        <v>5.0903831325301189E-10</v>
      </c>
      <c r="BI148">
        <v>4.6608327272727258E-10</v>
      </c>
      <c r="BJ148">
        <v>4.2641054545454539E-10</v>
      </c>
      <c r="BK148">
        <v>3.9096793939393931E-10</v>
      </c>
      <c r="BL148">
        <v>3.571365454545454E-10</v>
      </c>
      <c r="BM148">
        <v>3.2670018181818175E-10</v>
      </c>
      <c r="BN148">
        <v>3.0188526475037817E-10</v>
      </c>
      <c r="BO148">
        <v>2.806643872919818E-10</v>
      </c>
      <c r="BP148">
        <v>2.5944350983358543E-10</v>
      </c>
      <c r="BQ148">
        <v>2.3822263237518907E-10</v>
      </c>
      <c r="BR148">
        <v>2.1700175491679272E-10</v>
      </c>
      <c r="BS148">
        <v>1.9578087745839636E-10</v>
      </c>
      <c r="BT148">
        <v>1.7455999999999999E-10</v>
      </c>
    </row>
    <row r="149" spans="1:72" ht="21.75" thickBot="1" x14ac:dyDescent="0.4">
      <c r="A149" s="18" t="s">
        <v>61</v>
      </c>
      <c r="B149" s="38">
        <v>1.7237793939393949E-2</v>
      </c>
      <c r="C149" s="38">
        <v>2.8765957575757596E-2</v>
      </c>
      <c r="D149" s="38">
        <v>4.4721109090909109E-2</v>
      </c>
      <c r="E149" s="38">
        <v>6.3340981818181846E-2</v>
      </c>
      <c r="F149">
        <v>8.2108674735249632E-2</v>
      </c>
      <c r="G149">
        <v>9.1242108925869897E-2</v>
      </c>
      <c r="H149">
        <v>0.10037554311649016</v>
      </c>
      <c r="I149">
        <v>0.10950897730711044</v>
      </c>
      <c r="J149">
        <v>0.11864241149773071</v>
      </c>
      <c r="K149">
        <v>0.12777584568835099</v>
      </c>
      <c r="L149">
        <v>0.13690927987897122</v>
      </c>
      <c r="M149">
        <v>0.1446241212121212</v>
      </c>
      <c r="N149">
        <v>0.15073927272727272</v>
      </c>
      <c r="O149">
        <v>0.16079539393939393</v>
      </c>
      <c r="P149">
        <v>0.17293126506024095</v>
      </c>
      <c r="Q149">
        <v>0.19099753012048196</v>
      </c>
      <c r="R149">
        <v>0.21287818181818188</v>
      </c>
      <c r="S149">
        <v>0.23842363636363642</v>
      </c>
      <c r="T149">
        <v>0.26736218181818189</v>
      </c>
      <c r="U149">
        <v>0.29641654545454549</v>
      </c>
      <c r="V149">
        <v>0.32382866666666676</v>
      </c>
      <c r="W149">
        <v>0.34747012121212129</v>
      </c>
      <c r="X149">
        <v>0.36814890909090914</v>
      </c>
      <c r="Y149">
        <v>0.38198801204819277</v>
      </c>
      <c r="Z149">
        <v>0.39377515151515152</v>
      </c>
      <c r="AA149">
        <v>0.40143575757575761</v>
      </c>
      <c r="AB149">
        <v>0.40703454545454548</v>
      </c>
      <c r="AC149">
        <v>0.41125878787878789</v>
      </c>
      <c r="AD149">
        <v>0.41364636363636365</v>
      </c>
      <c r="AE149">
        <v>0.41562636363636363</v>
      </c>
      <c r="AF149">
        <v>0.41688090909090914</v>
      </c>
      <c r="AG149">
        <v>0.41778596385542172</v>
      </c>
      <c r="AH149">
        <v>0.41850283132530119</v>
      </c>
      <c r="AI149">
        <v>0.41900199999999999</v>
      </c>
      <c r="AJ149">
        <v>0.41953606060606058</v>
      </c>
      <c r="AK149">
        <v>0.42014212121212119</v>
      </c>
      <c r="AL149">
        <v>0.4213001818181818</v>
      </c>
      <c r="AM149">
        <v>0.42285841149773074</v>
      </c>
      <c r="AN149">
        <v>0.42806869894099847</v>
      </c>
      <c r="AO149">
        <v>0.43327898638426626</v>
      </c>
      <c r="AP149">
        <v>0.43848927382753405</v>
      </c>
      <c r="AQ149">
        <v>0.44369956127080179</v>
      </c>
      <c r="AR149">
        <v>0.44890984871406958</v>
      </c>
      <c r="AS149">
        <v>0.45412013615733737</v>
      </c>
      <c r="AT149">
        <v>0.45765465960665658</v>
      </c>
      <c r="AU149">
        <v>0.45896782148260212</v>
      </c>
      <c r="AV149">
        <v>0.46028098335854767</v>
      </c>
      <c r="AW149">
        <v>0.46159414523449321</v>
      </c>
      <c r="AX149">
        <v>0.46290730711043876</v>
      </c>
      <c r="AY149">
        <v>0.4642204689863843</v>
      </c>
      <c r="AZ149">
        <v>0.46553363086232985</v>
      </c>
      <c r="BA149">
        <v>0.46656018181818182</v>
      </c>
      <c r="BB149">
        <v>0.46753103030303028</v>
      </c>
      <c r="BC149">
        <v>0.4685370909090909</v>
      </c>
      <c r="BD149">
        <v>0.46953369696969699</v>
      </c>
      <c r="BE149">
        <v>0.47052157575757575</v>
      </c>
      <c r="BF149">
        <v>0.47146199999999999</v>
      </c>
      <c r="BG149">
        <v>0.47238746987951807</v>
      </c>
      <c r="BH149">
        <v>0.47328506024096384</v>
      </c>
      <c r="BI149">
        <v>0.47482036363636365</v>
      </c>
      <c r="BJ149">
        <v>0.47685672727272732</v>
      </c>
      <c r="BK149">
        <v>0.47790587878787877</v>
      </c>
      <c r="BL149">
        <v>0.47872503030303026</v>
      </c>
      <c r="BM149">
        <v>0.47916745454545451</v>
      </c>
      <c r="BN149">
        <v>0.47939721633888049</v>
      </c>
      <c r="BO149">
        <v>0.47949101361573371</v>
      </c>
      <c r="BP149">
        <v>0.47958481089258698</v>
      </c>
      <c r="BQ149">
        <v>0.47967860816944025</v>
      </c>
      <c r="BR149">
        <v>0.47977240544629352</v>
      </c>
      <c r="BS149">
        <v>0.47986620272314673</v>
      </c>
      <c r="BT149">
        <v>0.47996</v>
      </c>
    </row>
    <row r="150" spans="1:72" ht="21.75" thickBot="1" x14ac:dyDescent="0.4">
      <c r="A150" s="18" t="s">
        <v>62</v>
      </c>
      <c r="B150" s="38">
        <v>7.4253042424242467E-11</v>
      </c>
      <c r="C150" s="38">
        <v>1.3413042424242435E-10</v>
      </c>
      <c r="D150" s="38">
        <v>2.2257890909090917E-10</v>
      </c>
      <c r="E150" s="38">
        <v>3.364136969696971E-10</v>
      </c>
      <c r="F150">
        <v>4.5533364599092295E-10</v>
      </c>
      <c r="G150">
        <v>5.2475422087745846E-10</v>
      </c>
      <c r="H150">
        <v>5.9417479576399392E-10</v>
      </c>
      <c r="I150">
        <v>6.6359537065052949E-10</v>
      </c>
      <c r="J150">
        <v>7.3301594553706505E-10</v>
      </c>
      <c r="K150">
        <v>8.0243652042360051E-10</v>
      </c>
      <c r="L150">
        <v>8.7185709531013598E-10</v>
      </c>
      <c r="M150">
        <v>9.2574090909090904E-10</v>
      </c>
      <c r="N150">
        <v>9.6210454545454536E-10</v>
      </c>
      <c r="O150">
        <v>1.0166821212121211E-9</v>
      </c>
      <c r="P150">
        <v>1.081060843373494E-9</v>
      </c>
      <c r="Q150">
        <v>1.1737716867469882E-9</v>
      </c>
      <c r="R150">
        <v>1.2822545454545457E-9</v>
      </c>
      <c r="S150">
        <v>1.4058909090909094E-9</v>
      </c>
      <c r="T150">
        <v>1.5333321212121216E-9</v>
      </c>
      <c r="U150">
        <v>1.6547490909090913E-9</v>
      </c>
      <c r="V150">
        <v>1.7511733333333336E-9</v>
      </c>
      <c r="W150">
        <v>1.8177648484848485E-9</v>
      </c>
      <c r="X150">
        <v>1.8609163636363637E-9</v>
      </c>
      <c r="Y150">
        <v>1.8588795180722891E-9</v>
      </c>
      <c r="Z150">
        <v>1.844030303030303E-9</v>
      </c>
      <c r="AA150">
        <v>1.8041515151515151E-9</v>
      </c>
      <c r="AB150">
        <v>1.7534000000000002E-9</v>
      </c>
      <c r="AC150">
        <v>1.6954000000000002E-9</v>
      </c>
      <c r="AD150">
        <v>1.6297424242424243E-9</v>
      </c>
      <c r="AE150">
        <v>1.5629363636363636E-9</v>
      </c>
      <c r="AF150">
        <v>1.494390909090909E-9</v>
      </c>
      <c r="AG150">
        <v>1.4266228915662651E-9</v>
      </c>
      <c r="AH150">
        <v>1.3592734939759038E-9</v>
      </c>
      <c r="AI150">
        <v>1.2940400000000002E-9</v>
      </c>
      <c r="AJ150">
        <v>1.2301260606060608E-9</v>
      </c>
      <c r="AK150">
        <v>1.1687321212121214E-9</v>
      </c>
      <c r="AL150">
        <v>1.111269090909091E-9</v>
      </c>
      <c r="AM150">
        <v>1.0561718608169441E-9</v>
      </c>
      <c r="AN150">
        <v>1.0154683812405447E-9</v>
      </c>
      <c r="AO150">
        <v>9.7476490166414529E-10</v>
      </c>
      <c r="AP150">
        <v>9.3406142208774606E-10</v>
      </c>
      <c r="AQ150">
        <v>8.9335794251134663E-10</v>
      </c>
      <c r="AR150">
        <v>8.526544629349472E-10</v>
      </c>
      <c r="AS150">
        <v>8.1195098335854777E-10</v>
      </c>
      <c r="AT150">
        <v>7.7280226928895631E-10</v>
      </c>
      <c r="AU150">
        <v>7.3571452344931928E-10</v>
      </c>
      <c r="AV150">
        <v>6.9862677760968235E-10</v>
      </c>
      <c r="AW150">
        <v>6.6153903177004532E-10</v>
      </c>
      <c r="AX150">
        <v>6.244512859304084E-10</v>
      </c>
      <c r="AY150">
        <v>5.8736354009077147E-10</v>
      </c>
      <c r="AZ150">
        <v>5.5027579425113444E-10</v>
      </c>
      <c r="BA150">
        <v>5.1874157575757563E-10</v>
      </c>
      <c r="BB150">
        <v>4.8887357575757563E-10</v>
      </c>
      <c r="BC150">
        <v>4.6118872727272717E-10</v>
      </c>
      <c r="BD150">
        <v>4.3474872727272715E-10</v>
      </c>
      <c r="BE150">
        <v>4.0945781818181809E-10</v>
      </c>
      <c r="BF150">
        <v>3.8605981818181807E-10</v>
      </c>
      <c r="BG150">
        <v>3.634206024096385E-10</v>
      </c>
      <c r="BH150">
        <v>3.4246879518072285E-10</v>
      </c>
      <c r="BI150">
        <v>3.2291545454545451E-10</v>
      </c>
      <c r="BJ150">
        <v>3.0446090909090904E-10</v>
      </c>
      <c r="BK150">
        <v>2.8689981818181812E-10</v>
      </c>
      <c r="BL150">
        <v>2.6977375757575752E-10</v>
      </c>
      <c r="BM150">
        <v>2.5363436363636359E-10</v>
      </c>
      <c r="BN150">
        <v>2.3955396369137669E-10</v>
      </c>
      <c r="BO150">
        <v>2.267899697428139E-10</v>
      </c>
      <c r="BP150">
        <v>2.1402597579425111E-10</v>
      </c>
      <c r="BQ150">
        <v>2.0126198184568835E-10</v>
      </c>
      <c r="BR150">
        <v>1.8849798789712556E-10</v>
      </c>
      <c r="BS150">
        <v>1.757339939485628E-10</v>
      </c>
      <c r="BT150">
        <v>1.6297000000000001E-10</v>
      </c>
    </row>
    <row r="151" spans="1:72" ht="21.75" thickBot="1" x14ac:dyDescent="0.4">
      <c r="A151" s="18" t="s">
        <v>63</v>
      </c>
      <c r="B151" s="38">
        <v>2.0830333333333345E-6</v>
      </c>
      <c r="C151" s="38">
        <v>3.808586060606064E-6</v>
      </c>
      <c r="D151" s="38">
        <v>6.8267072727272764E-6</v>
      </c>
      <c r="E151" s="38">
        <v>1.5536395151515162E-5</v>
      </c>
      <c r="F151">
        <v>5.7121872919818898E-5</v>
      </c>
      <c r="G151">
        <v>4.5257028441754947E-4</v>
      </c>
      <c r="H151">
        <v>8.4801869591528002E-4</v>
      </c>
      <c r="I151">
        <v>1.2434671074130106E-3</v>
      </c>
      <c r="J151">
        <v>1.6389155189107411E-3</v>
      </c>
      <c r="K151">
        <v>2.0343639304084716E-3</v>
      </c>
      <c r="L151">
        <v>2.4298123419062021E-3</v>
      </c>
      <c r="M151">
        <v>3.8211793939393916E-3</v>
      </c>
      <c r="N151">
        <v>6.3356036363636341E-3</v>
      </c>
      <c r="O151">
        <v>1.105309454545454E-2</v>
      </c>
      <c r="P151">
        <v>1.6883102409638546E-2</v>
      </c>
      <c r="Q151">
        <v>2.5783704819277123E-2</v>
      </c>
      <c r="R151">
        <v>3.6624781818181851E-2</v>
      </c>
      <c r="S151">
        <v>4.9330236363636398E-2</v>
      </c>
      <c r="T151">
        <v>6.3756733333333371E-2</v>
      </c>
      <c r="U151">
        <v>7.8249709090909114E-2</v>
      </c>
      <c r="V151">
        <v>9.1938800000000029E-2</v>
      </c>
      <c r="W151">
        <v>0.1037479878787879</v>
      </c>
      <c r="X151">
        <v>0.11408010909090911</v>
      </c>
      <c r="Y151">
        <v>0.12099626506024097</v>
      </c>
      <c r="Z151">
        <v>0.12688757575757575</v>
      </c>
      <c r="AA151">
        <v>0.1307178787878788</v>
      </c>
      <c r="AB151">
        <v>0.13351545454545455</v>
      </c>
      <c r="AC151">
        <v>0.13562454545454544</v>
      </c>
      <c r="AD151">
        <v>0.13681818181818181</v>
      </c>
      <c r="AE151">
        <v>0.13780909090909091</v>
      </c>
      <c r="AF151">
        <v>0.13843939393939395</v>
      </c>
      <c r="AG151">
        <v>0.13887927710843373</v>
      </c>
      <c r="AH151">
        <v>0.13921662650602409</v>
      </c>
      <c r="AI151">
        <v>0.13941200000000001</v>
      </c>
      <c r="AJ151">
        <v>0.13957915151515152</v>
      </c>
      <c r="AK151">
        <v>0.13969430303030303</v>
      </c>
      <c r="AL151">
        <v>0.13977181818181819</v>
      </c>
      <c r="AM151">
        <v>0.13983084720121031</v>
      </c>
      <c r="AN151">
        <v>0.13985202723146747</v>
      </c>
      <c r="AO151">
        <v>0.13987320726172467</v>
      </c>
      <c r="AP151">
        <v>0.13989438729198186</v>
      </c>
      <c r="AQ151">
        <v>0.13991556732223903</v>
      </c>
      <c r="AR151">
        <v>0.13993674735249623</v>
      </c>
      <c r="AS151">
        <v>0.13995792738275342</v>
      </c>
      <c r="AT151">
        <v>0.13997130105900152</v>
      </c>
      <c r="AU151">
        <v>0.13997432677760968</v>
      </c>
      <c r="AV151">
        <v>0.13997735249621787</v>
      </c>
      <c r="AW151">
        <v>0.13998037821482603</v>
      </c>
      <c r="AX151">
        <v>0.1399834039334342</v>
      </c>
      <c r="AY151">
        <v>0.13998642965204236</v>
      </c>
      <c r="AZ151">
        <v>0.13998945537065052</v>
      </c>
      <c r="BA151">
        <v>0.1399949696969697</v>
      </c>
      <c r="BB151">
        <v>0.14000000000000001</v>
      </c>
      <c r="BC151">
        <v>0.14000000000000001</v>
      </c>
      <c r="BD151">
        <v>0.14000000000000001</v>
      </c>
      <c r="BE151">
        <v>0.14000000000000001</v>
      </c>
      <c r="BF151">
        <v>0.14000000000000001</v>
      </c>
      <c r="BG151">
        <v>0.13999867469879521</v>
      </c>
      <c r="BH151">
        <v>0.13999265060240965</v>
      </c>
      <c r="BI151">
        <v>0.13988139393939394</v>
      </c>
      <c r="BJ151">
        <v>0.13968745454545453</v>
      </c>
      <c r="BK151">
        <v>0.13952660606060605</v>
      </c>
      <c r="BL151">
        <v>0.13937533333333335</v>
      </c>
      <c r="BM151">
        <v>0.139242</v>
      </c>
      <c r="BN151">
        <v>0.13911617246596067</v>
      </c>
      <c r="BO151">
        <v>0.13899514372163391</v>
      </c>
      <c r="BP151">
        <v>0.13887411497730712</v>
      </c>
      <c r="BQ151">
        <v>0.13875308623298035</v>
      </c>
      <c r="BR151">
        <v>0.13863205748865357</v>
      </c>
      <c r="BS151">
        <v>0.1385110287443268</v>
      </c>
      <c r="BT151">
        <v>0.13839000000000001</v>
      </c>
    </row>
    <row r="152" spans="1:72" ht="21.75" thickBot="1" x14ac:dyDescent="0.4">
      <c r="A152" s="18" t="s">
        <v>64</v>
      </c>
      <c r="B152" s="38">
        <v>0</v>
      </c>
      <c r="C152" s="38">
        <v>0</v>
      </c>
      <c r="D152" s="38">
        <v>0</v>
      </c>
      <c r="E152" s="38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9.2759001512858464E-24</v>
      </c>
      <c r="AU152">
        <v>3.0847760968229904E-23</v>
      </c>
      <c r="AV152">
        <v>5.2419621785173958E-23</v>
      </c>
      <c r="AW152">
        <v>7.3991482602118012E-23</v>
      </c>
      <c r="AX152">
        <v>9.5563343419062066E-23</v>
      </c>
      <c r="AY152">
        <v>1.1713520423600613E-22</v>
      </c>
      <c r="AZ152">
        <v>1.3870706505295017E-22</v>
      </c>
      <c r="BA152">
        <v>2.4050571816363769E-18</v>
      </c>
      <c r="BB152">
        <v>8.9402619175759956E-15</v>
      </c>
      <c r="BC152">
        <v>6.1501571432727508E-14</v>
      </c>
      <c r="BD152">
        <v>2.4962788244242644E-10</v>
      </c>
      <c r="BE152">
        <v>7.2951471213939614E-10</v>
      </c>
      <c r="BF152">
        <v>7.5769080000000404E-8</v>
      </c>
      <c r="BG152">
        <v>7.3156087710844788E-5</v>
      </c>
      <c r="BH152">
        <v>4.0503380457831425E-4</v>
      </c>
      <c r="BI152">
        <v>4.5694638787878951E-3</v>
      </c>
      <c r="BJ152">
        <v>1.1745185090909107E-2</v>
      </c>
      <c r="BK152">
        <v>1.6572587878787889E-2</v>
      </c>
      <c r="BL152">
        <v>2.078262424242425E-2</v>
      </c>
      <c r="BM152">
        <v>2.3896563636363645E-2</v>
      </c>
      <c r="BN152">
        <v>2.6052947049924363E-2</v>
      </c>
      <c r="BO152">
        <v>2.7597122541603635E-2</v>
      </c>
      <c r="BP152">
        <v>2.9141298033282907E-2</v>
      </c>
      <c r="BQ152">
        <v>3.0685473524962183E-2</v>
      </c>
      <c r="BR152">
        <v>3.2229649016641458E-2</v>
      </c>
      <c r="BS152">
        <v>3.3773824508320727E-2</v>
      </c>
      <c r="BT152">
        <v>3.5318000000000002E-2</v>
      </c>
    </row>
    <row r="153" spans="1:72" ht="21.75" thickBot="1" x14ac:dyDescent="0.4">
      <c r="A153" s="18" t="s">
        <v>65</v>
      </c>
      <c r="B153" s="38">
        <v>0</v>
      </c>
      <c r="C153" s="38">
        <v>0</v>
      </c>
      <c r="D153" s="38">
        <v>0</v>
      </c>
      <c r="E153" s="38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1.4603736762480957E-24</v>
      </c>
      <c r="AU153">
        <v>4.8565915279878889E-24</v>
      </c>
      <c r="AV153">
        <v>8.2528093797276815E-24</v>
      </c>
      <c r="AW153">
        <v>1.1649027231467476E-23</v>
      </c>
      <c r="AX153">
        <v>1.5045245083207268E-23</v>
      </c>
      <c r="AY153">
        <v>1.8441462934947062E-23</v>
      </c>
      <c r="AZ153">
        <v>2.1837680786686856E-23</v>
      </c>
      <c r="BA153">
        <v>2.8727468646666828E-19</v>
      </c>
      <c r="BB153">
        <v>8.2712029357577964E-16</v>
      </c>
      <c r="BC153">
        <v>5.6891336087272948E-15</v>
      </c>
      <c r="BD153">
        <v>1.8232597501212283E-11</v>
      </c>
      <c r="BE153">
        <v>5.3279856349697128E-11</v>
      </c>
      <c r="BF153">
        <v>4.4500515636363868E-9</v>
      </c>
      <c r="BG153">
        <v>3.5333726361446459E-6</v>
      </c>
      <c r="BH153">
        <v>1.955603052771089E-5</v>
      </c>
      <c r="BI153">
        <v>2.4103984242424331E-4</v>
      </c>
      <c r="BJ153">
        <v>6.23957418181819E-4</v>
      </c>
      <c r="BK153">
        <v>9.4117078787878854E-4</v>
      </c>
      <c r="BL153">
        <v>1.2416466666666673E-3</v>
      </c>
      <c r="BM153">
        <v>1.5129800000000006E-3</v>
      </c>
      <c r="BN153">
        <v>1.7667226928895618E-3</v>
      </c>
      <c r="BO153">
        <v>2.0092189107413015E-3</v>
      </c>
      <c r="BP153">
        <v>2.2517151285930412E-3</v>
      </c>
      <c r="BQ153">
        <v>2.4942113464447809E-3</v>
      </c>
      <c r="BR153">
        <v>2.7367075642965207E-3</v>
      </c>
      <c r="BS153">
        <v>2.9792037821482604E-3</v>
      </c>
      <c r="BT153">
        <v>3.2217000000000001E-3</v>
      </c>
    </row>
    <row r="154" spans="1:72" ht="21.75" thickBot="1" x14ac:dyDescent="0.4">
      <c r="A154" s="18" t="s">
        <v>28</v>
      </c>
      <c r="B154" s="38">
        <v>-18.649999999999999</v>
      </c>
      <c r="C154" s="38">
        <v>-18.652303030303027</v>
      </c>
      <c r="D154" s="38">
        <v>-18.658363636363635</v>
      </c>
      <c r="E154" s="38">
        <v>-18.664424242424243</v>
      </c>
      <c r="F154">
        <v>-18.670968229954617</v>
      </c>
      <c r="G154">
        <v>-18.683071104387292</v>
      </c>
      <c r="H154">
        <v>-18.69517397881997</v>
      </c>
      <c r="I154">
        <v>-18.707276853252647</v>
      </c>
      <c r="J154">
        <v>-18.719379727685325</v>
      </c>
      <c r="K154">
        <v>-18.731482602118003</v>
      </c>
      <c r="L154">
        <v>-18.743585476550681</v>
      </c>
      <c r="M154">
        <v>-18.758545454545455</v>
      </c>
      <c r="N154">
        <v>-18.776727272727275</v>
      </c>
      <c r="O154">
        <v>-18.794909090909091</v>
      </c>
      <c r="P154">
        <v>-18.812048192771083</v>
      </c>
      <c r="Q154">
        <v>-18.824096385542166</v>
      </c>
      <c r="R154">
        <v>-18.839272727272725</v>
      </c>
      <c r="S154">
        <v>-18.857454545454544</v>
      </c>
      <c r="T154">
        <v>-18.880848484848485</v>
      </c>
      <c r="U154">
        <v>-18.903818181818181</v>
      </c>
      <c r="V154">
        <v>-18.922000000000001</v>
      </c>
      <c r="W154">
        <v>-18.94018181818182</v>
      </c>
      <c r="X154">
        <v>-18.958363636363636</v>
      </c>
      <c r="Y154">
        <v>-18.976445783132529</v>
      </c>
      <c r="Z154">
        <v>-18.996060606060606</v>
      </c>
      <c r="AA154">
        <v>-19.02030303030303</v>
      </c>
      <c r="AB154">
        <v>-19.040909090909093</v>
      </c>
      <c r="AC154">
        <v>-19.059090909090909</v>
      </c>
      <c r="AD154">
        <v>-19.083030303030302</v>
      </c>
      <c r="AE154">
        <v>-19.105454545454545</v>
      </c>
      <c r="AF154">
        <v>-19.123636363636365</v>
      </c>
      <c r="AG154">
        <v>-19.145662650602411</v>
      </c>
      <c r="AH154">
        <v>-19.16975903614458</v>
      </c>
      <c r="AI154">
        <v>-19.187999999999999</v>
      </c>
      <c r="AJ154">
        <v>-19.206181818181818</v>
      </c>
      <c r="AK154">
        <v>-19.224363636363638</v>
      </c>
      <c r="AL154">
        <v>-19.246727272727274</v>
      </c>
      <c r="AM154">
        <v>-19.270665658093797</v>
      </c>
      <c r="AN154">
        <v>-19.287307110438729</v>
      </c>
      <c r="AO154">
        <v>-19.30394856278366</v>
      </c>
      <c r="AP154">
        <v>-19.320590015128591</v>
      </c>
      <c r="AQ154">
        <v>-19.337231467473526</v>
      </c>
      <c r="AR154">
        <v>-19.353872919818457</v>
      </c>
      <c r="AS154">
        <v>-19.370514372163388</v>
      </c>
      <c r="AT154">
        <v>-19.388456883509832</v>
      </c>
      <c r="AU154">
        <v>-19.408124054462935</v>
      </c>
      <c r="AV154">
        <v>-19.427791225416037</v>
      </c>
      <c r="AW154">
        <v>-19.447458396369139</v>
      </c>
      <c r="AX154">
        <v>-19.467125567322238</v>
      </c>
      <c r="AY154">
        <v>-19.486792738275341</v>
      </c>
      <c r="AZ154">
        <v>-19.506459909228443</v>
      </c>
      <c r="BA154">
        <v>-19.52987878787879</v>
      </c>
      <c r="BB154">
        <v>-19.553090909090908</v>
      </c>
      <c r="BC154">
        <v>-19.571272727272728</v>
      </c>
      <c r="BD154">
        <v>-19.589454545454544</v>
      </c>
      <c r="BE154">
        <v>-19.607636363636363</v>
      </c>
      <c r="BF154">
        <v>-19.625818181818182</v>
      </c>
      <c r="BG154">
        <v>-19.643975903614457</v>
      </c>
      <c r="BH154">
        <v>-19.662048192771085</v>
      </c>
      <c r="BI154">
        <v>-19.680181818181818</v>
      </c>
      <c r="BJ154">
        <v>-19.698363636363634</v>
      </c>
      <c r="BK154">
        <v>-19.716545454545454</v>
      </c>
      <c r="BL154">
        <v>-19.734727272727273</v>
      </c>
      <c r="BM154">
        <v>-19.752909090909093</v>
      </c>
      <c r="BN154">
        <v>-19.771074130105902</v>
      </c>
      <c r="BO154">
        <v>-19.789228441754918</v>
      </c>
      <c r="BP154">
        <v>-19.807382753403935</v>
      </c>
      <c r="BQ154">
        <v>-19.825537065052949</v>
      </c>
      <c r="BR154">
        <v>-19.843691376701965</v>
      </c>
      <c r="BS154">
        <v>-19.861845688350982</v>
      </c>
      <c r="BT154">
        <v>-19.88</v>
      </c>
    </row>
    <row r="155" spans="1:72" ht="21.75" thickBot="1" x14ac:dyDescent="0.4">
      <c r="A155" s="18" t="s">
        <v>5</v>
      </c>
      <c r="B155" s="38">
        <v>-61.397575757575751</v>
      </c>
      <c r="C155" s="38">
        <v>-59.346181818181812</v>
      </c>
      <c r="D155" s="38">
        <v>-57.30981818181818</v>
      </c>
      <c r="E155" s="38">
        <v>-55.273454545454541</v>
      </c>
      <c r="F155">
        <v>-53.250408472012097</v>
      </c>
      <c r="G155">
        <v>-51.38051437216339</v>
      </c>
      <c r="H155">
        <v>-49.510620272314675</v>
      </c>
      <c r="I155">
        <v>-47.640726172465961</v>
      </c>
      <c r="J155">
        <v>-45.770832072617246</v>
      </c>
      <c r="K155">
        <v>-43.900937972768531</v>
      </c>
      <c r="L155">
        <v>-42.031043872919817</v>
      </c>
      <c r="M155">
        <v>-40.302242424242429</v>
      </c>
      <c r="N155">
        <v>-38.732545454545459</v>
      </c>
      <c r="O155">
        <v>-37.272181818181821</v>
      </c>
      <c r="P155">
        <v>-35.859819277108436</v>
      </c>
      <c r="Q155">
        <v>-34.564638554216863</v>
      </c>
      <c r="R155">
        <v>-33.31490909090909</v>
      </c>
      <c r="S155">
        <v>-32.10884848484848</v>
      </c>
      <c r="T155">
        <v>-30.96533333333333</v>
      </c>
      <c r="U155">
        <v>-29.842181818181817</v>
      </c>
      <c r="V155">
        <v>-28.757333333333332</v>
      </c>
      <c r="W155">
        <v>-27.689454545454545</v>
      </c>
      <c r="X155">
        <v>-26.634909090909087</v>
      </c>
      <c r="Y155">
        <v>-25.624518072289156</v>
      </c>
      <c r="Z155">
        <v>-24.627575757575759</v>
      </c>
      <c r="AA155">
        <v>-23.657878787878786</v>
      </c>
      <c r="AB155">
        <v>-22.713636363636361</v>
      </c>
      <c r="AC155">
        <v>-21.786363636363635</v>
      </c>
      <c r="AD155">
        <v>-20.893636363636361</v>
      </c>
      <c r="AE155">
        <v>-20.015454545454546</v>
      </c>
      <c r="AF155">
        <v>-19.166969696969698</v>
      </c>
      <c r="AG155">
        <v>-18.349216867469881</v>
      </c>
      <c r="AH155">
        <v>-17.548012048192771</v>
      </c>
      <c r="AI155">
        <v>-16.772000000000002</v>
      </c>
      <c r="AJ155">
        <v>-16.010666666666669</v>
      </c>
      <c r="AK155">
        <v>-15.277333333333337</v>
      </c>
      <c r="AL155">
        <v>-14.57327272727273</v>
      </c>
      <c r="AM155">
        <v>-13.891119515885023</v>
      </c>
      <c r="AN155">
        <v>-13.419107413010591</v>
      </c>
      <c r="AO155">
        <v>-12.947095310136159</v>
      </c>
      <c r="AP155">
        <v>-12.475083207261726</v>
      </c>
      <c r="AQ155">
        <v>-12.003071104387294</v>
      </c>
      <c r="AR155">
        <v>-11.531059001512862</v>
      </c>
      <c r="AS155">
        <v>-11.059046898638428</v>
      </c>
      <c r="AT155">
        <v>-10.686500756429652</v>
      </c>
      <c r="AU155">
        <v>-10.445804841149773</v>
      </c>
      <c r="AV155">
        <v>-10.205108925869894</v>
      </c>
      <c r="AW155">
        <v>-9.9644130105900146</v>
      </c>
      <c r="AX155">
        <v>-9.7237170953101355</v>
      </c>
      <c r="AY155">
        <v>-9.4830211800302564</v>
      </c>
      <c r="AZ155">
        <v>-9.2423252647503773</v>
      </c>
      <c r="BA155">
        <v>-9.0374848484848478</v>
      </c>
      <c r="BB155">
        <v>-8.8429878787878788</v>
      </c>
      <c r="BC155">
        <v>-8.6605636363636354</v>
      </c>
      <c r="BD155">
        <v>-8.4853878787878791</v>
      </c>
      <c r="BE155">
        <v>-8.3169030303030294</v>
      </c>
      <c r="BF155">
        <v>-8.1584363636363619</v>
      </c>
      <c r="BG155">
        <v>-8.0052530120481915</v>
      </c>
      <c r="BH155">
        <v>-7.8654939759036138</v>
      </c>
      <c r="BI155">
        <v>-7.8216484848484846</v>
      </c>
      <c r="BJ155">
        <v>-7.8531636363636359</v>
      </c>
      <c r="BK155">
        <v>-7.8885393939393937</v>
      </c>
      <c r="BL155">
        <v>-7.9239818181818187</v>
      </c>
      <c r="BM155">
        <v>-7.9585272727272729</v>
      </c>
      <c r="BN155">
        <v>-7.9927639939485635</v>
      </c>
      <c r="BO155">
        <v>-8.0268033282904696</v>
      </c>
      <c r="BP155">
        <v>-8.0608426626323748</v>
      </c>
      <c r="BQ155">
        <v>-8.0948819969742818</v>
      </c>
      <c r="BR155">
        <v>-8.128921331316187</v>
      </c>
      <c r="BS155">
        <v>-8.162960665658094</v>
      </c>
      <c r="BT155">
        <v>-8.1969999999999992</v>
      </c>
    </row>
    <row r="156" spans="1:72" ht="21.75" thickBot="1" x14ac:dyDescent="0.4">
      <c r="A156" s="18" t="s">
        <v>6</v>
      </c>
      <c r="B156" s="38">
        <v>-15.728121212121211</v>
      </c>
      <c r="C156" s="38">
        <v>-15.19890909090909</v>
      </c>
      <c r="D156" s="38">
        <v>-14.617090909090908</v>
      </c>
      <c r="E156" s="38">
        <v>-13.973333333333333</v>
      </c>
      <c r="F156">
        <v>-13.306819969742813</v>
      </c>
      <c r="G156">
        <v>-12.642069591527987</v>
      </c>
      <c r="H156">
        <v>-11.977319213313161</v>
      </c>
      <c r="I156">
        <v>-11.312568835098336</v>
      </c>
      <c r="J156">
        <v>-10.64781845688351</v>
      </c>
      <c r="K156">
        <v>-9.9830680786686834</v>
      </c>
      <c r="L156">
        <v>-9.3183177004538571</v>
      </c>
      <c r="M156">
        <v>-8.7127696969696977</v>
      </c>
      <c r="N156">
        <v>-8.1739818181818187</v>
      </c>
      <c r="O156">
        <v>-7.7077515151515152</v>
      </c>
      <c r="P156">
        <v>-7.2751144578313252</v>
      </c>
      <c r="Q156">
        <v>-6.9287289156626501</v>
      </c>
      <c r="R156">
        <v>-6.6325818181818175</v>
      </c>
      <c r="S156">
        <v>-6.3847030303030294</v>
      </c>
      <c r="T156">
        <v>-6.2129212121212118</v>
      </c>
      <c r="U156">
        <v>-6.068036363636363</v>
      </c>
      <c r="V156">
        <v>-5.9777333333333331</v>
      </c>
      <c r="W156">
        <v>-5.9149212121212118</v>
      </c>
      <c r="X156">
        <v>-5.8737090909090908</v>
      </c>
      <c r="Y156">
        <v>-5.8601325301204819</v>
      </c>
      <c r="Z156">
        <v>-5.8533636363636363</v>
      </c>
      <c r="AA156">
        <v>-5.8588181818181821</v>
      </c>
      <c r="AB156">
        <v>-5.8700909090909086</v>
      </c>
      <c r="AC156">
        <v>-5.8852424242424242</v>
      </c>
      <c r="AD156">
        <v>-5.9044242424242421</v>
      </c>
      <c r="AE156">
        <v>-5.9247272727272726</v>
      </c>
      <c r="AF156">
        <v>-5.9471515151515151</v>
      </c>
      <c r="AG156">
        <v>-5.9698795180722897</v>
      </c>
      <c r="AH156">
        <v>-5.9927710843373498</v>
      </c>
      <c r="AI156">
        <v>-6.0170000000000003</v>
      </c>
      <c r="AJ156">
        <v>-6.0414484848484848</v>
      </c>
      <c r="AK156">
        <v>-6.0662969696969693</v>
      </c>
      <c r="AL156">
        <v>-6.0923999999999996</v>
      </c>
      <c r="AM156">
        <v>-6.1192950075642969</v>
      </c>
      <c r="AN156">
        <v>-6.1516701966717093</v>
      </c>
      <c r="AO156">
        <v>-6.1840453857791227</v>
      </c>
      <c r="AP156">
        <v>-6.216420574886536</v>
      </c>
      <c r="AQ156">
        <v>-6.2487957639939484</v>
      </c>
      <c r="AR156">
        <v>-6.2811709531013618</v>
      </c>
      <c r="AS156">
        <v>-6.3135461422087742</v>
      </c>
      <c r="AT156">
        <v>-6.3434493192133132</v>
      </c>
      <c r="AU156">
        <v>-6.3700756429652037</v>
      </c>
      <c r="AV156">
        <v>-6.396701966717095</v>
      </c>
      <c r="AW156">
        <v>-6.4233282904689863</v>
      </c>
      <c r="AX156">
        <v>-6.4499546142208777</v>
      </c>
      <c r="AY156">
        <v>-6.476580937972769</v>
      </c>
      <c r="AZ156">
        <v>-6.5032072617246595</v>
      </c>
      <c r="BA156">
        <v>-6.529369696969697</v>
      </c>
      <c r="BB156">
        <v>-6.5554303030303034</v>
      </c>
      <c r="BC156">
        <v>-6.5814909090909097</v>
      </c>
      <c r="BD156">
        <v>-6.607236363636364</v>
      </c>
      <c r="BE156">
        <v>-6.6326909090909094</v>
      </c>
      <c r="BF156">
        <v>-6.6581454545454548</v>
      </c>
      <c r="BG156">
        <v>-6.6834337349397588</v>
      </c>
      <c r="BH156">
        <v>-6.7081325301204826</v>
      </c>
      <c r="BI156">
        <v>-6.7298606060606065</v>
      </c>
      <c r="BJ156">
        <v>-6.7492545454545461</v>
      </c>
      <c r="BK156">
        <v>-6.7691999999999997</v>
      </c>
      <c r="BL156">
        <v>-6.7892000000000001</v>
      </c>
      <c r="BM156">
        <v>-6.8091999999999997</v>
      </c>
      <c r="BN156">
        <v>-6.8296429652042363</v>
      </c>
      <c r="BO156">
        <v>-6.8503691376701967</v>
      </c>
      <c r="BP156">
        <v>-6.8710953101361572</v>
      </c>
      <c r="BQ156">
        <v>-6.8918214826021176</v>
      </c>
      <c r="BR156">
        <v>-6.9125476550680789</v>
      </c>
      <c r="BS156">
        <v>-6.9332738275340393</v>
      </c>
      <c r="BT156">
        <v>-6.9539999999999997</v>
      </c>
    </row>
    <row r="157" spans="1:72" x14ac:dyDescent="0.35">
      <c r="A157" t="s">
        <v>7</v>
      </c>
      <c r="B157" s="38">
        <v>-22.04309090909091</v>
      </c>
      <c r="C157" s="38">
        <v>-21.641757575757577</v>
      </c>
      <c r="D157" s="38">
        <v>-21.356909090909092</v>
      </c>
      <c r="E157" s="38">
        <v>-21.195939393939394</v>
      </c>
      <c r="F157">
        <v>-21.096777609682299</v>
      </c>
      <c r="G157">
        <v>-21.181497730711044</v>
      </c>
      <c r="H157">
        <v>-21.266217851739789</v>
      </c>
      <c r="I157">
        <v>-21.350937972768531</v>
      </c>
      <c r="J157">
        <v>-21.435658093797276</v>
      </c>
      <c r="K157">
        <v>-21.520378214826021</v>
      </c>
      <c r="L157">
        <v>-21.605098335854763</v>
      </c>
      <c r="M157">
        <v>-21.706969696969697</v>
      </c>
      <c r="N157">
        <v>-21.828181818181818</v>
      </c>
      <c r="O157">
        <v>-21.939454545454545</v>
      </c>
      <c r="P157">
        <v>-22.045361445783133</v>
      </c>
      <c r="Q157">
        <v>-22.135722891566264</v>
      </c>
      <c r="R157">
        <v>-22.223272727272729</v>
      </c>
      <c r="S157">
        <v>-22.308121212121211</v>
      </c>
      <c r="T157">
        <v>-22.398181818181818</v>
      </c>
      <c r="U157">
        <v>-22.492909090909091</v>
      </c>
      <c r="V157">
        <v>-22.602</v>
      </c>
      <c r="W157">
        <v>-22.721272727272726</v>
      </c>
      <c r="X157">
        <v>-22.848545454545455</v>
      </c>
      <c r="Y157">
        <v>-22.980602409638553</v>
      </c>
      <c r="Z157">
        <v>-23.114848484848483</v>
      </c>
      <c r="AA157">
        <v>-23.254242424242424</v>
      </c>
      <c r="AB157">
        <v>-23.393636363636361</v>
      </c>
      <c r="AC157">
        <v>-23.533030303030301</v>
      </c>
      <c r="AD157">
        <v>-23.67818181818182</v>
      </c>
      <c r="AE157">
        <v>-23.821818181818184</v>
      </c>
      <c r="AF157">
        <v>-23.961212121212121</v>
      </c>
      <c r="AG157">
        <v>-24.103975903614458</v>
      </c>
      <c r="AH157">
        <v>-24.248554216867468</v>
      </c>
      <c r="AI157">
        <v>-24.388000000000002</v>
      </c>
      <c r="AJ157">
        <v>-24.527393939393939</v>
      </c>
      <c r="AK157">
        <v>-24.666787878787879</v>
      </c>
      <c r="AL157">
        <v>-24.80618181818182</v>
      </c>
      <c r="AM157">
        <v>-24.94532526475038</v>
      </c>
      <c r="AN157">
        <v>-25.078456883509833</v>
      </c>
      <c r="AO157">
        <v>-25.21158850226929</v>
      </c>
      <c r="AP157">
        <v>-25.344720121028743</v>
      </c>
      <c r="AQ157">
        <v>-25.4778517397882</v>
      </c>
      <c r="AR157">
        <v>-25.610983358547657</v>
      </c>
      <c r="AS157">
        <v>-25.74411497730711</v>
      </c>
      <c r="AT157">
        <v>-25.875945537065054</v>
      </c>
      <c r="AU157">
        <v>-26.006051437216339</v>
      </c>
      <c r="AV157">
        <v>-26.136157337367624</v>
      </c>
      <c r="AW157">
        <v>-26.26626323751891</v>
      </c>
      <c r="AX157">
        <v>-26.396369137670195</v>
      </c>
      <c r="AY157">
        <v>-26.526475037821484</v>
      </c>
      <c r="AZ157">
        <v>-26.65658093797277</v>
      </c>
      <c r="BA157">
        <v>-26.789333333333332</v>
      </c>
      <c r="BB157">
        <v>-26.921636363636363</v>
      </c>
      <c r="BC157">
        <v>-27.048909090909092</v>
      </c>
      <c r="BD157">
        <v>-27.176181818181817</v>
      </c>
      <c r="BE157">
        <v>-27.303454545454546</v>
      </c>
      <c r="BF157">
        <v>-27.425454545454546</v>
      </c>
      <c r="BG157">
        <v>-27.547831325301207</v>
      </c>
      <c r="BH157">
        <v>-27.674337349397589</v>
      </c>
      <c r="BI157">
        <v>-27.794484848484849</v>
      </c>
      <c r="BJ157">
        <v>-27.909636363636366</v>
      </c>
      <c r="BK157">
        <v>-28.02478787878788</v>
      </c>
      <c r="BL157">
        <v>-28.139939393939393</v>
      </c>
      <c r="BM157">
        <v>-28.25509090909091</v>
      </c>
      <c r="BN157">
        <v>-28.371981845688353</v>
      </c>
      <c r="BO157">
        <v>-28.489984871406961</v>
      </c>
      <c r="BP157">
        <v>-28.607987897125568</v>
      </c>
      <c r="BQ157">
        <v>-28.725990922844176</v>
      </c>
      <c r="BR157">
        <v>-28.843993948562783</v>
      </c>
      <c r="BS157">
        <v>-28.961996974281391</v>
      </c>
      <c r="BT157">
        <v>-29.08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72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N22"/>
  <sheetViews>
    <sheetView workbookViewId="0">
      <pane xSplit="1" topLeftCell="B1" activePane="topRight" state="frozen"/>
      <selection pane="topRight" activeCell="B1" sqref="B1:N19"/>
    </sheetView>
  </sheetViews>
  <sheetFormatPr defaultRowHeight="21" x14ac:dyDescent="0.35"/>
  <cols>
    <col min="1" max="1" width="4.81640625" customWidth="1"/>
  </cols>
  <sheetData>
    <row r="1" spans="1:14" ht="28.5" x14ac:dyDescent="0.45">
      <c r="A1" s="45">
        <v>0</v>
      </c>
      <c r="B1" s="55"/>
      <c r="C1" s="55">
        <v>273</v>
      </c>
      <c r="D1" s="55">
        <v>339.2</v>
      </c>
      <c r="E1" s="55">
        <v>405.3</v>
      </c>
      <c r="F1" s="55">
        <v>471.4</v>
      </c>
      <c r="G1" s="55">
        <v>537.5</v>
      </c>
      <c r="H1" s="55">
        <v>603.5</v>
      </c>
      <c r="I1" s="55">
        <v>669.6</v>
      </c>
      <c r="J1" s="55">
        <v>735.7</v>
      </c>
      <c r="K1" s="55">
        <v>801.8</v>
      </c>
      <c r="L1" s="55">
        <v>867.8</v>
      </c>
      <c r="M1">
        <v>933.9</v>
      </c>
      <c r="N1">
        <v>1000</v>
      </c>
    </row>
    <row r="2" spans="1:14" ht="21.75" customHeight="1" x14ac:dyDescent="0.35">
      <c r="A2" s="46" t="s">
        <v>32</v>
      </c>
      <c r="B2" s="168" t="s">
        <v>82</v>
      </c>
      <c r="C2" s="167">
        <v>2.2783E-8</v>
      </c>
      <c r="D2" s="167">
        <v>2.3207999999999998E-8</v>
      </c>
      <c r="E2" s="167">
        <v>3.0831E-8</v>
      </c>
      <c r="F2" s="167">
        <v>1.9866000000000001E-8</v>
      </c>
      <c r="G2" s="167">
        <v>2.0292999999999998E-8</v>
      </c>
      <c r="H2" s="167">
        <v>2.1535000000000001E-8</v>
      </c>
      <c r="I2" s="167">
        <v>2.3738000000000001E-8</v>
      </c>
      <c r="J2" s="167">
        <v>2.6975999999999999E-8</v>
      </c>
      <c r="K2" s="167">
        <v>2.6417999999999999E-8</v>
      </c>
      <c r="L2" s="167">
        <v>2.7024000000000001E-8</v>
      </c>
      <c r="M2" s="167">
        <v>2.0041999999999998E-8</v>
      </c>
      <c r="N2" s="167">
        <v>1.3179E-8</v>
      </c>
    </row>
    <row r="3" spans="1:14" x14ac:dyDescent="0.35">
      <c r="B3" s="168" t="s">
        <v>83</v>
      </c>
      <c r="C3" s="167">
        <v>2.7272000000000002E-25</v>
      </c>
      <c r="D3" s="167">
        <v>4.1284999999999998E-19</v>
      </c>
      <c r="E3" s="167">
        <v>4.7391E-15</v>
      </c>
      <c r="F3" s="167">
        <v>3.3814000000000001E-12</v>
      </c>
      <c r="G3" s="167">
        <v>4.3065999999999999E-10</v>
      </c>
      <c r="H3" s="167">
        <v>1.7616E-8</v>
      </c>
      <c r="I3" s="167">
        <v>3.2985000000000001E-7</v>
      </c>
      <c r="J3" s="167">
        <v>3.5267999999999998E-6</v>
      </c>
      <c r="K3" s="167">
        <v>2.4674000000000001E-5</v>
      </c>
      <c r="L3" s="167">
        <v>1.2306E-4</v>
      </c>
      <c r="M3" s="167">
        <v>4.5855000000000001E-4</v>
      </c>
      <c r="N3" s="167">
        <v>1.2537E-3</v>
      </c>
    </row>
    <row r="4" spans="1:14" x14ac:dyDescent="0.35">
      <c r="B4" s="168" t="s">
        <v>81</v>
      </c>
      <c r="C4" s="167">
        <v>2.8659000000000002E-23</v>
      </c>
      <c r="D4" s="167">
        <v>1.0815E-17</v>
      </c>
      <c r="E4" s="167">
        <v>4.5678000000000001E-14</v>
      </c>
      <c r="F4" s="167">
        <v>1.5258999999999999E-11</v>
      </c>
      <c r="G4" s="167">
        <v>1.0687E-9</v>
      </c>
      <c r="H4" s="167">
        <v>2.6931000000000001E-8</v>
      </c>
      <c r="I4" s="167">
        <v>3.3792E-7</v>
      </c>
      <c r="J4" s="167">
        <v>2.5795E-6</v>
      </c>
      <c r="K4" s="167">
        <v>1.3482000000000001E-5</v>
      </c>
      <c r="L4" s="167">
        <v>5.1613999999999997E-5</v>
      </c>
      <c r="M4" s="167">
        <v>1.4820999999999999E-4</v>
      </c>
      <c r="N4" s="167">
        <v>3.0273000000000002E-4</v>
      </c>
    </row>
    <row r="5" spans="1:14" x14ac:dyDescent="0.35">
      <c r="B5" s="168" t="s">
        <v>84</v>
      </c>
      <c r="C5" s="167">
        <v>8.2633000000000005E-20</v>
      </c>
      <c r="D5" s="167">
        <v>1.0203E-14</v>
      </c>
      <c r="E5" s="167">
        <v>1.9244000000000002E-11</v>
      </c>
      <c r="F5" s="167">
        <v>3.4791000000000001E-9</v>
      </c>
      <c r="G5" s="167">
        <v>1.4992000000000001E-7</v>
      </c>
      <c r="H5" s="167">
        <v>2.5457999999999998E-6</v>
      </c>
      <c r="I5" s="167">
        <v>2.3031999999999999E-5</v>
      </c>
      <c r="J5" s="167">
        <v>1.3339E-4</v>
      </c>
      <c r="K5" s="167">
        <v>5.4830999999999999E-4</v>
      </c>
      <c r="L5" s="167">
        <v>1.6838000000000001E-3</v>
      </c>
      <c r="M5" s="167">
        <v>3.8706999999999999E-3</v>
      </c>
      <c r="N5" s="167">
        <v>6.1057000000000004E-3</v>
      </c>
    </row>
    <row r="6" spans="1:14" x14ac:dyDescent="0.35">
      <c r="B6" s="168" t="s">
        <v>85</v>
      </c>
      <c r="C6" s="167">
        <v>3.1684999999999997E-17</v>
      </c>
      <c r="D6" s="167">
        <v>5.6344999999999999E-13</v>
      </c>
      <c r="E6" s="167">
        <v>2.7175000000000002E-10</v>
      </c>
      <c r="F6" s="167">
        <v>1.7757000000000001E-8</v>
      </c>
      <c r="G6" s="167">
        <v>3.4676999999999997E-7</v>
      </c>
      <c r="H6" s="167">
        <v>3.1225000000000002E-6</v>
      </c>
      <c r="I6" s="167">
        <v>1.6796E-5</v>
      </c>
      <c r="J6" s="167">
        <v>6.2982000000000001E-5</v>
      </c>
      <c r="K6" s="167">
        <v>1.7830999999999999E-4</v>
      </c>
      <c r="L6" s="167">
        <v>3.9241999999999999E-4</v>
      </c>
      <c r="M6" s="167">
        <v>6.5547999999999995E-4</v>
      </c>
      <c r="N6" s="167">
        <v>7.3410000000000001E-4</v>
      </c>
    </row>
    <row r="7" spans="1:14" x14ac:dyDescent="0.35">
      <c r="B7" s="168" t="s">
        <v>88</v>
      </c>
      <c r="C7" s="167">
        <v>2.7152E-18</v>
      </c>
      <c r="D7" s="167">
        <v>8.4466000000000006E-14</v>
      </c>
      <c r="E7" s="167">
        <v>5.5912000000000002E-11</v>
      </c>
      <c r="F7" s="167">
        <v>4.4193000000000002E-9</v>
      </c>
      <c r="G7" s="167">
        <v>9.7182000000000003E-8</v>
      </c>
      <c r="H7" s="167">
        <v>9.4422000000000002E-7</v>
      </c>
      <c r="I7" s="167">
        <v>5.3391000000000003E-6</v>
      </c>
      <c r="J7" s="167">
        <v>2.0684999999999999E-5</v>
      </c>
      <c r="K7" s="167">
        <v>5.9579E-5</v>
      </c>
      <c r="L7" s="167">
        <v>1.3079000000000001E-4</v>
      </c>
      <c r="M7" s="167">
        <v>2.1085E-4</v>
      </c>
      <c r="N7" s="167">
        <v>2.1446E-4</v>
      </c>
    </row>
    <row r="8" spans="1:14" x14ac:dyDescent="0.35">
      <c r="B8" s="168" t="s">
        <v>86</v>
      </c>
      <c r="C8" s="167">
        <v>4.8741E-20</v>
      </c>
      <c r="D8" s="167">
        <v>2.3718E-15</v>
      </c>
      <c r="E8" s="167">
        <v>2.0001999999999999E-12</v>
      </c>
      <c r="F8" s="167">
        <v>1.8133000000000001E-10</v>
      </c>
      <c r="G8" s="167">
        <v>4.3148999999999996E-9</v>
      </c>
      <c r="H8" s="167">
        <v>4.3858000000000001E-8</v>
      </c>
      <c r="I8" s="167">
        <v>2.5432000000000002E-7</v>
      </c>
      <c r="J8" s="167">
        <v>9.9755999999999994E-7</v>
      </c>
      <c r="K8" s="167">
        <v>2.8744E-6</v>
      </c>
      <c r="L8" s="167">
        <v>6.2053999999999999E-6</v>
      </c>
      <c r="M8" s="167">
        <v>9.5367999999999999E-6</v>
      </c>
      <c r="N8" s="167">
        <v>8.7167999999999993E-6</v>
      </c>
    </row>
    <row r="9" spans="1:14" x14ac:dyDescent="0.35">
      <c r="B9" s="168" t="s">
        <v>87</v>
      </c>
      <c r="C9" s="167">
        <v>3.8015999999999999E-20</v>
      </c>
      <c r="D9" s="167">
        <v>4.4898999999999999E-15</v>
      </c>
      <c r="E9" s="167">
        <v>1.0202999999999999E-11</v>
      </c>
      <c r="F9" s="167">
        <v>2.4183999999999998E-9</v>
      </c>
      <c r="G9" s="167">
        <v>1.4000999999999999E-7</v>
      </c>
      <c r="H9" s="167">
        <v>3.1868000000000001E-6</v>
      </c>
      <c r="I9" s="167">
        <v>3.8056000000000003E-5</v>
      </c>
      <c r="J9" s="167">
        <v>2.8582E-4</v>
      </c>
      <c r="K9" s="167">
        <v>1.5125E-3</v>
      </c>
      <c r="L9" s="167">
        <v>6.0857999999999997E-3</v>
      </c>
      <c r="M9" s="167">
        <v>1.9578000000000002E-2</v>
      </c>
      <c r="N9" s="167">
        <v>5.0479999999999997E-2</v>
      </c>
    </row>
    <row r="10" spans="1:14" x14ac:dyDescent="0.35">
      <c r="B10" s="168" t="s">
        <v>2</v>
      </c>
      <c r="C10" s="167">
        <v>0</v>
      </c>
      <c r="D10" s="167">
        <v>5.7083999999999999E-31</v>
      </c>
      <c r="E10" s="167">
        <v>3.8902999999999999E-25</v>
      </c>
      <c r="F10" s="167">
        <v>5.8614000000000001E-21</v>
      </c>
      <c r="G10" s="167">
        <v>8.0426999999999996E-18</v>
      </c>
      <c r="H10" s="167">
        <v>2.2259000000000001E-15</v>
      </c>
      <c r="I10" s="167">
        <v>2.0128999999999999E-13</v>
      </c>
      <c r="J10" s="167">
        <v>8.0862E-12</v>
      </c>
      <c r="K10" s="167">
        <v>1.7658E-10</v>
      </c>
      <c r="L10" s="167">
        <v>2.4185999999999999E-9</v>
      </c>
      <c r="M10" s="167">
        <v>2.3157E-8</v>
      </c>
      <c r="N10" s="167">
        <v>1.6509E-7</v>
      </c>
    </row>
    <row r="11" spans="1:14" x14ac:dyDescent="0.35">
      <c r="B11" s="168" t="s">
        <v>71</v>
      </c>
      <c r="C11" s="167">
        <v>5.0018E-12</v>
      </c>
      <c r="D11" s="167">
        <v>5.1719999999999999E-9</v>
      </c>
      <c r="E11" s="167">
        <v>4.7672E-7</v>
      </c>
      <c r="F11" s="167">
        <v>1.1173E-5</v>
      </c>
      <c r="G11" s="167">
        <v>1.1153E-4</v>
      </c>
      <c r="H11" s="167">
        <v>6.1563000000000004E-4</v>
      </c>
      <c r="I11" s="167">
        <v>2.1047000000000001E-3</v>
      </c>
      <c r="J11" s="167">
        <v>4.7291E-3</v>
      </c>
      <c r="K11" s="167">
        <v>7.7929999999999996E-3</v>
      </c>
      <c r="L11" s="167">
        <v>1.0592000000000001E-2</v>
      </c>
      <c r="M11" s="167">
        <v>1.2978999999999999E-2</v>
      </c>
      <c r="N11" s="167">
        <v>1.4978E-2</v>
      </c>
    </row>
    <row r="12" spans="1:14" x14ac:dyDescent="0.35">
      <c r="B12" s="168" t="s">
        <v>1</v>
      </c>
      <c r="C12" s="167">
        <v>0.2</v>
      </c>
      <c r="D12" s="167">
        <v>0.2</v>
      </c>
      <c r="E12" s="167">
        <v>0.2</v>
      </c>
      <c r="F12" s="167">
        <v>0.2</v>
      </c>
      <c r="G12" s="167">
        <v>0.2</v>
      </c>
      <c r="H12" s="167">
        <v>0.2</v>
      </c>
      <c r="I12" s="167">
        <v>0.2</v>
      </c>
      <c r="J12" s="167">
        <v>0.2</v>
      </c>
      <c r="K12" s="167">
        <v>0.2</v>
      </c>
      <c r="L12" s="167">
        <v>0.2</v>
      </c>
      <c r="M12" s="167">
        <v>0.2</v>
      </c>
      <c r="N12" s="167">
        <v>0.2</v>
      </c>
    </row>
    <row r="13" spans="1:14" x14ac:dyDescent="0.35">
      <c r="B13" s="168" t="s">
        <v>78</v>
      </c>
      <c r="C13" s="167">
        <v>0.04</v>
      </c>
      <c r="D13" s="167">
        <v>0.04</v>
      </c>
      <c r="E13" s="167">
        <v>3.9999E-2</v>
      </c>
      <c r="F13" s="167">
        <v>3.9978E-2</v>
      </c>
      <c r="G13" s="167">
        <v>3.9777E-2</v>
      </c>
      <c r="H13" s="167">
        <v>3.8768999999999998E-2</v>
      </c>
      <c r="I13" s="167">
        <v>3.5791000000000003E-2</v>
      </c>
      <c r="J13" s="167">
        <v>3.0542E-2</v>
      </c>
      <c r="K13" s="167">
        <v>2.4414000000000002E-2</v>
      </c>
      <c r="L13" s="167">
        <v>1.8815999999999999E-2</v>
      </c>
      <c r="M13" s="167">
        <v>1.4041E-2</v>
      </c>
      <c r="N13" s="167">
        <v>1.0044000000000001E-2</v>
      </c>
    </row>
    <row r="14" spans="1:14" x14ac:dyDescent="0.35">
      <c r="B14" s="168" t="s">
        <v>79</v>
      </c>
      <c r="C14" s="167">
        <v>0.28000000000000003</v>
      </c>
      <c r="D14" s="167">
        <v>0.28000000000000003</v>
      </c>
      <c r="E14" s="167">
        <v>0.28000000000000003</v>
      </c>
      <c r="F14" s="167">
        <v>0.28000000000000003</v>
      </c>
      <c r="G14" s="167">
        <v>0.28000000000000003</v>
      </c>
      <c r="H14" s="167">
        <v>0.28000000000000003</v>
      </c>
      <c r="I14" s="167">
        <v>0.28000000000000003</v>
      </c>
      <c r="J14" s="167">
        <v>0.28000000000000003</v>
      </c>
      <c r="K14" s="167">
        <v>0.28000000000000003</v>
      </c>
      <c r="L14" s="167">
        <v>0.28000000000000003</v>
      </c>
      <c r="M14" s="167">
        <v>0.28000000000000003</v>
      </c>
      <c r="N14" s="167">
        <v>0.28000000000000003</v>
      </c>
    </row>
    <row r="15" spans="1:14" x14ac:dyDescent="0.35">
      <c r="B15" s="168" t="s">
        <v>80</v>
      </c>
      <c r="C15" s="167">
        <v>0.48</v>
      </c>
      <c r="D15" s="167">
        <v>0.48</v>
      </c>
      <c r="E15" s="167">
        <v>0.48</v>
      </c>
      <c r="F15" s="167">
        <v>0.47999000000000003</v>
      </c>
      <c r="G15" s="167">
        <v>0.47987999999999997</v>
      </c>
      <c r="H15" s="167">
        <v>0.47933999999999999</v>
      </c>
      <c r="I15" s="167">
        <v>0.47755999999999998</v>
      </c>
      <c r="J15" s="167">
        <v>0.47348000000000001</v>
      </c>
      <c r="K15" s="167">
        <v>0.46479999999999999</v>
      </c>
      <c r="L15" s="167">
        <v>0.44491999999999998</v>
      </c>
      <c r="M15" s="167">
        <v>0.40106000000000003</v>
      </c>
      <c r="N15" s="167">
        <v>0.32258999999999999</v>
      </c>
    </row>
    <row r="16" spans="1:14" x14ac:dyDescent="0.35">
      <c r="B16" s="168" t="s">
        <v>28</v>
      </c>
      <c r="C16" s="167">
        <v>-18.62</v>
      </c>
      <c r="D16" s="167">
        <v>-18.63</v>
      </c>
      <c r="E16" s="167">
        <v>-18.72</v>
      </c>
      <c r="F16" s="167">
        <v>-18.84</v>
      </c>
      <c r="G16" s="167">
        <v>-18.97</v>
      </c>
      <c r="H16" s="167">
        <v>-19.11</v>
      </c>
      <c r="I16" s="167">
        <v>-19.260000000000002</v>
      </c>
      <c r="J16" s="167">
        <v>-19.41</v>
      </c>
      <c r="K16" s="167">
        <v>-19.559999999999999</v>
      </c>
      <c r="L16" s="167">
        <v>-19.73</v>
      </c>
      <c r="M16" s="167">
        <v>-19.940000000000001</v>
      </c>
      <c r="N16" s="167">
        <v>-20.2</v>
      </c>
    </row>
    <row r="17" spans="1:14" x14ac:dyDescent="0.35">
      <c r="B17" s="168" t="s">
        <v>5</v>
      </c>
      <c r="C17" s="167">
        <v>-7.6630000000000003</v>
      </c>
      <c r="D17" s="167">
        <v>-8.1549999999999994</v>
      </c>
      <c r="E17" s="167">
        <v>-8.5950000000000006</v>
      </c>
      <c r="F17" s="167">
        <v>-8.9879999999999995</v>
      </c>
      <c r="G17" s="167">
        <v>-9.3450000000000006</v>
      </c>
      <c r="H17" s="167">
        <v>-9.6869999999999994</v>
      </c>
      <c r="I17" s="167">
        <v>-10.050000000000001</v>
      </c>
      <c r="J17" s="167">
        <v>-10.47</v>
      </c>
      <c r="K17" s="167">
        <v>-10.92</v>
      </c>
      <c r="L17" s="167">
        <v>-11.37</v>
      </c>
      <c r="M17" s="167">
        <v>-11.81</v>
      </c>
      <c r="N17" s="167">
        <v>-12.22</v>
      </c>
    </row>
    <row r="18" spans="1:14" x14ac:dyDescent="0.35">
      <c r="B18" s="168" t="s">
        <v>6</v>
      </c>
      <c r="C18" s="167">
        <v>7.5119999999999996</v>
      </c>
      <c r="D18" s="167">
        <v>4.4539999999999997</v>
      </c>
      <c r="E18" s="167">
        <v>2.2879999999999998</v>
      </c>
      <c r="F18" s="167">
        <v>0.65210000000000001</v>
      </c>
      <c r="G18" s="167">
        <v>-0.63829999999999998</v>
      </c>
      <c r="H18" s="167">
        <v>-1.6890000000000001</v>
      </c>
      <c r="I18" s="167">
        <v>-2.5640000000000001</v>
      </c>
      <c r="J18" s="167">
        <v>-3.3050000000000002</v>
      </c>
      <c r="K18" s="167">
        <v>-3.9390000000000001</v>
      </c>
      <c r="L18" s="167">
        <v>-4.4790000000000001</v>
      </c>
      <c r="M18" s="167">
        <v>-4.9219999999999997</v>
      </c>
      <c r="N18" s="167">
        <v>-5.2549999999999999</v>
      </c>
    </row>
    <row r="19" spans="1:14" x14ac:dyDescent="0.35">
      <c r="B19" s="168" t="s">
        <v>7</v>
      </c>
      <c r="C19" s="167">
        <v>-4.7</v>
      </c>
      <c r="D19" s="167">
        <v>-5.0519999999999996</v>
      </c>
      <c r="E19" s="167">
        <v>-5.4409999999999998</v>
      </c>
      <c r="F19" s="167">
        <v>-5.8239999999999998</v>
      </c>
      <c r="G19" s="167">
        <v>-6.1890000000000001</v>
      </c>
      <c r="H19" s="167">
        <v>-6.53</v>
      </c>
      <c r="I19" s="167">
        <v>-6.8470000000000004</v>
      </c>
      <c r="J19" s="167">
        <v>-7.1420000000000003</v>
      </c>
      <c r="K19" s="167">
        <v>-7.42</v>
      </c>
      <c r="L19" s="167">
        <v>-7.6909999999999998</v>
      </c>
      <c r="M19" s="167">
        <v>-7.9740000000000002</v>
      </c>
      <c r="N19" s="167">
        <v>-8.298</v>
      </c>
    </row>
    <row r="20" spans="1:14" x14ac:dyDescent="0.35">
      <c r="B20" s="168" t="s">
        <v>50</v>
      </c>
      <c r="C20" s="167">
        <v>0.2</v>
      </c>
      <c r="D20" s="167">
        <v>0.2</v>
      </c>
      <c r="E20" s="167">
        <v>0.2</v>
      </c>
      <c r="F20" s="167">
        <v>0.20000999999999999</v>
      </c>
      <c r="G20" s="167">
        <v>0.20011000000000001</v>
      </c>
      <c r="H20" s="167">
        <v>0.20063</v>
      </c>
      <c r="I20" s="167">
        <v>0.20219000000000001</v>
      </c>
      <c r="J20" s="167">
        <v>0.20524000000000001</v>
      </c>
      <c r="K20" s="167">
        <v>0.21013000000000001</v>
      </c>
      <c r="L20" s="167">
        <v>0.21906999999999999</v>
      </c>
      <c r="M20" s="167">
        <v>0.23791000000000001</v>
      </c>
      <c r="N20" s="167">
        <v>0.27407999999999999</v>
      </c>
    </row>
    <row r="22" spans="1:14" x14ac:dyDescent="0.35">
      <c r="A22" t="e">
        <f>$A$1:$AZ$21</f>
        <v>#VALUE!</v>
      </c>
    </row>
  </sheetData>
  <conditionalFormatting sqref="A1:Z1 A2:A21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421F-2E5A-4B99-BEF4-769185B70690}">
  <sheetPr codeName="Лист7"/>
  <dimension ref="A1:AH31"/>
  <sheetViews>
    <sheetView topLeftCell="E1" zoomScale="115" zoomScaleNormal="115" workbookViewId="0">
      <selection activeCell="A26" sqref="A1:AH26"/>
    </sheetView>
  </sheetViews>
  <sheetFormatPr defaultColWidth="4.81640625" defaultRowHeight="21" x14ac:dyDescent="0.35"/>
  <sheetData>
    <row r="1" spans="1:34" x14ac:dyDescent="0.35">
      <c r="A1" s="87" t="s">
        <v>43</v>
      </c>
      <c r="B1" s="88">
        <v>273.10000000000002</v>
      </c>
      <c r="C1" s="88">
        <v>289.7</v>
      </c>
      <c r="D1" s="88">
        <v>306.2</v>
      </c>
      <c r="E1" s="88">
        <v>322.7</v>
      </c>
      <c r="F1" s="88">
        <v>339.2</v>
      </c>
      <c r="G1" s="88">
        <v>405.3</v>
      </c>
      <c r="H1" s="88">
        <v>421.8</v>
      </c>
      <c r="I1" s="88">
        <v>438.3</v>
      </c>
      <c r="J1" s="88">
        <v>454.9</v>
      </c>
      <c r="K1" s="88">
        <v>471.4</v>
      </c>
      <c r="L1" s="88">
        <v>487.9</v>
      </c>
      <c r="M1" s="88">
        <v>504.4</v>
      </c>
      <c r="N1" s="88">
        <v>520.9</v>
      </c>
      <c r="O1" s="88">
        <v>537.5</v>
      </c>
      <c r="P1" s="89">
        <v>554</v>
      </c>
      <c r="Q1" s="88">
        <v>570.5</v>
      </c>
      <c r="R1" s="89">
        <v>587</v>
      </c>
      <c r="S1" s="88">
        <v>603.5</v>
      </c>
      <c r="T1" s="88">
        <v>620.1</v>
      </c>
      <c r="U1" s="88">
        <v>636.6</v>
      </c>
      <c r="V1" s="88">
        <v>653.1</v>
      </c>
      <c r="W1" s="88">
        <v>669.6</v>
      </c>
      <c r="X1" s="88">
        <v>735.7</v>
      </c>
      <c r="Y1" s="88">
        <v>801.8</v>
      </c>
      <c r="Z1" s="88">
        <v>818.3</v>
      </c>
      <c r="AA1" s="88">
        <v>834.8</v>
      </c>
      <c r="AB1" s="88">
        <v>851.3</v>
      </c>
      <c r="AC1" s="88">
        <v>867.8</v>
      </c>
      <c r="AD1" s="88">
        <v>884.4</v>
      </c>
      <c r="AE1" s="88">
        <v>900.9</v>
      </c>
      <c r="AF1" s="88">
        <v>917.4</v>
      </c>
      <c r="AG1" s="88">
        <v>933.9</v>
      </c>
      <c r="AH1" s="88">
        <v>1000</v>
      </c>
    </row>
    <row r="2" spans="1:34" x14ac:dyDescent="0.35">
      <c r="A2" s="90" t="s">
        <v>41</v>
      </c>
      <c r="B2" s="101">
        <v>2.9827000000000001E-9</v>
      </c>
      <c r="C2" s="102">
        <v>5.4655999999999998E-9</v>
      </c>
      <c r="D2" s="102">
        <v>8.6291999999999999E-9</v>
      </c>
      <c r="E2" s="103">
        <v>1.5218000000000001E-8</v>
      </c>
      <c r="F2" s="104">
        <v>2.2297999999999999E-8</v>
      </c>
      <c r="G2" s="104">
        <v>3.6994E-8</v>
      </c>
      <c r="H2" s="101">
        <v>2.3000000000000001E-8</v>
      </c>
      <c r="I2" s="102">
        <v>1.1274000000000001E-8</v>
      </c>
      <c r="J2" s="102">
        <v>3.6984E-9</v>
      </c>
      <c r="K2" s="101">
        <v>4.7711999999999997E-12</v>
      </c>
      <c r="L2" s="102">
        <v>7.1197000000000007E-18</v>
      </c>
      <c r="M2" s="102">
        <v>5.4020999999999997E-25</v>
      </c>
      <c r="N2" s="103">
        <v>1.4035000000000001E-32</v>
      </c>
      <c r="O2" s="104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  <c r="U2" s="93">
        <v>0</v>
      </c>
      <c r="V2" s="93">
        <v>0</v>
      </c>
      <c r="W2" s="93">
        <v>0</v>
      </c>
      <c r="X2" s="93">
        <v>0</v>
      </c>
      <c r="Y2" s="93">
        <v>0</v>
      </c>
      <c r="Z2" s="93">
        <v>0</v>
      </c>
      <c r="AA2" s="93">
        <v>0</v>
      </c>
      <c r="AB2" s="93">
        <v>0</v>
      </c>
      <c r="AC2" s="93">
        <v>0</v>
      </c>
      <c r="AD2" s="93">
        <v>0</v>
      </c>
      <c r="AE2" s="93">
        <v>0</v>
      </c>
      <c r="AF2" s="93">
        <v>0</v>
      </c>
      <c r="AG2" s="93">
        <v>0</v>
      </c>
      <c r="AH2" s="93">
        <v>0</v>
      </c>
    </row>
    <row r="3" spans="1:34" x14ac:dyDescent="0.35">
      <c r="A3" s="87" t="s">
        <v>53</v>
      </c>
      <c r="B3" s="105">
        <v>0</v>
      </c>
      <c r="C3" s="106">
        <v>0</v>
      </c>
      <c r="D3" s="106">
        <v>0</v>
      </c>
      <c r="E3" s="105">
        <v>0</v>
      </c>
      <c r="F3" s="106">
        <v>0</v>
      </c>
      <c r="G3" s="106">
        <v>0</v>
      </c>
      <c r="H3" s="105">
        <v>0</v>
      </c>
      <c r="I3" s="106">
        <v>0</v>
      </c>
      <c r="J3" s="106">
        <v>0</v>
      </c>
      <c r="K3" s="105">
        <v>0</v>
      </c>
      <c r="L3" s="106">
        <v>0</v>
      </c>
      <c r="M3" s="106">
        <v>0</v>
      </c>
      <c r="N3" s="105">
        <v>0</v>
      </c>
      <c r="O3" s="106">
        <v>0</v>
      </c>
      <c r="P3" s="106">
        <v>0</v>
      </c>
      <c r="Q3" s="105">
        <v>0</v>
      </c>
      <c r="R3" s="106">
        <v>0</v>
      </c>
      <c r="S3" s="106">
        <v>0</v>
      </c>
      <c r="T3" s="105">
        <v>0</v>
      </c>
      <c r="U3" s="106">
        <v>0</v>
      </c>
      <c r="V3" s="106">
        <v>0</v>
      </c>
      <c r="W3" s="105">
        <v>0</v>
      </c>
      <c r="X3" s="106">
        <v>0</v>
      </c>
      <c r="Y3" s="106">
        <v>6.1428999999999998E-28</v>
      </c>
      <c r="Z3" s="105">
        <v>1.8061E-22</v>
      </c>
      <c r="AA3" s="106">
        <v>2.1782E-17</v>
      </c>
      <c r="AB3" s="106">
        <v>1.0454999999999999E-12</v>
      </c>
      <c r="AC3" s="107">
        <v>5.7881999999999997E-10</v>
      </c>
      <c r="AD3" s="108">
        <v>1.8897999999999999E-7</v>
      </c>
      <c r="AE3" s="108">
        <v>6.7478E-6</v>
      </c>
      <c r="AF3" s="107">
        <v>5.5303999999999996E-6</v>
      </c>
      <c r="AG3" s="108">
        <v>4.3992000000000002E-6</v>
      </c>
      <c r="AH3" s="108">
        <v>2.1291999999999999E-6</v>
      </c>
    </row>
    <row r="4" spans="1:34" x14ac:dyDescent="0.35">
      <c r="A4" s="87" t="s">
        <v>42</v>
      </c>
      <c r="B4" s="105">
        <v>0</v>
      </c>
      <c r="C4" s="106">
        <v>0</v>
      </c>
      <c r="D4" s="106">
        <v>5.8711000000000001E-31</v>
      </c>
      <c r="E4" s="107">
        <v>6.2772999999999996E-25</v>
      </c>
      <c r="F4" s="108">
        <v>8.6447999999999994E-22</v>
      </c>
      <c r="G4" s="108">
        <v>2.0010999999999999E-17</v>
      </c>
      <c r="H4" s="107">
        <v>7.7615999999999997E-16</v>
      </c>
      <c r="I4" s="108">
        <v>3.5560999999999999E-13</v>
      </c>
      <c r="J4" s="108">
        <v>4.4159000000000002E-10</v>
      </c>
      <c r="K4" s="107">
        <v>5.0248000000000003E-9</v>
      </c>
      <c r="L4" s="108">
        <v>6.2596000000000002E-9</v>
      </c>
      <c r="M4" s="108">
        <v>1.0265E-8</v>
      </c>
      <c r="N4" s="107">
        <v>2.1635999999999999E-8</v>
      </c>
      <c r="O4" s="108">
        <v>1.5935E-8</v>
      </c>
      <c r="P4" s="108">
        <v>2.6362000000000001E-8</v>
      </c>
      <c r="Q4" s="107">
        <v>2.0599000000000001E-8</v>
      </c>
      <c r="R4" s="108">
        <v>2.3733000000000001E-8</v>
      </c>
      <c r="S4" s="108">
        <v>2.3631999999999999E-8</v>
      </c>
      <c r="T4" s="107">
        <v>2.2979E-8</v>
      </c>
      <c r="U4" s="108">
        <v>2.3184999999999999E-8</v>
      </c>
      <c r="V4" s="108">
        <v>2.3359000000000001E-8</v>
      </c>
      <c r="W4" s="107">
        <v>2.4491999999999999E-8</v>
      </c>
      <c r="X4" s="108">
        <v>3.1211000000000001E-8</v>
      </c>
      <c r="Y4" s="108">
        <v>3.2555000000000003E-8</v>
      </c>
      <c r="Z4" s="107">
        <v>3.2135999999999997E-8</v>
      </c>
      <c r="AA4" s="108">
        <v>3.1651999999999998E-8</v>
      </c>
      <c r="AB4" s="108">
        <v>3.1298E-8</v>
      </c>
      <c r="AC4" s="107">
        <v>1.2007000000000001E-10</v>
      </c>
      <c r="AD4" s="108">
        <v>1.5713E-29</v>
      </c>
      <c r="AE4" s="108">
        <v>1.8893E-29</v>
      </c>
      <c r="AF4" s="107">
        <v>3.5658999999999998E-30</v>
      </c>
      <c r="AG4" s="108">
        <v>2.3366000000000001E-29</v>
      </c>
      <c r="AH4" s="108">
        <v>4.121E-23</v>
      </c>
    </row>
    <row r="5" spans="1:34" x14ac:dyDescent="0.35">
      <c r="A5" s="91" t="s">
        <v>73</v>
      </c>
      <c r="B5" s="107">
        <v>1.4458999999999999E-9</v>
      </c>
      <c r="C5" s="108">
        <v>2.5027000000000001E-10</v>
      </c>
      <c r="D5" s="108">
        <v>1.1699000000000001E-12</v>
      </c>
      <c r="E5" s="107">
        <v>1.2121E-17</v>
      </c>
      <c r="F5" s="108">
        <v>2.3451999999999999E-26</v>
      </c>
      <c r="G5" s="108">
        <v>0</v>
      </c>
      <c r="H5" s="107">
        <v>0</v>
      </c>
      <c r="I5" s="108">
        <v>0</v>
      </c>
      <c r="J5" s="108">
        <v>0</v>
      </c>
      <c r="K5" s="107">
        <v>0</v>
      </c>
      <c r="L5" s="108">
        <v>0</v>
      </c>
      <c r="M5" s="108">
        <v>0</v>
      </c>
      <c r="N5" s="107">
        <v>0</v>
      </c>
      <c r="O5" s="108">
        <v>0</v>
      </c>
      <c r="P5" s="108">
        <v>0</v>
      </c>
      <c r="Q5" s="107">
        <v>0</v>
      </c>
      <c r="R5" s="108">
        <v>0</v>
      </c>
      <c r="S5" s="108">
        <v>0</v>
      </c>
      <c r="T5" s="107">
        <v>0</v>
      </c>
      <c r="U5" s="108">
        <v>0</v>
      </c>
      <c r="V5" s="108">
        <v>0</v>
      </c>
      <c r="W5" s="107">
        <v>0</v>
      </c>
      <c r="X5" s="108">
        <v>0</v>
      </c>
      <c r="Y5" s="108">
        <v>0</v>
      </c>
      <c r="Z5" s="107">
        <v>0</v>
      </c>
      <c r="AA5" s="108">
        <v>0</v>
      </c>
      <c r="AB5" s="108">
        <v>0</v>
      </c>
      <c r="AC5" s="107">
        <v>0</v>
      </c>
      <c r="AD5" s="108">
        <v>0</v>
      </c>
      <c r="AE5" s="108">
        <v>0</v>
      </c>
      <c r="AF5" s="107">
        <v>0</v>
      </c>
      <c r="AG5" s="108">
        <v>0</v>
      </c>
      <c r="AH5" s="108">
        <v>0</v>
      </c>
    </row>
    <row r="6" spans="1:34" x14ac:dyDescent="0.35">
      <c r="A6" s="91" t="s">
        <v>44</v>
      </c>
      <c r="B6" s="107">
        <v>8.2921999999999996E-3</v>
      </c>
      <c r="C6" s="108">
        <v>8.1940999999999993E-3</v>
      </c>
      <c r="D6" s="108">
        <v>7.9570000000000005E-3</v>
      </c>
      <c r="E6" s="107">
        <v>7.561E-3</v>
      </c>
      <c r="F6" s="108">
        <v>7.1253000000000002E-3</v>
      </c>
      <c r="G6" s="108">
        <v>6.4335E-3</v>
      </c>
      <c r="H6" s="107">
        <v>6.3306999999999999E-3</v>
      </c>
      <c r="I6" s="108">
        <v>6.1551000000000002E-3</v>
      </c>
      <c r="J6" s="108">
        <v>5.8837000000000004E-3</v>
      </c>
      <c r="K6" s="107">
        <v>5.5401000000000001E-3</v>
      </c>
      <c r="L6" s="108">
        <v>5.1904000000000004E-3</v>
      </c>
      <c r="M6" s="108">
        <v>4.9026E-3</v>
      </c>
      <c r="N6" s="107">
        <v>4.7057999999999996E-3</v>
      </c>
      <c r="O6" s="108">
        <v>4.5878999999999998E-3</v>
      </c>
      <c r="P6" s="108">
        <v>4.5222999999999999E-3</v>
      </c>
      <c r="Q6" s="107">
        <v>4.4869000000000003E-3</v>
      </c>
      <c r="R6" s="108">
        <v>4.4676999999999998E-3</v>
      </c>
      <c r="S6" s="108">
        <v>4.4561999999999996E-3</v>
      </c>
      <c r="T6" s="107">
        <v>4.4453000000000001E-3</v>
      </c>
      <c r="U6" s="108">
        <v>4.4216000000000004E-3</v>
      </c>
      <c r="V6" s="108">
        <v>4.3454000000000001E-3</v>
      </c>
      <c r="W6" s="107">
        <v>4.1025999999999996E-3</v>
      </c>
      <c r="X6" s="108">
        <v>4.5949000000000001E-4</v>
      </c>
      <c r="Y6" s="108">
        <v>7.2798000000000002E-6</v>
      </c>
      <c r="Z6" s="107">
        <v>2.5911999999999999E-6</v>
      </c>
      <c r="AA6" s="108">
        <v>9.2691999999999999E-7</v>
      </c>
      <c r="AB6" s="108">
        <v>3.3339E-7</v>
      </c>
      <c r="AC6" s="107">
        <v>1.2088000000000001E-7</v>
      </c>
      <c r="AD6" s="108">
        <v>4.3569999999999999E-8</v>
      </c>
      <c r="AE6" s="108">
        <v>9.6765999999999994E-9</v>
      </c>
      <c r="AF6" s="107">
        <v>2.1810999999999998E-9</v>
      </c>
      <c r="AG6" s="108">
        <v>5.0700000000000001E-10</v>
      </c>
      <c r="AH6" s="108">
        <v>2.0327E-12</v>
      </c>
    </row>
    <row r="7" spans="1:34" x14ac:dyDescent="0.35">
      <c r="A7" s="87" t="s">
        <v>45</v>
      </c>
      <c r="B7" s="105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7.4465000000000001E-35</v>
      </c>
      <c r="K7" s="107">
        <v>9.0942999999999997E-33</v>
      </c>
      <c r="L7" s="108">
        <v>8.2290000000000008E-31</v>
      </c>
      <c r="M7" s="108">
        <v>5.9169000000000003E-29</v>
      </c>
      <c r="N7" s="107">
        <v>3.5006000000000002E-27</v>
      </c>
      <c r="O7" s="108">
        <v>1.7198000000000001E-25</v>
      </c>
      <c r="P7" s="108">
        <v>7.0269E-24</v>
      </c>
      <c r="Q7" s="107">
        <v>2.3967999999999999E-22</v>
      </c>
      <c r="R7" s="108">
        <v>6.8768000000000004E-21</v>
      </c>
      <c r="S7" s="108">
        <v>1.6759E-19</v>
      </c>
      <c r="T7" s="107">
        <v>3.5032999999999997E-18</v>
      </c>
      <c r="U7" s="108">
        <v>6.3313999999999995E-17</v>
      </c>
      <c r="V7" s="108">
        <v>9.8978000000000008E-16</v>
      </c>
      <c r="W7" s="107">
        <v>1.3115E-14</v>
      </c>
      <c r="X7" s="108">
        <v>1.8892E-11</v>
      </c>
      <c r="Y7" s="108">
        <v>9.9455999999999992E-10</v>
      </c>
      <c r="Z7" s="107">
        <v>2.2495000000000001E-9</v>
      </c>
      <c r="AA7" s="108">
        <v>4.7989E-9</v>
      </c>
      <c r="AB7" s="108">
        <v>9.6941999999999999E-9</v>
      </c>
      <c r="AC7" s="107">
        <v>1.8652000000000001E-8</v>
      </c>
      <c r="AD7" s="108">
        <v>3.3769000000000003E-8</v>
      </c>
      <c r="AE7" s="108">
        <v>3.4797999999999998E-8</v>
      </c>
      <c r="AF7" s="107">
        <v>3.5021E-8</v>
      </c>
      <c r="AG7" s="108">
        <v>3.4928E-8</v>
      </c>
      <c r="AH7" s="108">
        <v>3.2273000000000001E-8</v>
      </c>
    </row>
    <row r="8" spans="1:34" x14ac:dyDescent="0.35">
      <c r="A8" s="87" t="s">
        <v>4</v>
      </c>
      <c r="B8" s="105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8">
        <v>1.2616E-34</v>
      </c>
      <c r="M8" s="108">
        <v>7.1091E-33</v>
      </c>
      <c r="N8" s="107">
        <v>3.2809E-31</v>
      </c>
      <c r="O8" s="108">
        <v>1.2545E-29</v>
      </c>
      <c r="P8" s="108">
        <v>3.9983999999999998E-28</v>
      </c>
      <c r="Q8" s="107">
        <v>1.0702999999999999E-26</v>
      </c>
      <c r="R8" s="108">
        <v>2.4292999999999999E-25</v>
      </c>
      <c r="S8" s="108">
        <v>4.7242999999999998E-24</v>
      </c>
      <c r="T8" s="107">
        <v>7.9534999999999998E-23</v>
      </c>
      <c r="U8" s="108">
        <v>1.1693999999999999E-21</v>
      </c>
      <c r="V8" s="108">
        <v>1.5085999999999999E-20</v>
      </c>
      <c r="W8" s="107">
        <v>1.6962000000000001E-19</v>
      </c>
      <c r="X8" s="108">
        <v>3.6142999999999999E-16</v>
      </c>
      <c r="Y8" s="108">
        <v>8.1400999999999996E-14</v>
      </c>
      <c r="Z8" s="107">
        <v>2.6731E-13</v>
      </c>
      <c r="AA8" s="108">
        <v>8.2919000000000002E-13</v>
      </c>
      <c r="AB8" s="108">
        <v>2.4381999999999998E-12</v>
      </c>
      <c r="AC8" s="107">
        <v>6.8258000000000003E-12</v>
      </c>
      <c r="AD8" s="108">
        <v>1.8101E-11</v>
      </c>
      <c r="AE8" s="108">
        <v>3.5168999999999998E-11</v>
      </c>
      <c r="AF8" s="105">
        <v>6.6286000000000003E-11</v>
      </c>
      <c r="AG8" s="106">
        <v>1.221E-10</v>
      </c>
      <c r="AH8" s="106">
        <v>1.1423999999999999E-9</v>
      </c>
    </row>
    <row r="9" spans="1:34" x14ac:dyDescent="0.35">
      <c r="A9" s="87" t="s">
        <v>1</v>
      </c>
      <c r="B9" s="105">
        <v>0.2</v>
      </c>
      <c r="C9" s="106">
        <v>0.2</v>
      </c>
      <c r="D9" s="106">
        <v>0.2</v>
      </c>
      <c r="E9" s="105">
        <v>0.2</v>
      </c>
      <c r="F9" s="106">
        <v>0.2</v>
      </c>
      <c r="G9" s="106">
        <v>0.2</v>
      </c>
      <c r="H9" s="106">
        <v>0.2</v>
      </c>
      <c r="I9" s="106">
        <v>0.2</v>
      </c>
      <c r="J9" s="106">
        <v>0.2</v>
      </c>
      <c r="K9" s="106">
        <v>0.2</v>
      </c>
      <c r="L9" s="106">
        <v>0.2</v>
      </c>
      <c r="M9" s="106">
        <v>0.2</v>
      </c>
      <c r="N9" s="106">
        <v>0.2</v>
      </c>
      <c r="O9" s="106">
        <v>0.2</v>
      </c>
      <c r="P9" s="106">
        <v>0.2</v>
      </c>
      <c r="Q9" s="106">
        <v>0.2</v>
      </c>
      <c r="R9" s="106">
        <v>0.2</v>
      </c>
      <c r="S9" s="106">
        <v>0.2</v>
      </c>
      <c r="T9" s="106">
        <v>0.2</v>
      </c>
      <c r="U9" s="106">
        <v>0.2</v>
      </c>
      <c r="V9" s="106">
        <v>0.2</v>
      </c>
      <c r="W9" s="106">
        <v>0.2</v>
      </c>
      <c r="X9" s="106">
        <v>0.2</v>
      </c>
      <c r="Y9" s="106">
        <v>0.2</v>
      </c>
      <c r="Z9" s="106">
        <v>0.2</v>
      </c>
      <c r="AA9" s="106">
        <v>0.2</v>
      </c>
      <c r="AB9" s="106">
        <v>0.2</v>
      </c>
      <c r="AC9" s="106">
        <v>0.2</v>
      </c>
      <c r="AD9" s="106">
        <v>0.2</v>
      </c>
      <c r="AE9" s="106">
        <v>0.2</v>
      </c>
      <c r="AF9" s="106">
        <v>0.2</v>
      </c>
      <c r="AG9" s="106">
        <v>0.2</v>
      </c>
      <c r="AH9" s="106">
        <v>0.2</v>
      </c>
    </row>
    <row r="10" spans="1:34" x14ac:dyDescent="0.35">
      <c r="A10" s="91" t="s">
        <v>54</v>
      </c>
      <c r="B10" s="107">
        <v>0.13761999999999999</v>
      </c>
      <c r="C10" s="108">
        <v>0.13184000000000001</v>
      </c>
      <c r="D10" s="108">
        <v>0.1173</v>
      </c>
      <c r="E10" s="107">
        <v>9.0985999999999997E-2</v>
      </c>
      <c r="F10" s="108">
        <v>5.8673000000000003E-2</v>
      </c>
      <c r="G10" s="108">
        <v>3.5301E-3</v>
      </c>
      <c r="H10" s="107">
        <v>1.7362E-3</v>
      </c>
      <c r="I10" s="108">
        <v>8.7681E-4</v>
      </c>
      <c r="J10" s="108">
        <v>4.4354000000000003E-4</v>
      </c>
      <c r="K10" s="107">
        <v>2.1458999999999999E-4</v>
      </c>
      <c r="L10" s="108">
        <v>9.4772999999999995E-5</v>
      </c>
      <c r="M10" s="108">
        <v>3.7471000000000001E-5</v>
      </c>
      <c r="N10" s="107">
        <v>1.3517E-5</v>
      </c>
      <c r="O10" s="108">
        <v>4.6341999999999996E-6</v>
      </c>
      <c r="P10" s="108">
        <v>1.5689999999999999E-6</v>
      </c>
      <c r="Q10" s="105">
        <v>5.3781999999999998E-7</v>
      </c>
      <c r="R10" s="106">
        <v>1.8911999999999999E-7</v>
      </c>
      <c r="S10" s="106">
        <v>6.8608000000000001E-8</v>
      </c>
      <c r="T10" s="107">
        <v>2.5722E-8</v>
      </c>
      <c r="U10" s="108">
        <v>9.9647999999999993E-9</v>
      </c>
      <c r="V10" s="108">
        <v>3.9866999999999999E-9</v>
      </c>
      <c r="W10" s="107">
        <v>1.6471E-9</v>
      </c>
      <c r="X10" s="108">
        <v>6.4954000000000001E-11</v>
      </c>
      <c r="Y10" s="108">
        <v>3.496E-12</v>
      </c>
      <c r="Z10" s="107">
        <v>1.7611E-12</v>
      </c>
      <c r="AA10" s="108">
        <v>9.0203999999999996E-13</v>
      </c>
      <c r="AB10" s="108">
        <v>4.6937999999999996E-13</v>
      </c>
      <c r="AC10" s="107">
        <v>2.4795999999999999E-13</v>
      </c>
      <c r="AD10" s="108">
        <v>1.3305E-13</v>
      </c>
      <c r="AE10" s="108">
        <v>7.4307999999999995E-14</v>
      </c>
      <c r="AF10" s="107">
        <v>4.1655E-14</v>
      </c>
      <c r="AG10" s="108">
        <v>2.3510999999999999E-14</v>
      </c>
      <c r="AH10" s="108">
        <v>2.6029999999999999E-15</v>
      </c>
    </row>
    <row r="11" spans="1:34" x14ac:dyDescent="0.35">
      <c r="A11" s="91" t="s">
        <v>74</v>
      </c>
      <c r="B11" s="107">
        <v>0.14238000000000001</v>
      </c>
      <c r="C11" s="108">
        <v>0.14815</v>
      </c>
      <c r="D11" s="108">
        <v>0.16269</v>
      </c>
      <c r="E11" s="105">
        <v>0.189</v>
      </c>
      <c r="F11" s="106">
        <v>0.22128</v>
      </c>
      <c r="G11" s="106">
        <v>0.27118999999999999</v>
      </c>
      <c r="H11" s="105">
        <v>0.26468999999999998</v>
      </c>
      <c r="I11" s="106">
        <v>0.24837999999999999</v>
      </c>
      <c r="J11" s="106">
        <v>0.21926999999999999</v>
      </c>
      <c r="K11" s="105">
        <v>0.17757000000000001</v>
      </c>
      <c r="L11" s="106">
        <v>0.12916</v>
      </c>
      <c r="M11" s="106">
        <v>8.4039000000000003E-2</v>
      </c>
      <c r="N11" s="105">
        <v>4.9964000000000001E-2</v>
      </c>
      <c r="O11" s="106">
        <v>2.8131E-2</v>
      </c>
      <c r="P11" s="106">
        <v>1.5495999999999999E-2</v>
      </c>
      <c r="Q11" s="107">
        <v>8.5325999999999996E-3</v>
      </c>
      <c r="R11" s="108">
        <v>4.7505999999999998E-3</v>
      </c>
      <c r="S11" s="108">
        <v>2.6887999999999999E-3</v>
      </c>
      <c r="T11" s="107">
        <v>1.5502999999999999E-3</v>
      </c>
      <c r="U11" s="108">
        <v>9.1091999999999996E-4</v>
      </c>
      <c r="V11" s="108">
        <v>5.4536999999999999E-4</v>
      </c>
      <c r="W11" s="105">
        <v>3.3270000000000001E-4</v>
      </c>
      <c r="X11" s="106">
        <v>5.4917000000000003E-5</v>
      </c>
      <c r="Y11" s="106">
        <v>1.0937999999999999E-5</v>
      </c>
      <c r="Z11" s="105">
        <v>7.5044999999999999E-6</v>
      </c>
      <c r="AA11" s="106">
        <v>5.1990999999999999E-6</v>
      </c>
      <c r="AB11" s="106">
        <v>3.6355000000000002E-6</v>
      </c>
      <c r="AC11" s="105">
        <v>2.5647000000000002E-6</v>
      </c>
      <c r="AD11" s="106">
        <v>1.8256999999999999E-6</v>
      </c>
      <c r="AE11" s="106">
        <v>1.3259000000000001E-6</v>
      </c>
      <c r="AF11" s="105">
        <v>9.660599999999999E-7</v>
      </c>
      <c r="AG11" s="106">
        <v>7.0707999999999995E-7</v>
      </c>
      <c r="AH11" s="106">
        <v>2.1397999999999999E-7</v>
      </c>
    </row>
    <row r="12" spans="1:34" x14ac:dyDescent="0.35">
      <c r="A12" s="87" t="s">
        <v>55</v>
      </c>
      <c r="B12" s="105">
        <v>1.1708E-2</v>
      </c>
      <c r="C12" s="106">
        <v>1.1806000000000001E-2</v>
      </c>
      <c r="D12" s="106">
        <v>1.2043E-2</v>
      </c>
      <c r="E12" s="105">
        <v>1.2439E-2</v>
      </c>
      <c r="F12" s="106">
        <v>1.2874999999999999E-2</v>
      </c>
      <c r="G12" s="106">
        <v>1.3566999999999999E-2</v>
      </c>
      <c r="H12" s="105">
        <v>1.3669000000000001E-2</v>
      </c>
      <c r="I12" s="106">
        <v>1.3845E-2</v>
      </c>
      <c r="J12" s="106">
        <v>1.4116E-2</v>
      </c>
      <c r="K12" s="105">
        <v>1.4460000000000001E-2</v>
      </c>
      <c r="L12" s="106">
        <v>1.481E-2</v>
      </c>
      <c r="M12" s="106">
        <v>1.5096999999999999E-2</v>
      </c>
      <c r="N12" s="105">
        <v>1.5294E-2</v>
      </c>
      <c r="O12" s="106">
        <v>1.5412E-2</v>
      </c>
      <c r="P12" s="106">
        <v>1.5478E-2</v>
      </c>
      <c r="Q12" s="105">
        <v>1.5513000000000001E-2</v>
      </c>
      <c r="R12" s="106">
        <v>1.5531E-2</v>
      </c>
      <c r="S12" s="106">
        <v>1.5537E-2</v>
      </c>
      <c r="T12" s="105">
        <v>1.5526E-2</v>
      </c>
      <c r="U12" s="106">
        <v>1.5462999999999999E-2</v>
      </c>
      <c r="V12" s="106">
        <v>1.5226E-2</v>
      </c>
      <c r="W12" s="105">
        <v>1.4445E-2</v>
      </c>
      <c r="X12" s="106">
        <v>1.7378999999999999E-3</v>
      </c>
      <c r="Y12" s="106">
        <v>2.8085E-5</v>
      </c>
      <c r="Z12" s="105">
        <v>1.0037000000000001E-5</v>
      </c>
      <c r="AA12" s="106">
        <v>3.6059000000000001E-6</v>
      </c>
      <c r="AB12" s="106">
        <v>1.3024E-6</v>
      </c>
      <c r="AC12" s="105">
        <v>4.7406E-7</v>
      </c>
      <c r="AD12" s="106">
        <v>1.7140000000000001E-7</v>
      </c>
      <c r="AE12" s="106">
        <v>3.7789000000000002E-8</v>
      </c>
      <c r="AF12" s="105">
        <v>8.4633000000000007E-9</v>
      </c>
      <c r="AG12" s="106">
        <v>1.9569000000000001E-9</v>
      </c>
      <c r="AH12" s="106">
        <v>7.7382000000000003E-12</v>
      </c>
    </row>
    <row r="13" spans="1:34" x14ac:dyDescent="0.35">
      <c r="A13" s="87" t="s">
        <v>56</v>
      </c>
      <c r="B13" s="105">
        <v>7.5756000000000005E-29</v>
      </c>
      <c r="C13" s="106">
        <v>2.9401999999999999E-27</v>
      </c>
      <c r="D13" s="106">
        <v>9.9583000000000004E-26</v>
      </c>
      <c r="E13" s="105">
        <v>3.5787999999999998E-24</v>
      </c>
      <c r="F13" s="106">
        <v>1.4182000000000001E-22</v>
      </c>
      <c r="G13" s="106">
        <v>1.2896E-16</v>
      </c>
      <c r="H13" s="105">
        <v>2.2897000000000001E-15</v>
      </c>
      <c r="I13" s="106">
        <v>3.1573000000000001E-14</v>
      </c>
      <c r="J13" s="106">
        <v>3.4560000000000001E-13</v>
      </c>
      <c r="K13" s="105">
        <v>3.1638999999999999E-12</v>
      </c>
      <c r="L13" s="106">
        <v>2.5638999999999999E-11</v>
      </c>
      <c r="M13" s="106">
        <v>1.9056999999999999E-10</v>
      </c>
      <c r="N13" s="105">
        <v>1.3130999999999999E-9</v>
      </c>
      <c r="O13" s="106">
        <v>8.3702999999999995E-9</v>
      </c>
      <c r="P13" s="106">
        <v>4.9187999999999997E-8</v>
      </c>
      <c r="Q13" s="105">
        <v>2.664E-7</v>
      </c>
      <c r="R13" s="106">
        <v>1.3331E-6</v>
      </c>
      <c r="S13" s="106">
        <v>6.1879999999999999E-6</v>
      </c>
      <c r="T13" s="105">
        <v>2.6750999999999998E-5</v>
      </c>
      <c r="U13" s="106">
        <v>1.0794999999999999E-4</v>
      </c>
      <c r="V13" s="106">
        <v>4.0492000000000002E-4</v>
      </c>
      <c r="W13" s="105">
        <v>1.3795999999999999E-3</v>
      </c>
      <c r="X13" s="106">
        <v>1.6258999999999999E-2</v>
      </c>
      <c r="Y13" s="106">
        <v>1.4115000000000001E-2</v>
      </c>
      <c r="Z13" s="105">
        <v>1.2591E-2</v>
      </c>
      <c r="AA13" s="106">
        <v>1.0965000000000001E-2</v>
      </c>
      <c r="AB13" s="106">
        <v>9.3370999999999992E-3</v>
      </c>
      <c r="AC13" s="105">
        <v>7.8056000000000002E-3</v>
      </c>
      <c r="AD13" s="106">
        <v>6.3140999999999996E-3</v>
      </c>
      <c r="AE13" s="106">
        <v>2.9566000000000002E-3</v>
      </c>
      <c r="AF13" s="105">
        <v>1.3887999999999999E-3</v>
      </c>
      <c r="AG13" s="106">
        <v>6.6326999999999998E-4</v>
      </c>
      <c r="AH13" s="106">
        <v>4.0513999999999999E-5</v>
      </c>
    </row>
    <row r="14" spans="1:34" x14ac:dyDescent="0.35">
      <c r="A14" s="91" t="s">
        <v>57</v>
      </c>
      <c r="B14" s="107">
        <v>5.2854000000000005E-7</v>
      </c>
      <c r="C14" s="108">
        <v>1.1217E-6</v>
      </c>
      <c r="D14" s="108">
        <v>2.6616999999999999E-6</v>
      </c>
      <c r="E14" s="107">
        <v>7.6415999999999998E-6</v>
      </c>
      <c r="F14" s="108">
        <v>2.5486E-5</v>
      </c>
      <c r="G14" s="108">
        <v>2.6394000000000001E-3</v>
      </c>
      <c r="H14" s="107">
        <v>6.7882000000000003E-3</v>
      </c>
      <c r="I14" s="108">
        <v>1.537E-2</v>
      </c>
      <c r="J14" s="108">
        <v>3.0145000000000002E-2</v>
      </c>
      <c r="K14" s="107">
        <v>5.1109000000000002E-2</v>
      </c>
      <c r="L14" s="108">
        <v>7.5374999999999998E-2</v>
      </c>
      <c r="M14" s="108">
        <v>9.7961999999999994E-2</v>
      </c>
      <c r="N14" s="107">
        <v>0.11501</v>
      </c>
      <c r="O14" s="108">
        <v>0.12592999999999999</v>
      </c>
      <c r="P14" s="108">
        <v>0.13225000000000001</v>
      </c>
      <c r="Q14" s="107">
        <v>0.13572999999999999</v>
      </c>
      <c r="R14" s="108">
        <v>0.13761999999999999</v>
      </c>
      <c r="S14" s="108">
        <v>0.13866000000000001</v>
      </c>
      <c r="T14" s="107">
        <v>0.13922000000000001</v>
      </c>
      <c r="U14" s="108">
        <v>0.13954</v>
      </c>
      <c r="V14" s="108">
        <v>0.13972999999999999</v>
      </c>
      <c r="W14" s="107">
        <v>0.13983000000000001</v>
      </c>
      <c r="X14" s="108">
        <v>0.13997000000000001</v>
      </c>
      <c r="Y14" s="108">
        <v>0.13999</v>
      </c>
      <c r="Z14" s="107">
        <v>0.14000000000000001</v>
      </c>
      <c r="AA14" s="108">
        <v>0.14000000000000001</v>
      </c>
      <c r="AB14" s="108">
        <v>0.14000000000000001</v>
      </c>
      <c r="AC14" s="107">
        <v>0.14000000000000001</v>
      </c>
      <c r="AD14" s="108">
        <v>0.13999</v>
      </c>
      <c r="AE14" s="108">
        <v>0.13966999999999999</v>
      </c>
      <c r="AF14" s="107">
        <v>0.13941000000000001</v>
      </c>
      <c r="AG14" s="108">
        <v>0.13919000000000001</v>
      </c>
      <c r="AH14" s="108">
        <v>0.13839000000000001</v>
      </c>
    </row>
    <row r="15" spans="1:34" x14ac:dyDescent="0.35">
      <c r="A15" s="91" t="s">
        <v>58</v>
      </c>
      <c r="B15" s="107">
        <v>2.7998999999999999E-28</v>
      </c>
      <c r="C15" s="108">
        <v>1.0385999999999999E-26</v>
      </c>
      <c r="D15" s="108">
        <v>3.2712999999999998E-25</v>
      </c>
      <c r="E15" s="107">
        <v>1.026E-23</v>
      </c>
      <c r="F15" s="108">
        <v>3.2961E-22</v>
      </c>
      <c r="G15" s="108">
        <v>1.0036000000000001E-16</v>
      </c>
      <c r="H15" s="107">
        <v>1.4244E-15</v>
      </c>
      <c r="I15" s="108">
        <v>1.6396999999999999E-14</v>
      </c>
      <c r="J15" s="108">
        <v>1.5638000000000001E-13</v>
      </c>
      <c r="K15" s="107">
        <v>1.2856000000000001E-12</v>
      </c>
      <c r="L15" s="108">
        <v>9.4622000000000006E-12</v>
      </c>
      <c r="M15" s="108">
        <v>6.3634E-11</v>
      </c>
      <c r="N15" s="107">
        <v>3.9289000000000003E-10</v>
      </c>
      <c r="O15" s="108">
        <v>2.2262E-9</v>
      </c>
      <c r="P15" s="108">
        <v>1.1587E-8</v>
      </c>
      <c r="Q15" s="107">
        <v>5.5549000000000003E-8</v>
      </c>
      <c r="R15" s="108">
        <v>2.4629999999999998E-7</v>
      </c>
      <c r="S15" s="108">
        <v>1.0144E-6</v>
      </c>
      <c r="T15" s="107">
        <v>3.8963999999999997E-6</v>
      </c>
      <c r="U15" s="108">
        <v>1.3995999999999999E-5</v>
      </c>
      <c r="V15" s="108">
        <v>4.6999000000000002E-5</v>
      </c>
      <c r="W15" s="107">
        <v>1.4606999999999999E-4</v>
      </c>
      <c r="X15" s="108">
        <v>3.0864999999999998E-3</v>
      </c>
      <c r="Y15" s="108">
        <v>1.1698999999999999E-2</v>
      </c>
      <c r="Z15" s="105">
        <v>1.4792E-2</v>
      </c>
      <c r="AA15" s="106">
        <v>1.8062000000000002E-2</v>
      </c>
      <c r="AB15" s="106">
        <v>2.1322000000000001E-2</v>
      </c>
      <c r="AC15" s="105">
        <v>2.4386999999999999E-2</v>
      </c>
      <c r="AD15" s="106">
        <v>2.682E-2</v>
      </c>
      <c r="AE15" s="106">
        <v>2.1689E-2</v>
      </c>
      <c r="AF15" s="107">
        <v>1.7243999999999999E-2</v>
      </c>
      <c r="AG15" s="108">
        <v>1.3558000000000001E-2</v>
      </c>
      <c r="AH15" s="108">
        <v>4.5989000000000004E-3</v>
      </c>
    </row>
    <row r="16" spans="1:34" x14ac:dyDescent="0.35">
      <c r="A16" s="91" t="s">
        <v>59</v>
      </c>
      <c r="B16" s="107">
        <v>2.8265000000000001E-9</v>
      </c>
      <c r="C16" s="108">
        <v>8.0000999999999993E-9</v>
      </c>
      <c r="D16" s="108">
        <v>1.8224000000000002E-8</v>
      </c>
      <c r="E16" s="107">
        <v>3.2019999999999998E-8</v>
      </c>
      <c r="F16" s="108">
        <v>4.3060000000000003E-8</v>
      </c>
      <c r="G16" s="108">
        <v>3.1809999999999998E-8</v>
      </c>
      <c r="H16" s="107">
        <v>2.7503000000000001E-8</v>
      </c>
      <c r="I16" s="108">
        <v>2.4861E-8</v>
      </c>
      <c r="J16" s="108">
        <v>2.3668999999999998E-8</v>
      </c>
      <c r="K16" s="107">
        <v>2.3231999999999999E-8</v>
      </c>
      <c r="L16" s="108">
        <v>2.2659000000000001E-8</v>
      </c>
      <c r="M16" s="108">
        <v>2.1959999999999999E-8</v>
      </c>
      <c r="N16" s="107">
        <v>2.0686999999999999E-8</v>
      </c>
      <c r="O16" s="108">
        <v>1.8737999999999999E-8</v>
      </c>
      <c r="P16" s="108">
        <v>1.6546000000000001E-8</v>
      </c>
      <c r="Q16" s="107">
        <v>1.4403E-8</v>
      </c>
      <c r="R16" s="108">
        <v>1.2445E-8</v>
      </c>
      <c r="S16" s="108">
        <v>1.0713E-8</v>
      </c>
      <c r="T16" s="107">
        <v>9.2080999999999993E-9</v>
      </c>
      <c r="U16" s="108">
        <v>7.9125999999999993E-9</v>
      </c>
      <c r="V16" s="108">
        <v>6.8070999999999998E-9</v>
      </c>
      <c r="W16" s="107">
        <v>5.8781999999999998E-9</v>
      </c>
      <c r="X16" s="108">
        <v>3.4846000000000001E-9</v>
      </c>
      <c r="Y16" s="108">
        <v>1.9703000000000001E-9</v>
      </c>
      <c r="Z16" s="107">
        <v>1.7096E-9</v>
      </c>
      <c r="AA16" s="108">
        <v>1.4847000000000001E-9</v>
      </c>
      <c r="AB16" s="108">
        <v>1.2903E-9</v>
      </c>
      <c r="AC16" s="107">
        <v>1.1219E-9</v>
      </c>
      <c r="AD16" s="108">
        <v>9.7606000000000004E-10</v>
      </c>
      <c r="AE16" s="108">
        <v>8.5312000000000005E-10</v>
      </c>
      <c r="AF16" s="107">
        <v>7.4336000000000001E-10</v>
      </c>
      <c r="AG16" s="108">
        <v>6.4702000000000001E-10</v>
      </c>
      <c r="AH16" s="108">
        <v>3.7200000000000001E-10</v>
      </c>
    </row>
    <row r="17" spans="1:34" x14ac:dyDescent="0.35">
      <c r="A17" s="91" t="s">
        <v>60</v>
      </c>
      <c r="B17" s="107">
        <v>6.5148000000000001E-10</v>
      </c>
      <c r="C17" s="108">
        <v>2.0896999999999999E-9</v>
      </c>
      <c r="D17" s="108">
        <v>5.3268000000000003E-9</v>
      </c>
      <c r="E17" s="105">
        <v>1.036E-8</v>
      </c>
      <c r="F17" s="106">
        <v>1.5276999999999998E-8</v>
      </c>
      <c r="G17" s="106">
        <v>1.5183000000000001E-8</v>
      </c>
      <c r="H17" s="105">
        <v>1.3939999999999999E-8</v>
      </c>
      <c r="I17" s="106">
        <v>1.3321000000000001E-8</v>
      </c>
      <c r="J17" s="106">
        <v>1.3354E-8</v>
      </c>
      <c r="K17" s="107">
        <v>1.3752E-8</v>
      </c>
      <c r="L17" s="108">
        <v>1.4025999999999999E-8</v>
      </c>
      <c r="M17" s="108">
        <v>1.3751E-8</v>
      </c>
      <c r="N17" s="107">
        <v>1.2843E-8</v>
      </c>
      <c r="O17" s="108">
        <v>1.1528000000000001E-8</v>
      </c>
      <c r="P17" s="108">
        <v>1.0085000000000001E-8</v>
      </c>
      <c r="Q17" s="105">
        <v>8.6941000000000004E-9</v>
      </c>
      <c r="R17" s="106">
        <v>7.4380999999999998E-9</v>
      </c>
      <c r="S17" s="106">
        <v>6.3395000000000003E-9</v>
      </c>
      <c r="T17" s="105">
        <v>5.3942000000000003E-9</v>
      </c>
      <c r="U17" s="106">
        <v>4.5885E-9</v>
      </c>
      <c r="V17" s="106">
        <v>3.9075000000000004E-9</v>
      </c>
      <c r="W17" s="105">
        <v>3.3401000000000001E-9</v>
      </c>
      <c r="X17" s="106">
        <v>1.9017000000000002E-9</v>
      </c>
      <c r="Y17" s="106">
        <v>1.0337000000000001E-9</v>
      </c>
      <c r="Z17" s="105">
        <v>8.8833999999999995E-10</v>
      </c>
      <c r="AA17" s="106">
        <v>7.6410999999999996E-10</v>
      </c>
      <c r="AB17" s="106">
        <v>6.5776000000000001E-10</v>
      </c>
      <c r="AC17" s="105">
        <v>5.6653999999999999E-10</v>
      </c>
      <c r="AD17" s="106">
        <v>4.8829999999999996E-10</v>
      </c>
      <c r="AE17" s="106">
        <v>4.2284000000000001E-10</v>
      </c>
      <c r="AF17" s="105">
        <v>3.6505E-10</v>
      </c>
      <c r="AG17" s="106">
        <v>3.1482999999999999E-10</v>
      </c>
      <c r="AH17" s="106">
        <v>1.7455999999999999E-10</v>
      </c>
    </row>
    <row r="18" spans="1:34" x14ac:dyDescent="0.35">
      <c r="A18" s="87" t="s">
        <v>61</v>
      </c>
      <c r="B18" s="105">
        <v>2.3804999999999998E-3</v>
      </c>
      <c r="C18" s="106">
        <v>8.1585000000000008E-3</v>
      </c>
      <c r="D18" s="106">
        <v>2.2703000000000001E-2</v>
      </c>
      <c r="E18" s="105">
        <v>4.9029000000000003E-2</v>
      </c>
      <c r="F18" s="106">
        <v>8.1378000000000006E-2</v>
      </c>
      <c r="G18" s="106">
        <v>0.14174999999999999</v>
      </c>
      <c r="H18" s="105">
        <v>0.15184</v>
      </c>
      <c r="I18" s="106">
        <v>0.16986000000000001</v>
      </c>
      <c r="J18" s="106">
        <v>0.19985</v>
      </c>
      <c r="K18" s="105">
        <v>0.24199999999999999</v>
      </c>
      <c r="L18" s="106">
        <v>0.29065999999999997</v>
      </c>
      <c r="M18" s="106">
        <v>0.33589000000000002</v>
      </c>
      <c r="N18" s="105">
        <v>0.37001000000000001</v>
      </c>
      <c r="O18" s="106">
        <v>0.39185999999999999</v>
      </c>
      <c r="P18" s="106">
        <v>0.40450000000000003</v>
      </c>
      <c r="Q18" s="105">
        <v>0.41147</v>
      </c>
      <c r="R18" s="106">
        <v>0.41525000000000001</v>
      </c>
      <c r="S18" s="106">
        <v>0.41732000000000002</v>
      </c>
      <c r="T18" s="105">
        <v>0.41850999999999999</v>
      </c>
      <c r="U18" s="106">
        <v>0.41932999999999998</v>
      </c>
      <c r="V18" s="106">
        <v>0.42032999999999998</v>
      </c>
      <c r="W18" s="105">
        <v>0.42265000000000003</v>
      </c>
      <c r="X18" s="106">
        <v>0.45709</v>
      </c>
      <c r="Y18" s="106">
        <v>0.46577000000000002</v>
      </c>
      <c r="Z18" s="105">
        <v>0.46736</v>
      </c>
      <c r="AA18" s="106">
        <v>0.46901999999999999</v>
      </c>
      <c r="AB18" s="106">
        <v>0.47065000000000001</v>
      </c>
      <c r="AC18" s="105">
        <v>0.47219</v>
      </c>
      <c r="AD18" s="106">
        <v>0.47367999999999999</v>
      </c>
      <c r="AE18" s="106">
        <v>0.47704000000000002</v>
      </c>
      <c r="AF18" s="105">
        <v>0.47860999999999998</v>
      </c>
      <c r="AG18" s="106">
        <v>0.47933999999999999</v>
      </c>
      <c r="AH18" s="106">
        <v>0.47996</v>
      </c>
    </row>
    <row r="19" spans="1:34" x14ac:dyDescent="0.35">
      <c r="A19" s="91" t="s">
        <v>62</v>
      </c>
      <c r="B19" s="107">
        <v>7.2273000000000001E-12</v>
      </c>
      <c r="C19" s="108">
        <v>3.0615999999999998E-11</v>
      </c>
      <c r="D19" s="108">
        <v>1.0052000000000001E-10</v>
      </c>
      <c r="E19" s="107">
        <v>2.4645999999999999E-10</v>
      </c>
      <c r="F19" s="108">
        <v>4.4978000000000002E-10</v>
      </c>
      <c r="G19" s="108">
        <v>9.0864999999999996E-10</v>
      </c>
      <c r="H19" s="107">
        <v>9.6864999999999996E-10</v>
      </c>
      <c r="I19" s="108">
        <v>1.0653E-9</v>
      </c>
      <c r="J19" s="108">
        <v>1.2192000000000001E-9</v>
      </c>
      <c r="K19" s="107">
        <v>1.4232E-9</v>
      </c>
      <c r="L19" s="108">
        <v>1.6345000000000001E-9</v>
      </c>
      <c r="M19" s="108">
        <v>1.7936000000000001E-9</v>
      </c>
      <c r="N19" s="107">
        <v>1.8648E-9</v>
      </c>
      <c r="O19" s="108">
        <v>1.854E-9</v>
      </c>
      <c r="P19" s="108">
        <v>1.7882000000000001E-9</v>
      </c>
      <c r="Q19" s="107">
        <v>1.6925000000000001E-9</v>
      </c>
      <c r="R19" s="108">
        <v>1.5835E-9</v>
      </c>
      <c r="S19" s="108">
        <v>1.4704E-9</v>
      </c>
      <c r="T19" s="107">
        <v>1.3586E-9</v>
      </c>
      <c r="U19" s="108">
        <v>1.2509999999999999E-9</v>
      </c>
      <c r="V19" s="108">
        <v>1.1497000000000001E-9</v>
      </c>
      <c r="W19" s="107">
        <v>1.0578E-9</v>
      </c>
      <c r="X19" s="108">
        <v>7.8874999999999999E-10</v>
      </c>
      <c r="Y19" s="108">
        <v>5.4359999999999996E-10</v>
      </c>
      <c r="Z19" s="107">
        <v>4.9357999999999996E-10</v>
      </c>
      <c r="AA19" s="108">
        <v>4.4790000000000002E-10</v>
      </c>
      <c r="AB19" s="108">
        <v>4.0617E-10</v>
      </c>
      <c r="AC19" s="107">
        <v>3.6803000000000002E-10</v>
      </c>
      <c r="AD19" s="108">
        <v>3.3325000000000001E-10</v>
      </c>
      <c r="AE19" s="108">
        <v>3.0279999999999998E-10</v>
      </c>
      <c r="AF19" s="107">
        <v>2.7396999999999999E-10</v>
      </c>
      <c r="AG19" s="108">
        <v>2.4734E-10</v>
      </c>
      <c r="AH19" s="108">
        <v>1.6297000000000001E-10</v>
      </c>
    </row>
    <row r="20" spans="1:34" x14ac:dyDescent="0.35">
      <c r="A20" s="92" t="s">
        <v>63</v>
      </c>
      <c r="B20" s="109">
        <v>5.2854000000000005E-7</v>
      </c>
      <c r="C20" s="110">
        <v>1.1217E-6</v>
      </c>
      <c r="D20" s="110">
        <v>2.6616999999999999E-6</v>
      </c>
      <c r="E20" s="109">
        <v>7.6415999999999998E-6</v>
      </c>
      <c r="F20" s="110">
        <v>2.5486E-5</v>
      </c>
      <c r="G20" s="110">
        <v>2.6394000000000001E-3</v>
      </c>
      <c r="H20" s="109">
        <v>6.7882000000000003E-3</v>
      </c>
      <c r="I20" s="110">
        <v>1.537E-2</v>
      </c>
      <c r="J20" s="110">
        <v>3.0145000000000002E-2</v>
      </c>
      <c r="K20" s="109">
        <v>5.1109000000000002E-2</v>
      </c>
      <c r="L20" s="110">
        <v>7.5374999999999998E-2</v>
      </c>
      <c r="M20" s="110">
        <v>9.7961999999999994E-2</v>
      </c>
      <c r="N20" s="109">
        <v>0.11501</v>
      </c>
      <c r="O20" s="110">
        <v>0.12592999999999999</v>
      </c>
      <c r="P20" s="110">
        <v>0.13225000000000001</v>
      </c>
      <c r="Q20" s="109">
        <v>0.13572999999999999</v>
      </c>
      <c r="R20" s="110">
        <v>0.13761999999999999</v>
      </c>
      <c r="S20" s="110">
        <v>0.13866000000000001</v>
      </c>
      <c r="T20" s="109">
        <v>0.13922000000000001</v>
      </c>
      <c r="U20" s="110">
        <v>0.13954</v>
      </c>
      <c r="V20" s="110">
        <v>0.13972999999999999</v>
      </c>
      <c r="W20" s="109">
        <v>0.13983000000000001</v>
      </c>
      <c r="X20" s="110">
        <v>0.13997000000000001</v>
      </c>
      <c r="Y20" s="110">
        <v>0.13999</v>
      </c>
      <c r="Z20" s="109">
        <v>0.14000000000000001</v>
      </c>
      <c r="AA20" s="110">
        <v>0.14000000000000001</v>
      </c>
      <c r="AB20" s="110">
        <v>0.14000000000000001</v>
      </c>
      <c r="AC20" s="109">
        <v>0.14000000000000001</v>
      </c>
      <c r="AD20" s="110">
        <v>0.13999</v>
      </c>
      <c r="AE20" s="110">
        <v>0.13966999999999999</v>
      </c>
      <c r="AF20" s="109">
        <v>0.13941000000000001</v>
      </c>
      <c r="AG20" s="110">
        <v>0.13919000000000001</v>
      </c>
      <c r="AH20" s="110">
        <v>0.13839000000000001</v>
      </c>
    </row>
    <row r="21" spans="1:34" x14ac:dyDescent="0.35">
      <c r="A21" s="94" t="s">
        <v>64</v>
      </c>
      <c r="B21" s="115">
        <v>0</v>
      </c>
      <c r="C21" s="116">
        <v>0</v>
      </c>
      <c r="D21" s="116">
        <v>0</v>
      </c>
      <c r="E21" s="116">
        <v>0</v>
      </c>
      <c r="F21" s="116">
        <v>0</v>
      </c>
      <c r="G21" s="116">
        <v>0</v>
      </c>
      <c r="H21" s="116">
        <v>0</v>
      </c>
      <c r="I21" s="116">
        <v>0</v>
      </c>
      <c r="J21" s="116">
        <v>0</v>
      </c>
      <c r="K21" s="116">
        <v>0</v>
      </c>
      <c r="L21" s="116">
        <v>0</v>
      </c>
      <c r="M21" s="116">
        <v>0</v>
      </c>
      <c r="N21" s="116">
        <v>0</v>
      </c>
      <c r="O21" s="116">
        <v>0</v>
      </c>
      <c r="P21" s="116">
        <v>0</v>
      </c>
      <c r="Q21" s="116">
        <v>0</v>
      </c>
      <c r="R21" s="116">
        <v>0</v>
      </c>
      <c r="S21" s="116">
        <v>0</v>
      </c>
      <c r="T21" s="116">
        <v>0</v>
      </c>
      <c r="U21" s="116">
        <v>0</v>
      </c>
      <c r="V21" s="116">
        <v>0</v>
      </c>
      <c r="W21" s="115">
        <v>0</v>
      </c>
      <c r="X21" s="116">
        <v>0</v>
      </c>
      <c r="Y21" s="116">
        <v>1.4259E-22</v>
      </c>
      <c r="Z21" s="113">
        <v>4.8393000000000001E-18</v>
      </c>
      <c r="AA21" s="114">
        <v>8.6730999999999997E-14</v>
      </c>
      <c r="AB21" s="114">
        <v>7.9190000000000003E-10</v>
      </c>
      <c r="AC21" s="113">
        <v>1.4299000000000001E-7</v>
      </c>
      <c r="AD21" s="114">
        <v>5.5106000000000003E-4</v>
      </c>
      <c r="AE21" s="114">
        <v>1.2390999999999999E-2</v>
      </c>
      <c r="AF21" s="113">
        <v>1.9973000000000001E-2</v>
      </c>
      <c r="AG21" s="114">
        <v>2.5111000000000001E-2</v>
      </c>
      <c r="AH21" s="114">
        <v>3.5318000000000002E-2</v>
      </c>
    </row>
    <row r="22" spans="1:34" x14ac:dyDescent="0.35">
      <c r="A22" s="94" t="s">
        <v>65</v>
      </c>
      <c r="B22" s="115">
        <v>0</v>
      </c>
      <c r="C22" s="116">
        <v>0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5">
        <v>0</v>
      </c>
      <c r="X22" s="116">
        <v>0</v>
      </c>
      <c r="Y22" s="116">
        <v>2.2449000000000001E-23</v>
      </c>
      <c r="Z22" s="113">
        <v>5.7803000000000002E-19</v>
      </c>
      <c r="AA22" s="114">
        <v>8.0229000000000003E-15</v>
      </c>
      <c r="AB22" s="114">
        <v>5.7836000000000002E-11</v>
      </c>
      <c r="AC22" s="113">
        <v>8.3879E-9</v>
      </c>
      <c r="AD22" s="114">
        <v>2.6605999999999999E-5</v>
      </c>
      <c r="AE22" s="114">
        <v>6.5841999999999995E-4</v>
      </c>
      <c r="AF22" s="113">
        <v>1.1711E-3</v>
      </c>
      <c r="AG22" s="114">
        <v>1.6188000000000001E-3</v>
      </c>
      <c r="AH22" s="114">
        <v>3.2217000000000001E-3</v>
      </c>
    </row>
    <row r="23" spans="1:34" x14ac:dyDescent="0.35">
      <c r="A23" s="94" t="s">
        <v>28</v>
      </c>
      <c r="B23" s="115">
        <v>-18.66</v>
      </c>
      <c r="C23" s="116">
        <v>-18.649999999999999</v>
      </c>
      <c r="D23" s="116">
        <v>-18.649999999999999</v>
      </c>
      <c r="E23" s="115">
        <v>-18.66</v>
      </c>
      <c r="F23" s="116">
        <v>-18.670000000000002</v>
      </c>
      <c r="G23" s="116">
        <v>-18.75</v>
      </c>
      <c r="H23" s="115">
        <v>-18.78</v>
      </c>
      <c r="I23" s="116">
        <v>-18.809999999999999</v>
      </c>
      <c r="J23" s="116">
        <v>-18.829999999999998</v>
      </c>
      <c r="K23" s="115">
        <v>-18.86</v>
      </c>
      <c r="L23" s="116">
        <v>-18.899999999999999</v>
      </c>
      <c r="M23" s="116">
        <v>-18.93</v>
      </c>
      <c r="N23" s="113">
        <v>-18.96</v>
      </c>
      <c r="O23" s="114">
        <v>-18.989999999999998</v>
      </c>
      <c r="P23" s="114">
        <v>-19.03</v>
      </c>
      <c r="Q23" s="113">
        <v>-19.059999999999999</v>
      </c>
      <c r="R23" s="114">
        <v>-19.100000000000001</v>
      </c>
      <c r="S23" s="114">
        <v>-19.13</v>
      </c>
      <c r="T23" s="113">
        <v>-19.170000000000002</v>
      </c>
      <c r="U23" s="114">
        <v>-19.2</v>
      </c>
      <c r="V23" s="114">
        <v>-19.23</v>
      </c>
      <c r="W23" s="113">
        <v>-19.27</v>
      </c>
      <c r="X23" s="114">
        <v>-19.38</v>
      </c>
      <c r="Y23" s="114">
        <v>-19.510000000000002</v>
      </c>
      <c r="Z23" s="113">
        <v>-19.55</v>
      </c>
      <c r="AA23" s="114">
        <v>-19.579999999999998</v>
      </c>
      <c r="AB23" s="114">
        <v>-19.61</v>
      </c>
      <c r="AC23" s="113">
        <v>-19.64</v>
      </c>
      <c r="AD23" s="114">
        <v>-19.670000000000002</v>
      </c>
      <c r="AE23" s="114">
        <v>-19.7</v>
      </c>
      <c r="AF23" s="113">
        <v>-19.73</v>
      </c>
      <c r="AG23" s="114">
        <v>-19.760000000000002</v>
      </c>
      <c r="AH23" s="114">
        <v>-19.88</v>
      </c>
    </row>
    <row r="24" spans="1:34" x14ac:dyDescent="0.35">
      <c r="A24" s="98" t="s">
        <v>5</v>
      </c>
      <c r="B24" s="113">
        <v>-67.12</v>
      </c>
      <c r="C24" s="114">
        <v>-63.52</v>
      </c>
      <c r="D24" s="114">
        <v>-60.12</v>
      </c>
      <c r="E24" s="113">
        <v>-56.76</v>
      </c>
      <c r="F24" s="114">
        <v>-53.4</v>
      </c>
      <c r="G24" s="114">
        <v>-41.04</v>
      </c>
      <c r="H24" s="113">
        <v>-38.450000000000003</v>
      </c>
      <c r="I24" s="114">
        <v>-36.08</v>
      </c>
      <c r="J24" s="114">
        <v>-33.93</v>
      </c>
      <c r="K24" s="113">
        <v>-31.94</v>
      </c>
      <c r="L24" s="114">
        <v>-30.07</v>
      </c>
      <c r="M24" s="114">
        <v>-28.28</v>
      </c>
      <c r="N24" s="113">
        <v>-26.54</v>
      </c>
      <c r="O24" s="114">
        <v>-24.87</v>
      </c>
      <c r="P24" s="114">
        <v>-23.27</v>
      </c>
      <c r="Q24" s="113">
        <v>-21.74</v>
      </c>
      <c r="R24" s="114">
        <v>-20.27</v>
      </c>
      <c r="S24" s="114">
        <v>-18.87</v>
      </c>
      <c r="T24" s="113">
        <v>-17.54</v>
      </c>
      <c r="U24" s="114">
        <v>-16.260000000000002</v>
      </c>
      <c r="V24" s="114">
        <v>-15.05</v>
      </c>
      <c r="W24" s="113">
        <v>-13.91</v>
      </c>
      <c r="X24" s="114">
        <v>-10.79</v>
      </c>
      <c r="Y24" s="114">
        <v>-9.1989999999999998</v>
      </c>
      <c r="Z24" s="113">
        <v>-8.8740000000000006</v>
      </c>
      <c r="AA24" s="114">
        <v>-8.5730000000000004</v>
      </c>
      <c r="AB24" s="114">
        <v>-8.2949999999999999</v>
      </c>
      <c r="AC24" s="113">
        <v>-8.0359999999999996</v>
      </c>
      <c r="AD24" s="114">
        <v>-7.8040000000000003</v>
      </c>
      <c r="AE24" s="114">
        <v>-7.8559999999999999</v>
      </c>
      <c r="AF24" s="113">
        <v>-7.915</v>
      </c>
      <c r="AG24" s="114">
        <v>-7.9720000000000004</v>
      </c>
      <c r="AH24" s="114">
        <v>-8.1969999999999992</v>
      </c>
    </row>
    <row r="25" spans="1:34" x14ac:dyDescent="0.35">
      <c r="A25" s="98" t="s">
        <v>6</v>
      </c>
      <c r="B25" s="113">
        <v>-16.98</v>
      </c>
      <c r="C25" s="114">
        <v>-16.239999999999998</v>
      </c>
      <c r="D25" s="114">
        <v>-15.42</v>
      </c>
      <c r="E25" s="113">
        <v>-14.46</v>
      </c>
      <c r="F25" s="114">
        <v>-13.36</v>
      </c>
      <c r="G25" s="114">
        <v>-8.9659999999999993</v>
      </c>
      <c r="H25" s="113">
        <v>-8.077</v>
      </c>
      <c r="I25" s="114">
        <v>-7.3339999999999996</v>
      </c>
      <c r="J25" s="114">
        <v>-6.7590000000000003</v>
      </c>
      <c r="K25" s="113">
        <v>-6.35</v>
      </c>
      <c r="L25" s="114">
        <v>-6.0869999999999997</v>
      </c>
      <c r="M25" s="114">
        <v>-5.9379999999999997</v>
      </c>
      <c r="N25" s="113">
        <v>-5.87</v>
      </c>
      <c r="O25" s="114">
        <v>-5.8520000000000003</v>
      </c>
      <c r="P25" s="114">
        <v>-5.8609999999999998</v>
      </c>
      <c r="Q25" s="113">
        <v>-5.8860000000000001</v>
      </c>
      <c r="R25" s="114">
        <v>-5.9180000000000001</v>
      </c>
      <c r="S25" s="114">
        <v>-5.9550000000000001</v>
      </c>
      <c r="T25" s="113">
        <v>-5.9930000000000003</v>
      </c>
      <c r="U25" s="114">
        <v>-6.0330000000000004</v>
      </c>
      <c r="V25" s="114">
        <v>-6.0739999999999998</v>
      </c>
      <c r="W25" s="113">
        <v>-6.1180000000000003</v>
      </c>
      <c r="X25" s="114">
        <v>-6.3319999999999999</v>
      </c>
      <c r="Y25" s="114">
        <v>-6.508</v>
      </c>
      <c r="Z25" s="113">
        <v>-6.5510000000000002</v>
      </c>
      <c r="AA25" s="114">
        <v>-6.5940000000000003</v>
      </c>
      <c r="AB25" s="114">
        <v>-6.6360000000000001</v>
      </c>
      <c r="AC25" s="113">
        <v>-6.6779999999999999</v>
      </c>
      <c r="AD25" s="114">
        <v>-6.7190000000000003</v>
      </c>
      <c r="AE25" s="114">
        <v>-6.7510000000000003</v>
      </c>
      <c r="AF25" s="113">
        <v>-6.7839999999999998</v>
      </c>
      <c r="AG25" s="114">
        <v>-6.8170000000000002</v>
      </c>
      <c r="AH25" s="114">
        <v>-6.9539999999999997</v>
      </c>
    </row>
    <row r="26" spans="1:34" x14ac:dyDescent="0.35">
      <c r="A26" s="98" t="s">
        <v>7</v>
      </c>
      <c r="B26" s="113">
        <v>-23.56</v>
      </c>
      <c r="C26" s="114">
        <v>-22.53</v>
      </c>
      <c r="D26" s="114">
        <v>-21.75</v>
      </c>
      <c r="E26" s="113">
        <v>-21.28</v>
      </c>
      <c r="F26" s="114">
        <v>-21.09</v>
      </c>
      <c r="G26" s="114">
        <v>-21.65</v>
      </c>
      <c r="H26" s="113">
        <v>-21.85</v>
      </c>
      <c r="I26" s="114">
        <v>-22.03</v>
      </c>
      <c r="J26" s="114">
        <v>-22.18</v>
      </c>
      <c r="K26" s="113">
        <v>-22.32</v>
      </c>
      <c r="L26" s="114">
        <v>-22.47</v>
      </c>
      <c r="M26" s="114">
        <v>-22.65</v>
      </c>
      <c r="N26" s="113">
        <v>-22.86</v>
      </c>
      <c r="O26" s="114">
        <v>-23.08</v>
      </c>
      <c r="P26" s="114">
        <v>-23.31</v>
      </c>
      <c r="Q26" s="113">
        <v>-23.54</v>
      </c>
      <c r="R26" s="114">
        <v>-23.78</v>
      </c>
      <c r="S26" s="114">
        <v>-24.01</v>
      </c>
      <c r="T26" s="113">
        <v>-24.25</v>
      </c>
      <c r="U26" s="114">
        <v>-24.48</v>
      </c>
      <c r="V26" s="114">
        <v>-24.71</v>
      </c>
      <c r="W26" s="113">
        <v>-24.94</v>
      </c>
      <c r="X26" s="114">
        <v>-25.82</v>
      </c>
      <c r="Y26" s="114">
        <v>-26.68</v>
      </c>
      <c r="Z26" s="113">
        <v>-26.9</v>
      </c>
      <c r="AA26" s="114">
        <v>-27.11</v>
      </c>
      <c r="AB26" s="114">
        <v>-27.32</v>
      </c>
      <c r="AC26" s="113">
        <v>-27.52</v>
      </c>
      <c r="AD26" s="114">
        <v>-27.73</v>
      </c>
      <c r="AE26" s="114">
        <v>-27.92</v>
      </c>
      <c r="AF26" s="113">
        <v>-28.11</v>
      </c>
      <c r="AG26" s="114">
        <v>-28.3</v>
      </c>
      <c r="AH26" s="114">
        <v>-29.08</v>
      </c>
    </row>
    <row r="27" spans="1:34" x14ac:dyDescent="0.35">
      <c r="A27" s="98" t="s">
        <v>50</v>
      </c>
      <c r="B27" s="113">
        <v>0.20829</v>
      </c>
      <c r="C27" s="114">
        <v>0.20818999999999999</v>
      </c>
      <c r="D27" s="114">
        <v>0.20796000000000001</v>
      </c>
      <c r="E27" s="113">
        <v>0.20755999999999999</v>
      </c>
      <c r="F27" s="114">
        <v>0.20713000000000001</v>
      </c>
      <c r="G27" s="114">
        <v>0.20643</v>
      </c>
      <c r="H27" s="113">
        <v>0.20633000000000001</v>
      </c>
      <c r="I27" s="114">
        <v>0.20616000000000001</v>
      </c>
      <c r="J27" s="114">
        <v>0.20588000000000001</v>
      </c>
      <c r="K27" s="113">
        <v>0.20554</v>
      </c>
      <c r="L27" s="114">
        <v>0.20519000000000001</v>
      </c>
      <c r="M27" s="114">
        <v>0.2049</v>
      </c>
      <c r="N27" s="113">
        <v>0.20471</v>
      </c>
      <c r="O27" s="114">
        <v>0.20458999999999999</v>
      </c>
      <c r="P27" s="114">
        <v>0.20452000000000001</v>
      </c>
      <c r="Q27" s="113">
        <v>0.20449000000000001</v>
      </c>
      <c r="R27" s="114">
        <v>0.20447000000000001</v>
      </c>
      <c r="S27" s="114">
        <v>0.20446</v>
      </c>
      <c r="T27" s="113">
        <v>0.20444999999999999</v>
      </c>
      <c r="U27" s="114">
        <v>0.20441999999999999</v>
      </c>
      <c r="V27" s="114">
        <v>0.20435</v>
      </c>
      <c r="W27" s="113">
        <v>0.2041</v>
      </c>
      <c r="X27" s="114">
        <v>0.20046</v>
      </c>
      <c r="Y27" s="114">
        <v>0.20000999999999999</v>
      </c>
      <c r="Z27" s="115">
        <v>0.2</v>
      </c>
      <c r="AA27" s="116">
        <v>0.2</v>
      </c>
      <c r="AB27" s="116">
        <v>0.2</v>
      </c>
      <c r="AC27" s="115">
        <v>0.2</v>
      </c>
      <c r="AD27" s="116">
        <v>0.2</v>
      </c>
      <c r="AE27" s="116">
        <v>0.2</v>
      </c>
      <c r="AF27" s="115">
        <v>0.2</v>
      </c>
      <c r="AG27" s="116">
        <v>0.2</v>
      </c>
      <c r="AH27" s="116">
        <v>0.2</v>
      </c>
    </row>
    <row r="28" spans="1:34" x14ac:dyDescent="0.35">
      <c r="A28" s="98" t="s">
        <v>66</v>
      </c>
      <c r="B28" s="113">
        <v>0.29409000000000002</v>
      </c>
      <c r="C28" s="114">
        <v>0.29996</v>
      </c>
      <c r="D28" s="114">
        <v>0.31474999999999997</v>
      </c>
      <c r="E28" s="113">
        <v>0.34147</v>
      </c>
      <c r="F28" s="114">
        <v>0.37425000000000003</v>
      </c>
      <c r="G28" s="114">
        <v>0.43531999999999998</v>
      </c>
      <c r="H28" s="113">
        <v>0.44551000000000002</v>
      </c>
      <c r="I28" s="114">
        <v>0.46371000000000001</v>
      </c>
      <c r="J28" s="114">
        <v>0.49396000000000001</v>
      </c>
      <c r="K28" s="113">
        <v>0.53646000000000005</v>
      </c>
      <c r="L28" s="114">
        <v>0.58545999999999998</v>
      </c>
      <c r="M28" s="114">
        <v>0.63097999999999999</v>
      </c>
      <c r="N28" s="113">
        <v>0.6653</v>
      </c>
      <c r="O28" s="114">
        <v>0.68727000000000005</v>
      </c>
      <c r="P28" s="114">
        <v>0.69998000000000005</v>
      </c>
      <c r="Q28" s="113">
        <v>0.70698000000000005</v>
      </c>
      <c r="R28" s="114">
        <v>0.71077999999999997</v>
      </c>
      <c r="S28" s="114">
        <v>0.71287</v>
      </c>
      <c r="T28" s="113">
        <v>0.71406999999999998</v>
      </c>
      <c r="U28" s="114">
        <v>0.71491000000000005</v>
      </c>
      <c r="V28" s="114">
        <v>0.71601000000000004</v>
      </c>
      <c r="W28" s="113">
        <v>0.71862000000000004</v>
      </c>
      <c r="X28" s="114">
        <v>0.75817999999999997</v>
      </c>
      <c r="Y28" s="114">
        <v>0.77161000000000002</v>
      </c>
      <c r="Z28" s="113">
        <v>0.77476</v>
      </c>
      <c r="AA28" s="114">
        <v>0.77805000000000002</v>
      </c>
      <c r="AB28" s="114">
        <v>0.78132000000000001</v>
      </c>
      <c r="AC28" s="113">
        <v>0.78437999999999997</v>
      </c>
      <c r="AD28" s="114">
        <v>0.78678999999999999</v>
      </c>
      <c r="AE28" s="114">
        <v>0.78103</v>
      </c>
      <c r="AF28" s="113">
        <v>0.77607000000000004</v>
      </c>
      <c r="AG28" s="114">
        <v>0.77193999999999996</v>
      </c>
      <c r="AH28" s="114">
        <v>0.76137999999999995</v>
      </c>
    </row>
    <row r="29" spans="1:34" x14ac:dyDescent="0.35">
      <c r="A29" s="98" t="s">
        <v>67</v>
      </c>
      <c r="B29" s="113">
        <v>2.4662999999999999E-43</v>
      </c>
      <c r="C29" s="114">
        <v>5.0292999999999998E-42</v>
      </c>
      <c r="D29" s="114">
        <v>6.0395999999999997E-43</v>
      </c>
      <c r="E29" s="115">
        <v>0</v>
      </c>
      <c r="F29" s="116">
        <v>0</v>
      </c>
      <c r="G29" s="99">
        <v>0</v>
      </c>
      <c r="H29" s="99">
        <v>0</v>
      </c>
      <c r="I29" s="99">
        <v>0</v>
      </c>
      <c r="J29" s="99">
        <v>0</v>
      </c>
      <c r="K29" s="99">
        <v>0</v>
      </c>
      <c r="L29" s="99">
        <v>0</v>
      </c>
      <c r="M29" s="99">
        <v>0</v>
      </c>
      <c r="N29" s="99">
        <v>0</v>
      </c>
      <c r="O29" s="99">
        <v>0</v>
      </c>
      <c r="P29" s="99">
        <v>0</v>
      </c>
      <c r="Q29" s="99">
        <v>0</v>
      </c>
      <c r="R29" s="99">
        <v>0</v>
      </c>
      <c r="S29" s="99">
        <v>0</v>
      </c>
      <c r="T29" s="99">
        <v>0</v>
      </c>
      <c r="U29" s="99">
        <v>0</v>
      </c>
      <c r="V29" s="99">
        <v>0</v>
      </c>
      <c r="W29" s="99">
        <v>0</v>
      </c>
      <c r="X29" s="99">
        <v>0</v>
      </c>
      <c r="Y29" s="99">
        <v>0</v>
      </c>
      <c r="Z29" s="99">
        <v>0</v>
      </c>
      <c r="AA29" s="99">
        <v>0</v>
      </c>
      <c r="AB29" s="99">
        <v>0</v>
      </c>
      <c r="AC29" s="99">
        <v>0</v>
      </c>
      <c r="AD29" s="99">
        <v>0</v>
      </c>
      <c r="AE29" s="99">
        <v>0</v>
      </c>
      <c r="AF29" s="99">
        <v>0</v>
      </c>
      <c r="AG29" s="99">
        <v>0</v>
      </c>
      <c r="AH29" s="99">
        <v>0</v>
      </c>
    </row>
    <row r="30" spans="1:34" x14ac:dyDescent="0.35">
      <c r="A30" s="94" t="s">
        <v>68</v>
      </c>
      <c r="B30" s="115">
        <v>0</v>
      </c>
      <c r="C30" s="116">
        <v>0</v>
      </c>
      <c r="D30" s="99" t="s">
        <v>52</v>
      </c>
      <c r="E30" s="115">
        <v>0</v>
      </c>
      <c r="F30" s="116">
        <v>0</v>
      </c>
      <c r="G30" s="99" t="s">
        <v>52</v>
      </c>
      <c r="H30" s="115">
        <v>0</v>
      </c>
      <c r="I30" s="116">
        <v>0</v>
      </c>
      <c r="J30" s="99" t="s">
        <v>52</v>
      </c>
      <c r="K30" s="115">
        <v>0</v>
      </c>
      <c r="L30" s="116">
        <v>0</v>
      </c>
      <c r="M30" s="99" t="s">
        <v>52</v>
      </c>
      <c r="N30" s="115">
        <v>0</v>
      </c>
      <c r="O30" s="116">
        <v>0</v>
      </c>
      <c r="P30" s="99" t="s">
        <v>52</v>
      </c>
      <c r="Q30" s="115">
        <v>0</v>
      </c>
      <c r="R30" s="116">
        <v>0</v>
      </c>
      <c r="S30" s="99" t="s">
        <v>52</v>
      </c>
      <c r="T30" s="115">
        <v>0</v>
      </c>
      <c r="U30" s="116">
        <v>0</v>
      </c>
      <c r="V30" s="99" t="s">
        <v>52</v>
      </c>
      <c r="W30" s="115">
        <v>0</v>
      </c>
      <c r="X30" s="116">
        <v>1.3284000000000001E-41</v>
      </c>
      <c r="Y30" s="116">
        <v>8.0521000000000001E-22</v>
      </c>
      <c r="Z30" s="113">
        <v>1.8623E-17</v>
      </c>
      <c r="AA30" s="114">
        <v>2.3323000000000001E-13</v>
      </c>
      <c r="AB30" s="114">
        <v>1.5232999999999999E-9</v>
      </c>
      <c r="AC30" s="113">
        <v>2.0087E-7</v>
      </c>
      <c r="AD30" s="114">
        <v>5.8102000000000002E-4</v>
      </c>
      <c r="AE30" s="114">
        <v>1.3049E-2</v>
      </c>
      <c r="AF30" s="113">
        <v>2.1144E-2</v>
      </c>
      <c r="AG30" s="114">
        <v>2.673E-2</v>
      </c>
      <c r="AH30" s="114">
        <v>3.8538999999999997E-2</v>
      </c>
    </row>
    <row r="31" spans="1:34" x14ac:dyDescent="0.35">
      <c r="A31" s="100" t="s">
        <v>51</v>
      </c>
      <c r="B31" s="117">
        <v>5.6684999999999996E-9</v>
      </c>
      <c r="C31" s="118">
        <v>5.1434999999999999E-9</v>
      </c>
      <c r="D31" s="118">
        <v>5.7163000000000002E-9</v>
      </c>
      <c r="E31" s="117">
        <v>7.2030999999999997E-9</v>
      </c>
      <c r="F31" s="118">
        <v>7.4482E-9</v>
      </c>
      <c r="G31" s="118">
        <v>9.1720999999999998E-9</v>
      </c>
      <c r="H31" s="117">
        <v>7.4795999999999997E-9</v>
      </c>
      <c r="I31" s="118">
        <v>6.2849000000000001E-9</v>
      </c>
      <c r="J31" s="118">
        <v>5.6411000000000003E-9</v>
      </c>
      <c r="K31" s="117">
        <v>6.1216999999999997E-9</v>
      </c>
      <c r="L31" s="118">
        <v>4.9961999999999998E-9</v>
      </c>
      <c r="M31" s="118">
        <v>5.8986999999999999E-9</v>
      </c>
      <c r="N31" s="117">
        <v>9.9938000000000008E-9</v>
      </c>
      <c r="O31" s="118">
        <v>6.4698000000000001E-9</v>
      </c>
      <c r="P31" s="118">
        <v>9.9681000000000008E-9</v>
      </c>
      <c r="Q31" s="117">
        <v>7.4969000000000004E-9</v>
      </c>
      <c r="R31" s="118">
        <v>8.4624000000000001E-9</v>
      </c>
      <c r="S31" s="118">
        <v>8.3330999999999997E-9</v>
      </c>
      <c r="T31" s="117">
        <v>8.0522999999999996E-9</v>
      </c>
      <c r="U31" s="118">
        <v>8.0905000000000005E-9</v>
      </c>
      <c r="V31" s="118">
        <v>8.1129000000000008E-9</v>
      </c>
      <c r="W31" s="117">
        <v>8.4208000000000005E-9</v>
      </c>
      <c r="X31" s="118">
        <v>9.3524000000000001E-9</v>
      </c>
      <c r="Y31" s="118">
        <v>9.6870999999999998E-9</v>
      </c>
      <c r="Z31" s="117">
        <v>9.5976999999999996E-9</v>
      </c>
      <c r="AA31" s="118">
        <v>9.4909E-9</v>
      </c>
      <c r="AB31" s="118">
        <v>9.4222000000000008E-9</v>
      </c>
      <c r="AC31" s="117">
        <v>9.2464000000000007E-9</v>
      </c>
      <c r="AD31" s="118">
        <v>9.9584000000000007E-9</v>
      </c>
      <c r="AE31" s="118">
        <v>9.8536E-9</v>
      </c>
      <c r="AF31" s="117">
        <v>9.8698000000000008E-9</v>
      </c>
      <c r="AG31" s="118">
        <v>9.5257999999999995E-9</v>
      </c>
      <c r="AH31" s="118">
        <v>9.3849000000000005E-9</v>
      </c>
    </row>
  </sheetData>
  <conditionalFormatting sqref="B1:AH31">
    <cfRule type="expression" dxfId="2" priority="2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AE357-5175-4504-83F2-4427EDF82168}">
  <sheetPr codeName="Лист8"/>
  <dimension ref="A1:AH20"/>
  <sheetViews>
    <sheetView topLeftCell="P1" zoomScaleNormal="100" workbookViewId="0">
      <selection sqref="A1:AH20"/>
    </sheetView>
  </sheetViews>
  <sheetFormatPr defaultRowHeight="21" x14ac:dyDescent="0.35"/>
  <sheetData>
    <row r="1" spans="1:34" x14ac:dyDescent="0.35">
      <c r="A1" s="94" t="s">
        <v>43</v>
      </c>
      <c r="B1" s="95">
        <v>273.10000000000002</v>
      </c>
      <c r="C1" s="95">
        <v>289.7</v>
      </c>
      <c r="D1" s="95">
        <v>306.2</v>
      </c>
      <c r="E1" s="95">
        <v>322.7</v>
      </c>
      <c r="F1" s="95">
        <v>339.2</v>
      </c>
      <c r="G1" s="95">
        <v>405.3</v>
      </c>
      <c r="H1" s="95">
        <v>421.8</v>
      </c>
      <c r="I1" s="95">
        <v>438.3</v>
      </c>
      <c r="J1" s="95">
        <v>454.9</v>
      </c>
      <c r="K1" s="95">
        <v>471.4</v>
      </c>
      <c r="L1" s="95">
        <v>487.9</v>
      </c>
      <c r="M1" s="95">
        <v>504.4</v>
      </c>
      <c r="N1" s="95">
        <v>520.9</v>
      </c>
      <c r="O1" s="95">
        <v>537.5</v>
      </c>
      <c r="P1" s="96">
        <v>554</v>
      </c>
      <c r="Q1" s="95">
        <v>570.5</v>
      </c>
      <c r="R1" s="96">
        <v>587</v>
      </c>
      <c r="S1" s="95">
        <v>603.5</v>
      </c>
      <c r="T1" s="95">
        <v>620.1</v>
      </c>
      <c r="U1" s="95">
        <v>636.6</v>
      </c>
      <c r="V1" s="95">
        <v>653.1</v>
      </c>
      <c r="W1" s="95">
        <v>669.6</v>
      </c>
      <c r="X1" s="95">
        <v>735.7</v>
      </c>
      <c r="Y1" s="95">
        <v>801.8</v>
      </c>
      <c r="Z1" s="95">
        <v>818.3</v>
      </c>
      <c r="AA1" s="95">
        <v>834.8</v>
      </c>
      <c r="AB1" s="95">
        <v>851.3</v>
      </c>
      <c r="AC1" s="95">
        <v>867.8</v>
      </c>
      <c r="AD1" s="95">
        <v>884.4</v>
      </c>
      <c r="AE1" s="95">
        <v>900.9</v>
      </c>
      <c r="AF1" s="95">
        <v>917.4</v>
      </c>
      <c r="AG1" s="95">
        <v>933.9</v>
      </c>
      <c r="AH1" s="95">
        <v>1000</v>
      </c>
    </row>
    <row r="2" spans="1:34" x14ac:dyDescent="0.35">
      <c r="A2" s="97" t="s">
        <v>56</v>
      </c>
      <c r="B2" s="111">
        <v>7.5756000000000005E-29</v>
      </c>
      <c r="C2" s="112">
        <v>2.9401999999999999E-27</v>
      </c>
      <c r="D2" s="112">
        <v>9.9583000000000004E-26</v>
      </c>
      <c r="E2" s="111">
        <v>3.5787999999999998E-24</v>
      </c>
      <c r="F2" s="112">
        <v>1.4182000000000001E-22</v>
      </c>
      <c r="G2" s="112">
        <v>1.2896E-16</v>
      </c>
      <c r="H2" s="111">
        <v>2.2897000000000001E-15</v>
      </c>
      <c r="I2" s="112">
        <v>3.1573000000000001E-14</v>
      </c>
      <c r="J2" s="112">
        <v>3.4560000000000001E-13</v>
      </c>
      <c r="K2" s="111">
        <v>3.1638999999999999E-12</v>
      </c>
      <c r="L2" s="112">
        <v>2.5638999999999999E-11</v>
      </c>
      <c r="M2" s="112">
        <v>1.9056999999999999E-10</v>
      </c>
      <c r="N2" s="111">
        <v>1.3130999999999999E-9</v>
      </c>
      <c r="O2" s="112">
        <v>8.3702999999999995E-9</v>
      </c>
      <c r="P2" s="112">
        <v>4.9187999999999997E-8</v>
      </c>
      <c r="Q2" s="121">
        <v>2.664E-7</v>
      </c>
      <c r="R2" s="122">
        <v>1.3331E-6</v>
      </c>
      <c r="S2" s="122">
        <v>6.1879999999999999E-6</v>
      </c>
      <c r="T2" s="111">
        <v>2.6750999999999998E-5</v>
      </c>
      <c r="U2" s="112">
        <v>1.0794999999999999E-4</v>
      </c>
      <c r="V2" s="112">
        <v>4.0492000000000002E-4</v>
      </c>
      <c r="W2" s="111">
        <v>1.3795999999999999E-3</v>
      </c>
      <c r="X2" s="112">
        <v>1.6258999999999999E-2</v>
      </c>
      <c r="Y2" s="112">
        <v>1.4115000000000001E-2</v>
      </c>
      <c r="Z2" s="111">
        <v>1.2591E-2</v>
      </c>
      <c r="AA2" s="112">
        <v>1.0965000000000001E-2</v>
      </c>
      <c r="AB2" s="112">
        <v>9.3370999999999992E-3</v>
      </c>
      <c r="AC2" s="111">
        <v>7.8056000000000002E-3</v>
      </c>
      <c r="AD2" s="112">
        <v>6.3140999999999996E-3</v>
      </c>
      <c r="AE2" s="112">
        <v>2.9566000000000002E-3</v>
      </c>
      <c r="AF2" s="111">
        <v>1.3887999999999999E-3</v>
      </c>
      <c r="AG2" s="112">
        <v>6.6326999999999998E-4</v>
      </c>
      <c r="AH2" s="112">
        <v>4.0513999999999999E-5</v>
      </c>
    </row>
    <row r="3" spans="1:34" x14ac:dyDescent="0.35">
      <c r="A3" s="98" t="s">
        <v>57</v>
      </c>
      <c r="B3" s="113">
        <v>5.2854000000000005E-7</v>
      </c>
      <c r="C3" s="114">
        <v>1.1217E-6</v>
      </c>
      <c r="D3" s="114">
        <v>2.6616999999999999E-6</v>
      </c>
      <c r="E3" s="113">
        <v>7.6415999999999998E-6</v>
      </c>
      <c r="F3" s="114">
        <v>2.5486E-5</v>
      </c>
      <c r="G3" s="114">
        <v>2.6394000000000001E-3</v>
      </c>
      <c r="H3" s="113">
        <v>6.7882000000000003E-3</v>
      </c>
      <c r="I3" s="114">
        <v>1.537E-2</v>
      </c>
      <c r="J3" s="114">
        <v>3.0145000000000002E-2</v>
      </c>
      <c r="K3" s="113">
        <v>5.1109000000000002E-2</v>
      </c>
      <c r="L3" s="114">
        <v>7.5374999999999998E-2</v>
      </c>
      <c r="M3" s="114">
        <v>9.7961999999999994E-2</v>
      </c>
      <c r="N3" s="113">
        <v>0.11501</v>
      </c>
      <c r="O3" s="114">
        <v>0.12592999999999999</v>
      </c>
      <c r="P3" s="114">
        <v>0.13225000000000001</v>
      </c>
      <c r="Q3" s="113">
        <v>0.13572999999999999</v>
      </c>
      <c r="R3" s="114">
        <v>0.13761999999999999</v>
      </c>
      <c r="S3" s="114">
        <v>0.13866000000000001</v>
      </c>
      <c r="T3" s="113">
        <v>0.13922000000000001</v>
      </c>
      <c r="U3" s="114">
        <v>0.13954</v>
      </c>
      <c r="V3" s="114">
        <v>0.13972999999999999</v>
      </c>
      <c r="W3" s="113">
        <v>0.13983000000000001</v>
      </c>
      <c r="X3" s="114">
        <v>0.13997000000000001</v>
      </c>
      <c r="Y3" s="114">
        <v>0.13999</v>
      </c>
      <c r="Z3" s="113">
        <v>0.14000000000000001</v>
      </c>
      <c r="AA3" s="114">
        <v>0.14000000000000001</v>
      </c>
      <c r="AB3" s="114">
        <v>0.14000000000000001</v>
      </c>
      <c r="AC3" s="113">
        <v>0.14000000000000001</v>
      </c>
      <c r="AD3" s="114">
        <v>0.13999</v>
      </c>
      <c r="AE3" s="114">
        <v>0.13966999999999999</v>
      </c>
      <c r="AF3" s="113">
        <v>0.13941000000000001</v>
      </c>
      <c r="AG3" s="114">
        <v>0.13919000000000001</v>
      </c>
      <c r="AH3" s="114">
        <v>0.13839000000000001</v>
      </c>
    </row>
    <row r="4" spans="1:34" x14ac:dyDescent="0.35">
      <c r="A4" s="98" t="s">
        <v>58</v>
      </c>
      <c r="B4" s="113">
        <v>2.7998999999999999E-28</v>
      </c>
      <c r="C4" s="114">
        <v>1.0385999999999999E-26</v>
      </c>
      <c r="D4" s="114">
        <v>3.2712999999999998E-25</v>
      </c>
      <c r="E4" s="115">
        <v>1.026E-23</v>
      </c>
      <c r="F4" s="116">
        <v>3.2961E-22</v>
      </c>
      <c r="G4" s="116">
        <v>1.0036000000000001E-16</v>
      </c>
      <c r="H4" s="113">
        <v>1.4244E-15</v>
      </c>
      <c r="I4" s="114">
        <v>1.6396999999999999E-14</v>
      </c>
      <c r="J4" s="114">
        <v>1.5638000000000001E-13</v>
      </c>
      <c r="K4" s="113">
        <v>1.2856000000000001E-12</v>
      </c>
      <c r="L4" s="114">
        <v>9.4622000000000006E-12</v>
      </c>
      <c r="M4" s="114">
        <v>6.3634E-11</v>
      </c>
      <c r="N4" s="113">
        <v>3.9289000000000003E-10</v>
      </c>
      <c r="O4" s="114">
        <v>2.2262E-9</v>
      </c>
      <c r="P4" s="114">
        <v>1.1587E-8</v>
      </c>
      <c r="Q4" s="113">
        <v>5.5549000000000003E-8</v>
      </c>
      <c r="R4" s="114">
        <v>2.4629999999999998E-7</v>
      </c>
      <c r="S4" s="114">
        <v>1.0144E-6</v>
      </c>
      <c r="T4" s="113">
        <v>3.8963999999999997E-6</v>
      </c>
      <c r="U4" s="114">
        <v>1.3995999999999999E-5</v>
      </c>
      <c r="V4" s="114">
        <v>4.6999000000000002E-5</v>
      </c>
      <c r="W4" s="115">
        <v>1.4606999999999999E-4</v>
      </c>
      <c r="X4" s="116">
        <v>3.0864999999999998E-3</v>
      </c>
      <c r="Y4" s="116">
        <v>1.1698999999999999E-2</v>
      </c>
      <c r="Z4" s="115">
        <v>1.4792E-2</v>
      </c>
      <c r="AA4" s="116">
        <v>1.8062000000000002E-2</v>
      </c>
      <c r="AB4" s="116">
        <v>2.1322000000000001E-2</v>
      </c>
      <c r="AC4" s="115">
        <v>2.4386999999999999E-2</v>
      </c>
      <c r="AD4" s="116">
        <v>2.682E-2</v>
      </c>
      <c r="AE4" s="116">
        <v>2.1689E-2</v>
      </c>
      <c r="AF4" s="113">
        <v>1.7243999999999999E-2</v>
      </c>
      <c r="AG4" s="114">
        <v>1.3558000000000001E-2</v>
      </c>
      <c r="AH4" s="114">
        <v>4.5989000000000004E-3</v>
      </c>
    </row>
    <row r="5" spans="1:34" x14ac:dyDescent="0.35">
      <c r="A5" s="98" t="s">
        <v>59</v>
      </c>
      <c r="B5" s="113">
        <v>2.8265000000000001E-9</v>
      </c>
      <c r="C5" s="114">
        <v>8.0000999999999993E-9</v>
      </c>
      <c r="D5" s="114">
        <v>1.8224000000000002E-8</v>
      </c>
      <c r="E5" s="113">
        <v>3.2019999999999998E-8</v>
      </c>
      <c r="F5" s="114">
        <v>4.3060000000000003E-8</v>
      </c>
      <c r="G5" s="114">
        <v>3.1809999999999998E-8</v>
      </c>
      <c r="H5" s="113">
        <v>2.7503000000000001E-8</v>
      </c>
      <c r="I5" s="114">
        <v>2.4861E-8</v>
      </c>
      <c r="J5" s="114">
        <v>2.3668999999999998E-8</v>
      </c>
      <c r="K5" s="113">
        <v>2.3231999999999999E-8</v>
      </c>
      <c r="L5" s="114">
        <v>2.2659000000000001E-8</v>
      </c>
      <c r="M5" s="114">
        <v>2.1959999999999999E-8</v>
      </c>
      <c r="N5" s="113">
        <v>2.0686999999999999E-8</v>
      </c>
      <c r="O5" s="114">
        <v>1.8737999999999999E-8</v>
      </c>
      <c r="P5" s="114">
        <v>1.6546000000000001E-8</v>
      </c>
      <c r="Q5" s="113">
        <v>1.4403E-8</v>
      </c>
      <c r="R5" s="114">
        <v>1.2445E-8</v>
      </c>
      <c r="S5" s="114">
        <v>1.0713E-8</v>
      </c>
      <c r="T5" s="113">
        <v>9.2080999999999993E-9</v>
      </c>
      <c r="U5" s="114">
        <v>7.9125999999999993E-9</v>
      </c>
      <c r="V5" s="114">
        <v>6.8070999999999998E-9</v>
      </c>
      <c r="W5" s="113">
        <v>5.8781999999999998E-9</v>
      </c>
      <c r="X5" s="114">
        <v>3.4846000000000001E-9</v>
      </c>
      <c r="Y5" s="114">
        <v>1.9703000000000001E-9</v>
      </c>
      <c r="Z5" s="113">
        <v>1.7096E-9</v>
      </c>
      <c r="AA5" s="114">
        <v>1.4847000000000001E-9</v>
      </c>
      <c r="AB5" s="114">
        <v>1.2903E-9</v>
      </c>
      <c r="AC5" s="113">
        <v>1.1219E-9</v>
      </c>
      <c r="AD5" s="114">
        <v>9.7606000000000004E-10</v>
      </c>
      <c r="AE5" s="114">
        <v>8.5312000000000005E-10</v>
      </c>
      <c r="AF5" s="113">
        <v>7.4336000000000001E-10</v>
      </c>
      <c r="AG5" s="114">
        <v>6.4702000000000001E-10</v>
      </c>
      <c r="AH5" s="114">
        <v>3.7200000000000001E-10</v>
      </c>
    </row>
    <row r="6" spans="1:34" x14ac:dyDescent="0.35">
      <c r="A6" s="98" t="s">
        <v>60</v>
      </c>
      <c r="B6" s="113">
        <v>6.5148000000000001E-10</v>
      </c>
      <c r="C6" s="114">
        <v>2.0896999999999999E-9</v>
      </c>
      <c r="D6" s="114">
        <v>5.3268000000000003E-9</v>
      </c>
      <c r="E6" s="113">
        <v>1.036E-8</v>
      </c>
      <c r="F6" s="114">
        <v>1.5276999999999998E-8</v>
      </c>
      <c r="G6" s="114">
        <v>1.5183000000000001E-8</v>
      </c>
      <c r="H6" s="113">
        <v>1.3939999999999999E-8</v>
      </c>
      <c r="I6" s="114">
        <v>1.3321000000000001E-8</v>
      </c>
      <c r="J6" s="114">
        <v>1.3354E-8</v>
      </c>
      <c r="K6" s="113">
        <v>1.3752E-8</v>
      </c>
      <c r="L6" s="114">
        <v>1.4025999999999999E-8</v>
      </c>
      <c r="M6" s="114">
        <v>1.3751E-8</v>
      </c>
      <c r="N6" s="113">
        <v>1.2843E-8</v>
      </c>
      <c r="O6" s="114">
        <v>1.1528000000000001E-8</v>
      </c>
      <c r="P6" s="114">
        <v>1.0085000000000001E-8</v>
      </c>
      <c r="Q6" s="113">
        <v>8.6941000000000004E-9</v>
      </c>
      <c r="R6" s="114">
        <v>7.4380999999999998E-9</v>
      </c>
      <c r="S6" s="114">
        <v>6.3395000000000003E-9</v>
      </c>
      <c r="T6" s="113">
        <v>5.3942000000000003E-9</v>
      </c>
      <c r="U6" s="114">
        <v>4.5885E-9</v>
      </c>
      <c r="V6" s="114">
        <v>3.9075000000000004E-9</v>
      </c>
      <c r="W6" s="113">
        <v>3.3401000000000001E-9</v>
      </c>
      <c r="X6" s="114">
        <v>1.9017000000000002E-9</v>
      </c>
      <c r="Y6" s="114">
        <v>1.0337000000000001E-9</v>
      </c>
      <c r="Z6" s="113">
        <v>8.8833999999999995E-10</v>
      </c>
      <c r="AA6" s="114">
        <v>7.6410999999999996E-10</v>
      </c>
      <c r="AB6" s="114">
        <v>6.5776000000000001E-10</v>
      </c>
      <c r="AC6" s="113">
        <v>5.6653999999999999E-10</v>
      </c>
      <c r="AD6" s="114">
        <v>4.8829999999999996E-10</v>
      </c>
      <c r="AE6" s="114">
        <v>4.2284000000000001E-10</v>
      </c>
      <c r="AF6" s="113">
        <v>3.6505E-10</v>
      </c>
      <c r="AG6" s="114">
        <v>3.1482999999999999E-10</v>
      </c>
      <c r="AH6" s="114">
        <v>1.7455999999999999E-10</v>
      </c>
    </row>
    <row r="7" spans="1:34" x14ac:dyDescent="0.35">
      <c r="A7" s="94" t="s">
        <v>61</v>
      </c>
      <c r="B7" s="115">
        <v>2.3804999999999998E-3</v>
      </c>
      <c r="C7" s="116">
        <v>8.1585000000000008E-3</v>
      </c>
      <c r="D7" s="116">
        <v>2.2703000000000001E-2</v>
      </c>
      <c r="E7" s="115">
        <v>4.9029000000000003E-2</v>
      </c>
      <c r="F7" s="116">
        <v>8.1378000000000006E-2</v>
      </c>
      <c r="G7" s="116">
        <v>0.14174999999999999</v>
      </c>
      <c r="H7" s="115">
        <v>0.15184</v>
      </c>
      <c r="I7" s="116">
        <v>0.16986000000000001</v>
      </c>
      <c r="J7" s="116">
        <v>0.19985</v>
      </c>
      <c r="K7" s="115">
        <v>0.24199999999999999</v>
      </c>
      <c r="L7" s="116">
        <v>0.29065999999999997</v>
      </c>
      <c r="M7" s="116">
        <v>0.33589000000000002</v>
      </c>
      <c r="N7" s="115">
        <v>0.37001000000000001</v>
      </c>
      <c r="O7" s="116">
        <v>0.39185999999999999</v>
      </c>
      <c r="P7" s="116">
        <v>0.40450000000000003</v>
      </c>
      <c r="Q7" s="115">
        <v>0.41147</v>
      </c>
      <c r="R7" s="116">
        <v>0.41525000000000001</v>
      </c>
      <c r="S7" s="116">
        <v>0.41732000000000002</v>
      </c>
      <c r="T7" s="115">
        <v>0.41850999999999999</v>
      </c>
      <c r="U7" s="116">
        <v>0.41932999999999998</v>
      </c>
      <c r="V7" s="116">
        <v>0.42032999999999998</v>
      </c>
      <c r="W7" s="115">
        <v>0.42265000000000003</v>
      </c>
      <c r="X7" s="116">
        <v>0.45709</v>
      </c>
      <c r="Y7" s="116">
        <v>0.46577000000000002</v>
      </c>
      <c r="Z7" s="115">
        <v>0.46736</v>
      </c>
      <c r="AA7" s="116">
        <v>0.46901999999999999</v>
      </c>
      <c r="AB7" s="116">
        <v>0.47065000000000001</v>
      </c>
      <c r="AC7" s="115">
        <v>0.47219</v>
      </c>
      <c r="AD7" s="116">
        <v>0.47367999999999999</v>
      </c>
      <c r="AE7" s="116">
        <v>0.47704000000000002</v>
      </c>
      <c r="AF7" s="115">
        <v>0.47860999999999998</v>
      </c>
      <c r="AG7" s="116">
        <v>0.47933999999999999</v>
      </c>
      <c r="AH7" s="116">
        <v>0.47996</v>
      </c>
    </row>
    <row r="8" spans="1:34" x14ac:dyDescent="0.35">
      <c r="A8" s="94" t="s">
        <v>62</v>
      </c>
      <c r="B8" s="115">
        <v>7.2273000000000001E-12</v>
      </c>
      <c r="C8" s="116">
        <v>3.0615999999999998E-11</v>
      </c>
      <c r="D8" s="116">
        <v>1.0052000000000001E-10</v>
      </c>
      <c r="E8" s="115">
        <v>2.4645999999999999E-10</v>
      </c>
      <c r="F8" s="116">
        <v>4.4978000000000002E-10</v>
      </c>
      <c r="G8" s="116">
        <v>9.0864999999999996E-10</v>
      </c>
      <c r="H8" s="115">
        <v>9.6864999999999996E-10</v>
      </c>
      <c r="I8" s="116">
        <v>1.0653E-9</v>
      </c>
      <c r="J8" s="116">
        <v>1.2192000000000001E-9</v>
      </c>
      <c r="K8" s="115">
        <v>1.4232E-9</v>
      </c>
      <c r="L8" s="116">
        <v>1.6345000000000001E-9</v>
      </c>
      <c r="M8" s="116">
        <v>1.7936000000000001E-9</v>
      </c>
      <c r="N8" s="115">
        <v>1.8648E-9</v>
      </c>
      <c r="O8" s="116">
        <v>1.854E-9</v>
      </c>
      <c r="P8" s="116">
        <v>1.7882000000000001E-9</v>
      </c>
      <c r="Q8" s="115">
        <v>1.6925000000000001E-9</v>
      </c>
      <c r="R8" s="116">
        <v>1.5835E-9</v>
      </c>
      <c r="S8" s="116">
        <v>1.4704E-9</v>
      </c>
      <c r="T8" s="115">
        <v>1.3586E-9</v>
      </c>
      <c r="U8" s="116">
        <v>1.2509999999999999E-9</v>
      </c>
      <c r="V8" s="116">
        <v>1.1497000000000001E-9</v>
      </c>
      <c r="W8" s="115">
        <v>1.0578E-9</v>
      </c>
      <c r="X8" s="116">
        <v>7.8874999999999999E-10</v>
      </c>
      <c r="Y8" s="116">
        <v>5.4359999999999996E-10</v>
      </c>
      <c r="Z8" s="115">
        <v>4.9357999999999996E-10</v>
      </c>
      <c r="AA8" s="116">
        <v>4.4790000000000002E-10</v>
      </c>
      <c r="AB8" s="116">
        <v>4.0617E-10</v>
      </c>
      <c r="AC8" s="115">
        <v>3.6803000000000002E-10</v>
      </c>
      <c r="AD8" s="116">
        <v>3.3325000000000001E-10</v>
      </c>
      <c r="AE8" s="116">
        <v>3.0279999999999998E-10</v>
      </c>
      <c r="AF8" s="115">
        <v>2.7396999999999999E-10</v>
      </c>
      <c r="AG8" s="116">
        <v>2.4734E-10</v>
      </c>
      <c r="AH8" s="116">
        <v>1.6297000000000001E-10</v>
      </c>
    </row>
    <row r="9" spans="1:34" x14ac:dyDescent="0.35">
      <c r="A9" s="98" t="s">
        <v>63</v>
      </c>
      <c r="B9" s="113">
        <v>5.2854000000000005E-7</v>
      </c>
      <c r="C9" s="114">
        <v>1.1217E-6</v>
      </c>
      <c r="D9" s="114">
        <v>2.6616999999999999E-6</v>
      </c>
      <c r="E9" s="113">
        <v>7.6415999999999998E-6</v>
      </c>
      <c r="F9" s="114">
        <v>2.5486E-5</v>
      </c>
      <c r="G9" s="114">
        <v>2.6394000000000001E-3</v>
      </c>
      <c r="H9" s="113">
        <v>6.7882000000000003E-3</v>
      </c>
      <c r="I9" s="114">
        <v>1.537E-2</v>
      </c>
      <c r="J9" s="114">
        <v>3.0145000000000002E-2</v>
      </c>
      <c r="K9" s="113">
        <v>5.1109000000000002E-2</v>
      </c>
      <c r="L9" s="114">
        <v>7.5374999999999998E-2</v>
      </c>
      <c r="M9" s="114">
        <v>9.7961999999999994E-2</v>
      </c>
      <c r="N9" s="113">
        <v>0.11501</v>
      </c>
      <c r="O9" s="114">
        <v>0.12592999999999999</v>
      </c>
      <c r="P9" s="114">
        <v>0.13225000000000001</v>
      </c>
      <c r="Q9" s="113">
        <v>0.13572999999999999</v>
      </c>
      <c r="R9" s="114">
        <v>0.13761999999999999</v>
      </c>
      <c r="S9" s="114">
        <v>0.13866000000000001</v>
      </c>
      <c r="T9" s="113">
        <v>0.13922000000000001</v>
      </c>
      <c r="U9" s="114">
        <v>0.13954</v>
      </c>
      <c r="V9" s="114">
        <v>0.13972999999999999</v>
      </c>
      <c r="W9" s="113">
        <v>0.13983000000000001</v>
      </c>
      <c r="X9" s="114">
        <v>0.13997000000000001</v>
      </c>
      <c r="Y9" s="114">
        <v>0.13999</v>
      </c>
      <c r="Z9" s="113">
        <v>0.14000000000000001</v>
      </c>
      <c r="AA9" s="114">
        <v>0.14000000000000001</v>
      </c>
      <c r="AB9" s="114">
        <v>0.14000000000000001</v>
      </c>
      <c r="AC9" s="113">
        <v>0.14000000000000001</v>
      </c>
      <c r="AD9" s="114">
        <v>0.13999</v>
      </c>
      <c r="AE9" s="114">
        <v>0.13966999999999999</v>
      </c>
      <c r="AF9" s="113">
        <v>0.13941000000000001</v>
      </c>
      <c r="AG9" s="114">
        <v>0.13919000000000001</v>
      </c>
      <c r="AH9" s="114">
        <v>0.13839000000000001</v>
      </c>
    </row>
    <row r="10" spans="1:34" x14ac:dyDescent="0.35">
      <c r="A10" s="94" t="s">
        <v>64</v>
      </c>
      <c r="B10" s="115">
        <v>0</v>
      </c>
      <c r="C10" s="116">
        <v>0</v>
      </c>
      <c r="D10" s="116">
        <v>0</v>
      </c>
      <c r="E10" s="116">
        <v>0</v>
      </c>
      <c r="F10" s="116">
        <v>0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5">
        <v>0</v>
      </c>
      <c r="X10" s="116">
        <v>0</v>
      </c>
      <c r="Y10" s="116">
        <v>1.4259E-22</v>
      </c>
      <c r="Z10" s="113">
        <v>4.8393000000000001E-18</v>
      </c>
      <c r="AA10" s="114">
        <v>8.6730999999999997E-14</v>
      </c>
      <c r="AB10" s="114">
        <v>7.9190000000000003E-10</v>
      </c>
      <c r="AC10" s="113">
        <v>1.4299000000000001E-7</v>
      </c>
      <c r="AD10" s="114">
        <v>5.5106000000000003E-4</v>
      </c>
      <c r="AE10" s="114">
        <v>1.2390999999999999E-2</v>
      </c>
      <c r="AF10" s="113">
        <v>1.9973000000000001E-2</v>
      </c>
      <c r="AG10" s="114">
        <v>2.5111000000000001E-2</v>
      </c>
      <c r="AH10" s="114">
        <v>3.5318000000000002E-2</v>
      </c>
    </row>
    <row r="11" spans="1:34" x14ac:dyDescent="0.35">
      <c r="A11" s="94" t="s">
        <v>65</v>
      </c>
      <c r="B11" s="115">
        <v>0</v>
      </c>
      <c r="C11" s="116">
        <v>0</v>
      </c>
      <c r="D11" s="116">
        <v>0</v>
      </c>
      <c r="E11" s="116">
        <v>0</v>
      </c>
      <c r="F11" s="116"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16">
        <v>0</v>
      </c>
      <c r="U11" s="116">
        <v>0</v>
      </c>
      <c r="V11" s="116">
        <v>0</v>
      </c>
      <c r="W11" s="115">
        <v>0</v>
      </c>
      <c r="X11" s="116">
        <v>0</v>
      </c>
      <c r="Y11" s="116">
        <v>2.2449000000000001E-23</v>
      </c>
      <c r="Z11" s="113">
        <v>5.7803000000000002E-19</v>
      </c>
      <c r="AA11" s="114">
        <v>8.0229000000000003E-15</v>
      </c>
      <c r="AB11" s="114">
        <v>5.7836000000000002E-11</v>
      </c>
      <c r="AC11" s="113">
        <v>8.3879E-9</v>
      </c>
      <c r="AD11" s="114">
        <v>2.6605999999999999E-5</v>
      </c>
      <c r="AE11" s="114">
        <v>6.5841999999999995E-4</v>
      </c>
      <c r="AF11" s="113">
        <v>1.1711E-3</v>
      </c>
      <c r="AG11" s="114">
        <v>1.6188000000000001E-3</v>
      </c>
      <c r="AH11" s="114">
        <v>3.2217000000000001E-3</v>
      </c>
    </row>
    <row r="12" spans="1:34" x14ac:dyDescent="0.35">
      <c r="A12" s="94" t="s">
        <v>46</v>
      </c>
      <c r="B12" s="115">
        <v>-18.66</v>
      </c>
      <c r="C12" s="116">
        <v>-18.649999999999999</v>
      </c>
      <c r="D12" s="116">
        <v>-18.649999999999999</v>
      </c>
      <c r="E12" s="115">
        <v>-18.66</v>
      </c>
      <c r="F12" s="116">
        <v>-18.670000000000002</v>
      </c>
      <c r="G12" s="116">
        <v>-18.75</v>
      </c>
      <c r="H12" s="115">
        <v>-18.78</v>
      </c>
      <c r="I12" s="116">
        <v>-18.809999999999999</v>
      </c>
      <c r="J12" s="116">
        <v>-18.829999999999998</v>
      </c>
      <c r="K12" s="115">
        <v>-18.86</v>
      </c>
      <c r="L12" s="116">
        <v>-18.899999999999999</v>
      </c>
      <c r="M12" s="116">
        <v>-18.93</v>
      </c>
      <c r="N12" s="113">
        <v>-18.96</v>
      </c>
      <c r="O12" s="114">
        <v>-18.989999999999998</v>
      </c>
      <c r="P12" s="114">
        <v>-19.03</v>
      </c>
      <c r="Q12" s="113">
        <v>-19.059999999999999</v>
      </c>
      <c r="R12" s="114">
        <v>-19.100000000000001</v>
      </c>
      <c r="S12" s="114">
        <v>-19.13</v>
      </c>
      <c r="T12" s="113">
        <v>-19.170000000000002</v>
      </c>
      <c r="U12" s="114">
        <v>-19.2</v>
      </c>
      <c r="V12" s="114">
        <v>-19.23</v>
      </c>
      <c r="W12" s="113">
        <v>-19.27</v>
      </c>
      <c r="X12" s="114">
        <v>-19.38</v>
      </c>
      <c r="Y12" s="114">
        <v>-19.510000000000002</v>
      </c>
      <c r="Z12" s="113">
        <v>-19.55</v>
      </c>
      <c r="AA12" s="114">
        <v>-19.579999999999998</v>
      </c>
      <c r="AB12" s="114">
        <v>-19.61</v>
      </c>
      <c r="AC12" s="113">
        <v>-19.64</v>
      </c>
      <c r="AD12" s="114">
        <v>-19.670000000000002</v>
      </c>
      <c r="AE12" s="114">
        <v>-19.7</v>
      </c>
      <c r="AF12" s="113">
        <v>-19.73</v>
      </c>
      <c r="AG12" s="114">
        <v>-19.760000000000002</v>
      </c>
      <c r="AH12" s="114">
        <v>-19.88</v>
      </c>
    </row>
    <row r="13" spans="1:34" x14ac:dyDescent="0.35">
      <c r="A13" s="98" t="s">
        <v>47</v>
      </c>
      <c r="B13" s="113">
        <v>-67.12</v>
      </c>
      <c r="C13" s="114">
        <v>-63.52</v>
      </c>
      <c r="D13" s="114">
        <v>-60.12</v>
      </c>
      <c r="E13" s="113">
        <v>-56.76</v>
      </c>
      <c r="F13" s="114">
        <v>-53.4</v>
      </c>
      <c r="G13" s="114">
        <v>-41.04</v>
      </c>
      <c r="H13" s="113">
        <v>-38.450000000000003</v>
      </c>
      <c r="I13" s="114">
        <v>-36.08</v>
      </c>
      <c r="J13" s="114">
        <v>-33.93</v>
      </c>
      <c r="K13" s="113">
        <v>-31.94</v>
      </c>
      <c r="L13" s="114">
        <v>-30.07</v>
      </c>
      <c r="M13" s="114">
        <v>-28.28</v>
      </c>
      <c r="N13" s="113">
        <v>-26.54</v>
      </c>
      <c r="O13" s="114">
        <v>-24.87</v>
      </c>
      <c r="P13" s="114">
        <v>-23.27</v>
      </c>
      <c r="Q13" s="113">
        <v>-21.74</v>
      </c>
      <c r="R13" s="114">
        <v>-20.27</v>
      </c>
      <c r="S13" s="114">
        <v>-18.87</v>
      </c>
      <c r="T13" s="113">
        <v>-17.54</v>
      </c>
      <c r="U13" s="114">
        <v>-16.260000000000002</v>
      </c>
      <c r="V13" s="114">
        <v>-15.05</v>
      </c>
      <c r="W13" s="113">
        <v>-13.91</v>
      </c>
      <c r="X13" s="114">
        <v>-10.79</v>
      </c>
      <c r="Y13" s="114">
        <v>-9.1989999999999998</v>
      </c>
      <c r="Z13" s="113">
        <v>-8.8740000000000006</v>
      </c>
      <c r="AA13" s="114">
        <v>-8.5730000000000004</v>
      </c>
      <c r="AB13" s="114">
        <v>-8.2949999999999999</v>
      </c>
      <c r="AC13" s="113">
        <v>-8.0359999999999996</v>
      </c>
      <c r="AD13" s="114">
        <v>-7.8040000000000003</v>
      </c>
      <c r="AE13" s="114">
        <v>-7.8559999999999999</v>
      </c>
      <c r="AF13" s="113">
        <v>-7.915</v>
      </c>
      <c r="AG13" s="114">
        <v>-7.9720000000000004</v>
      </c>
      <c r="AH13" s="114">
        <v>-8.1969999999999992</v>
      </c>
    </row>
    <row r="14" spans="1:34" x14ac:dyDescent="0.35">
      <c r="A14" s="98" t="s">
        <v>48</v>
      </c>
      <c r="B14" s="113">
        <v>-16.98</v>
      </c>
      <c r="C14" s="114">
        <v>-16.239999999999998</v>
      </c>
      <c r="D14" s="114">
        <v>-15.42</v>
      </c>
      <c r="E14" s="113">
        <v>-14.46</v>
      </c>
      <c r="F14" s="114">
        <v>-13.36</v>
      </c>
      <c r="G14" s="114">
        <v>-8.9659999999999993</v>
      </c>
      <c r="H14" s="113">
        <v>-8.077</v>
      </c>
      <c r="I14" s="114">
        <v>-7.3339999999999996</v>
      </c>
      <c r="J14" s="114">
        <v>-6.7590000000000003</v>
      </c>
      <c r="K14" s="113">
        <v>-6.35</v>
      </c>
      <c r="L14" s="114">
        <v>-6.0869999999999997</v>
      </c>
      <c r="M14" s="114">
        <v>-5.9379999999999997</v>
      </c>
      <c r="N14" s="113">
        <v>-5.87</v>
      </c>
      <c r="O14" s="114">
        <v>-5.8520000000000003</v>
      </c>
      <c r="P14" s="114">
        <v>-5.8609999999999998</v>
      </c>
      <c r="Q14" s="113">
        <v>-5.8860000000000001</v>
      </c>
      <c r="R14" s="114">
        <v>-5.9180000000000001</v>
      </c>
      <c r="S14" s="114">
        <v>-5.9550000000000001</v>
      </c>
      <c r="T14" s="113">
        <v>-5.9930000000000003</v>
      </c>
      <c r="U14" s="114">
        <v>-6.0330000000000004</v>
      </c>
      <c r="V14" s="114">
        <v>-6.0739999999999998</v>
      </c>
      <c r="W14" s="113">
        <v>-6.1180000000000003</v>
      </c>
      <c r="X14" s="114">
        <v>-6.3319999999999999</v>
      </c>
      <c r="Y14" s="114">
        <v>-6.508</v>
      </c>
      <c r="Z14" s="113">
        <v>-6.5510000000000002</v>
      </c>
      <c r="AA14" s="114">
        <v>-6.5940000000000003</v>
      </c>
      <c r="AB14" s="114">
        <v>-6.6360000000000001</v>
      </c>
      <c r="AC14" s="113">
        <v>-6.6779999999999999</v>
      </c>
      <c r="AD14" s="114">
        <v>-6.7190000000000003</v>
      </c>
      <c r="AE14" s="114">
        <v>-6.7510000000000003</v>
      </c>
      <c r="AF14" s="113">
        <v>-6.7839999999999998</v>
      </c>
      <c r="AG14" s="114">
        <v>-6.8170000000000002</v>
      </c>
      <c r="AH14" s="114">
        <v>-6.9539999999999997</v>
      </c>
    </row>
    <row r="15" spans="1:34" x14ac:dyDescent="0.35">
      <c r="A15" s="98" t="s">
        <v>49</v>
      </c>
      <c r="B15" s="113">
        <v>-23.56</v>
      </c>
      <c r="C15" s="114">
        <v>-22.53</v>
      </c>
      <c r="D15" s="114">
        <v>-21.75</v>
      </c>
      <c r="E15" s="113">
        <v>-21.28</v>
      </c>
      <c r="F15" s="114">
        <v>-21.09</v>
      </c>
      <c r="G15" s="114">
        <v>-21.65</v>
      </c>
      <c r="H15" s="113">
        <v>-21.85</v>
      </c>
      <c r="I15" s="114">
        <v>-22.03</v>
      </c>
      <c r="J15" s="114">
        <v>-22.18</v>
      </c>
      <c r="K15" s="113">
        <v>-22.32</v>
      </c>
      <c r="L15" s="114">
        <v>-22.47</v>
      </c>
      <c r="M15" s="114">
        <v>-22.65</v>
      </c>
      <c r="N15" s="113">
        <v>-22.86</v>
      </c>
      <c r="O15" s="114">
        <v>-23.08</v>
      </c>
      <c r="P15" s="114">
        <v>-23.31</v>
      </c>
      <c r="Q15" s="113">
        <v>-23.54</v>
      </c>
      <c r="R15" s="114">
        <v>-23.78</v>
      </c>
      <c r="S15" s="114">
        <v>-24.01</v>
      </c>
      <c r="T15" s="113">
        <v>-24.25</v>
      </c>
      <c r="U15" s="114">
        <v>-24.48</v>
      </c>
      <c r="V15" s="114">
        <v>-24.71</v>
      </c>
      <c r="W15" s="113">
        <v>-24.94</v>
      </c>
      <c r="X15" s="114">
        <v>-25.82</v>
      </c>
      <c r="Y15" s="114">
        <v>-26.68</v>
      </c>
      <c r="Z15" s="113">
        <v>-26.9</v>
      </c>
      <c r="AA15" s="114">
        <v>-27.11</v>
      </c>
      <c r="AB15" s="114">
        <v>-27.32</v>
      </c>
      <c r="AC15" s="113">
        <v>-27.52</v>
      </c>
      <c r="AD15" s="114">
        <v>-27.73</v>
      </c>
      <c r="AE15" s="114">
        <v>-27.92</v>
      </c>
      <c r="AF15" s="113">
        <v>-28.11</v>
      </c>
      <c r="AG15" s="114">
        <v>-28.3</v>
      </c>
      <c r="AH15" s="114">
        <v>-29.08</v>
      </c>
    </row>
    <row r="16" spans="1:34" x14ac:dyDescent="0.35">
      <c r="A16" s="98" t="s">
        <v>50</v>
      </c>
      <c r="B16" s="113">
        <v>0.20829</v>
      </c>
      <c r="C16" s="114">
        <v>0.20818999999999999</v>
      </c>
      <c r="D16" s="114">
        <v>0.20796000000000001</v>
      </c>
      <c r="E16" s="113">
        <v>0.20755999999999999</v>
      </c>
      <c r="F16" s="114">
        <v>0.20713000000000001</v>
      </c>
      <c r="G16" s="114">
        <v>0.20643</v>
      </c>
      <c r="H16" s="113">
        <v>0.20633000000000001</v>
      </c>
      <c r="I16" s="114">
        <v>0.20616000000000001</v>
      </c>
      <c r="J16" s="114">
        <v>0.20588000000000001</v>
      </c>
      <c r="K16" s="113">
        <v>0.20554</v>
      </c>
      <c r="L16" s="114">
        <v>0.20519000000000001</v>
      </c>
      <c r="M16" s="114">
        <v>0.2049</v>
      </c>
      <c r="N16" s="113">
        <v>0.20471</v>
      </c>
      <c r="O16" s="114">
        <v>0.20458999999999999</v>
      </c>
      <c r="P16" s="114">
        <v>0.20452000000000001</v>
      </c>
      <c r="Q16" s="113">
        <v>0.20449000000000001</v>
      </c>
      <c r="R16" s="114">
        <v>0.20447000000000001</v>
      </c>
      <c r="S16" s="114">
        <v>0.20446</v>
      </c>
      <c r="T16" s="113">
        <v>0.20444999999999999</v>
      </c>
      <c r="U16" s="114">
        <v>0.20441999999999999</v>
      </c>
      <c r="V16" s="114">
        <v>0.20435</v>
      </c>
      <c r="W16" s="113">
        <v>0.2041</v>
      </c>
      <c r="X16" s="114">
        <v>0.20046</v>
      </c>
      <c r="Y16" s="114">
        <v>0.20000999999999999</v>
      </c>
      <c r="Z16" s="115">
        <v>0.2</v>
      </c>
      <c r="AA16" s="116">
        <v>0.2</v>
      </c>
      <c r="AB16" s="116">
        <v>0.2</v>
      </c>
      <c r="AC16" s="115">
        <v>0.2</v>
      </c>
      <c r="AD16" s="116">
        <v>0.2</v>
      </c>
      <c r="AE16" s="116">
        <v>0.2</v>
      </c>
      <c r="AF16" s="115">
        <v>0.2</v>
      </c>
      <c r="AG16" s="116">
        <v>0.2</v>
      </c>
      <c r="AH16" s="116">
        <v>0.2</v>
      </c>
    </row>
    <row r="17" spans="1:34" x14ac:dyDescent="0.35">
      <c r="A17" s="98" t="s">
        <v>66</v>
      </c>
      <c r="B17" s="113">
        <v>0.29409000000000002</v>
      </c>
      <c r="C17" s="114">
        <v>0.29996</v>
      </c>
      <c r="D17" s="114">
        <v>0.31474999999999997</v>
      </c>
      <c r="E17" s="113">
        <v>0.34147</v>
      </c>
      <c r="F17" s="114">
        <v>0.37425000000000003</v>
      </c>
      <c r="G17" s="114">
        <v>0.43531999999999998</v>
      </c>
      <c r="H17" s="113">
        <v>0.44551000000000002</v>
      </c>
      <c r="I17" s="114">
        <v>0.46371000000000001</v>
      </c>
      <c r="J17" s="114">
        <v>0.49396000000000001</v>
      </c>
      <c r="K17" s="113">
        <v>0.53646000000000005</v>
      </c>
      <c r="L17" s="114">
        <v>0.58545999999999998</v>
      </c>
      <c r="M17" s="114">
        <v>0.63097999999999999</v>
      </c>
      <c r="N17" s="113">
        <v>0.6653</v>
      </c>
      <c r="O17" s="114">
        <v>0.68727000000000005</v>
      </c>
      <c r="P17" s="114">
        <v>0.69998000000000005</v>
      </c>
      <c r="Q17" s="113">
        <v>0.70698000000000005</v>
      </c>
      <c r="R17" s="114">
        <v>0.71077999999999997</v>
      </c>
      <c r="S17" s="114">
        <v>0.71287</v>
      </c>
      <c r="T17" s="113">
        <v>0.71406999999999998</v>
      </c>
      <c r="U17" s="114">
        <v>0.71491000000000005</v>
      </c>
      <c r="V17" s="114">
        <v>0.71601000000000004</v>
      </c>
      <c r="W17" s="113">
        <v>0.71862000000000004</v>
      </c>
      <c r="X17" s="114">
        <v>0.75817999999999997</v>
      </c>
      <c r="Y17" s="114">
        <v>0.77161000000000002</v>
      </c>
      <c r="Z17" s="113">
        <v>0.77476</v>
      </c>
      <c r="AA17" s="114">
        <v>0.77805000000000002</v>
      </c>
      <c r="AB17" s="114">
        <v>0.78132000000000001</v>
      </c>
      <c r="AC17" s="113">
        <v>0.78437999999999997</v>
      </c>
      <c r="AD17" s="114">
        <v>0.78678999999999999</v>
      </c>
      <c r="AE17" s="114">
        <v>0.78103</v>
      </c>
      <c r="AF17" s="113">
        <v>0.77607000000000004</v>
      </c>
      <c r="AG17" s="114">
        <v>0.77193999999999996</v>
      </c>
      <c r="AH17" s="114">
        <v>0.76137999999999995</v>
      </c>
    </row>
    <row r="18" spans="1:34" x14ac:dyDescent="0.35">
      <c r="A18" s="98" t="s">
        <v>67</v>
      </c>
      <c r="B18" s="113">
        <v>2.4662999999999999E-43</v>
      </c>
      <c r="C18" s="114">
        <v>5.0292999999999998E-42</v>
      </c>
      <c r="D18" s="114">
        <v>6.0395999999999997E-43</v>
      </c>
      <c r="E18" s="115">
        <v>0</v>
      </c>
      <c r="F18" s="116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0</v>
      </c>
      <c r="AC18" s="99">
        <v>0</v>
      </c>
      <c r="AD18" s="99">
        <v>0</v>
      </c>
      <c r="AE18" s="99">
        <v>0</v>
      </c>
      <c r="AF18" s="99">
        <v>0</v>
      </c>
      <c r="AG18" s="99">
        <v>0</v>
      </c>
      <c r="AH18" s="99">
        <v>0</v>
      </c>
    </row>
    <row r="19" spans="1:34" x14ac:dyDescent="0.35">
      <c r="A19" s="94" t="s">
        <v>68</v>
      </c>
      <c r="B19" s="115">
        <v>0</v>
      </c>
      <c r="C19" s="116">
        <v>0</v>
      </c>
      <c r="D19" s="99" t="s">
        <v>52</v>
      </c>
      <c r="E19" s="115">
        <v>0</v>
      </c>
      <c r="F19" s="116">
        <v>0</v>
      </c>
      <c r="G19" s="99" t="s">
        <v>52</v>
      </c>
      <c r="H19" s="115">
        <v>0</v>
      </c>
      <c r="I19" s="116">
        <v>0</v>
      </c>
      <c r="J19" s="99" t="s">
        <v>52</v>
      </c>
      <c r="K19" s="115">
        <v>0</v>
      </c>
      <c r="L19" s="116">
        <v>0</v>
      </c>
      <c r="M19" s="99" t="s">
        <v>52</v>
      </c>
      <c r="N19" s="115">
        <v>0</v>
      </c>
      <c r="O19" s="116">
        <v>0</v>
      </c>
      <c r="P19" s="99" t="s">
        <v>52</v>
      </c>
      <c r="Q19" s="115">
        <v>0</v>
      </c>
      <c r="R19" s="116">
        <v>0</v>
      </c>
      <c r="S19" s="99" t="s">
        <v>52</v>
      </c>
      <c r="T19" s="115">
        <v>0</v>
      </c>
      <c r="U19" s="116">
        <v>0</v>
      </c>
      <c r="V19" s="99" t="s">
        <v>52</v>
      </c>
      <c r="W19" s="115">
        <v>0</v>
      </c>
      <c r="X19" s="116">
        <v>1.3284000000000001E-41</v>
      </c>
      <c r="Y19" s="116">
        <v>8.0521000000000001E-22</v>
      </c>
      <c r="Z19" s="113">
        <v>1.8623E-17</v>
      </c>
      <c r="AA19" s="114">
        <v>2.3323000000000001E-13</v>
      </c>
      <c r="AB19" s="114">
        <v>1.5232999999999999E-9</v>
      </c>
      <c r="AC19" s="113">
        <v>2.0087E-7</v>
      </c>
      <c r="AD19" s="114">
        <v>5.8102000000000002E-4</v>
      </c>
      <c r="AE19" s="114">
        <v>1.3049E-2</v>
      </c>
      <c r="AF19" s="113">
        <v>2.1144E-2</v>
      </c>
      <c r="AG19" s="114">
        <v>2.673E-2</v>
      </c>
      <c r="AH19" s="114">
        <v>3.8538999999999997E-2</v>
      </c>
    </row>
    <row r="20" spans="1:34" x14ac:dyDescent="0.35">
      <c r="A20" s="100" t="s">
        <v>51</v>
      </c>
      <c r="B20" s="117">
        <v>5.6684999999999996E-9</v>
      </c>
      <c r="C20" s="118">
        <v>5.1434999999999999E-9</v>
      </c>
      <c r="D20" s="118">
        <v>5.7163000000000002E-9</v>
      </c>
      <c r="E20" s="117">
        <v>7.2030999999999997E-9</v>
      </c>
      <c r="F20" s="118">
        <v>7.4482E-9</v>
      </c>
      <c r="G20" s="118">
        <v>9.1720999999999998E-9</v>
      </c>
      <c r="H20" s="117">
        <v>7.4795999999999997E-9</v>
      </c>
      <c r="I20" s="118">
        <v>6.2849000000000001E-9</v>
      </c>
      <c r="J20" s="118">
        <v>5.6411000000000003E-9</v>
      </c>
      <c r="K20" s="117">
        <v>6.1216999999999997E-9</v>
      </c>
      <c r="L20" s="118">
        <v>4.9961999999999998E-9</v>
      </c>
      <c r="M20" s="118">
        <v>5.8986999999999999E-9</v>
      </c>
      <c r="N20" s="117">
        <v>9.9938000000000008E-9</v>
      </c>
      <c r="O20" s="118">
        <v>6.4698000000000001E-9</v>
      </c>
      <c r="P20" s="118">
        <v>9.9681000000000008E-9</v>
      </c>
      <c r="Q20" s="117">
        <v>7.4969000000000004E-9</v>
      </c>
      <c r="R20" s="118">
        <v>8.4624000000000001E-9</v>
      </c>
      <c r="S20" s="118">
        <v>8.3330999999999997E-9</v>
      </c>
      <c r="T20" s="117">
        <v>8.0522999999999996E-9</v>
      </c>
      <c r="U20" s="118">
        <v>8.0905000000000005E-9</v>
      </c>
      <c r="V20" s="118">
        <v>8.1129000000000008E-9</v>
      </c>
      <c r="W20" s="117">
        <v>8.4208000000000005E-9</v>
      </c>
      <c r="X20" s="118">
        <v>9.3524000000000001E-9</v>
      </c>
      <c r="Y20" s="118">
        <v>9.6870999999999998E-9</v>
      </c>
      <c r="Z20" s="117">
        <v>9.5976999999999996E-9</v>
      </c>
      <c r="AA20" s="118">
        <v>9.4909E-9</v>
      </c>
      <c r="AB20" s="118">
        <v>9.4222000000000008E-9</v>
      </c>
      <c r="AC20" s="117">
        <v>9.2464000000000007E-9</v>
      </c>
      <c r="AD20" s="118">
        <v>9.9584000000000007E-9</v>
      </c>
      <c r="AE20" s="118">
        <v>9.8536E-9</v>
      </c>
      <c r="AF20" s="117">
        <v>9.8698000000000008E-9</v>
      </c>
      <c r="AG20" s="118">
        <v>9.5257999999999995E-9</v>
      </c>
      <c r="AH20" s="118">
        <v>9.3849000000000005E-9</v>
      </c>
    </row>
  </sheetData>
  <conditionalFormatting sqref="B1:AH2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28EF0-E686-4B3C-BD34-E621E924E0B1}">
  <sheetPr codeName="Лист9"/>
  <dimension ref="A1:U23"/>
  <sheetViews>
    <sheetView workbookViewId="0">
      <selection activeCell="D14" sqref="D14:E14"/>
    </sheetView>
  </sheetViews>
  <sheetFormatPr defaultRowHeight="21" x14ac:dyDescent="0.35"/>
  <sheetData>
    <row r="1" spans="1:21" s="55" customFormat="1" ht="21" customHeight="1" x14ac:dyDescent="0.35">
      <c r="A1" s="123"/>
      <c r="B1" s="124"/>
      <c r="C1" s="124"/>
      <c r="D1" s="124"/>
      <c r="E1" s="124"/>
      <c r="F1" s="124"/>
      <c r="G1" s="157"/>
      <c r="H1" s="157"/>
      <c r="I1" s="157"/>
      <c r="J1" s="157"/>
      <c r="K1" s="126"/>
      <c r="L1" s="157"/>
      <c r="M1" s="157"/>
      <c r="N1" s="157"/>
      <c r="O1" s="157"/>
      <c r="P1" s="126"/>
      <c r="Q1" s="157"/>
      <c r="R1" s="157"/>
      <c r="S1" s="157"/>
      <c r="T1" s="157"/>
      <c r="U1" s="127"/>
    </row>
    <row r="2" spans="1:21" s="55" customFormat="1" x14ac:dyDescent="0.35">
      <c r="A2" s="124"/>
      <c r="B2" s="124"/>
      <c r="C2" s="124"/>
      <c r="D2" s="124"/>
      <c r="E2" s="124"/>
      <c r="F2" s="124"/>
      <c r="G2" s="158"/>
      <c r="H2" s="158"/>
      <c r="I2" s="158"/>
      <c r="J2" s="158"/>
      <c r="K2" s="128"/>
      <c r="L2" s="158"/>
      <c r="M2" s="158"/>
      <c r="N2" s="158"/>
      <c r="O2" s="158"/>
      <c r="P2" s="128"/>
      <c r="Q2" s="158"/>
      <c r="R2" s="158"/>
      <c r="S2" s="158"/>
      <c r="T2" s="158"/>
      <c r="U2" s="129"/>
    </row>
    <row r="3" spans="1:21" s="55" customFormat="1" x14ac:dyDescent="0.35">
      <c r="A3" s="125"/>
      <c r="B3" s="124"/>
      <c r="C3" s="124"/>
      <c r="D3" s="124"/>
      <c r="E3" s="124"/>
      <c r="F3" s="124"/>
      <c r="G3" s="158"/>
      <c r="H3" s="158"/>
      <c r="I3" s="158"/>
      <c r="J3" s="158"/>
      <c r="K3" s="163"/>
      <c r="L3" s="158"/>
      <c r="M3" s="158"/>
      <c r="N3" s="158"/>
      <c r="O3" s="158"/>
      <c r="P3" s="163"/>
      <c r="Q3" s="158"/>
      <c r="R3" s="158"/>
      <c r="S3" s="158"/>
      <c r="T3" s="158"/>
      <c r="U3" s="160"/>
    </row>
    <row r="4" spans="1:21" s="55" customFormat="1" x14ac:dyDescent="0.35">
      <c r="A4" s="124"/>
      <c r="B4" s="124"/>
      <c r="C4" s="124"/>
      <c r="D4" s="124"/>
      <c r="E4" s="124"/>
      <c r="F4" s="124"/>
      <c r="G4" s="159"/>
      <c r="H4" s="159"/>
      <c r="I4" s="159"/>
      <c r="J4" s="159"/>
      <c r="K4" s="161"/>
      <c r="L4" s="159"/>
      <c r="M4" s="159"/>
      <c r="N4" s="159"/>
      <c r="O4" s="159"/>
      <c r="P4" s="161"/>
      <c r="Q4" s="159"/>
      <c r="R4" s="159"/>
      <c r="S4" s="159"/>
      <c r="T4" s="159"/>
      <c r="U4" s="160"/>
    </row>
    <row r="5" spans="1:21" s="55" customFormat="1" x14ac:dyDescent="0.35">
      <c r="A5" s="126"/>
      <c r="B5" s="194"/>
      <c r="C5" s="197"/>
      <c r="D5" s="197"/>
      <c r="E5" s="197"/>
      <c r="F5" s="164"/>
      <c r="G5" s="131"/>
      <c r="H5" s="132"/>
      <c r="I5" s="133"/>
      <c r="J5" s="133"/>
      <c r="K5" s="162"/>
      <c r="L5" s="131"/>
      <c r="M5" s="132"/>
      <c r="N5" s="133"/>
      <c r="O5" s="133"/>
      <c r="P5" s="162"/>
      <c r="Q5" s="131"/>
      <c r="R5" s="132"/>
      <c r="S5" s="133"/>
      <c r="T5" s="133"/>
      <c r="U5" s="134"/>
    </row>
    <row r="6" spans="1:21" x14ac:dyDescent="0.35">
      <c r="A6" s="128"/>
      <c r="B6" s="195"/>
      <c r="C6" s="198"/>
      <c r="D6" s="198"/>
      <c r="E6" s="198"/>
      <c r="F6" s="165"/>
      <c r="G6" s="136"/>
      <c r="H6" s="137"/>
      <c r="I6" s="138"/>
      <c r="J6" s="138"/>
      <c r="K6" s="135"/>
      <c r="L6" s="136"/>
      <c r="M6" s="137"/>
      <c r="N6" s="138"/>
      <c r="O6" s="138"/>
      <c r="P6" s="135"/>
      <c r="Q6" s="136"/>
      <c r="R6" s="137"/>
      <c r="S6" s="138"/>
      <c r="T6" s="138"/>
      <c r="U6" s="129"/>
    </row>
    <row r="7" spans="1:21" x14ac:dyDescent="0.35">
      <c r="A7" s="130"/>
      <c r="B7" s="195"/>
      <c r="C7" s="198"/>
      <c r="D7" s="198"/>
      <c r="E7" s="198"/>
      <c r="F7" s="191"/>
      <c r="G7" s="139"/>
      <c r="H7" s="140"/>
      <c r="I7" s="141"/>
      <c r="J7" s="141"/>
      <c r="K7" s="135"/>
      <c r="L7" s="139"/>
      <c r="M7" s="140"/>
      <c r="N7" s="141"/>
      <c r="O7" s="141"/>
      <c r="P7" s="135"/>
      <c r="Q7" s="139"/>
      <c r="R7" s="140"/>
      <c r="S7" s="141"/>
      <c r="T7" s="141"/>
      <c r="U7" s="142"/>
    </row>
    <row r="8" spans="1:21" x14ac:dyDescent="0.35">
      <c r="A8" s="192"/>
      <c r="B8" s="196"/>
      <c r="C8" s="199"/>
      <c r="D8" s="199"/>
      <c r="E8" s="199"/>
      <c r="F8" s="191"/>
      <c r="G8" s="139"/>
      <c r="H8" s="140"/>
      <c r="I8" s="141"/>
      <c r="J8" s="141"/>
      <c r="K8" s="143"/>
      <c r="L8" s="139"/>
      <c r="M8" s="140"/>
      <c r="N8" s="141"/>
      <c r="O8" s="141"/>
      <c r="P8" s="143"/>
      <c r="Q8" s="139"/>
      <c r="R8" s="140"/>
      <c r="S8" s="141"/>
      <c r="T8" s="141"/>
      <c r="U8" s="144"/>
    </row>
    <row r="9" spans="1:21" x14ac:dyDescent="0.35">
      <c r="A9" s="193"/>
      <c r="B9" s="131"/>
      <c r="C9" s="132"/>
      <c r="D9" s="133"/>
      <c r="E9" s="133"/>
      <c r="F9" s="134"/>
      <c r="G9" s="139"/>
      <c r="H9" s="140"/>
      <c r="I9" s="141"/>
      <c r="J9" s="141"/>
      <c r="K9" s="145"/>
      <c r="L9" s="139"/>
      <c r="M9" s="140"/>
      <c r="N9" s="141"/>
      <c r="O9" s="141"/>
      <c r="P9" s="145"/>
      <c r="Q9" s="139"/>
      <c r="R9" s="140"/>
      <c r="S9" s="141"/>
      <c r="T9" s="141"/>
      <c r="U9" s="146"/>
    </row>
    <row r="10" spans="1:21" x14ac:dyDescent="0.35">
      <c r="A10" s="135"/>
      <c r="B10" s="136"/>
      <c r="C10" s="137"/>
      <c r="D10" s="138"/>
      <c r="E10" s="138"/>
      <c r="F10" s="129"/>
      <c r="G10" s="151"/>
      <c r="H10" s="148"/>
      <c r="I10" s="149"/>
      <c r="J10" s="149"/>
      <c r="K10" s="145"/>
      <c r="L10" s="151"/>
      <c r="M10" s="148"/>
      <c r="N10" s="149"/>
      <c r="O10" s="149"/>
      <c r="P10" s="145"/>
      <c r="Q10" s="151"/>
      <c r="R10" s="148"/>
      <c r="S10" s="149"/>
      <c r="T10" s="149"/>
      <c r="U10" s="150"/>
    </row>
    <row r="11" spans="1:21" x14ac:dyDescent="0.35">
      <c r="A11" s="135"/>
      <c r="B11" s="139"/>
      <c r="C11" s="140"/>
      <c r="D11" s="141"/>
      <c r="E11" s="141"/>
      <c r="F11" s="142"/>
      <c r="G11" s="136"/>
      <c r="H11" s="137"/>
      <c r="I11" s="138"/>
      <c r="J11" s="138"/>
      <c r="K11" s="147"/>
      <c r="L11" s="136"/>
      <c r="M11" s="137"/>
      <c r="N11" s="138"/>
      <c r="O11" s="138"/>
      <c r="P11" s="147"/>
      <c r="Q11" s="136"/>
      <c r="R11" s="137"/>
      <c r="S11" s="138"/>
      <c r="T11" s="138"/>
      <c r="U11" s="136"/>
    </row>
    <row r="12" spans="1:21" x14ac:dyDescent="0.35">
      <c r="A12" s="143"/>
      <c r="B12" s="139"/>
      <c r="C12" s="140"/>
      <c r="D12" s="141"/>
      <c r="E12" s="141"/>
      <c r="F12" s="142"/>
      <c r="G12" s="151"/>
      <c r="H12" s="148"/>
      <c r="I12" s="149"/>
      <c r="J12" s="149"/>
      <c r="K12" s="145"/>
      <c r="L12" s="151"/>
      <c r="M12" s="148"/>
      <c r="N12" s="149"/>
      <c r="O12" s="149"/>
      <c r="P12" s="145"/>
      <c r="Q12" s="151"/>
      <c r="R12" s="148"/>
      <c r="S12" s="149"/>
      <c r="T12" s="149"/>
      <c r="U12" s="152"/>
    </row>
    <row r="13" spans="1:21" x14ac:dyDescent="0.35">
      <c r="A13" s="145"/>
      <c r="B13" s="139"/>
      <c r="C13" s="140"/>
      <c r="D13" s="141"/>
      <c r="E13" s="141"/>
      <c r="F13" s="166"/>
      <c r="G13" s="136"/>
      <c r="H13" s="137"/>
      <c r="I13" s="138"/>
      <c r="J13" s="138"/>
      <c r="K13" s="147"/>
      <c r="L13" s="136"/>
      <c r="M13" s="137"/>
      <c r="N13" s="138"/>
      <c r="O13" s="138"/>
      <c r="P13" s="147"/>
      <c r="Q13" s="136"/>
      <c r="R13" s="137"/>
      <c r="S13" s="138"/>
      <c r="T13" s="138"/>
      <c r="U13" s="136"/>
    </row>
    <row r="14" spans="1:21" x14ac:dyDescent="0.35">
      <c r="A14" s="147"/>
      <c r="B14" s="136"/>
      <c r="C14" s="148"/>
      <c r="D14" s="149"/>
      <c r="E14" s="149"/>
      <c r="F14" s="150"/>
      <c r="G14" s="136"/>
      <c r="H14" s="137"/>
      <c r="I14" s="138"/>
      <c r="J14" s="138"/>
      <c r="K14" s="128"/>
      <c r="L14" s="136"/>
      <c r="M14" s="137"/>
      <c r="N14" s="138"/>
      <c r="O14" s="138"/>
      <c r="P14" s="128"/>
      <c r="Q14" s="136"/>
      <c r="R14" s="137"/>
      <c r="S14" s="138"/>
      <c r="T14" s="138"/>
      <c r="U14" s="136"/>
    </row>
    <row r="15" spans="1:21" x14ac:dyDescent="0.35">
      <c r="A15" s="147"/>
      <c r="B15" s="136"/>
      <c r="C15" s="137"/>
      <c r="D15" s="138"/>
      <c r="E15" s="138"/>
      <c r="F15" s="136"/>
      <c r="G15" s="136"/>
      <c r="H15" s="137"/>
      <c r="I15" s="138"/>
      <c r="J15" s="138"/>
      <c r="K15" s="128"/>
      <c r="L15" s="151"/>
      <c r="M15" s="148"/>
      <c r="N15" s="149"/>
      <c r="O15" s="149"/>
      <c r="P15" s="128"/>
      <c r="Q15" s="151"/>
      <c r="R15" s="148"/>
      <c r="S15" s="149"/>
      <c r="T15" s="149"/>
      <c r="U15" s="151"/>
    </row>
    <row r="16" spans="1:21" x14ac:dyDescent="0.35">
      <c r="A16" s="145"/>
      <c r="B16" s="151"/>
      <c r="C16" s="148"/>
      <c r="D16" s="149"/>
      <c r="E16" s="149"/>
      <c r="F16" s="152"/>
      <c r="G16" s="136"/>
      <c r="H16" s="137"/>
      <c r="I16" s="138"/>
      <c r="J16" s="138"/>
      <c r="K16" s="147"/>
      <c r="L16" s="136"/>
      <c r="M16" s="137"/>
      <c r="N16" s="138"/>
      <c r="O16" s="138"/>
      <c r="P16" s="147"/>
      <c r="Q16" s="136"/>
      <c r="R16" s="137"/>
      <c r="S16" s="138"/>
      <c r="T16" s="138"/>
      <c r="U16" s="136"/>
    </row>
    <row r="17" spans="1:21" x14ac:dyDescent="0.35">
      <c r="A17" s="147"/>
      <c r="B17" s="136"/>
      <c r="C17" s="137"/>
      <c r="D17" s="138"/>
      <c r="E17" s="138"/>
      <c r="F17" s="136"/>
      <c r="G17" s="153"/>
      <c r="H17" s="154"/>
      <c r="I17" s="155"/>
      <c r="J17" s="154"/>
      <c r="K17" s="130"/>
      <c r="L17" s="153"/>
      <c r="M17" s="154"/>
      <c r="N17" s="155"/>
      <c r="O17" s="155"/>
      <c r="P17" s="130"/>
      <c r="Q17" s="153"/>
      <c r="R17" s="154"/>
      <c r="S17" s="155"/>
      <c r="T17" s="155"/>
      <c r="U17" s="156"/>
    </row>
    <row r="18" spans="1:21" x14ac:dyDescent="0.35">
      <c r="A18" s="128"/>
      <c r="B18" s="136"/>
      <c r="C18" s="137"/>
      <c r="D18" s="138"/>
      <c r="E18" s="138"/>
      <c r="F18" s="136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</row>
    <row r="19" spans="1:21" x14ac:dyDescent="0.35">
      <c r="A19" s="128"/>
      <c r="B19" s="136"/>
      <c r="C19" s="137"/>
      <c r="D19" s="138"/>
      <c r="E19" s="138"/>
      <c r="F19" s="136"/>
      <c r="G19" s="124"/>
      <c r="H19" s="124"/>
      <c r="I19" s="124"/>
      <c r="J19" s="124"/>
      <c r="K19" s="125"/>
      <c r="L19" s="124"/>
      <c r="M19" s="124"/>
      <c r="N19" s="124"/>
      <c r="O19" s="124"/>
      <c r="P19" s="125"/>
      <c r="Q19" s="124"/>
      <c r="R19" s="124"/>
      <c r="S19" s="124"/>
      <c r="T19" s="124"/>
      <c r="U19" s="124"/>
    </row>
    <row r="20" spans="1:21" x14ac:dyDescent="0.35">
      <c r="A20" s="147"/>
      <c r="B20" s="136"/>
      <c r="C20" s="137"/>
      <c r="D20" s="138"/>
      <c r="E20" s="138"/>
      <c r="F20" s="136"/>
      <c r="G20" s="55"/>
    </row>
    <row r="21" spans="1:21" x14ac:dyDescent="0.35">
      <c r="A21" s="130"/>
      <c r="B21" s="153"/>
      <c r="C21" s="154"/>
      <c r="D21" s="155"/>
      <c r="E21" s="154"/>
      <c r="F21" s="146"/>
    </row>
    <row r="22" spans="1:21" x14ac:dyDescent="0.35">
      <c r="A22" s="124"/>
      <c r="B22" s="124"/>
      <c r="C22" s="124"/>
      <c r="D22" s="124"/>
      <c r="E22" s="124"/>
      <c r="F22" s="124"/>
    </row>
    <row r="23" spans="1:21" x14ac:dyDescent="0.35">
      <c r="A23" s="125"/>
      <c r="B23" s="124"/>
      <c r="C23" s="124"/>
      <c r="D23" s="124"/>
      <c r="E23" s="124"/>
      <c r="F23" s="124"/>
    </row>
  </sheetData>
  <mergeCells count="6">
    <mergeCell ref="F7:F8"/>
    <mergeCell ref="A8:A9"/>
    <mergeCell ref="B5:B8"/>
    <mergeCell ref="C5:C8"/>
    <mergeCell ref="D5:D8"/>
    <mergeCell ref="E5:E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3EC9A-1131-4B14-A84A-04B07877978B}">
  <sheetPr codeName="Лист10"/>
  <dimension ref="A1:AB20"/>
  <sheetViews>
    <sheetView topLeftCell="M1" zoomScale="115" zoomScaleNormal="115" workbookViewId="0">
      <selection activeCell="A18" sqref="A1:AB18"/>
    </sheetView>
  </sheetViews>
  <sheetFormatPr defaultRowHeight="21" x14ac:dyDescent="0.35"/>
  <sheetData>
    <row r="1" spans="1:28" x14ac:dyDescent="0.35">
      <c r="A1" s="169" t="s">
        <v>43</v>
      </c>
      <c r="B1" s="170">
        <v>273.10000000000002</v>
      </c>
      <c r="C1" s="170">
        <v>289.7</v>
      </c>
      <c r="D1" s="170">
        <v>306.2</v>
      </c>
      <c r="E1" s="170">
        <v>322.7</v>
      </c>
      <c r="F1" s="170">
        <v>339.2</v>
      </c>
      <c r="G1" s="170">
        <v>355.7</v>
      </c>
      <c r="H1" s="170">
        <v>372.3</v>
      </c>
      <c r="I1" s="170">
        <v>388.8</v>
      </c>
      <c r="J1" s="170">
        <v>405.3</v>
      </c>
      <c r="K1" s="170">
        <v>471.4</v>
      </c>
      <c r="L1" s="170">
        <v>487.9</v>
      </c>
      <c r="M1" s="170">
        <v>504.4</v>
      </c>
      <c r="N1" s="170">
        <v>520.9</v>
      </c>
      <c r="O1" s="170">
        <v>537.5</v>
      </c>
      <c r="P1" s="170">
        <v>603.5</v>
      </c>
      <c r="Q1" s="170">
        <v>669.6</v>
      </c>
      <c r="R1" s="170">
        <v>735.7</v>
      </c>
      <c r="S1" s="170">
        <v>752.2</v>
      </c>
      <c r="T1" s="170">
        <v>768.7</v>
      </c>
      <c r="U1" s="170">
        <v>785.2</v>
      </c>
      <c r="V1" s="174">
        <v>801.8</v>
      </c>
      <c r="W1" s="170">
        <v>818.3</v>
      </c>
      <c r="X1" s="170">
        <v>834.8</v>
      </c>
      <c r="Y1" s="170">
        <v>851.3</v>
      </c>
      <c r="Z1" s="170">
        <v>867.8</v>
      </c>
      <c r="AA1" s="170">
        <v>933.9</v>
      </c>
      <c r="AB1" s="175">
        <v>1000</v>
      </c>
    </row>
    <row r="2" spans="1:28" x14ac:dyDescent="0.35">
      <c r="A2" s="172" t="s">
        <v>90</v>
      </c>
      <c r="B2" s="176">
        <v>0</v>
      </c>
      <c r="C2" s="177">
        <v>0</v>
      </c>
      <c r="D2" s="176">
        <v>0</v>
      </c>
      <c r="E2" s="176">
        <v>0</v>
      </c>
      <c r="F2" s="177">
        <v>0</v>
      </c>
      <c r="G2" s="176">
        <v>0</v>
      </c>
      <c r="H2" s="176">
        <v>0</v>
      </c>
      <c r="I2" s="177">
        <v>0</v>
      </c>
      <c r="J2" s="176">
        <v>0</v>
      </c>
      <c r="K2" s="176">
        <v>0</v>
      </c>
      <c r="L2" s="177">
        <v>0</v>
      </c>
      <c r="M2" s="176">
        <v>0</v>
      </c>
      <c r="N2" s="176">
        <v>0</v>
      </c>
      <c r="O2" s="177">
        <v>0</v>
      </c>
      <c r="P2" s="176">
        <v>6.6855000000000004E-18</v>
      </c>
      <c r="Q2" s="176">
        <v>1.762E-13</v>
      </c>
      <c r="R2" s="177">
        <v>5.8739999999999998E-14</v>
      </c>
      <c r="S2" s="176">
        <v>4.9521000000000001E-21</v>
      </c>
      <c r="T2" s="176">
        <v>3.5675999999999999E-28</v>
      </c>
      <c r="U2" s="177">
        <v>0</v>
      </c>
      <c r="V2" s="176">
        <v>5.1645000000000003E-20</v>
      </c>
      <c r="W2" s="176">
        <v>2.3851000000000001E-13</v>
      </c>
      <c r="X2" s="177">
        <v>1.8062000000000001E-17</v>
      </c>
      <c r="Y2" s="176">
        <v>8.5727999999999997E-20</v>
      </c>
      <c r="Z2" s="176">
        <v>6.7719000000000002E-20</v>
      </c>
      <c r="AA2" s="177">
        <v>2.1051999999999999E-14</v>
      </c>
      <c r="AB2" s="176">
        <v>4.6006999999999996E-9</v>
      </c>
    </row>
    <row r="3" spans="1:28" x14ac:dyDescent="0.35">
      <c r="A3" s="173" t="s">
        <v>77</v>
      </c>
      <c r="B3" s="178">
        <v>0</v>
      </c>
      <c r="C3" s="179">
        <v>0</v>
      </c>
      <c r="D3" s="178">
        <v>0</v>
      </c>
      <c r="E3" s="178">
        <v>0</v>
      </c>
      <c r="F3" s="179">
        <v>0</v>
      </c>
      <c r="G3" s="178">
        <v>0</v>
      </c>
      <c r="H3" s="178">
        <v>0</v>
      </c>
      <c r="I3" s="179">
        <v>1.6387999999999999E-33</v>
      </c>
      <c r="J3" s="178">
        <v>5.0901000000000002E-26</v>
      </c>
      <c r="K3" s="181">
        <v>1.5335000000000001E-11</v>
      </c>
      <c r="L3" s="180">
        <v>4.4230000000000001E-10</v>
      </c>
      <c r="M3" s="181">
        <v>1.8701E-8</v>
      </c>
      <c r="N3" s="181">
        <v>0.14000000000000001</v>
      </c>
      <c r="O3" s="180">
        <v>0.14000000000000001</v>
      </c>
      <c r="P3" s="181">
        <v>0.14000000000000001</v>
      </c>
      <c r="Q3" s="181">
        <v>0.14000000000000001</v>
      </c>
      <c r="R3" s="180">
        <v>0.14000000000000001</v>
      </c>
      <c r="S3" s="181">
        <v>0.14000000000000001</v>
      </c>
      <c r="T3" s="181">
        <v>0.14000000000000001</v>
      </c>
      <c r="U3" s="180">
        <v>0.14000000000000001</v>
      </c>
      <c r="V3" s="180">
        <v>0.13650999999999999</v>
      </c>
      <c r="W3" s="181">
        <v>0.13588</v>
      </c>
      <c r="X3" s="180">
        <v>0.13528000000000001</v>
      </c>
      <c r="Y3" s="181">
        <v>0.13461999999999999</v>
      </c>
      <c r="Z3" s="181">
        <v>0.13389000000000001</v>
      </c>
      <c r="AA3" s="180">
        <v>0.12989000000000001</v>
      </c>
      <c r="AB3" s="181">
        <v>0.12297</v>
      </c>
    </row>
    <row r="4" spans="1:28" x14ac:dyDescent="0.35">
      <c r="A4" s="169" t="s">
        <v>41</v>
      </c>
      <c r="B4" s="181">
        <v>0.14000000000000001</v>
      </c>
      <c r="C4" s="180">
        <v>0.14000000000000001</v>
      </c>
      <c r="D4" s="181">
        <v>0.14000000000000001</v>
      </c>
      <c r="E4" s="178">
        <v>0.14000000000000001</v>
      </c>
      <c r="F4" s="179">
        <v>0.14000000000000001</v>
      </c>
      <c r="G4" s="178">
        <v>0.28000000000000003</v>
      </c>
      <c r="H4" s="178">
        <v>0.28000000000000003</v>
      </c>
      <c r="I4" s="179">
        <v>0.28000000000000003</v>
      </c>
      <c r="J4" s="178">
        <v>0.28000000000000003</v>
      </c>
      <c r="K4" s="178">
        <v>0.28000000000000003</v>
      </c>
      <c r="L4" s="179">
        <v>0.28000000000000003</v>
      </c>
      <c r="M4" s="178">
        <v>0.28000000000000003</v>
      </c>
      <c r="N4" s="178">
        <v>2.0335E-7</v>
      </c>
      <c r="O4" s="179">
        <v>1.9375E-9</v>
      </c>
      <c r="P4" s="178">
        <v>2.8928000000000001E-13</v>
      </c>
      <c r="Q4" s="178">
        <v>5.8773E-21</v>
      </c>
      <c r="R4" s="179">
        <v>0</v>
      </c>
      <c r="S4" s="178">
        <v>0</v>
      </c>
      <c r="T4" s="178">
        <v>0</v>
      </c>
      <c r="U4" s="179">
        <v>0</v>
      </c>
      <c r="V4" s="178">
        <v>0</v>
      </c>
      <c r="W4" s="178">
        <v>0</v>
      </c>
      <c r="X4" s="179">
        <v>0</v>
      </c>
      <c r="Y4" s="178">
        <v>0</v>
      </c>
      <c r="Z4" s="178">
        <v>0</v>
      </c>
      <c r="AA4" s="179">
        <v>0</v>
      </c>
      <c r="AB4" s="178">
        <v>0</v>
      </c>
    </row>
    <row r="5" spans="1:28" x14ac:dyDescent="0.35">
      <c r="A5" s="173" t="s">
        <v>53</v>
      </c>
      <c r="B5" s="178">
        <v>0</v>
      </c>
      <c r="C5" s="179">
        <v>0</v>
      </c>
      <c r="D5" s="178">
        <v>0</v>
      </c>
      <c r="E5" s="178">
        <v>0</v>
      </c>
      <c r="F5" s="179">
        <v>0</v>
      </c>
      <c r="G5" s="178">
        <v>0</v>
      </c>
      <c r="H5" s="178">
        <v>0</v>
      </c>
      <c r="I5" s="179">
        <v>0</v>
      </c>
      <c r="J5" s="178">
        <v>0</v>
      </c>
      <c r="K5" s="178">
        <v>0</v>
      </c>
      <c r="L5" s="179">
        <v>0</v>
      </c>
      <c r="M5" s="178">
        <v>0</v>
      </c>
      <c r="N5" s="178">
        <v>0</v>
      </c>
      <c r="O5" s="179">
        <v>0</v>
      </c>
      <c r="P5" s="178">
        <v>0</v>
      </c>
      <c r="Q5" s="181">
        <v>3.8944000000000003E-36</v>
      </c>
      <c r="R5" s="180">
        <v>1.0914999999999999E-20</v>
      </c>
      <c r="S5" s="181">
        <v>2.7170000000000003E-20</v>
      </c>
      <c r="T5" s="181">
        <v>2.7481999999999999E-17</v>
      </c>
      <c r="U5" s="180">
        <v>2.1655999999999999E-17</v>
      </c>
      <c r="V5" s="181">
        <v>4.1360000000000001E-8</v>
      </c>
      <c r="W5" s="181">
        <v>3.4271999999999999E-7</v>
      </c>
      <c r="X5" s="180">
        <v>2.5522999999999999E-7</v>
      </c>
      <c r="Y5" s="181">
        <v>1.8946E-7</v>
      </c>
      <c r="Z5" s="181">
        <v>1.6390000000000001E-7</v>
      </c>
      <c r="AA5" s="180">
        <v>5.6700999999999999E-8</v>
      </c>
      <c r="AB5" s="181">
        <v>1.6385000000000001E-8</v>
      </c>
    </row>
    <row r="6" spans="1:28" x14ac:dyDescent="0.35">
      <c r="A6" s="169" t="s">
        <v>89</v>
      </c>
      <c r="B6" s="181">
        <v>0</v>
      </c>
      <c r="C6" s="180">
        <v>0</v>
      </c>
      <c r="D6" s="181">
        <v>0</v>
      </c>
      <c r="E6" s="181">
        <v>0</v>
      </c>
      <c r="F6" s="180">
        <v>0</v>
      </c>
      <c r="G6" s="181">
        <v>0</v>
      </c>
      <c r="H6" s="181">
        <v>0</v>
      </c>
      <c r="I6" s="180">
        <v>0</v>
      </c>
      <c r="J6" s="181">
        <v>0</v>
      </c>
      <c r="K6" s="181">
        <v>0</v>
      </c>
      <c r="L6" s="180">
        <v>0</v>
      </c>
      <c r="M6" s="181">
        <v>0</v>
      </c>
      <c r="N6" s="181">
        <v>0</v>
      </c>
      <c r="O6" s="180">
        <v>0</v>
      </c>
      <c r="P6" s="181">
        <v>0</v>
      </c>
      <c r="Q6" s="181">
        <v>3.1006E-29</v>
      </c>
      <c r="R6" s="180">
        <v>4.1882000000000003E-12</v>
      </c>
      <c r="S6" s="181">
        <v>4.2325999999999999E-7</v>
      </c>
      <c r="T6" s="181">
        <v>1.2243E-2</v>
      </c>
      <c r="U6" s="180">
        <v>1.7151E-2</v>
      </c>
      <c r="V6" s="181">
        <v>2.6225000000000002E-8</v>
      </c>
      <c r="W6" s="181">
        <v>6.3299000000000001E-13</v>
      </c>
      <c r="X6" s="180">
        <v>5.1691999999999997E-25</v>
      </c>
      <c r="Y6" s="181">
        <v>0</v>
      </c>
      <c r="Z6" s="181">
        <v>0</v>
      </c>
      <c r="AA6" s="180">
        <v>0</v>
      </c>
      <c r="AB6" s="181">
        <v>0</v>
      </c>
    </row>
    <row r="7" spans="1:28" x14ac:dyDescent="0.35">
      <c r="A7" s="173" t="s">
        <v>76</v>
      </c>
      <c r="B7" s="178">
        <v>0</v>
      </c>
      <c r="C7" s="179">
        <v>0</v>
      </c>
      <c r="D7" s="178">
        <v>0</v>
      </c>
      <c r="E7" s="178">
        <v>0</v>
      </c>
      <c r="F7" s="179">
        <v>0</v>
      </c>
      <c r="G7" s="178">
        <v>0</v>
      </c>
      <c r="H7" s="178">
        <v>0</v>
      </c>
      <c r="I7" s="179">
        <v>1.6387999999999999E-33</v>
      </c>
      <c r="J7" s="178">
        <v>5.0901000000000002E-26</v>
      </c>
      <c r="K7" s="181">
        <v>1.5335000000000001E-11</v>
      </c>
      <c r="L7" s="180">
        <v>4.4230000000000001E-10</v>
      </c>
      <c r="M7" s="181">
        <v>1.8701E-8</v>
      </c>
      <c r="N7" s="181">
        <v>0.14000000000000001</v>
      </c>
      <c r="O7" s="180">
        <v>0.14000000000000001</v>
      </c>
      <c r="P7" s="181">
        <v>0.14000000000000001</v>
      </c>
      <c r="Q7" s="181">
        <v>0.14000000000000001</v>
      </c>
      <c r="R7" s="180">
        <v>0.14000000000000001</v>
      </c>
      <c r="S7" s="181">
        <v>0.14000000000000001</v>
      </c>
      <c r="T7" s="181">
        <v>0.14000000000000001</v>
      </c>
      <c r="U7" s="180">
        <v>0.14000000000000001</v>
      </c>
      <c r="V7" s="180">
        <v>0.13650999999999999</v>
      </c>
      <c r="W7" s="181">
        <v>0.13588</v>
      </c>
      <c r="X7" s="180">
        <v>0.13528000000000001</v>
      </c>
      <c r="Y7" s="181">
        <v>0.13461999999999999</v>
      </c>
      <c r="Z7" s="181">
        <v>0.13389000000000001</v>
      </c>
      <c r="AA7" s="180">
        <v>0.12989000000000001</v>
      </c>
      <c r="AB7" s="181">
        <v>0.12297</v>
      </c>
    </row>
    <row r="8" spans="1:28" x14ac:dyDescent="0.35">
      <c r="A8" s="173" t="s">
        <v>42</v>
      </c>
      <c r="B8" s="178">
        <v>1.5275E-21</v>
      </c>
      <c r="C8" s="179">
        <v>1.3022000000000001E-17</v>
      </c>
      <c r="D8" s="178">
        <v>4.1226999999999998E-12</v>
      </c>
      <c r="E8" s="178">
        <v>1.4575E-9</v>
      </c>
      <c r="F8" s="179">
        <v>3.051E-7</v>
      </c>
      <c r="G8" s="178">
        <v>0.14000000000000001</v>
      </c>
      <c r="H8" s="178">
        <v>0.14000000000000001</v>
      </c>
      <c r="I8" s="179">
        <v>0.14000000000000001</v>
      </c>
      <c r="J8" s="178">
        <v>0.14000000000000001</v>
      </c>
      <c r="K8" s="178">
        <v>0.14000000000000001</v>
      </c>
      <c r="L8" s="179">
        <v>0.14000000000000001</v>
      </c>
      <c r="M8" s="178">
        <v>0.14000000000000001</v>
      </c>
      <c r="N8" s="178">
        <v>0.42</v>
      </c>
      <c r="O8" s="179">
        <v>0.42</v>
      </c>
      <c r="P8" s="178">
        <v>0.42</v>
      </c>
      <c r="Q8" s="178">
        <v>0.42</v>
      </c>
      <c r="R8" s="179">
        <v>0.42</v>
      </c>
      <c r="S8" s="178">
        <v>0.42</v>
      </c>
      <c r="T8" s="178">
        <v>0.44449</v>
      </c>
      <c r="U8" s="179">
        <v>0.45429999999999998</v>
      </c>
      <c r="V8" s="179">
        <v>0.47771999999999998</v>
      </c>
      <c r="W8" s="178">
        <v>0.47964000000000001</v>
      </c>
      <c r="X8" s="179">
        <v>0.47993999999999998</v>
      </c>
      <c r="Y8" s="178">
        <v>0.47999000000000003</v>
      </c>
      <c r="Z8" s="178">
        <v>0.48</v>
      </c>
      <c r="AA8" s="179">
        <v>0.48</v>
      </c>
      <c r="AB8" s="178">
        <v>0.48</v>
      </c>
    </row>
    <row r="9" spans="1:28" x14ac:dyDescent="0.35">
      <c r="A9" s="173" t="s">
        <v>73</v>
      </c>
      <c r="B9" s="178">
        <v>0.14000000000000001</v>
      </c>
      <c r="C9" s="179">
        <v>0.14000000000000001</v>
      </c>
      <c r="D9" s="178">
        <v>0.14000000000000001</v>
      </c>
      <c r="E9" s="181">
        <v>0.14000000000000001</v>
      </c>
      <c r="F9" s="180">
        <v>0.14000000000000001</v>
      </c>
      <c r="G9" s="181">
        <v>3.2209999999999999E-9</v>
      </c>
      <c r="H9" s="178">
        <v>1.9975999999999999E-10</v>
      </c>
      <c r="I9" s="179">
        <v>9.6340999999999999E-12</v>
      </c>
      <c r="J9" s="178">
        <v>1.4116999999999999E-13</v>
      </c>
      <c r="K9" s="178">
        <v>2.8361000000000002E-26</v>
      </c>
      <c r="L9" s="179">
        <v>0</v>
      </c>
      <c r="M9" s="178">
        <v>0</v>
      </c>
      <c r="N9" s="178">
        <v>0</v>
      </c>
      <c r="O9" s="179">
        <v>0</v>
      </c>
      <c r="P9" s="178">
        <v>0</v>
      </c>
      <c r="Q9" s="178">
        <v>0</v>
      </c>
      <c r="R9" s="179">
        <v>0</v>
      </c>
      <c r="S9" s="178">
        <v>0</v>
      </c>
      <c r="T9" s="178">
        <v>0</v>
      </c>
      <c r="U9" s="179">
        <v>0</v>
      </c>
      <c r="V9" s="179">
        <v>0</v>
      </c>
      <c r="W9" s="178">
        <v>0</v>
      </c>
      <c r="X9" s="179">
        <v>0</v>
      </c>
      <c r="Y9" s="178">
        <v>0</v>
      </c>
      <c r="Z9" s="178">
        <v>0</v>
      </c>
      <c r="AA9" s="179">
        <v>0</v>
      </c>
      <c r="AB9" s="178">
        <v>0</v>
      </c>
    </row>
    <row r="10" spans="1:28" x14ac:dyDescent="0.35">
      <c r="A10" s="173" t="s">
        <v>44</v>
      </c>
      <c r="B10" s="178">
        <v>0.02</v>
      </c>
      <c r="C10" s="179">
        <v>0.02</v>
      </c>
      <c r="D10" s="178">
        <v>0.02</v>
      </c>
      <c r="E10" s="178">
        <v>0.02</v>
      </c>
      <c r="F10" s="179">
        <v>0.02</v>
      </c>
      <c r="G10" s="178">
        <v>0.02</v>
      </c>
      <c r="H10" s="178">
        <v>0.02</v>
      </c>
      <c r="I10" s="179">
        <v>0.02</v>
      </c>
      <c r="J10" s="178">
        <v>0.02</v>
      </c>
      <c r="K10" s="178">
        <v>0.02</v>
      </c>
      <c r="L10" s="179">
        <v>0.02</v>
      </c>
      <c r="M10" s="178">
        <v>0.02</v>
      </c>
      <c r="N10" s="178">
        <v>0.02</v>
      </c>
      <c r="O10" s="179">
        <v>0.02</v>
      </c>
      <c r="P10" s="178">
        <v>0.02</v>
      </c>
      <c r="Q10" s="178">
        <v>0.02</v>
      </c>
      <c r="R10" s="179">
        <v>0.02</v>
      </c>
      <c r="S10" s="178">
        <v>0.02</v>
      </c>
      <c r="T10" s="181">
        <v>7.7565999999999998E-3</v>
      </c>
      <c r="U10" s="180">
        <v>2.8487E-3</v>
      </c>
      <c r="V10" s="181">
        <v>7.5883000000000005E-4</v>
      </c>
      <c r="W10" s="181">
        <v>1.1998999999999999E-4</v>
      </c>
      <c r="X10" s="180">
        <v>2.0021E-5</v>
      </c>
      <c r="Y10" s="181">
        <v>3.5053000000000001E-6</v>
      </c>
      <c r="Z10" s="181">
        <v>6.4165000000000003E-7</v>
      </c>
      <c r="AA10" s="180">
        <v>1.0583E-9</v>
      </c>
      <c r="AB10" s="181">
        <v>2.8184000000000002E-12</v>
      </c>
    </row>
    <row r="11" spans="1:28" x14ac:dyDescent="0.35">
      <c r="A11" s="173" t="s">
        <v>45</v>
      </c>
      <c r="B11" s="178">
        <v>0</v>
      </c>
      <c r="C11" s="179">
        <v>0</v>
      </c>
      <c r="D11" s="178">
        <v>0</v>
      </c>
      <c r="E11" s="178">
        <v>0</v>
      </c>
      <c r="F11" s="179">
        <v>0</v>
      </c>
      <c r="G11" s="178">
        <v>0</v>
      </c>
      <c r="H11" s="178">
        <v>0</v>
      </c>
      <c r="I11" s="179">
        <v>0</v>
      </c>
      <c r="J11" s="178">
        <v>0</v>
      </c>
      <c r="K11" s="181">
        <v>6.6809999999999997E-33</v>
      </c>
      <c r="L11" s="180">
        <v>7.8149999999999998E-31</v>
      </c>
      <c r="M11" s="181">
        <v>6.8396999999999999E-29</v>
      </c>
      <c r="N11" s="181">
        <v>4.6017E-27</v>
      </c>
      <c r="O11" s="180">
        <v>2.4372999999999999E-25</v>
      </c>
      <c r="P11" s="181">
        <v>2.5777E-19</v>
      </c>
      <c r="Q11" s="181">
        <v>2.2115999999999999E-14</v>
      </c>
      <c r="R11" s="180">
        <v>2.9888000000000001E-10</v>
      </c>
      <c r="S11" s="181">
        <v>2.5529000000000001E-9</v>
      </c>
      <c r="T11" s="178">
        <v>7.7960999999999996E-9</v>
      </c>
      <c r="U11" s="179">
        <v>2.0885999999999999E-8</v>
      </c>
      <c r="V11" s="178">
        <v>3.7773999999999998E-8</v>
      </c>
      <c r="W11" s="181">
        <v>3.7906000000000002E-8</v>
      </c>
      <c r="X11" s="180">
        <v>3.7667000000000002E-8</v>
      </c>
      <c r="Y11" s="181">
        <v>3.6985999999999998E-8</v>
      </c>
      <c r="Z11" s="178">
        <v>3.5881000000000002E-8</v>
      </c>
      <c r="AA11" s="179">
        <v>2.8110999999999999E-8</v>
      </c>
      <c r="AB11" s="178">
        <v>1.7782E-8</v>
      </c>
    </row>
    <row r="12" spans="1:28" x14ac:dyDescent="0.35">
      <c r="A12" s="173" t="s">
        <v>1</v>
      </c>
      <c r="B12" s="178">
        <v>0.2</v>
      </c>
      <c r="C12" s="179">
        <v>0.2</v>
      </c>
      <c r="D12" s="178">
        <v>0.2</v>
      </c>
      <c r="E12" s="178">
        <v>0.2</v>
      </c>
      <c r="F12" s="179">
        <v>0.2</v>
      </c>
      <c r="G12" s="178">
        <v>0.2</v>
      </c>
      <c r="H12" s="178">
        <v>0.2</v>
      </c>
      <c r="I12" s="179">
        <v>0.2</v>
      </c>
      <c r="J12" s="178">
        <v>0.2</v>
      </c>
      <c r="K12" s="178">
        <v>0.2</v>
      </c>
      <c r="L12" s="179">
        <v>0.2</v>
      </c>
      <c r="M12" s="178">
        <v>0.2</v>
      </c>
      <c r="N12" s="178">
        <v>0.2</v>
      </c>
      <c r="O12" s="179">
        <v>0.2</v>
      </c>
      <c r="P12" s="178">
        <v>0.2</v>
      </c>
      <c r="Q12" s="178">
        <v>0.2</v>
      </c>
      <c r="R12" s="179">
        <v>0.2</v>
      </c>
      <c r="S12" s="178">
        <v>0.2</v>
      </c>
      <c r="T12" s="178">
        <v>0.2</v>
      </c>
      <c r="U12" s="179">
        <v>0.2</v>
      </c>
      <c r="V12" s="178">
        <v>0.2</v>
      </c>
      <c r="W12" s="178">
        <v>0.2</v>
      </c>
      <c r="X12" s="179">
        <v>0.2</v>
      </c>
      <c r="Y12" s="178">
        <v>0.2</v>
      </c>
      <c r="Z12" s="178">
        <v>0.2</v>
      </c>
      <c r="AA12" s="179">
        <v>0.2</v>
      </c>
      <c r="AB12" s="178">
        <v>0.2</v>
      </c>
    </row>
    <row r="13" spans="1:28" x14ac:dyDescent="0.35">
      <c r="A13" s="173" t="s">
        <v>91</v>
      </c>
      <c r="B13" s="178">
        <v>0</v>
      </c>
      <c r="C13" s="179">
        <v>0</v>
      </c>
      <c r="D13" s="178">
        <v>0</v>
      </c>
      <c r="E13" s="178">
        <v>0</v>
      </c>
      <c r="F13" s="179">
        <v>0</v>
      </c>
      <c r="G13" s="178">
        <v>0</v>
      </c>
      <c r="H13" s="178">
        <v>0</v>
      </c>
      <c r="I13" s="179">
        <v>0</v>
      </c>
      <c r="J13" s="178">
        <v>0</v>
      </c>
      <c r="K13" s="178">
        <v>0</v>
      </c>
      <c r="L13" s="179">
        <v>0</v>
      </c>
      <c r="M13" s="178">
        <v>0</v>
      </c>
      <c r="N13" s="178">
        <v>0</v>
      </c>
      <c r="O13" s="179">
        <v>0</v>
      </c>
      <c r="P13" s="178">
        <v>3.6238000000000002E-20</v>
      </c>
      <c r="Q13" s="181">
        <v>7.0432999999999999E-14</v>
      </c>
      <c r="R13" s="180">
        <v>2.9604999999999998E-10</v>
      </c>
      <c r="S13" s="181">
        <v>1.039E-10</v>
      </c>
      <c r="T13" s="181">
        <v>1.5157999999999999E-8</v>
      </c>
      <c r="U13" s="180">
        <v>2.1476E-7</v>
      </c>
      <c r="V13" s="181">
        <v>3.8482000000000002E-2</v>
      </c>
      <c r="W13" s="181">
        <v>3.9759999999999997E-2</v>
      </c>
      <c r="X13" s="180">
        <v>3.9960000000000002E-2</v>
      </c>
      <c r="Y13" s="181">
        <v>3.9993000000000001E-2</v>
      </c>
      <c r="Z13" s="181">
        <v>3.9997999999999999E-2</v>
      </c>
      <c r="AA13" s="180">
        <v>0.04</v>
      </c>
      <c r="AB13" s="181">
        <v>0.04</v>
      </c>
    </row>
    <row r="14" spans="1:28" x14ac:dyDescent="0.35">
      <c r="A14" s="173" t="s">
        <v>92</v>
      </c>
      <c r="B14" s="178">
        <v>0</v>
      </c>
      <c r="C14" s="179">
        <v>0</v>
      </c>
      <c r="D14" s="178">
        <v>0</v>
      </c>
      <c r="E14" s="178">
        <v>0</v>
      </c>
      <c r="F14" s="179">
        <v>0</v>
      </c>
      <c r="G14" s="178">
        <v>0</v>
      </c>
      <c r="H14" s="178">
        <v>0</v>
      </c>
      <c r="I14" s="179">
        <v>0</v>
      </c>
      <c r="J14" s="178">
        <v>0</v>
      </c>
      <c r="K14" s="178">
        <v>7.4125999999999999E-36</v>
      </c>
      <c r="L14" s="179">
        <v>0</v>
      </c>
      <c r="M14" s="178">
        <v>0</v>
      </c>
      <c r="N14" s="178">
        <v>0</v>
      </c>
      <c r="O14" s="179">
        <v>0</v>
      </c>
      <c r="P14" s="178">
        <v>2.0193000000000001E-16</v>
      </c>
      <c r="Q14" s="181">
        <v>4.0033000000000001E-12</v>
      </c>
      <c r="R14" s="180">
        <v>3.3269000000000002E-10</v>
      </c>
      <c r="S14" s="180">
        <v>4.7667000000000002E-11</v>
      </c>
      <c r="T14" s="181">
        <v>4.5630999999999997E-9</v>
      </c>
      <c r="U14" s="180">
        <v>4.5578E-8</v>
      </c>
      <c r="V14" s="181">
        <v>6.9871999999999998E-3</v>
      </c>
      <c r="W14" s="181">
        <v>8.2457999999999993E-3</v>
      </c>
      <c r="X14" s="180">
        <v>9.4445999999999992E-3</v>
      </c>
      <c r="Y14" s="181">
        <v>1.0753E-2</v>
      </c>
      <c r="Z14" s="178">
        <v>1.2215999999999999E-2</v>
      </c>
      <c r="AA14" s="179">
        <v>2.0229E-2</v>
      </c>
      <c r="AB14" s="178">
        <v>3.4062000000000002E-2</v>
      </c>
    </row>
    <row r="15" spans="1:28" x14ac:dyDescent="0.35">
      <c r="A15" s="173" t="s">
        <v>28</v>
      </c>
      <c r="B15" s="178">
        <v>-18.72</v>
      </c>
      <c r="C15" s="179">
        <v>-18.71</v>
      </c>
      <c r="D15" s="178">
        <v>-18.71</v>
      </c>
      <c r="E15" s="181">
        <v>-18.71</v>
      </c>
      <c r="F15" s="180">
        <v>-18.73</v>
      </c>
      <c r="G15" s="181">
        <v>-18.739999999999998</v>
      </c>
      <c r="H15" s="178">
        <v>-18.760000000000002</v>
      </c>
      <c r="I15" s="179">
        <v>-18.79</v>
      </c>
      <c r="J15" s="178">
        <v>-18.809999999999999</v>
      </c>
      <c r="K15" s="181">
        <v>-18.93</v>
      </c>
      <c r="L15" s="180">
        <v>-18.97</v>
      </c>
      <c r="M15" s="181">
        <v>-19</v>
      </c>
      <c r="N15" s="181">
        <v>-19.03</v>
      </c>
      <c r="O15" s="180">
        <v>-19.07</v>
      </c>
      <c r="P15" s="180">
        <v>-19.2</v>
      </c>
      <c r="Q15" s="181">
        <v>-19.34</v>
      </c>
      <c r="R15" s="180">
        <v>-19.48</v>
      </c>
      <c r="S15" s="180">
        <v>-19.510000000000002</v>
      </c>
      <c r="T15" s="181">
        <v>-19.489999999999998</v>
      </c>
      <c r="U15" s="180">
        <v>-19.5</v>
      </c>
      <c r="V15" s="181">
        <v>-19.52</v>
      </c>
      <c r="W15" s="181">
        <v>-19.55</v>
      </c>
      <c r="X15" s="180">
        <v>-19.579999999999998</v>
      </c>
      <c r="Y15" s="181">
        <v>-19.61</v>
      </c>
      <c r="Z15" s="181">
        <v>-19.64</v>
      </c>
      <c r="AA15" s="180">
        <v>-19.760000000000002</v>
      </c>
      <c r="AB15" s="181">
        <v>-19.88</v>
      </c>
    </row>
    <row r="16" spans="1:28" x14ac:dyDescent="0.35">
      <c r="A16" s="169" t="s">
        <v>5</v>
      </c>
      <c r="B16" s="181">
        <v>-66.760000000000005</v>
      </c>
      <c r="C16" s="180">
        <v>-63.28</v>
      </c>
      <c r="D16" s="181">
        <v>-60.18</v>
      </c>
      <c r="E16" s="181">
        <v>-57.4</v>
      </c>
      <c r="F16" s="180">
        <v>-54.91</v>
      </c>
      <c r="G16" s="181">
        <v>-51.53</v>
      </c>
      <c r="H16" s="181">
        <v>-48.17</v>
      </c>
      <c r="I16" s="180">
        <v>-45.06</v>
      </c>
      <c r="J16" s="181">
        <v>-42.19</v>
      </c>
      <c r="K16" s="181">
        <v>-32.53</v>
      </c>
      <c r="L16" s="180">
        <v>-30.48</v>
      </c>
      <c r="M16" s="181">
        <v>-28.55</v>
      </c>
      <c r="N16" s="181">
        <v>-26.74</v>
      </c>
      <c r="O16" s="180">
        <v>-25.02</v>
      </c>
      <c r="P16" s="180">
        <v>-18.96</v>
      </c>
      <c r="Q16" s="181">
        <v>-13.95</v>
      </c>
      <c r="R16" s="180">
        <v>-9.7059999999999995</v>
      </c>
      <c r="S16" s="181">
        <v>-8.7420000000000009</v>
      </c>
      <c r="T16" s="181">
        <v>-8.2560000000000002</v>
      </c>
      <c r="U16" s="180">
        <v>-7.8470000000000004</v>
      </c>
      <c r="V16" s="181">
        <v>-7.6349999999999998</v>
      </c>
      <c r="W16" s="181">
        <v>-7.7149999999999999</v>
      </c>
      <c r="X16" s="180">
        <v>-7.7960000000000003</v>
      </c>
      <c r="Y16" s="181">
        <v>-7.8789999999999996</v>
      </c>
      <c r="Z16" s="181">
        <v>-7.9630000000000001</v>
      </c>
      <c r="AA16" s="180">
        <v>-8.3190000000000008</v>
      </c>
      <c r="AB16" s="181">
        <v>-8.7249999999999996</v>
      </c>
    </row>
    <row r="17" spans="1:28" x14ac:dyDescent="0.35">
      <c r="A17" s="169" t="s">
        <v>6</v>
      </c>
      <c r="B17" s="181">
        <v>-16.29</v>
      </c>
      <c r="C17" s="180">
        <v>-15.65</v>
      </c>
      <c r="D17" s="181">
        <v>-15.09</v>
      </c>
      <c r="E17" s="181">
        <v>-14.59</v>
      </c>
      <c r="F17" s="180">
        <v>-14.16</v>
      </c>
      <c r="G17" s="181">
        <v>-13.03</v>
      </c>
      <c r="H17" s="181">
        <v>-11.8</v>
      </c>
      <c r="I17" s="180">
        <v>-10.67</v>
      </c>
      <c r="J17" s="181">
        <v>-9.6150000000000002</v>
      </c>
      <c r="K17" s="181">
        <v>-6.04</v>
      </c>
      <c r="L17" s="180">
        <v>-5.2759999999999998</v>
      </c>
      <c r="M17" s="181">
        <v>-4.5529999999999999</v>
      </c>
      <c r="N17" s="181">
        <v>-4.1150000000000002</v>
      </c>
      <c r="O17" s="180">
        <v>-4.1550000000000002</v>
      </c>
      <c r="P17" s="181">
        <v>-4.3170000000000002</v>
      </c>
      <c r="Q17" s="181">
        <v>-4.4809999999999999</v>
      </c>
      <c r="R17" s="180">
        <v>-4.6429999999999998</v>
      </c>
      <c r="S17" s="181">
        <v>-4.6829999999999998</v>
      </c>
      <c r="T17" s="181">
        <v>-4.7220000000000004</v>
      </c>
      <c r="U17" s="180">
        <v>-4.7619999999999996</v>
      </c>
      <c r="V17" s="181">
        <v>-4.8010000000000002</v>
      </c>
      <c r="W17" s="181">
        <v>-4.84</v>
      </c>
      <c r="X17" s="180">
        <v>-4.8780000000000001</v>
      </c>
      <c r="Y17" s="181">
        <v>-4.9169999999999998</v>
      </c>
      <c r="Z17" s="181">
        <v>-4.9550000000000001</v>
      </c>
      <c r="AA17" s="180">
        <v>-5.1040000000000001</v>
      </c>
      <c r="AB17" s="181">
        <v>-5.2489999999999997</v>
      </c>
    </row>
    <row r="18" spans="1:28" x14ac:dyDescent="0.35">
      <c r="A18" s="169" t="s">
        <v>7</v>
      </c>
      <c r="B18" s="181">
        <v>-23.52</v>
      </c>
      <c r="C18" s="180">
        <v>-22.41</v>
      </c>
      <c r="D18" s="181">
        <v>-21.42</v>
      </c>
      <c r="E18" s="181">
        <v>-20.54</v>
      </c>
      <c r="F18" s="180">
        <v>-19.760000000000002</v>
      </c>
      <c r="G18" s="181">
        <v>-19.79</v>
      </c>
      <c r="H18" s="181">
        <v>-20.03</v>
      </c>
      <c r="I18" s="180">
        <v>-20.28</v>
      </c>
      <c r="J18" s="181">
        <v>-20.52</v>
      </c>
      <c r="K18" s="181">
        <v>-21.52</v>
      </c>
      <c r="L18" s="180">
        <v>-21.77</v>
      </c>
      <c r="M18" s="181">
        <v>-22.02</v>
      </c>
      <c r="N18" s="181">
        <v>-22.27</v>
      </c>
      <c r="O18" s="180">
        <v>-22.51</v>
      </c>
      <c r="P18" s="181">
        <v>-23.48</v>
      </c>
      <c r="Q18" s="181">
        <v>-24.41</v>
      </c>
      <c r="R18" s="180">
        <v>-25.31</v>
      </c>
      <c r="S18" s="181">
        <v>-25.53</v>
      </c>
      <c r="T18" s="181">
        <v>-25.75</v>
      </c>
      <c r="U18" s="180">
        <v>-25.96</v>
      </c>
      <c r="V18" s="181">
        <v>-26.18</v>
      </c>
      <c r="W18" s="181">
        <v>-26.39</v>
      </c>
      <c r="X18" s="180">
        <v>-26.6</v>
      </c>
      <c r="Y18" s="181">
        <v>-26.81</v>
      </c>
      <c r="Z18" s="181">
        <v>-27.02</v>
      </c>
      <c r="AA18" s="180">
        <v>-27.83</v>
      </c>
      <c r="AB18" s="181">
        <v>-28.62</v>
      </c>
    </row>
    <row r="19" spans="1:28" x14ac:dyDescent="0.35">
      <c r="A19" s="173" t="s">
        <v>50</v>
      </c>
      <c r="B19" s="178">
        <v>0.22</v>
      </c>
      <c r="C19" s="179">
        <v>0.22</v>
      </c>
      <c r="D19" s="178">
        <v>0.22</v>
      </c>
      <c r="E19" s="178">
        <v>0.22</v>
      </c>
      <c r="F19" s="179">
        <v>0.22</v>
      </c>
      <c r="G19" s="178">
        <v>0.22</v>
      </c>
      <c r="H19" s="178">
        <v>0.22</v>
      </c>
      <c r="I19" s="179">
        <v>0.22</v>
      </c>
      <c r="J19" s="178">
        <v>0.22</v>
      </c>
      <c r="K19" s="178">
        <v>0.22</v>
      </c>
      <c r="L19" s="179">
        <v>0.22</v>
      </c>
      <c r="M19" s="178">
        <v>0.22</v>
      </c>
      <c r="N19" s="178">
        <v>0.22</v>
      </c>
      <c r="O19" s="179">
        <v>0.22</v>
      </c>
      <c r="P19" s="178">
        <v>0.22</v>
      </c>
      <c r="Q19" s="178">
        <v>0.22</v>
      </c>
      <c r="R19" s="179">
        <v>0.22</v>
      </c>
      <c r="S19" s="178">
        <v>0.22</v>
      </c>
      <c r="T19" s="181">
        <v>0.20776</v>
      </c>
      <c r="U19" s="180">
        <v>0.20285</v>
      </c>
      <c r="V19" s="181">
        <v>0.20075999999999999</v>
      </c>
      <c r="W19" s="178">
        <v>0.20011999999999999</v>
      </c>
      <c r="X19" s="179">
        <v>0.20002</v>
      </c>
      <c r="Y19" s="178">
        <v>0.2</v>
      </c>
      <c r="Z19" s="178">
        <v>0.2</v>
      </c>
      <c r="AA19" s="179">
        <v>0.2</v>
      </c>
      <c r="AB19" s="178">
        <v>0.2</v>
      </c>
    </row>
    <row r="20" spans="1:28" x14ac:dyDescent="0.35">
      <c r="A20" s="171" t="s">
        <v>66</v>
      </c>
      <c r="B20" s="182">
        <v>0</v>
      </c>
      <c r="C20" s="183">
        <v>0</v>
      </c>
      <c r="D20" s="182">
        <v>0</v>
      </c>
      <c r="E20" s="182">
        <v>0</v>
      </c>
      <c r="F20" s="183">
        <v>0</v>
      </c>
      <c r="G20" s="182">
        <v>0</v>
      </c>
      <c r="H20" s="182">
        <v>0</v>
      </c>
      <c r="I20" s="183">
        <v>0</v>
      </c>
      <c r="J20" s="182">
        <v>0</v>
      </c>
      <c r="K20" s="182">
        <v>1.6747000000000001E-32</v>
      </c>
      <c r="L20" s="183">
        <v>1.6513000000000001E-39</v>
      </c>
      <c r="M20" s="182">
        <v>0</v>
      </c>
      <c r="N20" s="182">
        <v>0</v>
      </c>
      <c r="O20" s="183">
        <v>9.8091000000000003E-45</v>
      </c>
      <c r="P20" s="183">
        <v>7.8972000000000006E-15</v>
      </c>
      <c r="Q20" s="182">
        <v>7.6543000000000001E-11</v>
      </c>
      <c r="R20" s="183">
        <v>3.5469999999999998E-9</v>
      </c>
      <c r="S20" s="183">
        <v>4.4592999999999998E-10</v>
      </c>
      <c r="T20" s="182">
        <v>3.7631000000000001E-8</v>
      </c>
      <c r="U20" s="183">
        <v>3.3307E-7</v>
      </c>
      <c r="V20" s="183">
        <v>4.5469000000000002E-2</v>
      </c>
      <c r="W20" s="182">
        <v>4.8004999999999999E-2</v>
      </c>
      <c r="X20" s="183">
        <v>4.9404000000000003E-2</v>
      </c>
      <c r="Y20" s="182">
        <v>5.0744999999999998E-2</v>
      </c>
      <c r="Z20" s="182">
        <v>5.2214000000000003E-2</v>
      </c>
      <c r="AA20" s="183">
        <v>6.0228999999999998E-2</v>
      </c>
      <c r="AB20" s="183">
        <v>7.4062000000000003E-2</v>
      </c>
    </row>
  </sheetData>
  <conditionalFormatting sqref="B1:AB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A</vt:lpstr>
      <vt:lpstr>A2</vt:lpstr>
      <vt:lpstr>F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2021-03-28T07:01:12Z</dcterms:modified>
</cp:coreProperties>
</file>