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619B7B64-12B9-4950-8C72-B09094C634EA}" xr6:coauthVersionLast="46" xr6:coauthVersionMax="46" xr10:uidLastSave="{00000000-0000-0000-0000-000000000000}"/>
  <bookViews>
    <workbookView xWindow="-12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1" r:id="rId3"/>
    <sheet name="SOLID" sheetId="12" r:id="rId4"/>
    <sheet name="EVALUATION" sheetId="8" r:id="rId5"/>
    <sheet name="data" sheetId="7" r:id="rId6"/>
    <sheet name="A" sheetId="13" r:id="rId7"/>
    <sheet name="A2" sheetId="16" r:id="rId8"/>
    <sheet name="F" sheetId="14" r:id="rId9"/>
    <sheet name="S" sheetId="15" r:id="rId10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1" l="1"/>
  <c r="B41" i="12" l="1"/>
  <c r="C41" i="12"/>
  <c r="D41" i="12"/>
  <c r="A41" i="12"/>
  <c r="B41" i="11"/>
  <c r="C41" i="11"/>
  <c r="D41" i="11"/>
  <c r="A41" i="11"/>
  <c r="A40" i="4"/>
  <c r="B41" i="4"/>
  <c r="C41" i="4"/>
  <c r="D41" i="4"/>
  <c r="A41" i="4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B32" i="8"/>
  <c r="E31" i="8"/>
  <c r="D31" i="8"/>
  <c r="C31" i="8"/>
  <c r="E30" i="8"/>
  <c r="D30" i="8"/>
  <c r="C30" i="8"/>
  <c r="E29" i="8"/>
  <c r="D29" i="8"/>
  <c r="C29" i="8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AL45" i="12"/>
  <c r="AH34" i="8" s="1"/>
  <c r="AK45" i="12"/>
  <c r="AG34" i="8" s="1"/>
  <c r="AJ45" i="12"/>
  <c r="AF34" i="8" s="1"/>
  <c r="AI45" i="12"/>
  <c r="AE34" i="8" s="1"/>
  <c r="AH45" i="12"/>
  <c r="AD34" i="8" s="1"/>
  <c r="AG45" i="12"/>
  <c r="AC34" i="8" s="1"/>
  <c r="AF45" i="12"/>
  <c r="AB34" i="8" s="1"/>
  <c r="AE45" i="12"/>
  <c r="AA34" i="8" s="1"/>
  <c r="AD45" i="12"/>
  <c r="Z34" i="8" s="1"/>
  <c r="AC45" i="12"/>
  <c r="Y34" i="8" s="1"/>
  <c r="AB45" i="12"/>
  <c r="X34" i="8" s="1"/>
  <c r="AA45" i="12"/>
  <c r="W34" i="8" s="1"/>
  <c r="Z45" i="12"/>
  <c r="V34" i="8" s="1"/>
  <c r="Y45" i="12"/>
  <c r="U34" i="8" s="1"/>
  <c r="X45" i="12"/>
  <c r="T34" i="8" s="1"/>
  <c r="W45" i="12"/>
  <c r="S34" i="8" s="1"/>
  <c r="V45" i="12"/>
  <c r="R34" i="8" s="1"/>
  <c r="U45" i="12"/>
  <c r="Q34" i="8" s="1"/>
  <c r="T45" i="12"/>
  <c r="P34" i="8" s="1"/>
  <c r="S45" i="12"/>
  <c r="O34" i="8" s="1"/>
  <c r="R45" i="12"/>
  <c r="N34" i="8" s="1"/>
  <c r="Q45" i="12"/>
  <c r="M34" i="8" s="1"/>
  <c r="P45" i="12"/>
  <c r="L34" i="8" s="1"/>
  <c r="O45" i="12"/>
  <c r="K34" i="8" s="1"/>
  <c r="N45" i="12"/>
  <c r="J34" i="8" s="1"/>
  <c r="M45" i="12"/>
  <c r="I34" i="8" s="1"/>
  <c r="L45" i="12"/>
  <c r="H34" i="8" s="1"/>
  <c r="K45" i="12"/>
  <c r="G34" i="8" s="1"/>
  <c r="J45" i="12"/>
  <c r="F34" i="8" s="1"/>
  <c r="I45" i="12"/>
  <c r="E34" i="8" s="1"/>
  <c r="H45" i="12"/>
  <c r="D34" i="8" s="1"/>
  <c r="G45" i="12"/>
  <c r="C34" i="8" s="1"/>
  <c r="F45" i="12"/>
  <c r="B34" i="8" s="1"/>
  <c r="E45" i="12"/>
  <c r="E79" i="12" s="1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D37" i="12"/>
  <c r="AF37" i="12" s="1"/>
  <c r="D36" i="12"/>
  <c r="AJ36" i="12" s="1"/>
  <c r="D35" i="12"/>
  <c r="AF35" i="12" s="1"/>
  <c r="D34" i="12"/>
  <c r="AG34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5" i="11"/>
  <c r="E109" i="11" s="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96" i="11" s="1"/>
  <c r="E61" i="11"/>
  <c r="E95" i="11" s="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AL45" i="11"/>
  <c r="AH2" i="8" s="1"/>
  <c r="AK45" i="11"/>
  <c r="AG2" i="8" s="1"/>
  <c r="AJ45" i="11"/>
  <c r="AF2" i="8" s="1"/>
  <c r="AI45" i="11"/>
  <c r="AE2" i="8" s="1"/>
  <c r="AH45" i="11"/>
  <c r="AD2" i="8" s="1"/>
  <c r="AG45" i="11"/>
  <c r="AC2" i="8" s="1"/>
  <c r="AF45" i="11"/>
  <c r="AB2" i="8" s="1"/>
  <c r="AE45" i="11"/>
  <c r="AA2" i="8" s="1"/>
  <c r="AD45" i="11"/>
  <c r="Z2" i="8" s="1"/>
  <c r="AC45" i="11"/>
  <c r="Y2" i="8" s="1"/>
  <c r="AB45" i="11"/>
  <c r="X2" i="8" s="1"/>
  <c r="AA45" i="11"/>
  <c r="W2" i="8" s="1"/>
  <c r="Z45" i="11"/>
  <c r="V2" i="8" s="1"/>
  <c r="Y45" i="11"/>
  <c r="U2" i="8" s="1"/>
  <c r="X45" i="11"/>
  <c r="T2" i="8" s="1"/>
  <c r="W45" i="11"/>
  <c r="S2" i="8" s="1"/>
  <c r="V45" i="11"/>
  <c r="R2" i="8" s="1"/>
  <c r="U45" i="11"/>
  <c r="Q2" i="8" s="1"/>
  <c r="T45" i="11"/>
  <c r="P2" i="8" s="1"/>
  <c r="S45" i="11"/>
  <c r="O2" i="8" s="1"/>
  <c r="R45" i="11"/>
  <c r="N2" i="8" s="1"/>
  <c r="Q45" i="11"/>
  <c r="M2" i="8" s="1"/>
  <c r="P45" i="11"/>
  <c r="L2" i="8" s="1"/>
  <c r="O45" i="11"/>
  <c r="K2" i="8" s="1"/>
  <c r="N45" i="11"/>
  <c r="J2" i="8" s="1"/>
  <c r="M45" i="11"/>
  <c r="I2" i="8" s="1"/>
  <c r="L45" i="11"/>
  <c r="H2" i="8" s="1"/>
  <c r="K45" i="11"/>
  <c r="G2" i="8" s="1"/>
  <c r="J45" i="11"/>
  <c r="F2" i="8" s="1"/>
  <c r="I45" i="11"/>
  <c r="E2" i="8" s="1"/>
  <c r="H45" i="11"/>
  <c r="D2" i="8" s="1"/>
  <c r="G45" i="11"/>
  <c r="C2" i="8" s="1"/>
  <c r="F45" i="11"/>
  <c r="B2" i="8" s="1"/>
  <c r="E45" i="11"/>
  <c r="E79" i="11" s="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D37" i="11"/>
  <c r="AB37" i="11" s="1"/>
  <c r="D36" i="11"/>
  <c r="AK36" i="11" s="1"/>
  <c r="D35" i="11"/>
  <c r="AJ35" i="11" s="1"/>
  <c r="AE34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114" i="11" s="1"/>
  <c r="A115" i="11" s="1"/>
  <c r="A22" i="7"/>
  <c r="A2" i="12" l="1"/>
  <c r="A114" i="12" s="1"/>
  <c r="A115" i="12" s="1"/>
  <c r="A49" i="8"/>
  <c r="A58" i="8"/>
  <c r="A57" i="8"/>
  <c r="AC36" i="12"/>
  <c r="A50" i="8"/>
  <c r="A42" i="8"/>
  <c r="E41" i="12"/>
  <c r="C78" i="12" s="1"/>
  <c r="AA108" i="12" s="1"/>
  <c r="A41" i="8"/>
  <c r="M37" i="12"/>
  <c r="A64" i="8"/>
  <c r="A56" i="8"/>
  <c r="A48" i="8"/>
  <c r="A40" i="8"/>
  <c r="N34" i="12"/>
  <c r="AC37" i="12"/>
  <c r="A63" i="8"/>
  <c r="A55" i="8"/>
  <c r="A47" i="8"/>
  <c r="A39" i="8"/>
  <c r="AA34" i="12"/>
  <c r="A62" i="8"/>
  <c r="A54" i="8"/>
  <c r="A46" i="8"/>
  <c r="A38" i="8"/>
  <c r="A61" i="8"/>
  <c r="A53" i="8"/>
  <c r="A45" i="8"/>
  <c r="A37" i="8"/>
  <c r="A60" i="8"/>
  <c r="A52" i="8"/>
  <c r="A44" i="8"/>
  <c r="A36" i="8"/>
  <c r="I36" i="12"/>
  <c r="A59" i="8"/>
  <c r="A51" i="8"/>
  <c r="A43" i="8"/>
  <c r="A35" i="8"/>
  <c r="E41" i="11"/>
  <c r="C78" i="11" s="1"/>
  <c r="BA4" i="11"/>
  <c r="A25" i="8"/>
  <c r="A17" i="8"/>
  <c r="A9" i="8"/>
  <c r="BA3" i="11"/>
  <c r="I35" i="11"/>
  <c r="V36" i="11"/>
  <c r="A32" i="8"/>
  <c r="A24" i="8"/>
  <c r="A16" i="8"/>
  <c r="A8" i="8"/>
  <c r="K35" i="11"/>
  <c r="A31" i="8"/>
  <c r="A23" i="8"/>
  <c r="A15" i="8"/>
  <c r="A7" i="8"/>
  <c r="Q35" i="11"/>
  <c r="X37" i="11"/>
  <c r="A30" i="8"/>
  <c r="A22" i="8"/>
  <c r="A14" i="8"/>
  <c r="A6" i="8"/>
  <c r="S35" i="11"/>
  <c r="AJ37" i="11"/>
  <c r="A29" i="8"/>
  <c r="A21" i="8"/>
  <c r="A13" i="8"/>
  <c r="A5" i="8"/>
  <c r="AC35" i="11"/>
  <c r="A28" i="8"/>
  <c r="A20" i="8"/>
  <c r="A12" i="8"/>
  <c r="A4" i="8"/>
  <c r="P34" i="11"/>
  <c r="AG35" i="11"/>
  <c r="A27" i="8"/>
  <c r="A19" i="8"/>
  <c r="A11" i="8"/>
  <c r="X34" i="11"/>
  <c r="AK35" i="11"/>
  <c r="A3" i="8"/>
  <c r="A26" i="8"/>
  <c r="A18" i="8"/>
  <c r="A10" i="8"/>
  <c r="O34" i="12"/>
  <c r="AC34" i="12"/>
  <c r="AG36" i="12"/>
  <c r="N37" i="12"/>
  <c r="AD37" i="12"/>
  <c r="E34" i="12"/>
  <c r="R34" i="12"/>
  <c r="AD34" i="12"/>
  <c r="E36" i="12"/>
  <c r="AK36" i="12"/>
  <c r="Q37" i="12"/>
  <c r="AG37" i="12"/>
  <c r="F34" i="12"/>
  <c r="S34" i="12"/>
  <c r="AE34" i="12"/>
  <c r="R37" i="12"/>
  <c r="AH37" i="12"/>
  <c r="G34" i="12"/>
  <c r="U34" i="12"/>
  <c r="AH34" i="12"/>
  <c r="M36" i="12"/>
  <c r="E37" i="12"/>
  <c r="U37" i="12"/>
  <c r="AK37" i="12"/>
  <c r="J34" i="12"/>
  <c r="V34" i="12"/>
  <c r="AI34" i="12"/>
  <c r="Q36" i="12"/>
  <c r="F37" i="12"/>
  <c r="V37" i="12"/>
  <c r="AL37" i="12"/>
  <c r="K34" i="12"/>
  <c r="W34" i="12"/>
  <c r="AK34" i="12"/>
  <c r="U36" i="12"/>
  <c r="I37" i="12"/>
  <c r="Y37" i="12"/>
  <c r="M34" i="12"/>
  <c r="Z34" i="12"/>
  <c r="AL34" i="12"/>
  <c r="Y36" i="12"/>
  <c r="J37" i="12"/>
  <c r="Z37" i="12"/>
  <c r="X36" i="11"/>
  <c r="AF34" i="11"/>
  <c r="U35" i="11"/>
  <c r="F36" i="11"/>
  <c r="Z36" i="11"/>
  <c r="Y35" i="11"/>
  <c r="H36" i="11"/>
  <c r="AD36" i="11"/>
  <c r="E35" i="11"/>
  <c r="AA35" i="11"/>
  <c r="J36" i="11"/>
  <c r="AF36" i="11"/>
  <c r="N36" i="11"/>
  <c r="AH36" i="11"/>
  <c r="P36" i="11"/>
  <c r="H34" i="11"/>
  <c r="M35" i="11"/>
  <c r="AI35" i="11"/>
  <c r="R36" i="11"/>
  <c r="K37" i="1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L34" i="12"/>
  <c r="T34" i="12"/>
  <c r="AB34" i="12"/>
  <c r="AJ34" i="12"/>
  <c r="I35" i="12"/>
  <c r="Q35" i="12"/>
  <c r="Y35" i="12"/>
  <c r="AG35" i="12"/>
  <c r="F36" i="12"/>
  <c r="N36" i="12"/>
  <c r="V36" i="12"/>
  <c r="AD36" i="12"/>
  <c r="AL36" i="12"/>
  <c r="K37" i="12"/>
  <c r="S37" i="12"/>
  <c r="AA37" i="12"/>
  <c r="AI37" i="12"/>
  <c r="J35" i="12"/>
  <c r="R35" i="12"/>
  <c r="Z35" i="12"/>
  <c r="AH35" i="12"/>
  <c r="G36" i="12"/>
  <c r="O36" i="12"/>
  <c r="W36" i="12"/>
  <c r="AE36" i="12"/>
  <c r="L37" i="12"/>
  <c r="T37" i="12"/>
  <c r="AB37" i="12"/>
  <c r="AJ37" i="12"/>
  <c r="K35" i="12"/>
  <c r="S35" i="12"/>
  <c r="AA35" i="12"/>
  <c r="AI35" i="12"/>
  <c r="H36" i="12"/>
  <c r="P36" i="12"/>
  <c r="X36" i="12"/>
  <c r="AF36" i="12"/>
  <c r="AF41" i="12" s="1"/>
  <c r="L35" i="12"/>
  <c r="T35" i="12"/>
  <c r="AB35" i="12"/>
  <c r="AJ35" i="12"/>
  <c r="A91" i="12"/>
  <c r="A93" i="12"/>
  <c r="A95" i="12"/>
  <c r="A97" i="12"/>
  <c r="A99" i="12"/>
  <c r="A101" i="12"/>
  <c r="A103" i="12"/>
  <c r="A105" i="12"/>
  <c r="A107" i="12"/>
  <c r="H34" i="12"/>
  <c r="P34" i="12"/>
  <c r="X34" i="12"/>
  <c r="AF34" i="12"/>
  <c r="E35" i="12"/>
  <c r="M35" i="12"/>
  <c r="U35" i="12"/>
  <c r="AC35" i="12"/>
  <c r="AK35" i="12"/>
  <c r="J36" i="12"/>
  <c r="R36" i="12"/>
  <c r="Z36" i="12"/>
  <c r="AH36" i="12"/>
  <c r="G37" i="12"/>
  <c r="O37" i="12"/>
  <c r="W37" i="12"/>
  <c r="AE37" i="12"/>
  <c r="I34" i="12"/>
  <c r="Q34" i="12"/>
  <c r="Y34" i="12"/>
  <c r="F35" i="12"/>
  <c r="N35" i="12"/>
  <c r="V35" i="12"/>
  <c r="AD35" i="12"/>
  <c r="AL35" i="12"/>
  <c r="K36" i="12"/>
  <c r="S36" i="12"/>
  <c r="AA36" i="12"/>
  <c r="AI36" i="12"/>
  <c r="H37" i="12"/>
  <c r="P37" i="12"/>
  <c r="X37" i="12"/>
  <c r="G35" i="12"/>
  <c r="O35" i="12"/>
  <c r="W35" i="12"/>
  <c r="AE35" i="12"/>
  <c r="L36" i="12"/>
  <c r="T36" i="12"/>
  <c r="AB36" i="12"/>
  <c r="H35" i="12"/>
  <c r="P35" i="12"/>
  <c r="X35" i="12"/>
  <c r="C115" i="12"/>
  <c r="A82" i="11"/>
  <c r="A84" i="11"/>
  <c r="A106" i="11"/>
  <c r="U108" i="11"/>
  <c r="Q106" i="11"/>
  <c r="U104" i="11"/>
  <c r="Q102" i="11"/>
  <c r="U100" i="11"/>
  <c r="T108" i="11"/>
  <c r="P106" i="11"/>
  <c r="AB104" i="11"/>
  <c r="X102" i="11"/>
  <c r="AJ100" i="11"/>
  <c r="AF98" i="11"/>
  <c r="I107" i="11"/>
  <c r="M105" i="11"/>
  <c r="I103" i="11"/>
  <c r="M101" i="11"/>
  <c r="I99" i="11"/>
  <c r="AG108" i="11"/>
  <c r="AK102" i="11"/>
  <c r="M102" i="11"/>
  <c r="AG100" i="11"/>
  <c r="I100" i="11"/>
  <c r="AK98" i="11"/>
  <c r="M98" i="11"/>
  <c r="AF108" i="11"/>
  <c r="H108" i="11"/>
  <c r="F107" i="11"/>
  <c r="T106" i="11"/>
  <c r="J105" i="11"/>
  <c r="P104" i="11"/>
  <c r="N103" i="11"/>
  <c r="R101" i="11"/>
  <c r="X100" i="11"/>
  <c r="V99" i="11"/>
  <c r="AJ98" i="11"/>
  <c r="O108" i="11"/>
  <c r="AC107" i="11"/>
  <c r="S106" i="11"/>
  <c r="O104" i="11"/>
  <c r="AC103" i="11"/>
  <c r="S102" i="11"/>
  <c r="Y101" i="11"/>
  <c r="O100" i="11"/>
  <c r="AC99" i="11"/>
  <c r="S98" i="11"/>
  <c r="O96" i="11"/>
  <c r="AC95" i="11"/>
  <c r="AJ105" i="11"/>
  <c r="V102" i="11"/>
  <c r="X97" i="11"/>
  <c r="N96" i="11"/>
  <c r="S94" i="11"/>
  <c r="O92" i="11"/>
  <c r="AC91" i="11"/>
  <c r="S90" i="11"/>
  <c r="Y89" i="11"/>
  <c r="O88" i="11"/>
  <c r="AC87" i="11"/>
  <c r="S86" i="11"/>
  <c r="O84" i="11"/>
  <c r="T107" i="11"/>
  <c r="L103" i="11"/>
  <c r="AD100" i="11"/>
  <c r="AA96" i="11"/>
  <c r="Q95" i="11"/>
  <c r="AF93" i="11"/>
  <c r="N102" i="11"/>
  <c r="AF99" i="11"/>
  <c r="Z96" i="11"/>
  <c r="P95" i="11"/>
  <c r="AE93" i="11"/>
  <c r="G93" i="11"/>
  <c r="AI91" i="11"/>
  <c r="AE89" i="11"/>
  <c r="G89" i="11"/>
  <c r="AI87" i="11"/>
  <c r="K87" i="11"/>
  <c r="AE85" i="11"/>
  <c r="G85" i="11"/>
  <c r="AI83" i="11"/>
  <c r="K83" i="11"/>
  <c r="AE81" i="11"/>
  <c r="AD108" i="11"/>
  <c r="AJ103" i="11"/>
  <c r="V100" i="11"/>
  <c r="R97" i="11"/>
  <c r="AD95" i="11"/>
  <c r="H94" i="11"/>
  <c r="V108" i="11"/>
  <c r="AF103" i="11"/>
  <c r="L101" i="11"/>
  <c r="AF97" i="11"/>
  <c r="V96" i="11"/>
  <c r="W94" i="11"/>
  <c r="AK93" i="11"/>
  <c r="AA92" i="11"/>
  <c r="AG91" i="11"/>
  <c r="W90" i="11"/>
  <c r="AK89" i="11"/>
  <c r="AA88" i="11"/>
  <c r="AG87" i="11"/>
  <c r="W86" i="11"/>
  <c r="AK85" i="11"/>
  <c r="AA84" i="11"/>
  <c r="AG83" i="11"/>
  <c r="AB103" i="11"/>
  <c r="H101" i="11"/>
  <c r="N100" i="11"/>
  <c r="M97" i="11"/>
  <c r="S96" i="11"/>
  <c r="Y95" i="11"/>
  <c r="N94" i="11"/>
  <c r="AJ93" i="11"/>
  <c r="AB93" i="11"/>
  <c r="R92" i="11"/>
  <c r="AF91" i="11"/>
  <c r="X91" i="11"/>
  <c r="V90" i="11"/>
  <c r="F90" i="11"/>
  <c r="AJ89" i="11"/>
  <c r="Z88" i="11"/>
  <c r="J88" i="11"/>
  <c r="AF87" i="11"/>
  <c r="AD86" i="11"/>
  <c r="N86" i="11"/>
  <c r="F86" i="11"/>
  <c r="AJ85" i="11"/>
  <c r="AH84" i="11"/>
  <c r="R84" i="11"/>
  <c r="J84" i="11"/>
  <c r="AF83" i="11"/>
  <c r="AL82" i="11"/>
  <c r="V82" i="11"/>
  <c r="N82" i="11"/>
  <c r="F82" i="11"/>
  <c r="F108" i="11"/>
  <c r="F106" i="11"/>
  <c r="L105" i="11"/>
  <c r="R104" i="11"/>
  <c r="J100" i="11"/>
  <c r="W98" i="11"/>
  <c r="F98" i="11"/>
  <c r="AB97" i="11"/>
  <c r="X95" i="11"/>
  <c r="AK94" i="11"/>
  <c r="AC94" i="11"/>
  <c r="U94" i="11"/>
  <c r="S93" i="11"/>
  <c r="AG92" i="11"/>
  <c r="Y92" i="11"/>
  <c r="Q92" i="11"/>
  <c r="AE91" i="11"/>
  <c r="O91" i="11"/>
  <c r="AK90" i="11"/>
  <c r="AC90" i="11"/>
  <c r="U90" i="11"/>
  <c r="AI89" i="11"/>
  <c r="AA89" i="11"/>
  <c r="S89" i="11"/>
  <c r="K89" i="11"/>
  <c r="AG88" i="11"/>
  <c r="Y88" i="11"/>
  <c r="Q88" i="11"/>
  <c r="I88" i="11"/>
  <c r="AE87" i="11"/>
  <c r="W87" i="11"/>
  <c r="O87" i="11"/>
  <c r="G87" i="11"/>
  <c r="AK86" i="11"/>
  <c r="AC86" i="11"/>
  <c r="U86" i="11"/>
  <c r="M86" i="11"/>
  <c r="AI85" i="11"/>
  <c r="AA85" i="11"/>
  <c r="S85" i="11"/>
  <c r="K85" i="11"/>
  <c r="AG84" i="11"/>
  <c r="Y84" i="11"/>
  <c r="Q84" i="11"/>
  <c r="I84" i="11"/>
  <c r="AE83" i="11"/>
  <c r="W83" i="11"/>
  <c r="O83" i="11"/>
  <c r="G83" i="11"/>
  <c r="AK82" i="11"/>
  <c r="AC82" i="11"/>
  <c r="U82" i="11"/>
  <c r="M82" i="11"/>
  <c r="AI81" i="11"/>
  <c r="AA81" i="11"/>
  <c r="S81" i="11"/>
  <c r="AJ107" i="11"/>
  <c r="AH106" i="11"/>
  <c r="H105" i="11"/>
  <c r="N104" i="11"/>
  <c r="T103" i="11"/>
  <c r="Z102" i="11"/>
  <c r="AF101" i="11"/>
  <c r="AL100" i="11"/>
  <c r="F100" i="11"/>
  <c r="L99" i="11"/>
  <c r="V98" i="11"/>
  <c r="Z97" i="11"/>
  <c r="J97" i="11"/>
  <c r="AF96" i="11"/>
  <c r="P96" i="11"/>
  <c r="AL95" i="11"/>
  <c r="V95" i="11"/>
  <c r="F95" i="11"/>
  <c r="AJ94" i="11"/>
  <c r="AB94" i="11"/>
  <c r="T94" i="11"/>
  <c r="L94" i="11"/>
  <c r="AH93" i="11"/>
  <c r="Z93" i="11"/>
  <c r="R93" i="11"/>
  <c r="J93" i="11"/>
  <c r="AF92" i="11"/>
  <c r="X92" i="11"/>
  <c r="P92" i="11"/>
  <c r="H92" i="11"/>
  <c r="AL91" i="11"/>
  <c r="AD91" i="11"/>
  <c r="V91" i="11"/>
  <c r="N91" i="11"/>
  <c r="F91" i="11"/>
  <c r="AJ90" i="11"/>
  <c r="AB90" i="11"/>
  <c r="T90" i="11"/>
  <c r="L90" i="11"/>
  <c r="AH89" i="11"/>
  <c r="Z89" i="11"/>
  <c r="R89" i="11"/>
  <c r="J89" i="11"/>
  <c r="AF88" i="11"/>
  <c r="X88" i="11"/>
  <c r="P88" i="11"/>
  <c r="H88" i="11"/>
  <c r="AL87" i="11"/>
  <c r="AD87" i="11"/>
  <c r="V87" i="11"/>
  <c r="N87" i="11"/>
  <c r="F87" i="11"/>
  <c r="AJ86" i="11"/>
  <c r="AB86" i="11"/>
  <c r="T86" i="11"/>
  <c r="L86" i="11"/>
  <c r="AH85" i="11"/>
  <c r="Z85" i="11"/>
  <c r="R85" i="11"/>
  <c r="J85" i="11"/>
  <c r="AF84" i="11"/>
  <c r="X84" i="11"/>
  <c r="P84" i="11"/>
  <c r="H84" i="11"/>
  <c r="AL83" i="11"/>
  <c r="AD83" i="11"/>
  <c r="V83" i="11"/>
  <c r="N83" i="11"/>
  <c r="F83" i="11"/>
  <c r="AJ82" i="11"/>
  <c r="AB82" i="11"/>
  <c r="T82" i="11"/>
  <c r="AJ92" i="11"/>
  <c r="J91" i="11"/>
  <c r="P90" i="11"/>
  <c r="V89" i="11"/>
  <c r="AB88" i="11"/>
  <c r="AH87" i="11"/>
  <c r="H86" i="11"/>
  <c r="N85" i="11"/>
  <c r="T84" i="11"/>
  <c r="AB83" i="11"/>
  <c r="L83" i="11"/>
  <c r="AH82" i="11"/>
  <c r="R82" i="11"/>
  <c r="AD81" i="11"/>
  <c r="Q81" i="11"/>
  <c r="H81" i="11"/>
  <c r="AL80" i="11"/>
  <c r="AD80" i="11"/>
  <c r="V80" i="11"/>
  <c r="N80" i="11"/>
  <c r="F80" i="11"/>
  <c r="AD92" i="11"/>
  <c r="AJ91" i="11"/>
  <c r="J90" i="11"/>
  <c r="P89" i="11"/>
  <c r="V88" i="11"/>
  <c r="AB87" i="11"/>
  <c r="AH86" i="11"/>
  <c r="H85" i="11"/>
  <c r="N84" i="11"/>
  <c r="Z83" i="11"/>
  <c r="J83" i="11"/>
  <c r="AF82" i="11"/>
  <c r="P82" i="11"/>
  <c r="AC81" i="11"/>
  <c r="P81" i="11"/>
  <c r="G81" i="11"/>
  <c r="AK80" i="11"/>
  <c r="AC80" i="11"/>
  <c r="U80" i="11"/>
  <c r="M80" i="11"/>
  <c r="V93" i="11"/>
  <c r="AB92" i="11"/>
  <c r="AH91" i="11"/>
  <c r="H90" i="11"/>
  <c r="N89" i="11"/>
  <c r="T88" i="11"/>
  <c r="Z87" i="11"/>
  <c r="AF86" i="11"/>
  <c r="AL85" i="11"/>
  <c r="F85" i="11"/>
  <c r="L84" i="11"/>
  <c r="Y83" i="11"/>
  <c r="I83" i="11"/>
  <c r="AE82" i="11"/>
  <c r="O82" i="11"/>
  <c r="Z81" i="11"/>
  <c r="N81" i="11"/>
  <c r="F81" i="11"/>
  <c r="AJ80" i="11"/>
  <c r="AB80" i="11"/>
  <c r="T80" i="11"/>
  <c r="L80" i="11"/>
  <c r="P93" i="11"/>
  <c r="V92" i="11"/>
  <c r="AB91" i="11"/>
  <c r="AH90" i="11"/>
  <c r="H89" i="11"/>
  <c r="N88" i="11"/>
  <c r="T87" i="11"/>
  <c r="Z86" i="11"/>
  <c r="AF85" i="11"/>
  <c r="AL84" i="11"/>
  <c r="F84" i="11"/>
  <c r="U83" i="11"/>
  <c r="AA82" i="11"/>
  <c r="L82" i="11"/>
  <c r="AL81" i="11"/>
  <c r="Y81" i="11"/>
  <c r="M81" i="11"/>
  <c r="AI80" i="11"/>
  <c r="AA80" i="11"/>
  <c r="S80" i="11"/>
  <c r="K80" i="11"/>
  <c r="N93" i="11"/>
  <c r="T92" i="11"/>
  <c r="Z91" i="11"/>
  <c r="AF90" i="11"/>
  <c r="AL89" i="11"/>
  <c r="F89" i="11"/>
  <c r="L88" i="11"/>
  <c r="R87" i="11"/>
  <c r="X86" i="11"/>
  <c r="AD85" i="11"/>
  <c r="AJ84" i="11"/>
  <c r="T83" i="11"/>
  <c r="Z82" i="11"/>
  <c r="K82" i="11"/>
  <c r="AK81" i="11"/>
  <c r="X81" i="11"/>
  <c r="L81" i="11"/>
  <c r="AH80" i="11"/>
  <c r="Z80" i="11"/>
  <c r="R80" i="11"/>
  <c r="J80" i="11"/>
  <c r="H93" i="11"/>
  <c r="N92" i="11"/>
  <c r="T91" i="11"/>
  <c r="Z90" i="11"/>
  <c r="AF89" i="11"/>
  <c r="AL88" i="11"/>
  <c r="F88" i="11"/>
  <c r="L87" i="11"/>
  <c r="R86" i="11"/>
  <c r="X85" i="11"/>
  <c r="AD84" i="11"/>
  <c r="AJ83" i="11"/>
  <c r="R83" i="11"/>
  <c r="X82" i="11"/>
  <c r="J82" i="11"/>
  <c r="AH81" i="11"/>
  <c r="V81" i="11"/>
  <c r="K81" i="11"/>
  <c r="AG80" i="11"/>
  <c r="Y80" i="11"/>
  <c r="Q80" i="11"/>
  <c r="I80" i="11"/>
  <c r="F93" i="11"/>
  <c r="L92" i="11"/>
  <c r="R91" i="11"/>
  <c r="X90" i="11"/>
  <c r="AD89" i="11"/>
  <c r="AJ88" i="11"/>
  <c r="J87" i="11"/>
  <c r="P86" i="11"/>
  <c r="V85" i="11"/>
  <c r="AB84" i="11"/>
  <c r="AH83" i="11"/>
  <c r="Q83" i="11"/>
  <c r="W82" i="11"/>
  <c r="H82" i="11"/>
  <c r="AG81" i="11"/>
  <c r="U81" i="11"/>
  <c r="J81" i="11"/>
  <c r="AF80" i="11"/>
  <c r="X80" i="11"/>
  <c r="P80" i="11"/>
  <c r="H80" i="11"/>
  <c r="AJ87" i="11"/>
  <c r="S82" i="11"/>
  <c r="O80" i="11"/>
  <c r="G82" i="11"/>
  <c r="G80" i="11"/>
  <c r="AL92" i="11"/>
  <c r="J86" i="11"/>
  <c r="AF81" i="11"/>
  <c r="F92" i="11"/>
  <c r="P85" i="11"/>
  <c r="R81" i="11"/>
  <c r="L91" i="11"/>
  <c r="V84" i="11"/>
  <c r="I81" i="11"/>
  <c r="R90" i="11"/>
  <c r="AC83" i="11"/>
  <c r="X89" i="11"/>
  <c r="M83" i="11"/>
  <c r="AE80" i="11"/>
  <c r="AD88" i="11"/>
  <c r="AI82" i="11"/>
  <c r="W80" i="11"/>
  <c r="A80" i="11"/>
  <c r="A89" i="11"/>
  <c r="A105" i="11"/>
  <c r="I34" i="11"/>
  <c r="Q34" i="11"/>
  <c r="Y34" i="11"/>
  <c r="AG34" i="11"/>
  <c r="F35" i="11"/>
  <c r="N35" i="11"/>
  <c r="V35" i="11"/>
  <c r="AD35" i="11"/>
  <c r="AL35" i="11"/>
  <c r="K36" i="11"/>
  <c r="S36" i="11"/>
  <c r="AA36" i="11"/>
  <c r="AI36" i="11"/>
  <c r="L37" i="11"/>
  <c r="Y37" i="11"/>
  <c r="AK37" i="11"/>
  <c r="A87" i="11"/>
  <c r="A107" i="11"/>
  <c r="J34" i="11"/>
  <c r="R34" i="11"/>
  <c r="Z34" i="11"/>
  <c r="AH34" i="11"/>
  <c r="G35" i="11"/>
  <c r="O35" i="11"/>
  <c r="W35" i="11"/>
  <c r="AE35" i="11"/>
  <c r="L36" i="11"/>
  <c r="T36" i="11"/>
  <c r="AB36" i="11"/>
  <c r="AJ36" i="11"/>
  <c r="M37" i="11"/>
  <c r="AA37" i="11"/>
  <c r="A85" i="11"/>
  <c r="K34" i="11"/>
  <c r="S34" i="11"/>
  <c r="AA34" i="11"/>
  <c r="AI34" i="11"/>
  <c r="H35" i="11"/>
  <c r="P35" i="11"/>
  <c r="X35" i="11"/>
  <c r="AF35" i="11"/>
  <c r="E36" i="11"/>
  <c r="M36" i="11"/>
  <c r="U36" i="11"/>
  <c r="AC36" i="11"/>
  <c r="AL36" i="11"/>
  <c r="P37" i="1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L34" i="11"/>
  <c r="T34" i="11"/>
  <c r="AB34" i="11"/>
  <c r="AJ34" i="11"/>
  <c r="AH37" i="11"/>
  <c r="Z37" i="11"/>
  <c r="R37" i="11"/>
  <c r="J37" i="11"/>
  <c r="AE37" i="11"/>
  <c r="W37" i="11"/>
  <c r="O37" i="11"/>
  <c r="G37" i="11"/>
  <c r="AL37" i="11"/>
  <c r="AD37" i="11"/>
  <c r="V37" i="11"/>
  <c r="N37" i="11"/>
  <c r="F37" i="11"/>
  <c r="Q37" i="11"/>
  <c r="AC37" i="11"/>
  <c r="A91" i="11"/>
  <c r="A103" i="11"/>
  <c r="E34" i="11"/>
  <c r="M34" i="11"/>
  <c r="U34" i="11"/>
  <c r="AC34" i="11"/>
  <c r="AK34" i="11"/>
  <c r="J35" i="11"/>
  <c r="R35" i="11"/>
  <c r="Z35" i="11"/>
  <c r="AH35" i="11"/>
  <c r="G36" i="11"/>
  <c r="O36" i="11"/>
  <c r="W36" i="11"/>
  <c r="AE36" i="11"/>
  <c r="E37" i="11"/>
  <c r="S37" i="11"/>
  <c r="AF37" i="11"/>
  <c r="A81" i="11"/>
  <c r="A93" i="11"/>
  <c r="A101" i="11"/>
  <c r="F34" i="11"/>
  <c r="N34" i="11"/>
  <c r="V34" i="11"/>
  <c r="AD34" i="11"/>
  <c r="AL34" i="11"/>
  <c r="H37" i="11"/>
  <c r="T37" i="11"/>
  <c r="AG37" i="11"/>
  <c r="A83" i="11"/>
  <c r="A97" i="11"/>
  <c r="G34" i="11"/>
  <c r="O34" i="11"/>
  <c r="W34" i="11"/>
  <c r="L35" i="11"/>
  <c r="T35" i="11"/>
  <c r="AB35" i="11"/>
  <c r="I36" i="11"/>
  <c r="Q36" i="11"/>
  <c r="Y36" i="11"/>
  <c r="AG36" i="11"/>
  <c r="I37" i="11"/>
  <c r="U37" i="11"/>
  <c r="AI37" i="11"/>
  <c r="C115" i="11"/>
  <c r="A98" i="8"/>
  <c r="A99" i="8" s="1"/>
  <c r="B98" i="8"/>
  <c r="AG87" i="12" l="1"/>
  <c r="Y80" i="12"/>
  <c r="I97" i="12"/>
  <c r="S82" i="12"/>
  <c r="AF92" i="12"/>
  <c r="BA3" i="12"/>
  <c r="W84" i="12"/>
  <c r="AD90" i="12"/>
  <c r="G82" i="12"/>
  <c r="I90" i="12"/>
  <c r="U87" i="12"/>
  <c r="AD83" i="12"/>
  <c r="W83" i="12"/>
  <c r="N90" i="12"/>
  <c r="Z86" i="12"/>
  <c r="W91" i="12"/>
  <c r="G80" i="12"/>
  <c r="U95" i="12"/>
  <c r="S97" i="12"/>
  <c r="AJ82" i="12"/>
  <c r="T81" i="12"/>
  <c r="K83" i="12"/>
  <c r="M85" i="12"/>
  <c r="Z85" i="12"/>
  <c r="Y96" i="12"/>
  <c r="X91" i="12"/>
  <c r="M105" i="12"/>
  <c r="AL86" i="12"/>
  <c r="F84" i="12"/>
  <c r="N94" i="12"/>
  <c r="X90" i="12"/>
  <c r="M108" i="11"/>
  <c r="I106" i="11"/>
  <c r="M104" i="11"/>
  <c r="I102" i="11"/>
  <c r="M100" i="11"/>
  <c r="I98" i="11"/>
  <c r="M96" i="11"/>
  <c r="L108" i="11"/>
  <c r="H106" i="11"/>
  <c r="T104" i="11"/>
  <c r="P102" i="11"/>
  <c r="AB100" i="11"/>
  <c r="X98" i="11"/>
  <c r="AJ96" i="11"/>
  <c r="AI108" i="11"/>
  <c r="AE106" i="11"/>
  <c r="AI104" i="11"/>
  <c r="AE102" i="11"/>
  <c r="AI100" i="11"/>
  <c r="AE98" i="11"/>
  <c r="Y108" i="11"/>
  <c r="AC106" i="11"/>
  <c r="Y104" i="11"/>
  <c r="AC102" i="11"/>
  <c r="Y100" i="11"/>
  <c r="AC98" i="11"/>
  <c r="Y96" i="11"/>
  <c r="X108" i="11"/>
  <c r="AJ106" i="11"/>
  <c r="AF104" i="11"/>
  <c r="F103" i="11"/>
  <c r="J101" i="11"/>
  <c r="N99" i="11"/>
  <c r="G108" i="11"/>
  <c r="K106" i="11"/>
  <c r="G104" i="11"/>
  <c r="K102" i="11"/>
  <c r="G100" i="11"/>
  <c r="K98" i="11"/>
  <c r="G96" i="11"/>
  <c r="J104" i="11"/>
  <c r="H97" i="11"/>
  <c r="K94" i="11"/>
  <c r="G92" i="11"/>
  <c r="K90" i="11"/>
  <c r="G88" i="11"/>
  <c r="K86" i="11"/>
  <c r="G84" i="11"/>
  <c r="R102" i="11"/>
  <c r="K96" i="11"/>
  <c r="X93" i="11"/>
  <c r="T101" i="11"/>
  <c r="J96" i="11"/>
  <c r="W93" i="11"/>
  <c r="AA91" i="11"/>
  <c r="W89" i="11"/>
  <c r="AA87" i="11"/>
  <c r="W85" i="11"/>
  <c r="AA83" i="11"/>
  <c r="W81" i="11"/>
  <c r="J102" i="11"/>
  <c r="X96" i="11"/>
  <c r="AL93" i="11"/>
  <c r="AL102" i="11"/>
  <c r="P97" i="11"/>
  <c r="O94" i="11"/>
  <c r="S92" i="11"/>
  <c r="O90" i="11"/>
  <c r="S88" i="11"/>
  <c r="O86" i="11"/>
  <c r="S84" i="11"/>
  <c r="AH102" i="11"/>
  <c r="AI96" i="11"/>
  <c r="F94" i="11"/>
  <c r="J92" i="11"/>
  <c r="N90" i="11"/>
  <c r="R88" i="11"/>
  <c r="V86" i="11"/>
  <c r="Z84" i="11"/>
  <c r="AD82" i="11"/>
  <c r="AL106" i="11"/>
  <c r="P99" i="11"/>
  <c r="H95" i="11"/>
  <c r="K93" i="11"/>
  <c r="G91" i="11"/>
  <c r="AI107" i="11"/>
  <c r="AE105" i="11"/>
  <c r="AI103" i="11"/>
  <c r="AE101" i="11"/>
  <c r="AI99" i="11"/>
  <c r="AE97" i="11"/>
  <c r="AI95" i="11"/>
  <c r="AH107" i="11"/>
  <c r="AL105" i="11"/>
  <c r="L104" i="11"/>
  <c r="H102" i="11"/>
  <c r="T100" i="11"/>
  <c r="P98" i="11"/>
  <c r="AB96" i="11"/>
  <c r="AA108" i="11"/>
  <c r="W106" i="11"/>
  <c r="AA104" i="11"/>
  <c r="W102" i="11"/>
  <c r="AA100" i="11"/>
  <c r="AH108" i="11"/>
  <c r="Q108" i="11"/>
  <c r="U106" i="11"/>
  <c r="Q104" i="11"/>
  <c r="U102" i="11"/>
  <c r="Q100" i="11"/>
  <c r="U98" i="11"/>
  <c r="Q96" i="11"/>
  <c r="P108" i="11"/>
  <c r="AB106" i="11"/>
  <c r="X104" i="11"/>
  <c r="AJ102" i="11"/>
  <c r="AF100" i="11"/>
  <c r="F99" i="11"/>
  <c r="AK107" i="11"/>
  <c r="AG105" i="11"/>
  <c r="AK103" i="11"/>
  <c r="AG101" i="11"/>
  <c r="AK99" i="11"/>
  <c r="AG97" i="11"/>
  <c r="AK95" i="11"/>
  <c r="P103" i="11"/>
  <c r="AD96" i="11"/>
  <c r="AG93" i="11"/>
  <c r="AK91" i="11"/>
  <c r="AG89" i="11"/>
  <c r="AK87" i="11"/>
  <c r="AG85" i="11"/>
  <c r="AK83" i="11"/>
  <c r="X101" i="11"/>
  <c r="AG95" i="11"/>
  <c r="AL108" i="11"/>
  <c r="Z100" i="11"/>
  <c r="AF95" i="11"/>
  <c r="O93" i="11"/>
  <c r="S91" i="11"/>
  <c r="O89" i="11"/>
  <c r="S87" i="11"/>
  <c r="O85" i="11"/>
  <c r="S83" i="11"/>
  <c r="O81" i="11"/>
  <c r="P101" i="11"/>
  <c r="H96" i="11"/>
  <c r="AD93" i="11"/>
  <c r="F102" i="11"/>
  <c r="AL96" i="11"/>
  <c r="G94" i="11"/>
  <c r="K92" i="11"/>
  <c r="G90" i="11"/>
  <c r="K88" i="11"/>
  <c r="G86" i="11"/>
  <c r="K84" i="11"/>
  <c r="AA107" i="11"/>
  <c r="W105" i="11"/>
  <c r="AA103" i="11"/>
  <c r="W101" i="11"/>
  <c r="AA99" i="11"/>
  <c r="W97" i="11"/>
  <c r="AA95" i="11"/>
  <c r="Z107" i="11"/>
  <c r="AD105" i="11"/>
  <c r="AH103" i="11"/>
  <c r="AL101" i="11"/>
  <c r="L100" i="11"/>
  <c r="H98" i="11"/>
  <c r="T96" i="11"/>
  <c r="S108" i="11"/>
  <c r="O106" i="11"/>
  <c r="S104" i="11"/>
  <c r="O102" i="11"/>
  <c r="S100" i="11"/>
  <c r="Z108" i="11"/>
  <c r="I108" i="11"/>
  <c r="M106" i="11"/>
  <c r="I104" i="11"/>
  <c r="S107" i="11"/>
  <c r="O105" i="11"/>
  <c r="S103" i="11"/>
  <c r="O101" i="11"/>
  <c r="S99" i="11"/>
  <c r="O97" i="11"/>
  <c r="S95" i="11"/>
  <c r="R107" i="11"/>
  <c r="V105" i="11"/>
  <c r="Z103" i="11"/>
  <c r="AD101" i="11"/>
  <c r="AH99" i="11"/>
  <c r="AL97" i="11"/>
  <c r="L96" i="11"/>
  <c r="K108" i="11"/>
  <c r="G106" i="11"/>
  <c r="K104" i="11"/>
  <c r="G102" i="11"/>
  <c r="K100" i="11"/>
  <c r="R108" i="11"/>
  <c r="AE107" i="11"/>
  <c r="AI105" i="11"/>
  <c r="AE103" i="11"/>
  <c r="AI101" i="11"/>
  <c r="AE99" i="11"/>
  <c r="AI97" i="11"/>
  <c r="AE95" i="11"/>
  <c r="AL107" i="11"/>
  <c r="L106" i="11"/>
  <c r="H104" i="11"/>
  <c r="T102" i="11"/>
  <c r="P100" i="11"/>
  <c r="AB98" i="11"/>
  <c r="U107" i="11"/>
  <c r="Q105" i="11"/>
  <c r="U103" i="11"/>
  <c r="Q101" i="11"/>
  <c r="U99" i="11"/>
  <c r="Q97" i="11"/>
  <c r="U95" i="11"/>
  <c r="AB101" i="11"/>
  <c r="AJ95" i="11"/>
  <c r="Q93" i="11"/>
  <c r="U91" i="11"/>
  <c r="Q89" i="11"/>
  <c r="U87" i="11"/>
  <c r="Q85" i="11"/>
  <c r="Z106" i="11"/>
  <c r="AJ99" i="11"/>
  <c r="AH94" i="11"/>
  <c r="V106" i="11"/>
  <c r="AL98" i="11"/>
  <c r="AG94" i="11"/>
  <c r="AK92" i="11"/>
  <c r="AG90" i="11"/>
  <c r="AK88" i="11"/>
  <c r="AG86" i="11"/>
  <c r="AK84" i="11"/>
  <c r="AG82" i="11"/>
  <c r="L107" i="11"/>
  <c r="AB99" i="11"/>
  <c r="N95" i="11"/>
  <c r="H107" i="11"/>
  <c r="R100" i="11"/>
  <c r="F96" i="11"/>
  <c r="AC93" i="11"/>
  <c r="Y91" i="11"/>
  <c r="AC89" i="11"/>
  <c r="Y87" i="11"/>
  <c r="AC85" i="11"/>
  <c r="N108" i="11"/>
  <c r="T99" i="11"/>
  <c r="I95" i="11"/>
  <c r="T93" i="11"/>
  <c r="P91" i="11"/>
  <c r="AB89" i="11"/>
  <c r="X87" i="11"/>
  <c r="K107" i="11"/>
  <c r="G105" i="11"/>
  <c r="K103" i="11"/>
  <c r="G101" i="11"/>
  <c r="K99" i="11"/>
  <c r="G97" i="11"/>
  <c r="K95" i="11"/>
  <c r="J107" i="11"/>
  <c r="N105" i="11"/>
  <c r="R103" i="11"/>
  <c r="V101" i="11"/>
  <c r="Z99" i="11"/>
  <c r="AD97" i="11"/>
  <c r="AH95" i="11"/>
  <c r="AG107" i="11"/>
  <c r="AK105" i="11"/>
  <c r="AG103" i="11"/>
  <c r="AK101" i="11"/>
  <c r="AG99" i="11"/>
  <c r="J108" i="11"/>
  <c r="W107" i="11"/>
  <c r="AA105" i="11"/>
  <c r="W103" i="11"/>
  <c r="AA101" i="11"/>
  <c r="W99" i="11"/>
  <c r="AA97" i="11"/>
  <c r="W95" i="11"/>
  <c r="AD107" i="11"/>
  <c r="AH105" i="11"/>
  <c r="AL103" i="11"/>
  <c r="L102" i="11"/>
  <c r="H100" i="11"/>
  <c r="T98" i="11"/>
  <c r="M107" i="11"/>
  <c r="I105" i="11"/>
  <c r="M103" i="11"/>
  <c r="I101" i="11"/>
  <c r="M99" i="11"/>
  <c r="I97" i="11"/>
  <c r="M95" i="11"/>
  <c r="AH100" i="11"/>
  <c r="T95" i="11"/>
  <c r="I93" i="11"/>
  <c r="M91" i="11"/>
  <c r="I89" i="11"/>
  <c r="M87" i="11"/>
  <c r="I85" i="11"/>
  <c r="AF105" i="11"/>
  <c r="O98" i="11"/>
  <c r="Z94" i="11"/>
  <c r="AB105" i="11"/>
  <c r="N98" i="11"/>
  <c r="Y94" i="11"/>
  <c r="AC92" i="11"/>
  <c r="Y90" i="11"/>
  <c r="AC88" i="11"/>
  <c r="Y86" i="11"/>
  <c r="AC84" i="11"/>
  <c r="Y82" i="11"/>
  <c r="R106" i="11"/>
  <c r="AH98" i="11"/>
  <c r="AF94" i="11"/>
  <c r="N106" i="11"/>
  <c r="X99" i="11"/>
  <c r="AB95" i="11"/>
  <c r="U93" i="11"/>
  <c r="Q91" i="11"/>
  <c r="U89" i="11"/>
  <c r="Q87" i="11"/>
  <c r="U85" i="11"/>
  <c r="J106" i="11"/>
  <c r="Z98" i="11"/>
  <c r="AL94" i="11"/>
  <c r="L93" i="11"/>
  <c r="H91" i="11"/>
  <c r="T89" i="11"/>
  <c r="P87" i="11"/>
  <c r="AB85" i="11"/>
  <c r="X83" i="11"/>
  <c r="AJ81" i="11"/>
  <c r="X103" i="11"/>
  <c r="L97" i="11"/>
  <c r="M94" i="11"/>
  <c r="I92" i="11"/>
  <c r="M90" i="11"/>
  <c r="AK108" i="11"/>
  <c r="AG106" i="11"/>
  <c r="AK104" i="11"/>
  <c r="AG102" i="11"/>
  <c r="AK100" i="11"/>
  <c r="AG98" i="11"/>
  <c r="AK96" i="11"/>
  <c r="AJ108" i="11"/>
  <c r="AF106" i="11"/>
  <c r="F105" i="11"/>
  <c r="J103" i="11"/>
  <c r="N101" i="11"/>
  <c r="R99" i="11"/>
  <c r="V97" i="11"/>
  <c r="Z95" i="11"/>
  <c r="Y107" i="11"/>
  <c r="AC105" i="11"/>
  <c r="Y103" i="11"/>
  <c r="AC101" i="11"/>
  <c r="Y99" i="11"/>
  <c r="AF107" i="11"/>
  <c r="O107" i="11"/>
  <c r="S105" i="11"/>
  <c r="O103" i="11"/>
  <c r="S101" i="11"/>
  <c r="O99" i="11"/>
  <c r="S97" i="11"/>
  <c r="O95" i="11"/>
  <c r="V107" i="11"/>
  <c r="Z105" i="11"/>
  <c r="AD103" i="11"/>
  <c r="AH101" i="11"/>
  <c r="AL99" i="11"/>
  <c r="AE108" i="11"/>
  <c r="AI106" i="11"/>
  <c r="AE104" i="11"/>
  <c r="AI102" i="11"/>
  <c r="AE100" i="11"/>
  <c r="AI98" i="11"/>
  <c r="AE96" i="11"/>
  <c r="AB107" i="11"/>
  <c r="H99" i="11"/>
  <c r="AI94" i="11"/>
  <c r="AE92" i="11"/>
  <c r="AI90" i="11"/>
  <c r="AE88" i="11"/>
  <c r="AI86" i="11"/>
  <c r="AE84" i="11"/>
  <c r="AL104" i="11"/>
  <c r="AK97" i="11"/>
  <c r="R94" i="11"/>
  <c r="AH104" i="11"/>
  <c r="AJ97" i="11"/>
  <c r="Q94" i="11"/>
  <c r="U92" i="11"/>
  <c r="Q90" i="11"/>
  <c r="U88" i="11"/>
  <c r="Q86" i="11"/>
  <c r="U84" i="11"/>
  <c r="Q82" i="11"/>
  <c r="X105" i="11"/>
  <c r="L98" i="11"/>
  <c r="X94" i="11"/>
  <c r="T105" i="11"/>
  <c r="AD98" i="11"/>
  <c r="L95" i="11"/>
  <c r="M93" i="11"/>
  <c r="I91" i="11"/>
  <c r="M89" i="11"/>
  <c r="I87" i="11"/>
  <c r="M85" i="11"/>
  <c r="P105" i="11"/>
  <c r="G98" i="11"/>
  <c r="AD94" i="11"/>
  <c r="AH92" i="11"/>
  <c r="AL90" i="11"/>
  <c r="L89" i="11"/>
  <c r="H87" i="11"/>
  <c r="T85" i="11"/>
  <c r="P83" i="11"/>
  <c r="AB81" i="11"/>
  <c r="AD102" i="11"/>
  <c r="AH96" i="11"/>
  <c r="AI93" i="11"/>
  <c r="AC108" i="11"/>
  <c r="Y106" i="11"/>
  <c r="AC104" i="11"/>
  <c r="Y102" i="11"/>
  <c r="AC100" i="11"/>
  <c r="Y98" i="11"/>
  <c r="AC96" i="11"/>
  <c r="AB108" i="11"/>
  <c r="X106" i="11"/>
  <c r="AJ104" i="11"/>
  <c r="AF102" i="11"/>
  <c r="F101" i="11"/>
  <c r="J99" i="11"/>
  <c r="N97" i="11"/>
  <c r="R95" i="11"/>
  <c r="Q107" i="11"/>
  <c r="U105" i="11"/>
  <c r="Q103" i="11"/>
  <c r="U101" i="11"/>
  <c r="Q99" i="11"/>
  <c r="X107" i="11"/>
  <c r="G107" i="11"/>
  <c r="K105" i="11"/>
  <c r="G103" i="11"/>
  <c r="K101" i="11"/>
  <c r="G99" i="11"/>
  <c r="K97" i="11"/>
  <c r="G95" i="11"/>
  <c r="N107" i="11"/>
  <c r="R105" i="11"/>
  <c r="V103" i="11"/>
  <c r="Z101" i="11"/>
  <c r="AD99" i="11"/>
  <c r="W108" i="11"/>
  <c r="AA106" i="11"/>
  <c r="W104" i="11"/>
  <c r="AA102" i="11"/>
  <c r="W100" i="11"/>
  <c r="AA98" i="11"/>
  <c r="W96" i="11"/>
  <c r="AD106" i="11"/>
  <c r="R98" i="11"/>
  <c r="AA94" i="11"/>
  <c r="W92" i="11"/>
  <c r="AA90" i="11"/>
  <c r="W88" i="11"/>
  <c r="AA86" i="11"/>
  <c r="W84" i="11"/>
  <c r="F104" i="11"/>
  <c r="U97" i="11"/>
  <c r="J94" i="11"/>
  <c r="H103" i="11"/>
  <c r="T97" i="11"/>
  <c r="I94" i="11"/>
  <c r="M92" i="11"/>
  <c r="I90" i="11"/>
  <c r="M88" i="11"/>
  <c r="I86" i="11"/>
  <c r="M84" i="11"/>
  <c r="I82" i="11"/>
  <c r="AD104" i="11"/>
  <c r="AH97" i="11"/>
  <c r="P94" i="11"/>
  <c r="Z104" i="11"/>
  <c r="J98" i="11"/>
  <c r="AE94" i="11"/>
  <c r="AI92" i="11"/>
  <c r="AE90" i="11"/>
  <c r="AI88" i="11"/>
  <c r="AE86" i="11"/>
  <c r="AI84" i="11"/>
  <c r="V104" i="11"/>
  <c r="AC97" i="11"/>
  <c r="V94" i="11"/>
  <c r="Z92" i="11"/>
  <c r="AD90" i="11"/>
  <c r="AH88" i="11"/>
  <c r="AL86" i="11"/>
  <c r="L85" i="11"/>
  <c r="H83" i="11"/>
  <c r="T81" i="11"/>
  <c r="AJ101" i="11"/>
  <c r="R96" i="11"/>
  <c r="AA93" i="11"/>
  <c r="W91" i="11"/>
  <c r="K91" i="11"/>
  <c r="P107" i="11"/>
  <c r="Y85" i="11"/>
  <c r="Y93" i="11"/>
  <c r="Y97" i="11"/>
  <c r="Y105" i="11"/>
  <c r="AB102" i="11"/>
  <c r="I96" i="11"/>
  <c r="AG104" i="11"/>
  <c r="J95" i="11"/>
  <c r="U96" i="11"/>
  <c r="AG96" i="11"/>
  <c r="AK106" i="11"/>
  <c r="F97" i="11"/>
  <c r="Q98" i="11"/>
  <c r="BA4" i="12"/>
  <c r="R95" i="12"/>
  <c r="H83" i="12"/>
  <c r="Y89" i="12"/>
  <c r="G81" i="12"/>
  <c r="AI96" i="12"/>
  <c r="M104" i="12"/>
  <c r="H81" i="12"/>
  <c r="AC82" i="12"/>
  <c r="K88" i="12"/>
  <c r="AA107" i="12"/>
  <c r="AD85" i="12"/>
  <c r="M99" i="12"/>
  <c r="AF80" i="12"/>
  <c r="AE84" i="12"/>
  <c r="R91" i="12"/>
  <c r="AD81" i="12"/>
  <c r="AC89" i="12"/>
  <c r="AC91" i="12"/>
  <c r="AK41" i="11"/>
  <c r="AJ41" i="11"/>
  <c r="R104" i="12"/>
  <c r="H106" i="12"/>
  <c r="AC93" i="12"/>
  <c r="S107" i="12"/>
  <c r="U107" i="12"/>
  <c r="AJ102" i="12"/>
  <c r="O103" i="12"/>
  <c r="AH96" i="12"/>
  <c r="AH107" i="12"/>
  <c r="AL105" i="12"/>
  <c r="L104" i="12"/>
  <c r="H102" i="12"/>
  <c r="T100" i="12"/>
  <c r="S108" i="12"/>
  <c r="O106" i="12"/>
  <c r="AF107" i="12"/>
  <c r="F106" i="12"/>
  <c r="J104" i="12"/>
  <c r="N102" i="12"/>
  <c r="R100" i="12"/>
  <c r="V98" i="12"/>
  <c r="Z96" i="12"/>
  <c r="AD94" i="12"/>
  <c r="G107" i="12"/>
  <c r="K105" i="12"/>
  <c r="G103" i="12"/>
  <c r="H108" i="12"/>
  <c r="T106" i="12"/>
  <c r="P104" i="12"/>
  <c r="AB102" i="12"/>
  <c r="X100" i="12"/>
  <c r="AJ98" i="12"/>
  <c r="AF96" i="12"/>
  <c r="M107" i="12"/>
  <c r="T107" i="12"/>
  <c r="P105" i="12"/>
  <c r="AB103" i="12"/>
  <c r="X101" i="12"/>
  <c r="AJ99" i="12"/>
  <c r="AF97" i="12"/>
  <c r="F96" i="12"/>
  <c r="Q106" i="12"/>
  <c r="M101" i="12"/>
  <c r="AG97" i="12"/>
  <c r="Q95" i="12"/>
  <c r="U93" i="12"/>
  <c r="Q91" i="12"/>
  <c r="AK104" i="12"/>
  <c r="AG100" i="12"/>
  <c r="AC103" i="12"/>
  <c r="U99" i="12"/>
  <c r="AI95" i="12"/>
  <c r="S93" i="12"/>
  <c r="O91" i="12"/>
  <c r="S89" i="12"/>
  <c r="O87" i="12"/>
  <c r="S85" i="12"/>
  <c r="O83" i="12"/>
  <c r="W101" i="12"/>
  <c r="AC97" i="12"/>
  <c r="AC94" i="12"/>
  <c r="X92" i="12"/>
  <c r="AJ90" i="12"/>
  <c r="AF88" i="12"/>
  <c r="F87" i="12"/>
  <c r="AC104" i="12"/>
  <c r="AG99" i="12"/>
  <c r="AG95" i="12"/>
  <c r="Q93" i="12"/>
  <c r="U91" i="12"/>
  <c r="I105" i="12"/>
  <c r="AE99" i="12"/>
  <c r="AI102" i="12"/>
  <c r="AK98" i="12"/>
  <c r="M96" i="12"/>
  <c r="AE93" i="12"/>
  <c r="AI91" i="12"/>
  <c r="AE89" i="12"/>
  <c r="AI87" i="12"/>
  <c r="AE85" i="12"/>
  <c r="AI83" i="12"/>
  <c r="O95" i="12"/>
  <c r="H90" i="12"/>
  <c r="R87" i="12"/>
  <c r="R84" i="12"/>
  <c r="K82" i="12"/>
  <c r="AE96" i="12"/>
  <c r="H91" i="12"/>
  <c r="Q87" i="12"/>
  <c r="P84" i="12"/>
  <c r="J82" i="12"/>
  <c r="Z107" i="12"/>
  <c r="AD105" i="12"/>
  <c r="AH103" i="12"/>
  <c r="AL101" i="12"/>
  <c r="L100" i="12"/>
  <c r="K108" i="12"/>
  <c r="G106" i="12"/>
  <c r="X107" i="12"/>
  <c r="AJ105" i="12"/>
  <c r="AF103" i="12"/>
  <c r="F102" i="12"/>
  <c r="J100" i="12"/>
  <c r="N98" i="12"/>
  <c r="R96" i="12"/>
  <c r="AG108" i="12"/>
  <c r="AK106" i="12"/>
  <c r="AG104" i="12"/>
  <c r="AK102" i="12"/>
  <c r="AL107" i="12"/>
  <c r="L106" i="12"/>
  <c r="H104" i="12"/>
  <c r="T102" i="12"/>
  <c r="P100" i="12"/>
  <c r="AB98" i="12"/>
  <c r="AE108" i="12"/>
  <c r="AL108" i="12"/>
  <c r="L107" i="12"/>
  <c r="H105" i="12"/>
  <c r="T103" i="12"/>
  <c r="P101" i="12"/>
  <c r="AB99" i="12"/>
  <c r="X97" i="12"/>
  <c r="AJ95" i="12"/>
  <c r="W105" i="12"/>
  <c r="AI100" i="12"/>
  <c r="U97" i="12"/>
  <c r="F95" i="12"/>
  <c r="M93" i="12"/>
  <c r="I91" i="12"/>
  <c r="O104" i="12"/>
  <c r="Q100" i="12"/>
  <c r="I103" i="12"/>
  <c r="AE98" i="12"/>
  <c r="Y95" i="12"/>
  <c r="K93" i="12"/>
  <c r="G91" i="12"/>
  <c r="K89" i="12"/>
  <c r="G87" i="12"/>
  <c r="K85" i="12"/>
  <c r="U108" i="12"/>
  <c r="G101" i="12"/>
  <c r="O97" i="12"/>
  <c r="T94" i="12"/>
  <c r="P92" i="12"/>
  <c r="AB90" i="12"/>
  <c r="X88" i="12"/>
  <c r="AJ86" i="12"/>
  <c r="G104" i="12"/>
  <c r="Q99" i="12"/>
  <c r="V95" i="12"/>
  <c r="I93" i="12"/>
  <c r="M91" i="12"/>
  <c r="AA104" i="12"/>
  <c r="O99" i="12"/>
  <c r="O102" i="12"/>
  <c r="X98" i="12"/>
  <c r="AD95" i="12"/>
  <c r="W93" i="12"/>
  <c r="AA91" i="12"/>
  <c r="W89" i="12"/>
  <c r="AA87" i="12"/>
  <c r="W85" i="12"/>
  <c r="AA83" i="12"/>
  <c r="X94" i="12"/>
  <c r="AF89" i="12"/>
  <c r="AE86" i="12"/>
  <c r="G84" i="12"/>
  <c r="AG81" i="12"/>
  <c r="R107" i="12"/>
  <c r="V105" i="12"/>
  <c r="Z103" i="12"/>
  <c r="AD101" i="12"/>
  <c r="AH99" i="12"/>
  <c r="AG107" i="12"/>
  <c r="AK105" i="12"/>
  <c r="P107" i="12"/>
  <c r="AB105" i="12"/>
  <c r="X103" i="12"/>
  <c r="AJ101" i="12"/>
  <c r="AF99" i="12"/>
  <c r="F98" i="12"/>
  <c r="J96" i="12"/>
  <c r="Y108" i="12"/>
  <c r="AC106" i="12"/>
  <c r="Y104" i="12"/>
  <c r="AC102" i="12"/>
  <c r="AD107" i="12"/>
  <c r="AH105" i="12"/>
  <c r="AL103" i="12"/>
  <c r="L102" i="12"/>
  <c r="H100" i="12"/>
  <c r="T98" i="12"/>
  <c r="W108" i="12"/>
  <c r="AD108" i="12"/>
  <c r="AH106" i="12"/>
  <c r="AL104" i="12"/>
  <c r="L103" i="12"/>
  <c r="H101" i="12"/>
  <c r="T99" i="12"/>
  <c r="P97" i="12"/>
  <c r="AB95" i="12"/>
  <c r="S104" i="12"/>
  <c r="S100" i="12"/>
  <c r="G97" i="12"/>
  <c r="AG94" i="12"/>
  <c r="AI92" i="12"/>
  <c r="AE90" i="12"/>
  <c r="AG103" i="12"/>
  <c r="W99" i="12"/>
  <c r="Y102" i="12"/>
  <c r="Q98" i="12"/>
  <c r="N95" i="12"/>
  <c r="AG92" i="12"/>
  <c r="AK90" i="12"/>
  <c r="AG88" i="12"/>
  <c r="AK86" i="12"/>
  <c r="AG84" i="12"/>
  <c r="AI106" i="12"/>
  <c r="AC100" i="12"/>
  <c r="AB96" i="12"/>
  <c r="L94" i="12"/>
  <c r="H92" i="12"/>
  <c r="T90" i="12"/>
  <c r="P88" i="12"/>
  <c r="AB86" i="12"/>
  <c r="Y103" i="12"/>
  <c r="AA98" i="12"/>
  <c r="K95" i="12"/>
  <c r="AE92" i="12"/>
  <c r="AI90" i="12"/>
  <c r="U103" i="12"/>
  <c r="AI107" i="12"/>
  <c r="AG101" i="12"/>
  <c r="K98" i="12"/>
  <c r="S95" i="12"/>
  <c r="O93" i="12"/>
  <c r="S91" i="12"/>
  <c r="O89" i="12"/>
  <c r="S87" i="12"/>
  <c r="O85" i="12"/>
  <c r="S83" i="12"/>
  <c r="T93" i="12"/>
  <c r="T89" i="12"/>
  <c r="R86" i="12"/>
  <c r="AH83" i="12"/>
  <c r="Y81" i="12"/>
  <c r="V94" i="12"/>
  <c r="G90" i="12"/>
  <c r="P86" i="12"/>
  <c r="AG83" i="12"/>
  <c r="X81" i="12"/>
  <c r="G95" i="12"/>
  <c r="F90" i="12"/>
  <c r="J107" i="12"/>
  <c r="N105" i="12"/>
  <c r="R103" i="12"/>
  <c r="V101" i="12"/>
  <c r="Z99" i="12"/>
  <c r="Y107" i="12"/>
  <c r="AC105" i="12"/>
  <c r="H107" i="12"/>
  <c r="T105" i="12"/>
  <c r="P103" i="12"/>
  <c r="AB101" i="12"/>
  <c r="X99" i="12"/>
  <c r="AJ97" i="12"/>
  <c r="AF95" i="12"/>
  <c r="Q108" i="12"/>
  <c r="U106" i="12"/>
  <c r="Q104" i="12"/>
  <c r="U102" i="12"/>
  <c r="V107" i="12"/>
  <c r="Z105" i="12"/>
  <c r="AD103" i="12"/>
  <c r="AH101" i="12"/>
  <c r="AL99" i="12"/>
  <c r="L98" i="12"/>
  <c r="O108" i="12"/>
  <c r="V108" i="12"/>
  <c r="Z106" i="12"/>
  <c r="AD104" i="12"/>
  <c r="AH102" i="12"/>
  <c r="AL100" i="12"/>
  <c r="L99" i="12"/>
  <c r="H97" i="12"/>
  <c r="T95" i="12"/>
  <c r="AI103" i="12"/>
  <c r="Y99" i="12"/>
  <c r="AG96" i="12"/>
  <c r="W94" i="12"/>
  <c r="AA92" i="12"/>
  <c r="W90" i="12"/>
  <c r="K103" i="12"/>
  <c r="AC108" i="12"/>
  <c r="Y101" i="12"/>
  <c r="AD97" i="12"/>
  <c r="AE94" i="12"/>
  <c r="Y92" i="12"/>
  <c r="AC90" i="12"/>
  <c r="Y88" i="12"/>
  <c r="AC86" i="12"/>
  <c r="Y84" i="12"/>
  <c r="O105" i="12"/>
  <c r="M100" i="12"/>
  <c r="Q96" i="12"/>
  <c r="AH93" i="12"/>
  <c r="AL91" i="12"/>
  <c r="L90" i="12"/>
  <c r="H88" i="12"/>
  <c r="T86" i="12"/>
  <c r="S102" i="12"/>
  <c r="O98" i="12"/>
  <c r="AB94" i="12"/>
  <c r="W92" i="12"/>
  <c r="AA90" i="12"/>
  <c r="Q102" i="12"/>
  <c r="Y106" i="12"/>
  <c r="Q101" i="12"/>
  <c r="AK97" i="12"/>
  <c r="I95" i="12"/>
  <c r="G93" i="12"/>
  <c r="K91" i="12"/>
  <c r="G89" i="12"/>
  <c r="K87" i="12"/>
  <c r="G85" i="12"/>
  <c r="U104" i="12"/>
  <c r="AJ92" i="12"/>
  <c r="F89" i="12"/>
  <c r="F86" i="12"/>
  <c r="X83" i="12"/>
  <c r="Q81" i="12"/>
  <c r="AL93" i="12"/>
  <c r="AD89" i="12"/>
  <c r="AF85" i="12"/>
  <c r="V83" i="12"/>
  <c r="P81" i="12"/>
  <c r="AJ108" i="12"/>
  <c r="AF106" i="12"/>
  <c r="F105" i="12"/>
  <c r="J103" i="12"/>
  <c r="N101" i="12"/>
  <c r="R99" i="12"/>
  <c r="Q107" i="12"/>
  <c r="AH108" i="12"/>
  <c r="AL106" i="12"/>
  <c r="L105" i="12"/>
  <c r="H103" i="12"/>
  <c r="T101" i="12"/>
  <c r="P99" i="12"/>
  <c r="AB97" i="12"/>
  <c r="X95" i="12"/>
  <c r="I108" i="12"/>
  <c r="M106" i="12"/>
  <c r="I104" i="12"/>
  <c r="M102" i="12"/>
  <c r="N107" i="12"/>
  <c r="R105" i="12"/>
  <c r="V103" i="12"/>
  <c r="Z101" i="12"/>
  <c r="AD99" i="12"/>
  <c r="AH97" i="12"/>
  <c r="G108" i="12"/>
  <c r="N108" i="12"/>
  <c r="R106" i="12"/>
  <c r="V104" i="12"/>
  <c r="Z102" i="12"/>
  <c r="AD100" i="12"/>
  <c r="AH98" i="12"/>
  <c r="AL96" i="12"/>
  <c r="L95" i="12"/>
  <c r="M103" i="12"/>
  <c r="I99" i="12"/>
  <c r="U96" i="12"/>
  <c r="O94" i="12"/>
  <c r="S92" i="12"/>
  <c r="AK108" i="12"/>
  <c r="AA102" i="12"/>
  <c r="I106" i="12"/>
  <c r="I101" i="12"/>
  <c r="Q97" i="12"/>
  <c r="U94" i="12"/>
  <c r="Q92" i="12"/>
  <c r="U90" i="12"/>
  <c r="Q88" i="12"/>
  <c r="U86" i="12"/>
  <c r="Q84" i="12"/>
  <c r="AE104" i="12"/>
  <c r="AI99" i="12"/>
  <c r="G96" i="12"/>
  <c r="Z93" i="12"/>
  <c r="AD91" i="12"/>
  <c r="AH89" i="12"/>
  <c r="AL87" i="12"/>
  <c r="L86" i="12"/>
  <c r="AK101" i="12"/>
  <c r="AA97" i="12"/>
  <c r="S94" i="12"/>
  <c r="O92" i="12"/>
  <c r="S90" i="12"/>
  <c r="AI101" i="12"/>
  <c r="AE105" i="12"/>
  <c r="W100" i="12"/>
  <c r="W97" i="12"/>
  <c r="AJ94" i="12"/>
  <c r="AK92" i="12"/>
  <c r="AG90" i="12"/>
  <c r="AK88" i="12"/>
  <c r="AG86" i="12"/>
  <c r="AK84" i="12"/>
  <c r="U100" i="12"/>
  <c r="N92" i="12"/>
  <c r="AE88" i="12"/>
  <c r="AG85" i="12"/>
  <c r="M83" i="12"/>
  <c r="T108" i="12"/>
  <c r="P106" i="12"/>
  <c r="AB104" i="12"/>
  <c r="X102" i="12"/>
  <c r="AJ100" i="12"/>
  <c r="AI108" i="12"/>
  <c r="AE106" i="12"/>
  <c r="R108" i="12"/>
  <c r="V106" i="12"/>
  <c r="Z104" i="12"/>
  <c r="AD102" i="12"/>
  <c r="AH100" i="12"/>
  <c r="AL98" i="12"/>
  <c r="L97" i="12"/>
  <c r="H95" i="12"/>
  <c r="W107" i="12"/>
  <c r="AA105" i="12"/>
  <c r="W103" i="12"/>
  <c r="X108" i="12"/>
  <c r="AJ106" i="12"/>
  <c r="AF104" i="12"/>
  <c r="F103" i="12"/>
  <c r="J101" i="12"/>
  <c r="N99" i="12"/>
  <c r="R97" i="12"/>
  <c r="AC107" i="12"/>
  <c r="AJ107" i="12"/>
  <c r="AF105" i="12"/>
  <c r="F104" i="12"/>
  <c r="J102" i="12"/>
  <c r="N100" i="12"/>
  <c r="R98" i="12"/>
  <c r="V96" i="12"/>
  <c r="Z94" i="12"/>
  <c r="I102" i="12"/>
  <c r="U98" i="12"/>
  <c r="AL95" i="12"/>
  <c r="AK93" i="12"/>
  <c r="AG91" i="12"/>
  <c r="K106" i="12"/>
  <c r="AA101" i="12"/>
  <c r="AI104" i="12"/>
  <c r="O100" i="12"/>
  <c r="S96" i="12"/>
  <c r="AI93" i="12"/>
  <c r="AE91" i="12"/>
  <c r="AI89" i="12"/>
  <c r="AE87" i="12"/>
  <c r="AI85" i="12"/>
  <c r="AE83" i="12"/>
  <c r="AA103" i="12"/>
  <c r="AC98" i="12"/>
  <c r="W95" i="12"/>
  <c r="J93" i="12"/>
  <c r="N91" i="12"/>
  <c r="R89" i="12"/>
  <c r="V87" i="12"/>
  <c r="AG106" i="12"/>
  <c r="AA100" i="12"/>
  <c r="AA96" i="12"/>
  <c r="AG93" i="12"/>
  <c r="AK91" i="12"/>
  <c r="AA106" i="12"/>
  <c r="Y100" i="12"/>
  <c r="W104" i="12"/>
  <c r="AC99" i="12"/>
  <c r="AJ96" i="12"/>
  <c r="Q94" i="12"/>
  <c r="U92" i="12"/>
  <c r="Q90" i="12"/>
  <c r="U88" i="12"/>
  <c r="Q86" i="12"/>
  <c r="U84" i="12"/>
  <c r="AE97" i="12"/>
  <c r="J91" i="12"/>
  <c r="F88" i="12"/>
  <c r="L85" i="12"/>
  <c r="AA82" i="12"/>
  <c r="W98" i="12"/>
  <c r="L92" i="12"/>
  <c r="R88" i="12"/>
  <c r="AL84" i="12"/>
  <c r="Z82" i="12"/>
  <c r="S98" i="12"/>
  <c r="AD92" i="12"/>
  <c r="W80" i="12"/>
  <c r="O80" i="12"/>
  <c r="J81" i="12"/>
  <c r="F83" i="12"/>
  <c r="X85" i="12"/>
  <c r="G88" i="12"/>
  <c r="L91" i="12"/>
  <c r="I96" i="12"/>
  <c r="AG80" i="12"/>
  <c r="AK82" i="12"/>
  <c r="N85" i="12"/>
  <c r="AH87" i="12"/>
  <c r="AF90" i="12"/>
  <c r="L96" i="12"/>
  <c r="AB81" i="12"/>
  <c r="Q83" i="12"/>
  <c r="AK85" i="12"/>
  <c r="W88" i="12"/>
  <c r="V92" i="12"/>
  <c r="G98" i="12"/>
  <c r="O82" i="12"/>
  <c r="AH84" i="12"/>
  <c r="L87" i="12"/>
  <c r="AL89" i="12"/>
  <c r="AK94" i="12"/>
  <c r="L80" i="12"/>
  <c r="AL81" i="12"/>
  <c r="N84" i="12"/>
  <c r="M87" i="12"/>
  <c r="F92" i="12"/>
  <c r="M98" i="12"/>
  <c r="O81" i="12"/>
  <c r="U83" i="12"/>
  <c r="O86" i="12"/>
  <c r="V90" i="12"/>
  <c r="V97" i="12"/>
  <c r="AA84" i="12"/>
  <c r="AB91" i="12"/>
  <c r="AI82" i="12"/>
  <c r="Y98" i="12"/>
  <c r="Y90" i="12"/>
  <c r="G100" i="12"/>
  <c r="G92" i="12"/>
  <c r="M108" i="12"/>
  <c r="R93" i="12"/>
  <c r="I84" i="12"/>
  <c r="I92" i="12"/>
  <c r="Q105" i="12"/>
  <c r="G94" i="12"/>
  <c r="AH94" i="12"/>
  <c r="R102" i="12"/>
  <c r="AK107" i="12"/>
  <c r="N103" i="12"/>
  <c r="AE103" i="12"/>
  <c r="T97" i="12"/>
  <c r="AH104" i="12"/>
  <c r="J99" i="12"/>
  <c r="X106" i="12"/>
  <c r="J80" i="12"/>
  <c r="AE80" i="12"/>
  <c r="R81" i="12"/>
  <c r="N83" i="12"/>
  <c r="AH85" i="12"/>
  <c r="T88" i="12"/>
  <c r="AH91" i="12"/>
  <c r="AK96" i="12"/>
  <c r="K81" i="12"/>
  <c r="G83" i="12"/>
  <c r="Y85" i="12"/>
  <c r="J88" i="12"/>
  <c r="P91" i="12"/>
  <c r="F97" i="12"/>
  <c r="AJ81" i="12"/>
  <c r="AB83" i="12"/>
  <c r="J86" i="12"/>
  <c r="AJ88" i="12"/>
  <c r="F93" i="12"/>
  <c r="AE101" i="12"/>
  <c r="W82" i="12"/>
  <c r="F85" i="12"/>
  <c r="Y87" i="12"/>
  <c r="P90" i="12"/>
  <c r="AC95" i="12"/>
  <c r="T80" i="12"/>
  <c r="H82" i="12"/>
  <c r="X84" i="12"/>
  <c r="Z87" i="12"/>
  <c r="AB92" i="12"/>
  <c r="K99" i="12"/>
  <c r="W81" i="12"/>
  <c r="AF83" i="12"/>
  <c r="AA86" i="12"/>
  <c r="Z91" i="12"/>
  <c r="AA99" i="12"/>
  <c r="J85" i="12"/>
  <c r="AH92" i="12"/>
  <c r="AB84" i="12"/>
  <c r="M84" i="12"/>
  <c r="M92" i="12"/>
  <c r="S103" i="12"/>
  <c r="Y93" i="12"/>
  <c r="N87" i="12"/>
  <c r="M95" i="12"/>
  <c r="AA85" i="12"/>
  <c r="AA93" i="12"/>
  <c r="K101" i="12"/>
  <c r="AA95" i="12"/>
  <c r="N96" i="12"/>
  <c r="AJ103" i="12"/>
  <c r="J97" i="12"/>
  <c r="X104" i="12"/>
  <c r="S105" i="12"/>
  <c r="AD98" i="12"/>
  <c r="N106" i="12"/>
  <c r="AB100" i="12"/>
  <c r="L108" i="12"/>
  <c r="S80" i="12"/>
  <c r="Z80" i="12"/>
  <c r="R80" i="12"/>
  <c r="Z81" i="12"/>
  <c r="Y83" i="12"/>
  <c r="G86" i="12"/>
  <c r="AH88" i="12"/>
  <c r="R92" i="12"/>
  <c r="AI97" i="12"/>
  <c r="S81" i="12"/>
  <c r="P83" i="12"/>
  <c r="AJ85" i="12"/>
  <c r="V88" i="12"/>
  <c r="AJ91" i="12"/>
  <c r="AL97" i="12"/>
  <c r="F82" i="12"/>
  <c r="AL83" i="12"/>
  <c r="W86" i="12"/>
  <c r="L89" i="12"/>
  <c r="AB93" i="12"/>
  <c r="S106" i="12"/>
  <c r="AE82" i="12"/>
  <c r="Q85" i="12"/>
  <c r="AK87" i="12"/>
  <c r="AL90" i="12"/>
  <c r="T96" i="12"/>
  <c r="AB80" i="12"/>
  <c r="P82" i="12"/>
  <c r="AI84" i="12"/>
  <c r="N88" i="12"/>
  <c r="L93" i="12"/>
  <c r="AG102" i="12"/>
  <c r="AE81" i="12"/>
  <c r="O84" i="12"/>
  <c r="P87" i="12"/>
  <c r="J92" i="12"/>
  <c r="Q103" i="12"/>
  <c r="U85" i="12"/>
  <c r="P93" i="12"/>
  <c r="V85" i="12"/>
  <c r="AC84" i="12"/>
  <c r="AC92" i="12"/>
  <c r="G105" i="12"/>
  <c r="K94" i="12"/>
  <c r="AD87" i="12"/>
  <c r="AH95" i="12"/>
  <c r="M86" i="12"/>
  <c r="M94" i="12"/>
  <c r="G102" i="12"/>
  <c r="K96" i="12"/>
  <c r="AD96" i="12"/>
  <c r="N104" i="12"/>
  <c r="Z97" i="12"/>
  <c r="J105" i="12"/>
  <c r="AI105" i="12"/>
  <c r="H99" i="12"/>
  <c r="AD106" i="12"/>
  <c r="F101" i="12"/>
  <c r="AB108" i="12"/>
  <c r="AF101" i="12"/>
  <c r="AI80" i="12"/>
  <c r="K80" i="12"/>
  <c r="AH80" i="12"/>
  <c r="AH81" i="12"/>
  <c r="AJ83" i="12"/>
  <c r="S86" i="12"/>
  <c r="H89" i="12"/>
  <c r="AL92" i="12"/>
  <c r="AF98" i="12"/>
  <c r="AA81" i="12"/>
  <c r="Z83" i="12"/>
  <c r="H86" i="12"/>
  <c r="AI88" i="12"/>
  <c r="T92" i="12"/>
  <c r="AI98" i="12"/>
  <c r="N82" i="12"/>
  <c r="K84" i="12"/>
  <c r="AI86" i="12"/>
  <c r="X89" i="12"/>
  <c r="J94" i="12"/>
  <c r="M81" i="12"/>
  <c r="I83" i="12"/>
  <c r="AB85" i="12"/>
  <c r="L88" i="12"/>
  <c r="T91" i="12"/>
  <c r="M97" i="12"/>
  <c r="AJ80" i="12"/>
  <c r="X82" i="12"/>
  <c r="H85" i="12"/>
  <c r="AA88" i="12"/>
  <c r="AF93" i="12"/>
  <c r="M80" i="12"/>
  <c r="I82" i="12"/>
  <c r="Z84" i="12"/>
  <c r="AB87" i="12"/>
  <c r="N93" i="12"/>
  <c r="AF81" i="12"/>
  <c r="AD86" i="12"/>
  <c r="J95" i="12"/>
  <c r="AF87" i="12"/>
  <c r="I86" i="12"/>
  <c r="I94" i="12"/>
  <c r="I100" i="12"/>
  <c r="P96" i="12"/>
  <c r="J89" i="12"/>
  <c r="P98" i="12"/>
  <c r="W87" i="12"/>
  <c r="H96" i="12"/>
  <c r="U105" i="12"/>
  <c r="H98" i="12"/>
  <c r="J98" i="12"/>
  <c r="X105" i="12"/>
  <c r="F99" i="12"/>
  <c r="AB106" i="12"/>
  <c r="O107" i="12"/>
  <c r="Z100" i="12"/>
  <c r="J108" i="12"/>
  <c r="P102" i="12"/>
  <c r="F80" i="12"/>
  <c r="AA80" i="12"/>
  <c r="H80" i="12"/>
  <c r="L82" i="12"/>
  <c r="H84" i="12"/>
  <c r="AF86" i="12"/>
  <c r="U89" i="12"/>
  <c r="V93" i="12"/>
  <c r="AK100" i="12"/>
  <c r="AI81" i="12"/>
  <c r="AK83" i="12"/>
  <c r="V86" i="12"/>
  <c r="I89" i="12"/>
  <c r="X93" i="12"/>
  <c r="O101" i="12"/>
  <c r="V82" i="12"/>
  <c r="V84" i="12"/>
  <c r="J87" i="12"/>
  <c r="AK89" i="12"/>
  <c r="AI94" i="12"/>
  <c r="U81" i="12"/>
  <c r="R83" i="12"/>
  <c r="AL85" i="12"/>
  <c r="Z88" i="12"/>
  <c r="Z92" i="12"/>
  <c r="I98" i="12"/>
  <c r="F81" i="12"/>
  <c r="AF82" i="12"/>
  <c r="R85" i="12"/>
  <c r="N89" i="12"/>
  <c r="P94" i="12"/>
  <c r="U80" i="12"/>
  <c r="Q82" i="12"/>
  <c r="AJ84" i="12"/>
  <c r="O88" i="12"/>
  <c r="AJ93" i="12"/>
  <c r="R82" i="12"/>
  <c r="AC87" i="12"/>
  <c r="Y97" i="12"/>
  <c r="S88" i="12"/>
  <c r="Y86" i="12"/>
  <c r="Y94" i="12"/>
  <c r="S101" i="12"/>
  <c r="N97" i="12"/>
  <c r="Z89" i="12"/>
  <c r="S99" i="12"/>
  <c r="I88" i="12"/>
  <c r="AC96" i="12"/>
  <c r="K107" i="12"/>
  <c r="AG98" i="12"/>
  <c r="Z98" i="12"/>
  <c r="J106" i="12"/>
  <c r="V99" i="12"/>
  <c r="F107" i="12"/>
  <c r="AE107" i="12"/>
  <c r="L101" i="12"/>
  <c r="Z108" i="12"/>
  <c r="AF102" i="12"/>
  <c r="V80" i="12"/>
  <c r="N80" i="12"/>
  <c r="P80" i="12"/>
  <c r="T82" i="12"/>
  <c r="S84" i="12"/>
  <c r="H87" i="12"/>
  <c r="AG89" i="12"/>
  <c r="F94" i="12"/>
  <c r="I80" i="12"/>
  <c r="M82" i="12"/>
  <c r="J84" i="12"/>
  <c r="AH86" i="12"/>
  <c r="V89" i="12"/>
  <c r="H94" i="12"/>
  <c r="Y105" i="12"/>
  <c r="AD82" i="12"/>
  <c r="AF84" i="12"/>
  <c r="X87" i="12"/>
  <c r="O90" i="12"/>
  <c r="Z95" i="12"/>
  <c r="AC81" i="12"/>
  <c r="AC83" i="12"/>
  <c r="K86" i="12"/>
  <c r="AL88" i="12"/>
  <c r="H93" i="12"/>
  <c r="G99" i="12"/>
  <c r="N81" i="12"/>
  <c r="J83" i="12"/>
  <c r="AC85" i="12"/>
  <c r="AB89" i="12"/>
  <c r="AE95" i="12"/>
  <c r="AC80" i="12"/>
  <c r="Y82" i="12"/>
  <c r="I85" i="12"/>
  <c r="AB88" i="12"/>
  <c r="R94" i="12"/>
  <c r="AH82" i="12"/>
  <c r="AD88" i="12"/>
  <c r="AK103" i="12"/>
  <c r="Z90" i="12"/>
  <c r="M88" i="12"/>
  <c r="X96" i="12"/>
  <c r="AG105" i="12"/>
  <c r="K100" i="12"/>
  <c r="F91" i="12"/>
  <c r="W102" i="12"/>
  <c r="AA89" i="12"/>
  <c r="AK99" i="12"/>
  <c r="Y91" i="12"/>
  <c r="AC101" i="12"/>
  <c r="F100" i="12"/>
  <c r="AB107" i="12"/>
  <c r="AF100" i="12"/>
  <c r="P108" i="12"/>
  <c r="AL94" i="12"/>
  <c r="V102" i="12"/>
  <c r="W106" i="12"/>
  <c r="T104" i="12"/>
  <c r="AL80" i="12"/>
  <c r="AD80" i="12"/>
  <c r="X80" i="12"/>
  <c r="AB82" i="12"/>
  <c r="AD84" i="12"/>
  <c r="T87" i="12"/>
  <c r="J90" i="12"/>
  <c r="AA94" i="12"/>
  <c r="Q80" i="12"/>
  <c r="U82" i="12"/>
  <c r="T84" i="12"/>
  <c r="I87" i="12"/>
  <c r="AJ89" i="12"/>
  <c r="AF94" i="12"/>
  <c r="L81" i="12"/>
  <c r="AL82" i="12"/>
  <c r="P85" i="12"/>
  <c r="AJ87" i="12"/>
  <c r="AH90" i="12"/>
  <c r="O96" i="12"/>
  <c r="AK81" i="12"/>
  <c r="L84" i="12"/>
  <c r="X86" i="12"/>
  <c r="M89" i="12"/>
  <c r="AD93" i="12"/>
  <c r="K102" i="12"/>
  <c r="V81" i="12"/>
  <c r="T83" i="12"/>
  <c r="N86" i="12"/>
  <c r="R90" i="12"/>
  <c r="W96" i="12"/>
  <c r="AK80" i="12"/>
  <c r="AG82" i="12"/>
  <c r="T85" i="12"/>
  <c r="P89" i="12"/>
  <c r="AK95" i="12"/>
  <c r="L83" i="12"/>
  <c r="Q89" i="12"/>
  <c r="I81" i="12"/>
  <c r="AF91" i="12"/>
  <c r="AC88" i="12"/>
  <c r="K97" i="12"/>
  <c r="K90" i="12"/>
  <c r="U101" i="12"/>
  <c r="V91" i="12"/>
  <c r="K104" i="12"/>
  <c r="M90" i="12"/>
  <c r="AE100" i="12"/>
  <c r="K92" i="12"/>
  <c r="AE102" i="12"/>
  <c r="V100" i="12"/>
  <c r="F108" i="12"/>
  <c r="R101" i="12"/>
  <c r="AF108" i="12"/>
  <c r="P95" i="12"/>
  <c r="AL102" i="12"/>
  <c r="I107" i="12"/>
  <c r="AJ104" i="12"/>
  <c r="AC54" i="12"/>
  <c r="Y43" i="8" s="1"/>
  <c r="P74" i="11"/>
  <c r="K69" i="11"/>
  <c r="G26" i="8" s="1"/>
  <c r="I41" i="12"/>
  <c r="Y41" i="12"/>
  <c r="M41" i="12"/>
  <c r="AK62" i="12"/>
  <c r="AG51" i="8" s="1"/>
  <c r="AG67" i="12"/>
  <c r="AC56" i="8" s="1"/>
  <c r="AA56" i="12"/>
  <c r="AF74" i="11"/>
  <c r="K56" i="12"/>
  <c r="U61" i="12"/>
  <c r="Q50" i="8" s="1"/>
  <c r="AG71" i="12"/>
  <c r="AC60" i="8" s="1"/>
  <c r="X49" i="11"/>
  <c r="T6" i="8" s="1"/>
  <c r="AG49" i="12"/>
  <c r="AC38" i="8" s="1"/>
  <c r="Q41" i="12"/>
  <c r="X73" i="11"/>
  <c r="J74" i="12"/>
  <c r="F63" i="8" s="1"/>
  <c r="AG41" i="11"/>
  <c r="AA41" i="11"/>
  <c r="J41" i="11"/>
  <c r="N73" i="12"/>
  <c r="J62" i="8" s="1"/>
  <c r="AG59" i="12"/>
  <c r="AC48" i="8" s="1"/>
  <c r="AG69" i="12"/>
  <c r="AC58" i="8" s="1"/>
  <c r="AG57" i="12"/>
  <c r="AC46" i="8" s="1"/>
  <c r="AG73" i="12"/>
  <c r="AC62" i="8" s="1"/>
  <c r="AG65" i="12"/>
  <c r="AC54" i="8" s="1"/>
  <c r="AG61" i="12"/>
  <c r="AC50" i="8" s="1"/>
  <c r="AE57" i="12"/>
  <c r="AA46" i="8" s="1"/>
  <c r="Z73" i="12"/>
  <c r="V62" i="8" s="1"/>
  <c r="I66" i="12"/>
  <c r="E55" i="8" s="1"/>
  <c r="H59" i="12"/>
  <c r="D48" i="8" s="1"/>
  <c r="T59" i="12"/>
  <c r="P48" i="8" s="1"/>
  <c r="AB41" i="12"/>
  <c r="AG63" i="12"/>
  <c r="AC52" i="8" s="1"/>
  <c r="P64" i="11"/>
  <c r="L21" i="8" s="1"/>
  <c r="P63" i="11"/>
  <c r="L20" i="8" s="1"/>
  <c r="P53" i="11"/>
  <c r="L10" i="8" s="1"/>
  <c r="P57" i="11"/>
  <c r="P62" i="11"/>
  <c r="L19" i="8" s="1"/>
  <c r="P58" i="11"/>
  <c r="L15" i="8" s="1"/>
  <c r="P69" i="11"/>
  <c r="L26" i="8" s="1"/>
  <c r="P70" i="11"/>
  <c r="L27" i="8" s="1"/>
  <c r="P67" i="11"/>
  <c r="L24" i="8" s="1"/>
  <c r="Y41" i="11"/>
  <c r="P59" i="11"/>
  <c r="L16" i="8" s="1"/>
  <c r="P47" i="11"/>
  <c r="AL41" i="12"/>
  <c r="V61" i="12"/>
  <c r="R50" i="8" s="1"/>
  <c r="AJ41" i="12"/>
  <c r="H71" i="11"/>
  <c r="D28" i="8" s="1"/>
  <c r="AF69" i="12"/>
  <c r="AB58" i="8" s="1"/>
  <c r="AB73" i="12"/>
  <c r="X62" i="8" s="1"/>
  <c r="U56" i="12"/>
  <c r="W68" i="12"/>
  <c r="S57" i="8" s="1"/>
  <c r="AJ67" i="12"/>
  <c r="AF56" i="8" s="1"/>
  <c r="J60" i="12"/>
  <c r="F49" i="8" s="1"/>
  <c r="L41" i="12"/>
  <c r="F62" i="12"/>
  <c r="B51" i="8" s="1"/>
  <c r="AI57" i="11"/>
  <c r="F41" i="11"/>
  <c r="O65" i="12"/>
  <c r="K54" i="8" s="1"/>
  <c r="Q73" i="12"/>
  <c r="M62" i="8" s="1"/>
  <c r="R59" i="12"/>
  <c r="N48" i="8" s="1"/>
  <c r="AD57" i="11"/>
  <c r="X64" i="11"/>
  <c r="T21" i="8" s="1"/>
  <c r="AC60" i="12"/>
  <c r="Y49" i="8" s="1"/>
  <c r="AJ71" i="12"/>
  <c r="AF60" i="8" s="1"/>
  <c r="V66" i="12"/>
  <c r="R55" i="8" s="1"/>
  <c r="X41" i="11"/>
  <c r="M51" i="11"/>
  <c r="I8" i="8" s="1"/>
  <c r="AJ57" i="12"/>
  <c r="AF46" i="8" s="1"/>
  <c r="T41" i="12"/>
  <c r="AD65" i="12"/>
  <c r="Z54" i="8" s="1"/>
  <c r="H71" i="12"/>
  <c r="D60" i="8" s="1"/>
  <c r="AJ65" i="12"/>
  <c r="AF54" i="8" s="1"/>
  <c r="V59" i="12"/>
  <c r="R48" i="8" s="1"/>
  <c r="AJ61" i="12"/>
  <c r="AF50" i="8" s="1"/>
  <c r="AJ69" i="12"/>
  <c r="AF58" i="8" s="1"/>
  <c r="L70" i="12"/>
  <c r="H59" i="8" s="1"/>
  <c r="F56" i="11"/>
  <c r="AJ73" i="12"/>
  <c r="AF62" i="8" s="1"/>
  <c r="V63" i="12"/>
  <c r="R52" i="8" s="1"/>
  <c r="AJ59" i="12"/>
  <c r="AF48" i="8" s="1"/>
  <c r="Q74" i="12"/>
  <c r="M63" i="8" s="1"/>
  <c r="X69" i="11"/>
  <c r="T26" i="8" s="1"/>
  <c r="AI41" i="12"/>
  <c r="F56" i="12"/>
  <c r="G59" i="12"/>
  <c r="C48" i="8" s="1"/>
  <c r="M56" i="12"/>
  <c r="AJ68" i="12"/>
  <c r="AF57" i="8" s="1"/>
  <c r="AA41" i="12"/>
  <c r="AJ63" i="12"/>
  <c r="AF52" i="8" s="1"/>
  <c r="AB61" i="12"/>
  <c r="X50" i="8" s="1"/>
  <c r="AL71" i="12"/>
  <c r="AH60" i="8" s="1"/>
  <c r="J57" i="12"/>
  <c r="F46" i="8" s="1"/>
  <c r="Q49" i="11"/>
  <c r="M6" i="8" s="1"/>
  <c r="P70" i="12"/>
  <c r="L59" i="8" s="1"/>
  <c r="R69" i="12"/>
  <c r="N58" i="8" s="1"/>
  <c r="L67" i="12"/>
  <c r="H56" i="8" s="1"/>
  <c r="M65" i="12"/>
  <c r="I54" i="8" s="1"/>
  <c r="G63" i="12"/>
  <c r="C52" i="8" s="1"/>
  <c r="N57" i="12"/>
  <c r="J46" i="8" s="1"/>
  <c r="L53" i="12"/>
  <c r="X69" i="12"/>
  <c r="T58" i="8" s="1"/>
  <c r="AE59" i="12"/>
  <c r="AA48" i="8" s="1"/>
  <c r="H48" i="12"/>
  <c r="D37" i="8" s="1"/>
  <c r="U73" i="12"/>
  <c r="Q62" i="8" s="1"/>
  <c r="I71" i="12"/>
  <c r="E60" i="8" s="1"/>
  <c r="V69" i="12"/>
  <c r="R58" i="8" s="1"/>
  <c r="U67" i="12"/>
  <c r="Q56" i="8" s="1"/>
  <c r="AK65" i="12"/>
  <c r="AG54" i="8" s="1"/>
  <c r="I63" i="12"/>
  <c r="E52" i="8" s="1"/>
  <c r="K61" i="12"/>
  <c r="G50" i="8" s="1"/>
  <c r="AB59" i="12"/>
  <c r="X48" i="8" s="1"/>
  <c r="AG72" i="12"/>
  <c r="AC61" i="8" s="1"/>
  <c r="AG58" i="12"/>
  <c r="AC47" i="8" s="1"/>
  <c r="W73" i="12"/>
  <c r="S62" i="8" s="1"/>
  <c r="K73" i="12"/>
  <c r="G62" i="8" s="1"/>
  <c r="AK73" i="12"/>
  <c r="AG62" i="8" s="1"/>
  <c r="N67" i="12"/>
  <c r="J56" i="8" s="1"/>
  <c r="AL65" i="12"/>
  <c r="AH54" i="8" s="1"/>
  <c r="AI61" i="12"/>
  <c r="AE50" i="8" s="1"/>
  <c r="J59" i="12"/>
  <c r="F48" i="8" s="1"/>
  <c r="P41" i="12"/>
  <c r="AD57" i="12"/>
  <c r="Z46" i="8" s="1"/>
  <c r="W72" i="12"/>
  <c r="S61" i="8" s="1"/>
  <c r="H58" i="12"/>
  <c r="D47" i="8" s="1"/>
  <c r="K41" i="12"/>
  <c r="AD63" i="11"/>
  <c r="Z20" i="8" s="1"/>
  <c r="R67" i="11"/>
  <c r="N24" i="8" s="1"/>
  <c r="O55" i="12"/>
  <c r="K44" i="8" s="1"/>
  <c r="L71" i="12"/>
  <c r="H60" i="8" s="1"/>
  <c r="U69" i="12"/>
  <c r="Q58" i="8" s="1"/>
  <c r="H67" i="12"/>
  <c r="D56" i="8" s="1"/>
  <c r="I65" i="12"/>
  <c r="E54" i="8" s="1"/>
  <c r="W65" i="12"/>
  <c r="S54" i="8" s="1"/>
  <c r="R63" i="12"/>
  <c r="N52" i="8" s="1"/>
  <c r="F61" i="12"/>
  <c r="B50" i="8" s="1"/>
  <c r="L64" i="12"/>
  <c r="H53" i="8" s="1"/>
  <c r="AB60" i="12"/>
  <c r="X49" i="8" s="1"/>
  <c r="G61" i="12"/>
  <c r="C50" i="8" s="1"/>
  <c r="R73" i="12"/>
  <c r="N62" i="8" s="1"/>
  <c r="AC69" i="12"/>
  <c r="Y58" i="8" s="1"/>
  <c r="I67" i="12"/>
  <c r="E56" i="8" s="1"/>
  <c r="AF65" i="12"/>
  <c r="AB54" i="8" s="1"/>
  <c r="L63" i="12"/>
  <c r="H52" i="8" s="1"/>
  <c r="AF61" i="12"/>
  <c r="AB50" i="8" s="1"/>
  <c r="AE41" i="12"/>
  <c r="N68" i="12"/>
  <c r="J57" i="8" s="1"/>
  <c r="T66" i="12"/>
  <c r="P55" i="8" s="1"/>
  <c r="AC47" i="12"/>
  <c r="Y36" i="8" s="1"/>
  <c r="R67" i="12"/>
  <c r="N56" i="8" s="1"/>
  <c r="AB62" i="11"/>
  <c r="X19" i="8" s="1"/>
  <c r="Y74" i="12"/>
  <c r="U63" i="8" s="1"/>
  <c r="V73" i="12"/>
  <c r="R62" i="8" s="1"/>
  <c r="Z71" i="12"/>
  <c r="V60" i="8" s="1"/>
  <c r="U71" i="12"/>
  <c r="Q60" i="8" s="1"/>
  <c r="K65" i="12"/>
  <c r="G54" i="8" s="1"/>
  <c r="R70" i="12"/>
  <c r="N59" i="8" s="1"/>
  <c r="G52" i="12"/>
  <c r="C41" i="8" s="1"/>
  <c r="K69" i="12"/>
  <c r="G58" i="8" s="1"/>
  <c r="I61" i="12"/>
  <c r="E50" i="8" s="1"/>
  <c r="AC67" i="11"/>
  <c r="Y24" i="8" s="1"/>
  <c r="J47" i="11"/>
  <c r="K59" i="12"/>
  <c r="G48" i="8" s="1"/>
  <c r="R71" i="12"/>
  <c r="N60" i="8" s="1"/>
  <c r="Y69" i="12"/>
  <c r="U58" i="8" s="1"/>
  <c r="J67" i="12"/>
  <c r="F56" i="8" s="1"/>
  <c r="AI65" i="12"/>
  <c r="AE54" i="8" s="1"/>
  <c r="U63" i="12"/>
  <c r="Q52" i="8" s="1"/>
  <c r="U59" i="12"/>
  <c r="Q48" i="8" s="1"/>
  <c r="L61" i="12"/>
  <c r="H50" i="8" s="1"/>
  <c r="AA59" i="12"/>
  <c r="W48" i="8" s="1"/>
  <c r="AK74" i="12"/>
  <c r="AG63" i="8" s="1"/>
  <c r="AH58" i="12"/>
  <c r="AD47" i="8" s="1"/>
  <c r="AH41" i="12"/>
  <c r="AH53" i="12"/>
  <c r="AH51" i="12"/>
  <c r="AD40" i="8" s="1"/>
  <c r="AH55" i="12"/>
  <c r="AD44" i="8" s="1"/>
  <c r="AH52" i="12"/>
  <c r="AD41" i="8" s="1"/>
  <c r="AH62" i="12"/>
  <c r="AD51" i="8" s="1"/>
  <c r="AH47" i="12"/>
  <c r="AD36" i="8" s="1"/>
  <c r="AH49" i="12"/>
  <c r="AD38" i="8" s="1"/>
  <c r="AH48" i="12"/>
  <c r="AD37" i="8" s="1"/>
  <c r="AH66" i="12"/>
  <c r="AD55" i="8" s="1"/>
  <c r="AH70" i="12"/>
  <c r="AD59" i="8" s="1"/>
  <c r="AH46" i="12"/>
  <c r="AD35" i="8" s="1"/>
  <c r="AH54" i="12"/>
  <c r="AD43" i="8" s="1"/>
  <c r="AD73" i="12"/>
  <c r="Z62" i="8" s="1"/>
  <c r="X73" i="12"/>
  <c r="T62" i="8" s="1"/>
  <c r="AH71" i="12"/>
  <c r="AD60" i="8" s="1"/>
  <c r="AD69" i="12"/>
  <c r="Z58" i="8" s="1"/>
  <c r="AD61" i="12"/>
  <c r="Z50" i="8" s="1"/>
  <c r="AH57" i="12"/>
  <c r="AD46" i="8" s="1"/>
  <c r="X59" i="12"/>
  <c r="T48" i="8" s="1"/>
  <c r="S47" i="12"/>
  <c r="O36" i="8" s="1"/>
  <c r="S51" i="12"/>
  <c r="O40" i="8" s="1"/>
  <c r="S62" i="12"/>
  <c r="O51" i="8" s="1"/>
  <c r="S49" i="12"/>
  <c r="O38" i="8" s="1"/>
  <c r="S48" i="12"/>
  <c r="O37" i="8" s="1"/>
  <c r="S64" i="12"/>
  <c r="O53" i="8" s="1"/>
  <c r="S52" i="12"/>
  <c r="O41" i="8" s="1"/>
  <c r="S55" i="12"/>
  <c r="O44" i="8" s="1"/>
  <c r="S46" i="12"/>
  <c r="O35" i="8" s="1"/>
  <c r="S60" i="12"/>
  <c r="O49" i="8" s="1"/>
  <c r="S50" i="12"/>
  <c r="O39" i="8" s="1"/>
  <c r="S58" i="12"/>
  <c r="O47" i="8" s="1"/>
  <c r="S72" i="12"/>
  <c r="O61" i="8" s="1"/>
  <c r="O74" i="12"/>
  <c r="K63" i="8" s="1"/>
  <c r="AE64" i="12"/>
  <c r="AA53" i="8" s="1"/>
  <c r="AA63" i="11"/>
  <c r="W20" i="8" s="1"/>
  <c r="V64" i="11"/>
  <c r="R21" i="8" s="1"/>
  <c r="X59" i="11"/>
  <c r="T16" i="8" s="1"/>
  <c r="X54" i="11"/>
  <c r="T11" i="8" s="1"/>
  <c r="G57" i="12"/>
  <c r="C46" i="8" s="1"/>
  <c r="AI59" i="12"/>
  <c r="AE48" i="8" s="1"/>
  <c r="Z50" i="12"/>
  <c r="V39" i="8" s="1"/>
  <c r="Z58" i="12"/>
  <c r="V47" i="8" s="1"/>
  <c r="Z41" i="12"/>
  <c r="Z53" i="12"/>
  <c r="Z68" i="12"/>
  <c r="V57" i="8" s="1"/>
  <c r="Z72" i="12"/>
  <c r="V61" i="8" s="1"/>
  <c r="Z51" i="12"/>
  <c r="V40" i="8" s="1"/>
  <c r="Z55" i="12"/>
  <c r="V44" i="8" s="1"/>
  <c r="Z74" i="12"/>
  <c r="V63" i="8" s="1"/>
  <c r="Z62" i="12"/>
  <c r="V51" i="8" s="1"/>
  <c r="Z47" i="12"/>
  <c r="V36" i="8" s="1"/>
  <c r="Z49" i="12"/>
  <c r="V38" i="8" s="1"/>
  <c r="Z48" i="12"/>
  <c r="V37" i="8" s="1"/>
  <c r="Z52" i="12"/>
  <c r="V41" i="8" s="1"/>
  <c r="Z64" i="12"/>
  <c r="V53" i="8" s="1"/>
  <c r="Z66" i="12"/>
  <c r="V55" i="8" s="1"/>
  <c r="Z70" i="12"/>
  <c r="V59" i="8" s="1"/>
  <c r="AF52" i="12"/>
  <c r="AB41" i="8" s="1"/>
  <c r="AF56" i="12"/>
  <c r="AF47" i="12"/>
  <c r="AB36" i="8" s="1"/>
  <c r="AF51" i="12"/>
  <c r="AB40" i="8" s="1"/>
  <c r="AF55" i="12"/>
  <c r="AB44" i="8" s="1"/>
  <c r="AF54" i="12"/>
  <c r="AB43" i="8" s="1"/>
  <c r="AF60" i="12"/>
  <c r="AB49" i="8" s="1"/>
  <c r="AF70" i="12"/>
  <c r="AB59" i="8" s="1"/>
  <c r="AF74" i="12"/>
  <c r="AB63" i="8" s="1"/>
  <c r="AF49" i="12"/>
  <c r="AB38" i="8" s="1"/>
  <c r="AF53" i="12"/>
  <c r="AF48" i="12"/>
  <c r="AB37" i="8" s="1"/>
  <c r="AF58" i="12"/>
  <c r="AB47" i="8" s="1"/>
  <c r="AF66" i="12"/>
  <c r="AB55" i="8" s="1"/>
  <c r="AF68" i="12"/>
  <c r="AB57" i="8" s="1"/>
  <c r="AF46" i="12"/>
  <c r="AB35" i="8" s="1"/>
  <c r="AF62" i="12"/>
  <c r="AB51" i="8" s="1"/>
  <c r="AF72" i="12"/>
  <c r="AB61" i="8" s="1"/>
  <c r="O73" i="12"/>
  <c r="K62" i="8" s="1"/>
  <c r="AL73" i="12"/>
  <c r="AH62" i="8" s="1"/>
  <c r="AF73" i="12"/>
  <c r="AB62" i="8" s="1"/>
  <c r="K71" i="12"/>
  <c r="G60" i="8" s="1"/>
  <c r="S71" i="12"/>
  <c r="O60" i="8" s="1"/>
  <c r="P71" i="12"/>
  <c r="L60" i="8" s="1"/>
  <c r="T71" i="12"/>
  <c r="P60" i="8" s="1"/>
  <c r="G69" i="12"/>
  <c r="C58" i="8" s="1"/>
  <c r="O69" i="12"/>
  <c r="K58" i="8" s="1"/>
  <c r="AL69" i="12"/>
  <c r="AH58" i="8" s="1"/>
  <c r="AK69" i="12"/>
  <c r="AG58" i="8" s="1"/>
  <c r="V67" i="12"/>
  <c r="R56" i="8" s="1"/>
  <c r="P67" i="12"/>
  <c r="L56" i="8" s="1"/>
  <c r="T67" i="12"/>
  <c r="P56" i="8" s="1"/>
  <c r="J65" i="12"/>
  <c r="F54" i="8" s="1"/>
  <c r="L65" i="12"/>
  <c r="H54" i="8" s="1"/>
  <c r="F65" i="12"/>
  <c r="B54" i="8" s="1"/>
  <c r="AE65" i="12"/>
  <c r="AA54" i="8" s="1"/>
  <c r="AC63" i="12"/>
  <c r="Y52" i="8" s="1"/>
  <c r="O63" i="12"/>
  <c r="K52" i="8" s="1"/>
  <c r="Q63" i="12"/>
  <c r="M52" i="8" s="1"/>
  <c r="T63" i="12"/>
  <c r="P52" i="8" s="1"/>
  <c r="J61" i="12"/>
  <c r="F50" i="8" s="1"/>
  <c r="M61" i="12"/>
  <c r="I50" i="8" s="1"/>
  <c r="AL61" i="12"/>
  <c r="AH50" i="8" s="1"/>
  <c r="AC59" i="12"/>
  <c r="Y48" i="8" s="1"/>
  <c r="O59" i="12"/>
  <c r="K48" i="8" s="1"/>
  <c r="I57" i="12"/>
  <c r="E46" i="8" s="1"/>
  <c r="K57" i="12"/>
  <c r="G46" i="8" s="1"/>
  <c r="V57" i="12"/>
  <c r="R46" i="8" s="1"/>
  <c r="Z60" i="12"/>
  <c r="V49" i="8" s="1"/>
  <c r="U60" i="12"/>
  <c r="Q49" i="8" s="1"/>
  <c r="H41" i="12"/>
  <c r="O57" i="12"/>
  <c r="K46" i="8" s="1"/>
  <c r="W41" i="12"/>
  <c r="M60" i="12"/>
  <c r="I49" i="8" s="1"/>
  <c r="K54" i="12"/>
  <c r="G43" i="8" s="1"/>
  <c r="K55" i="12"/>
  <c r="G44" i="8" s="1"/>
  <c r="K47" i="12"/>
  <c r="G36" i="8" s="1"/>
  <c r="K62" i="12"/>
  <c r="G51" i="8" s="1"/>
  <c r="K49" i="12"/>
  <c r="G38" i="8" s="1"/>
  <c r="K53" i="12"/>
  <c r="K48" i="12"/>
  <c r="G37" i="8" s="1"/>
  <c r="K64" i="12"/>
  <c r="G53" i="8" s="1"/>
  <c r="K68" i="12"/>
  <c r="G57" i="8" s="1"/>
  <c r="K46" i="12"/>
  <c r="G35" i="8" s="1"/>
  <c r="K60" i="12"/>
  <c r="G49" i="8" s="1"/>
  <c r="K66" i="12"/>
  <c r="G55" i="8" s="1"/>
  <c r="K50" i="12"/>
  <c r="G39" i="8" s="1"/>
  <c r="K52" i="12"/>
  <c r="G41" i="8" s="1"/>
  <c r="K51" i="12"/>
  <c r="G40" i="8" s="1"/>
  <c r="H74" i="12"/>
  <c r="D63" i="8" s="1"/>
  <c r="AG74" i="12"/>
  <c r="AC63" i="8" s="1"/>
  <c r="AE74" i="12"/>
  <c r="AA63" i="8" s="1"/>
  <c r="T72" i="12"/>
  <c r="P61" i="8" s="1"/>
  <c r="J72" i="12"/>
  <c r="F61" i="8" s="1"/>
  <c r="AE72" i="12"/>
  <c r="AA61" i="8" s="1"/>
  <c r="AC70" i="12"/>
  <c r="Y59" i="8" s="1"/>
  <c r="K70" i="12"/>
  <c r="G59" i="8" s="1"/>
  <c r="AK68" i="12"/>
  <c r="AG57" i="8" s="1"/>
  <c r="AE68" i="12"/>
  <c r="AA57" i="8" s="1"/>
  <c r="G66" i="12"/>
  <c r="C55" i="8" s="1"/>
  <c r="H64" i="12"/>
  <c r="D53" i="8" s="1"/>
  <c r="W60" i="12"/>
  <c r="S49" i="8" s="1"/>
  <c r="AF59" i="12"/>
  <c r="AB48" i="8" s="1"/>
  <c r="P53" i="12"/>
  <c r="F49" i="12"/>
  <c r="B38" i="8" s="1"/>
  <c r="O47" i="12"/>
  <c r="K36" i="8" s="1"/>
  <c r="AI62" i="12"/>
  <c r="AE51" i="8" s="1"/>
  <c r="AE52" i="12"/>
  <c r="AA41" i="8" s="1"/>
  <c r="T48" i="12"/>
  <c r="P37" i="8" s="1"/>
  <c r="N58" i="11"/>
  <c r="J15" i="8" s="1"/>
  <c r="AK67" i="11"/>
  <c r="AG24" i="8" s="1"/>
  <c r="AL41" i="11"/>
  <c r="X70" i="11"/>
  <c r="T27" i="8" s="1"/>
  <c r="X62" i="11"/>
  <c r="T19" i="8" s="1"/>
  <c r="AA63" i="12"/>
  <c r="W52" i="8" s="1"/>
  <c r="Z56" i="12"/>
  <c r="K63" i="12"/>
  <c r="G52" i="8" s="1"/>
  <c r="W57" i="12"/>
  <c r="S46" i="8" s="1"/>
  <c r="R46" i="12"/>
  <c r="N35" i="8" s="1"/>
  <c r="R54" i="12"/>
  <c r="N43" i="8" s="1"/>
  <c r="R50" i="12"/>
  <c r="N39" i="8" s="1"/>
  <c r="R58" i="12"/>
  <c r="N47" i="8" s="1"/>
  <c r="R41" i="12"/>
  <c r="R53" i="12"/>
  <c r="R68" i="12"/>
  <c r="N57" i="8" s="1"/>
  <c r="R72" i="12"/>
  <c r="N61" i="8" s="1"/>
  <c r="R51" i="12"/>
  <c r="N40" i="8" s="1"/>
  <c r="R55" i="12"/>
  <c r="N44" i="8" s="1"/>
  <c r="R62" i="12"/>
  <c r="N51" i="8" s="1"/>
  <c r="R47" i="12"/>
  <c r="N36" i="8" s="1"/>
  <c r="R49" i="12"/>
  <c r="N38" i="8" s="1"/>
  <c r="R48" i="12"/>
  <c r="N37" i="8" s="1"/>
  <c r="R52" i="12"/>
  <c r="N41" i="8" s="1"/>
  <c r="R64" i="12"/>
  <c r="N53" i="8" s="1"/>
  <c r="X50" i="12"/>
  <c r="T39" i="8" s="1"/>
  <c r="X52" i="12"/>
  <c r="T41" i="8" s="1"/>
  <c r="X56" i="12"/>
  <c r="X47" i="12"/>
  <c r="T36" i="8" s="1"/>
  <c r="X55" i="12"/>
  <c r="T44" i="8" s="1"/>
  <c r="X68" i="12"/>
  <c r="T57" i="8" s="1"/>
  <c r="X70" i="12"/>
  <c r="T59" i="8" s="1"/>
  <c r="X74" i="12"/>
  <c r="T63" i="8" s="1"/>
  <c r="X54" i="12"/>
  <c r="T43" i="8" s="1"/>
  <c r="X51" i="12"/>
  <c r="T40" i="8" s="1"/>
  <c r="X53" i="12"/>
  <c r="X60" i="12"/>
  <c r="T49" i="8" s="1"/>
  <c r="X49" i="12"/>
  <c r="T38" i="8" s="1"/>
  <c r="X48" i="12"/>
  <c r="T37" i="8" s="1"/>
  <c r="X58" i="12"/>
  <c r="T47" i="8" s="1"/>
  <c r="X64" i="12"/>
  <c r="T53" i="8" s="1"/>
  <c r="X66" i="12"/>
  <c r="T55" i="8" s="1"/>
  <c r="X72" i="12"/>
  <c r="T61" i="8" s="1"/>
  <c r="AE73" i="12"/>
  <c r="AA62" i="8" s="1"/>
  <c r="G73" i="12"/>
  <c r="C62" i="8" s="1"/>
  <c r="M73" i="12"/>
  <c r="I62" i="8" s="1"/>
  <c r="I73" i="12"/>
  <c r="E62" i="8" s="1"/>
  <c r="AA71" i="12"/>
  <c r="W60" i="8" s="1"/>
  <c r="AI71" i="12"/>
  <c r="AE60" i="8" s="1"/>
  <c r="X71" i="12"/>
  <c r="T60" i="8" s="1"/>
  <c r="AB71" i="12"/>
  <c r="X60" i="8" s="1"/>
  <c r="W69" i="12"/>
  <c r="S58" i="8" s="1"/>
  <c r="AE69" i="12"/>
  <c r="AA58" i="8" s="1"/>
  <c r="L69" i="12"/>
  <c r="H58" i="8" s="1"/>
  <c r="H69" i="12"/>
  <c r="D58" i="8" s="1"/>
  <c r="AD67" i="12"/>
  <c r="Z56" i="8" s="1"/>
  <c r="X67" i="12"/>
  <c r="T56" i="8" s="1"/>
  <c r="Z67" i="12"/>
  <c r="V56" i="8" s="1"/>
  <c r="AB67" i="12"/>
  <c r="X56" i="8" s="1"/>
  <c r="R65" i="12"/>
  <c r="N54" i="8" s="1"/>
  <c r="T65" i="12"/>
  <c r="P54" i="8" s="1"/>
  <c r="N65" i="12"/>
  <c r="J54" i="8" s="1"/>
  <c r="H65" i="12"/>
  <c r="D54" i="8" s="1"/>
  <c r="AK63" i="12"/>
  <c r="AG52" i="8" s="1"/>
  <c r="W63" i="12"/>
  <c r="S52" i="8" s="1"/>
  <c r="Y63" i="12"/>
  <c r="U52" i="8" s="1"/>
  <c r="AB63" i="12"/>
  <c r="X52" i="8" s="1"/>
  <c r="R61" i="12"/>
  <c r="N50" i="8" s="1"/>
  <c r="H61" i="12"/>
  <c r="D50" i="8" s="1"/>
  <c r="AK59" i="12"/>
  <c r="AG48" i="8" s="1"/>
  <c r="W59" i="12"/>
  <c r="S48" i="8" s="1"/>
  <c r="Z59" i="12"/>
  <c r="V48" i="8" s="1"/>
  <c r="Q57" i="12"/>
  <c r="M46" i="8" s="1"/>
  <c r="S57" i="12"/>
  <c r="O46" i="8" s="1"/>
  <c r="AK56" i="12"/>
  <c r="AH56" i="12"/>
  <c r="O41" i="12"/>
  <c r="S59" i="12"/>
  <c r="O48" i="8" s="1"/>
  <c r="AL52" i="12"/>
  <c r="AH41" i="8" s="1"/>
  <c r="I74" i="12"/>
  <c r="E63" i="8" s="1"/>
  <c r="T74" i="12"/>
  <c r="P63" i="8" s="1"/>
  <c r="AK72" i="12"/>
  <c r="AG61" i="8" s="1"/>
  <c r="AH72" i="12"/>
  <c r="AD61" i="8" s="1"/>
  <c r="S70" i="12"/>
  <c r="O59" i="8" s="1"/>
  <c r="Y68" i="12"/>
  <c r="U57" i="8" s="1"/>
  <c r="H66" i="12"/>
  <c r="D55" i="8" s="1"/>
  <c r="AF64" i="12"/>
  <c r="AB53" i="8" s="1"/>
  <c r="Y60" i="12"/>
  <c r="U49" i="8" s="1"/>
  <c r="AG55" i="12"/>
  <c r="AC44" i="8" s="1"/>
  <c r="F53" i="12"/>
  <c r="AE49" i="12"/>
  <c r="AA38" i="8" s="1"/>
  <c r="Q47" i="12"/>
  <c r="M36" i="8" s="1"/>
  <c r="AE54" i="12"/>
  <c r="AA43" i="8" s="1"/>
  <c r="L52" i="12"/>
  <c r="H41" i="8" s="1"/>
  <c r="N48" i="12"/>
  <c r="J37" i="8" s="1"/>
  <c r="X63" i="11"/>
  <c r="T20" i="8" s="1"/>
  <c r="X52" i="11"/>
  <c r="T9" i="8" s="1"/>
  <c r="AE61" i="12"/>
  <c r="AA50" i="8" s="1"/>
  <c r="W61" i="12"/>
  <c r="S50" i="8" s="1"/>
  <c r="S56" i="12"/>
  <c r="J46" i="12"/>
  <c r="F35" i="8" s="1"/>
  <c r="J52" i="12"/>
  <c r="F41" i="8" s="1"/>
  <c r="J54" i="12"/>
  <c r="F43" i="8" s="1"/>
  <c r="J51" i="12"/>
  <c r="F40" i="8" s="1"/>
  <c r="J50" i="12"/>
  <c r="F39" i="8" s="1"/>
  <c r="J58" i="12"/>
  <c r="F47" i="8" s="1"/>
  <c r="J41" i="12"/>
  <c r="J53" i="12"/>
  <c r="J55" i="12"/>
  <c r="F44" i="8" s="1"/>
  <c r="J62" i="12"/>
  <c r="F51" i="8" s="1"/>
  <c r="J47" i="12"/>
  <c r="F36" i="8" s="1"/>
  <c r="J49" i="12"/>
  <c r="F38" i="8" s="1"/>
  <c r="J68" i="12"/>
  <c r="F57" i="8" s="1"/>
  <c r="P46" i="12"/>
  <c r="L35" i="8" s="1"/>
  <c r="P62" i="12"/>
  <c r="L51" i="8" s="1"/>
  <c r="P50" i="12"/>
  <c r="L39" i="8" s="1"/>
  <c r="P52" i="12"/>
  <c r="L41" i="8" s="1"/>
  <c r="P56" i="12"/>
  <c r="P47" i="12"/>
  <c r="L36" i="8" s="1"/>
  <c r="P54" i="12"/>
  <c r="L43" i="8" s="1"/>
  <c r="P51" i="12"/>
  <c r="L40" i="8" s="1"/>
  <c r="P60" i="12"/>
  <c r="L49" i="8" s="1"/>
  <c r="P49" i="12"/>
  <c r="L38" i="8" s="1"/>
  <c r="P48" i="12"/>
  <c r="L37" i="8" s="1"/>
  <c r="P58" i="12"/>
  <c r="L47" i="8" s="1"/>
  <c r="P55" i="12"/>
  <c r="L44" i="8" s="1"/>
  <c r="P64" i="12"/>
  <c r="L53" i="8" s="1"/>
  <c r="P68" i="12"/>
  <c r="L57" i="8" s="1"/>
  <c r="N71" i="12"/>
  <c r="J60" i="8" s="1"/>
  <c r="F71" i="12"/>
  <c r="B60" i="8" s="1"/>
  <c r="AF71" i="12"/>
  <c r="AB60" i="8" s="1"/>
  <c r="J69" i="12"/>
  <c r="F58" i="8" s="1"/>
  <c r="T69" i="12"/>
  <c r="P58" i="8" s="1"/>
  <c r="P69" i="12"/>
  <c r="L58" i="8" s="1"/>
  <c r="M67" i="12"/>
  <c r="I56" i="8" s="1"/>
  <c r="AL67" i="12"/>
  <c r="AH56" i="8" s="1"/>
  <c r="AF67" i="12"/>
  <c r="AB56" i="8" s="1"/>
  <c r="AH67" i="12"/>
  <c r="AD56" i="8" s="1"/>
  <c r="Z65" i="12"/>
  <c r="V54" i="8" s="1"/>
  <c r="AB65" i="12"/>
  <c r="X54" i="8" s="1"/>
  <c r="V65" i="12"/>
  <c r="R54" i="8" s="1"/>
  <c r="P65" i="12"/>
  <c r="L54" i="8" s="1"/>
  <c r="F63" i="12"/>
  <c r="B52" i="8" s="1"/>
  <c r="AE63" i="12"/>
  <c r="AA52" i="8" s="1"/>
  <c r="Z61" i="12"/>
  <c r="V50" i="8" s="1"/>
  <c r="AC61" i="12"/>
  <c r="Y50" i="8" s="1"/>
  <c r="P61" i="12"/>
  <c r="L50" i="8" s="1"/>
  <c r="F59" i="12"/>
  <c r="B48" i="8" s="1"/>
  <c r="AH59" i="12"/>
  <c r="AD48" i="8" s="1"/>
  <c r="Y57" i="12"/>
  <c r="U46" i="8" s="1"/>
  <c r="AA57" i="12"/>
  <c r="W46" i="8" s="1"/>
  <c r="AL57" i="12"/>
  <c r="AH46" i="8" s="1"/>
  <c r="R56" i="12"/>
  <c r="T57" i="12"/>
  <c r="P46" i="8" s="1"/>
  <c r="G41" i="12"/>
  <c r="M57" i="12"/>
  <c r="I46" i="8" s="1"/>
  <c r="AD58" i="12"/>
  <c r="Z47" i="8" s="1"/>
  <c r="AD41" i="12"/>
  <c r="AD54" i="12"/>
  <c r="Z43" i="8" s="1"/>
  <c r="AD62" i="12"/>
  <c r="Z51" i="8" s="1"/>
  <c r="AD52" i="12"/>
  <c r="Z41" i="8" s="1"/>
  <c r="AD47" i="12"/>
  <c r="Z36" i="8" s="1"/>
  <c r="AD55" i="12"/>
  <c r="Z44" i="8" s="1"/>
  <c r="AD60" i="12"/>
  <c r="Z49" i="8" s="1"/>
  <c r="AD74" i="12"/>
  <c r="Z63" i="8" s="1"/>
  <c r="AD68" i="12"/>
  <c r="Z57" i="8" s="1"/>
  <c r="AD49" i="12"/>
  <c r="Z38" i="8" s="1"/>
  <c r="AD53" i="12"/>
  <c r="AD56" i="12"/>
  <c r="AD64" i="12"/>
  <c r="Z53" i="8" s="1"/>
  <c r="AD48" i="12"/>
  <c r="Z37" i="8" s="1"/>
  <c r="AD51" i="12"/>
  <c r="Z40" i="8" s="1"/>
  <c r="AD46" i="12"/>
  <c r="Z35" i="8" s="1"/>
  <c r="AD66" i="12"/>
  <c r="Z55" i="8" s="1"/>
  <c r="AD70" i="12"/>
  <c r="Z59" i="8" s="1"/>
  <c r="AJ58" i="12"/>
  <c r="AF47" i="8" s="1"/>
  <c r="AJ56" i="12"/>
  <c r="AJ54" i="12"/>
  <c r="AF43" i="8" s="1"/>
  <c r="AJ47" i="12"/>
  <c r="AF36" i="8" s="1"/>
  <c r="AJ72" i="12"/>
  <c r="AF61" i="8" s="1"/>
  <c r="AJ62" i="12"/>
  <c r="AF51" i="8" s="1"/>
  <c r="AJ49" i="12"/>
  <c r="AF38" i="8" s="1"/>
  <c r="AJ52" i="12"/>
  <c r="AF41" i="8" s="1"/>
  <c r="AJ64" i="12"/>
  <c r="AF53" i="8" s="1"/>
  <c r="AJ48" i="12"/>
  <c r="AF37" i="8" s="1"/>
  <c r="AJ53" i="12"/>
  <c r="AJ55" i="12"/>
  <c r="AF44" i="8" s="1"/>
  <c r="AJ46" i="12"/>
  <c r="AF35" i="8" s="1"/>
  <c r="AJ51" i="12"/>
  <c r="AF40" i="8" s="1"/>
  <c r="AJ60" i="12"/>
  <c r="AF49" i="8" s="1"/>
  <c r="AJ66" i="12"/>
  <c r="AF55" i="8" s="1"/>
  <c r="AJ70" i="12"/>
  <c r="AF59" i="8" s="1"/>
  <c r="AJ74" i="12"/>
  <c r="AF63" i="8" s="1"/>
  <c r="F74" i="12"/>
  <c r="B63" i="8" s="1"/>
  <c r="R74" i="12"/>
  <c r="N63" i="8" s="1"/>
  <c r="H72" i="12"/>
  <c r="D61" i="8" s="1"/>
  <c r="K72" i="12"/>
  <c r="G61" i="8" s="1"/>
  <c r="AG70" i="12"/>
  <c r="AC59" i="8" s="1"/>
  <c r="N70" i="12"/>
  <c r="J59" i="8" s="1"/>
  <c r="M68" i="12"/>
  <c r="I57" i="8" s="1"/>
  <c r="S66" i="12"/>
  <c r="O55" i="8" s="1"/>
  <c r="P66" i="12"/>
  <c r="L55" i="8" s="1"/>
  <c r="AG64" i="12"/>
  <c r="AC53" i="8" s="1"/>
  <c r="AC55" i="12"/>
  <c r="Y44" i="8" s="1"/>
  <c r="X62" i="12"/>
  <c r="T51" i="8" s="1"/>
  <c r="S54" i="12"/>
  <c r="O43" i="8" s="1"/>
  <c r="X46" i="12"/>
  <c r="T35" i="8" s="1"/>
  <c r="O74" i="11"/>
  <c r="X68" i="11"/>
  <c r="T25" i="8" s="1"/>
  <c r="AA66" i="11"/>
  <c r="W23" i="8" s="1"/>
  <c r="S63" i="12"/>
  <c r="O52" i="8" s="1"/>
  <c r="AH60" i="12"/>
  <c r="AD49" i="8" s="1"/>
  <c r="Y52" i="12"/>
  <c r="U41" i="8" s="1"/>
  <c r="Y58" i="12"/>
  <c r="U47" i="8" s="1"/>
  <c r="Y49" i="12"/>
  <c r="U38" i="8" s="1"/>
  <c r="Y48" i="12"/>
  <c r="U37" i="8" s="1"/>
  <c r="Y64" i="12"/>
  <c r="U53" i="8" s="1"/>
  <c r="Y62" i="12"/>
  <c r="U51" i="8" s="1"/>
  <c r="Y66" i="12"/>
  <c r="U55" i="8" s="1"/>
  <c r="Y46" i="12"/>
  <c r="U35" i="8" s="1"/>
  <c r="Y54" i="12"/>
  <c r="U43" i="8" s="1"/>
  <c r="Y50" i="12"/>
  <c r="U39" i="8" s="1"/>
  <c r="Y53" i="12"/>
  <c r="Y55" i="12"/>
  <c r="U44" i="8" s="1"/>
  <c r="Y56" i="12"/>
  <c r="Y47" i="12"/>
  <c r="U36" i="8" s="1"/>
  <c r="AE48" i="12"/>
  <c r="AA37" i="8" s="1"/>
  <c r="AE58" i="12"/>
  <c r="AA47" i="8" s="1"/>
  <c r="AE46" i="12"/>
  <c r="AA35" i="8" s="1"/>
  <c r="AE66" i="12"/>
  <c r="AA55" i="8" s="1"/>
  <c r="AE70" i="12"/>
  <c r="AA59" i="8" s="1"/>
  <c r="AE50" i="12"/>
  <c r="AA39" i="8" s="1"/>
  <c r="AE62" i="12"/>
  <c r="AA51" i="8" s="1"/>
  <c r="AE51" i="12"/>
  <c r="AA40" i="8" s="1"/>
  <c r="AE56" i="12"/>
  <c r="AE47" i="12"/>
  <c r="AA36" i="8" s="1"/>
  <c r="AE55" i="12"/>
  <c r="AA44" i="8" s="1"/>
  <c r="AE53" i="12"/>
  <c r="AE60" i="12"/>
  <c r="AA49" i="8" s="1"/>
  <c r="AK64" i="12"/>
  <c r="AG53" i="8" s="1"/>
  <c r="AK48" i="12"/>
  <c r="AG37" i="8" s="1"/>
  <c r="AK46" i="12"/>
  <c r="AG35" i="8" s="1"/>
  <c r="AK51" i="12"/>
  <c r="AG40" i="8" s="1"/>
  <c r="AK53" i="12"/>
  <c r="AK66" i="12"/>
  <c r="AG55" i="8" s="1"/>
  <c r="AK50" i="12"/>
  <c r="AG39" i="8" s="1"/>
  <c r="AK52" i="12"/>
  <c r="AG41" i="8" s="1"/>
  <c r="AK58" i="12"/>
  <c r="AG47" i="8" s="1"/>
  <c r="AK41" i="12"/>
  <c r="AK54" i="12"/>
  <c r="AG43" i="8" s="1"/>
  <c r="AK47" i="12"/>
  <c r="AG36" i="8" s="1"/>
  <c r="AK55" i="12"/>
  <c r="AG44" i="8" s="1"/>
  <c r="H53" i="12"/>
  <c r="H46" i="12"/>
  <c r="D35" i="8" s="1"/>
  <c r="H62" i="12"/>
  <c r="D51" i="8" s="1"/>
  <c r="H50" i="12"/>
  <c r="D39" i="8" s="1"/>
  <c r="H52" i="12"/>
  <c r="D41" i="8" s="1"/>
  <c r="H56" i="12"/>
  <c r="H47" i="12"/>
  <c r="D36" i="8" s="1"/>
  <c r="H55" i="12"/>
  <c r="D44" i="8" s="1"/>
  <c r="H54" i="12"/>
  <c r="D43" i="8" s="1"/>
  <c r="H51" i="12"/>
  <c r="D40" i="8" s="1"/>
  <c r="H60" i="12"/>
  <c r="D49" i="8" s="1"/>
  <c r="H49" i="12"/>
  <c r="D38" i="8" s="1"/>
  <c r="AH73" i="12"/>
  <c r="AD62" i="8" s="1"/>
  <c r="J73" i="12"/>
  <c r="F62" i="8" s="1"/>
  <c r="AC73" i="12"/>
  <c r="Y62" i="8" s="1"/>
  <c r="Y73" i="12"/>
  <c r="U62" i="8" s="1"/>
  <c r="AD71" i="12"/>
  <c r="Z60" i="8" s="1"/>
  <c r="V71" i="12"/>
  <c r="R60" i="8" s="1"/>
  <c r="M71" i="12"/>
  <c r="I60" i="8" s="1"/>
  <c r="Z69" i="12"/>
  <c r="V58" i="8" s="1"/>
  <c r="AH69" i="12"/>
  <c r="AD58" i="8" s="1"/>
  <c r="AB69" i="12"/>
  <c r="X58" i="8" s="1"/>
  <c r="G67" i="12"/>
  <c r="C56" i="8" s="1"/>
  <c r="K67" i="12"/>
  <c r="G56" i="8" s="1"/>
  <c r="AH65" i="12"/>
  <c r="AD54" i="8" s="1"/>
  <c r="X65" i="12"/>
  <c r="T54" i="8" s="1"/>
  <c r="N63" i="12"/>
  <c r="J52" i="8" s="1"/>
  <c r="H63" i="12"/>
  <c r="D52" i="8" s="1"/>
  <c r="J63" i="12"/>
  <c r="F52" i="8" s="1"/>
  <c r="AH61" i="12"/>
  <c r="AD50" i="8" s="1"/>
  <c r="AK61" i="12"/>
  <c r="AG50" i="8" s="1"/>
  <c r="X61" i="12"/>
  <c r="T50" i="8" s="1"/>
  <c r="N59" i="12"/>
  <c r="J48" i="8" s="1"/>
  <c r="I59" i="12"/>
  <c r="E48" i="8" s="1"/>
  <c r="L59" i="12"/>
  <c r="H48" i="8" s="1"/>
  <c r="AI57" i="12"/>
  <c r="AE46" i="8" s="1"/>
  <c r="H57" i="12"/>
  <c r="D46" i="8" s="1"/>
  <c r="AI56" i="12"/>
  <c r="AC56" i="12"/>
  <c r="V50" i="12"/>
  <c r="R39" i="8" s="1"/>
  <c r="V54" i="12"/>
  <c r="R43" i="8" s="1"/>
  <c r="V58" i="12"/>
  <c r="R47" i="8" s="1"/>
  <c r="V41" i="12"/>
  <c r="V72" i="12"/>
  <c r="R61" i="8" s="1"/>
  <c r="V62" i="12"/>
  <c r="R51" i="8" s="1"/>
  <c r="V47" i="12"/>
  <c r="R36" i="8" s="1"/>
  <c r="V55" i="12"/>
  <c r="R44" i="8" s="1"/>
  <c r="V60" i="12"/>
  <c r="R49" i="8" s="1"/>
  <c r="V52" i="12"/>
  <c r="R41" i="8" s="1"/>
  <c r="V49" i="12"/>
  <c r="R38" i="8" s="1"/>
  <c r="V53" i="12"/>
  <c r="V56" i="12"/>
  <c r="V64" i="12"/>
  <c r="R53" i="8" s="1"/>
  <c r="V48" i="12"/>
  <c r="R37" i="8" s="1"/>
  <c r="V51" i="12"/>
  <c r="R40" i="8" s="1"/>
  <c r="AB50" i="12"/>
  <c r="X39" i="8" s="1"/>
  <c r="AB58" i="12"/>
  <c r="X47" i="8" s="1"/>
  <c r="AB56" i="12"/>
  <c r="AB54" i="12"/>
  <c r="X43" i="8" s="1"/>
  <c r="AB72" i="12"/>
  <c r="X61" i="8" s="1"/>
  <c r="AB47" i="12"/>
  <c r="X36" i="8" s="1"/>
  <c r="AB62" i="12"/>
  <c r="X51" i="8" s="1"/>
  <c r="AB49" i="12"/>
  <c r="X38" i="8" s="1"/>
  <c r="AB52" i="12"/>
  <c r="X41" i="8" s="1"/>
  <c r="AB64" i="12"/>
  <c r="X53" i="8" s="1"/>
  <c r="AB48" i="12"/>
  <c r="X37" i="8" s="1"/>
  <c r="AB53" i="12"/>
  <c r="AB55" i="12"/>
  <c r="X44" i="8" s="1"/>
  <c r="AB68" i="12"/>
  <c r="X57" i="8" s="1"/>
  <c r="AB70" i="12"/>
  <c r="X59" i="8" s="1"/>
  <c r="AB74" i="12"/>
  <c r="X63" i="8" s="1"/>
  <c r="L74" i="12"/>
  <c r="H63" i="8" s="1"/>
  <c r="N74" i="12"/>
  <c r="J63" i="8" s="1"/>
  <c r="AH74" i="12"/>
  <c r="AD63" i="8" s="1"/>
  <c r="Y72" i="12"/>
  <c r="U61" i="8" s="1"/>
  <c r="AI72" i="12"/>
  <c r="AE61" i="8" s="1"/>
  <c r="T70" i="12"/>
  <c r="P59" i="8" s="1"/>
  <c r="V70" i="12"/>
  <c r="R59" i="8" s="1"/>
  <c r="G68" i="12"/>
  <c r="C57" i="8" s="1"/>
  <c r="J64" i="12"/>
  <c r="F53" i="8" s="1"/>
  <c r="AC51" i="12"/>
  <c r="Y40" i="8" s="1"/>
  <c r="AI49" i="12"/>
  <c r="AE38" i="8" s="1"/>
  <c r="AF50" i="12"/>
  <c r="AB39" i="8" s="1"/>
  <c r="J48" i="12"/>
  <c r="F37" i="8" s="1"/>
  <c r="Z46" i="12"/>
  <c r="V35" i="8" s="1"/>
  <c r="X67" i="11"/>
  <c r="T24" i="8" s="1"/>
  <c r="X65" i="11"/>
  <c r="T22" i="8" s="1"/>
  <c r="S41" i="11"/>
  <c r="Y59" i="11"/>
  <c r="U16" i="8" s="1"/>
  <c r="P59" i="12"/>
  <c r="L48" i="8" s="1"/>
  <c r="S41" i="12"/>
  <c r="Q51" i="12"/>
  <c r="M40" i="8" s="1"/>
  <c r="Q60" i="12"/>
  <c r="M49" i="8" s="1"/>
  <c r="Q49" i="12"/>
  <c r="M38" i="8" s="1"/>
  <c r="Q70" i="12"/>
  <c r="M59" i="8" s="1"/>
  <c r="Q48" i="12"/>
  <c r="M37" i="8" s="1"/>
  <c r="Q52" i="12"/>
  <c r="M41" i="8" s="1"/>
  <c r="Q54" i="12"/>
  <c r="M43" i="8" s="1"/>
  <c r="Q58" i="12"/>
  <c r="M47" i="8" s="1"/>
  <c r="Q53" i="12"/>
  <c r="Q64" i="12"/>
  <c r="M53" i="8" s="1"/>
  <c r="Q66" i="12"/>
  <c r="M55" i="8" s="1"/>
  <c r="Q46" i="12"/>
  <c r="M35" i="8" s="1"/>
  <c r="Q62" i="12"/>
  <c r="M51" i="8" s="1"/>
  <c r="Q55" i="12"/>
  <c r="M44" i="8" s="1"/>
  <c r="Q50" i="12"/>
  <c r="M39" i="8" s="1"/>
  <c r="Q72" i="12"/>
  <c r="M61" i="8" s="1"/>
  <c r="Q56" i="12"/>
  <c r="W49" i="12"/>
  <c r="S38" i="8" s="1"/>
  <c r="W48" i="12"/>
  <c r="S37" i="8" s="1"/>
  <c r="W58" i="12"/>
  <c r="S47" i="8" s="1"/>
  <c r="W64" i="12"/>
  <c r="S53" i="8" s="1"/>
  <c r="W46" i="12"/>
  <c r="S35" i="8" s="1"/>
  <c r="W66" i="12"/>
  <c r="S55" i="8" s="1"/>
  <c r="W70" i="12"/>
  <c r="S59" i="8" s="1"/>
  <c r="W50" i="12"/>
  <c r="S39" i="8" s="1"/>
  <c r="W52" i="12"/>
  <c r="S41" i="8" s="1"/>
  <c r="W62" i="12"/>
  <c r="S51" i="8" s="1"/>
  <c r="W54" i="12"/>
  <c r="S43" i="8" s="1"/>
  <c r="W56" i="12"/>
  <c r="W47" i="12"/>
  <c r="S36" i="8" s="1"/>
  <c r="W53" i="12"/>
  <c r="W55" i="12"/>
  <c r="S44" i="8" s="1"/>
  <c r="W74" i="12"/>
  <c r="S63" i="8" s="1"/>
  <c r="AC62" i="12"/>
  <c r="Y51" i="8" s="1"/>
  <c r="AC49" i="12"/>
  <c r="Y38" i="8" s="1"/>
  <c r="AC53" i="12"/>
  <c r="AC64" i="12"/>
  <c r="Y53" i="8" s="1"/>
  <c r="AC48" i="12"/>
  <c r="Y37" i="8" s="1"/>
  <c r="AC46" i="12"/>
  <c r="Y35" i="8" s="1"/>
  <c r="AC66" i="12"/>
  <c r="Y55" i="8" s="1"/>
  <c r="AC68" i="12"/>
  <c r="Y57" i="8" s="1"/>
  <c r="AC50" i="12"/>
  <c r="Y39" i="8" s="1"/>
  <c r="AC52" i="12"/>
  <c r="Y41" i="8" s="1"/>
  <c r="AC58" i="12"/>
  <c r="Y47" i="8" s="1"/>
  <c r="AC41" i="12"/>
  <c r="S73" i="12"/>
  <c r="O62" i="8" s="1"/>
  <c r="O71" i="12"/>
  <c r="K60" i="8" s="1"/>
  <c r="Q71" i="12"/>
  <c r="M60" i="8" s="1"/>
  <c r="S69" i="12"/>
  <c r="O58" i="8" s="1"/>
  <c r="AC67" i="12"/>
  <c r="Y56" i="8" s="1"/>
  <c r="O67" i="12"/>
  <c r="K56" i="8" s="1"/>
  <c r="Q67" i="12"/>
  <c r="M56" i="8" s="1"/>
  <c r="S67" i="12"/>
  <c r="O56" i="8" s="1"/>
  <c r="P63" i="12"/>
  <c r="L52" i="8" s="1"/>
  <c r="Q59" i="12"/>
  <c r="M48" i="8" s="1"/>
  <c r="AC57" i="12"/>
  <c r="Y46" i="8" s="1"/>
  <c r="P57" i="12"/>
  <c r="L46" i="8" s="1"/>
  <c r="J56" i="12"/>
  <c r="N46" i="12"/>
  <c r="J35" i="8" s="1"/>
  <c r="N50" i="12"/>
  <c r="J39" i="8" s="1"/>
  <c r="N52" i="12"/>
  <c r="J41" i="8" s="1"/>
  <c r="N41" i="12"/>
  <c r="N72" i="12"/>
  <c r="J61" i="8" s="1"/>
  <c r="N58" i="12"/>
  <c r="J47" i="8" s="1"/>
  <c r="N47" i="12"/>
  <c r="J36" i="8" s="1"/>
  <c r="N51" i="12"/>
  <c r="J40" i="8" s="1"/>
  <c r="N55" i="12"/>
  <c r="J44" i="8" s="1"/>
  <c r="N60" i="12"/>
  <c r="J49" i="8" s="1"/>
  <c r="N62" i="12"/>
  <c r="J51" i="8" s="1"/>
  <c r="N54" i="12"/>
  <c r="J43" i="8" s="1"/>
  <c r="N49" i="12"/>
  <c r="J38" i="8" s="1"/>
  <c r="N53" i="12"/>
  <c r="N56" i="12"/>
  <c r="N64" i="12"/>
  <c r="J53" i="8" s="1"/>
  <c r="T46" i="12"/>
  <c r="P35" i="8" s="1"/>
  <c r="T60" i="12"/>
  <c r="P49" i="8" s="1"/>
  <c r="T50" i="12"/>
  <c r="P39" i="8" s="1"/>
  <c r="T58" i="12"/>
  <c r="P47" i="8" s="1"/>
  <c r="T56" i="12"/>
  <c r="T54" i="12"/>
  <c r="P43" i="8" s="1"/>
  <c r="T47" i="12"/>
  <c r="P36" i="8" s="1"/>
  <c r="T53" i="12"/>
  <c r="T62" i="12"/>
  <c r="P51" i="8" s="1"/>
  <c r="T49" i="12"/>
  <c r="P38" i="8" s="1"/>
  <c r="T51" i="12"/>
  <c r="P40" i="8" s="1"/>
  <c r="T52" i="12"/>
  <c r="P41" i="8" s="1"/>
  <c r="T64" i="12"/>
  <c r="P53" i="8" s="1"/>
  <c r="M74" i="12"/>
  <c r="I63" i="8" s="1"/>
  <c r="V74" i="12"/>
  <c r="R63" i="8" s="1"/>
  <c r="K74" i="12"/>
  <c r="G63" i="8" s="1"/>
  <c r="L72" i="12"/>
  <c r="H61" i="8" s="1"/>
  <c r="F72" i="12"/>
  <c r="B61" i="8" s="1"/>
  <c r="AK70" i="12"/>
  <c r="AG59" i="8" s="1"/>
  <c r="G70" i="12"/>
  <c r="C59" i="8" s="1"/>
  <c r="H68" i="12"/>
  <c r="D57" i="8" s="1"/>
  <c r="AH68" i="12"/>
  <c r="AD57" i="8" s="1"/>
  <c r="AB66" i="12"/>
  <c r="X55" i="8" s="1"/>
  <c r="J66" i="12"/>
  <c r="F55" i="8" s="1"/>
  <c r="AH64" i="12"/>
  <c r="AD53" i="8" s="1"/>
  <c r="G56" i="12"/>
  <c r="T55" i="12"/>
  <c r="P44" i="8" s="1"/>
  <c r="W51" i="12"/>
  <c r="S40" i="8" s="1"/>
  <c r="AK49" i="12"/>
  <c r="AG38" i="8" s="1"/>
  <c r="Z54" i="12"/>
  <c r="V43" i="8" s="1"/>
  <c r="AH50" i="12"/>
  <c r="AD39" i="8" s="1"/>
  <c r="AB46" i="12"/>
  <c r="X35" i="8" s="1"/>
  <c r="X57" i="11"/>
  <c r="X53" i="11"/>
  <c r="T10" i="8" s="1"/>
  <c r="X60" i="11"/>
  <c r="T17" i="8" s="1"/>
  <c r="X66" i="11"/>
  <c r="T23" i="8" s="1"/>
  <c r="X58" i="11"/>
  <c r="T15" i="8" s="1"/>
  <c r="AK60" i="12"/>
  <c r="AG49" i="8" s="1"/>
  <c r="AB57" i="12"/>
  <c r="X46" i="8" s="1"/>
  <c r="I47" i="12"/>
  <c r="E36" i="8" s="1"/>
  <c r="I51" i="12"/>
  <c r="E40" i="8" s="1"/>
  <c r="I60" i="12"/>
  <c r="E49" i="8" s="1"/>
  <c r="I68" i="12"/>
  <c r="E57" i="8" s="1"/>
  <c r="I70" i="12"/>
  <c r="E59" i="8" s="1"/>
  <c r="I54" i="12"/>
  <c r="E43" i="8" s="1"/>
  <c r="I49" i="12"/>
  <c r="E38" i="8" s="1"/>
  <c r="I55" i="12"/>
  <c r="E44" i="8" s="1"/>
  <c r="I48" i="12"/>
  <c r="E37" i="8" s="1"/>
  <c r="I64" i="12"/>
  <c r="E53" i="8" s="1"/>
  <c r="I52" i="12"/>
  <c r="E41" i="8" s="1"/>
  <c r="I58" i="12"/>
  <c r="E47" i="8" s="1"/>
  <c r="I46" i="12"/>
  <c r="E35" i="8" s="1"/>
  <c r="I53" i="12"/>
  <c r="I72" i="12"/>
  <c r="E61" i="8" s="1"/>
  <c r="I50" i="12"/>
  <c r="E39" i="8" s="1"/>
  <c r="I62" i="12"/>
  <c r="E51" i="8" s="1"/>
  <c r="O51" i="12"/>
  <c r="K40" i="8" s="1"/>
  <c r="O61" i="12"/>
  <c r="K50" i="8" s="1"/>
  <c r="O60" i="12"/>
  <c r="K49" i="8" s="1"/>
  <c r="O49" i="12"/>
  <c r="K38" i="8" s="1"/>
  <c r="O53" i="12"/>
  <c r="O68" i="12"/>
  <c r="K57" i="8" s="1"/>
  <c r="O48" i="12"/>
  <c r="K37" i="8" s="1"/>
  <c r="O58" i="12"/>
  <c r="K47" i="8" s="1"/>
  <c r="O64" i="12"/>
  <c r="K53" i="8" s="1"/>
  <c r="O46" i="12"/>
  <c r="K35" i="8" s="1"/>
  <c r="O66" i="12"/>
  <c r="K55" i="8" s="1"/>
  <c r="O50" i="12"/>
  <c r="K39" i="8" s="1"/>
  <c r="O54" i="12"/>
  <c r="K43" i="8" s="1"/>
  <c r="O62" i="12"/>
  <c r="K51" i="8" s="1"/>
  <c r="O72" i="12"/>
  <c r="K61" i="8" s="1"/>
  <c r="O52" i="12"/>
  <c r="K41" i="8" s="1"/>
  <c r="O56" i="12"/>
  <c r="U52" i="12"/>
  <c r="Q41" i="8" s="1"/>
  <c r="U54" i="12"/>
  <c r="Q43" i="8" s="1"/>
  <c r="U47" i="12"/>
  <c r="Q36" i="8" s="1"/>
  <c r="U55" i="12"/>
  <c r="Q44" i="8" s="1"/>
  <c r="U62" i="12"/>
  <c r="Q51" i="8" s="1"/>
  <c r="U49" i="12"/>
  <c r="Q38" i="8" s="1"/>
  <c r="U53" i="12"/>
  <c r="U72" i="12"/>
  <c r="Q61" i="8" s="1"/>
  <c r="U51" i="12"/>
  <c r="Q40" i="8" s="1"/>
  <c r="U64" i="12"/>
  <c r="Q53" i="8" s="1"/>
  <c r="U48" i="12"/>
  <c r="Q37" i="8" s="1"/>
  <c r="U46" i="12"/>
  <c r="Q35" i="8" s="1"/>
  <c r="U50" i="12"/>
  <c r="Q39" i="8" s="1"/>
  <c r="U68" i="12"/>
  <c r="Q57" i="8" s="1"/>
  <c r="U70" i="12"/>
  <c r="Q59" i="8" s="1"/>
  <c r="U58" i="12"/>
  <c r="Q47" i="8" s="1"/>
  <c r="U41" i="12"/>
  <c r="U57" i="12"/>
  <c r="Q46" i="8" s="1"/>
  <c r="AA73" i="12"/>
  <c r="W62" i="8" s="1"/>
  <c r="AI73" i="12"/>
  <c r="AE62" i="8" s="1"/>
  <c r="L73" i="12"/>
  <c r="H62" i="8" s="1"/>
  <c r="H73" i="12"/>
  <c r="D62" i="8" s="1"/>
  <c r="AE71" i="12"/>
  <c r="AA60" i="8" s="1"/>
  <c r="G71" i="12"/>
  <c r="C60" i="8" s="1"/>
  <c r="Y71" i="12"/>
  <c r="U60" i="8" s="1"/>
  <c r="AC71" i="12"/>
  <c r="Y60" i="8" s="1"/>
  <c r="AA69" i="12"/>
  <c r="W58" i="8" s="1"/>
  <c r="AI69" i="12"/>
  <c r="AE58" i="8" s="1"/>
  <c r="M69" i="12"/>
  <c r="I58" i="8" s="1"/>
  <c r="I69" i="12"/>
  <c r="E58" i="8" s="1"/>
  <c r="AK67" i="12"/>
  <c r="AG56" i="8" s="1"/>
  <c r="W67" i="12"/>
  <c r="S56" i="8" s="1"/>
  <c r="Y67" i="12"/>
  <c r="U56" i="8" s="1"/>
  <c r="AA67" i="12"/>
  <c r="W56" i="8" s="1"/>
  <c r="Q65" i="12"/>
  <c r="M54" i="8" s="1"/>
  <c r="S65" i="12"/>
  <c r="O54" i="8" s="1"/>
  <c r="U65" i="12"/>
  <c r="Q54" i="8" s="1"/>
  <c r="G65" i="12"/>
  <c r="C54" i="8" s="1"/>
  <c r="AD63" i="12"/>
  <c r="Z52" i="8" s="1"/>
  <c r="X63" i="12"/>
  <c r="T52" i="8" s="1"/>
  <c r="Z63" i="12"/>
  <c r="V52" i="8" s="1"/>
  <c r="Q61" i="12"/>
  <c r="M50" i="8" s="1"/>
  <c r="S61" i="12"/>
  <c r="O50" i="8" s="1"/>
  <c r="N61" i="12"/>
  <c r="J50" i="8" s="1"/>
  <c r="AD59" i="12"/>
  <c r="Z48" i="8" s="1"/>
  <c r="Y59" i="12"/>
  <c r="U48" i="8" s="1"/>
  <c r="R57" i="12"/>
  <c r="N46" i="8" s="1"/>
  <c r="AK57" i="12"/>
  <c r="AG46" i="8" s="1"/>
  <c r="X57" i="12"/>
  <c r="T46" i="8" s="1"/>
  <c r="AI48" i="12"/>
  <c r="AE37" i="8" s="1"/>
  <c r="F48" i="12"/>
  <c r="B37" i="8" s="1"/>
  <c r="L48" i="12"/>
  <c r="H37" i="8" s="1"/>
  <c r="AC74" i="12"/>
  <c r="Y63" i="8" s="1"/>
  <c r="AL74" i="12"/>
  <c r="AH63" i="8" s="1"/>
  <c r="S74" i="12"/>
  <c r="O63" i="8" s="1"/>
  <c r="AC72" i="12"/>
  <c r="Y61" i="8" s="1"/>
  <c r="AD72" i="12"/>
  <c r="Z61" i="8" s="1"/>
  <c r="H70" i="12"/>
  <c r="D59" i="8" s="1"/>
  <c r="O70" i="12"/>
  <c r="K59" i="8" s="1"/>
  <c r="Q68" i="12"/>
  <c r="M57" i="8" s="1"/>
  <c r="S68" i="12"/>
  <c r="O57" i="8" s="1"/>
  <c r="U66" i="12"/>
  <c r="Q55" i="8" s="1"/>
  <c r="R66" i="12"/>
  <c r="N55" i="8" s="1"/>
  <c r="I56" i="12"/>
  <c r="Y51" i="12"/>
  <c r="U40" i="8" s="1"/>
  <c r="K58" i="12"/>
  <c r="G47" i="8" s="1"/>
  <c r="AJ50" i="12"/>
  <c r="AF39" i="8" s="1"/>
  <c r="V46" i="12"/>
  <c r="R35" i="8" s="1"/>
  <c r="X74" i="11"/>
  <c r="X61" i="11"/>
  <c r="T18" i="8" s="1"/>
  <c r="L57" i="12"/>
  <c r="H46" i="8" s="1"/>
  <c r="T61" i="12"/>
  <c r="P50" i="8" s="1"/>
  <c r="G47" i="12"/>
  <c r="C36" i="8" s="1"/>
  <c r="G55" i="12"/>
  <c r="C44" i="8" s="1"/>
  <c r="G51" i="12"/>
  <c r="C40" i="8" s="1"/>
  <c r="G60" i="12"/>
  <c r="C49" i="8" s="1"/>
  <c r="G49" i="12"/>
  <c r="C38" i="8" s="1"/>
  <c r="G48" i="12"/>
  <c r="C37" i="8" s="1"/>
  <c r="G58" i="12"/>
  <c r="C47" i="8" s="1"/>
  <c r="G53" i="12"/>
  <c r="G64" i="12"/>
  <c r="C53" i="8" s="1"/>
  <c r="G46" i="12"/>
  <c r="C35" i="8" s="1"/>
  <c r="G54" i="12"/>
  <c r="C43" i="8" s="1"/>
  <c r="G50" i="12"/>
  <c r="C39" i="8" s="1"/>
  <c r="G62" i="12"/>
  <c r="C51" i="8" s="1"/>
  <c r="G72" i="12"/>
  <c r="C61" i="8" s="1"/>
  <c r="M54" i="12"/>
  <c r="I43" i="8" s="1"/>
  <c r="M51" i="12"/>
  <c r="I40" i="8" s="1"/>
  <c r="M47" i="12"/>
  <c r="I36" i="8" s="1"/>
  <c r="M55" i="12"/>
  <c r="I44" i="8" s="1"/>
  <c r="M72" i="12"/>
  <c r="I61" i="8" s="1"/>
  <c r="M62" i="12"/>
  <c r="I51" i="8" s="1"/>
  <c r="M49" i="12"/>
  <c r="I38" i="8" s="1"/>
  <c r="M64" i="12"/>
  <c r="I53" i="8" s="1"/>
  <c r="M48" i="12"/>
  <c r="I37" i="8" s="1"/>
  <c r="M52" i="12"/>
  <c r="I41" i="8" s="1"/>
  <c r="M53" i="12"/>
  <c r="M46" i="12"/>
  <c r="I35" i="8" s="1"/>
  <c r="M66" i="12"/>
  <c r="I55" i="8" s="1"/>
  <c r="M70" i="12"/>
  <c r="I59" i="8" s="1"/>
  <c r="M50" i="12"/>
  <c r="I39" i="8" s="1"/>
  <c r="F73" i="12"/>
  <c r="B62" i="8" s="1"/>
  <c r="T73" i="12"/>
  <c r="P62" i="8" s="1"/>
  <c r="P73" i="12"/>
  <c r="L62" i="8" s="1"/>
  <c r="J71" i="12"/>
  <c r="F60" i="8" s="1"/>
  <c r="W71" i="12"/>
  <c r="S60" i="8" s="1"/>
  <c r="AK71" i="12"/>
  <c r="AG60" i="8" s="1"/>
  <c r="N69" i="12"/>
  <c r="J58" i="8" s="1"/>
  <c r="F69" i="12"/>
  <c r="B58" i="8" s="1"/>
  <c r="Q69" i="12"/>
  <c r="M58" i="8" s="1"/>
  <c r="F67" i="12"/>
  <c r="B56" i="8" s="1"/>
  <c r="AE67" i="12"/>
  <c r="AA56" i="8" s="1"/>
  <c r="AI67" i="12"/>
  <c r="AE56" i="8" s="1"/>
  <c r="Y65" i="12"/>
  <c r="U54" i="8" s="1"/>
  <c r="AA65" i="12"/>
  <c r="W54" i="8" s="1"/>
  <c r="AC65" i="12"/>
  <c r="Y54" i="8" s="1"/>
  <c r="M63" i="12"/>
  <c r="I52" i="8" s="1"/>
  <c r="AL63" i="12"/>
  <c r="AH52" i="8" s="1"/>
  <c r="AF63" i="12"/>
  <c r="AB52" i="8" s="1"/>
  <c r="AH63" i="12"/>
  <c r="AD52" i="8" s="1"/>
  <c r="Y61" i="12"/>
  <c r="U50" i="8" s="1"/>
  <c r="AA61" i="12"/>
  <c r="W50" i="8" s="1"/>
  <c r="M59" i="12"/>
  <c r="I48" i="8" s="1"/>
  <c r="AL59" i="12"/>
  <c r="AH48" i="8" s="1"/>
  <c r="Z57" i="12"/>
  <c r="V46" i="8" s="1"/>
  <c r="F57" i="12"/>
  <c r="B46" i="8" s="1"/>
  <c r="AF57" i="12"/>
  <c r="AB46" i="8" s="1"/>
  <c r="X41" i="12"/>
  <c r="R60" i="12"/>
  <c r="N49" i="8" s="1"/>
  <c r="AA62" i="12"/>
  <c r="W51" i="8" s="1"/>
  <c r="AA49" i="12"/>
  <c r="W38" i="8" s="1"/>
  <c r="AA53" i="12"/>
  <c r="AA48" i="12"/>
  <c r="W37" i="8" s="1"/>
  <c r="AA52" i="12"/>
  <c r="W41" i="8" s="1"/>
  <c r="AA64" i="12"/>
  <c r="W53" i="8" s="1"/>
  <c r="AA70" i="12"/>
  <c r="W59" i="8" s="1"/>
  <c r="AA46" i="12"/>
  <c r="W35" i="8" s="1"/>
  <c r="AA51" i="12"/>
  <c r="W40" i="8" s="1"/>
  <c r="AA55" i="12"/>
  <c r="W44" i="8" s="1"/>
  <c r="AA60" i="12"/>
  <c r="W49" i="8" s="1"/>
  <c r="AA66" i="12"/>
  <c r="W55" i="8" s="1"/>
  <c r="AA50" i="12"/>
  <c r="W39" i="8" s="1"/>
  <c r="AA58" i="12"/>
  <c r="W47" i="8" s="1"/>
  <c r="AA72" i="12"/>
  <c r="W61" i="8" s="1"/>
  <c r="AA54" i="12"/>
  <c r="W43" i="8" s="1"/>
  <c r="AA68" i="12"/>
  <c r="W57" i="8" s="1"/>
  <c r="AA74" i="12"/>
  <c r="W63" i="8" s="1"/>
  <c r="AG48" i="12"/>
  <c r="AC37" i="8" s="1"/>
  <c r="AG62" i="12"/>
  <c r="AC51" i="8" s="1"/>
  <c r="AG66" i="12"/>
  <c r="AC55" i="8" s="1"/>
  <c r="AG46" i="12"/>
  <c r="AC35" i="8" s="1"/>
  <c r="AG68" i="12"/>
  <c r="AC57" i="8" s="1"/>
  <c r="AG50" i="12"/>
  <c r="AC39" i="8" s="1"/>
  <c r="AG52" i="12"/>
  <c r="AC41" i="8" s="1"/>
  <c r="AG41" i="12"/>
  <c r="AG53" i="12"/>
  <c r="AG56" i="12"/>
  <c r="AG54" i="12"/>
  <c r="AC43" i="8" s="1"/>
  <c r="AG47" i="12"/>
  <c r="AC36" i="8" s="1"/>
  <c r="AG51" i="12"/>
  <c r="AC40" i="8" s="1"/>
  <c r="AG60" i="12"/>
  <c r="AC49" i="8" s="1"/>
  <c r="U74" i="12"/>
  <c r="Q63" i="8" s="1"/>
  <c r="P74" i="12"/>
  <c r="L63" i="8" s="1"/>
  <c r="G74" i="12"/>
  <c r="C63" i="8" s="1"/>
  <c r="AI74" i="12"/>
  <c r="AE63" i="8" s="1"/>
  <c r="P72" i="12"/>
  <c r="L61" i="8" s="1"/>
  <c r="AL72" i="12"/>
  <c r="AH61" i="8" s="1"/>
  <c r="Y70" i="12"/>
  <c r="U59" i="8" s="1"/>
  <c r="J70" i="12"/>
  <c r="F59" i="8" s="1"/>
  <c r="T68" i="12"/>
  <c r="P57" i="8" s="1"/>
  <c r="V68" i="12"/>
  <c r="R57" i="8" s="1"/>
  <c r="N66" i="12"/>
  <c r="J55" i="8" s="1"/>
  <c r="F64" i="12"/>
  <c r="B53" i="8" s="1"/>
  <c r="S53" i="12"/>
  <c r="AB51" i="12"/>
  <c r="X40" i="8" s="1"/>
  <c r="AA47" i="12"/>
  <c r="W36" i="8" s="1"/>
  <c r="M58" i="12"/>
  <c r="I47" i="8" s="1"/>
  <c r="AI52" i="12"/>
  <c r="AE41" i="8" s="1"/>
  <c r="AD50" i="12"/>
  <c r="Z39" i="8" s="1"/>
  <c r="L49" i="12"/>
  <c r="H38" i="8" s="1"/>
  <c r="AI47" i="12"/>
  <c r="AE36" i="8" s="1"/>
  <c r="L62" i="12"/>
  <c r="H51" i="8" s="1"/>
  <c r="AL62" i="12"/>
  <c r="AH51" i="8" s="1"/>
  <c r="F58" i="12"/>
  <c r="B47" i="8" s="1"/>
  <c r="F54" i="12"/>
  <c r="B43" i="8" s="1"/>
  <c r="AL50" i="12"/>
  <c r="AH39" i="8" s="1"/>
  <c r="AL70" i="12"/>
  <c r="AH59" i="8" s="1"/>
  <c r="F68" i="12"/>
  <c r="B57" i="8" s="1"/>
  <c r="AI68" i="12"/>
  <c r="AE57" i="8" s="1"/>
  <c r="AL66" i="12"/>
  <c r="AH55" i="8" s="1"/>
  <c r="F60" i="12"/>
  <c r="B49" i="8" s="1"/>
  <c r="AI55" i="12"/>
  <c r="AE44" i="8" s="1"/>
  <c r="F55" i="12"/>
  <c r="B44" i="8" s="1"/>
  <c r="F51" i="12"/>
  <c r="B40" i="8" s="1"/>
  <c r="L47" i="12"/>
  <c r="H36" i="8" s="1"/>
  <c r="F47" i="12"/>
  <c r="B36" i="8" s="1"/>
  <c r="AL58" i="12"/>
  <c r="AH47" i="8" s="1"/>
  <c r="AI54" i="12"/>
  <c r="AE43" i="8" s="1"/>
  <c r="AL46" i="12"/>
  <c r="AH35" i="8" s="1"/>
  <c r="AL51" i="12"/>
  <c r="AH40" i="8" s="1"/>
  <c r="AI58" i="12"/>
  <c r="AE47" i="8" s="1"/>
  <c r="L54" i="12"/>
  <c r="H43" i="8" s="1"/>
  <c r="AL48" i="12"/>
  <c r="AH37" i="8" s="1"/>
  <c r="AL64" i="12"/>
  <c r="AH53" i="8" s="1"/>
  <c r="L56" i="12"/>
  <c r="AL56" i="12"/>
  <c r="AL53" i="12"/>
  <c r="L51" i="12"/>
  <c r="H40" i="8" s="1"/>
  <c r="AL49" i="12"/>
  <c r="AH38" i="8" s="1"/>
  <c r="F41" i="12"/>
  <c r="L58" i="12"/>
  <c r="H47" i="8" s="1"/>
  <c r="AL54" i="12"/>
  <c r="AH43" i="8" s="1"/>
  <c r="F52" i="12"/>
  <c r="B41" i="8" s="1"/>
  <c r="AI50" i="12"/>
  <c r="AE39" i="8" s="1"/>
  <c r="AL68" i="12"/>
  <c r="AH57" i="8" s="1"/>
  <c r="AI66" i="12"/>
  <c r="AE55" i="8" s="1"/>
  <c r="AI60" i="12"/>
  <c r="AE49" i="8" s="1"/>
  <c r="AI51" i="12"/>
  <c r="AE40" i="8" s="1"/>
  <c r="L50" i="12"/>
  <c r="H39" i="8" s="1"/>
  <c r="F50" i="12"/>
  <c r="B39" i="8" s="1"/>
  <c r="AI46" i="12"/>
  <c r="AE35" i="8" s="1"/>
  <c r="F70" i="12"/>
  <c r="B59" i="8" s="1"/>
  <c r="AI70" i="12"/>
  <c r="AE59" i="8" s="1"/>
  <c r="L68" i="12"/>
  <c r="H57" i="8" s="1"/>
  <c r="L66" i="12"/>
  <c r="H55" i="8" s="1"/>
  <c r="F66" i="12"/>
  <c r="B55" i="8" s="1"/>
  <c r="L60" i="12"/>
  <c r="H49" i="8" s="1"/>
  <c r="AL60" i="12"/>
  <c r="AH49" i="8" s="1"/>
  <c r="AI63" i="12"/>
  <c r="AE52" i="8" s="1"/>
  <c r="AL55" i="12"/>
  <c r="AH44" i="8" s="1"/>
  <c r="AL47" i="12"/>
  <c r="AH36" i="8" s="1"/>
  <c r="L46" i="12"/>
  <c r="H35" i="8" s="1"/>
  <c r="F46" i="12"/>
  <c r="B35" i="8" s="1"/>
  <c r="AI64" i="12"/>
  <c r="AE53" i="8" s="1"/>
  <c r="L55" i="12"/>
  <c r="H44" i="8" s="1"/>
  <c r="AI53" i="12"/>
  <c r="T41" i="11"/>
  <c r="V63" i="11"/>
  <c r="R20" i="8" s="1"/>
  <c r="L57" i="11"/>
  <c r="J68" i="11"/>
  <c r="F25" i="8" s="1"/>
  <c r="AH70" i="11"/>
  <c r="AD27" i="8" s="1"/>
  <c r="Q41" i="11"/>
  <c r="AC41" i="11"/>
  <c r="F67" i="11"/>
  <c r="B24" i="8" s="1"/>
  <c r="N63" i="11"/>
  <c r="J20" i="8" s="1"/>
  <c r="Y73" i="11"/>
  <c r="AG74" i="11"/>
  <c r="G63" i="11"/>
  <c r="C20" i="8" s="1"/>
  <c r="AJ56" i="11"/>
  <c r="AI62" i="11"/>
  <c r="AE19" i="8" s="1"/>
  <c r="K53" i="11"/>
  <c r="G10" i="8" s="1"/>
  <c r="H49" i="11"/>
  <c r="D6" i="8" s="1"/>
  <c r="G67" i="11"/>
  <c r="C24" i="8" s="1"/>
  <c r="K67" i="11"/>
  <c r="G24" i="8" s="1"/>
  <c r="M69" i="11"/>
  <c r="I26" i="8" s="1"/>
  <c r="K68" i="11"/>
  <c r="G25" i="8" s="1"/>
  <c r="F54" i="11"/>
  <c r="B11" i="8" s="1"/>
  <c r="I49" i="11"/>
  <c r="E6" i="8" s="1"/>
  <c r="AH47" i="11"/>
  <c r="S58" i="11"/>
  <c r="O15" i="8" s="1"/>
  <c r="R63" i="11"/>
  <c r="N20" i="8" s="1"/>
  <c r="Q63" i="11"/>
  <c r="M20" i="8" s="1"/>
  <c r="T51" i="11"/>
  <c r="P8" i="8" s="1"/>
  <c r="M49" i="11"/>
  <c r="I6" i="8" s="1"/>
  <c r="AL74" i="11"/>
  <c r="J60" i="11"/>
  <c r="F17" i="8" s="1"/>
  <c r="J67" i="11"/>
  <c r="F24" i="8" s="1"/>
  <c r="M47" i="11"/>
  <c r="AB55" i="11"/>
  <c r="X12" i="8" s="1"/>
  <c r="Z72" i="11"/>
  <c r="AH63" i="11"/>
  <c r="AD20" i="8" s="1"/>
  <c r="J57" i="11"/>
  <c r="AH54" i="11"/>
  <c r="AD11" i="8" s="1"/>
  <c r="J63" i="11"/>
  <c r="F20" i="8" s="1"/>
  <c r="AH49" i="11"/>
  <c r="AD6" i="8" s="1"/>
  <c r="AH67" i="11"/>
  <c r="AD24" i="8" s="1"/>
  <c r="AA57" i="11"/>
  <c r="S74" i="11"/>
  <c r="AJ70" i="11"/>
  <c r="AF27" i="8" s="1"/>
  <c r="Y69" i="11"/>
  <c r="U26" i="8" s="1"/>
  <c r="AG49" i="11"/>
  <c r="AC6" i="8" s="1"/>
  <c r="AG64" i="11"/>
  <c r="AC21" i="8" s="1"/>
  <c r="M67" i="11"/>
  <c r="I24" i="8" s="1"/>
  <c r="AK59" i="11"/>
  <c r="AG16" i="8" s="1"/>
  <c r="AK47" i="11"/>
  <c r="AK57" i="11"/>
  <c r="O70" i="11"/>
  <c r="K27" i="8" s="1"/>
  <c r="AB61" i="11"/>
  <c r="X18" i="8" s="1"/>
  <c r="AJ74" i="11"/>
  <c r="Z66" i="11"/>
  <c r="V23" i="8" s="1"/>
  <c r="S62" i="11"/>
  <c r="O19" i="8" s="1"/>
  <c r="S61" i="11"/>
  <c r="O18" i="8" s="1"/>
  <c r="S53" i="11"/>
  <c r="O10" i="8" s="1"/>
  <c r="M53" i="11"/>
  <c r="I10" i="8" s="1"/>
  <c r="K57" i="11"/>
  <c r="Q70" i="11"/>
  <c r="M27" i="8" s="1"/>
  <c r="S46" i="11"/>
  <c r="O67" i="11"/>
  <c r="K24" i="8" s="1"/>
  <c r="AA59" i="11"/>
  <c r="W16" i="8" s="1"/>
  <c r="M61" i="11"/>
  <c r="I18" i="8" s="1"/>
  <c r="O46" i="11"/>
  <c r="S66" i="11"/>
  <c r="O23" i="8" s="1"/>
  <c r="O59" i="11"/>
  <c r="K16" i="8" s="1"/>
  <c r="AI70" i="11"/>
  <c r="AE27" i="8" s="1"/>
  <c r="I41" i="11"/>
  <c r="K63" i="11"/>
  <c r="G20" i="8" s="1"/>
  <c r="T49" i="11"/>
  <c r="P6" i="8" s="1"/>
  <c r="AB41" i="11"/>
  <c r="S67" i="11"/>
  <c r="O24" i="8" s="1"/>
  <c r="N67" i="11"/>
  <c r="J24" i="8" s="1"/>
  <c r="G59" i="11"/>
  <c r="C16" i="8" s="1"/>
  <c r="Y47" i="11"/>
  <c r="W41" i="11"/>
  <c r="AF69" i="11"/>
  <c r="AB26" i="8" s="1"/>
  <c r="AJ57" i="11"/>
  <c r="AE66" i="11"/>
  <c r="AA23" i="8" s="1"/>
  <c r="L74" i="11"/>
  <c r="S70" i="11"/>
  <c r="O27" i="8" s="1"/>
  <c r="Y64" i="11"/>
  <c r="U21" i="8" s="1"/>
  <c r="AF41" i="11"/>
  <c r="AK64" i="11"/>
  <c r="AG21" i="8" s="1"/>
  <c r="AD41" i="11"/>
  <c r="S59" i="11"/>
  <c r="O16" i="8" s="1"/>
  <c r="F50" i="11"/>
  <c r="B7" i="8" s="1"/>
  <c r="M41" i="11"/>
  <c r="AK63" i="11"/>
  <c r="AG20" i="8" s="1"/>
  <c r="Y63" i="11"/>
  <c r="U20" i="8" s="1"/>
  <c r="AJ49" i="11"/>
  <c r="AF6" i="8" s="1"/>
  <c r="Z54" i="11"/>
  <c r="V11" i="8" s="1"/>
  <c r="J71" i="11"/>
  <c r="F28" i="8" s="1"/>
  <c r="AK74" i="11"/>
  <c r="K70" i="11"/>
  <c r="G27" i="8" s="1"/>
  <c r="AH64" i="11"/>
  <c r="AD21" i="8" s="1"/>
  <c r="AA62" i="11"/>
  <c r="W19" i="8" s="1"/>
  <c r="AH51" i="11"/>
  <c r="AD8" i="8" s="1"/>
  <c r="J50" i="11"/>
  <c r="F7" i="8" s="1"/>
  <c r="K71" i="11"/>
  <c r="G28" i="8" s="1"/>
  <c r="Z63" i="11"/>
  <c r="V20" i="8" s="1"/>
  <c r="AB63" i="11"/>
  <c r="X20" i="8" s="1"/>
  <c r="S47" i="11"/>
  <c r="AA67" i="11"/>
  <c r="W24" i="8" s="1"/>
  <c r="K59" i="11"/>
  <c r="G16" i="8" s="1"/>
  <c r="G41" i="11"/>
  <c r="M64" i="11"/>
  <c r="I21" i="8" s="1"/>
  <c r="Y57" i="11"/>
  <c r="M60" i="11"/>
  <c r="I17" i="8" s="1"/>
  <c r="V59" i="11"/>
  <c r="R16" i="8" s="1"/>
  <c r="F70" i="11"/>
  <c r="B27" i="8" s="1"/>
  <c r="AJ64" i="11"/>
  <c r="AF21" i="8" s="1"/>
  <c r="G62" i="11"/>
  <c r="C19" i="8" s="1"/>
  <c r="AH56" i="11"/>
  <c r="S65" i="11"/>
  <c r="O22" i="8" s="1"/>
  <c r="S51" i="11"/>
  <c r="O8" i="8" s="1"/>
  <c r="S73" i="11"/>
  <c r="X71" i="11"/>
  <c r="T28" i="8" s="1"/>
  <c r="U59" i="11"/>
  <c r="Q16" i="8" s="1"/>
  <c r="S63" i="11"/>
  <c r="O20" i="8" s="1"/>
  <c r="AL63" i="11"/>
  <c r="AH20" i="8" s="1"/>
  <c r="AK49" i="11"/>
  <c r="AG6" i="8" s="1"/>
  <c r="T70" i="11"/>
  <c r="P27" i="8" s="1"/>
  <c r="AG67" i="11"/>
  <c r="AC24" i="8" s="1"/>
  <c r="AG59" i="11"/>
  <c r="AC16" i="8" s="1"/>
  <c r="AJ59" i="11"/>
  <c r="AF16" i="8" s="1"/>
  <c r="AH41" i="11"/>
  <c r="AG57" i="11"/>
  <c r="AG66" i="11"/>
  <c r="AC23" i="8" s="1"/>
  <c r="N64" i="11"/>
  <c r="J21" i="8" s="1"/>
  <c r="Z62" i="11"/>
  <c r="V19" i="8" s="1"/>
  <c r="S56" i="11"/>
  <c r="AG65" i="11"/>
  <c r="AC22" i="8" s="1"/>
  <c r="P73" i="11"/>
  <c r="I74" i="11"/>
  <c r="W63" i="11"/>
  <c r="S20" i="8" s="1"/>
  <c r="Z52" i="11"/>
  <c r="V9" i="8" s="1"/>
  <c r="AK66" i="11"/>
  <c r="AG23" i="8" s="1"/>
  <c r="AA73" i="11"/>
  <c r="S55" i="11"/>
  <c r="O12" i="8" s="1"/>
  <c r="V49" i="11"/>
  <c r="R6" i="8" s="1"/>
  <c r="AC68" i="11"/>
  <c r="Y25" i="8" s="1"/>
  <c r="AC71" i="11"/>
  <c r="Y28" i="8" s="1"/>
  <c r="AC65" i="11"/>
  <c r="Y22" i="8" s="1"/>
  <c r="AC50" i="11"/>
  <c r="Y7" i="8" s="1"/>
  <c r="AC63" i="11"/>
  <c r="Y20" i="8" s="1"/>
  <c r="AC61" i="11"/>
  <c r="Y18" i="8" s="1"/>
  <c r="AC52" i="11"/>
  <c r="Y9" i="8" s="1"/>
  <c r="AC60" i="11"/>
  <c r="Y17" i="8" s="1"/>
  <c r="AC64" i="11"/>
  <c r="Y21" i="8" s="1"/>
  <c r="AC66" i="11"/>
  <c r="Y23" i="8" s="1"/>
  <c r="AC56" i="11"/>
  <c r="W69" i="11"/>
  <c r="S26" i="8" s="1"/>
  <c r="AC69" i="11"/>
  <c r="Y26" i="8" s="1"/>
  <c r="W57" i="11"/>
  <c r="R52" i="11"/>
  <c r="N9" i="8" s="1"/>
  <c r="R60" i="11"/>
  <c r="N17" i="8" s="1"/>
  <c r="R59" i="11"/>
  <c r="N16" i="8" s="1"/>
  <c r="R56" i="11"/>
  <c r="R65" i="11"/>
  <c r="N22" i="8" s="1"/>
  <c r="R58" i="11"/>
  <c r="N15" i="8" s="1"/>
  <c r="R57" i="11"/>
  <c r="R47" i="11"/>
  <c r="H74" i="11"/>
  <c r="R74" i="11"/>
  <c r="I68" i="11"/>
  <c r="E25" i="8" s="1"/>
  <c r="W58" i="11"/>
  <c r="S15" i="8" s="1"/>
  <c r="L51" i="11"/>
  <c r="H8" i="8" s="1"/>
  <c r="AF73" i="11"/>
  <c r="AL53" i="11"/>
  <c r="AH10" i="8" s="1"/>
  <c r="AC55" i="11"/>
  <c r="Y12" i="8" s="1"/>
  <c r="AC72" i="11"/>
  <c r="I59" i="11"/>
  <c r="E16" i="8" s="1"/>
  <c r="T47" i="11"/>
  <c r="O50" i="11"/>
  <c r="K7" i="8" s="1"/>
  <c r="O72" i="11"/>
  <c r="O63" i="11"/>
  <c r="K20" i="8" s="1"/>
  <c r="O64" i="11"/>
  <c r="K21" i="8" s="1"/>
  <c r="O57" i="11"/>
  <c r="O48" i="11"/>
  <c r="K5" i="8" s="1"/>
  <c r="O71" i="11"/>
  <c r="K28" i="8" s="1"/>
  <c r="O47" i="11"/>
  <c r="O73" i="11"/>
  <c r="O52" i="11"/>
  <c r="K9" i="8" s="1"/>
  <c r="O58" i="11"/>
  <c r="K15" i="8" s="1"/>
  <c r="O49" i="11"/>
  <c r="K6" i="8" s="1"/>
  <c r="O60" i="11"/>
  <c r="K17" i="8" s="1"/>
  <c r="O62" i="11"/>
  <c r="K19" i="8" s="1"/>
  <c r="O66" i="11"/>
  <c r="K23" i="8" s="1"/>
  <c r="F63" i="11"/>
  <c r="B20" i="8" s="1"/>
  <c r="AI63" i="11"/>
  <c r="AE20" i="8" s="1"/>
  <c r="AG63" i="11"/>
  <c r="AC20" i="8" s="1"/>
  <c r="Y49" i="11"/>
  <c r="U6" i="8" s="1"/>
  <c r="AB49" i="11"/>
  <c r="X6" i="8" s="1"/>
  <c r="M70" i="11"/>
  <c r="I27" i="8" s="1"/>
  <c r="AJ51" i="11"/>
  <c r="AF8" i="8" s="1"/>
  <c r="K41" i="11"/>
  <c r="AD59" i="11"/>
  <c r="Z16" i="8" s="1"/>
  <c r="AD53" i="11"/>
  <c r="Z10" i="8" s="1"/>
  <c r="AD56" i="11"/>
  <c r="AD51" i="11"/>
  <c r="Z8" i="8" s="1"/>
  <c r="AD60" i="11"/>
  <c r="Z17" i="8" s="1"/>
  <c r="AD70" i="11"/>
  <c r="Z27" i="8" s="1"/>
  <c r="AD74" i="11"/>
  <c r="AD65" i="11"/>
  <c r="Z22" i="8" s="1"/>
  <c r="AD64" i="11"/>
  <c r="Z21" i="8" s="1"/>
  <c r="AD48" i="11"/>
  <c r="Z5" i="8" s="1"/>
  <c r="AD50" i="11"/>
  <c r="Z7" i="8" s="1"/>
  <c r="AD52" i="11"/>
  <c r="Z9" i="8" s="1"/>
  <c r="AD46" i="11"/>
  <c r="AD55" i="11"/>
  <c r="Z12" i="8" s="1"/>
  <c r="AD73" i="11"/>
  <c r="AD54" i="11"/>
  <c r="Z11" i="8" s="1"/>
  <c r="AD71" i="11"/>
  <c r="Z28" i="8" s="1"/>
  <c r="AD49" i="11"/>
  <c r="Z6" i="8" s="1"/>
  <c r="AD61" i="11"/>
  <c r="Z18" i="8" s="1"/>
  <c r="AD68" i="11"/>
  <c r="Z25" i="8" s="1"/>
  <c r="AD69" i="11"/>
  <c r="Z26" i="8" s="1"/>
  <c r="AE67" i="11"/>
  <c r="AA24" i="8" s="1"/>
  <c r="Z67" i="11"/>
  <c r="V24" i="8" s="1"/>
  <c r="AD67" i="11"/>
  <c r="Z24" i="8" s="1"/>
  <c r="M59" i="11"/>
  <c r="I16" i="8" s="1"/>
  <c r="F59" i="11"/>
  <c r="B16" i="8" s="1"/>
  <c r="AF59" i="11"/>
  <c r="AB16" i="8" s="1"/>
  <c r="F47" i="11"/>
  <c r="F49" i="11"/>
  <c r="B6" i="8" s="1"/>
  <c r="F69" i="11"/>
  <c r="B26" i="8" s="1"/>
  <c r="J69" i="11"/>
  <c r="F26" i="8" s="1"/>
  <c r="Z57" i="11"/>
  <c r="M57" i="11"/>
  <c r="AE57" i="11"/>
  <c r="AI49" i="11"/>
  <c r="AE6" i="8" s="1"/>
  <c r="Z61" i="11"/>
  <c r="V18" i="8" s="1"/>
  <c r="F74" i="11"/>
  <c r="B31" i="8" s="1"/>
  <c r="AH74" i="11"/>
  <c r="N70" i="11"/>
  <c r="J27" i="8" s="1"/>
  <c r="AF70" i="11"/>
  <c r="AB27" i="8" s="1"/>
  <c r="M68" i="11"/>
  <c r="I25" i="8" s="1"/>
  <c r="AA68" i="11"/>
  <c r="W25" i="8" s="1"/>
  <c r="AF68" i="11"/>
  <c r="AB25" i="8" s="1"/>
  <c r="F66" i="11"/>
  <c r="B23" i="8" s="1"/>
  <c r="AH66" i="11"/>
  <c r="AD23" i="8" s="1"/>
  <c r="Z60" i="11"/>
  <c r="V17" i="8" s="1"/>
  <c r="O54" i="11"/>
  <c r="K11" i="8" s="1"/>
  <c r="J52" i="11"/>
  <c r="F9" i="8" s="1"/>
  <c r="U65" i="11"/>
  <c r="Q22" i="8" s="1"/>
  <c r="O61" i="11"/>
  <c r="K18" i="8" s="1"/>
  <c r="R41" i="11"/>
  <c r="AC51" i="11"/>
  <c r="Y8" i="8" s="1"/>
  <c r="L55" i="11"/>
  <c r="H12" i="8" s="1"/>
  <c r="O53" i="11"/>
  <c r="K10" i="8" s="1"/>
  <c r="F55" i="11"/>
  <c r="B12" i="8" s="1"/>
  <c r="Z46" i="11"/>
  <c r="U72" i="11"/>
  <c r="AE50" i="11"/>
  <c r="AA7" i="8" s="1"/>
  <c r="H48" i="11"/>
  <c r="D5" i="8" s="1"/>
  <c r="H73" i="11"/>
  <c r="H62" i="11"/>
  <c r="D19" i="8" s="1"/>
  <c r="H64" i="11"/>
  <c r="D21" i="8" s="1"/>
  <c r="H66" i="11"/>
  <c r="D23" i="8" s="1"/>
  <c r="H51" i="11"/>
  <c r="D8" i="8" s="1"/>
  <c r="H56" i="11"/>
  <c r="H72" i="11"/>
  <c r="H50" i="11"/>
  <c r="D7" i="8" s="1"/>
  <c r="H46" i="11"/>
  <c r="H55" i="11"/>
  <c r="D12" i="8" s="1"/>
  <c r="H61" i="11"/>
  <c r="D18" i="8" s="1"/>
  <c r="H54" i="11"/>
  <c r="D11" i="8" s="1"/>
  <c r="H67" i="11"/>
  <c r="D24" i="8" s="1"/>
  <c r="H47" i="11"/>
  <c r="Y55" i="11"/>
  <c r="U12" i="8" s="1"/>
  <c r="Y54" i="11"/>
  <c r="U11" i="8" s="1"/>
  <c r="Y62" i="11"/>
  <c r="U19" i="8" s="1"/>
  <c r="Y71" i="11"/>
  <c r="U28" i="8" s="1"/>
  <c r="Y61" i="11"/>
  <c r="U18" i="8" s="1"/>
  <c r="Y52" i="11"/>
  <c r="U9" i="8" s="1"/>
  <c r="Y46" i="11"/>
  <c r="Y65" i="11"/>
  <c r="U22" i="8" s="1"/>
  <c r="Y51" i="11"/>
  <c r="U8" i="8" s="1"/>
  <c r="Y56" i="11"/>
  <c r="Y66" i="11"/>
  <c r="U23" i="8" s="1"/>
  <c r="Y68" i="11"/>
  <c r="U25" i="8" s="1"/>
  <c r="Y74" i="11"/>
  <c r="Y67" i="11"/>
  <c r="U24" i="8" s="1"/>
  <c r="G68" i="11"/>
  <c r="C25" i="8" s="1"/>
  <c r="G72" i="11"/>
  <c r="G46" i="11"/>
  <c r="G53" i="11"/>
  <c r="C10" i="8" s="1"/>
  <c r="G51" i="11"/>
  <c r="C8" i="8" s="1"/>
  <c r="G56" i="11"/>
  <c r="G60" i="11"/>
  <c r="C17" i="8" s="1"/>
  <c r="G70" i="11"/>
  <c r="C27" i="8" s="1"/>
  <c r="G61" i="11"/>
  <c r="C18" i="8" s="1"/>
  <c r="G50" i="11"/>
  <c r="C7" i="8" s="1"/>
  <c r="G55" i="11"/>
  <c r="C12" i="8" s="1"/>
  <c r="G73" i="11"/>
  <c r="G54" i="11"/>
  <c r="C11" i="8" s="1"/>
  <c r="G48" i="11"/>
  <c r="C5" i="8" s="1"/>
  <c r="G65" i="11"/>
  <c r="C22" i="8" s="1"/>
  <c r="G58" i="11"/>
  <c r="C15" i="8" s="1"/>
  <c r="G52" i="11"/>
  <c r="C9" i="8" s="1"/>
  <c r="H63" i="11"/>
  <c r="D20" i="8" s="1"/>
  <c r="L63" i="11"/>
  <c r="H20" i="8" s="1"/>
  <c r="W67" i="11"/>
  <c r="S24" i="8" s="1"/>
  <c r="G49" i="11"/>
  <c r="C6" i="8" s="1"/>
  <c r="O41" i="11"/>
  <c r="V72" i="11"/>
  <c r="V56" i="11"/>
  <c r="V52" i="11"/>
  <c r="R9" i="8" s="1"/>
  <c r="V58" i="11"/>
  <c r="R15" i="8" s="1"/>
  <c r="V48" i="11"/>
  <c r="R5" i="8" s="1"/>
  <c r="V46" i="11"/>
  <c r="V62" i="11"/>
  <c r="R19" i="8" s="1"/>
  <c r="V66" i="11"/>
  <c r="R23" i="8" s="1"/>
  <c r="V53" i="11"/>
  <c r="R10" i="8" s="1"/>
  <c r="V51" i="11"/>
  <c r="R8" i="8" s="1"/>
  <c r="V60" i="11"/>
  <c r="R17" i="8" s="1"/>
  <c r="V65" i="11"/>
  <c r="R22" i="8" s="1"/>
  <c r="V50" i="11"/>
  <c r="R7" i="8" s="1"/>
  <c r="V55" i="11"/>
  <c r="R12" i="8" s="1"/>
  <c r="V73" i="11"/>
  <c r="V54" i="11"/>
  <c r="R11" i="8" s="1"/>
  <c r="AL67" i="11"/>
  <c r="AH24" i="8" s="1"/>
  <c r="W59" i="11"/>
  <c r="S16" i="8" s="1"/>
  <c r="L59" i="11"/>
  <c r="H16" i="8" s="1"/>
  <c r="V47" i="11"/>
  <c r="V41" i="11"/>
  <c r="M56" i="11"/>
  <c r="M66" i="11"/>
  <c r="I23" i="8" s="1"/>
  <c r="M65" i="11"/>
  <c r="I22" i="8" s="1"/>
  <c r="M50" i="11"/>
  <c r="I7" i="8" s="1"/>
  <c r="M55" i="11"/>
  <c r="I12" i="8" s="1"/>
  <c r="M73" i="11"/>
  <c r="M54" i="11"/>
  <c r="I11" i="8" s="1"/>
  <c r="M72" i="11"/>
  <c r="M46" i="11"/>
  <c r="M71" i="11"/>
  <c r="I28" i="8" s="1"/>
  <c r="M52" i="11"/>
  <c r="I9" i="8" s="1"/>
  <c r="M58" i="11"/>
  <c r="I15" i="8" s="1"/>
  <c r="M48" i="11"/>
  <c r="I5" i="8" s="1"/>
  <c r="M62" i="11"/>
  <c r="I19" i="8" s="1"/>
  <c r="M74" i="11"/>
  <c r="G69" i="11"/>
  <c r="C26" i="8" s="1"/>
  <c r="N69" i="11"/>
  <c r="J26" i="8" s="1"/>
  <c r="R69" i="11"/>
  <c r="N26" i="8" s="1"/>
  <c r="AH57" i="11"/>
  <c r="AC57" i="11"/>
  <c r="AB47" i="11"/>
  <c r="N74" i="11"/>
  <c r="K74" i="11"/>
  <c r="V70" i="11"/>
  <c r="R27" i="8" s="1"/>
  <c r="R70" i="11"/>
  <c r="N27" i="8" s="1"/>
  <c r="AG68" i="11"/>
  <c r="AC25" i="8" s="1"/>
  <c r="L68" i="11"/>
  <c r="H25" i="8" s="1"/>
  <c r="AD66" i="11"/>
  <c r="Z23" i="8" s="1"/>
  <c r="AB66" i="11"/>
  <c r="X23" i="8" s="1"/>
  <c r="AE64" i="11"/>
  <c r="AA21" i="8" s="1"/>
  <c r="L62" i="11"/>
  <c r="H19" i="8" s="1"/>
  <c r="Y60" i="11"/>
  <c r="U17" i="8" s="1"/>
  <c r="AL60" i="11"/>
  <c r="AH17" i="8" s="1"/>
  <c r="AE54" i="11"/>
  <c r="AA11" i="8" s="1"/>
  <c r="AK65" i="11"/>
  <c r="AG22" i="8" s="1"/>
  <c r="AL61" i="11"/>
  <c r="AH18" i="8" s="1"/>
  <c r="P46" i="11"/>
  <c r="P71" i="11"/>
  <c r="L28" i="8" s="1"/>
  <c r="P65" i="11"/>
  <c r="L22" i="8" s="1"/>
  <c r="P52" i="11"/>
  <c r="L9" i="8" s="1"/>
  <c r="P66" i="11"/>
  <c r="L23" i="8" s="1"/>
  <c r="P51" i="11"/>
  <c r="L8" i="8" s="1"/>
  <c r="P56" i="11"/>
  <c r="P60" i="11"/>
  <c r="L17" i="8" s="1"/>
  <c r="P68" i="11"/>
  <c r="L25" i="8" s="1"/>
  <c r="P72" i="11"/>
  <c r="P50" i="11"/>
  <c r="L7" i="8" s="1"/>
  <c r="P55" i="11"/>
  <c r="L12" i="8" s="1"/>
  <c r="P49" i="11"/>
  <c r="L6" i="8" s="1"/>
  <c r="P61" i="11"/>
  <c r="L18" i="8" s="1"/>
  <c r="P54" i="11"/>
  <c r="L11" i="8" s="1"/>
  <c r="P41" i="11"/>
  <c r="AL51" i="11"/>
  <c r="AH8" i="8" s="1"/>
  <c r="AE49" i="11"/>
  <c r="AA6" i="8" s="1"/>
  <c r="AE73" i="11"/>
  <c r="I53" i="11"/>
  <c r="E10" i="8" s="1"/>
  <c r="AG48" i="11"/>
  <c r="AC5" i="8" s="1"/>
  <c r="O55" i="11"/>
  <c r="K12" i="8" s="1"/>
  <c r="AC46" i="11"/>
  <c r="AI72" i="11"/>
  <c r="O65" i="11"/>
  <c r="K22" i="8" s="1"/>
  <c r="AE63" i="11"/>
  <c r="AA20" i="8" s="1"/>
  <c r="T63" i="11"/>
  <c r="P20" i="8" s="1"/>
  <c r="J49" i="11"/>
  <c r="F6" i="8" s="1"/>
  <c r="AF47" i="11"/>
  <c r="N56" i="11"/>
  <c r="N71" i="11"/>
  <c r="J28" i="8" s="1"/>
  <c r="N68" i="11"/>
  <c r="J25" i="8" s="1"/>
  <c r="N72" i="11"/>
  <c r="N46" i="11"/>
  <c r="N47" i="11"/>
  <c r="N48" i="11"/>
  <c r="J5" i="8" s="1"/>
  <c r="N62" i="11"/>
  <c r="J19" i="8" s="1"/>
  <c r="N66" i="11"/>
  <c r="J23" i="8" s="1"/>
  <c r="N53" i="11"/>
  <c r="J10" i="8" s="1"/>
  <c r="N51" i="11"/>
  <c r="J8" i="8" s="1"/>
  <c r="N61" i="11"/>
  <c r="J18" i="8" s="1"/>
  <c r="N60" i="11"/>
  <c r="J17" i="8" s="1"/>
  <c r="N49" i="11"/>
  <c r="J6" i="8" s="1"/>
  <c r="N65" i="11"/>
  <c r="J22" i="8" s="1"/>
  <c r="N50" i="11"/>
  <c r="J7" i="8" s="1"/>
  <c r="N55" i="11"/>
  <c r="J12" i="8" s="1"/>
  <c r="N73" i="11"/>
  <c r="N54" i="11"/>
  <c r="J11" i="8" s="1"/>
  <c r="N57" i="11"/>
  <c r="AI67" i="11"/>
  <c r="AE24" i="8" s="1"/>
  <c r="AF67" i="11"/>
  <c r="AB24" i="8" s="1"/>
  <c r="L67" i="11"/>
  <c r="H24" i="8" s="1"/>
  <c r="N59" i="11"/>
  <c r="J16" i="8" s="1"/>
  <c r="AL59" i="11"/>
  <c r="AH16" i="8" s="1"/>
  <c r="T59" i="11"/>
  <c r="P16" i="8" s="1"/>
  <c r="AD47" i="11"/>
  <c r="L69" i="11"/>
  <c r="H26" i="8" s="1"/>
  <c r="V69" i="11"/>
  <c r="R26" i="8" s="1"/>
  <c r="AH69" i="11"/>
  <c r="AD26" i="8" s="1"/>
  <c r="AL57" i="11"/>
  <c r="AJ61" i="11"/>
  <c r="AF18" i="8" s="1"/>
  <c r="AJ66" i="11"/>
  <c r="AF23" i="8" s="1"/>
  <c r="AJ71" i="11"/>
  <c r="AF28" i="8" s="1"/>
  <c r="AJ53" i="11"/>
  <c r="AF10" i="8" s="1"/>
  <c r="AJ62" i="11"/>
  <c r="AF19" i="8" s="1"/>
  <c r="AJ68" i="11"/>
  <c r="AF25" i="8" s="1"/>
  <c r="AJ48" i="11"/>
  <c r="AF5" i="8" s="1"/>
  <c r="AJ72" i="11"/>
  <c r="AJ65" i="11"/>
  <c r="AF22" i="8" s="1"/>
  <c r="AJ50" i="11"/>
  <c r="AF7" i="8" s="1"/>
  <c r="AJ47" i="11"/>
  <c r="AJ73" i="11"/>
  <c r="AJ54" i="11"/>
  <c r="AF11" i="8" s="1"/>
  <c r="AJ60" i="11"/>
  <c r="AF17" i="8" s="1"/>
  <c r="AJ52" i="11"/>
  <c r="AF9" i="8" s="1"/>
  <c r="AJ69" i="11"/>
  <c r="AF26" i="8" s="1"/>
  <c r="AJ58" i="11"/>
  <c r="AF15" i="8" s="1"/>
  <c r="V74" i="11"/>
  <c r="U70" i="11"/>
  <c r="Q27" i="8" s="1"/>
  <c r="AL70" i="11"/>
  <c r="AH27" i="8" s="1"/>
  <c r="O68" i="11"/>
  <c r="K25" i="8" s="1"/>
  <c r="T68" i="11"/>
  <c r="P25" i="8" s="1"/>
  <c r="U66" i="11"/>
  <c r="Q23" i="8" s="1"/>
  <c r="G66" i="11"/>
  <c r="C23" i="8" s="1"/>
  <c r="R64" i="11"/>
  <c r="N21" i="8" s="1"/>
  <c r="AK62" i="11"/>
  <c r="AG19" i="8" s="1"/>
  <c r="AK60" i="11"/>
  <c r="AG17" i="8" s="1"/>
  <c r="AD58" i="11"/>
  <c r="Z15" i="8" s="1"/>
  <c r="U56" i="11"/>
  <c r="L52" i="11"/>
  <c r="H9" i="8" s="1"/>
  <c r="H65" i="11"/>
  <c r="D22" i="8" s="1"/>
  <c r="H41" i="11"/>
  <c r="O51" i="11"/>
  <c r="K8" i="8" s="1"/>
  <c r="AA64" i="11"/>
  <c r="W21" i="8" s="1"/>
  <c r="AA70" i="11"/>
  <c r="W27" i="8" s="1"/>
  <c r="AA69" i="11"/>
  <c r="W26" i="8" s="1"/>
  <c r="AA65" i="11"/>
  <c r="W22" i="8" s="1"/>
  <c r="AA52" i="11"/>
  <c r="W9" i="8" s="1"/>
  <c r="AA47" i="11"/>
  <c r="AA61" i="11"/>
  <c r="W18" i="8" s="1"/>
  <c r="AA74" i="11"/>
  <c r="Y53" i="11"/>
  <c r="U10" i="8" s="1"/>
  <c r="R61" i="11"/>
  <c r="N18" i="8" s="1"/>
  <c r="Y48" i="11"/>
  <c r="U5" i="8" s="1"/>
  <c r="AE55" i="11"/>
  <c r="AA12" i="8" s="1"/>
  <c r="R46" i="11"/>
  <c r="AD72" i="11"/>
  <c r="AK48" i="11"/>
  <c r="AG5" i="8" s="1"/>
  <c r="U67" i="11"/>
  <c r="Q24" i="8" s="1"/>
  <c r="W50" i="11"/>
  <c r="S7" i="8" s="1"/>
  <c r="W55" i="11"/>
  <c r="S12" i="8" s="1"/>
  <c r="W73" i="11"/>
  <c r="W54" i="11"/>
  <c r="S11" i="8" s="1"/>
  <c r="W48" i="11"/>
  <c r="S5" i="8" s="1"/>
  <c r="W72" i="11"/>
  <c r="W71" i="11"/>
  <c r="S28" i="8" s="1"/>
  <c r="W52" i="11"/>
  <c r="S9" i="8" s="1"/>
  <c r="W60" i="11"/>
  <c r="S17" i="8" s="1"/>
  <c r="W49" i="11"/>
  <c r="S6" i="8" s="1"/>
  <c r="W47" i="11"/>
  <c r="W46" i="11"/>
  <c r="W53" i="11"/>
  <c r="S10" i="8" s="1"/>
  <c r="W51" i="11"/>
  <c r="S8" i="8" s="1"/>
  <c r="W61" i="11"/>
  <c r="S18" i="8" s="1"/>
  <c r="W65" i="11"/>
  <c r="S22" i="8" s="1"/>
  <c r="W56" i="11"/>
  <c r="W70" i="11"/>
  <c r="S27" i="8" s="1"/>
  <c r="W74" i="11"/>
  <c r="V67" i="11"/>
  <c r="R24" i="8" s="1"/>
  <c r="R49" i="11"/>
  <c r="N6" i="8" s="1"/>
  <c r="U49" i="11"/>
  <c r="Q6" i="8" s="1"/>
  <c r="AI41" i="11"/>
  <c r="AE41" i="11"/>
  <c r="F52" i="11"/>
  <c r="B9" i="8" s="1"/>
  <c r="F48" i="11"/>
  <c r="F72" i="11"/>
  <c r="B29" i="8" s="1"/>
  <c r="F46" i="11"/>
  <c r="F58" i="11"/>
  <c r="B15" i="8" s="1"/>
  <c r="F62" i="11"/>
  <c r="B19" i="8" s="1"/>
  <c r="F53" i="11"/>
  <c r="B10" i="8" s="1"/>
  <c r="F51" i="11"/>
  <c r="F60" i="11"/>
  <c r="B17" i="8" s="1"/>
  <c r="F61" i="11"/>
  <c r="B18" i="8" s="1"/>
  <c r="F65" i="11"/>
  <c r="F64" i="11"/>
  <c r="B21" i="8" s="1"/>
  <c r="I67" i="11"/>
  <c r="E24" i="8" s="1"/>
  <c r="T67" i="11"/>
  <c r="P24" i="8" s="1"/>
  <c r="AL47" i="11"/>
  <c r="H57" i="11"/>
  <c r="AF46" i="11"/>
  <c r="AF64" i="11"/>
  <c r="AB21" i="8" s="1"/>
  <c r="AF66" i="11"/>
  <c r="AB23" i="8" s="1"/>
  <c r="AF72" i="11"/>
  <c r="AF50" i="11"/>
  <c r="AB7" i="8" s="1"/>
  <c r="AF55" i="11"/>
  <c r="AB12" i="8" s="1"/>
  <c r="AF61" i="11"/>
  <c r="AB18" i="8" s="1"/>
  <c r="AF54" i="11"/>
  <c r="AB11" i="8" s="1"/>
  <c r="AF62" i="11"/>
  <c r="AB19" i="8" s="1"/>
  <c r="AF48" i="11"/>
  <c r="AB5" i="8" s="1"/>
  <c r="AF60" i="11"/>
  <c r="AB17" i="8" s="1"/>
  <c r="AF53" i="11"/>
  <c r="AB10" i="8" s="1"/>
  <c r="AF71" i="11"/>
  <c r="AB28" i="8" s="1"/>
  <c r="AF49" i="11"/>
  <c r="AB6" i="8" s="1"/>
  <c r="AF65" i="11"/>
  <c r="AB22" i="8" s="1"/>
  <c r="AF52" i="11"/>
  <c r="AB9" i="8" s="1"/>
  <c r="Z74" i="11"/>
  <c r="Z58" i="11"/>
  <c r="V15" i="8" s="1"/>
  <c r="Z68" i="11"/>
  <c r="V25" i="8" s="1"/>
  <c r="Z41" i="11"/>
  <c r="Z69" i="11"/>
  <c r="V26" i="8" s="1"/>
  <c r="T69" i="11"/>
  <c r="P26" i="8" s="1"/>
  <c r="AL69" i="11"/>
  <c r="AH26" i="8" s="1"/>
  <c r="F57" i="11"/>
  <c r="AB64" i="11"/>
  <c r="X21" i="8" s="1"/>
  <c r="AB48" i="11"/>
  <c r="X5" i="8" s="1"/>
  <c r="AB46" i="11"/>
  <c r="AB56" i="11"/>
  <c r="AB58" i="11"/>
  <c r="X15" i="8" s="1"/>
  <c r="AB70" i="11"/>
  <c r="X27" i="8" s="1"/>
  <c r="AB74" i="11"/>
  <c r="AB51" i="11"/>
  <c r="X8" i="8" s="1"/>
  <c r="AB59" i="11"/>
  <c r="X16" i="8" s="1"/>
  <c r="AB71" i="11"/>
  <c r="X28" i="8" s="1"/>
  <c r="AB53" i="11"/>
  <c r="X10" i="8" s="1"/>
  <c r="AB68" i="11"/>
  <c r="X25" i="8" s="1"/>
  <c r="AB72" i="11"/>
  <c r="AB65" i="11"/>
  <c r="X22" i="8" s="1"/>
  <c r="AB50" i="11"/>
  <c r="X7" i="8" s="1"/>
  <c r="AB73" i="11"/>
  <c r="AB54" i="11"/>
  <c r="X11" i="8" s="1"/>
  <c r="AB60" i="11"/>
  <c r="X17" i="8" s="1"/>
  <c r="AB67" i="11"/>
  <c r="X24" i="8" s="1"/>
  <c r="AI74" i="11"/>
  <c r="Y70" i="11"/>
  <c r="U27" i="8" s="1"/>
  <c r="L70" i="11"/>
  <c r="H27" i="8" s="1"/>
  <c r="Q68" i="11"/>
  <c r="M25" i="8" s="1"/>
  <c r="F68" i="11"/>
  <c r="B25" i="8" s="1"/>
  <c r="W66" i="11"/>
  <c r="S23" i="8" s="1"/>
  <c r="AC62" i="11"/>
  <c r="Y19" i="8" s="1"/>
  <c r="Q60" i="11"/>
  <c r="M17" i="8" s="1"/>
  <c r="Q54" i="11"/>
  <c r="M11" i="8" s="1"/>
  <c r="AB52" i="11"/>
  <c r="X9" i="8" s="1"/>
  <c r="AK61" i="11"/>
  <c r="AG18" i="8" s="1"/>
  <c r="AI50" i="11"/>
  <c r="AE7" i="8" s="1"/>
  <c r="AF51" i="11"/>
  <c r="AB8" i="8" s="1"/>
  <c r="L73" i="11"/>
  <c r="N52" i="11"/>
  <c r="J9" i="8" s="1"/>
  <c r="K51" i="11"/>
  <c r="G8" i="8" s="1"/>
  <c r="K65" i="11"/>
  <c r="G22" i="8" s="1"/>
  <c r="K56" i="11"/>
  <c r="K61" i="11"/>
  <c r="G18" i="8" s="1"/>
  <c r="K66" i="11"/>
  <c r="G23" i="8" s="1"/>
  <c r="K54" i="11"/>
  <c r="G11" i="8" s="1"/>
  <c r="K58" i="11"/>
  <c r="G15" i="8" s="1"/>
  <c r="K62" i="11"/>
  <c r="G19" i="8" s="1"/>
  <c r="K52" i="11"/>
  <c r="G9" i="8" s="1"/>
  <c r="Q48" i="11"/>
  <c r="M5" i="8" s="1"/>
  <c r="Q72" i="11"/>
  <c r="Q53" i="11"/>
  <c r="M10" i="8" s="1"/>
  <c r="Q65" i="11"/>
  <c r="M22" i="8" s="1"/>
  <c r="Q50" i="11"/>
  <c r="M7" i="8" s="1"/>
  <c r="Q73" i="11"/>
  <c r="Q57" i="11"/>
  <c r="Q58" i="11"/>
  <c r="M15" i="8" s="1"/>
  <c r="Q71" i="11"/>
  <c r="M28" i="8" s="1"/>
  <c r="Q52" i="11"/>
  <c r="M9" i="8" s="1"/>
  <c r="Q46" i="11"/>
  <c r="Q61" i="11"/>
  <c r="M18" i="8" s="1"/>
  <c r="Q62" i="11"/>
  <c r="M19" i="8" s="1"/>
  <c r="Q64" i="11"/>
  <c r="M21" i="8" s="1"/>
  <c r="Q66" i="11"/>
  <c r="M23" i="8" s="1"/>
  <c r="Q59" i="11"/>
  <c r="M16" i="8" s="1"/>
  <c r="Z71" i="11"/>
  <c r="V28" i="8" s="1"/>
  <c r="Q55" i="11"/>
  <c r="M12" i="8" s="1"/>
  <c r="AK46" i="11"/>
  <c r="AC48" i="11"/>
  <c r="Y5" i="8" s="1"/>
  <c r="U68" i="11"/>
  <c r="Q25" i="8" s="1"/>
  <c r="U57" i="11"/>
  <c r="U47" i="11"/>
  <c r="I73" i="11"/>
  <c r="I51" i="11"/>
  <c r="E8" i="8" s="1"/>
  <c r="I61" i="11"/>
  <c r="E18" i="8" s="1"/>
  <c r="I56" i="11"/>
  <c r="I64" i="11"/>
  <c r="E21" i="8" s="1"/>
  <c r="I65" i="11"/>
  <c r="E22" i="8" s="1"/>
  <c r="I54" i="11"/>
  <c r="E11" i="8" s="1"/>
  <c r="I60" i="11"/>
  <c r="E17" i="8" s="1"/>
  <c r="I71" i="11"/>
  <c r="E28" i="8" s="1"/>
  <c r="I52" i="11"/>
  <c r="E9" i="8" s="1"/>
  <c r="I58" i="11"/>
  <c r="E15" i="8" s="1"/>
  <c r="H53" i="11"/>
  <c r="D10" i="8" s="1"/>
  <c r="AL62" i="11"/>
  <c r="AH19" i="8" s="1"/>
  <c r="AL66" i="11"/>
  <c r="AH23" i="8" s="1"/>
  <c r="AL65" i="11"/>
  <c r="AH22" i="8" s="1"/>
  <c r="AL64" i="11"/>
  <c r="AH21" i="8" s="1"/>
  <c r="AL50" i="11"/>
  <c r="AH7" i="8" s="1"/>
  <c r="AL46" i="11"/>
  <c r="AL55" i="11"/>
  <c r="AH12" i="8" s="1"/>
  <c r="AL73" i="11"/>
  <c r="AL54" i="11"/>
  <c r="AH11" i="8" s="1"/>
  <c r="AL48" i="11"/>
  <c r="AH5" i="8" s="1"/>
  <c r="AL56" i="11"/>
  <c r="AL71" i="11"/>
  <c r="AH28" i="8" s="1"/>
  <c r="AL72" i="11"/>
  <c r="AL58" i="11"/>
  <c r="AH15" i="8" s="1"/>
  <c r="K49" i="11"/>
  <c r="G6" i="8" s="1"/>
  <c r="U63" i="11"/>
  <c r="Q20" i="8" s="1"/>
  <c r="M63" i="11"/>
  <c r="I20" i="8" s="1"/>
  <c r="AF63" i="11"/>
  <c r="AB20" i="8" s="1"/>
  <c r="AJ63" i="11"/>
  <c r="AF20" i="8" s="1"/>
  <c r="Z49" i="11"/>
  <c r="V6" i="8" s="1"/>
  <c r="AC49" i="11"/>
  <c r="Y6" i="8" s="1"/>
  <c r="AI60" i="11"/>
  <c r="AE17" i="8" s="1"/>
  <c r="G47" i="11"/>
  <c r="L41" i="11"/>
  <c r="AG61" i="11"/>
  <c r="AC18" i="8" s="1"/>
  <c r="AG62" i="11"/>
  <c r="AC19" i="8" s="1"/>
  <c r="AG60" i="11"/>
  <c r="AC17" i="8" s="1"/>
  <c r="AG69" i="11"/>
  <c r="AC26" i="8" s="1"/>
  <c r="AG47" i="11"/>
  <c r="AG73" i="11"/>
  <c r="AG51" i="11"/>
  <c r="AC8" i="8" s="1"/>
  <c r="AG56" i="11"/>
  <c r="AG58" i="11"/>
  <c r="AC15" i="8" s="1"/>
  <c r="AG70" i="11"/>
  <c r="AC27" i="8" s="1"/>
  <c r="Q67" i="11"/>
  <c r="M24" i="8" s="1"/>
  <c r="AJ67" i="11"/>
  <c r="AF24" i="8" s="1"/>
  <c r="AE59" i="11"/>
  <c r="AA16" i="8" s="1"/>
  <c r="AI59" i="11"/>
  <c r="AE16" i="8" s="1"/>
  <c r="AC59" i="11"/>
  <c r="Y16" i="8" s="1"/>
  <c r="AJ55" i="11"/>
  <c r="AF12" i="8" s="1"/>
  <c r="O69" i="11"/>
  <c r="K26" i="8" s="1"/>
  <c r="AB69" i="11"/>
  <c r="X26" i="8" s="1"/>
  <c r="H69" i="11"/>
  <c r="D26" i="8" s="1"/>
  <c r="I57" i="11"/>
  <c r="V57" i="11"/>
  <c r="Y58" i="11"/>
  <c r="U15" i="8" s="1"/>
  <c r="T55" i="11"/>
  <c r="P12" i="8" s="1"/>
  <c r="G74" i="11"/>
  <c r="Q74" i="11"/>
  <c r="I70" i="11"/>
  <c r="E27" i="8" s="1"/>
  <c r="AE70" i="11"/>
  <c r="AA27" i="8" s="1"/>
  <c r="W68" i="11"/>
  <c r="S25" i="8" s="1"/>
  <c r="V68" i="11"/>
  <c r="R25" i="8" s="1"/>
  <c r="I66" i="11"/>
  <c r="E23" i="8" s="1"/>
  <c r="G64" i="11"/>
  <c r="C21" i="8" s="1"/>
  <c r="K64" i="11"/>
  <c r="G21" i="8" s="1"/>
  <c r="AD62" i="11"/>
  <c r="Z19" i="8" s="1"/>
  <c r="H60" i="11"/>
  <c r="D17" i="8" s="1"/>
  <c r="H58" i="11"/>
  <c r="D15" i="8" s="1"/>
  <c r="O56" i="11"/>
  <c r="AA54" i="11"/>
  <c r="W11" i="8" s="1"/>
  <c r="AG54" i="11"/>
  <c r="AC11" i="8" s="1"/>
  <c r="AA72" i="11"/>
  <c r="Q51" i="11"/>
  <c r="M8" i="8" s="1"/>
  <c r="AH62" i="11"/>
  <c r="AD19" i="8" s="1"/>
  <c r="AH53" i="11"/>
  <c r="AD10" i="8" s="1"/>
  <c r="AH65" i="11"/>
  <c r="AD22" i="8" s="1"/>
  <c r="AH58" i="11"/>
  <c r="AD15" i="8" s="1"/>
  <c r="AH68" i="11"/>
  <c r="AD25" i="8" s="1"/>
  <c r="AH72" i="11"/>
  <c r="AH55" i="11"/>
  <c r="AD12" i="8" s="1"/>
  <c r="AH73" i="11"/>
  <c r="AH48" i="11"/>
  <c r="AD5" i="8" s="1"/>
  <c r="AH61" i="11"/>
  <c r="AD18" i="8" s="1"/>
  <c r="AH50" i="11"/>
  <c r="AD7" i="8" s="1"/>
  <c r="AH71" i="11"/>
  <c r="AD28" i="8" s="1"/>
  <c r="AH52" i="11"/>
  <c r="AD9" i="8" s="1"/>
  <c r="AH60" i="11"/>
  <c r="AD17" i="8" s="1"/>
  <c r="AH59" i="11"/>
  <c r="AD16" i="8" s="1"/>
  <c r="AC73" i="11"/>
  <c r="AA53" i="11"/>
  <c r="W10" i="8" s="1"/>
  <c r="I55" i="11"/>
  <c r="E12" i="8" s="1"/>
  <c r="F71" i="11"/>
  <c r="B28" i="8" s="1"/>
  <c r="AG55" i="11"/>
  <c r="AC12" i="8" s="1"/>
  <c r="AH46" i="11"/>
  <c r="I48" i="11"/>
  <c r="E5" i="8" s="1"/>
  <c r="L49" i="11"/>
  <c r="H6" i="8" s="1"/>
  <c r="AI58" i="11"/>
  <c r="AE15" i="8" s="1"/>
  <c r="AI56" i="11"/>
  <c r="I63" i="11"/>
  <c r="E20" i="8" s="1"/>
  <c r="T64" i="11"/>
  <c r="P21" i="8" s="1"/>
  <c r="T65" i="11"/>
  <c r="P22" i="8" s="1"/>
  <c r="T58" i="11"/>
  <c r="P15" i="8" s="1"/>
  <c r="H59" i="11"/>
  <c r="D16" i="8" s="1"/>
  <c r="I47" i="11"/>
  <c r="R54" i="11"/>
  <c r="N11" i="8" s="1"/>
  <c r="AI69" i="11"/>
  <c r="AE26" i="8" s="1"/>
  <c r="AE60" i="11"/>
  <c r="AA17" i="8" s="1"/>
  <c r="AE48" i="11"/>
  <c r="AA5" i="8" s="1"/>
  <c r="AE52" i="11"/>
  <c r="AA9" i="8" s="1"/>
  <c r="AE61" i="11"/>
  <c r="AA18" i="8" s="1"/>
  <c r="AE47" i="11"/>
  <c r="AE69" i="11"/>
  <c r="AA26" i="8" s="1"/>
  <c r="AE58" i="11"/>
  <c r="AA15" i="8" s="1"/>
  <c r="AE62" i="11"/>
  <c r="AA19" i="8" s="1"/>
  <c r="AE72" i="11"/>
  <c r="AE46" i="11"/>
  <c r="AE53" i="11"/>
  <c r="AA10" i="8" s="1"/>
  <c r="AE51" i="11"/>
  <c r="AA8" i="8" s="1"/>
  <c r="AE56" i="11"/>
  <c r="AE71" i="11"/>
  <c r="AA28" i="8" s="1"/>
  <c r="AE68" i="11"/>
  <c r="AA25" i="8" s="1"/>
  <c r="L58" i="11"/>
  <c r="H15" i="8" s="1"/>
  <c r="L48" i="11"/>
  <c r="H5" i="8" s="1"/>
  <c r="L61" i="11"/>
  <c r="H18" i="8" s="1"/>
  <c r="L66" i="11"/>
  <c r="H23" i="8" s="1"/>
  <c r="L46" i="11"/>
  <c r="L47" i="11"/>
  <c r="L56" i="11"/>
  <c r="L60" i="11"/>
  <c r="H17" i="8" s="1"/>
  <c r="L71" i="11"/>
  <c r="H28" i="8" s="1"/>
  <c r="L53" i="11"/>
  <c r="H10" i="8" s="1"/>
  <c r="L72" i="11"/>
  <c r="L65" i="11"/>
  <c r="H22" i="8" s="1"/>
  <c r="L64" i="11"/>
  <c r="H21" i="8" s="1"/>
  <c r="T74" i="11"/>
  <c r="AC70" i="11"/>
  <c r="Y27" i="8" s="1"/>
  <c r="H70" i="11"/>
  <c r="D27" i="8" s="1"/>
  <c r="AL68" i="11"/>
  <c r="AH25" i="8" s="1"/>
  <c r="U64" i="11"/>
  <c r="Q21" i="8" s="1"/>
  <c r="AI64" i="11"/>
  <c r="AE21" i="8" s="1"/>
  <c r="T62" i="11"/>
  <c r="P19" i="8" s="1"/>
  <c r="T60" i="11"/>
  <c r="P17" i="8" s="1"/>
  <c r="AC58" i="11"/>
  <c r="Y15" i="8" s="1"/>
  <c r="AF56" i="11"/>
  <c r="L54" i="11"/>
  <c r="H11" i="8" s="1"/>
  <c r="F73" i="11"/>
  <c r="B30" i="8" s="1"/>
  <c r="V71" i="11"/>
  <c r="R28" i="8" s="1"/>
  <c r="Y50" i="11"/>
  <c r="U7" i="8" s="1"/>
  <c r="P48" i="11"/>
  <c r="L5" i="8" s="1"/>
  <c r="Z59" i="11"/>
  <c r="V16" i="8" s="1"/>
  <c r="AC47" i="11"/>
  <c r="Q47" i="11"/>
  <c r="AL49" i="11"/>
  <c r="AH6" i="8" s="1"/>
  <c r="AK50" i="11"/>
  <c r="AG7" i="8" s="1"/>
  <c r="AK55" i="11"/>
  <c r="AG12" i="8" s="1"/>
  <c r="AK73" i="11"/>
  <c r="AK54" i="11"/>
  <c r="AG11" i="8" s="1"/>
  <c r="AK72" i="11"/>
  <c r="AK71" i="11"/>
  <c r="AG28" i="8" s="1"/>
  <c r="AK52" i="11"/>
  <c r="AG9" i="8" s="1"/>
  <c r="AK68" i="11"/>
  <c r="AG25" i="8" s="1"/>
  <c r="AK69" i="11"/>
  <c r="AG26" i="8" s="1"/>
  <c r="AK56" i="11"/>
  <c r="AK58" i="11"/>
  <c r="AG15" i="8" s="1"/>
  <c r="AK53" i="11"/>
  <c r="AG10" i="8" s="1"/>
  <c r="AK51" i="11"/>
  <c r="AG8" i="8" s="1"/>
  <c r="AK70" i="11"/>
  <c r="AG27" i="8" s="1"/>
  <c r="Q69" i="11"/>
  <c r="M26" i="8" s="1"/>
  <c r="U69" i="11"/>
  <c r="Q26" i="8" s="1"/>
  <c r="AB57" i="11"/>
  <c r="G57" i="11"/>
  <c r="AL52" i="11"/>
  <c r="AH9" i="8" s="1"/>
  <c r="J64" i="11"/>
  <c r="F21" i="8" s="1"/>
  <c r="J70" i="11"/>
  <c r="F27" i="8" s="1"/>
  <c r="J54" i="11"/>
  <c r="F11" i="8" s="1"/>
  <c r="J62" i="11"/>
  <c r="F19" i="8" s="1"/>
  <c r="J51" i="11"/>
  <c r="F8" i="8" s="1"/>
  <c r="J56" i="11"/>
  <c r="J53" i="11"/>
  <c r="F10" i="8" s="1"/>
  <c r="J61" i="11"/>
  <c r="F18" i="8" s="1"/>
  <c r="J65" i="11"/>
  <c r="F22" i="8" s="1"/>
  <c r="J58" i="11"/>
  <c r="F15" i="8" s="1"/>
  <c r="J59" i="11"/>
  <c r="F16" i="8" s="1"/>
  <c r="AC74" i="11"/>
  <c r="AE74" i="11"/>
  <c r="J74" i="11"/>
  <c r="R68" i="11"/>
  <c r="N25" i="8" s="1"/>
  <c r="H68" i="11"/>
  <c r="D25" i="8" s="1"/>
  <c r="AI66" i="11"/>
  <c r="AE23" i="8" s="1"/>
  <c r="J66" i="11"/>
  <c r="F23" i="8" s="1"/>
  <c r="W64" i="11"/>
  <c r="S21" i="8" s="1"/>
  <c r="I62" i="11"/>
  <c r="E19" i="8" s="1"/>
  <c r="W62" i="11"/>
  <c r="S19" i="8" s="1"/>
  <c r="K60" i="11"/>
  <c r="G17" i="8" s="1"/>
  <c r="AF58" i="11"/>
  <c r="AB15" i="8" s="1"/>
  <c r="Q56" i="11"/>
  <c r="AC54" i="11"/>
  <c r="Y11" i="8" s="1"/>
  <c r="H52" i="11"/>
  <c r="D9" i="8" s="1"/>
  <c r="AE65" i="11"/>
  <c r="AA22" i="8" s="1"/>
  <c r="V61" i="11"/>
  <c r="R18" i="8" s="1"/>
  <c r="I69" i="11"/>
  <c r="E26" i="8" s="1"/>
  <c r="K46" i="11"/>
  <c r="R50" i="11"/>
  <c r="N7" i="8" s="1"/>
  <c r="AC53" i="11"/>
  <c r="Y10" i="8" s="1"/>
  <c r="G71" i="11"/>
  <c r="C28" i="8" s="1"/>
  <c r="AI55" i="11"/>
  <c r="AE12" i="8" s="1"/>
  <c r="AJ46" i="11"/>
  <c r="AF57" i="11"/>
  <c r="L50" i="11"/>
  <c r="H7" i="8" s="1"/>
  <c r="U74" i="11"/>
  <c r="S69" i="11"/>
  <c r="O26" i="8" s="1"/>
  <c r="T57" i="11"/>
  <c r="S49" i="11"/>
  <c r="O6" i="8" s="1"/>
  <c r="Z70" i="11"/>
  <c r="V27" i="8" s="1"/>
  <c r="AI68" i="11"/>
  <c r="AE25" i="8" s="1"/>
  <c r="R66" i="11"/>
  <c r="N23" i="8" s="1"/>
  <c r="Z64" i="11"/>
  <c r="V21" i="8" s="1"/>
  <c r="U62" i="11"/>
  <c r="Q19" i="8" s="1"/>
  <c r="U60" i="11"/>
  <c r="Q17" i="8" s="1"/>
  <c r="AA58" i="11"/>
  <c r="W15" i="8" s="1"/>
  <c r="AA56" i="11"/>
  <c r="T54" i="11"/>
  <c r="P11" i="8" s="1"/>
  <c r="AA51" i="11"/>
  <c r="W8" i="8" s="1"/>
  <c r="K73" i="11"/>
  <c r="T73" i="11"/>
  <c r="J73" i="11"/>
  <c r="AG53" i="11"/>
  <c r="AC10" i="8" s="1"/>
  <c r="AI53" i="11"/>
  <c r="AE10" i="8" s="1"/>
  <c r="AA49" i="11"/>
  <c r="W6" i="8" s="1"/>
  <c r="J55" i="11"/>
  <c r="F12" i="8" s="1"/>
  <c r="X46" i="11"/>
  <c r="AA46" i="11"/>
  <c r="I72" i="11"/>
  <c r="J72" i="11"/>
  <c r="T50" i="11"/>
  <c r="P7" i="8" s="1"/>
  <c r="J48" i="11"/>
  <c r="F5" i="8" s="1"/>
  <c r="U48" i="11"/>
  <c r="Q5" i="8" s="1"/>
  <c r="X48" i="11"/>
  <c r="T5" i="8" s="1"/>
  <c r="AI51" i="11"/>
  <c r="AE8" i="8" s="1"/>
  <c r="Z47" i="11"/>
  <c r="R73" i="11"/>
  <c r="N41" i="11"/>
  <c r="R55" i="11"/>
  <c r="N12" i="8" s="1"/>
  <c r="U46" i="11"/>
  <c r="AI46" i="11"/>
  <c r="R72" i="11"/>
  <c r="T72" i="11"/>
  <c r="Z50" i="11"/>
  <c r="V7" i="8" s="1"/>
  <c r="Z48" i="11"/>
  <c r="V5" i="8" s="1"/>
  <c r="R48" i="11"/>
  <c r="N5" i="8" s="1"/>
  <c r="S60" i="11"/>
  <c r="O17" i="8" s="1"/>
  <c r="S52" i="11"/>
  <c r="O9" i="8" s="1"/>
  <c r="U52" i="11"/>
  <c r="Q9" i="8" s="1"/>
  <c r="U61" i="11"/>
  <c r="Q18" i="8" s="1"/>
  <c r="U41" i="11"/>
  <c r="Z73" i="11"/>
  <c r="R53" i="11"/>
  <c r="N10" i="8" s="1"/>
  <c r="T53" i="11"/>
  <c r="P10" i="8" s="1"/>
  <c r="U71" i="11"/>
  <c r="Q28" i="8" s="1"/>
  <c r="AI71" i="11"/>
  <c r="AE28" i="8" s="1"/>
  <c r="T71" i="11"/>
  <c r="P28" i="8" s="1"/>
  <c r="X55" i="11"/>
  <c r="T12" i="8" s="1"/>
  <c r="Z55" i="11"/>
  <c r="V12" i="8" s="1"/>
  <c r="AG46" i="11"/>
  <c r="AG50" i="11"/>
  <c r="AC7" i="8" s="1"/>
  <c r="X50" i="11"/>
  <c r="T7" i="8" s="1"/>
  <c r="K48" i="11"/>
  <c r="G5" i="8" s="1"/>
  <c r="S64" i="11"/>
  <c r="O21" i="8" s="1"/>
  <c r="T56" i="11"/>
  <c r="Z65" i="11"/>
  <c r="V22" i="8" s="1"/>
  <c r="R51" i="11"/>
  <c r="N8" i="8" s="1"/>
  <c r="AI47" i="11"/>
  <c r="AI73" i="11"/>
  <c r="Z53" i="11"/>
  <c r="V10" i="8" s="1"/>
  <c r="S71" i="11"/>
  <c r="O28" i="8" s="1"/>
  <c r="X47" i="11"/>
  <c r="J46" i="11"/>
  <c r="I46" i="11"/>
  <c r="T46" i="11"/>
  <c r="AI65" i="11"/>
  <c r="AE22" i="8" s="1"/>
  <c r="AG72" i="11"/>
  <c r="X72" i="11"/>
  <c r="I50" i="11"/>
  <c r="E7" i="8" s="1"/>
  <c r="K50" i="11"/>
  <c r="G7" i="8" s="1"/>
  <c r="S48" i="11"/>
  <c r="O5" i="8" s="1"/>
  <c r="S57" i="11"/>
  <c r="T66" i="11"/>
  <c r="P23" i="8" s="1"/>
  <c r="R62" i="11"/>
  <c r="N19" i="8" s="1"/>
  <c r="AA60" i="11"/>
  <c r="W17" i="8" s="1"/>
  <c r="U58" i="11"/>
  <c r="Q15" i="8" s="1"/>
  <c r="X56" i="11"/>
  <c r="Z56" i="11"/>
  <c r="S54" i="11"/>
  <c r="O11" i="8" s="1"/>
  <c r="U54" i="11"/>
  <c r="Q11" i="8" s="1"/>
  <c r="AG52" i="11"/>
  <c r="AC9" i="8" s="1"/>
  <c r="AI52" i="11"/>
  <c r="AE9" i="8" s="1"/>
  <c r="AI61" i="11"/>
  <c r="AE18" i="8" s="1"/>
  <c r="T61" i="11"/>
  <c r="P18" i="8" s="1"/>
  <c r="X51" i="11"/>
  <c r="T8" i="8" s="1"/>
  <c r="Z51" i="11"/>
  <c r="V8" i="8" s="1"/>
  <c r="U73" i="11"/>
  <c r="K47" i="11"/>
  <c r="AA71" i="11"/>
  <c r="W28" i="8" s="1"/>
  <c r="AG71" i="11"/>
  <c r="AC28" i="8" s="1"/>
  <c r="U55" i="11"/>
  <c r="Q12" i="8" s="1"/>
  <c r="K55" i="11"/>
  <c r="G12" i="8" s="1"/>
  <c r="K72" i="11"/>
  <c r="S50" i="11"/>
  <c r="O7" i="8" s="1"/>
  <c r="U50" i="11"/>
  <c r="Q7" i="8" s="1"/>
  <c r="AA48" i="11"/>
  <c r="W5" i="8" s="1"/>
  <c r="Y72" i="11"/>
  <c r="S72" i="11"/>
  <c r="AA50" i="11"/>
  <c r="W7" i="8" s="1"/>
  <c r="T48" i="11"/>
  <c r="P5" i="8" s="1"/>
  <c r="AI48" i="11"/>
  <c r="AE5" i="8" s="1"/>
  <c r="S68" i="11"/>
  <c r="O25" i="8" s="1"/>
  <c r="AI54" i="11"/>
  <c r="AE11" i="8" s="1"/>
  <c r="T52" i="11"/>
  <c r="P9" i="8" s="1"/>
  <c r="U51" i="11"/>
  <c r="Q8" i="8" s="1"/>
  <c r="U53" i="11"/>
  <c r="Q10" i="8" s="1"/>
  <c r="R71" i="11"/>
  <c r="N28" i="8" s="1"/>
  <c r="AA55" i="11"/>
  <c r="W12" i="8" s="1"/>
  <c r="D35" i="4"/>
  <c r="D36" i="4"/>
  <c r="D37" i="4"/>
  <c r="D34" i="4"/>
  <c r="C14" i="8" l="1"/>
  <c r="G114" i="11"/>
  <c r="D14" i="8"/>
  <c r="H114" i="11"/>
  <c r="AB4" i="8"/>
  <c r="AF115" i="11"/>
  <c r="AC14" i="8"/>
  <c r="AG114" i="11"/>
  <c r="AG4" i="8"/>
  <c r="AK115" i="11"/>
  <c r="W14" i="8"/>
  <c r="AA114" i="11"/>
  <c r="AH4" i="8"/>
  <c r="AL115" i="11"/>
  <c r="AH14" i="8"/>
  <c r="AL114" i="11"/>
  <c r="AA14" i="8"/>
  <c r="AE114" i="11"/>
  <c r="O4" i="8"/>
  <c r="S115" i="11"/>
  <c r="I4" i="8"/>
  <c r="M115" i="11"/>
  <c r="Z14" i="8"/>
  <c r="AD114" i="11"/>
  <c r="W4" i="8"/>
  <c r="AA115" i="11"/>
  <c r="J4" i="8"/>
  <c r="N115" i="11"/>
  <c r="R4" i="8"/>
  <c r="V115" i="11"/>
  <c r="D4" i="8"/>
  <c r="H115" i="11"/>
  <c r="I14" i="8"/>
  <c r="M114" i="11"/>
  <c r="K4" i="8"/>
  <c r="O115" i="11"/>
  <c r="P4" i="8"/>
  <c r="T115" i="11"/>
  <c r="AF14" i="8"/>
  <c r="AJ114" i="11"/>
  <c r="AD4" i="8"/>
  <c r="AH115" i="11"/>
  <c r="P14" i="8"/>
  <c r="T114" i="11"/>
  <c r="Q14" i="8"/>
  <c r="U114" i="11"/>
  <c r="X14" i="8"/>
  <c r="AB114" i="11"/>
  <c r="AE4" i="8"/>
  <c r="AI115" i="11"/>
  <c r="V4" i="8"/>
  <c r="Z115" i="11"/>
  <c r="AB14" i="8"/>
  <c r="AF114" i="11"/>
  <c r="M4" i="8"/>
  <c r="Q115" i="11"/>
  <c r="E4" i="8"/>
  <c r="I115" i="11"/>
  <c r="C4" i="8"/>
  <c r="G115" i="11"/>
  <c r="V14" i="8"/>
  <c r="Z114" i="11"/>
  <c r="L4" i="8"/>
  <c r="P115" i="11"/>
  <c r="L14" i="8"/>
  <c r="P114" i="11"/>
  <c r="T4" i="8"/>
  <c r="X115" i="11"/>
  <c r="Y4" i="8"/>
  <c r="AC115" i="11"/>
  <c r="H4" i="8"/>
  <c r="L115" i="11"/>
  <c r="AA4" i="8"/>
  <c r="AE115" i="11"/>
  <c r="J14" i="8"/>
  <c r="N114" i="11"/>
  <c r="X4" i="8"/>
  <c r="AB115" i="11"/>
  <c r="U14" i="8"/>
  <c r="Y114" i="11"/>
  <c r="R14" i="8"/>
  <c r="V114" i="11"/>
  <c r="AC4" i="8"/>
  <c r="AG115" i="11"/>
  <c r="S4" i="8"/>
  <c r="W115" i="11"/>
  <c r="Z4" i="8"/>
  <c r="AD115" i="11"/>
  <c r="Y14" i="8"/>
  <c r="AC114" i="11"/>
  <c r="K14" i="8"/>
  <c r="O114" i="11"/>
  <c r="N4" i="8"/>
  <c r="R115" i="11"/>
  <c r="S14" i="8"/>
  <c r="W114" i="11"/>
  <c r="U4" i="8"/>
  <c r="Y115" i="11"/>
  <c r="F14" i="8"/>
  <c r="J114" i="11"/>
  <c r="T14" i="8"/>
  <c r="X114" i="11"/>
  <c r="F4" i="8"/>
  <c r="J115" i="11"/>
  <c r="AG14" i="8"/>
  <c r="AK114" i="11"/>
  <c r="G4" i="8"/>
  <c r="K115" i="11"/>
  <c r="O14" i="8"/>
  <c r="S114" i="11"/>
  <c r="E14" i="8"/>
  <c r="I114" i="11"/>
  <c r="Q4" i="8"/>
  <c r="U115" i="11"/>
  <c r="M14" i="8"/>
  <c r="Q114" i="11"/>
  <c r="AF4" i="8"/>
  <c r="AJ115" i="11"/>
  <c r="AD14" i="8"/>
  <c r="AH114" i="11"/>
  <c r="N14" i="8"/>
  <c r="R114" i="11"/>
  <c r="G14" i="8"/>
  <c r="K114" i="11"/>
  <c r="H14" i="8"/>
  <c r="L114" i="11"/>
  <c r="AE14" i="8"/>
  <c r="AI114" i="11"/>
  <c r="B4" i="8"/>
  <c r="F115" i="11"/>
  <c r="B14" i="8"/>
  <c r="F114" i="11"/>
  <c r="AA13" i="8"/>
  <c r="AH3" i="8"/>
  <c r="Q13" i="8"/>
  <c r="E3" i="8"/>
  <c r="H3" i="8"/>
  <c r="AD3" i="8"/>
  <c r="X3" i="8"/>
  <c r="P3" i="8"/>
  <c r="X13" i="8"/>
  <c r="S3" i="8"/>
  <c r="F3" i="8"/>
  <c r="P13" i="8"/>
  <c r="AE3" i="8"/>
  <c r="W13" i="8"/>
  <c r="K13" i="8"/>
  <c r="Y3" i="8"/>
  <c r="L13" i="8"/>
  <c r="C13" i="8"/>
  <c r="Z3" i="8"/>
  <c r="AD13" i="8"/>
  <c r="V13" i="8"/>
  <c r="Q3" i="8"/>
  <c r="M13" i="8"/>
  <c r="AA3" i="8"/>
  <c r="AH13" i="8"/>
  <c r="AB3" i="8"/>
  <c r="S13" i="8"/>
  <c r="J13" i="8"/>
  <c r="D3" i="8"/>
  <c r="T3" i="8"/>
  <c r="T13" i="8"/>
  <c r="AG13" i="8"/>
  <c r="I3" i="8"/>
  <c r="I13" i="8"/>
  <c r="R3" i="8"/>
  <c r="U13" i="8"/>
  <c r="Z13" i="8"/>
  <c r="Y13" i="8"/>
  <c r="K3" i="8"/>
  <c r="AF3" i="8"/>
  <c r="O3" i="8"/>
  <c r="G3" i="8"/>
  <c r="F13" i="8"/>
  <c r="AE13" i="8"/>
  <c r="C3" i="8"/>
  <c r="N13" i="8"/>
  <c r="AF13" i="8"/>
  <c r="AC13" i="8"/>
  <c r="E13" i="8"/>
  <c r="AG3" i="8"/>
  <c r="M3" i="8"/>
  <c r="D13" i="8"/>
  <c r="L3" i="8"/>
  <c r="R13" i="8"/>
  <c r="O13" i="8"/>
  <c r="AC3" i="8"/>
  <c r="W3" i="8"/>
  <c r="AB13" i="8"/>
  <c r="H13" i="8"/>
  <c r="G13" i="8"/>
  <c r="N3" i="8"/>
  <c r="J3" i="8"/>
  <c r="U3" i="8"/>
  <c r="V3" i="8"/>
  <c r="I42" i="8"/>
  <c r="M115" i="12"/>
  <c r="M116" i="12"/>
  <c r="C45" i="8"/>
  <c r="G114" i="12"/>
  <c r="Y42" i="8"/>
  <c r="AC115" i="12"/>
  <c r="AC116" i="12"/>
  <c r="Y45" i="8"/>
  <c r="AC114" i="12"/>
  <c r="AA45" i="8"/>
  <c r="AE114" i="12"/>
  <c r="AG45" i="8"/>
  <c r="AK114" i="12"/>
  <c r="L42" i="8"/>
  <c r="P115" i="12"/>
  <c r="P116" i="12"/>
  <c r="G42" i="8"/>
  <c r="K115" i="12"/>
  <c r="K116" i="12"/>
  <c r="Q45" i="8"/>
  <c r="U114" i="12"/>
  <c r="C42" i="8"/>
  <c r="G115" i="12"/>
  <c r="G116" i="12"/>
  <c r="E45" i="8"/>
  <c r="I114" i="12"/>
  <c r="K45" i="8"/>
  <c r="O114" i="12"/>
  <c r="AE45" i="8"/>
  <c r="AI114" i="12"/>
  <c r="D45" i="8"/>
  <c r="H114" i="12"/>
  <c r="AF42" i="8"/>
  <c r="AJ115" i="12"/>
  <c r="AJ116" i="12"/>
  <c r="AB42" i="8"/>
  <c r="AF115" i="12"/>
  <c r="AF116" i="12"/>
  <c r="V42" i="8"/>
  <c r="Z115" i="12"/>
  <c r="Z116" i="12"/>
  <c r="AH42" i="8"/>
  <c r="AL115" i="12"/>
  <c r="AL116" i="12"/>
  <c r="Q42" i="8"/>
  <c r="U115" i="12"/>
  <c r="U116" i="12"/>
  <c r="P42" i="8"/>
  <c r="T116" i="12"/>
  <c r="T115" i="12"/>
  <c r="F45" i="8"/>
  <c r="J114" i="12"/>
  <c r="U45" i="8"/>
  <c r="Y114" i="12"/>
  <c r="AF45" i="8"/>
  <c r="AJ114" i="12"/>
  <c r="Z45" i="8"/>
  <c r="AD114" i="12"/>
  <c r="N45" i="8"/>
  <c r="R114" i="12"/>
  <c r="AB45" i="8"/>
  <c r="AF114" i="12"/>
  <c r="AH45" i="8"/>
  <c r="AL114" i="12"/>
  <c r="O42" i="8"/>
  <c r="S115" i="12"/>
  <c r="S116" i="12"/>
  <c r="J45" i="8"/>
  <c r="N114" i="12"/>
  <c r="M45" i="8"/>
  <c r="Q114" i="12"/>
  <c r="M42" i="8"/>
  <c r="Q115" i="12"/>
  <c r="Q116" i="12"/>
  <c r="R45" i="8"/>
  <c r="V114" i="12"/>
  <c r="Z42" i="8"/>
  <c r="AD115" i="12"/>
  <c r="AD116" i="12"/>
  <c r="G45" i="8"/>
  <c r="K114" i="12"/>
  <c r="H45" i="8"/>
  <c r="L114" i="12"/>
  <c r="AC45" i="8"/>
  <c r="AG114" i="12"/>
  <c r="J42" i="8"/>
  <c r="N115" i="12"/>
  <c r="N116" i="12"/>
  <c r="X42" i="8"/>
  <c r="AB116" i="12"/>
  <c r="AB115" i="12"/>
  <c r="R42" i="8"/>
  <c r="V115" i="12"/>
  <c r="V116" i="12"/>
  <c r="U42" i="8"/>
  <c r="Y115" i="12"/>
  <c r="Y116" i="12"/>
  <c r="N42" i="8"/>
  <c r="R115" i="12"/>
  <c r="R116" i="12"/>
  <c r="V45" i="8"/>
  <c r="Z114" i="12"/>
  <c r="AD42" i="8"/>
  <c r="AH115" i="12"/>
  <c r="AH116" i="12"/>
  <c r="I45" i="8"/>
  <c r="M114" i="12"/>
  <c r="AE42" i="8"/>
  <c r="AI115" i="12"/>
  <c r="AI116" i="12"/>
  <c r="AC42" i="8"/>
  <c r="AG115" i="12"/>
  <c r="AG116" i="12"/>
  <c r="W42" i="8"/>
  <c r="AA115" i="12"/>
  <c r="AA116" i="12"/>
  <c r="K42" i="8"/>
  <c r="O115" i="12"/>
  <c r="O116" i="12"/>
  <c r="E42" i="8"/>
  <c r="I115" i="12"/>
  <c r="I116" i="12"/>
  <c r="P45" i="8"/>
  <c r="T114" i="12"/>
  <c r="S42" i="8"/>
  <c r="W115" i="12"/>
  <c r="W116" i="12"/>
  <c r="X45" i="8"/>
  <c r="AB114" i="12"/>
  <c r="AA42" i="8"/>
  <c r="AE115" i="12"/>
  <c r="AE116" i="12"/>
  <c r="L45" i="8"/>
  <c r="P114" i="12"/>
  <c r="W45" i="8"/>
  <c r="AA114" i="12"/>
  <c r="D42" i="8"/>
  <c r="H115" i="12"/>
  <c r="H116" i="12"/>
  <c r="H42" i="8"/>
  <c r="L115" i="12"/>
  <c r="L116" i="12"/>
  <c r="S45" i="8"/>
  <c r="W114" i="12"/>
  <c r="AG42" i="8"/>
  <c r="AK115" i="12"/>
  <c r="AK116" i="12"/>
  <c r="F42" i="8"/>
  <c r="J115" i="12"/>
  <c r="J116" i="12"/>
  <c r="O45" i="8"/>
  <c r="S114" i="12"/>
  <c r="AD45" i="8"/>
  <c r="AH114" i="12"/>
  <c r="T42" i="8"/>
  <c r="X115" i="12"/>
  <c r="X116" i="12"/>
  <c r="T45" i="8"/>
  <c r="X114" i="12"/>
  <c r="F116" i="12"/>
  <c r="F115" i="12"/>
  <c r="F114" i="12"/>
  <c r="B42" i="8"/>
  <c r="B45" i="8"/>
  <c r="F116" i="11"/>
  <c r="B3" i="8"/>
  <c r="B13" i="8"/>
  <c r="B22" i="8"/>
  <c r="B5" i="8"/>
  <c r="B8" i="8"/>
  <c r="N37" i="4"/>
  <c r="V37" i="4"/>
  <c r="AD37" i="4"/>
  <c r="AL37" i="4"/>
  <c r="U37" i="4"/>
  <c r="G37" i="4"/>
  <c r="O37" i="4"/>
  <c r="W37" i="4"/>
  <c r="AE37" i="4"/>
  <c r="AC37" i="4"/>
  <c r="H37" i="4"/>
  <c r="P37" i="4"/>
  <c r="X37" i="4"/>
  <c r="AF37" i="4"/>
  <c r="M37" i="4"/>
  <c r="AK37" i="4"/>
  <c r="I37" i="4"/>
  <c r="Q37" i="4"/>
  <c r="Y37" i="4"/>
  <c r="AG37" i="4"/>
  <c r="J37" i="4"/>
  <c r="R37" i="4"/>
  <c r="Z37" i="4"/>
  <c r="AH37" i="4"/>
  <c r="K37" i="4"/>
  <c r="S37" i="4"/>
  <c r="AA37" i="4"/>
  <c r="AI37" i="4"/>
  <c r="L37" i="4"/>
  <c r="T37" i="4"/>
  <c r="AB37" i="4"/>
  <c r="AJ37" i="4"/>
  <c r="N35" i="4"/>
  <c r="V35" i="4"/>
  <c r="AD35" i="4"/>
  <c r="AL35" i="4"/>
  <c r="AC35" i="4"/>
  <c r="G35" i="4"/>
  <c r="O35" i="4"/>
  <c r="W35" i="4"/>
  <c r="AE35" i="4"/>
  <c r="M35" i="4"/>
  <c r="H35" i="4"/>
  <c r="P35" i="4"/>
  <c r="X35" i="4"/>
  <c r="AF35" i="4"/>
  <c r="U35" i="4"/>
  <c r="AK35" i="4"/>
  <c r="I35" i="4"/>
  <c r="Q35" i="4"/>
  <c r="Y35" i="4"/>
  <c r="AG35" i="4"/>
  <c r="J35" i="4"/>
  <c r="R35" i="4"/>
  <c r="Z35" i="4"/>
  <c r="AH35" i="4"/>
  <c r="K35" i="4"/>
  <c r="S35" i="4"/>
  <c r="AA35" i="4"/>
  <c r="AI35" i="4"/>
  <c r="L35" i="4"/>
  <c r="T35" i="4"/>
  <c r="AB35" i="4"/>
  <c r="AJ35" i="4"/>
  <c r="N36" i="4"/>
  <c r="V36" i="4"/>
  <c r="AD36" i="4"/>
  <c r="AL36" i="4"/>
  <c r="M36" i="4"/>
  <c r="AC36" i="4"/>
  <c r="AK36" i="4"/>
  <c r="G36" i="4"/>
  <c r="O36" i="4"/>
  <c r="W36" i="4"/>
  <c r="AE36" i="4"/>
  <c r="H36" i="4"/>
  <c r="P36" i="4"/>
  <c r="X36" i="4"/>
  <c r="AF36" i="4"/>
  <c r="U36" i="4"/>
  <c r="I36" i="4"/>
  <c r="Q36" i="4"/>
  <c r="Y36" i="4"/>
  <c r="AG36" i="4"/>
  <c r="J36" i="4"/>
  <c r="R36" i="4"/>
  <c r="Z36" i="4"/>
  <c r="AH36" i="4"/>
  <c r="K36" i="4"/>
  <c r="S36" i="4"/>
  <c r="AA36" i="4"/>
  <c r="AI36" i="4"/>
  <c r="L36" i="4"/>
  <c r="T36" i="4"/>
  <c r="AB36" i="4"/>
  <c r="AJ36" i="4"/>
  <c r="N34" i="4"/>
  <c r="V34" i="4"/>
  <c r="AD34" i="4"/>
  <c r="AL34" i="4"/>
  <c r="G34" i="4"/>
  <c r="O34" i="4"/>
  <c r="W34" i="4"/>
  <c r="AE34" i="4"/>
  <c r="H34" i="4"/>
  <c r="P34" i="4"/>
  <c r="X34" i="4"/>
  <c r="AF34" i="4"/>
  <c r="I34" i="4"/>
  <c r="Q34" i="4"/>
  <c r="Y34" i="4"/>
  <c r="AG34" i="4"/>
  <c r="AK34" i="4"/>
  <c r="J34" i="4"/>
  <c r="R34" i="4"/>
  <c r="Z34" i="4"/>
  <c r="AH34" i="4"/>
  <c r="AC34" i="4"/>
  <c r="K34" i="4"/>
  <c r="S34" i="4"/>
  <c r="AA34" i="4"/>
  <c r="AI34" i="4"/>
  <c r="U34" i="4"/>
  <c r="L34" i="4"/>
  <c r="T34" i="4"/>
  <c r="AB34" i="4"/>
  <c r="AJ34" i="4"/>
  <c r="M34" i="4"/>
  <c r="J116" i="11" l="1"/>
  <c r="J118" i="11" s="1"/>
  <c r="J117" i="11"/>
  <c r="AD116" i="11"/>
  <c r="AD118" i="11" s="1"/>
  <c r="AD117" i="11"/>
  <c r="L116" i="11"/>
  <c r="L118" i="11" s="1"/>
  <c r="L117" i="11"/>
  <c r="P116" i="11"/>
  <c r="P118" i="11" s="1"/>
  <c r="P117" i="11"/>
  <c r="Q116" i="11"/>
  <c r="Q118" i="11" s="1"/>
  <c r="Q117" i="11"/>
  <c r="H116" i="11"/>
  <c r="H118" i="11" s="1"/>
  <c r="H117" i="11"/>
  <c r="R116" i="11"/>
  <c r="R118" i="11" s="1"/>
  <c r="R117" i="11"/>
  <c r="W116" i="11"/>
  <c r="W118" i="11" s="1"/>
  <c r="W117" i="11"/>
  <c r="AB116" i="11"/>
  <c r="AB118" i="11" s="1"/>
  <c r="AB117" i="11"/>
  <c r="AC117" i="11"/>
  <c r="AC116" i="11"/>
  <c r="AC118" i="11" s="1"/>
  <c r="T116" i="11"/>
  <c r="T118" i="11" s="1"/>
  <c r="T117" i="11"/>
  <c r="V116" i="11"/>
  <c r="V118" i="11" s="1"/>
  <c r="V117" i="11"/>
  <c r="M117" i="11"/>
  <c r="M116" i="11"/>
  <c r="M118" i="11" s="1"/>
  <c r="AL117" i="11"/>
  <c r="AL116" i="11"/>
  <c r="AL118" i="11" s="1"/>
  <c r="AF116" i="11"/>
  <c r="AF118" i="11" s="1"/>
  <c r="AF117" i="11"/>
  <c r="AJ116" i="11"/>
  <c r="AJ118" i="11" s="1"/>
  <c r="AJ117" i="11"/>
  <c r="K116" i="11"/>
  <c r="K118" i="11" s="1"/>
  <c r="K117" i="11"/>
  <c r="AG116" i="11"/>
  <c r="AG118" i="11" s="1"/>
  <c r="AG117" i="11"/>
  <c r="X116" i="11"/>
  <c r="X118" i="11" s="1"/>
  <c r="X117" i="11"/>
  <c r="G116" i="11"/>
  <c r="G118" i="11" s="1"/>
  <c r="G117" i="11"/>
  <c r="Z116" i="11"/>
  <c r="Z118" i="11" s="1"/>
  <c r="Z117" i="11"/>
  <c r="O116" i="11"/>
  <c r="O118" i="11" s="1"/>
  <c r="O117" i="11"/>
  <c r="N116" i="11"/>
  <c r="N118" i="11" s="1"/>
  <c r="N117" i="11"/>
  <c r="S116" i="11"/>
  <c r="S118" i="11" s="1"/>
  <c r="S117" i="11"/>
  <c r="U117" i="11"/>
  <c r="U116" i="11"/>
  <c r="U118" i="11" s="1"/>
  <c r="Y116" i="11"/>
  <c r="Y118" i="11" s="1"/>
  <c r="Y117" i="11"/>
  <c r="AE116" i="11"/>
  <c r="AE118" i="11" s="1"/>
  <c r="AE117" i="11"/>
  <c r="I116" i="11"/>
  <c r="I118" i="11" s="1"/>
  <c r="I117" i="11"/>
  <c r="AI116" i="11"/>
  <c r="AI118" i="11" s="1"/>
  <c r="AI117" i="11"/>
  <c r="AH116" i="11"/>
  <c r="AH118" i="11" s="1"/>
  <c r="AH117" i="11"/>
  <c r="AA116" i="11"/>
  <c r="AA118" i="11" s="1"/>
  <c r="AA117" i="11"/>
  <c r="AK116" i="11"/>
  <c r="AK118" i="11" s="1"/>
  <c r="AK117" i="11"/>
  <c r="AE117" i="12"/>
  <c r="J117" i="12"/>
  <c r="I117" i="12"/>
  <c r="V117" i="12"/>
  <c r="AI117" i="12"/>
  <c r="Y117" i="12"/>
  <c r="G117" i="12"/>
  <c r="AD117" i="12"/>
  <c r="P117" i="12"/>
  <c r="L117" i="12"/>
  <c r="N117" i="12"/>
  <c r="O117" i="12"/>
  <c r="AK117" i="12"/>
  <c r="H117" i="12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7" i="11"/>
  <c r="F118" i="11"/>
  <c r="F37" i="4"/>
  <c r="E37" i="4"/>
  <c r="E34" i="4"/>
  <c r="F35" i="4"/>
  <c r="E35" i="4"/>
  <c r="F36" i="4"/>
  <c r="E36" i="4"/>
  <c r="F34" i="4"/>
  <c r="B114" i="12" l="1"/>
  <c r="B115" i="12"/>
  <c r="E122" i="12" a="1"/>
  <c r="AL135" i="12" s="1"/>
  <c r="V29" i="8"/>
  <c r="AC30" i="8"/>
  <c r="N30" i="8"/>
  <c r="U29" i="8"/>
  <c r="AA30" i="8"/>
  <c r="Q30" i="8"/>
  <c r="J31" i="8"/>
  <c r="AD30" i="8"/>
  <c r="I30" i="8"/>
  <c r="AF30" i="8"/>
  <c r="P29" i="8"/>
  <c r="W30" i="8"/>
  <c r="L31" i="8"/>
  <c r="AB30" i="8"/>
  <c r="O31" i="8"/>
  <c r="AA29" i="8"/>
  <c r="AA31" i="8"/>
  <c r="Z31" i="8"/>
  <c r="Y30" i="8"/>
  <c r="L30" i="8"/>
  <c r="P30" i="8"/>
  <c r="N31" i="8"/>
  <c r="AG29" i="8"/>
  <c r="S31" i="8"/>
  <c r="R31" i="8"/>
  <c r="R29" i="8"/>
  <c r="Z30" i="8"/>
  <c r="T30" i="8"/>
  <c r="V30" i="8"/>
  <c r="X30" i="8"/>
  <c r="AD29" i="8"/>
  <c r="AD31" i="8"/>
  <c r="AB31" i="8"/>
  <c r="Z29" i="8"/>
  <c r="U31" i="8"/>
  <c r="J29" i="8"/>
  <c r="AG30" i="8"/>
  <c r="V31" i="8"/>
  <c r="AC29" i="8"/>
  <c r="AF29" i="8"/>
  <c r="AF31" i="8"/>
  <c r="W31" i="8"/>
  <c r="AH30" i="8"/>
  <c r="AE31" i="8"/>
  <c r="O29" i="8"/>
  <c r="AB29" i="8"/>
  <c r="G30" i="8"/>
  <c r="N29" i="8"/>
  <c r="K31" i="8"/>
  <c r="H31" i="8"/>
  <c r="K29" i="8"/>
  <c r="T31" i="8"/>
  <c r="K30" i="8"/>
  <c r="M30" i="8"/>
  <c r="O30" i="8"/>
  <c r="F29" i="8"/>
  <c r="G31" i="8"/>
  <c r="P31" i="8"/>
  <c r="W29" i="8"/>
  <c r="S29" i="8"/>
  <c r="L29" i="8"/>
  <c r="J30" i="8"/>
  <c r="S30" i="8"/>
  <c r="U30" i="8"/>
  <c r="H29" i="8"/>
  <c r="M31" i="8"/>
  <c r="Q31" i="8"/>
  <c r="G29" i="8"/>
  <c r="T29" i="8"/>
  <c r="AE30" i="8"/>
  <c r="AC31" i="8"/>
  <c r="AG31" i="8"/>
  <c r="Q29" i="8"/>
  <c r="AH29" i="8"/>
  <c r="AH31" i="8"/>
  <c r="R30" i="8"/>
  <c r="F30" i="8"/>
  <c r="H30" i="8"/>
  <c r="Y31" i="8"/>
  <c r="F31" i="8"/>
  <c r="Y29" i="8"/>
  <c r="M29" i="8"/>
  <c r="AE29" i="8"/>
  <c r="I31" i="8"/>
  <c r="I29" i="8"/>
  <c r="X31" i="8"/>
  <c r="X29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E123" i="12" l="1"/>
  <c r="AJ129" i="12"/>
  <c r="I131" i="12"/>
  <c r="P132" i="12"/>
  <c r="O133" i="12"/>
  <c r="N134" i="12"/>
  <c r="M135" i="12"/>
  <c r="E124" i="12"/>
  <c r="AF131" i="12"/>
  <c r="E133" i="12"/>
  <c r="L134" i="12"/>
  <c r="K135" i="12"/>
  <c r="G122" i="12"/>
  <c r="F123" i="12"/>
  <c r="M124" i="12"/>
  <c r="AB133" i="12"/>
  <c r="AI134" i="12"/>
  <c r="E122" i="12"/>
  <c r="AL122" i="12"/>
  <c r="AK123" i="12"/>
  <c r="AJ124" i="12"/>
  <c r="U124" i="12"/>
  <c r="X135" i="12"/>
  <c r="AJ122" i="12"/>
  <c r="AI123" i="12"/>
  <c r="AH124" i="12"/>
  <c r="AG125" i="12"/>
  <c r="AF126" i="12"/>
  <c r="R122" i="12"/>
  <c r="Y123" i="12"/>
  <c r="AF124" i="12"/>
  <c r="AE125" i="12"/>
  <c r="AD126" i="12"/>
  <c r="AC127" i="12"/>
  <c r="AB128" i="12"/>
  <c r="Q130" i="12"/>
  <c r="N124" i="12"/>
  <c r="U125" i="12"/>
  <c r="AB126" i="12"/>
  <c r="AA127" i="12"/>
  <c r="Z128" i="12"/>
  <c r="Y129" i="12"/>
  <c r="X130" i="12"/>
  <c r="U132" i="12"/>
  <c r="J126" i="12"/>
  <c r="Q127" i="12"/>
  <c r="X128" i="12"/>
  <c r="W129" i="12"/>
  <c r="V130" i="12"/>
  <c r="U131" i="12"/>
  <c r="T132" i="12"/>
  <c r="Y134" i="12"/>
  <c r="F128" i="12"/>
  <c r="M129" i="12"/>
  <c r="T130" i="12"/>
  <c r="S131" i="12"/>
  <c r="R132" i="12"/>
  <c r="Q133" i="12"/>
  <c r="P134" i="12"/>
  <c r="M132" i="12"/>
  <c r="Q134" i="12"/>
  <c r="W123" i="12"/>
  <c r="AA125" i="12"/>
  <c r="AI125" i="12"/>
  <c r="I126" i="12"/>
  <c r="Q126" i="12"/>
  <c r="Z122" i="12"/>
  <c r="V124" i="12"/>
  <c r="R126" i="12"/>
  <c r="N128" i="12"/>
  <c r="J130" i="12"/>
  <c r="F132" i="12"/>
  <c r="AJ133" i="12"/>
  <c r="AF135" i="12"/>
  <c r="AG123" i="12"/>
  <c r="AC125" i="12"/>
  <c r="Y127" i="12"/>
  <c r="U129" i="12"/>
  <c r="Q131" i="12"/>
  <c r="M133" i="12"/>
  <c r="I135" i="12"/>
  <c r="J123" i="12"/>
  <c r="F125" i="12"/>
  <c r="AJ126" i="12"/>
  <c r="AF128" i="12"/>
  <c r="AB130" i="12"/>
  <c r="X132" i="12"/>
  <c r="T134" i="12"/>
  <c r="M122" i="12"/>
  <c r="I124" i="12"/>
  <c r="E126" i="12"/>
  <c r="AI127" i="12"/>
  <c r="AE129" i="12"/>
  <c r="AA131" i="12"/>
  <c r="W133" i="12"/>
  <c r="S135" i="12"/>
  <c r="L123" i="12"/>
  <c r="H125" i="12"/>
  <c r="AL126" i="12"/>
  <c r="AH128" i="12"/>
  <c r="AD130" i="12"/>
  <c r="Z132" i="12"/>
  <c r="V134" i="12"/>
  <c r="O122" i="12"/>
  <c r="K124" i="12"/>
  <c r="G126" i="12"/>
  <c r="AK127" i="12"/>
  <c r="AG129" i="12"/>
  <c r="AC131" i="12"/>
  <c r="Y133" i="12"/>
  <c r="U135" i="12"/>
  <c r="N123" i="12"/>
  <c r="J125" i="12"/>
  <c r="F127" i="12"/>
  <c r="AJ128" i="12"/>
  <c r="AF130" i="12"/>
  <c r="AB132" i="12"/>
  <c r="X134" i="12"/>
  <c r="I134" i="12"/>
  <c r="O123" i="12"/>
  <c r="S125" i="12"/>
  <c r="W127" i="12"/>
  <c r="AE127" i="12"/>
  <c r="E128" i="12"/>
  <c r="M128" i="12"/>
  <c r="AH122" i="12"/>
  <c r="AD124" i="12"/>
  <c r="Z126" i="12"/>
  <c r="V128" i="12"/>
  <c r="R130" i="12"/>
  <c r="N132" i="12"/>
  <c r="J134" i="12"/>
  <c r="K122" i="12"/>
  <c r="G124" i="12"/>
  <c r="AK125" i="12"/>
  <c r="AG127" i="12"/>
  <c r="AC129" i="12"/>
  <c r="Y131" i="12"/>
  <c r="U133" i="12"/>
  <c r="Q135" i="12"/>
  <c r="R123" i="12"/>
  <c r="N125" i="12"/>
  <c r="J127" i="12"/>
  <c r="F129" i="12"/>
  <c r="AJ130" i="12"/>
  <c r="AF132" i="12"/>
  <c r="AB134" i="12"/>
  <c r="U122" i="12"/>
  <c r="Q124" i="12"/>
  <c r="M126" i="12"/>
  <c r="I128" i="12"/>
  <c r="E130" i="12"/>
  <c r="AI131" i="12"/>
  <c r="AE133" i="12"/>
  <c r="AA135" i="12"/>
  <c r="T123" i="12"/>
  <c r="P125" i="12"/>
  <c r="L127" i="12"/>
  <c r="H129" i="12"/>
  <c r="AL130" i="12"/>
  <c r="AH132" i="12"/>
  <c r="AD134" i="12"/>
  <c r="W122" i="12"/>
  <c r="S124" i="12"/>
  <c r="O126" i="12"/>
  <c r="K128" i="12"/>
  <c r="G130" i="12"/>
  <c r="AK131" i="12"/>
  <c r="AG133" i="12"/>
  <c r="AC135" i="12"/>
  <c r="V123" i="12"/>
  <c r="R125" i="12"/>
  <c r="N127" i="12"/>
  <c r="J129" i="12"/>
  <c r="F131" i="12"/>
  <c r="AJ132" i="12"/>
  <c r="AF134" i="12"/>
  <c r="G123" i="12"/>
  <c r="K125" i="12"/>
  <c r="O127" i="12"/>
  <c r="S129" i="12"/>
  <c r="AA129" i="12"/>
  <c r="AI129" i="12"/>
  <c r="I130" i="12"/>
  <c r="H123" i="12"/>
  <c r="AL124" i="12"/>
  <c r="AH126" i="12"/>
  <c r="AD128" i="12"/>
  <c r="Z130" i="12"/>
  <c r="V132" i="12"/>
  <c r="R134" i="12"/>
  <c r="S122" i="12"/>
  <c r="O124" i="12"/>
  <c r="K126" i="12"/>
  <c r="G128" i="12"/>
  <c r="AK129" i="12"/>
  <c r="AG131" i="12"/>
  <c r="AC133" i="12"/>
  <c r="Y135" i="12"/>
  <c r="Z123" i="12"/>
  <c r="V125" i="12"/>
  <c r="R127" i="12"/>
  <c r="N129" i="12"/>
  <c r="J131" i="12"/>
  <c r="F133" i="12"/>
  <c r="AJ134" i="12"/>
  <c r="AC122" i="12"/>
  <c r="Y124" i="12"/>
  <c r="U126" i="12"/>
  <c r="Q128" i="12"/>
  <c r="M130" i="12"/>
  <c r="I132" i="12"/>
  <c r="E134" i="12"/>
  <c r="AI135" i="12"/>
  <c r="AB123" i="12"/>
  <c r="X125" i="12"/>
  <c r="T127" i="12"/>
  <c r="P129" i="12"/>
  <c r="L131" i="12"/>
  <c r="H133" i="12"/>
  <c r="AL134" i="12"/>
  <c r="AE122" i="12"/>
  <c r="AA124" i="12"/>
  <c r="W126" i="12"/>
  <c r="S128" i="12"/>
  <c r="O130" i="12"/>
  <c r="K132" i="12"/>
  <c r="G134" i="12"/>
  <c r="AK135" i="12"/>
  <c r="AD123" i="12"/>
  <c r="Z125" i="12"/>
  <c r="V127" i="12"/>
  <c r="R129" i="12"/>
  <c r="N131" i="12"/>
  <c r="J133" i="12"/>
  <c r="F135" i="12"/>
  <c r="AG122" i="12"/>
  <c r="AK124" i="12"/>
  <c r="G127" i="12"/>
  <c r="K129" i="12"/>
  <c r="O131" i="12"/>
  <c r="W131" i="12"/>
  <c r="AE131" i="12"/>
  <c r="E132" i="12"/>
  <c r="P123" i="12"/>
  <c r="L125" i="12"/>
  <c r="H127" i="12"/>
  <c r="AL128" i="12"/>
  <c r="AH130" i="12"/>
  <c r="AD132" i="12"/>
  <c r="Z134" i="12"/>
  <c r="AA122" i="12"/>
  <c r="W124" i="12"/>
  <c r="S126" i="12"/>
  <c r="O128" i="12"/>
  <c r="K130" i="12"/>
  <c r="G132" i="12"/>
  <c r="AK133" i="12"/>
  <c r="AG135" i="12"/>
  <c r="AH123" i="12"/>
  <c r="AD125" i="12"/>
  <c r="Z127" i="12"/>
  <c r="V129" i="12"/>
  <c r="R131" i="12"/>
  <c r="N133" i="12"/>
  <c r="J135" i="12"/>
  <c r="AK122" i="12"/>
  <c r="AG124" i="12"/>
  <c r="AC126" i="12"/>
  <c r="Y128" i="12"/>
  <c r="U130" i="12"/>
  <c r="Q132" i="12"/>
  <c r="M134" i="12"/>
  <c r="F122" i="12"/>
  <c r="AJ123" i="12"/>
  <c r="AF125" i="12"/>
  <c r="AB127" i="12"/>
  <c r="X129" i="12"/>
  <c r="T131" i="12"/>
  <c r="P133" i="12"/>
  <c r="L135" i="12"/>
  <c r="E123" i="12"/>
  <c r="AI124" i="12"/>
  <c r="AE126" i="12"/>
  <c r="AA128" i="12"/>
  <c r="W130" i="12"/>
  <c r="S132" i="12"/>
  <c r="O134" i="12"/>
  <c r="H122" i="12"/>
  <c r="AL123" i="12"/>
  <c r="AH125" i="12"/>
  <c r="AD127" i="12"/>
  <c r="Z129" i="12"/>
  <c r="V131" i="12"/>
  <c r="R133" i="12"/>
  <c r="N135" i="12"/>
  <c r="AC124" i="12"/>
  <c r="AG126" i="12"/>
  <c r="AK128" i="12"/>
  <c r="G131" i="12"/>
  <c r="K133" i="12"/>
  <c r="S133" i="12"/>
  <c r="AA133" i="12"/>
  <c r="AI133" i="12"/>
  <c r="X123" i="12"/>
  <c r="T125" i="12"/>
  <c r="P127" i="12"/>
  <c r="L129" i="12"/>
  <c r="H131" i="12"/>
  <c r="AL132" i="12"/>
  <c r="AH134" i="12"/>
  <c r="AI122" i="12"/>
  <c r="AE124" i="12"/>
  <c r="AA126" i="12"/>
  <c r="W128" i="12"/>
  <c r="S130" i="12"/>
  <c r="O132" i="12"/>
  <c r="K134" i="12"/>
  <c r="L122" i="12"/>
  <c r="H124" i="12"/>
  <c r="AL125" i="12"/>
  <c r="AH127" i="12"/>
  <c r="AD129" i="12"/>
  <c r="Z131" i="12"/>
  <c r="V133" i="12"/>
  <c r="R135" i="12"/>
  <c r="K123" i="12"/>
  <c r="G125" i="12"/>
  <c r="AK126" i="12"/>
  <c r="AG128" i="12"/>
  <c r="AC130" i="12"/>
  <c r="Y132" i="12"/>
  <c r="U134" i="12"/>
  <c r="N122" i="12"/>
  <c r="J124" i="12"/>
  <c r="F126" i="12"/>
  <c r="AJ127" i="12"/>
  <c r="AF129" i="12"/>
  <c r="AB131" i="12"/>
  <c r="X133" i="12"/>
  <c r="T135" i="12"/>
  <c r="M123" i="12"/>
  <c r="I125" i="12"/>
  <c r="E127" i="12"/>
  <c r="AI128" i="12"/>
  <c r="AE130" i="12"/>
  <c r="AA132" i="12"/>
  <c r="W134" i="12"/>
  <c r="P122" i="12"/>
  <c r="L124" i="12"/>
  <c r="H126" i="12"/>
  <c r="AL127" i="12"/>
  <c r="AH129" i="12"/>
  <c r="AD131" i="12"/>
  <c r="Z133" i="12"/>
  <c r="V135" i="12"/>
  <c r="Y126" i="12"/>
  <c r="AC128" i="12"/>
  <c r="AG130" i="12"/>
  <c r="AK132" i="12"/>
  <c r="G135" i="12"/>
  <c r="O135" i="12"/>
  <c r="W135" i="12"/>
  <c r="AE135" i="12"/>
  <c r="AF123" i="12"/>
  <c r="AB125" i="12"/>
  <c r="X127" i="12"/>
  <c r="T129" i="12"/>
  <c r="P131" i="12"/>
  <c r="L133" i="12"/>
  <c r="H135" i="12"/>
  <c r="I123" i="12"/>
  <c r="E125" i="12"/>
  <c r="AI126" i="12"/>
  <c r="AE128" i="12"/>
  <c r="AA130" i="12"/>
  <c r="W132" i="12"/>
  <c r="S134" i="12"/>
  <c r="T122" i="12"/>
  <c r="P124" i="12"/>
  <c r="L126" i="12"/>
  <c r="H128" i="12"/>
  <c r="AL129" i="12"/>
  <c r="AH131" i="12"/>
  <c r="AD133" i="12"/>
  <c r="Z135" i="12"/>
  <c r="S123" i="12"/>
  <c r="O125" i="12"/>
  <c r="K127" i="12"/>
  <c r="G129" i="12"/>
  <c r="AK130" i="12"/>
  <c r="AG132" i="12"/>
  <c r="AC134" i="12"/>
  <c r="V122" i="12"/>
  <c r="R124" i="12"/>
  <c r="N126" i="12"/>
  <c r="J128" i="12"/>
  <c r="F130" i="12"/>
  <c r="AJ131" i="12"/>
  <c r="AF133" i="12"/>
  <c r="AB135" i="12"/>
  <c r="U123" i="12"/>
  <c r="Q125" i="12"/>
  <c r="M127" i="12"/>
  <c r="I129" i="12"/>
  <c r="E131" i="12"/>
  <c r="AI132" i="12"/>
  <c r="AE134" i="12"/>
  <c r="X122" i="12"/>
  <c r="T124" i="12"/>
  <c r="P126" i="12"/>
  <c r="L128" i="12"/>
  <c r="H130" i="12"/>
  <c r="AL131" i="12"/>
  <c r="AH133" i="12"/>
  <c r="AD135" i="12"/>
  <c r="U128" i="12"/>
  <c r="Y130" i="12"/>
  <c r="AC132" i="12"/>
  <c r="AG134" i="12"/>
  <c r="I122" i="12"/>
  <c r="Q122" i="12"/>
  <c r="Y122" i="12"/>
  <c r="J122" i="12"/>
  <c r="F124" i="12"/>
  <c r="AJ125" i="12"/>
  <c r="AF127" i="12"/>
  <c r="AB129" i="12"/>
  <c r="X131" i="12"/>
  <c r="T133" i="12"/>
  <c r="P135" i="12"/>
  <c r="Q123" i="12"/>
  <c r="M125" i="12"/>
  <c r="I127" i="12"/>
  <c r="E129" i="12"/>
  <c r="AI130" i="12"/>
  <c r="AE132" i="12"/>
  <c r="AA134" i="12"/>
  <c r="AB122" i="12"/>
  <c r="X124" i="12"/>
  <c r="T126" i="12"/>
  <c r="P128" i="12"/>
  <c r="L130" i="12"/>
  <c r="H132" i="12"/>
  <c r="AL133" i="12"/>
  <c r="AH135" i="12"/>
  <c r="AA123" i="12"/>
  <c r="W125" i="12"/>
  <c r="S127" i="12"/>
  <c r="O129" i="12"/>
  <c r="K131" i="12"/>
  <c r="G133" i="12"/>
  <c r="AK134" i="12"/>
  <c r="AD122" i="12"/>
  <c r="Z124" i="12"/>
  <c r="V126" i="12"/>
  <c r="R128" i="12"/>
  <c r="N130" i="12"/>
  <c r="J132" i="12"/>
  <c r="F134" i="12"/>
  <c r="AJ135" i="12"/>
  <c r="AC123" i="12"/>
  <c r="Y125" i="12"/>
  <c r="U127" i="12"/>
  <c r="Q129" i="12"/>
  <c r="M131" i="12"/>
  <c r="I133" i="12"/>
  <c r="E135" i="12"/>
  <c r="AF122" i="12"/>
  <c r="AB124" i="12"/>
  <c r="X126" i="12"/>
  <c r="T128" i="12"/>
  <c r="P130" i="12"/>
  <c r="L132" i="12"/>
  <c r="H134" i="12"/>
  <c r="A2" i="4"/>
  <c r="BA4" i="4" s="1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G46" i="4" l="1"/>
  <c r="T46" i="4"/>
  <c r="Z46" i="4"/>
  <c r="U46" i="4"/>
  <c r="Q46" i="4"/>
  <c r="S46" i="4"/>
  <c r="X46" i="4"/>
  <c r="AF46" i="4"/>
  <c r="AJ46" i="4"/>
  <c r="Y46" i="4"/>
  <c r="N46" i="4"/>
  <c r="P46" i="4"/>
  <c r="AG46" i="4"/>
  <c r="AH46" i="4"/>
  <c r="AA46" i="4"/>
  <c r="AC46" i="4"/>
  <c r="H46" i="4"/>
  <c r="AB46" i="4"/>
  <c r="R46" i="4"/>
  <c r="J46" i="4"/>
  <c r="AI46" i="4"/>
  <c r="V46" i="4"/>
  <c r="AE46" i="4"/>
  <c r="AD46" i="4"/>
  <c r="AK46" i="4"/>
  <c r="AL46" i="4"/>
  <c r="O46" i="4"/>
  <c r="L46" i="4"/>
  <c r="K46" i="4"/>
  <c r="I46" i="4"/>
  <c r="M46" i="4"/>
  <c r="W46" i="4"/>
  <c r="AG48" i="4"/>
  <c r="AH48" i="4"/>
  <c r="AA48" i="4"/>
  <c r="V48" i="4"/>
  <c r="AC48" i="4"/>
  <c r="H48" i="4"/>
  <c r="AK48" i="4"/>
  <c r="G48" i="4"/>
  <c r="T48" i="4"/>
  <c r="Z48" i="4"/>
  <c r="K48" i="4"/>
  <c r="U48" i="4"/>
  <c r="Q48" i="4"/>
  <c r="X48" i="4"/>
  <c r="N48" i="4"/>
  <c r="AJ48" i="4"/>
  <c r="Y48" i="4"/>
  <c r="AB48" i="4"/>
  <c r="I48" i="4"/>
  <c r="M48" i="4"/>
  <c r="W48" i="4"/>
  <c r="R48" i="4"/>
  <c r="AL48" i="4"/>
  <c r="J48" i="4"/>
  <c r="AI48" i="4"/>
  <c r="AD48" i="4"/>
  <c r="AE48" i="4"/>
  <c r="P48" i="4"/>
  <c r="L48" i="4"/>
  <c r="O48" i="4"/>
  <c r="AF48" i="4"/>
  <c r="S48" i="4"/>
  <c r="AJ50" i="4"/>
  <c r="Y50" i="4"/>
  <c r="P50" i="4"/>
  <c r="V50" i="4"/>
  <c r="AG50" i="4"/>
  <c r="AH50" i="4"/>
  <c r="AA50" i="4"/>
  <c r="AC50" i="4"/>
  <c r="H50" i="4"/>
  <c r="AK50" i="4"/>
  <c r="G50" i="4"/>
  <c r="T50" i="4"/>
  <c r="Z50" i="4"/>
  <c r="U50" i="4"/>
  <c r="K50" i="4"/>
  <c r="Q50" i="4"/>
  <c r="N50" i="4"/>
  <c r="S50" i="4"/>
  <c r="AD50" i="4"/>
  <c r="AF50" i="4"/>
  <c r="O50" i="4"/>
  <c r="I50" i="4"/>
  <c r="M50" i="4"/>
  <c r="W50" i="4"/>
  <c r="X50" i="4"/>
  <c r="AB50" i="4"/>
  <c r="R50" i="4"/>
  <c r="AL50" i="4"/>
  <c r="J50" i="4"/>
  <c r="AI50" i="4"/>
  <c r="AE50" i="4"/>
  <c r="L50" i="4"/>
  <c r="Q52" i="4"/>
  <c r="M73" i="8" s="1"/>
  <c r="X52" i="4"/>
  <c r="AF52" i="4"/>
  <c r="AB73" i="8" s="1"/>
  <c r="AJ52" i="4"/>
  <c r="AF73" i="8" s="1"/>
  <c r="Y52" i="4"/>
  <c r="U73" i="8" s="1"/>
  <c r="V52" i="4"/>
  <c r="R73" i="8" s="1"/>
  <c r="AB52" i="4"/>
  <c r="X73" i="8" s="1"/>
  <c r="P52" i="4"/>
  <c r="L73" i="8" s="1"/>
  <c r="AG52" i="4"/>
  <c r="AC73" i="8" s="1"/>
  <c r="AH52" i="4"/>
  <c r="AA52" i="4"/>
  <c r="W73" i="8" s="1"/>
  <c r="AC52" i="4"/>
  <c r="Y73" i="8" s="1"/>
  <c r="H52" i="4"/>
  <c r="D73" i="8" s="1"/>
  <c r="AK52" i="4"/>
  <c r="AG73" i="8" s="1"/>
  <c r="G52" i="4"/>
  <c r="C73" i="8" s="1"/>
  <c r="L52" i="4"/>
  <c r="H73" i="8" s="1"/>
  <c r="AE52" i="4"/>
  <c r="AA73" i="8" s="1"/>
  <c r="K52" i="4"/>
  <c r="T52" i="4"/>
  <c r="P73" i="8" s="1"/>
  <c r="S52" i="4"/>
  <c r="O73" i="8" s="1"/>
  <c r="O52" i="4"/>
  <c r="K73" i="8" s="1"/>
  <c r="U52" i="4"/>
  <c r="Q73" i="8" s="1"/>
  <c r="I52" i="4"/>
  <c r="E73" i="8" s="1"/>
  <c r="M52" i="4"/>
  <c r="I73" i="8" s="1"/>
  <c r="AL52" i="4"/>
  <c r="AH73" i="8" s="1"/>
  <c r="Z52" i="4"/>
  <c r="N52" i="4"/>
  <c r="J73" i="8" s="1"/>
  <c r="AD52" i="4"/>
  <c r="Z73" i="8" s="1"/>
  <c r="W52" i="4"/>
  <c r="S73" i="8" s="1"/>
  <c r="R52" i="4"/>
  <c r="N73" i="8" s="1"/>
  <c r="J52" i="4"/>
  <c r="F73" i="8" s="1"/>
  <c r="AI52" i="4"/>
  <c r="AE73" i="8" s="1"/>
  <c r="N54" i="4"/>
  <c r="G54" i="4"/>
  <c r="T54" i="4"/>
  <c r="Z54" i="4"/>
  <c r="U54" i="4"/>
  <c r="Q54" i="4"/>
  <c r="S54" i="4"/>
  <c r="X54" i="4"/>
  <c r="V54" i="4"/>
  <c r="AF54" i="4"/>
  <c r="AJ54" i="4"/>
  <c r="Y54" i="4"/>
  <c r="P54" i="4"/>
  <c r="AG54" i="4"/>
  <c r="AH54" i="4"/>
  <c r="AA54" i="4"/>
  <c r="AC54" i="4"/>
  <c r="K54" i="4"/>
  <c r="L54" i="4"/>
  <c r="R54" i="4"/>
  <c r="J54" i="4"/>
  <c r="AI54" i="4"/>
  <c r="H54" i="4"/>
  <c r="AE54" i="4"/>
  <c r="O54" i="4"/>
  <c r="AK54" i="4"/>
  <c r="AL54" i="4"/>
  <c r="AD54" i="4"/>
  <c r="I54" i="4"/>
  <c r="M54" i="4"/>
  <c r="AB54" i="4"/>
  <c r="W54" i="4"/>
  <c r="AG56" i="4"/>
  <c r="AC77" i="8" s="1"/>
  <c r="AH56" i="4"/>
  <c r="AD77" i="8" s="1"/>
  <c r="AA56" i="4"/>
  <c r="W77" i="8" s="1"/>
  <c r="H56" i="4"/>
  <c r="D77" i="8" s="1"/>
  <c r="AK56" i="4"/>
  <c r="AG77" i="8" s="1"/>
  <c r="N56" i="4"/>
  <c r="J77" i="8" s="1"/>
  <c r="K56" i="4"/>
  <c r="G77" i="8" s="1"/>
  <c r="G56" i="4"/>
  <c r="C77" i="8" s="1"/>
  <c r="T56" i="4"/>
  <c r="P77" i="8" s="1"/>
  <c r="Z56" i="4"/>
  <c r="V77" i="8" s="1"/>
  <c r="Q56" i="4"/>
  <c r="M77" i="8" s="1"/>
  <c r="V56" i="4"/>
  <c r="R77" i="8" s="1"/>
  <c r="AC56" i="4"/>
  <c r="Y77" i="8" s="1"/>
  <c r="X56" i="4"/>
  <c r="T77" i="8" s="1"/>
  <c r="AJ56" i="4"/>
  <c r="AF77" i="8" s="1"/>
  <c r="Y56" i="4"/>
  <c r="U77" i="8" s="1"/>
  <c r="AB56" i="4"/>
  <c r="X77" i="8" s="1"/>
  <c r="I56" i="4"/>
  <c r="E77" i="8" s="1"/>
  <c r="M56" i="4"/>
  <c r="I77" i="8" s="1"/>
  <c r="AF56" i="4"/>
  <c r="AB77" i="8" s="1"/>
  <c r="W56" i="4"/>
  <c r="S77" i="8" s="1"/>
  <c r="L56" i="4"/>
  <c r="H77" i="8" s="1"/>
  <c r="AD56" i="4"/>
  <c r="Z77" i="8" s="1"/>
  <c r="R56" i="4"/>
  <c r="N77" i="8" s="1"/>
  <c r="J56" i="4"/>
  <c r="F77" i="8" s="1"/>
  <c r="AI56" i="4"/>
  <c r="AE77" i="8" s="1"/>
  <c r="AE56" i="4"/>
  <c r="AA77" i="8" s="1"/>
  <c r="S56" i="4"/>
  <c r="O77" i="8" s="1"/>
  <c r="P56" i="4"/>
  <c r="L77" i="8" s="1"/>
  <c r="U56" i="4"/>
  <c r="Q77" i="8" s="1"/>
  <c r="AL56" i="4"/>
  <c r="AH77" i="8" s="1"/>
  <c r="O56" i="4"/>
  <c r="K77" i="8" s="1"/>
  <c r="AJ58" i="4"/>
  <c r="AF79" i="8" s="1"/>
  <c r="Y58" i="4"/>
  <c r="P58" i="4"/>
  <c r="L79" i="8" s="1"/>
  <c r="U58" i="4"/>
  <c r="Q79" i="8" s="1"/>
  <c r="AG58" i="4"/>
  <c r="AC79" i="8" s="1"/>
  <c r="AH58" i="4"/>
  <c r="AD79" i="8" s="1"/>
  <c r="AA58" i="4"/>
  <c r="W79" i="8" s="1"/>
  <c r="H58" i="4"/>
  <c r="D79" i="8" s="1"/>
  <c r="AK58" i="4"/>
  <c r="AG79" i="8" s="1"/>
  <c r="N58" i="4"/>
  <c r="J79" i="8" s="1"/>
  <c r="G58" i="4"/>
  <c r="C79" i="8" s="1"/>
  <c r="T58" i="4"/>
  <c r="P79" i="8" s="1"/>
  <c r="K58" i="4"/>
  <c r="G79" i="8" s="1"/>
  <c r="Z58" i="4"/>
  <c r="V79" i="8" s="1"/>
  <c r="AC58" i="4"/>
  <c r="Y79" i="8" s="1"/>
  <c r="Q58" i="4"/>
  <c r="M79" i="8" s="1"/>
  <c r="V58" i="4"/>
  <c r="R79" i="8" s="1"/>
  <c r="S58" i="4"/>
  <c r="O79" i="8" s="1"/>
  <c r="AL58" i="4"/>
  <c r="AH79" i="8" s="1"/>
  <c r="O58" i="4"/>
  <c r="K79" i="8" s="1"/>
  <c r="AF58" i="4"/>
  <c r="AB79" i="8" s="1"/>
  <c r="AB58" i="4"/>
  <c r="X79" i="8" s="1"/>
  <c r="I58" i="4"/>
  <c r="E79" i="8" s="1"/>
  <c r="L58" i="4"/>
  <c r="H79" i="8" s="1"/>
  <c r="W58" i="4"/>
  <c r="S79" i="8" s="1"/>
  <c r="X58" i="4"/>
  <c r="T79" i="8" s="1"/>
  <c r="AD58" i="4"/>
  <c r="Z79" i="8" s="1"/>
  <c r="R58" i="4"/>
  <c r="N79" i="8" s="1"/>
  <c r="J58" i="4"/>
  <c r="F79" i="8" s="1"/>
  <c r="AI58" i="4"/>
  <c r="AE79" i="8" s="1"/>
  <c r="M58" i="4"/>
  <c r="I79" i="8" s="1"/>
  <c r="AE58" i="4"/>
  <c r="AA79" i="8" s="1"/>
  <c r="Q60" i="4"/>
  <c r="M81" i="8" s="1"/>
  <c r="V60" i="4"/>
  <c r="R81" i="8" s="1"/>
  <c r="X60" i="4"/>
  <c r="T81" i="8" s="1"/>
  <c r="AJ60" i="4"/>
  <c r="AF81" i="8" s="1"/>
  <c r="Y60" i="4"/>
  <c r="U81" i="8" s="1"/>
  <c r="AC60" i="4"/>
  <c r="Y81" i="8" s="1"/>
  <c r="AB60" i="4"/>
  <c r="X81" i="8" s="1"/>
  <c r="P60" i="4"/>
  <c r="L81" i="8" s="1"/>
  <c r="U60" i="4"/>
  <c r="Q81" i="8" s="1"/>
  <c r="AG60" i="4"/>
  <c r="AC81" i="8" s="1"/>
  <c r="AH60" i="4"/>
  <c r="AD81" i="8" s="1"/>
  <c r="AA60" i="4"/>
  <c r="W81" i="8" s="1"/>
  <c r="H60" i="4"/>
  <c r="D81" i="8" s="1"/>
  <c r="AK60" i="4"/>
  <c r="AG81" i="8" s="1"/>
  <c r="N60" i="4"/>
  <c r="J81" i="8" s="1"/>
  <c r="G60" i="4"/>
  <c r="C81" i="8" s="1"/>
  <c r="S60" i="4"/>
  <c r="O81" i="8" s="1"/>
  <c r="M60" i="4"/>
  <c r="I81" i="8" s="1"/>
  <c r="AE60" i="4"/>
  <c r="AA81" i="8" s="1"/>
  <c r="AL60" i="4"/>
  <c r="AH81" i="8" s="1"/>
  <c r="O60" i="4"/>
  <c r="K81" i="8" s="1"/>
  <c r="T60" i="4"/>
  <c r="P81" i="8" s="1"/>
  <c r="AF60" i="4"/>
  <c r="AB81" i="8" s="1"/>
  <c r="L60" i="4"/>
  <c r="H81" i="8" s="1"/>
  <c r="I60" i="4"/>
  <c r="E81" i="8" s="1"/>
  <c r="W60" i="4"/>
  <c r="S81" i="8" s="1"/>
  <c r="Z60" i="4"/>
  <c r="V81" i="8" s="1"/>
  <c r="AD60" i="4"/>
  <c r="Z81" i="8" s="1"/>
  <c r="R60" i="4"/>
  <c r="N81" i="8" s="1"/>
  <c r="J60" i="4"/>
  <c r="F81" i="8" s="1"/>
  <c r="K60" i="4"/>
  <c r="G81" i="8" s="1"/>
  <c r="AI60" i="4"/>
  <c r="AE81" i="8" s="1"/>
  <c r="N62" i="4"/>
  <c r="J83" i="8" s="1"/>
  <c r="G62" i="4"/>
  <c r="C83" i="8" s="1"/>
  <c r="T62" i="4"/>
  <c r="P83" i="8" s="1"/>
  <c r="Z62" i="4"/>
  <c r="V83" i="8" s="1"/>
  <c r="Q62" i="4"/>
  <c r="M83" i="8" s="1"/>
  <c r="S62" i="4"/>
  <c r="O83" i="8" s="1"/>
  <c r="AJ62" i="4"/>
  <c r="AF83" i="8" s="1"/>
  <c r="X62" i="4"/>
  <c r="T83" i="8" s="1"/>
  <c r="Y62" i="4"/>
  <c r="U83" i="8" s="1"/>
  <c r="P62" i="4"/>
  <c r="L83" i="8" s="1"/>
  <c r="AG62" i="4"/>
  <c r="AC83" i="8" s="1"/>
  <c r="AH62" i="4"/>
  <c r="AD83" i="8" s="1"/>
  <c r="AK62" i="4"/>
  <c r="AG83" i="8" s="1"/>
  <c r="AA62" i="4"/>
  <c r="W83" i="8" s="1"/>
  <c r="V62" i="4"/>
  <c r="R83" i="8" s="1"/>
  <c r="U62" i="4"/>
  <c r="Q83" i="8" s="1"/>
  <c r="AC62" i="4"/>
  <c r="Y83" i="8" s="1"/>
  <c r="AD62" i="4"/>
  <c r="Z83" i="8" s="1"/>
  <c r="R62" i="4"/>
  <c r="N83" i="8" s="1"/>
  <c r="M62" i="4"/>
  <c r="I83" i="8" s="1"/>
  <c r="J62" i="4"/>
  <c r="F83" i="8" s="1"/>
  <c r="AI62" i="4"/>
  <c r="AE83" i="8" s="1"/>
  <c r="AE62" i="4"/>
  <c r="AA83" i="8" s="1"/>
  <c r="H62" i="4"/>
  <c r="D83" i="8" s="1"/>
  <c r="AL62" i="4"/>
  <c r="AH83" i="8" s="1"/>
  <c r="AF62" i="4"/>
  <c r="AB83" i="8" s="1"/>
  <c r="O62" i="4"/>
  <c r="K83" i="8" s="1"/>
  <c r="K62" i="4"/>
  <c r="G83" i="8" s="1"/>
  <c r="L62" i="4"/>
  <c r="H83" i="8" s="1"/>
  <c r="AB62" i="4"/>
  <c r="X83" i="8" s="1"/>
  <c r="I62" i="4"/>
  <c r="E83" i="8" s="1"/>
  <c r="W62" i="4"/>
  <c r="S83" i="8" s="1"/>
  <c r="AH64" i="4"/>
  <c r="AK64" i="4"/>
  <c r="AA64" i="4"/>
  <c r="H64" i="4"/>
  <c r="K64" i="4"/>
  <c r="N64" i="4"/>
  <c r="G64" i="4"/>
  <c r="Z64" i="4"/>
  <c r="V64" i="4"/>
  <c r="U64" i="4"/>
  <c r="Q85" i="8" s="1"/>
  <c r="Q64" i="4"/>
  <c r="L64" i="4"/>
  <c r="AJ64" i="4"/>
  <c r="T64" i="4"/>
  <c r="X64" i="4"/>
  <c r="Y64" i="4"/>
  <c r="I64" i="4"/>
  <c r="W64" i="4"/>
  <c r="S85" i="8" s="1"/>
  <c r="AC64" i="4"/>
  <c r="M64" i="4"/>
  <c r="S64" i="4"/>
  <c r="R64" i="4"/>
  <c r="J64" i="4"/>
  <c r="AI64" i="4"/>
  <c r="AL64" i="4"/>
  <c r="AH85" i="8" s="1"/>
  <c r="AE64" i="4"/>
  <c r="AA85" i="8" s="1"/>
  <c r="AF64" i="4"/>
  <c r="O64" i="4"/>
  <c r="AG64" i="4"/>
  <c r="P64" i="4"/>
  <c r="AD64" i="4"/>
  <c r="AB64" i="4"/>
  <c r="Y66" i="4"/>
  <c r="U87" i="8" s="1"/>
  <c r="T66" i="4"/>
  <c r="P87" i="8" s="1"/>
  <c r="P66" i="4"/>
  <c r="L87" i="8" s="1"/>
  <c r="Z66" i="4"/>
  <c r="V87" i="8" s="1"/>
  <c r="AG66" i="4"/>
  <c r="AC87" i="8" s="1"/>
  <c r="AA66" i="4"/>
  <c r="W87" i="8" s="1"/>
  <c r="H66" i="4"/>
  <c r="D87" i="8" s="1"/>
  <c r="AC66" i="4"/>
  <c r="Y87" i="8" s="1"/>
  <c r="N66" i="4"/>
  <c r="J87" i="8" s="1"/>
  <c r="AJ66" i="4"/>
  <c r="AF87" i="8" s="1"/>
  <c r="K66" i="4"/>
  <c r="G87" i="8" s="1"/>
  <c r="G66" i="4"/>
  <c r="C87" i="8" s="1"/>
  <c r="V66" i="4"/>
  <c r="R87" i="8" s="1"/>
  <c r="U66" i="4"/>
  <c r="Q87" i="8" s="1"/>
  <c r="Q66" i="4"/>
  <c r="M87" i="8" s="1"/>
  <c r="AH66" i="4"/>
  <c r="AD87" i="8" s="1"/>
  <c r="L66" i="4"/>
  <c r="H87" i="8" s="1"/>
  <c r="S66" i="4"/>
  <c r="O87" i="8" s="1"/>
  <c r="O66" i="4"/>
  <c r="K87" i="8" s="1"/>
  <c r="R66" i="4"/>
  <c r="N87" i="8" s="1"/>
  <c r="I66" i="4"/>
  <c r="E87" i="8" s="1"/>
  <c r="AL66" i="4"/>
  <c r="AH87" i="8" s="1"/>
  <c r="W66" i="4"/>
  <c r="S87" i="8" s="1"/>
  <c r="AD66" i="4"/>
  <c r="Z87" i="8" s="1"/>
  <c r="M66" i="4"/>
  <c r="I87" i="8" s="1"/>
  <c r="J66" i="4"/>
  <c r="F87" i="8" s="1"/>
  <c r="AI66" i="4"/>
  <c r="AE87" i="8" s="1"/>
  <c r="AK66" i="4"/>
  <c r="AG87" i="8" s="1"/>
  <c r="X66" i="4"/>
  <c r="T87" i="8" s="1"/>
  <c r="AF66" i="4"/>
  <c r="AB87" i="8" s="1"/>
  <c r="AB66" i="4"/>
  <c r="X87" i="8" s="1"/>
  <c r="AE66" i="4"/>
  <c r="AA87" i="8" s="1"/>
  <c r="Q68" i="4"/>
  <c r="M89" i="8" s="1"/>
  <c r="AH68" i="4"/>
  <c r="AD89" i="8" s="1"/>
  <c r="L68" i="4"/>
  <c r="H89" i="8" s="1"/>
  <c r="AK68" i="4"/>
  <c r="AG89" i="8" s="1"/>
  <c r="X68" i="4"/>
  <c r="T89" i="8" s="1"/>
  <c r="Y68" i="4"/>
  <c r="U89" i="8" s="1"/>
  <c r="T68" i="4"/>
  <c r="P89" i="8" s="1"/>
  <c r="Z68" i="4"/>
  <c r="V89" i="8" s="1"/>
  <c r="H68" i="4"/>
  <c r="D89" i="8" s="1"/>
  <c r="P68" i="4"/>
  <c r="L89" i="8" s="1"/>
  <c r="AG68" i="4"/>
  <c r="AC89" i="8" s="1"/>
  <c r="AA68" i="4"/>
  <c r="W89" i="8" s="1"/>
  <c r="G68" i="4"/>
  <c r="C89" i="8" s="1"/>
  <c r="AC68" i="4"/>
  <c r="Y89" i="8" s="1"/>
  <c r="N68" i="4"/>
  <c r="J89" i="8" s="1"/>
  <c r="AJ68" i="4"/>
  <c r="AF89" i="8" s="1"/>
  <c r="AE68" i="4"/>
  <c r="AA89" i="8" s="1"/>
  <c r="V68" i="4"/>
  <c r="R89" i="8" s="1"/>
  <c r="R68" i="4"/>
  <c r="N89" i="8" s="1"/>
  <c r="O68" i="4"/>
  <c r="K89" i="8" s="1"/>
  <c r="J68" i="4"/>
  <c r="F89" i="8" s="1"/>
  <c r="I68" i="4"/>
  <c r="E89" i="8" s="1"/>
  <c r="U68" i="4"/>
  <c r="Q89" i="8" s="1"/>
  <c r="AL68" i="4"/>
  <c r="AH89" i="8" s="1"/>
  <c r="W68" i="4"/>
  <c r="S89" i="8" s="1"/>
  <c r="S68" i="4"/>
  <c r="O89" i="8" s="1"/>
  <c r="AD68" i="4"/>
  <c r="Z89" i="8" s="1"/>
  <c r="M68" i="4"/>
  <c r="I89" i="8" s="1"/>
  <c r="K68" i="4"/>
  <c r="G89" i="8" s="1"/>
  <c r="AF68" i="4"/>
  <c r="AB89" i="8" s="1"/>
  <c r="AB68" i="4"/>
  <c r="X89" i="8" s="1"/>
  <c r="AI68" i="4"/>
  <c r="AE89" i="8" s="1"/>
  <c r="AJ70" i="4"/>
  <c r="AF91" i="8" s="1"/>
  <c r="AH70" i="4"/>
  <c r="AD91" i="8" s="1"/>
  <c r="V70" i="4"/>
  <c r="R91" i="8" s="1"/>
  <c r="U70" i="4"/>
  <c r="Q91" i="8" s="1"/>
  <c r="Q70" i="4"/>
  <c r="M91" i="8" s="1"/>
  <c r="L70" i="4"/>
  <c r="H91" i="8" s="1"/>
  <c r="S70" i="4"/>
  <c r="O91" i="8" s="1"/>
  <c r="Z70" i="4"/>
  <c r="V91" i="8" s="1"/>
  <c r="AK70" i="4"/>
  <c r="AG91" i="8" s="1"/>
  <c r="X70" i="4"/>
  <c r="T91" i="8" s="1"/>
  <c r="Y70" i="4"/>
  <c r="U91" i="8" s="1"/>
  <c r="T70" i="4"/>
  <c r="P91" i="8" s="1"/>
  <c r="K70" i="4"/>
  <c r="G91" i="8" s="1"/>
  <c r="H70" i="4"/>
  <c r="D91" i="8" s="1"/>
  <c r="P70" i="4"/>
  <c r="L91" i="8" s="1"/>
  <c r="AG70" i="4"/>
  <c r="AC91" i="8" s="1"/>
  <c r="AA70" i="4"/>
  <c r="W91" i="8" s="1"/>
  <c r="G70" i="4"/>
  <c r="C91" i="8" s="1"/>
  <c r="AF70" i="4"/>
  <c r="AB91" i="8" s="1"/>
  <c r="M70" i="4"/>
  <c r="I91" i="8" s="1"/>
  <c r="AC70" i="4"/>
  <c r="Y91" i="8" s="1"/>
  <c r="AB70" i="4"/>
  <c r="X91" i="8" s="1"/>
  <c r="AI70" i="4"/>
  <c r="AE91" i="8" s="1"/>
  <c r="AE70" i="4"/>
  <c r="AA91" i="8" s="1"/>
  <c r="R70" i="4"/>
  <c r="N91" i="8" s="1"/>
  <c r="J70" i="4"/>
  <c r="F91" i="8" s="1"/>
  <c r="N70" i="4"/>
  <c r="J91" i="8" s="1"/>
  <c r="O70" i="4"/>
  <c r="K91" i="8" s="1"/>
  <c r="I70" i="4"/>
  <c r="E91" i="8" s="1"/>
  <c r="AD70" i="4"/>
  <c r="Z91" i="8" s="1"/>
  <c r="AL70" i="4"/>
  <c r="AH91" i="8" s="1"/>
  <c r="W70" i="4"/>
  <c r="S91" i="8" s="1"/>
  <c r="AG72" i="4"/>
  <c r="AC93" i="8" s="1"/>
  <c r="AA72" i="4"/>
  <c r="W93" i="8" s="1"/>
  <c r="K72" i="4"/>
  <c r="G93" i="8" s="1"/>
  <c r="G72" i="4"/>
  <c r="C93" i="8" s="1"/>
  <c r="AC72" i="4"/>
  <c r="Y93" i="8" s="1"/>
  <c r="N72" i="4"/>
  <c r="J93" i="8" s="1"/>
  <c r="AJ72" i="4"/>
  <c r="AF93" i="8" s="1"/>
  <c r="V72" i="4"/>
  <c r="R93" i="8" s="1"/>
  <c r="U72" i="4"/>
  <c r="Q93" i="8" s="1"/>
  <c r="Q72" i="4"/>
  <c r="M93" i="8" s="1"/>
  <c r="Z72" i="4"/>
  <c r="V93" i="8" s="1"/>
  <c r="AK72" i="4"/>
  <c r="AG93" i="8" s="1"/>
  <c r="X72" i="4"/>
  <c r="T93" i="8" s="1"/>
  <c r="Y72" i="4"/>
  <c r="U93" i="8" s="1"/>
  <c r="T72" i="4"/>
  <c r="P93" i="8" s="1"/>
  <c r="P72" i="4"/>
  <c r="L93" i="8" s="1"/>
  <c r="I72" i="4"/>
  <c r="E93" i="8" s="1"/>
  <c r="AF72" i="4"/>
  <c r="AB93" i="8" s="1"/>
  <c r="L72" i="4"/>
  <c r="H93" i="8" s="1"/>
  <c r="S72" i="4"/>
  <c r="O93" i="8" s="1"/>
  <c r="AD72" i="4"/>
  <c r="Z93" i="8" s="1"/>
  <c r="AL72" i="4"/>
  <c r="AH93" i="8" s="1"/>
  <c r="W72" i="4"/>
  <c r="S93" i="8" s="1"/>
  <c r="M72" i="4"/>
  <c r="I93" i="8" s="1"/>
  <c r="AH72" i="4"/>
  <c r="AD93" i="8" s="1"/>
  <c r="AB72" i="4"/>
  <c r="X93" i="8" s="1"/>
  <c r="AI72" i="4"/>
  <c r="AE93" i="8" s="1"/>
  <c r="H72" i="4"/>
  <c r="D93" i="8" s="1"/>
  <c r="R72" i="4"/>
  <c r="N93" i="8" s="1"/>
  <c r="AE72" i="4"/>
  <c r="AA93" i="8" s="1"/>
  <c r="J72" i="4"/>
  <c r="F93" i="8" s="1"/>
  <c r="O72" i="4"/>
  <c r="K93" i="8" s="1"/>
  <c r="Y74" i="4"/>
  <c r="U95" i="8" s="1"/>
  <c r="T74" i="4"/>
  <c r="P95" i="8" s="1"/>
  <c r="H74" i="4"/>
  <c r="D95" i="8" s="1"/>
  <c r="P74" i="4"/>
  <c r="L95" i="8" s="1"/>
  <c r="AG74" i="4"/>
  <c r="AC95" i="8" s="1"/>
  <c r="AH74" i="4"/>
  <c r="AD95" i="8" s="1"/>
  <c r="AA74" i="4"/>
  <c r="W95" i="8" s="1"/>
  <c r="G74" i="4"/>
  <c r="C95" i="8" s="1"/>
  <c r="K74" i="4"/>
  <c r="G95" i="8" s="1"/>
  <c r="AC74" i="4"/>
  <c r="Y95" i="8" s="1"/>
  <c r="N74" i="4"/>
  <c r="J95" i="8" s="1"/>
  <c r="AJ74" i="4"/>
  <c r="AF95" i="8" s="1"/>
  <c r="Z74" i="4"/>
  <c r="V95" i="8" s="1"/>
  <c r="V74" i="4"/>
  <c r="R95" i="8" s="1"/>
  <c r="U74" i="4"/>
  <c r="Q95" i="8" s="1"/>
  <c r="Q74" i="4"/>
  <c r="M95" i="8" s="1"/>
  <c r="L74" i="4"/>
  <c r="H95" i="8" s="1"/>
  <c r="S74" i="4"/>
  <c r="O95" i="8" s="1"/>
  <c r="O74" i="4"/>
  <c r="K95" i="8" s="1"/>
  <c r="AF74" i="4"/>
  <c r="AB95" i="8" s="1"/>
  <c r="AD74" i="4"/>
  <c r="Z95" i="8" s="1"/>
  <c r="I74" i="4"/>
  <c r="E95" i="8" s="1"/>
  <c r="AL74" i="4"/>
  <c r="AH95" i="8" s="1"/>
  <c r="W74" i="4"/>
  <c r="S95" i="8" s="1"/>
  <c r="M74" i="4"/>
  <c r="I95" i="8" s="1"/>
  <c r="AB74" i="4"/>
  <c r="X95" i="8" s="1"/>
  <c r="R74" i="4"/>
  <c r="N95" i="8" s="1"/>
  <c r="J74" i="4"/>
  <c r="F95" i="8" s="1"/>
  <c r="AI74" i="4"/>
  <c r="AE95" i="8" s="1"/>
  <c r="AE74" i="4"/>
  <c r="AA95" i="8" s="1"/>
  <c r="AK74" i="4"/>
  <c r="AG95" i="8" s="1"/>
  <c r="X74" i="4"/>
  <c r="T95" i="8" s="1"/>
  <c r="H47" i="4"/>
  <c r="D68" i="8" s="1"/>
  <c r="AK47" i="4"/>
  <c r="AG68" i="8" s="1"/>
  <c r="T47" i="4"/>
  <c r="P68" i="8" s="1"/>
  <c r="Z47" i="4"/>
  <c r="V68" i="8" s="1"/>
  <c r="U47" i="4"/>
  <c r="Q68" i="8" s="1"/>
  <c r="Q47" i="4"/>
  <c r="M68" i="8" s="1"/>
  <c r="N47" i="4"/>
  <c r="J68" i="8" s="1"/>
  <c r="X47" i="4"/>
  <c r="T68" i="8" s="1"/>
  <c r="AF47" i="4"/>
  <c r="AB68" i="8" s="1"/>
  <c r="AJ47" i="4"/>
  <c r="AF68" i="8" s="1"/>
  <c r="Y47" i="4"/>
  <c r="U68" i="8" s="1"/>
  <c r="P47" i="4"/>
  <c r="L68" i="8" s="1"/>
  <c r="V47" i="4"/>
  <c r="R68" i="8" s="1"/>
  <c r="L47" i="4"/>
  <c r="H68" i="8" s="1"/>
  <c r="AH47" i="4"/>
  <c r="AD68" i="8" s="1"/>
  <c r="AA47" i="4"/>
  <c r="W68" i="8" s="1"/>
  <c r="W47" i="4"/>
  <c r="S68" i="8" s="1"/>
  <c r="AB47" i="4"/>
  <c r="X68" i="8" s="1"/>
  <c r="R47" i="4"/>
  <c r="N68" i="8" s="1"/>
  <c r="J47" i="4"/>
  <c r="F68" i="8" s="1"/>
  <c r="AI47" i="4"/>
  <c r="AE68" i="8" s="1"/>
  <c r="AE47" i="4"/>
  <c r="AA68" i="8" s="1"/>
  <c r="K47" i="4"/>
  <c r="G68" i="8" s="1"/>
  <c r="AG47" i="4"/>
  <c r="AC68" i="8" s="1"/>
  <c r="O47" i="4"/>
  <c r="K68" i="8" s="1"/>
  <c r="S47" i="4"/>
  <c r="O68" i="8" s="1"/>
  <c r="AL47" i="4"/>
  <c r="AH68" i="8" s="1"/>
  <c r="AC47" i="4"/>
  <c r="Y68" i="8" s="1"/>
  <c r="G47" i="4"/>
  <c r="C68" i="8" s="1"/>
  <c r="AD47" i="4"/>
  <c r="Z68" i="8" s="1"/>
  <c r="I47" i="4"/>
  <c r="E68" i="8" s="1"/>
  <c r="M47" i="4"/>
  <c r="I68" i="8" s="1"/>
  <c r="P49" i="4"/>
  <c r="L49" i="4"/>
  <c r="AG49" i="4"/>
  <c r="AH49" i="4"/>
  <c r="AA49" i="4"/>
  <c r="AC49" i="4"/>
  <c r="H49" i="4"/>
  <c r="AK49" i="4"/>
  <c r="T49" i="4"/>
  <c r="Z49" i="4"/>
  <c r="U49" i="4"/>
  <c r="N49" i="4"/>
  <c r="Q49" i="4"/>
  <c r="K49" i="4"/>
  <c r="X49" i="4"/>
  <c r="AF49" i="4"/>
  <c r="V49" i="4"/>
  <c r="G49" i="4"/>
  <c r="S49" i="4"/>
  <c r="AD49" i="4"/>
  <c r="I49" i="4"/>
  <c r="M49" i="4"/>
  <c r="AJ49" i="4"/>
  <c r="W49" i="4"/>
  <c r="AB49" i="4"/>
  <c r="R49" i="4"/>
  <c r="J49" i="4"/>
  <c r="AI49" i="4"/>
  <c r="AE49" i="4"/>
  <c r="Y49" i="4"/>
  <c r="AL49" i="4"/>
  <c r="O49" i="4"/>
  <c r="K51" i="4"/>
  <c r="X51" i="4"/>
  <c r="V51" i="4"/>
  <c r="AF51" i="4"/>
  <c r="AJ51" i="4"/>
  <c r="Y51" i="4"/>
  <c r="P51" i="4"/>
  <c r="L51" i="4"/>
  <c r="AG51" i="4"/>
  <c r="AH51" i="4"/>
  <c r="AA51" i="4"/>
  <c r="AC51" i="4"/>
  <c r="H51" i="4"/>
  <c r="AK51" i="4"/>
  <c r="N51" i="4"/>
  <c r="T51" i="4"/>
  <c r="Z51" i="4"/>
  <c r="U51" i="4"/>
  <c r="AD51" i="4"/>
  <c r="AL51" i="4"/>
  <c r="Q51" i="4"/>
  <c r="G51" i="4"/>
  <c r="S51" i="4"/>
  <c r="O51" i="4"/>
  <c r="I51" i="4"/>
  <c r="M51" i="4"/>
  <c r="W51" i="4"/>
  <c r="AB51" i="4"/>
  <c r="R51" i="4"/>
  <c r="J51" i="4"/>
  <c r="AI51" i="4"/>
  <c r="AE51" i="4"/>
  <c r="T53" i="4"/>
  <c r="Z53" i="4"/>
  <c r="U53" i="4"/>
  <c r="Q53" i="4"/>
  <c r="V53" i="4"/>
  <c r="X53" i="4"/>
  <c r="AF53" i="4"/>
  <c r="AJ53" i="4"/>
  <c r="Y53" i="4"/>
  <c r="P53" i="4"/>
  <c r="L53" i="4"/>
  <c r="AG53" i="4"/>
  <c r="AH53" i="4"/>
  <c r="AA53" i="4"/>
  <c r="AC53" i="4"/>
  <c r="H53" i="4"/>
  <c r="AK53" i="4"/>
  <c r="N53" i="4"/>
  <c r="R53" i="4"/>
  <c r="J53" i="4"/>
  <c r="AI53" i="4"/>
  <c r="AD53" i="4"/>
  <c r="AL53" i="4"/>
  <c r="AE53" i="4"/>
  <c r="G53" i="4"/>
  <c r="S53" i="4"/>
  <c r="O53" i="4"/>
  <c r="I53" i="4"/>
  <c r="K53" i="4"/>
  <c r="M53" i="4"/>
  <c r="AB53" i="4"/>
  <c r="W53" i="4"/>
  <c r="H55" i="4"/>
  <c r="D76" i="8" s="1"/>
  <c r="AK55" i="4"/>
  <c r="AG76" i="8" s="1"/>
  <c r="T55" i="4"/>
  <c r="P76" i="8" s="1"/>
  <c r="Z55" i="4"/>
  <c r="V76" i="8" s="1"/>
  <c r="V55" i="4"/>
  <c r="R76" i="8" s="1"/>
  <c r="U55" i="4"/>
  <c r="Q76" i="8" s="1"/>
  <c r="K55" i="4"/>
  <c r="G76" i="8" s="1"/>
  <c r="Q55" i="4"/>
  <c r="M76" i="8" s="1"/>
  <c r="X55" i="4"/>
  <c r="T76" i="8" s="1"/>
  <c r="AF55" i="4"/>
  <c r="AB76" i="8" s="1"/>
  <c r="AJ55" i="4"/>
  <c r="AF76" i="8" s="1"/>
  <c r="Y55" i="4"/>
  <c r="U76" i="8" s="1"/>
  <c r="P55" i="4"/>
  <c r="L76" i="8" s="1"/>
  <c r="L55" i="4"/>
  <c r="H76" i="8" s="1"/>
  <c r="AC55" i="4"/>
  <c r="Y76" i="8" s="1"/>
  <c r="AB55" i="4"/>
  <c r="X76" i="8" s="1"/>
  <c r="W55" i="4"/>
  <c r="S76" i="8" s="1"/>
  <c r="AH55" i="4"/>
  <c r="AD76" i="8" s="1"/>
  <c r="AA55" i="4"/>
  <c r="W76" i="8" s="1"/>
  <c r="AD55" i="4"/>
  <c r="Z76" i="8" s="1"/>
  <c r="R55" i="4"/>
  <c r="N76" i="8" s="1"/>
  <c r="AL55" i="4"/>
  <c r="AH76" i="8" s="1"/>
  <c r="J55" i="4"/>
  <c r="F76" i="8" s="1"/>
  <c r="AI55" i="4"/>
  <c r="AE76" i="8" s="1"/>
  <c r="N55" i="4"/>
  <c r="J76" i="8" s="1"/>
  <c r="G55" i="4"/>
  <c r="C76" i="8" s="1"/>
  <c r="AE55" i="4"/>
  <c r="AA76" i="8" s="1"/>
  <c r="S55" i="4"/>
  <c r="O76" i="8" s="1"/>
  <c r="O55" i="4"/>
  <c r="K76" i="8" s="1"/>
  <c r="AG55" i="4"/>
  <c r="AC76" i="8" s="1"/>
  <c r="I55" i="4"/>
  <c r="E76" i="8" s="1"/>
  <c r="M55" i="4"/>
  <c r="I76" i="8" s="1"/>
  <c r="P57" i="4"/>
  <c r="L78" i="8" s="1"/>
  <c r="U57" i="4"/>
  <c r="Q78" i="8" s="1"/>
  <c r="AC57" i="4"/>
  <c r="Y78" i="8" s="1"/>
  <c r="L57" i="4"/>
  <c r="H78" i="8" s="1"/>
  <c r="AG57" i="4"/>
  <c r="AC78" i="8" s="1"/>
  <c r="AH57" i="4"/>
  <c r="AD78" i="8" s="1"/>
  <c r="AA57" i="4"/>
  <c r="W78" i="8" s="1"/>
  <c r="H57" i="4"/>
  <c r="D78" i="8" s="1"/>
  <c r="AK57" i="4"/>
  <c r="AG78" i="8" s="1"/>
  <c r="N57" i="4"/>
  <c r="J78" i="8" s="1"/>
  <c r="T57" i="4"/>
  <c r="P78" i="8" s="1"/>
  <c r="Z57" i="4"/>
  <c r="V78" i="8" s="1"/>
  <c r="Q57" i="4"/>
  <c r="M78" i="8" s="1"/>
  <c r="K57" i="4"/>
  <c r="G78" i="8" s="1"/>
  <c r="V57" i="4"/>
  <c r="R78" i="8" s="1"/>
  <c r="X57" i="4"/>
  <c r="T78" i="8" s="1"/>
  <c r="AF57" i="4"/>
  <c r="AB78" i="8" s="1"/>
  <c r="AB57" i="4"/>
  <c r="X78" i="8" s="1"/>
  <c r="I57" i="4"/>
  <c r="E78" i="8" s="1"/>
  <c r="W57" i="4"/>
  <c r="S78" i="8" s="1"/>
  <c r="AJ57" i="4"/>
  <c r="AF78" i="8" s="1"/>
  <c r="G57" i="4"/>
  <c r="C78" i="8" s="1"/>
  <c r="AD57" i="4"/>
  <c r="Z78" i="8" s="1"/>
  <c r="R57" i="4"/>
  <c r="N78" i="8" s="1"/>
  <c r="J57" i="4"/>
  <c r="F78" i="8" s="1"/>
  <c r="AI57" i="4"/>
  <c r="AE78" i="8" s="1"/>
  <c r="M57" i="4"/>
  <c r="I78" i="8" s="1"/>
  <c r="AE57" i="4"/>
  <c r="AA78" i="8" s="1"/>
  <c r="S57" i="4"/>
  <c r="O78" i="8" s="1"/>
  <c r="Y57" i="4"/>
  <c r="U78" i="8" s="1"/>
  <c r="AL57" i="4"/>
  <c r="AH78" i="8" s="1"/>
  <c r="O57" i="4"/>
  <c r="K78" i="8" s="1"/>
  <c r="X59" i="4"/>
  <c r="T80" i="8" s="1"/>
  <c r="AF59" i="4"/>
  <c r="AB80" i="8" s="1"/>
  <c r="AJ59" i="4"/>
  <c r="AF80" i="8" s="1"/>
  <c r="Y59" i="4"/>
  <c r="U80" i="8" s="1"/>
  <c r="AC59" i="4"/>
  <c r="Y80" i="8" s="1"/>
  <c r="P59" i="4"/>
  <c r="L80" i="8" s="1"/>
  <c r="U59" i="4"/>
  <c r="Q80" i="8" s="1"/>
  <c r="L59" i="4"/>
  <c r="H80" i="8" s="1"/>
  <c r="AD59" i="4"/>
  <c r="Z80" i="8" s="1"/>
  <c r="AG59" i="4"/>
  <c r="AC80" i="8" s="1"/>
  <c r="AH59" i="4"/>
  <c r="AD80" i="8" s="1"/>
  <c r="AA59" i="4"/>
  <c r="W80" i="8" s="1"/>
  <c r="H59" i="4"/>
  <c r="D80" i="8" s="1"/>
  <c r="AK59" i="4"/>
  <c r="AG80" i="8" s="1"/>
  <c r="N59" i="4"/>
  <c r="J80" i="8" s="1"/>
  <c r="T59" i="4"/>
  <c r="P80" i="8" s="1"/>
  <c r="Z59" i="4"/>
  <c r="V80" i="8" s="1"/>
  <c r="AL59" i="4"/>
  <c r="AH80" i="8" s="1"/>
  <c r="O59" i="4"/>
  <c r="K80" i="8" s="1"/>
  <c r="Q59" i="4"/>
  <c r="M80" i="8" s="1"/>
  <c r="V59" i="4"/>
  <c r="R80" i="8" s="1"/>
  <c r="AB59" i="4"/>
  <c r="X80" i="8" s="1"/>
  <c r="I59" i="4"/>
  <c r="E80" i="8" s="1"/>
  <c r="W59" i="4"/>
  <c r="S80" i="8" s="1"/>
  <c r="G59" i="4"/>
  <c r="C80" i="8" s="1"/>
  <c r="R59" i="4"/>
  <c r="N80" i="8" s="1"/>
  <c r="J59" i="4"/>
  <c r="F80" i="8" s="1"/>
  <c r="AI59" i="4"/>
  <c r="AE80" i="8" s="1"/>
  <c r="S59" i="4"/>
  <c r="O80" i="8" s="1"/>
  <c r="M59" i="4"/>
  <c r="I80" i="8" s="1"/>
  <c r="AE59" i="4"/>
  <c r="AA80" i="8" s="1"/>
  <c r="K59" i="4"/>
  <c r="G80" i="8" s="1"/>
  <c r="Z61" i="4"/>
  <c r="V82" i="8" s="1"/>
  <c r="Q61" i="4"/>
  <c r="M82" i="8" s="1"/>
  <c r="AC61" i="4"/>
  <c r="Y82" i="8" s="1"/>
  <c r="T61" i="4"/>
  <c r="P82" i="8" s="1"/>
  <c r="AK61" i="4"/>
  <c r="AG82" i="8" s="1"/>
  <c r="X61" i="4"/>
  <c r="T82" i="8" s="1"/>
  <c r="AF61" i="4"/>
  <c r="AB82" i="8" s="1"/>
  <c r="Y61" i="4"/>
  <c r="U82" i="8" s="1"/>
  <c r="P61" i="4"/>
  <c r="L82" i="8" s="1"/>
  <c r="V61" i="4"/>
  <c r="R82" i="8" s="1"/>
  <c r="U61" i="4"/>
  <c r="Q82" i="8" s="1"/>
  <c r="AG61" i="4"/>
  <c r="AC82" i="8" s="1"/>
  <c r="AH61" i="4"/>
  <c r="AD82" i="8" s="1"/>
  <c r="AA61" i="4"/>
  <c r="W82" i="8" s="1"/>
  <c r="H61" i="4"/>
  <c r="D82" i="8" s="1"/>
  <c r="N61" i="4"/>
  <c r="J82" i="8" s="1"/>
  <c r="R61" i="4"/>
  <c r="N82" i="8" s="1"/>
  <c r="J61" i="4"/>
  <c r="F82" i="8" s="1"/>
  <c r="AI61" i="4"/>
  <c r="AE82" i="8" s="1"/>
  <c r="S61" i="4"/>
  <c r="O82" i="8" s="1"/>
  <c r="M61" i="4"/>
  <c r="I82" i="8" s="1"/>
  <c r="AE61" i="4"/>
  <c r="AA82" i="8" s="1"/>
  <c r="L61" i="4"/>
  <c r="H82" i="8" s="1"/>
  <c r="AD61" i="4"/>
  <c r="Z82" i="8" s="1"/>
  <c r="O61" i="4"/>
  <c r="K82" i="8" s="1"/>
  <c r="AB61" i="4"/>
  <c r="X82" i="8" s="1"/>
  <c r="K61" i="4"/>
  <c r="G82" i="8" s="1"/>
  <c r="AJ61" i="4"/>
  <c r="AF82" i="8" s="1"/>
  <c r="I61" i="4"/>
  <c r="E82" i="8" s="1"/>
  <c r="G61" i="4"/>
  <c r="C82" i="8" s="1"/>
  <c r="AL61" i="4"/>
  <c r="AH82" i="8" s="1"/>
  <c r="W61" i="4"/>
  <c r="S82" i="8" s="1"/>
  <c r="AJ63" i="4"/>
  <c r="AF84" i="8" s="1"/>
  <c r="H63" i="4"/>
  <c r="D84" i="8" s="1"/>
  <c r="AG63" i="4"/>
  <c r="AC84" i="8" s="1"/>
  <c r="Z63" i="4"/>
  <c r="V84" i="8" s="1"/>
  <c r="AC63" i="4"/>
  <c r="Y84" i="8" s="1"/>
  <c r="AD63" i="4"/>
  <c r="Z84" i="8" s="1"/>
  <c r="T63" i="4"/>
  <c r="P84" i="8" s="1"/>
  <c r="Q63" i="4"/>
  <c r="M84" i="8" s="1"/>
  <c r="AK63" i="4"/>
  <c r="AG84" i="8" s="1"/>
  <c r="X63" i="4"/>
  <c r="T84" i="8" s="1"/>
  <c r="AF63" i="4"/>
  <c r="AB84" i="8" s="1"/>
  <c r="Y63" i="4"/>
  <c r="U84" i="8" s="1"/>
  <c r="V63" i="4"/>
  <c r="R84" i="8" s="1"/>
  <c r="U63" i="4"/>
  <c r="Q84" i="8" s="1"/>
  <c r="P63" i="4"/>
  <c r="L84" i="8" s="1"/>
  <c r="W63" i="4"/>
  <c r="S84" i="8" s="1"/>
  <c r="AH63" i="4"/>
  <c r="AD84" i="8" s="1"/>
  <c r="AA63" i="4"/>
  <c r="W84" i="8" s="1"/>
  <c r="S63" i="4"/>
  <c r="O84" i="8" s="1"/>
  <c r="R63" i="4"/>
  <c r="N84" i="8" s="1"/>
  <c r="M63" i="4"/>
  <c r="I84" i="8" s="1"/>
  <c r="J63" i="4"/>
  <c r="F84" i="8" s="1"/>
  <c r="AI63" i="4"/>
  <c r="AE84" i="8" s="1"/>
  <c r="K63" i="4"/>
  <c r="G84" i="8" s="1"/>
  <c r="AE63" i="4"/>
  <c r="AA84" i="8" s="1"/>
  <c r="L63" i="4"/>
  <c r="H84" i="8" s="1"/>
  <c r="AB63" i="4"/>
  <c r="X84" i="8" s="1"/>
  <c r="O63" i="4"/>
  <c r="K84" i="8" s="1"/>
  <c r="N63" i="4"/>
  <c r="J84" i="8" s="1"/>
  <c r="G63" i="4"/>
  <c r="C84" i="8" s="1"/>
  <c r="I63" i="4"/>
  <c r="E84" i="8" s="1"/>
  <c r="AL63" i="4"/>
  <c r="AH84" i="8" s="1"/>
  <c r="AG65" i="4"/>
  <c r="P65" i="4"/>
  <c r="AC65" i="4"/>
  <c r="AH65" i="4"/>
  <c r="AK65" i="4"/>
  <c r="AA65" i="4"/>
  <c r="AA115" i="4" s="1"/>
  <c r="H65" i="4"/>
  <c r="H115" i="4" s="1"/>
  <c r="N65" i="4"/>
  <c r="AD65" i="4"/>
  <c r="T65" i="4"/>
  <c r="T115" i="4" s="1"/>
  <c r="Z65" i="4"/>
  <c r="K65" i="4"/>
  <c r="V65" i="4"/>
  <c r="U65" i="4"/>
  <c r="U115" i="4" s="1"/>
  <c r="Q65" i="4"/>
  <c r="Q115" i="4" s="1"/>
  <c r="AJ65" i="4"/>
  <c r="X65" i="4"/>
  <c r="AF65" i="4"/>
  <c r="Y65" i="4"/>
  <c r="AB65" i="4"/>
  <c r="I65" i="4"/>
  <c r="I115" i="4" s="1"/>
  <c r="W65" i="4"/>
  <c r="M65" i="4"/>
  <c r="G65" i="4"/>
  <c r="S65" i="4"/>
  <c r="R65" i="4"/>
  <c r="J65" i="4"/>
  <c r="AI65" i="4"/>
  <c r="L65" i="4"/>
  <c r="AL65" i="4"/>
  <c r="AL115" i="4" s="1"/>
  <c r="AE65" i="4"/>
  <c r="O65" i="4"/>
  <c r="AK67" i="4"/>
  <c r="AG88" i="8" s="1"/>
  <c r="X67" i="4"/>
  <c r="T88" i="8" s="1"/>
  <c r="AF67" i="4"/>
  <c r="AB88" i="8" s="1"/>
  <c r="Y67" i="4"/>
  <c r="U88" i="8" s="1"/>
  <c r="T67" i="4"/>
  <c r="P88" i="8" s="1"/>
  <c r="H67" i="4"/>
  <c r="D88" i="8" s="1"/>
  <c r="P67" i="4"/>
  <c r="L88" i="8" s="1"/>
  <c r="AH67" i="4"/>
  <c r="AD88" i="8" s="1"/>
  <c r="AG67" i="4"/>
  <c r="AC88" i="8" s="1"/>
  <c r="AA67" i="4"/>
  <c r="W88" i="8" s="1"/>
  <c r="AC67" i="4"/>
  <c r="Y88" i="8" s="1"/>
  <c r="N67" i="4"/>
  <c r="J88" i="8" s="1"/>
  <c r="AJ67" i="4"/>
  <c r="AF88" i="8" s="1"/>
  <c r="Z67" i="4"/>
  <c r="V88" i="8" s="1"/>
  <c r="V67" i="4"/>
  <c r="R88" i="8" s="1"/>
  <c r="U67" i="4"/>
  <c r="Q88" i="8" s="1"/>
  <c r="AB67" i="4"/>
  <c r="X88" i="8" s="1"/>
  <c r="G67" i="4"/>
  <c r="C88" i="8" s="1"/>
  <c r="O67" i="4"/>
  <c r="K88" i="8" s="1"/>
  <c r="Q67" i="4"/>
  <c r="M88" i="8" s="1"/>
  <c r="I67" i="4"/>
  <c r="E88" i="8" s="1"/>
  <c r="AL67" i="4"/>
  <c r="AH88" i="8" s="1"/>
  <c r="W67" i="4"/>
  <c r="S88" i="8" s="1"/>
  <c r="S67" i="4"/>
  <c r="O88" i="8" s="1"/>
  <c r="AD67" i="4"/>
  <c r="Z88" i="8" s="1"/>
  <c r="R67" i="4"/>
  <c r="N88" i="8" s="1"/>
  <c r="M67" i="4"/>
  <c r="I88" i="8" s="1"/>
  <c r="L67" i="4"/>
  <c r="H88" i="8" s="1"/>
  <c r="J67" i="4"/>
  <c r="F88" i="8" s="1"/>
  <c r="AI67" i="4"/>
  <c r="AE88" i="8" s="1"/>
  <c r="K67" i="4"/>
  <c r="G88" i="8" s="1"/>
  <c r="AE67" i="4"/>
  <c r="AA88" i="8" s="1"/>
  <c r="V69" i="4"/>
  <c r="R90" i="8" s="1"/>
  <c r="U69" i="4"/>
  <c r="Q90" i="8" s="1"/>
  <c r="Q69" i="4"/>
  <c r="M90" i="8" s="1"/>
  <c r="AK69" i="4"/>
  <c r="AG90" i="8" s="1"/>
  <c r="X69" i="4"/>
  <c r="T90" i="8" s="1"/>
  <c r="AF69" i="4"/>
  <c r="AB90" i="8" s="1"/>
  <c r="Y69" i="4"/>
  <c r="U90" i="8" s="1"/>
  <c r="T69" i="4"/>
  <c r="P90" i="8" s="1"/>
  <c r="AH69" i="4"/>
  <c r="AD90" i="8" s="1"/>
  <c r="H69" i="4"/>
  <c r="D90" i="8" s="1"/>
  <c r="P69" i="4"/>
  <c r="L90" i="8" s="1"/>
  <c r="AG69" i="4"/>
  <c r="AC90" i="8" s="1"/>
  <c r="AA69" i="4"/>
  <c r="W90" i="8" s="1"/>
  <c r="Z69" i="4"/>
  <c r="V90" i="8" s="1"/>
  <c r="AC69" i="4"/>
  <c r="Y90" i="8" s="1"/>
  <c r="N69" i="4"/>
  <c r="J90" i="8" s="1"/>
  <c r="AD69" i="4"/>
  <c r="Z90" i="8" s="1"/>
  <c r="AB69" i="4"/>
  <c r="X90" i="8" s="1"/>
  <c r="AI69" i="4"/>
  <c r="AE90" i="8" s="1"/>
  <c r="G69" i="4"/>
  <c r="C90" i="8" s="1"/>
  <c r="AE69" i="4"/>
  <c r="AA90" i="8" s="1"/>
  <c r="K69" i="4"/>
  <c r="G90" i="8" s="1"/>
  <c r="O69" i="4"/>
  <c r="K90" i="8" s="1"/>
  <c r="AJ69" i="4"/>
  <c r="AF90" i="8" s="1"/>
  <c r="I69" i="4"/>
  <c r="E90" i="8" s="1"/>
  <c r="R69" i="4"/>
  <c r="N90" i="8" s="1"/>
  <c r="AL69" i="4"/>
  <c r="AH90" i="8" s="1"/>
  <c r="W69" i="4"/>
  <c r="S90" i="8" s="1"/>
  <c r="L69" i="4"/>
  <c r="H90" i="8" s="1"/>
  <c r="S69" i="4"/>
  <c r="O90" i="8" s="1"/>
  <c r="M69" i="4"/>
  <c r="I90" i="8" s="1"/>
  <c r="J69" i="4"/>
  <c r="F90" i="8" s="1"/>
  <c r="AC71" i="4"/>
  <c r="Y92" i="8" s="1"/>
  <c r="N71" i="4"/>
  <c r="J92" i="8" s="1"/>
  <c r="K71" i="4"/>
  <c r="G92" i="8" s="1"/>
  <c r="AJ71" i="4"/>
  <c r="AF92" i="8" s="1"/>
  <c r="V71" i="4"/>
  <c r="R92" i="8" s="1"/>
  <c r="U71" i="4"/>
  <c r="Q92" i="8" s="1"/>
  <c r="Q71" i="4"/>
  <c r="M92" i="8" s="1"/>
  <c r="AH71" i="4"/>
  <c r="AD92" i="8" s="1"/>
  <c r="AK71" i="4"/>
  <c r="AG92" i="8" s="1"/>
  <c r="X71" i="4"/>
  <c r="T92" i="8" s="1"/>
  <c r="AF71" i="4"/>
  <c r="AB92" i="8" s="1"/>
  <c r="Y71" i="4"/>
  <c r="U92" i="8" s="1"/>
  <c r="T71" i="4"/>
  <c r="P92" i="8" s="1"/>
  <c r="H71" i="4"/>
  <c r="D92" i="8" s="1"/>
  <c r="P71" i="4"/>
  <c r="L92" i="8" s="1"/>
  <c r="AG71" i="4"/>
  <c r="AC92" i="8" s="1"/>
  <c r="L71" i="4"/>
  <c r="H92" i="8" s="1"/>
  <c r="S71" i="4"/>
  <c r="O92" i="8" s="1"/>
  <c r="AD71" i="4"/>
  <c r="Z92" i="8" s="1"/>
  <c r="AL71" i="4"/>
  <c r="AH92" i="8" s="1"/>
  <c r="W71" i="4"/>
  <c r="S92" i="8" s="1"/>
  <c r="J71" i="4"/>
  <c r="F92" i="8" s="1"/>
  <c r="M71" i="4"/>
  <c r="I92" i="8" s="1"/>
  <c r="G71" i="4"/>
  <c r="C92" i="8" s="1"/>
  <c r="AB71" i="4"/>
  <c r="X92" i="8" s="1"/>
  <c r="AI71" i="4"/>
  <c r="AE92" i="8" s="1"/>
  <c r="AA71" i="4"/>
  <c r="W92" i="8" s="1"/>
  <c r="AE71" i="4"/>
  <c r="AA92" i="8" s="1"/>
  <c r="O71" i="4"/>
  <c r="K92" i="8" s="1"/>
  <c r="Z71" i="4"/>
  <c r="V92" i="8" s="1"/>
  <c r="R71" i="4"/>
  <c r="N92" i="8" s="1"/>
  <c r="I71" i="4"/>
  <c r="E92" i="8" s="1"/>
  <c r="H73" i="4"/>
  <c r="D94" i="8" s="1"/>
  <c r="P73" i="4"/>
  <c r="L94" i="8" s="1"/>
  <c r="Z73" i="4"/>
  <c r="V94" i="8" s="1"/>
  <c r="AG73" i="4"/>
  <c r="AC94" i="8" s="1"/>
  <c r="AA73" i="4"/>
  <c r="W94" i="8" s="1"/>
  <c r="AC73" i="4"/>
  <c r="Y94" i="8" s="1"/>
  <c r="N73" i="4"/>
  <c r="J94" i="8" s="1"/>
  <c r="AD73" i="4"/>
  <c r="Z94" i="8" s="1"/>
  <c r="AJ73" i="4"/>
  <c r="AF94" i="8" s="1"/>
  <c r="K73" i="4"/>
  <c r="G94" i="8" s="1"/>
  <c r="V73" i="4"/>
  <c r="R94" i="8" s="1"/>
  <c r="U73" i="4"/>
  <c r="Q94" i="8" s="1"/>
  <c r="Q73" i="4"/>
  <c r="M94" i="8" s="1"/>
  <c r="AH73" i="4"/>
  <c r="AD94" i="8" s="1"/>
  <c r="AK73" i="4"/>
  <c r="AG94" i="8" s="1"/>
  <c r="X73" i="4"/>
  <c r="T94" i="8" s="1"/>
  <c r="AF73" i="4"/>
  <c r="AB94" i="8" s="1"/>
  <c r="R73" i="4"/>
  <c r="N94" i="8" s="1"/>
  <c r="Y73" i="4"/>
  <c r="U94" i="8" s="1"/>
  <c r="I73" i="4"/>
  <c r="E94" i="8" s="1"/>
  <c r="J73" i="4"/>
  <c r="F94" i="8" s="1"/>
  <c r="L73" i="4"/>
  <c r="H94" i="8" s="1"/>
  <c r="S73" i="4"/>
  <c r="O94" i="8" s="1"/>
  <c r="AL73" i="4"/>
  <c r="AH94" i="8" s="1"/>
  <c r="W73" i="4"/>
  <c r="S94" i="8" s="1"/>
  <c r="G73" i="4"/>
  <c r="C94" i="8" s="1"/>
  <c r="M73" i="4"/>
  <c r="I94" i="8" s="1"/>
  <c r="T73" i="4"/>
  <c r="P94" i="8" s="1"/>
  <c r="AB73" i="4"/>
  <c r="X94" i="8" s="1"/>
  <c r="AI73" i="4"/>
  <c r="AE94" i="8" s="1"/>
  <c r="AE73" i="4"/>
  <c r="AA94" i="8" s="1"/>
  <c r="O73" i="4"/>
  <c r="K94" i="8" s="1"/>
  <c r="BA3" i="4"/>
  <c r="E108" i="4"/>
  <c r="A95" i="8"/>
  <c r="E85" i="4"/>
  <c r="A72" i="8"/>
  <c r="E93" i="4"/>
  <c r="A80" i="8"/>
  <c r="E101" i="4"/>
  <c r="A88" i="8"/>
  <c r="E109" i="4"/>
  <c r="A96" i="8"/>
  <c r="E92" i="4"/>
  <c r="A79" i="8"/>
  <c r="E79" i="4"/>
  <c r="E86" i="4"/>
  <c r="A73" i="8"/>
  <c r="E94" i="4"/>
  <c r="A81" i="8"/>
  <c r="E102" i="4"/>
  <c r="A89" i="8"/>
  <c r="E87" i="4"/>
  <c r="A74" i="8"/>
  <c r="E95" i="4"/>
  <c r="A82" i="8"/>
  <c r="E103" i="4"/>
  <c r="A90" i="8"/>
  <c r="E80" i="4"/>
  <c r="A67" i="8"/>
  <c r="E88" i="4"/>
  <c r="A75" i="8"/>
  <c r="E96" i="4"/>
  <c r="A83" i="8"/>
  <c r="E104" i="4"/>
  <c r="A91" i="8"/>
  <c r="E84" i="4"/>
  <c r="A71" i="8"/>
  <c r="E81" i="4"/>
  <c r="A68" i="8"/>
  <c r="E89" i="4"/>
  <c r="A76" i="8"/>
  <c r="E97" i="4"/>
  <c r="A84" i="8"/>
  <c r="E105" i="4"/>
  <c r="A92" i="8"/>
  <c r="E100" i="4"/>
  <c r="A87" i="8"/>
  <c r="E82" i="4"/>
  <c r="A69" i="8"/>
  <c r="E90" i="4"/>
  <c r="A77" i="8"/>
  <c r="E98" i="4"/>
  <c r="A85" i="8"/>
  <c r="E106" i="4"/>
  <c r="A93" i="8"/>
  <c r="E83" i="4"/>
  <c r="A70" i="8"/>
  <c r="E91" i="4"/>
  <c r="A78" i="8"/>
  <c r="E99" i="4"/>
  <c r="A86" i="8"/>
  <c r="E107" i="4"/>
  <c r="A94" i="8"/>
  <c r="A114" i="4"/>
  <c r="A115" i="4" s="1"/>
  <c r="A83" i="4"/>
  <c r="F49" i="4"/>
  <c r="A87" i="4"/>
  <c r="F53" i="4"/>
  <c r="A80" i="4"/>
  <c r="F46" i="4"/>
  <c r="A84" i="4"/>
  <c r="F50" i="4"/>
  <c r="A88" i="4"/>
  <c r="F54" i="4"/>
  <c r="A90" i="4"/>
  <c r="F56" i="4"/>
  <c r="A94" i="4"/>
  <c r="F60" i="4"/>
  <c r="B81" i="8" s="1"/>
  <c r="A82" i="4"/>
  <c r="F48" i="4"/>
  <c r="A86" i="4"/>
  <c r="G73" i="8"/>
  <c r="AD73" i="8"/>
  <c r="V73" i="8"/>
  <c r="T73" i="8"/>
  <c r="F52" i="4"/>
  <c r="B73" i="8" s="1"/>
  <c r="A92" i="4"/>
  <c r="F58" i="4"/>
  <c r="B79" i="8" s="1"/>
  <c r="U79" i="8"/>
  <c r="A91" i="4"/>
  <c r="F57" i="4"/>
  <c r="B78" i="8" s="1"/>
  <c r="F47" i="4"/>
  <c r="B68" i="8" s="1"/>
  <c r="A96" i="4"/>
  <c r="F62" i="4"/>
  <c r="B83" i="8" s="1"/>
  <c r="A98" i="4"/>
  <c r="F64" i="4"/>
  <c r="AG85" i="8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A81" i="4"/>
  <c r="A85" i="4"/>
  <c r="A89" i="4"/>
  <c r="A93" i="4"/>
  <c r="A95" i="4"/>
  <c r="F61" i="4"/>
  <c r="B82" i="8" s="1"/>
  <c r="A97" i="4"/>
  <c r="F63" i="4"/>
  <c r="B84" i="8" s="1"/>
  <c r="A99" i="4"/>
  <c r="F65" i="4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L115" i="4" l="1"/>
  <c r="N115" i="4"/>
  <c r="AJ115" i="4"/>
  <c r="Y115" i="4"/>
  <c r="J115" i="4"/>
  <c r="S115" i="4"/>
  <c r="M115" i="4"/>
  <c r="V115" i="4"/>
  <c r="G115" i="4"/>
  <c r="AK115" i="4"/>
  <c r="Z115" i="4"/>
  <c r="R115" i="4"/>
  <c r="O115" i="4"/>
  <c r="AI115" i="4"/>
  <c r="K115" i="4"/>
  <c r="P115" i="4"/>
  <c r="X115" i="4"/>
  <c r="AG115" i="4"/>
  <c r="W115" i="4"/>
  <c r="AB115" i="4"/>
  <c r="AE115" i="4"/>
  <c r="AH115" i="4"/>
  <c r="AC115" i="4"/>
  <c r="AD115" i="4"/>
  <c r="F115" i="4"/>
  <c r="AL116" i="4"/>
  <c r="AL118" i="4" s="1"/>
  <c r="AJ116" i="4"/>
  <c r="AJ118" i="4" s="1"/>
  <c r="K116" i="4"/>
  <c r="R116" i="4"/>
  <c r="AF115" i="4"/>
  <c r="Z116" i="4"/>
  <c r="H116" i="4"/>
  <c r="H118" i="4" s="1"/>
  <c r="AC116" i="4"/>
  <c r="AG116" i="4"/>
  <c r="L116" i="4"/>
  <c r="O116" i="4"/>
  <c r="W116" i="4"/>
  <c r="AF116" i="4"/>
  <c r="AK116" i="4"/>
  <c r="W114" i="4"/>
  <c r="AE114" i="4"/>
  <c r="AA114" i="4"/>
  <c r="X114" i="4"/>
  <c r="X116" i="4"/>
  <c r="AB114" i="4"/>
  <c r="H114" i="4"/>
  <c r="AH114" i="4"/>
  <c r="S114" i="4"/>
  <c r="Y116" i="4"/>
  <c r="M116" i="4"/>
  <c r="M114" i="4"/>
  <c r="AI114" i="4"/>
  <c r="AG114" i="4"/>
  <c r="Q114" i="4"/>
  <c r="AE116" i="4"/>
  <c r="I116" i="4"/>
  <c r="Q116" i="4"/>
  <c r="AA116" i="4"/>
  <c r="I114" i="4"/>
  <c r="J114" i="4"/>
  <c r="P114" i="4"/>
  <c r="U114" i="4"/>
  <c r="AI116" i="4"/>
  <c r="AD116" i="4"/>
  <c r="N116" i="4"/>
  <c r="AH116" i="4"/>
  <c r="AD114" i="4"/>
  <c r="R114" i="4"/>
  <c r="Y114" i="4"/>
  <c r="Z114" i="4"/>
  <c r="J116" i="4"/>
  <c r="S116" i="4"/>
  <c r="U116" i="4"/>
  <c r="AL114" i="4"/>
  <c r="L114" i="4"/>
  <c r="AJ114" i="4"/>
  <c r="T114" i="4"/>
  <c r="G116" i="4"/>
  <c r="AK114" i="4"/>
  <c r="K114" i="4"/>
  <c r="AF114" i="4"/>
  <c r="G114" i="4"/>
  <c r="AB116" i="4"/>
  <c r="V116" i="4"/>
  <c r="T116" i="4"/>
  <c r="P116" i="4"/>
  <c r="O114" i="4"/>
  <c r="AC114" i="4"/>
  <c r="V114" i="4"/>
  <c r="N114" i="4"/>
  <c r="F114" i="4"/>
  <c r="S74" i="8"/>
  <c r="V85" i="8"/>
  <c r="X74" i="8"/>
  <c r="AH74" i="8"/>
  <c r="Y74" i="8"/>
  <c r="AB74" i="8"/>
  <c r="AH70" i="8"/>
  <c r="AF70" i="8"/>
  <c r="T70" i="8"/>
  <c r="D70" i="8"/>
  <c r="Z85" i="8"/>
  <c r="F85" i="8"/>
  <c r="T85" i="8"/>
  <c r="C85" i="8"/>
  <c r="AF74" i="8"/>
  <c r="I74" i="8"/>
  <c r="Z74" i="8"/>
  <c r="W74" i="8"/>
  <c r="T74" i="8"/>
  <c r="U70" i="8"/>
  <c r="I70" i="8"/>
  <c r="G70" i="8"/>
  <c r="Y70" i="8"/>
  <c r="L85" i="8"/>
  <c r="N85" i="8"/>
  <c r="P85" i="8"/>
  <c r="J85" i="8"/>
  <c r="D74" i="8"/>
  <c r="S70" i="8"/>
  <c r="G74" i="8"/>
  <c r="AE74" i="8"/>
  <c r="AD74" i="8"/>
  <c r="R74" i="8"/>
  <c r="AA70" i="8"/>
  <c r="E70" i="8"/>
  <c r="M70" i="8"/>
  <c r="W70" i="8"/>
  <c r="AC85" i="8"/>
  <c r="O85" i="8"/>
  <c r="AF85" i="8"/>
  <c r="G85" i="8"/>
  <c r="X85" i="8"/>
  <c r="E74" i="8"/>
  <c r="F74" i="8"/>
  <c r="AC74" i="8"/>
  <c r="M74" i="8"/>
  <c r="AE70" i="8"/>
  <c r="Z70" i="8"/>
  <c r="J70" i="8"/>
  <c r="AD70" i="8"/>
  <c r="K85" i="8"/>
  <c r="I85" i="8"/>
  <c r="H85" i="8"/>
  <c r="D85" i="8"/>
  <c r="AB70" i="8"/>
  <c r="U85" i="8"/>
  <c r="K74" i="8"/>
  <c r="N74" i="8"/>
  <c r="H74" i="8"/>
  <c r="Q74" i="8"/>
  <c r="F70" i="8"/>
  <c r="O70" i="8"/>
  <c r="Q70" i="8"/>
  <c r="AC70" i="8"/>
  <c r="AB85" i="8"/>
  <c r="Y85" i="8"/>
  <c r="M85" i="8"/>
  <c r="W85" i="8"/>
  <c r="AA74" i="8"/>
  <c r="K70" i="8"/>
  <c r="O74" i="8"/>
  <c r="J74" i="8"/>
  <c r="L74" i="8"/>
  <c r="V74" i="8"/>
  <c r="N70" i="8"/>
  <c r="C70" i="8"/>
  <c r="V70" i="8"/>
  <c r="H70" i="8"/>
  <c r="AG70" i="8"/>
  <c r="AE85" i="8"/>
  <c r="C74" i="8"/>
  <c r="AG74" i="8"/>
  <c r="U74" i="8"/>
  <c r="P74" i="8"/>
  <c r="X70" i="8"/>
  <c r="R70" i="8"/>
  <c r="P70" i="8"/>
  <c r="L70" i="8"/>
  <c r="E85" i="8"/>
  <c r="R85" i="8"/>
  <c r="AD85" i="8"/>
  <c r="B70" i="8"/>
  <c r="B85" i="8"/>
  <c r="B74" i="8"/>
  <c r="I41" i="4"/>
  <c r="AL41" i="4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O41" i="4"/>
  <c r="L118" i="4" l="1"/>
  <c r="AG118" i="4"/>
  <c r="L119" i="4"/>
  <c r="AK119" i="4"/>
  <c r="Z118" i="4"/>
  <c r="R118" i="4"/>
  <c r="K118" i="4"/>
  <c r="AJ119" i="4"/>
  <c r="Z119" i="4"/>
  <c r="AF119" i="4"/>
  <c r="AC119" i="4"/>
  <c r="N119" i="4"/>
  <c r="AL119" i="4"/>
  <c r="AC118" i="4"/>
  <c r="AG119" i="4"/>
  <c r="M119" i="4"/>
  <c r="H119" i="4"/>
  <c r="R119" i="4"/>
  <c r="K119" i="4"/>
  <c r="AD119" i="4"/>
  <c r="I119" i="4"/>
  <c r="O119" i="4"/>
  <c r="Y119" i="4"/>
  <c r="H117" i="4"/>
  <c r="T119" i="4"/>
  <c r="U119" i="4"/>
  <c r="Q119" i="4"/>
  <c r="AL117" i="4"/>
  <c r="L117" i="4"/>
  <c r="AH119" i="4"/>
  <c r="Z117" i="4"/>
  <c r="AG117" i="4"/>
  <c r="K117" i="4"/>
  <c r="G119" i="4"/>
  <c r="V119" i="4"/>
  <c r="U117" i="4"/>
  <c r="U118" i="4"/>
  <c r="N117" i="4"/>
  <c r="N118" i="4"/>
  <c r="Q117" i="4"/>
  <c r="Q118" i="4"/>
  <c r="AC117" i="4"/>
  <c r="AB119" i="4"/>
  <c r="X119" i="4"/>
  <c r="G117" i="4"/>
  <c r="G118" i="4"/>
  <c r="R117" i="4"/>
  <c r="S117" i="4"/>
  <c r="S118" i="4"/>
  <c r="AD118" i="4"/>
  <c r="AD117" i="4"/>
  <c r="I117" i="4"/>
  <c r="I118" i="4"/>
  <c r="AA119" i="4"/>
  <c r="J117" i="4"/>
  <c r="J118" i="4"/>
  <c r="AI117" i="4"/>
  <c r="AI118" i="4"/>
  <c r="AE117" i="4"/>
  <c r="AE118" i="4"/>
  <c r="AE119" i="4"/>
  <c r="M117" i="4"/>
  <c r="M118" i="4"/>
  <c r="X117" i="4"/>
  <c r="X118" i="4"/>
  <c r="W119" i="4"/>
  <c r="P117" i="4"/>
  <c r="P118" i="4"/>
  <c r="T117" i="4"/>
  <c r="T118" i="4"/>
  <c r="P119" i="4"/>
  <c r="Y117" i="4"/>
  <c r="Y118" i="4"/>
  <c r="AK117" i="4"/>
  <c r="AK118" i="4"/>
  <c r="V117" i="4"/>
  <c r="V118" i="4"/>
  <c r="J119" i="4"/>
  <c r="AI119" i="4"/>
  <c r="S119" i="4"/>
  <c r="AJ117" i="4"/>
  <c r="AF117" i="4"/>
  <c r="AF118" i="4"/>
  <c r="AB117" i="4"/>
  <c r="AB118" i="4"/>
  <c r="W117" i="4"/>
  <c r="W118" i="4"/>
  <c r="AH117" i="4"/>
  <c r="AH118" i="4"/>
  <c r="AA117" i="4"/>
  <c r="AA118" i="4"/>
  <c r="O117" i="4"/>
  <c r="O118" i="4"/>
  <c r="P41" i="4"/>
  <c r="AH41" i="4"/>
  <c r="AD41" i="4"/>
  <c r="K41" i="4"/>
  <c r="AJ41" i="4"/>
  <c r="N41" i="4"/>
  <c r="AC41" i="4"/>
  <c r="AA41" i="4"/>
  <c r="AG41" i="4"/>
  <c r="V41" i="4"/>
  <c r="T41" i="4"/>
  <c r="R41" i="4"/>
  <c r="Y41" i="4"/>
  <c r="G41" i="4"/>
  <c r="U41" i="4"/>
  <c r="AB41" i="4"/>
  <c r="Z41" i="4"/>
  <c r="AE41" i="4"/>
  <c r="L41" i="4"/>
  <c r="S41" i="4"/>
  <c r="Q41" i="4"/>
  <c r="AF41" i="4"/>
  <c r="M41" i="4"/>
  <c r="J41" i="4"/>
  <c r="H41" i="4"/>
  <c r="X41" i="4"/>
  <c r="AK41" i="4"/>
  <c r="AI41" i="4"/>
  <c r="W41" i="4"/>
  <c r="F41" i="4"/>
  <c r="E41" i="4"/>
  <c r="C78" i="4" s="1"/>
  <c r="G80" i="4" l="1"/>
  <c r="O80" i="4"/>
  <c r="W80" i="4"/>
  <c r="AE80" i="4"/>
  <c r="G81" i="4"/>
  <c r="O81" i="4"/>
  <c r="W81" i="4"/>
  <c r="AE81" i="4"/>
  <c r="G82" i="4"/>
  <c r="O82" i="4"/>
  <c r="W82" i="4"/>
  <c r="AE82" i="4"/>
  <c r="G83" i="4"/>
  <c r="O83" i="4"/>
  <c r="W83" i="4"/>
  <c r="AE83" i="4"/>
  <c r="G84" i="4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H80" i="4"/>
  <c r="P80" i="4"/>
  <c r="X80" i="4"/>
  <c r="AF80" i="4"/>
  <c r="H81" i="4"/>
  <c r="P81" i="4"/>
  <c r="X81" i="4"/>
  <c r="AF81" i="4"/>
  <c r="H82" i="4"/>
  <c r="P82" i="4"/>
  <c r="X82" i="4"/>
  <c r="AF82" i="4"/>
  <c r="H83" i="4"/>
  <c r="P83" i="4"/>
  <c r="X83" i="4"/>
  <c r="AF83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I80" i="4"/>
  <c r="Q80" i="4"/>
  <c r="Y80" i="4"/>
  <c r="AG80" i="4"/>
  <c r="I81" i="4"/>
  <c r="Q81" i="4"/>
  <c r="Y81" i="4"/>
  <c r="AG81" i="4"/>
  <c r="I82" i="4"/>
  <c r="Q82" i="4"/>
  <c r="Y82" i="4"/>
  <c r="AG82" i="4"/>
  <c r="I83" i="4"/>
  <c r="Q83" i="4"/>
  <c r="Y83" i="4"/>
  <c r="AG83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J80" i="4"/>
  <c r="R80" i="4"/>
  <c r="Z80" i="4"/>
  <c r="AH80" i="4"/>
  <c r="J81" i="4"/>
  <c r="R81" i="4"/>
  <c r="Z81" i="4"/>
  <c r="AH81" i="4"/>
  <c r="J82" i="4"/>
  <c r="R82" i="4"/>
  <c r="Z82" i="4"/>
  <c r="AH82" i="4"/>
  <c r="J83" i="4"/>
  <c r="R83" i="4"/>
  <c r="Z83" i="4"/>
  <c r="AH83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K80" i="4"/>
  <c r="S80" i="4"/>
  <c r="AA80" i="4"/>
  <c r="AI80" i="4"/>
  <c r="K81" i="4"/>
  <c r="S81" i="4"/>
  <c r="AA81" i="4"/>
  <c r="AI81" i="4"/>
  <c r="K82" i="4"/>
  <c r="S82" i="4"/>
  <c r="AA82" i="4"/>
  <c r="AI82" i="4"/>
  <c r="K83" i="4"/>
  <c r="S83" i="4"/>
  <c r="AA83" i="4"/>
  <c r="AI83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L80" i="4"/>
  <c r="T80" i="4"/>
  <c r="AB80" i="4"/>
  <c r="AJ80" i="4"/>
  <c r="L81" i="4"/>
  <c r="T81" i="4"/>
  <c r="AB81" i="4"/>
  <c r="AJ81" i="4"/>
  <c r="L82" i="4"/>
  <c r="T82" i="4"/>
  <c r="AB82" i="4"/>
  <c r="AJ82" i="4"/>
  <c r="L83" i="4"/>
  <c r="T83" i="4"/>
  <c r="AB83" i="4"/>
  <c r="AJ83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M80" i="4"/>
  <c r="M81" i="4"/>
  <c r="M82" i="4"/>
  <c r="M83" i="4"/>
  <c r="M84" i="4"/>
  <c r="M85" i="4"/>
  <c r="M86" i="4"/>
  <c r="M87" i="4"/>
  <c r="M88" i="4"/>
  <c r="M89" i="4"/>
  <c r="M90" i="4"/>
  <c r="M91" i="4"/>
  <c r="AL91" i="4"/>
  <c r="AC92" i="4"/>
  <c r="Q93" i="4"/>
  <c r="AL93" i="4"/>
  <c r="AC94" i="4"/>
  <c r="Q95" i="4"/>
  <c r="AL95" i="4"/>
  <c r="AC96" i="4"/>
  <c r="Q97" i="4"/>
  <c r="AL97" i="4"/>
  <c r="AC98" i="4"/>
  <c r="J99" i="4"/>
  <c r="W99" i="4"/>
  <c r="AK99" i="4"/>
  <c r="Q100" i="4"/>
  <c r="AD100" i="4"/>
  <c r="I101" i="4"/>
  <c r="R101" i="4"/>
  <c r="Z101" i="4"/>
  <c r="AH101" i="4"/>
  <c r="J102" i="4"/>
  <c r="R102" i="4"/>
  <c r="Z102" i="4"/>
  <c r="AH102" i="4"/>
  <c r="J103" i="4"/>
  <c r="R103" i="4"/>
  <c r="Z103" i="4"/>
  <c r="AH103" i="4"/>
  <c r="J104" i="4"/>
  <c r="R104" i="4"/>
  <c r="Z104" i="4"/>
  <c r="AH104" i="4"/>
  <c r="J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AL89" i="4"/>
  <c r="N80" i="4"/>
  <c r="N81" i="4"/>
  <c r="N82" i="4"/>
  <c r="N83" i="4"/>
  <c r="N84" i="4"/>
  <c r="N85" i="4"/>
  <c r="N86" i="4"/>
  <c r="N87" i="4"/>
  <c r="N88" i="4"/>
  <c r="N89" i="4"/>
  <c r="N90" i="4"/>
  <c r="N91" i="4"/>
  <c r="I92" i="4"/>
  <c r="AD92" i="4"/>
  <c r="U93" i="4"/>
  <c r="I94" i="4"/>
  <c r="AD94" i="4"/>
  <c r="U95" i="4"/>
  <c r="I96" i="4"/>
  <c r="AD96" i="4"/>
  <c r="U97" i="4"/>
  <c r="I98" i="4"/>
  <c r="AD98" i="4"/>
  <c r="M99" i="4"/>
  <c r="Y99" i="4"/>
  <c r="AL99" i="4"/>
  <c r="R100" i="4"/>
  <c r="AE100" i="4"/>
  <c r="J101" i="4"/>
  <c r="S101" i="4"/>
  <c r="AA101" i="4"/>
  <c r="AI101" i="4"/>
  <c r="K102" i="4"/>
  <c r="S102" i="4"/>
  <c r="AA102" i="4"/>
  <c r="AI102" i="4"/>
  <c r="K103" i="4"/>
  <c r="S103" i="4"/>
  <c r="AA103" i="4"/>
  <c r="AI103" i="4"/>
  <c r="K104" i="4"/>
  <c r="S104" i="4"/>
  <c r="AA104" i="4"/>
  <c r="AI104" i="4"/>
  <c r="K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AK95" i="4"/>
  <c r="U80" i="4"/>
  <c r="U81" i="4"/>
  <c r="U82" i="4"/>
  <c r="U83" i="4"/>
  <c r="U84" i="4"/>
  <c r="U85" i="4"/>
  <c r="U86" i="4"/>
  <c r="U87" i="4"/>
  <c r="U88" i="4"/>
  <c r="U89" i="4"/>
  <c r="U90" i="4"/>
  <c r="U91" i="4"/>
  <c r="M92" i="4"/>
  <c r="AG92" i="4"/>
  <c r="V93" i="4"/>
  <c r="M94" i="4"/>
  <c r="AG94" i="4"/>
  <c r="V95" i="4"/>
  <c r="M96" i="4"/>
  <c r="AG96" i="4"/>
  <c r="V97" i="4"/>
  <c r="M98" i="4"/>
  <c r="AE98" i="4"/>
  <c r="N99" i="4"/>
  <c r="Z99" i="4"/>
  <c r="G100" i="4"/>
  <c r="U100" i="4"/>
  <c r="AG100" i="4"/>
  <c r="K101" i="4"/>
  <c r="T101" i="4"/>
  <c r="AB101" i="4"/>
  <c r="AJ101" i="4"/>
  <c r="L102" i="4"/>
  <c r="T102" i="4"/>
  <c r="AB102" i="4"/>
  <c r="AJ102" i="4"/>
  <c r="L103" i="4"/>
  <c r="T103" i="4"/>
  <c r="AB103" i="4"/>
  <c r="AJ103" i="4"/>
  <c r="L104" i="4"/>
  <c r="T104" i="4"/>
  <c r="AB104" i="4"/>
  <c r="AJ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V80" i="4"/>
  <c r="V81" i="4"/>
  <c r="V82" i="4"/>
  <c r="V83" i="4"/>
  <c r="V84" i="4"/>
  <c r="V85" i="4"/>
  <c r="V86" i="4"/>
  <c r="V87" i="4"/>
  <c r="V88" i="4"/>
  <c r="V89" i="4"/>
  <c r="V90" i="4"/>
  <c r="V91" i="4"/>
  <c r="N92" i="4"/>
  <c r="AK92" i="4"/>
  <c r="Y93" i="4"/>
  <c r="N94" i="4"/>
  <c r="AK94" i="4"/>
  <c r="Y95" i="4"/>
  <c r="N96" i="4"/>
  <c r="AK96" i="4"/>
  <c r="Y97" i="4"/>
  <c r="N98" i="4"/>
  <c r="AG98" i="4"/>
  <c r="O99" i="4"/>
  <c r="AC99" i="4"/>
  <c r="I100" i="4"/>
  <c r="V100" i="4"/>
  <c r="AH100" i="4"/>
  <c r="M101" i="4"/>
  <c r="U101" i="4"/>
  <c r="AC101" i="4"/>
  <c r="AK101" i="4"/>
  <c r="M102" i="4"/>
  <c r="U102" i="4"/>
  <c r="AC102" i="4"/>
  <c r="AK102" i="4"/>
  <c r="M103" i="4"/>
  <c r="U103" i="4"/>
  <c r="AC103" i="4"/>
  <c r="AK103" i="4"/>
  <c r="M104" i="4"/>
  <c r="U104" i="4"/>
  <c r="AC104" i="4"/>
  <c r="AK104" i="4"/>
  <c r="M105" i="4"/>
  <c r="U105" i="4"/>
  <c r="AC105" i="4"/>
  <c r="AK105" i="4"/>
  <c r="M106" i="4"/>
  <c r="U106" i="4"/>
  <c r="AC106" i="4"/>
  <c r="AK106" i="4"/>
  <c r="M107" i="4"/>
  <c r="U107" i="4"/>
  <c r="AC107" i="4"/>
  <c r="AK107" i="4"/>
  <c r="M108" i="4"/>
  <c r="U108" i="4"/>
  <c r="AC108" i="4"/>
  <c r="AK108" i="4"/>
  <c r="Y98" i="4"/>
  <c r="I103" i="4"/>
  <c r="AG104" i="4"/>
  <c r="Q106" i="4"/>
  <c r="Q107" i="4"/>
  <c r="Q108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Q92" i="4"/>
  <c r="AL92" i="4"/>
  <c r="AC93" i="4"/>
  <c r="Q94" i="4"/>
  <c r="AL94" i="4"/>
  <c r="AC95" i="4"/>
  <c r="Q96" i="4"/>
  <c r="AL96" i="4"/>
  <c r="AC97" i="4"/>
  <c r="Q98" i="4"/>
  <c r="AK98" i="4"/>
  <c r="Q99" i="4"/>
  <c r="AD99" i="4"/>
  <c r="J100" i="4"/>
  <c r="W100" i="4"/>
  <c r="AI100" i="4"/>
  <c r="N101" i="4"/>
  <c r="V101" i="4"/>
  <c r="AD101" i="4"/>
  <c r="AL101" i="4"/>
  <c r="N102" i="4"/>
  <c r="V102" i="4"/>
  <c r="AD102" i="4"/>
  <c r="AL102" i="4"/>
  <c r="N103" i="4"/>
  <c r="V103" i="4"/>
  <c r="AD103" i="4"/>
  <c r="AL103" i="4"/>
  <c r="N104" i="4"/>
  <c r="V104" i="4"/>
  <c r="AD104" i="4"/>
  <c r="AL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AL80" i="4"/>
  <c r="AL82" i="4"/>
  <c r="AL84" i="4"/>
  <c r="AL86" i="4"/>
  <c r="AL87" i="4"/>
  <c r="AL90" i="4"/>
  <c r="Y92" i="4"/>
  <c r="AK93" i="4"/>
  <c r="Y94" i="4"/>
  <c r="N97" i="4"/>
  <c r="I99" i="4"/>
  <c r="AH99" i="4"/>
  <c r="G101" i="4"/>
  <c r="Q102" i="4"/>
  <c r="Q103" i="4"/>
  <c r="I104" i="4"/>
  <c r="Q105" i="4"/>
  <c r="Y106" i="4"/>
  <c r="Y107" i="4"/>
  <c r="Y108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U92" i="4"/>
  <c r="I93" i="4"/>
  <c r="AD93" i="4"/>
  <c r="U94" i="4"/>
  <c r="I95" i="4"/>
  <c r="AD95" i="4"/>
  <c r="U96" i="4"/>
  <c r="I97" i="4"/>
  <c r="AD97" i="4"/>
  <c r="U98" i="4"/>
  <c r="AL98" i="4"/>
  <c r="R99" i="4"/>
  <c r="AE99" i="4"/>
  <c r="M100" i="4"/>
  <c r="Y100" i="4"/>
  <c r="AK100" i="4"/>
  <c r="O101" i="4"/>
  <c r="W101" i="4"/>
  <c r="AE101" i="4"/>
  <c r="G102" i="4"/>
  <c r="O102" i="4"/>
  <c r="W102" i="4"/>
  <c r="AE102" i="4"/>
  <c r="G103" i="4"/>
  <c r="O103" i="4"/>
  <c r="W103" i="4"/>
  <c r="AE103" i="4"/>
  <c r="G104" i="4"/>
  <c r="O104" i="4"/>
  <c r="W104" i="4"/>
  <c r="AE104" i="4"/>
  <c r="G105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AL81" i="4"/>
  <c r="AL83" i="4"/>
  <c r="AL85" i="4"/>
  <c r="AL88" i="4"/>
  <c r="AK91" i="4"/>
  <c r="N93" i="4"/>
  <c r="N95" i="4"/>
  <c r="AK97" i="4"/>
  <c r="V99" i="4"/>
  <c r="O100" i="4"/>
  <c r="Q101" i="4"/>
  <c r="AG101" i="4"/>
  <c r="Y102" i="4"/>
  <c r="AG103" i="4"/>
  <c r="Y104" i="4"/>
  <c r="Y105" i="4"/>
  <c r="I106" i="4"/>
  <c r="I107" i="4"/>
  <c r="AG107" i="4"/>
  <c r="AG108" i="4"/>
  <c r="AK80" i="4"/>
  <c r="AK81" i="4"/>
  <c r="AK82" i="4"/>
  <c r="AK83" i="4"/>
  <c r="AK84" i="4"/>
  <c r="AK85" i="4"/>
  <c r="AK86" i="4"/>
  <c r="AK87" i="4"/>
  <c r="AK88" i="4"/>
  <c r="AK89" i="4"/>
  <c r="AK90" i="4"/>
  <c r="AG91" i="4"/>
  <c r="V92" i="4"/>
  <c r="M93" i="4"/>
  <c r="AG93" i="4"/>
  <c r="V94" i="4"/>
  <c r="M95" i="4"/>
  <c r="AG95" i="4"/>
  <c r="V96" i="4"/>
  <c r="M97" i="4"/>
  <c r="AG97" i="4"/>
  <c r="V98" i="4"/>
  <c r="G99" i="4"/>
  <c r="U99" i="4"/>
  <c r="AG99" i="4"/>
  <c r="N100" i="4"/>
  <c r="Z100" i="4"/>
  <c r="AL100" i="4"/>
  <c r="P101" i="4"/>
  <c r="X101" i="4"/>
  <c r="AF101" i="4"/>
  <c r="H102" i="4"/>
  <c r="P102" i="4"/>
  <c r="X102" i="4"/>
  <c r="AF102" i="4"/>
  <c r="H103" i="4"/>
  <c r="P103" i="4"/>
  <c r="X103" i="4"/>
  <c r="AF103" i="4"/>
  <c r="H104" i="4"/>
  <c r="P104" i="4"/>
  <c r="X104" i="4"/>
  <c r="AF104" i="4"/>
  <c r="H105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Y96" i="4"/>
  <c r="AC100" i="4"/>
  <c r="Y101" i="4"/>
  <c r="I102" i="4"/>
  <c r="AG102" i="4"/>
  <c r="Y103" i="4"/>
  <c r="Q104" i="4"/>
  <c r="I105" i="4"/>
  <c r="AG105" i="4"/>
  <c r="AG106" i="4"/>
  <c r="I108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116" i="4" s="1"/>
  <c r="F86" i="4"/>
  <c r="F82" i="4"/>
  <c r="F105" i="4"/>
  <c r="F81" i="4"/>
  <c r="F118" i="4" l="1"/>
  <c r="F117" i="4"/>
  <c r="F119" i="4" l="1"/>
  <c r="B114" i="4"/>
  <c r="B115" i="4"/>
  <c r="E122" i="4" l="1" a="1"/>
  <c r="V135" i="4" s="1"/>
  <c r="E122" i="11" a="1"/>
  <c r="AD127" i="11" s="1"/>
  <c r="B115" i="11"/>
  <c r="B114" i="11"/>
  <c r="Z131" i="4" l="1"/>
  <c r="AD122" i="4"/>
  <c r="L125" i="4"/>
  <c r="X130" i="4"/>
  <c r="I128" i="4"/>
  <c r="F130" i="4"/>
  <c r="AC127" i="4"/>
  <c r="G128" i="4"/>
  <c r="G125" i="4"/>
  <c r="F123" i="4"/>
  <c r="AD132" i="4"/>
  <c r="AH135" i="4"/>
  <c r="AG127" i="4"/>
  <c r="R135" i="4"/>
  <c r="Y134" i="4"/>
  <c r="X127" i="4"/>
  <c r="AH130" i="4"/>
  <c r="T131" i="4"/>
  <c r="W127" i="4"/>
  <c r="Y123" i="4"/>
  <c r="P123" i="4"/>
  <c r="G124" i="4"/>
  <c r="H124" i="4"/>
  <c r="AB132" i="4"/>
  <c r="H126" i="4"/>
  <c r="AJ122" i="4"/>
  <c r="AE135" i="4"/>
  <c r="X123" i="4"/>
  <c r="AI128" i="4"/>
  <c r="X135" i="4"/>
  <c r="N122" i="4"/>
  <c r="U130" i="4"/>
  <c r="J122" i="4"/>
  <c r="AH122" i="4"/>
  <c r="AI124" i="4"/>
  <c r="AA130" i="4"/>
  <c r="AH129" i="4"/>
  <c r="AC134" i="4"/>
  <c r="AB133" i="4"/>
  <c r="AB123" i="4"/>
  <c r="N134" i="4"/>
  <c r="AG124" i="4"/>
  <c r="O131" i="4"/>
  <c r="AL122" i="4"/>
  <c r="Z133" i="4"/>
  <c r="M124" i="4"/>
  <c r="N123" i="4"/>
  <c r="M131" i="4"/>
  <c r="I126" i="4"/>
  <c r="AG123" i="4"/>
  <c r="AJ123" i="4"/>
  <c r="T124" i="4"/>
  <c r="U134" i="4"/>
  <c r="L132" i="4"/>
  <c r="T130" i="4"/>
  <c r="R127" i="4"/>
  <c r="O130" i="4"/>
  <c r="AL134" i="4"/>
  <c r="AC133" i="4"/>
  <c r="E126" i="4"/>
  <c r="Z125" i="4"/>
  <c r="Q131" i="4"/>
  <c r="E122" i="4"/>
  <c r="AJ128" i="4"/>
  <c r="G134" i="4"/>
  <c r="AI132" i="4"/>
  <c r="AD135" i="4"/>
  <c r="AK123" i="4"/>
  <c r="V127" i="4"/>
  <c r="P130" i="4"/>
  <c r="AJ125" i="4"/>
  <c r="Q123" i="4"/>
  <c r="J134" i="4"/>
  <c r="W134" i="4"/>
  <c r="H133" i="4"/>
  <c r="F124" i="4"/>
  <c r="H128" i="4"/>
  <c r="S126" i="4"/>
  <c r="I133" i="4"/>
  <c r="W126" i="4"/>
  <c r="L130" i="4"/>
  <c r="P129" i="4"/>
  <c r="L124" i="4"/>
  <c r="J126" i="4"/>
  <c r="V130" i="4"/>
  <c r="O135" i="4"/>
  <c r="AL124" i="4"/>
  <c r="U132" i="4"/>
  <c r="AD131" i="4"/>
  <c r="E125" i="4"/>
  <c r="W122" i="4"/>
  <c r="AG130" i="4"/>
  <c r="K125" i="4"/>
  <c r="R126" i="4"/>
  <c r="AA131" i="4"/>
  <c r="U123" i="4"/>
  <c r="G135" i="4"/>
  <c r="AD130" i="4"/>
  <c r="AD127" i="4"/>
  <c r="AD128" i="4"/>
  <c r="S130" i="4"/>
  <c r="H129" i="4"/>
  <c r="L126" i="4"/>
  <c r="F125" i="4"/>
  <c r="N129" i="4"/>
  <c r="AL127" i="4"/>
  <c r="AA135" i="4"/>
  <c r="AK124" i="4"/>
  <c r="M122" i="4"/>
  <c r="AD123" i="4"/>
  <c r="J128" i="4"/>
  <c r="X122" i="4"/>
  <c r="T133" i="4"/>
  <c r="P131" i="4"/>
  <c r="I131" i="4"/>
  <c r="AG133" i="4"/>
  <c r="N131" i="4"/>
  <c r="Q122" i="4"/>
  <c r="L129" i="4"/>
  <c r="V129" i="4"/>
  <c r="I132" i="4"/>
  <c r="J127" i="4"/>
  <c r="AH128" i="4"/>
  <c r="AE131" i="4"/>
  <c r="L128" i="4"/>
  <c r="O125" i="4"/>
  <c r="AE130" i="4"/>
  <c r="Z129" i="4"/>
  <c r="AA132" i="4"/>
  <c r="Q133" i="4"/>
  <c r="E124" i="4"/>
  <c r="AH126" i="4"/>
  <c r="AF130" i="4"/>
  <c r="Y125" i="4"/>
  <c r="V122" i="4"/>
  <c r="AI122" i="4"/>
  <c r="AK122" i="4"/>
  <c r="X125" i="4"/>
  <c r="AB134" i="4"/>
  <c r="G126" i="4"/>
  <c r="AA134" i="4"/>
  <c r="Y130" i="4"/>
  <c r="V124" i="4"/>
  <c r="I125" i="4"/>
  <c r="AL132" i="4"/>
  <c r="AJ134" i="4"/>
  <c r="Y129" i="4"/>
  <c r="AJ131" i="4"/>
  <c r="E135" i="4"/>
  <c r="AK126" i="4"/>
  <c r="T127" i="4"/>
  <c r="J123" i="4"/>
  <c r="W123" i="4"/>
  <c r="H135" i="4"/>
  <c r="AE124" i="4"/>
  <c r="S133" i="4"/>
  <c r="V132" i="4"/>
  <c r="O122" i="4"/>
  <c r="AA123" i="4"/>
  <c r="V133" i="4"/>
  <c r="AI135" i="4"/>
  <c r="AJ133" i="4"/>
  <c r="P132" i="4"/>
  <c r="Y122" i="4"/>
  <c r="Y131" i="4"/>
  <c r="K130" i="4"/>
  <c r="T123" i="4"/>
  <c r="J132" i="4"/>
  <c r="I123" i="4"/>
  <c r="AC125" i="4"/>
  <c r="E130" i="4"/>
  <c r="M134" i="4"/>
  <c r="AK131" i="4"/>
  <c r="AF126" i="4"/>
  <c r="AF124" i="4"/>
  <c r="AE122" i="4"/>
  <c r="I122" i="4"/>
  <c r="AF125" i="4"/>
  <c r="P134" i="4"/>
  <c r="Z135" i="4"/>
  <c r="R129" i="4"/>
  <c r="N135" i="4"/>
  <c r="G127" i="4"/>
  <c r="S135" i="4"/>
  <c r="U128" i="4"/>
  <c r="P135" i="4"/>
  <c r="Q126" i="4"/>
  <c r="O128" i="4"/>
  <c r="J131" i="4"/>
  <c r="AK125" i="4"/>
  <c r="M133" i="4"/>
  <c r="H134" i="4"/>
  <c r="AE127" i="4"/>
  <c r="L133" i="4"/>
  <c r="AG128" i="4"/>
  <c r="AA128" i="4"/>
  <c r="AB131" i="4"/>
  <c r="V131" i="4"/>
  <c r="AF135" i="4"/>
  <c r="J129" i="4"/>
  <c r="AF128" i="4"/>
  <c r="AI130" i="4"/>
  <c r="M132" i="4"/>
  <c r="AK132" i="4"/>
  <c r="AG135" i="4"/>
  <c r="Y124" i="4"/>
  <c r="U133" i="4"/>
  <c r="AI127" i="4"/>
  <c r="AG134" i="4"/>
  <c r="I127" i="4"/>
  <c r="O133" i="4"/>
  <c r="J124" i="4"/>
  <c r="U129" i="4"/>
  <c r="O124" i="4"/>
  <c r="AC131" i="4"/>
  <c r="X131" i="4"/>
  <c r="AL128" i="4"/>
  <c r="H131" i="4"/>
  <c r="F133" i="4"/>
  <c r="G122" i="4"/>
  <c r="S123" i="4"/>
  <c r="N126" i="4"/>
  <c r="K126" i="4"/>
  <c r="L135" i="4"/>
  <c r="R125" i="4"/>
  <c r="N128" i="4"/>
  <c r="S127" i="4"/>
  <c r="AC128" i="4"/>
  <c r="V125" i="4"/>
  <c r="AE125" i="4"/>
  <c r="M128" i="4"/>
  <c r="U126" i="4"/>
  <c r="H132" i="4"/>
  <c r="S129" i="4"/>
  <c r="F129" i="4"/>
  <c r="AC132" i="4"/>
  <c r="R128" i="4"/>
  <c r="Q135" i="4"/>
  <c r="T134" i="4"/>
  <c r="AA122" i="4"/>
  <c r="AE133" i="4"/>
  <c r="Z124" i="4"/>
  <c r="G133" i="4"/>
  <c r="AG131" i="4"/>
  <c r="Y133" i="4"/>
  <c r="AG129" i="4"/>
  <c r="H127" i="4"/>
  <c r="AK129" i="4"/>
  <c r="AD124" i="4"/>
  <c r="U131" i="4"/>
  <c r="AB124" i="4"/>
  <c r="L134" i="4"/>
  <c r="M127" i="4"/>
  <c r="AH127" i="4"/>
  <c r="AB127" i="4"/>
  <c r="AC130" i="4"/>
  <c r="W130" i="4"/>
  <c r="J133" i="4"/>
  <c r="K128" i="4"/>
  <c r="AA125" i="4"/>
  <c r="AK130" i="4"/>
  <c r="AF129" i="4"/>
  <c r="H123" i="4"/>
  <c r="Z134" i="4"/>
  <c r="Z123" i="4"/>
  <c r="N132" i="4"/>
  <c r="AA133" i="4"/>
  <c r="AB122" i="4"/>
  <c r="AJ135" i="4"/>
  <c r="AL123" i="4"/>
  <c r="K123" i="4"/>
  <c r="O134" i="4"/>
  <c r="AJ132" i="4"/>
  <c r="AB130" i="4"/>
  <c r="AF122" i="4"/>
  <c r="AC122" i="4"/>
  <c r="O123" i="4"/>
  <c r="R134" i="4"/>
  <c r="AK127" i="4"/>
  <c r="AE134" i="4"/>
  <c r="V126" i="4"/>
  <c r="AJ124" i="4"/>
  <c r="AH123" i="4"/>
  <c r="AL130" i="4"/>
  <c r="AH133" i="4"/>
  <c r="H122" i="4"/>
  <c r="R132" i="4"/>
  <c r="Z130" i="4"/>
  <c r="Z132" i="4"/>
  <c r="W132" i="4"/>
  <c r="AI131" i="4"/>
  <c r="AB125" i="4"/>
  <c r="K135" i="4"/>
  <c r="R130" i="4"/>
  <c r="AL131" i="4"/>
  <c r="E128" i="4"/>
  <c r="W133" i="4"/>
  <c r="P124" i="4"/>
  <c r="K129" i="4"/>
  <c r="R123" i="4"/>
  <c r="I130" i="4"/>
  <c r="AK134" i="4"/>
  <c r="O126" i="4"/>
  <c r="S124" i="4"/>
  <c r="AJ126" i="4"/>
  <c r="M123" i="4"/>
  <c r="AA127" i="4"/>
  <c r="AL135" i="4"/>
  <c r="AA126" i="4"/>
  <c r="AD129" i="4"/>
  <c r="K132" i="4"/>
  <c r="W129" i="4"/>
  <c r="F132" i="4"/>
  <c r="S122" i="4"/>
  <c r="S131" i="4"/>
  <c r="AE128" i="4"/>
  <c r="L122" i="4"/>
  <c r="AD134" i="4"/>
  <c r="AF127" i="4"/>
  <c r="AE126" i="4"/>
  <c r="Q129" i="4"/>
  <c r="N130" i="4"/>
  <c r="AF132" i="4"/>
  <c r="AF134" i="4"/>
  <c r="AC135" i="4"/>
  <c r="G129" i="4"/>
  <c r="S128" i="4"/>
  <c r="AF123" i="4"/>
  <c r="AA129" i="4"/>
  <c r="AB135" i="4"/>
  <c r="V128" i="4"/>
  <c r="E131" i="4"/>
  <c r="AE129" i="4"/>
  <c r="X133" i="4"/>
  <c r="R133" i="4"/>
  <c r="I135" i="4"/>
  <c r="F131" i="4"/>
  <c r="X132" i="4"/>
  <c r="T122" i="4"/>
  <c r="Q130" i="4"/>
  <c r="X128" i="4"/>
  <c r="AL129" i="4"/>
  <c r="T125" i="4"/>
  <c r="AD125" i="4"/>
  <c r="W128" i="4"/>
  <c r="Y128" i="4"/>
  <c r="L131" i="4"/>
  <c r="M126" i="4"/>
  <c r="U135" i="4"/>
  <c r="O129" i="4"/>
  <c r="E127" i="4"/>
  <c r="AD126" i="4"/>
  <c r="AG122" i="4"/>
  <c r="K124" i="4"/>
  <c r="L123" i="4"/>
  <c r="K131" i="4"/>
  <c r="K133" i="4"/>
  <c r="T128" i="4"/>
  <c r="F122" i="4"/>
  <c r="AH134" i="4"/>
  <c r="G131" i="4"/>
  <c r="Q124" i="4"/>
  <c r="AB126" i="4"/>
  <c r="AG132" i="4"/>
  <c r="Z128" i="4"/>
  <c r="R131" i="4"/>
  <c r="AH132" i="4"/>
  <c r="AI123" i="4"/>
  <c r="R122" i="4"/>
  <c r="AF131" i="4"/>
  <c r="X124" i="4"/>
  <c r="I134" i="4"/>
  <c r="K122" i="4"/>
  <c r="M129" i="4"/>
  <c r="J125" i="4"/>
  <c r="G132" i="4"/>
  <c r="P125" i="4"/>
  <c r="P126" i="4"/>
  <c r="K127" i="4"/>
  <c r="AH131" i="4"/>
  <c r="AL125" i="4"/>
  <c r="E134" i="4"/>
  <c r="J130" i="4"/>
  <c r="AJ129" i="4"/>
  <c r="O132" i="4"/>
  <c r="Q127" i="4"/>
  <c r="T135" i="4"/>
  <c r="AA124" i="4"/>
  <c r="AL126" i="4"/>
  <c r="AL133" i="4"/>
  <c r="X126" i="4"/>
  <c r="F127" i="4"/>
  <c r="T126" i="4"/>
  <c r="H130" i="4"/>
  <c r="AC126" i="4"/>
  <c r="X129" i="4"/>
  <c r="L127" i="4"/>
  <c r="Q134" i="4"/>
  <c r="AK128" i="4"/>
  <c r="G123" i="4"/>
  <c r="R124" i="4"/>
  <c r="E123" i="4"/>
  <c r="N133" i="4"/>
  <c r="AH124" i="4"/>
  <c r="O127" i="4"/>
  <c r="N127" i="4"/>
  <c r="AI129" i="4"/>
  <c r="AC124" i="4"/>
  <c r="T129" i="4"/>
  <c r="P133" i="4"/>
  <c r="S125" i="4"/>
  <c r="T132" i="4"/>
  <c r="V134" i="4"/>
  <c r="M135" i="4"/>
  <c r="Z126" i="4"/>
  <c r="Y132" i="4"/>
  <c r="S132" i="4"/>
  <c r="F135" i="4"/>
  <c r="G130" i="4"/>
  <c r="AI133" i="4"/>
  <c r="AE123" i="4"/>
  <c r="AG125" i="4"/>
  <c r="AF133" i="4"/>
  <c r="AE132" i="4"/>
  <c r="AI125" i="4"/>
  <c r="W124" i="4"/>
  <c r="P127" i="4"/>
  <c r="Z127" i="4"/>
  <c r="M130" i="4"/>
  <c r="N125" i="4"/>
  <c r="H125" i="4"/>
  <c r="U127" i="4"/>
  <c r="F126" i="4"/>
  <c r="AH125" i="4"/>
  <c r="AB128" i="4"/>
  <c r="V123" i="4"/>
  <c r="Y127" i="4"/>
  <c r="AB129" i="4"/>
  <c r="W125" i="4"/>
  <c r="AD133" i="4"/>
  <c r="AK133" i="4"/>
  <c r="J135" i="4"/>
  <c r="I124" i="4"/>
  <c r="AC129" i="4"/>
  <c r="M125" i="4"/>
  <c r="E133" i="4"/>
  <c r="W131" i="4"/>
  <c r="AG126" i="4"/>
  <c r="U122" i="4"/>
  <c r="U125" i="4"/>
  <c r="AI126" i="4"/>
  <c r="F134" i="4"/>
  <c r="P122" i="4"/>
  <c r="AK135" i="4"/>
  <c r="W135" i="4"/>
  <c r="AI134" i="4"/>
  <c r="Q125" i="4"/>
  <c r="U124" i="4"/>
  <c r="AJ130" i="4"/>
  <c r="N124" i="4"/>
  <c r="I129" i="4"/>
  <c r="S134" i="4"/>
  <c r="Y126" i="4"/>
  <c r="Y135" i="4"/>
  <c r="X134" i="4"/>
  <c r="F128" i="4"/>
  <c r="Q132" i="4"/>
  <c r="P128" i="4"/>
  <c r="K134" i="4"/>
  <c r="Q128" i="4"/>
  <c r="Z122" i="4"/>
  <c r="E132" i="4"/>
  <c r="AJ127" i="4"/>
  <c r="AC123" i="4"/>
  <c r="E129" i="4"/>
  <c r="F129" i="11"/>
  <c r="AA123" i="11"/>
  <c r="U128" i="11"/>
  <c r="H131" i="11"/>
  <c r="H124" i="11"/>
  <c r="AC130" i="11"/>
  <c r="AH129" i="11"/>
  <c r="G135" i="11"/>
  <c r="H135" i="11"/>
  <c r="AC134" i="11"/>
  <c r="Q125" i="11"/>
  <c r="G133" i="11"/>
  <c r="M131" i="11"/>
  <c r="Y123" i="11"/>
  <c r="X128" i="11"/>
  <c r="AC127" i="11"/>
  <c r="R126" i="11"/>
  <c r="Y131" i="11"/>
  <c r="F127" i="11"/>
  <c r="Y130" i="11"/>
  <c r="G131" i="11"/>
  <c r="AH134" i="11"/>
  <c r="AL125" i="11"/>
  <c r="Y132" i="11"/>
  <c r="E127" i="11"/>
  <c r="AD131" i="11"/>
  <c r="O135" i="11"/>
  <c r="E125" i="11"/>
  <c r="AL129" i="11"/>
  <c r="V122" i="11"/>
  <c r="I129" i="11"/>
  <c r="AH133" i="11"/>
  <c r="AD122" i="11"/>
  <c r="AF122" i="11"/>
  <c r="E124" i="11"/>
  <c r="U125" i="11"/>
  <c r="P132" i="11"/>
  <c r="AL122" i="11"/>
  <c r="Y129" i="11"/>
  <c r="M132" i="11"/>
  <c r="N128" i="11"/>
  <c r="I135" i="11"/>
  <c r="AE129" i="11"/>
  <c r="K124" i="11"/>
  <c r="L132" i="11"/>
  <c r="Q135" i="11"/>
  <c r="W122" i="11"/>
  <c r="K125" i="11"/>
  <c r="V125" i="11"/>
  <c r="AA124" i="11"/>
  <c r="G127" i="11"/>
  <c r="AD125" i="11"/>
  <c r="AI124" i="11"/>
  <c r="Q122" i="11"/>
  <c r="AF129" i="11"/>
  <c r="AJ131" i="11"/>
  <c r="AI134" i="11"/>
  <c r="AC125" i="11"/>
  <c r="R130" i="11"/>
  <c r="M130" i="11"/>
  <c r="K133" i="11"/>
  <c r="AI122" i="11"/>
  <c r="AD129" i="11"/>
  <c r="U134" i="11"/>
  <c r="AI128" i="11"/>
  <c r="V135" i="11"/>
  <c r="W135" i="11"/>
  <c r="AI126" i="11"/>
  <c r="AD133" i="11"/>
  <c r="R124" i="11"/>
  <c r="E131" i="11"/>
  <c r="I127" i="11"/>
  <c r="Z124" i="11"/>
  <c r="AB124" i="11"/>
  <c r="U124" i="11"/>
  <c r="Q127" i="11"/>
  <c r="L134" i="11"/>
  <c r="AD126" i="11"/>
  <c r="U131" i="11"/>
  <c r="Q134" i="11"/>
  <c r="F132" i="11"/>
  <c r="J123" i="11"/>
  <c r="AA131" i="11"/>
  <c r="G126" i="11"/>
  <c r="W127" i="11"/>
  <c r="N125" i="11"/>
  <c r="O126" i="11"/>
  <c r="AI129" i="11"/>
  <c r="N129" i="11"/>
  <c r="S128" i="11"/>
  <c r="AE131" i="11"/>
  <c r="V129" i="11"/>
  <c r="AA128" i="11"/>
  <c r="S130" i="11"/>
  <c r="S134" i="11"/>
  <c r="AC123" i="11"/>
  <c r="AF126" i="11"/>
  <c r="U135" i="11"/>
  <c r="R134" i="11"/>
  <c r="AG134" i="11"/>
  <c r="AF127" i="11"/>
  <c r="AE124" i="11"/>
  <c r="J124" i="11"/>
  <c r="E129" i="11"/>
  <c r="AE128" i="11"/>
  <c r="J128" i="11"/>
  <c r="AB122" i="11"/>
  <c r="X126" i="11"/>
  <c r="R122" i="11"/>
  <c r="I131" i="11"/>
  <c r="E122" i="11"/>
  <c r="Z128" i="11"/>
  <c r="M135" i="11"/>
  <c r="W123" i="11"/>
  <c r="AJ133" i="11"/>
  <c r="AF128" i="11"/>
  <c r="W133" i="11"/>
  <c r="AC131" i="11"/>
  <c r="E128" i="11"/>
  <c r="AB134" i="11"/>
  <c r="G130" i="11"/>
  <c r="H123" i="11"/>
  <c r="AC122" i="11"/>
  <c r="K132" i="11"/>
  <c r="P123" i="11"/>
  <c r="AK122" i="11"/>
  <c r="S132" i="11"/>
  <c r="AH135" i="11"/>
  <c r="Y126" i="11"/>
  <c r="T124" i="11"/>
  <c r="AA127" i="11"/>
  <c r="X132" i="11"/>
  <c r="R129" i="11"/>
  <c r="AC132" i="11"/>
  <c r="F126" i="11"/>
  <c r="AB129" i="11"/>
  <c r="AA133" i="11"/>
  <c r="Z131" i="11"/>
  <c r="AE130" i="11"/>
  <c r="AF123" i="11"/>
  <c r="Z135" i="11"/>
  <c r="AI132" i="11"/>
  <c r="N130" i="11"/>
  <c r="F128" i="11"/>
  <c r="X131" i="11"/>
  <c r="T133" i="11"/>
  <c r="AI133" i="11"/>
  <c r="W128" i="11"/>
  <c r="V133" i="11"/>
  <c r="AJ127" i="11"/>
  <c r="W134" i="11"/>
  <c r="L130" i="11"/>
  <c r="AB125" i="11"/>
  <c r="W132" i="11"/>
  <c r="S123" i="11"/>
  <c r="F130" i="11"/>
  <c r="X122" i="11"/>
  <c r="T126" i="11"/>
  <c r="J132" i="11"/>
  <c r="H134" i="11"/>
  <c r="N124" i="11"/>
  <c r="E133" i="11"/>
  <c r="AE125" i="11"/>
  <c r="V130" i="11"/>
  <c r="AJ124" i="11"/>
  <c r="AI125" i="11"/>
  <c r="AF135" i="11"/>
  <c r="AB130" i="11"/>
  <c r="L123" i="11"/>
  <c r="Y133" i="11"/>
  <c r="AH122" i="11"/>
  <c r="Q124" i="11"/>
  <c r="V123" i="11"/>
  <c r="AH126" i="11"/>
  <c r="U126" i="11"/>
  <c r="Z125" i="11"/>
  <c r="H127" i="11"/>
  <c r="AC126" i="11"/>
  <c r="Z129" i="11"/>
  <c r="X123" i="11"/>
  <c r="P122" i="11"/>
  <c r="K127" i="11"/>
  <c r="AJ129" i="11"/>
  <c r="I126" i="11"/>
  <c r="I128" i="11"/>
  <c r="Z134" i="11"/>
  <c r="F123" i="11"/>
  <c r="F134" i="11"/>
  <c r="P127" i="11"/>
  <c r="O132" i="11"/>
  <c r="G125" i="11"/>
  <c r="X133" i="11"/>
  <c r="L124" i="11"/>
  <c r="AC128" i="11"/>
  <c r="P131" i="11"/>
  <c r="T122" i="11"/>
  <c r="G129" i="11"/>
  <c r="AB135" i="11"/>
  <c r="P126" i="11"/>
  <c r="W125" i="11"/>
  <c r="U127" i="11"/>
  <c r="Q130" i="11"/>
  <c r="AF131" i="11"/>
  <c r="AF124" i="11"/>
  <c r="W129" i="11"/>
  <c r="G122" i="11"/>
  <c r="X130" i="11"/>
  <c r="Q126" i="11"/>
  <c r="Y127" i="11"/>
  <c r="M122" i="11"/>
  <c r="AD130" i="11"/>
  <c r="J125" i="11"/>
  <c r="J134" i="11"/>
  <c r="AA135" i="11"/>
  <c r="F131" i="11"/>
  <c r="O124" i="11"/>
  <c r="AB123" i="11"/>
  <c r="J133" i="11"/>
  <c r="W124" i="11"/>
  <c r="AJ123" i="11"/>
  <c r="K123" i="11"/>
  <c r="X127" i="11"/>
  <c r="AL135" i="11"/>
  <c r="N134" i="11"/>
  <c r="H125" i="11"/>
  <c r="N127" i="11"/>
  <c r="U130" i="11"/>
  <c r="Q123" i="11"/>
  <c r="J122" i="11"/>
  <c r="L129" i="11"/>
  <c r="AK126" i="11"/>
  <c r="AL127" i="11"/>
  <c r="L126" i="11"/>
  <c r="U123" i="11"/>
  <c r="S127" i="11"/>
  <c r="Y134" i="11"/>
  <c r="AB133" i="11"/>
  <c r="O133" i="11"/>
  <c r="AK123" i="11"/>
  <c r="T132" i="11"/>
  <c r="V124" i="11"/>
  <c r="U129" i="11"/>
  <c r="I124" i="11"/>
  <c r="Z132" i="11"/>
  <c r="X134" i="11"/>
  <c r="G124" i="11"/>
  <c r="P125" i="11"/>
  <c r="X124" i="11"/>
  <c r="G128" i="11"/>
  <c r="T127" i="11"/>
  <c r="AL133" i="11"/>
  <c r="O128" i="11"/>
  <c r="AB127" i="11"/>
  <c r="AC124" i="11"/>
  <c r="L122" i="11"/>
  <c r="T135" i="11"/>
  <c r="AG130" i="11"/>
  <c r="L133" i="11"/>
  <c r="AK130" i="11"/>
  <c r="H130" i="11"/>
  <c r="Q129" i="11"/>
  <c r="AB126" i="11"/>
  <c r="AK128" i="11"/>
  <c r="M123" i="11"/>
  <c r="H128" i="11"/>
  <c r="AL131" i="11"/>
  <c r="AE123" i="11"/>
  <c r="K135" i="11"/>
  <c r="P134" i="11"/>
  <c r="M133" i="11"/>
  <c r="E126" i="11"/>
  <c r="V134" i="11"/>
  <c r="P128" i="11"/>
  <c r="H129" i="11"/>
  <c r="T128" i="11"/>
  <c r="Y135" i="11"/>
  <c r="L131" i="11"/>
  <c r="AG122" i="11"/>
  <c r="AG135" i="11"/>
  <c r="T131" i="11"/>
  <c r="F125" i="11"/>
  <c r="I122" i="11"/>
  <c r="AJ125" i="11"/>
  <c r="AG126" i="11"/>
  <c r="T125" i="11"/>
  <c r="AA126" i="11"/>
  <c r="AH127" i="11"/>
  <c r="AG128" i="11"/>
  <c r="AB131" i="11"/>
  <c r="AA132" i="11"/>
  <c r="Z133" i="11"/>
  <c r="AK132" i="11"/>
  <c r="T129" i="11"/>
  <c r="AA130" i="11"/>
  <c r="AH131" i="11"/>
  <c r="AG132" i="11"/>
  <c r="AF133" i="11"/>
  <c r="AE134" i="11"/>
  <c r="AD135" i="11"/>
  <c r="K131" i="11"/>
  <c r="Y125" i="11"/>
  <c r="P130" i="11"/>
  <c r="M124" i="11"/>
  <c r="X135" i="11"/>
  <c r="AJ122" i="11"/>
  <c r="AI123" i="11"/>
  <c r="AH124" i="11"/>
  <c r="AG125" i="11"/>
  <c r="AB128" i="11"/>
  <c r="AA125" i="11"/>
  <c r="J130" i="11"/>
  <c r="Q131" i="11"/>
  <c r="T134" i="11"/>
  <c r="S135" i="11"/>
  <c r="O122" i="11"/>
  <c r="N123" i="11"/>
  <c r="AK134" i="11"/>
  <c r="M128" i="11"/>
  <c r="K122" i="11"/>
  <c r="R123" i="11"/>
  <c r="M126" i="11"/>
  <c r="L127" i="11"/>
  <c r="K128" i="11"/>
  <c r="J129" i="11"/>
  <c r="G123" i="11"/>
  <c r="AL124" i="11"/>
  <c r="K126" i="11"/>
  <c r="R127" i="11"/>
  <c r="Q128" i="11"/>
  <c r="P129" i="11"/>
  <c r="O130" i="11"/>
  <c r="N131" i="11"/>
  <c r="AK124" i="11"/>
  <c r="L125" i="11"/>
  <c r="S126" i="11"/>
  <c r="Z127" i="11"/>
  <c r="Y128" i="11"/>
  <c r="X129" i="11"/>
  <c r="W130" i="11"/>
  <c r="V131" i="11"/>
  <c r="R133" i="11"/>
  <c r="AJ128" i="11"/>
  <c r="I134" i="11"/>
  <c r="AD124" i="11"/>
  <c r="AK125" i="11"/>
  <c r="J127" i="11"/>
  <c r="E130" i="11"/>
  <c r="AL130" i="11"/>
  <c r="AK131" i="11"/>
  <c r="AJ132" i="11"/>
  <c r="O127" i="11"/>
  <c r="AD128" i="11"/>
  <c r="AK129" i="11"/>
  <c r="J131" i="11"/>
  <c r="I132" i="11"/>
  <c r="H133" i="11"/>
  <c r="G134" i="11"/>
  <c r="F135" i="11"/>
  <c r="K129" i="11"/>
  <c r="AL128" i="11"/>
  <c r="K130" i="11"/>
  <c r="R131" i="11"/>
  <c r="Q132" i="11"/>
  <c r="P133" i="11"/>
  <c r="O134" i="11"/>
  <c r="N135" i="11"/>
  <c r="AL126" i="11"/>
  <c r="AK127" i="11"/>
  <c r="AF130" i="11"/>
  <c r="O123" i="11"/>
  <c r="Z126" i="11"/>
  <c r="AG127" i="11"/>
  <c r="AJ130" i="11"/>
  <c r="AI131" i="11"/>
  <c r="AH132" i="11"/>
  <c r="AG133" i="11"/>
  <c r="AF134" i="11"/>
  <c r="S129" i="11"/>
  <c r="Z130" i="11"/>
  <c r="AG131" i="11"/>
  <c r="F133" i="11"/>
  <c r="E134" i="11"/>
  <c r="AL134" i="11"/>
  <c r="AK135" i="11"/>
  <c r="P135" i="11"/>
  <c r="O131" i="11"/>
  <c r="AH130" i="11"/>
  <c r="G132" i="11"/>
  <c r="N133" i="11"/>
  <c r="M134" i="11"/>
  <c r="L135" i="11"/>
  <c r="H122" i="11"/>
  <c r="F124" i="11"/>
  <c r="Y122" i="11"/>
  <c r="AA134" i="11"/>
  <c r="S133" i="11"/>
  <c r="AL132" i="11"/>
  <c r="K134" i="11"/>
  <c r="R135" i="11"/>
  <c r="N122" i="11"/>
  <c r="I125" i="11"/>
  <c r="H126" i="11"/>
  <c r="R128" i="11"/>
  <c r="AE135" i="11"/>
  <c r="I123" i="11"/>
  <c r="P124" i="11"/>
  <c r="O125" i="11"/>
  <c r="N126" i="11"/>
  <c r="M127" i="11"/>
  <c r="L128" i="11"/>
  <c r="H132" i="11"/>
  <c r="V126" i="11"/>
  <c r="E135" i="11"/>
  <c r="U132" i="11"/>
  <c r="J126" i="11"/>
  <c r="M129" i="11"/>
  <c r="T130" i="11"/>
  <c r="S131" i="11"/>
  <c r="R132" i="11"/>
  <c r="Q133" i="11"/>
  <c r="I133" i="11"/>
  <c r="Z122" i="11"/>
  <c r="AG123" i="11"/>
  <c r="AJ126" i="11"/>
  <c r="AI127" i="11"/>
  <c r="AH128" i="11"/>
  <c r="AG129" i="11"/>
  <c r="AB132" i="11"/>
  <c r="S125" i="11"/>
  <c r="V128" i="11"/>
  <c r="AC129" i="11"/>
  <c r="AF132" i="11"/>
  <c r="AE133" i="11"/>
  <c r="AD134" i="11"/>
  <c r="AC135" i="11"/>
  <c r="M125" i="11"/>
  <c r="AA129" i="11"/>
  <c r="V132" i="11"/>
  <c r="AC133" i="11"/>
  <c r="AJ134" i="11"/>
  <c r="AI135" i="11"/>
  <c r="AE122" i="11"/>
  <c r="AD123" i="11"/>
  <c r="AE132" i="11"/>
  <c r="W131" i="11"/>
  <c r="AD132" i="11"/>
  <c r="AK133" i="11"/>
  <c r="J135" i="11"/>
  <c r="F122" i="11"/>
  <c r="E123" i="11"/>
  <c r="AL123" i="11"/>
  <c r="AH125" i="11"/>
  <c r="AI130" i="11"/>
  <c r="AE127" i="11"/>
  <c r="N132" i="11"/>
  <c r="U133" i="11"/>
  <c r="U122" i="11"/>
  <c r="T123" i="11"/>
  <c r="S124" i="11"/>
  <c r="R125" i="11"/>
  <c r="O129" i="11"/>
  <c r="I130" i="11"/>
  <c r="S122" i="11"/>
  <c r="Z123" i="11"/>
  <c r="Y124" i="11"/>
  <c r="X125" i="11"/>
  <c r="W126" i="11"/>
  <c r="V127" i="11"/>
  <c r="AJ135" i="11"/>
  <c r="E132" i="11"/>
  <c r="AA122" i="11"/>
  <c r="AH123" i="11"/>
  <c r="AG124" i="11"/>
  <c r="AF125" i="11"/>
  <c r="AE12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<sst xmlns="http://schemas.openxmlformats.org/spreadsheetml/2006/main" count="330" uniqueCount="94">
  <si>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</si>
  <si>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</si>
  <si>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</si>
  <si>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</si>
  <si>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</si>
  <si>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</si>
  <si>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</si>
  <si>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</si>
  <si>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</si>
  <si>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</si>
  <si>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</si>
  <si>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</si>
  <si>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</si>
  <si>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</si>
  <si>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</si>
  <si>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</si>
  <si>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</si>
  <si>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</si>
  <si>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</si>
  <si>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</si>
  <si>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</si>
  <si>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</si>
  <si>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</si>
  <si>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</si>
  <si>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</si>
  <si>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</si>
  <si>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</si>
  <si>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</si>
  <si>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</si>
  <si>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</si>
  <si>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</si>
  <si>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</si>
  <si>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</si>
  <si>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</si>
  <si>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</si>
  <si>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</si>
  <si>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</si>
  <si>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</si>
  <si>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</si>
  <si>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t>Темп1 Графики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</si>
  <si>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</si>
  <si>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*GeSe</t>
  </si>
  <si>
    <t>*Se[m]</t>
  </si>
  <si>
    <r>
      <t>Temperature,</t>
    </r>
    <r>
      <rPr>
        <sz val="8"/>
        <rFont val="Arial"/>
        <family val="2"/>
        <charset val="204"/>
      </rPr>
      <t>К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</si>
  <si>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</si>
  <si>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</si>
  <si>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jXAr)</t>
  </si>
  <si>
    <t>p(Ga)</t>
  </si>
  <si>
    <t>p(Ge)</t>
  </si>
  <si>
    <t>p(Se)</t>
  </si>
  <si>
    <t>Vapor</t>
  </si>
  <si>
    <t>Convergence</t>
  </si>
  <si>
    <t>0,00006+00</t>
  </si>
  <si>
    <t>*Ga[1]</t>
  </si>
  <si>
    <t>(1)GeSe2</t>
  </si>
  <si>
    <t>(1)Ga2Se3</t>
  </si>
  <si>
    <t>(1)Ga2Se</t>
  </si>
  <si>
    <t>(1)Ge</t>
  </si>
  <si>
    <t>(1)Ga</t>
  </si>
  <si>
    <t>(1)Se</t>
  </si>
  <si>
    <t>(1)Se[a]</t>
  </si>
  <si>
    <t>(1)Se[m]</t>
  </si>
  <si>
    <t>(1)Se[r]</t>
  </si>
  <si>
    <t>(1)Geic]</t>
  </si>
  <si>
    <t>(3)Ga[1]</t>
  </si>
  <si>
    <t>(3)Ge[1]</t>
  </si>
  <si>
    <t>So1ution #1</t>
  </si>
  <si>
    <t>So1ution #2</t>
  </si>
  <si>
    <t>So1ution #3</t>
  </si>
  <si>
    <t>Temperature,К</t>
  </si>
  <si>
    <t>Ga2Se3</t>
  </si>
  <si>
    <t>Ga2Se</t>
  </si>
  <si>
    <t>P1+P2 + газ без Ar</t>
  </si>
  <si>
    <r>
      <t>*GeSe</t>
    </r>
    <r>
      <rPr>
        <vertAlign val="subscript"/>
        <sz val="8"/>
        <rFont val="Arial"/>
        <family val="2"/>
        <charset val="204"/>
      </rPr>
      <t>2</t>
    </r>
  </si>
  <si>
    <t>(1)GeSe</t>
  </si>
  <si>
    <t>*GeSe2</t>
  </si>
  <si>
    <t>*Ge[c]</t>
  </si>
  <si>
    <t>*Ge</t>
  </si>
  <si>
    <t>(l)Ga[l]</t>
  </si>
  <si>
    <t>(l)Ge[l]</t>
  </si>
  <si>
    <t>(l)Se[l]</t>
  </si>
  <si>
    <t>Se4</t>
  </si>
  <si>
    <t>*Se[l]</t>
  </si>
  <si>
    <t>Se3</t>
  </si>
  <si>
    <t>Se5</t>
  </si>
  <si>
    <t>Se6</t>
  </si>
  <si>
    <t>Se8</t>
  </si>
  <si>
    <t>Se2</t>
  </si>
  <si>
    <t>Se7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</si>
  <si>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</si>
  <si>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*Ge[1]</t>
  </si>
  <si>
    <t>(1)Ga[1]</t>
  </si>
  <si>
    <t>(1)Ge[1]</t>
  </si>
  <si>
    <t>*Ga2Se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</si>
</sst>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  <font>
      <sz val="6.5"/>
      <name val="Arial"/>
      <family val="2"/>
      <charset val="204"/>
    </font>
    <font>
      <b/>
      <sz val="6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5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200">
    <xf numFmtId="0" fontId="0" fillId="0" borderId="0" xfId="0"/>
    <xf numFmtId="0" fontId="8" fillId="7" borderId="33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5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17" xfId="5" applyBorder="1">
      <alignment horizontal="center" vertical="center"/>
    </xf>
    <xf numFmtId="0" fontId="2" fillId="4" borderId="19" xfId="5" applyBorder="1">
      <alignment horizontal="center" vertical="center"/>
    </xf>
    <xf numFmtId="0" fontId="2" fillId="4" borderId="8" xfId="5" applyBorder="1">
      <alignment horizontal="center" vertical="center"/>
    </xf>
    <xf numFmtId="0" fontId="2" fillId="4" borderId="21" xfId="5" applyBorder="1">
      <alignment horizontal="center" vertical="center"/>
    </xf>
    <xf numFmtId="0" fontId="2" fillId="4" borderId="22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4" xfId="0" applyBorder="1"/>
    <xf numFmtId="0" fontId="0" fillId="0" borderId="0" xfId="0" applyBorder="1"/>
    <xf numFmtId="0" fontId="0" fillId="0" borderId="25" xfId="0" applyBorder="1"/>
    <xf numFmtId="0" fontId="0" fillId="0" borderId="13" xfId="0" applyBorder="1"/>
    <xf numFmtId="0" fontId="0" fillId="0" borderId="26" xfId="0" applyBorder="1"/>
    <xf numFmtId="0" fontId="0" fillId="0" borderId="27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164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65" fontId="10" fillId="0" borderId="0" xfId="7"/>
    <xf numFmtId="1" fontId="2" fillId="4" borderId="18" xfId="5" applyNumberFormat="1" applyBorder="1">
      <alignment horizontal="center" vertical="center"/>
    </xf>
    <xf numFmtId="1" fontId="2" fillId="4" borderId="20" xfId="5" applyNumberFormat="1" applyBorder="1">
      <alignment horizontal="center" vertical="center"/>
    </xf>
    <xf numFmtId="11" fontId="12" fillId="10" borderId="0" xfId="4" applyNumberFormat="1">
      <alignment vertical="top"/>
    </xf>
    <xf numFmtId="1" fontId="22" fillId="4" borderId="18" xfId="5" applyNumberFormat="1" applyFont="1" applyBorder="1">
      <alignment horizontal="center" vertical="center"/>
    </xf>
    <xf numFmtId="1" fontId="22" fillId="4" borderId="20" xfId="5" applyNumberFormat="1" applyFont="1" applyBorder="1">
      <alignment horizontal="center" vertical="center"/>
    </xf>
    <xf numFmtId="0" fontId="0" fillId="0" borderId="0" xfId="0"/>
    <xf numFmtId="1" fontId="0" fillId="0" borderId="27" xfId="0" applyNumberFormat="1" applyBorder="1"/>
    <xf numFmtId="0" fontId="8" fillId="7" borderId="4" xfId="2" applyNumberFormat="1" applyBorder="1">
      <alignment horizontal="left" vertical="center"/>
    </xf>
    <xf numFmtId="0" fontId="8" fillId="7" borderId="31" xfId="2" applyNumberFormat="1" applyBorder="1">
      <alignment horizontal="left" vertical="center"/>
    </xf>
    <xf numFmtId="1" fontId="8" fillId="7" borderId="31" xfId="2" applyBorder="1">
      <alignment horizontal="left" vertical="center"/>
    </xf>
    <xf numFmtId="0" fontId="8" fillId="7" borderId="32" xfId="2" applyNumberFormat="1" applyBorder="1">
      <alignment horizontal="left" vertical="center"/>
    </xf>
    <xf numFmtId="0" fontId="8" fillId="7" borderId="2" xfId="2" applyNumberFormat="1" applyBorder="1">
      <alignment horizontal="left" vertical="center"/>
    </xf>
    <xf numFmtId="1" fontId="8" fillId="7" borderId="32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30" xfId="0" applyBorder="1"/>
    <xf numFmtId="1" fontId="8" fillId="7" borderId="33" xfId="2" applyBorder="1">
      <alignment horizontal="left" vertical="center"/>
    </xf>
    <xf numFmtId="1" fontId="24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5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4" xfId="0" applyFont="1" applyFill="1" applyBorder="1"/>
    <xf numFmtId="0" fontId="6" fillId="9" borderId="0" xfId="0" applyFont="1" applyFill="1" applyBorder="1"/>
    <xf numFmtId="0" fontId="6" fillId="9" borderId="30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23" xfId="0" applyFill="1" applyBorder="1"/>
    <xf numFmtId="1" fontId="12" fillId="9" borderId="0" xfId="4" applyNumberFormat="1" applyFill="1">
      <alignment vertical="top"/>
    </xf>
    <xf numFmtId="166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28" xfId="0" applyNumberFormat="1" applyFont="1" applyFill="1" applyBorder="1" applyAlignment="1" applyProtection="1">
      <alignment horizontal="center"/>
    </xf>
    <xf numFmtId="0" fontId="13" fillId="0" borderId="34" xfId="0" applyNumberFormat="1" applyFont="1" applyFill="1" applyBorder="1" applyAlignment="1" applyProtection="1">
      <alignment horizontal="left"/>
    </xf>
    <xf numFmtId="0" fontId="13" fillId="0" borderId="34" xfId="0" applyNumberFormat="1" applyFont="1" applyFill="1" applyBorder="1" applyAlignment="1" applyProtection="1">
      <alignment horizontal="justify"/>
    </xf>
    <xf numFmtId="0" fontId="13" fillId="0" borderId="34" xfId="0" applyNumberFormat="1" applyFont="1" applyFill="1" applyBorder="1" applyAlignment="1" applyProtection="1">
      <alignment horizontal="right"/>
    </xf>
    <xf numFmtId="0" fontId="13" fillId="0" borderId="28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left" vertical="top"/>
    </xf>
    <xf numFmtId="0" fontId="13" fillId="0" borderId="34" xfId="0" applyNumberFormat="1" applyFont="1" applyFill="1" applyBorder="1" applyAlignment="1" applyProtection="1">
      <alignment horizontal="center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11" fontId="13" fillId="0" borderId="28" xfId="0" applyNumberFormat="1" applyFont="1" applyFill="1" applyBorder="1" applyAlignment="1" applyProtection="1">
      <alignment horizontal="justify" vertical="top"/>
    </xf>
    <xf numFmtId="11" fontId="13" fillId="0" borderId="28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 vertical="top"/>
    </xf>
    <xf numFmtId="11" fontId="13" fillId="0" borderId="34" xfId="0" applyNumberFormat="1" applyFont="1" applyFill="1" applyBorder="1" applyAlignment="1" applyProtection="1">
      <alignment horizontal="center" vertical="top"/>
    </xf>
    <xf numFmtId="11" fontId="13" fillId="0" borderId="34" xfId="0" applyNumberFormat="1" applyFont="1" applyFill="1" applyBorder="1" applyAlignment="1" applyProtection="1">
      <alignment horizontal="justify"/>
    </xf>
    <xf numFmtId="11" fontId="13" fillId="0" borderId="34" xfId="0" applyNumberFormat="1" applyFont="1" applyFill="1" applyBorder="1" applyAlignment="1" applyProtection="1">
      <alignment horizontal="center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9" fillId="6" borderId="35" xfId="3" applyBorder="1" applyAlignment="1">
      <alignment horizontal="right" vertical="center"/>
    </xf>
    <xf numFmtId="11" fontId="0" fillId="0" borderId="0" xfId="0" applyNumberFormat="1"/>
    <xf numFmtId="11" fontId="13" fillId="0" borderId="28" xfId="0" applyNumberFormat="1" applyFont="1" applyFill="1" applyBorder="1" applyAlignment="1" applyProtection="1">
      <alignment horizontal="justify"/>
    </xf>
    <xf numFmtId="11" fontId="13" fillId="0" borderId="28" xfId="0" applyNumberFormat="1" applyFont="1" applyFill="1" applyBorder="1" applyAlignment="1" applyProtection="1">
      <alignment horizontal="center"/>
    </xf>
    <xf numFmtId="0" fontId="28" fillId="0" borderId="0" xfId="8" applyNumberFormat="1" applyFont="1" applyFill="1" applyBorder="1" applyAlignment="1" applyProtection="1">
      <alignment vertical="top"/>
    </xf>
    <xf numFmtId="0" fontId="23" fillId="0" borderId="0" xfId="8" applyNumberFormat="1" applyFont="1" applyFill="1" applyBorder="1" applyAlignment="1" applyProtection="1">
      <alignment vertical="top"/>
    </xf>
    <xf numFmtId="0" fontId="13" fillId="0" borderId="0" xfId="8" applyNumberFormat="1" applyFont="1" applyFill="1" applyBorder="1" applyAlignment="1" applyProtection="1">
      <alignment vertical="top"/>
    </xf>
    <xf numFmtId="0" fontId="23" fillId="0" borderId="36" xfId="8" applyNumberFormat="1" applyFont="1" applyFill="1" applyBorder="1" applyAlignment="1" applyProtection="1">
      <alignment horizontal="left" vertical="top"/>
    </xf>
    <xf numFmtId="0" fontId="29" fillId="0" borderId="37" xfId="8" applyNumberFormat="1" applyFont="1" applyFill="1" applyBorder="1" applyAlignment="1" applyProtection="1">
      <alignment horizontal="justify"/>
    </xf>
    <xf numFmtId="0" fontId="23" fillId="0" borderId="30" xfId="8" applyNumberFormat="1" applyFont="1" applyFill="1" applyBorder="1" applyAlignment="1" applyProtection="1">
      <alignment horizontal="left" vertical="top"/>
    </xf>
    <xf numFmtId="0" fontId="13" fillId="0" borderId="37" xfId="8" applyNumberFormat="1" applyFont="1" applyFill="1" applyBorder="1" applyAlignment="1" applyProtection="1">
      <alignment horizontal="left" vertical="top"/>
    </xf>
    <xf numFmtId="0" fontId="23" fillId="0" borderId="38" xfId="8" applyNumberFormat="1" applyFont="1" applyFill="1" applyBorder="1" applyAlignment="1" applyProtection="1">
      <alignment horizontal="left" vertical="top"/>
    </xf>
    <xf numFmtId="0" fontId="13" fillId="0" borderId="28" xfId="8" applyNumberFormat="1" applyFont="1" applyFill="1" applyBorder="1" applyAlignment="1" applyProtection="1">
      <alignment horizontal="left" wrapText="1"/>
    </xf>
    <xf numFmtId="0" fontId="13" fillId="0" borderId="28" xfId="8" applyNumberFormat="1" applyFont="1" applyFill="1" applyBorder="1" applyAlignment="1" applyProtection="1">
      <alignment horizontal="justify" wrapText="1"/>
    </xf>
    <xf numFmtId="0" fontId="13" fillId="0" borderId="28" xfId="8" applyNumberFormat="1" applyFont="1" applyFill="1" applyBorder="1" applyAlignment="1" applyProtection="1">
      <alignment horizontal="center" wrapText="1"/>
    </xf>
    <xf numFmtId="0" fontId="13" fillId="0" borderId="37" xfId="8" applyNumberFormat="1" applyFont="1" applyFill="1" applyBorder="1" applyAlignment="1" applyProtection="1">
      <alignment horizontal="left" wrapText="1"/>
    </xf>
    <xf numFmtId="0" fontId="13" fillId="0" borderId="30" xfId="8" applyNumberFormat="1" applyFont="1" applyFill="1" applyBorder="1" applyAlignment="1" applyProtection="1">
      <alignment horizontal="justify" vertical="top"/>
    </xf>
    <xf numFmtId="0" fontId="13" fillId="0" borderId="34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justify" vertical="top"/>
    </xf>
    <xf numFmtId="0" fontId="13" fillId="0" borderId="34" xfId="8" applyNumberFormat="1" applyFont="1" applyFill="1" applyBorder="1" applyAlignment="1" applyProtection="1">
      <alignment horizontal="center" vertical="top"/>
    </xf>
    <xf numFmtId="0" fontId="13" fillId="0" borderId="34" xfId="8" applyNumberFormat="1" applyFont="1" applyFill="1" applyBorder="1" applyAlignment="1" applyProtection="1">
      <alignment horizontal="left" vertical="top" wrapText="1"/>
    </xf>
    <xf numFmtId="0" fontId="13" fillId="0" borderId="34" xfId="8" applyNumberFormat="1" applyFont="1" applyFill="1" applyBorder="1" applyAlignment="1" applyProtection="1">
      <alignment horizontal="justify" vertical="top" wrapText="1"/>
    </xf>
    <xf numFmtId="0" fontId="13" fillId="0" borderId="34" xfId="8" applyNumberFormat="1" applyFont="1" applyFill="1" applyBorder="1" applyAlignment="1" applyProtection="1">
      <alignment horizontal="center" vertical="top" wrapText="1"/>
    </xf>
    <xf numFmtId="0" fontId="13" fillId="0" borderId="37" xfId="8" applyNumberFormat="1" applyFont="1" applyFill="1" applyBorder="1" applyAlignment="1" applyProtection="1">
      <alignment horizontal="left"/>
    </xf>
    <xf numFmtId="0" fontId="13" fillId="0" borderId="30" xfId="8" applyNumberFormat="1" applyFont="1" applyFill="1" applyBorder="1" applyAlignment="1" applyProtection="1">
      <alignment horizontal="justify"/>
    </xf>
    <xf numFmtId="0" fontId="13" fillId="0" borderId="37" xfId="8" applyNumberFormat="1" applyFont="1" applyFill="1" applyBorder="1" applyAlignment="1" applyProtection="1">
      <alignment horizontal="justify"/>
    </xf>
    <xf numFmtId="0" fontId="13" fillId="0" borderId="30" xfId="8" applyNumberFormat="1" applyFont="1" applyFill="1" applyBorder="1" applyAlignment="1" applyProtection="1">
      <alignment horizontal="left"/>
    </xf>
    <xf numFmtId="0" fontId="13" fillId="0" borderId="10" xfId="8" applyNumberFormat="1" applyFont="1" applyFill="1" applyBorder="1" applyAlignment="1" applyProtection="1">
      <alignment horizontal="left" vertical="center"/>
    </xf>
    <xf numFmtId="0" fontId="13" fillId="0" borderId="30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justify"/>
    </xf>
    <xf numFmtId="0" fontId="13" fillId="0" borderId="34" xfId="8" applyNumberFormat="1" applyFont="1" applyFill="1" applyBorder="1" applyAlignment="1" applyProtection="1">
      <alignment horizontal="center"/>
    </xf>
    <xf numFmtId="0" fontId="23" fillId="0" borderId="28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left"/>
    </xf>
    <xf numFmtId="0" fontId="23" fillId="0" borderId="34" xfId="8" applyNumberFormat="1" applyFont="1" applyFill="1" applyBorder="1" applyAlignment="1" applyProtection="1">
      <alignment horizontal="left" vertical="top"/>
    </xf>
    <xf numFmtId="0" fontId="13" fillId="0" borderId="10" xfId="8" applyNumberFormat="1" applyFont="1" applyFill="1" applyBorder="1" applyAlignment="1" applyProtection="1">
      <alignment horizontal="left" vertical="top" wrapText="1"/>
    </xf>
    <xf numFmtId="0" fontId="13" fillId="0" borderId="10" xfId="8" applyNumberFormat="1" applyFont="1" applyFill="1" applyBorder="1" applyAlignment="1" applyProtection="1">
      <alignment horizontal="justify" vertical="top" wrapText="1"/>
    </xf>
    <xf numFmtId="0" fontId="13" fillId="0" borderId="10" xfId="8" applyNumberFormat="1" applyFont="1" applyFill="1" applyBorder="1" applyAlignment="1" applyProtection="1">
      <alignment horizontal="center" vertical="top" wrapText="1"/>
    </xf>
    <xf numFmtId="0" fontId="13" fillId="0" borderId="10" xfId="8" applyNumberFormat="1" applyFont="1" applyFill="1" applyBorder="1" applyAlignment="1" applyProtection="1">
      <alignment horizontal="justify" vertical="center"/>
    </xf>
    <xf numFmtId="0" fontId="13" fillId="0" borderId="28" xfId="8" applyNumberFormat="1" applyFont="1" applyFill="1" applyBorder="1" applyAlignment="1" applyProtection="1">
      <alignment vertical="center" wrapText="1"/>
    </xf>
    <xf numFmtId="0" fontId="13" fillId="0" borderId="34" xfId="8" applyNumberFormat="1" applyFont="1" applyFill="1" applyBorder="1" applyAlignment="1" applyProtection="1">
      <alignment vertical="center" wrapText="1"/>
    </xf>
    <xf numFmtId="0" fontId="13" fillId="0" borderId="10" xfId="8" applyNumberFormat="1" applyFont="1" applyFill="1" applyBorder="1" applyAlignment="1" applyProtection="1">
      <alignment vertical="center" wrapText="1"/>
    </xf>
    <xf numFmtId="0" fontId="23" fillId="0" borderId="37" xfId="8" applyNumberFormat="1" applyFont="1" applyFill="1" applyBorder="1" applyAlignment="1" applyProtection="1">
      <alignment vertical="top"/>
    </xf>
    <xf numFmtId="0" fontId="13" fillId="0" borderId="28" xfId="8" applyNumberFormat="1" applyFont="1" applyFill="1" applyBorder="1" applyAlignment="1" applyProtection="1">
      <alignment vertical="top"/>
    </xf>
    <xf numFmtId="0" fontId="13" fillId="0" borderId="34" xfId="8" applyNumberFormat="1" applyFont="1" applyFill="1" applyBorder="1" applyAlignment="1" applyProtection="1">
      <alignment vertical="top"/>
    </xf>
    <xf numFmtId="0" fontId="23" fillId="0" borderId="38" xfId="8" applyNumberFormat="1" applyFont="1" applyFill="1" applyBorder="1" applyAlignment="1" applyProtection="1">
      <alignment vertical="top"/>
    </xf>
    <xf numFmtId="0" fontId="29" fillId="0" borderId="37" xfId="8" applyNumberFormat="1" applyFont="1" applyFill="1" applyBorder="1" applyAlignment="1" applyProtection="1">
      <alignment horizontal="left" vertical="top"/>
    </xf>
    <xf numFmtId="0" fontId="13" fillId="0" borderId="37" xfId="8" applyNumberFormat="1" applyFont="1" applyFill="1" applyBorder="1" applyAlignment="1" applyProtection="1">
      <alignment horizontal="justify" vertical="top"/>
    </xf>
    <xf numFmtId="0" fontId="23" fillId="0" borderId="10" xfId="8" applyNumberFormat="1" applyFont="1" applyFill="1" applyBorder="1" applyAlignment="1" applyProtection="1">
      <alignment horizontal="left" vertical="top"/>
    </xf>
    <xf numFmtId="11" fontId="13" fillId="0" borderId="0" xfId="9" applyNumberFormat="1" applyFont="1" applyFill="1" applyBorder="1" applyAlignment="1" applyProtection="1">
      <alignment vertical="top"/>
    </xf>
    <xf numFmtId="11" fontId="23" fillId="0" borderId="0" xfId="9" applyNumberFormat="1" applyFont="1" applyFill="1" applyBorder="1" applyAlignment="1" applyProtection="1">
      <alignment vertical="top"/>
    </xf>
    <xf numFmtId="0" fontId="13" fillId="0" borderId="30" xfId="10" applyNumberFormat="1" applyFont="1" applyFill="1" applyBorder="1" applyAlignment="1" applyProtection="1">
      <alignment horizontal="left" vertical="top"/>
    </xf>
    <xf numFmtId="0" fontId="13" fillId="0" borderId="34" xfId="10" applyNumberFormat="1" applyFont="1" applyFill="1" applyBorder="1" applyAlignment="1" applyProtection="1">
      <alignment horizontal="justify" vertical="top"/>
    </xf>
    <xf numFmtId="0" fontId="13" fillId="0" borderId="38" xfId="10" applyNumberFormat="1" applyFont="1" applyFill="1" applyBorder="1" applyAlignment="1" applyProtection="1">
      <alignment horizontal="left" vertical="top"/>
    </xf>
    <xf numFmtId="0" fontId="13" fillId="0" borderId="36" xfId="10" applyNumberFormat="1" applyFont="1" applyFill="1" applyBorder="1" applyAlignment="1" applyProtection="1">
      <alignment horizontal="left"/>
    </xf>
    <xf numFmtId="0" fontId="13" fillId="0" borderId="30" xfId="10" applyNumberFormat="1" applyFont="1" applyFill="1" applyBorder="1" applyAlignment="1" applyProtection="1">
      <alignment horizontal="left"/>
    </xf>
    <xf numFmtId="0" fontId="13" fillId="0" borderId="34" xfId="10" applyNumberFormat="1" applyFont="1" applyFill="1" applyBorder="1" applyAlignment="1" applyProtection="1">
      <alignment horizontal="justify"/>
    </xf>
    <xf numFmtId="0" fontId="13" fillId="0" borderId="34" xfId="10" applyNumberFormat="1" applyFont="1" applyFill="1" applyBorder="1" applyAlignment="1" applyProtection="1">
      <alignment horizontal="right"/>
    </xf>
    <xf numFmtId="11" fontId="13" fillId="0" borderId="28" xfId="10" applyNumberFormat="1" applyFont="1" applyFill="1" applyBorder="1" applyAlignment="1" applyProtection="1">
      <alignment horizontal="justify"/>
    </xf>
    <xf numFmtId="11" fontId="13" fillId="0" borderId="28" xfId="10" applyNumberFormat="1" applyFont="1" applyFill="1" applyBorder="1" applyAlignment="1" applyProtection="1">
      <alignment horizontal="center"/>
    </xf>
    <xf numFmtId="11" fontId="13" fillId="0" borderId="34" xfId="10" applyNumberFormat="1" applyFont="1" applyFill="1" applyBorder="1" applyAlignment="1" applyProtection="1">
      <alignment horizontal="justify"/>
    </xf>
    <xf numFmtId="11" fontId="13" fillId="0" borderId="34" xfId="10" applyNumberFormat="1" applyFont="1" applyFill="1" applyBorder="1" applyAlignment="1" applyProtection="1">
      <alignment horizontal="center"/>
    </xf>
    <xf numFmtId="11" fontId="13" fillId="0" borderId="34" xfId="10" applyNumberFormat="1" applyFont="1" applyFill="1" applyBorder="1" applyAlignment="1" applyProtection="1">
      <alignment horizontal="center" vertical="top"/>
    </xf>
    <xf numFmtId="11" fontId="13" fillId="0" borderId="34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justify" vertical="top"/>
    </xf>
    <xf numFmtId="11" fontId="13" fillId="0" borderId="10" xfId="10" applyNumberFormat="1" applyFont="1" applyFill="1" applyBorder="1" applyAlignment="1" applyProtection="1">
      <alignment horizontal="center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2" fillId="4" borderId="15" xfId="5" applyBorder="1">
      <alignment horizontal="center" vertical="center"/>
    </xf>
    <xf numFmtId="0" fontId="2" fillId="4" borderId="16" xfId="5" applyBorder="1">
      <alignment horizontal="center" vertical="center"/>
    </xf>
    <xf numFmtId="0" fontId="1" fillId="13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13" fillId="0" borderId="28" xfId="8" applyNumberFormat="1" applyFont="1" applyFill="1" applyBorder="1" applyAlignment="1" applyProtection="1">
      <alignment horizontal="left" vertical="top"/>
    </xf>
    <xf numFmtId="0" fontId="13" fillId="0" borderId="34" xfId="8" applyNumberFormat="1" applyFont="1" applyFill="1" applyBorder="1" applyAlignment="1" applyProtection="1">
      <alignment horizontal="left" vertical="top"/>
    </xf>
    <xf numFmtId="0" fontId="13" fillId="0" borderId="28" xfId="8" applyNumberFormat="1" applyFont="1" applyFill="1" applyBorder="1" applyAlignment="1" applyProtection="1">
      <alignment horizontal="left" vertical="center" wrapText="1"/>
    </xf>
    <xf numFmtId="0" fontId="13" fillId="0" borderId="34" xfId="8" applyNumberFormat="1" applyFont="1" applyFill="1" applyBorder="1" applyAlignment="1" applyProtection="1">
      <alignment horizontal="left" vertical="center" wrapText="1"/>
    </xf>
    <xf numFmtId="0" fontId="13" fillId="0" borderId="10" xfId="8" applyNumberFormat="1" applyFont="1" applyFill="1" applyBorder="1" applyAlignment="1" applyProtection="1">
      <alignment horizontal="left" vertical="center" wrapText="1"/>
    </xf>
    <xf numFmtId="0" fontId="13" fillId="0" borderId="28" xfId="8" applyNumberFormat="1" applyFont="1" applyFill="1" applyBorder="1" applyAlignment="1" applyProtection="1">
      <alignment horizontal="right" vertical="center" wrapText="1"/>
    </xf>
    <xf numFmtId="0" fontId="13" fillId="0" borderId="34" xfId="8" applyNumberFormat="1" applyFont="1" applyFill="1" applyBorder="1" applyAlignment="1" applyProtection="1">
      <alignment horizontal="right" vertical="center" wrapText="1"/>
    </xf>
    <xf numFmtId="0" fontId="13" fillId="0" borderId="10" xfId="8" applyNumberFormat="1" applyFont="1" applyFill="1" applyBorder="1" applyAlignment="1" applyProtection="1">
      <alignment horizontal="right" vertical="center" wrapText="1"/>
    </xf>
    <xf numFmtId="0" fontId="13" fillId="0" borderId="37" xfId="8" applyNumberFormat="1" applyFont="1" applyFill="1" applyBorder="1" applyAlignment="1" applyProtection="1">
      <alignment horizontal="left" vertical="center"/>
    </xf>
  </cellXfs>
  <cellStyles count="11">
    <cellStyle name="Ввод" xfId="6" xr:uid="{A9A7DDE3-643E-4013-945F-2DCD94967680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ata" xfId="9" xr:uid="{9275C673-76BF-48D6-9BC6-D4A97F84457C}"/>
    <cellStyle name="Обычный_F" xfId="8" xr:uid="{56CD7B33-F81A-4806-B957-6B725573CFC0}"/>
    <cellStyle name="Обычный_S" xfId="10" xr:uid="{114CFED7-5219-4267-8107-F391217BE4AE}"/>
    <cellStyle name="Форм" xfId="4" xr:uid="{810E17FE-2F7B-4E62-B173-29B9F2A26C86}"/>
  </cellStyles>
  <dxfs count="13"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-152.03891136642861</c:v>
                </c:pt>
                <c:pt idx="1">
                  <c:v>-154.00607693057142</c:v>
                </c:pt>
                <c:pt idx="2">
                  <c:v>-156.04911587057143</c:v>
                </c:pt>
                <c:pt idx="3">
                  <c:v>-158.43258132299999</c:v>
                </c:pt>
                <c:pt idx="4">
                  <c:v>-161.15876571428572</c:v>
                </c:pt>
                <c:pt idx="5">
                  <c:v>-175.04147519909998</c:v>
                </c:pt>
                <c:pt idx="6">
                  <c:v>-178.95455161470002</c:v>
                </c:pt>
                <c:pt idx="7">
                  <c:v>-183.13790581890004</c:v>
                </c:pt>
                <c:pt idx="8">
                  <c:v>-187.71008179544998</c:v>
                </c:pt>
                <c:pt idx="9">
                  <c:v>-192.74201398842857</c:v>
                </c:pt>
                <c:pt idx="10">
                  <c:v>-198.38092938734999</c:v>
                </c:pt>
                <c:pt idx="11">
                  <c:v>-204.68664891925712</c:v>
                </c:pt>
                <c:pt idx="12">
                  <c:v>-211.57047599250004</c:v>
                </c:pt>
                <c:pt idx="13">
                  <c:v>-218.85162617678571</c:v>
                </c:pt>
                <c:pt idx="14">
                  <c:v>-226.37463685157141</c:v>
                </c:pt>
                <c:pt idx="15">
                  <c:v>-234.06891434849999</c:v>
                </c:pt>
                <c:pt idx="16">
                  <c:v>-241.97792924914287</c:v>
                </c:pt>
                <c:pt idx="17">
                  <c:v>-249.94023950089291</c:v>
                </c:pt>
                <c:pt idx="18">
                  <c:v>-258.15271654742145</c:v>
                </c:pt>
                <c:pt idx="19">
                  <c:v>-266.35261601224289</c:v>
                </c:pt>
                <c:pt idx="20">
                  <c:v>-274.68123427080002</c:v>
                </c:pt>
                <c:pt idx="21">
                  <c:v>-283.1542333467429</c:v>
                </c:pt>
                <c:pt idx="22">
                  <c:v>-318.91649446830002</c:v>
                </c:pt>
                <c:pt idx="23">
                  <c:v>-357.05651848307139</c:v>
                </c:pt>
                <c:pt idx="24">
                  <c:v>-366.94693729155</c:v>
                </c:pt>
                <c:pt idx="25">
                  <c:v>-376.84470516779999</c:v>
                </c:pt>
                <c:pt idx="26">
                  <c:v>-386.85742789570713</c:v>
                </c:pt>
                <c:pt idx="27">
                  <c:v>-396.86544722974287</c:v>
                </c:pt>
                <c:pt idx="28">
                  <c:v>-407.16199954979993</c:v>
                </c:pt>
                <c:pt idx="29">
                  <c:v>-417.4934201509501</c:v>
                </c:pt>
                <c:pt idx="30">
                  <c:v>-427.94028354612857</c:v>
                </c:pt>
                <c:pt idx="31">
                  <c:v>-438.48566450157853</c:v>
                </c:pt>
                <c:pt idx="32">
                  <c:v>-482.04501535714286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1.4458999999999999E-9</c:v>
                </c:pt>
                <c:pt idx="1">
                  <c:v>2.5027000000000001E-10</c:v>
                </c:pt>
                <c:pt idx="2">
                  <c:v>1.1699000000000001E-12</c:v>
                </c:pt>
                <c:pt idx="3">
                  <c:v>1.2121E-17</c:v>
                </c:pt>
                <c:pt idx="4">
                  <c:v>2.3451999999999999E-26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8.2921999999999996E-3</c:v>
                </c:pt>
                <c:pt idx="1">
                  <c:v>8.1940999999999993E-3</c:v>
                </c:pt>
                <c:pt idx="2">
                  <c:v>7.9570000000000005E-3</c:v>
                </c:pt>
                <c:pt idx="3">
                  <c:v>7.561E-3</c:v>
                </c:pt>
                <c:pt idx="4">
                  <c:v>7.1253000000000002E-3</c:v>
                </c:pt>
                <c:pt idx="5">
                  <c:v>6.4335E-3</c:v>
                </c:pt>
                <c:pt idx="6">
                  <c:v>6.3306999999999999E-3</c:v>
                </c:pt>
                <c:pt idx="7">
                  <c:v>6.1551000000000002E-3</c:v>
                </c:pt>
                <c:pt idx="8">
                  <c:v>5.8837000000000004E-3</c:v>
                </c:pt>
                <c:pt idx="9">
                  <c:v>5.5401000000000001E-3</c:v>
                </c:pt>
                <c:pt idx="10">
                  <c:v>5.1904000000000004E-3</c:v>
                </c:pt>
                <c:pt idx="11">
                  <c:v>4.9026E-3</c:v>
                </c:pt>
                <c:pt idx="12">
                  <c:v>4.7057999999999996E-3</c:v>
                </c:pt>
                <c:pt idx="13">
                  <c:v>4.5878999999999998E-3</c:v>
                </c:pt>
                <c:pt idx="14">
                  <c:v>4.5222999999999999E-3</c:v>
                </c:pt>
                <c:pt idx="15">
                  <c:v>4.4869000000000003E-3</c:v>
                </c:pt>
                <c:pt idx="16">
                  <c:v>4.4676999999999998E-3</c:v>
                </c:pt>
                <c:pt idx="17">
                  <c:v>4.4561999999999996E-3</c:v>
                </c:pt>
                <c:pt idx="18">
                  <c:v>4.4453000000000001E-3</c:v>
                </c:pt>
                <c:pt idx="19">
                  <c:v>4.4216000000000004E-3</c:v>
                </c:pt>
                <c:pt idx="20">
                  <c:v>4.3454000000000001E-3</c:v>
                </c:pt>
                <c:pt idx="21">
                  <c:v>4.1025999999999996E-3</c:v>
                </c:pt>
                <c:pt idx="22">
                  <c:v>4.5949000000000001E-4</c:v>
                </c:pt>
                <c:pt idx="23">
                  <c:v>7.2798000000000002E-6</c:v>
                </c:pt>
                <c:pt idx="24">
                  <c:v>2.5911999999999999E-6</c:v>
                </c:pt>
                <c:pt idx="25">
                  <c:v>9.2691999999999999E-7</c:v>
                </c:pt>
                <c:pt idx="26">
                  <c:v>3.3339E-7</c:v>
                </c:pt>
                <c:pt idx="27">
                  <c:v>1.2088000000000001E-7</c:v>
                </c:pt>
                <c:pt idx="28">
                  <c:v>4.3569999999999999E-8</c:v>
                </c:pt>
                <c:pt idx="29">
                  <c:v>9.6765999999999994E-9</c:v>
                </c:pt>
                <c:pt idx="30">
                  <c:v>2.1810999999999998E-9</c:v>
                </c:pt>
                <c:pt idx="31">
                  <c:v>5.0700000000000001E-10</c:v>
                </c:pt>
                <c:pt idx="32">
                  <c:v>2.0327E-12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7.4465000000000001E-35</c:v>
                </c:pt>
                <c:pt idx="9">
                  <c:v>9.0942999999999997E-33</c:v>
                </c:pt>
                <c:pt idx="10">
                  <c:v>8.2290000000000008E-31</c:v>
                </c:pt>
                <c:pt idx="11">
                  <c:v>5.9169000000000003E-29</c:v>
                </c:pt>
                <c:pt idx="12">
                  <c:v>3.5006000000000002E-27</c:v>
                </c:pt>
                <c:pt idx="13">
                  <c:v>1.7198000000000001E-25</c:v>
                </c:pt>
                <c:pt idx="14">
                  <c:v>7.0269E-24</c:v>
                </c:pt>
                <c:pt idx="15">
                  <c:v>2.3967999999999999E-22</c:v>
                </c:pt>
                <c:pt idx="16">
                  <c:v>6.8768000000000004E-21</c:v>
                </c:pt>
                <c:pt idx="17">
                  <c:v>1.6759E-19</c:v>
                </c:pt>
                <c:pt idx="18">
                  <c:v>3.5032999999999997E-18</c:v>
                </c:pt>
                <c:pt idx="19">
                  <c:v>6.3313999999999995E-17</c:v>
                </c:pt>
                <c:pt idx="20">
                  <c:v>9.8978000000000008E-16</c:v>
                </c:pt>
                <c:pt idx="21">
                  <c:v>1.3115E-14</c:v>
                </c:pt>
                <c:pt idx="22">
                  <c:v>1.8892E-11</c:v>
                </c:pt>
                <c:pt idx="23">
                  <c:v>9.9455999999999992E-10</c:v>
                </c:pt>
                <c:pt idx="24">
                  <c:v>2.2495000000000001E-9</c:v>
                </c:pt>
                <c:pt idx="25">
                  <c:v>4.7989E-9</c:v>
                </c:pt>
                <c:pt idx="26">
                  <c:v>9.6941999999999999E-9</c:v>
                </c:pt>
                <c:pt idx="27">
                  <c:v>1.8652000000000001E-8</c:v>
                </c:pt>
                <c:pt idx="28">
                  <c:v>3.3769000000000003E-8</c:v>
                </c:pt>
                <c:pt idx="29">
                  <c:v>3.4797999999999998E-8</c:v>
                </c:pt>
                <c:pt idx="30">
                  <c:v>3.5021E-8</c:v>
                </c:pt>
                <c:pt idx="31">
                  <c:v>3.4928E-8</c:v>
                </c:pt>
                <c:pt idx="32">
                  <c:v>3.2273000000000001E-8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1.2616E-34</c:v>
                </c:pt>
                <c:pt idx="11">
                  <c:v>7.1091E-33</c:v>
                </c:pt>
                <c:pt idx="12">
                  <c:v>3.2809E-31</c:v>
                </c:pt>
                <c:pt idx="13">
                  <c:v>1.2545E-29</c:v>
                </c:pt>
                <c:pt idx="14">
                  <c:v>3.9983999999999998E-28</c:v>
                </c:pt>
                <c:pt idx="15">
                  <c:v>1.0702999999999999E-26</c:v>
                </c:pt>
                <c:pt idx="16">
                  <c:v>2.4292999999999999E-25</c:v>
                </c:pt>
                <c:pt idx="17">
                  <c:v>4.7242999999999998E-24</c:v>
                </c:pt>
                <c:pt idx="18">
                  <c:v>7.9534999999999998E-23</c:v>
                </c:pt>
                <c:pt idx="19">
                  <c:v>1.1693999999999999E-21</c:v>
                </c:pt>
                <c:pt idx="20">
                  <c:v>1.5085999999999999E-20</c:v>
                </c:pt>
                <c:pt idx="21">
                  <c:v>1.6962000000000001E-19</c:v>
                </c:pt>
                <c:pt idx="22">
                  <c:v>3.6142999999999999E-16</c:v>
                </c:pt>
                <c:pt idx="23">
                  <c:v>8.1400999999999996E-14</c:v>
                </c:pt>
                <c:pt idx="24">
                  <c:v>2.6731E-13</c:v>
                </c:pt>
                <c:pt idx="25">
                  <c:v>8.2919000000000002E-13</c:v>
                </c:pt>
                <c:pt idx="26">
                  <c:v>2.4381999999999998E-12</c:v>
                </c:pt>
                <c:pt idx="27">
                  <c:v>6.8258000000000003E-12</c:v>
                </c:pt>
                <c:pt idx="28">
                  <c:v>1.8101E-11</c:v>
                </c:pt>
                <c:pt idx="29">
                  <c:v>3.5168999999999998E-11</c:v>
                </c:pt>
                <c:pt idx="30">
                  <c:v>6.6286000000000003E-11</c:v>
                </c:pt>
                <c:pt idx="31">
                  <c:v>1.221E-10</c:v>
                </c:pt>
                <c:pt idx="32">
                  <c:v>1.1423999999999999E-9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2.9827000000000001E-9</c:v>
                      </c:pt>
                      <c:pt idx="1">
                        <c:v>5.4655999999999998E-9</c:v>
                      </c:pt>
                      <c:pt idx="2">
                        <c:v>8.6291999999999999E-9</c:v>
                      </c:pt>
                      <c:pt idx="3">
                        <c:v>1.5218000000000001E-8</c:v>
                      </c:pt>
                      <c:pt idx="4">
                        <c:v>2.2297999999999999E-8</c:v>
                      </c:pt>
                      <c:pt idx="5">
                        <c:v>3.6994E-8</c:v>
                      </c:pt>
                      <c:pt idx="6">
                        <c:v>2.3000000000000001E-8</c:v>
                      </c:pt>
                      <c:pt idx="7">
                        <c:v>1.1274000000000001E-8</c:v>
                      </c:pt>
                      <c:pt idx="8">
                        <c:v>3.6984E-9</c:v>
                      </c:pt>
                      <c:pt idx="9">
                        <c:v>4.7711999999999997E-12</c:v>
                      </c:pt>
                      <c:pt idx="10">
                        <c:v>7.1197000000000007E-18</c:v>
                      </c:pt>
                      <c:pt idx="11">
                        <c:v>5.4020999999999997E-25</c:v>
                      </c:pt>
                      <c:pt idx="12">
                        <c:v>1.4035000000000001E-32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6.1428999999999998E-28</c:v>
                      </c:pt>
                      <c:pt idx="24">
                        <c:v>1.8061E-22</c:v>
                      </c:pt>
                      <c:pt idx="25">
                        <c:v>2.1782E-17</c:v>
                      </c:pt>
                      <c:pt idx="26">
                        <c:v>1.0454999999999999E-12</c:v>
                      </c:pt>
                      <c:pt idx="27">
                        <c:v>5.7881999999999997E-10</c:v>
                      </c:pt>
                      <c:pt idx="28">
                        <c:v>1.8897999999999999E-7</c:v>
                      </c:pt>
                      <c:pt idx="29">
                        <c:v>6.7478E-6</c:v>
                      </c:pt>
                      <c:pt idx="30">
                        <c:v>5.5303999999999996E-6</c:v>
                      </c:pt>
                      <c:pt idx="31">
                        <c:v>4.3992000000000002E-6</c:v>
                      </c:pt>
                      <c:pt idx="32">
                        <c:v>2.1291999999999999E-6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5.8711000000000001E-31</c:v>
                      </c:pt>
                      <c:pt idx="3">
                        <c:v>6.2772999999999996E-25</c:v>
                      </c:pt>
                      <c:pt idx="4">
                        <c:v>8.6447999999999994E-22</c:v>
                      </c:pt>
                      <c:pt idx="5">
                        <c:v>2.0010999999999999E-17</c:v>
                      </c:pt>
                      <c:pt idx="6">
                        <c:v>7.7615999999999997E-16</c:v>
                      </c:pt>
                      <c:pt idx="7">
                        <c:v>3.5560999999999999E-13</c:v>
                      </c:pt>
                      <c:pt idx="8">
                        <c:v>4.4159000000000002E-10</c:v>
                      </c:pt>
                      <c:pt idx="9">
                        <c:v>5.0248000000000003E-9</c:v>
                      </c:pt>
                      <c:pt idx="10">
                        <c:v>6.2596000000000002E-9</c:v>
                      </c:pt>
                      <c:pt idx="11">
                        <c:v>1.0265E-8</c:v>
                      </c:pt>
                      <c:pt idx="12">
                        <c:v>2.1635999999999999E-8</c:v>
                      </c:pt>
                      <c:pt idx="13">
                        <c:v>1.5935E-8</c:v>
                      </c:pt>
                      <c:pt idx="14">
                        <c:v>2.6362000000000001E-8</c:v>
                      </c:pt>
                      <c:pt idx="15">
                        <c:v>2.0599000000000001E-8</c:v>
                      </c:pt>
                      <c:pt idx="16">
                        <c:v>2.3733000000000001E-8</c:v>
                      </c:pt>
                      <c:pt idx="17">
                        <c:v>2.3631999999999999E-8</c:v>
                      </c:pt>
                      <c:pt idx="18">
                        <c:v>2.2979E-8</c:v>
                      </c:pt>
                      <c:pt idx="19">
                        <c:v>2.3184999999999999E-8</c:v>
                      </c:pt>
                      <c:pt idx="20">
                        <c:v>2.3359000000000001E-8</c:v>
                      </c:pt>
                      <c:pt idx="21">
                        <c:v>2.4491999999999999E-8</c:v>
                      </c:pt>
                      <c:pt idx="22">
                        <c:v>3.1211000000000001E-8</c:v>
                      </c:pt>
                      <c:pt idx="23">
                        <c:v>3.2555000000000003E-8</c:v>
                      </c:pt>
                      <c:pt idx="24">
                        <c:v>3.2135999999999997E-8</c:v>
                      </c:pt>
                      <c:pt idx="25">
                        <c:v>3.1651999999999998E-8</c:v>
                      </c:pt>
                      <c:pt idx="26">
                        <c:v>3.1298E-8</c:v>
                      </c:pt>
                      <c:pt idx="27">
                        <c:v>1.2007000000000001E-10</c:v>
                      </c:pt>
                      <c:pt idx="28">
                        <c:v>1.5713E-29</c:v>
                      </c:pt>
                      <c:pt idx="29">
                        <c:v>1.8893E-29</c:v>
                      </c:pt>
                      <c:pt idx="30">
                        <c:v>3.5658999999999998E-30</c:v>
                      </c:pt>
                      <c:pt idx="31">
                        <c:v>2.3366000000000001E-29</c:v>
                      </c:pt>
                      <c:pt idx="32">
                        <c:v>4.121E-23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0.13761999999999999</c:v>
                      </c:pt>
                      <c:pt idx="1">
                        <c:v>0.13184000000000001</c:v>
                      </c:pt>
                      <c:pt idx="2">
                        <c:v>0.1173</c:v>
                      </c:pt>
                      <c:pt idx="3">
                        <c:v>9.0985999999999997E-2</c:v>
                      </c:pt>
                      <c:pt idx="4">
                        <c:v>5.8673000000000003E-2</c:v>
                      </c:pt>
                      <c:pt idx="5">
                        <c:v>3.5301E-3</c:v>
                      </c:pt>
                      <c:pt idx="6">
                        <c:v>1.7362E-3</c:v>
                      </c:pt>
                      <c:pt idx="7">
                        <c:v>8.7681E-4</c:v>
                      </c:pt>
                      <c:pt idx="8">
                        <c:v>4.4354000000000003E-4</c:v>
                      </c:pt>
                      <c:pt idx="9">
                        <c:v>2.1458999999999999E-4</c:v>
                      </c:pt>
                      <c:pt idx="10">
                        <c:v>9.4772999999999995E-5</c:v>
                      </c:pt>
                      <c:pt idx="11">
                        <c:v>3.7471000000000001E-5</c:v>
                      </c:pt>
                      <c:pt idx="12">
                        <c:v>1.3517E-5</c:v>
                      </c:pt>
                      <c:pt idx="13">
                        <c:v>4.6341999999999996E-6</c:v>
                      </c:pt>
                      <c:pt idx="14">
                        <c:v>1.5689999999999999E-6</c:v>
                      </c:pt>
                      <c:pt idx="15">
                        <c:v>5.3781999999999998E-7</c:v>
                      </c:pt>
                      <c:pt idx="16">
                        <c:v>1.8911999999999999E-7</c:v>
                      </c:pt>
                      <c:pt idx="17">
                        <c:v>6.8608000000000001E-8</c:v>
                      </c:pt>
                      <c:pt idx="18">
                        <c:v>2.5722E-8</c:v>
                      </c:pt>
                      <c:pt idx="19">
                        <c:v>9.9647999999999993E-9</c:v>
                      </c:pt>
                      <c:pt idx="20">
                        <c:v>3.9866999999999999E-9</c:v>
                      </c:pt>
                      <c:pt idx="21">
                        <c:v>1.6471E-9</c:v>
                      </c:pt>
                      <c:pt idx="22">
                        <c:v>6.4954000000000001E-11</c:v>
                      </c:pt>
                      <c:pt idx="23">
                        <c:v>3.496E-12</c:v>
                      </c:pt>
                      <c:pt idx="24">
                        <c:v>1.7611E-12</c:v>
                      </c:pt>
                      <c:pt idx="25">
                        <c:v>9.0203999999999996E-13</c:v>
                      </c:pt>
                      <c:pt idx="26">
                        <c:v>4.6937999999999996E-13</c:v>
                      </c:pt>
                      <c:pt idx="27">
                        <c:v>2.4795999999999999E-13</c:v>
                      </c:pt>
                      <c:pt idx="28">
                        <c:v>1.3305E-13</c:v>
                      </c:pt>
                      <c:pt idx="29">
                        <c:v>7.4307999999999995E-14</c:v>
                      </c:pt>
                      <c:pt idx="30">
                        <c:v>4.1655E-14</c:v>
                      </c:pt>
                      <c:pt idx="31">
                        <c:v>2.3510999999999999E-14</c:v>
                      </c:pt>
                      <c:pt idx="32">
                        <c:v>2.6029999999999999E-15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0.14238000000000001</c:v>
                      </c:pt>
                      <c:pt idx="1">
                        <c:v>0.14815</c:v>
                      </c:pt>
                      <c:pt idx="2">
                        <c:v>0.16269</c:v>
                      </c:pt>
                      <c:pt idx="3">
                        <c:v>0.189</c:v>
                      </c:pt>
                      <c:pt idx="4">
                        <c:v>0.22128</c:v>
                      </c:pt>
                      <c:pt idx="5">
                        <c:v>0.27118999999999999</c:v>
                      </c:pt>
                      <c:pt idx="6">
                        <c:v>0.26468999999999998</c:v>
                      </c:pt>
                      <c:pt idx="7">
                        <c:v>0.24837999999999999</c:v>
                      </c:pt>
                      <c:pt idx="8">
                        <c:v>0.21926999999999999</c:v>
                      </c:pt>
                      <c:pt idx="9">
                        <c:v>0.17757000000000001</c:v>
                      </c:pt>
                      <c:pt idx="10">
                        <c:v>0.12916</c:v>
                      </c:pt>
                      <c:pt idx="11">
                        <c:v>8.4039000000000003E-2</c:v>
                      </c:pt>
                      <c:pt idx="12">
                        <c:v>4.9964000000000001E-2</c:v>
                      </c:pt>
                      <c:pt idx="13">
                        <c:v>2.8131E-2</c:v>
                      </c:pt>
                      <c:pt idx="14">
                        <c:v>1.5495999999999999E-2</c:v>
                      </c:pt>
                      <c:pt idx="15">
                        <c:v>8.5325999999999996E-3</c:v>
                      </c:pt>
                      <c:pt idx="16">
                        <c:v>4.7505999999999998E-3</c:v>
                      </c:pt>
                      <c:pt idx="17">
                        <c:v>2.6887999999999999E-3</c:v>
                      </c:pt>
                      <c:pt idx="18">
                        <c:v>1.5502999999999999E-3</c:v>
                      </c:pt>
                      <c:pt idx="19">
                        <c:v>9.1091999999999996E-4</c:v>
                      </c:pt>
                      <c:pt idx="20">
                        <c:v>5.4536999999999999E-4</c:v>
                      </c:pt>
                      <c:pt idx="21">
                        <c:v>3.3270000000000001E-4</c:v>
                      </c:pt>
                      <c:pt idx="22">
                        <c:v>5.4917000000000003E-5</c:v>
                      </c:pt>
                      <c:pt idx="23">
                        <c:v>1.0937999999999999E-5</c:v>
                      </c:pt>
                      <c:pt idx="24">
                        <c:v>7.5044999999999999E-6</c:v>
                      </c:pt>
                      <c:pt idx="25">
                        <c:v>5.1990999999999999E-6</c:v>
                      </c:pt>
                      <c:pt idx="26">
                        <c:v>3.6355000000000002E-6</c:v>
                      </c:pt>
                      <c:pt idx="27">
                        <c:v>2.5647000000000002E-6</c:v>
                      </c:pt>
                      <c:pt idx="28">
                        <c:v>1.8256999999999999E-6</c:v>
                      </c:pt>
                      <c:pt idx="29">
                        <c:v>1.3259000000000001E-6</c:v>
                      </c:pt>
                      <c:pt idx="30">
                        <c:v>9.660599999999999E-7</c:v>
                      </c:pt>
                      <c:pt idx="31">
                        <c:v>7.0707999999999995E-7</c:v>
                      </c:pt>
                      <c:pt idx="32">
                        <c:v>2.1397999999999999E-7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1.1708E-2</c:v>
                      </c:pt>
                      <c:pt idx="1">
                        <c:v>1.1806000000000001E-2</c:v>
                      </c:pt>
                      <c:pt idx="2">
                        <c:v>1.2043E-2</c:v>
                      </c:pt>
                      <c:pt idx="3">
                        <c:v>1.2439E-2</c:v>
                      </c:pt>
                      <c:pt idx="4">
                        <c:v>1.2874999999999999E-2</c:v>
                      </c:pt>
                      <c:pt idx="5">
                        <c:v>1.3566999999999999E-2</c:v>
                      </c:pt>
                      <c:pt idx="6">
                        <c:v>1.3669000000000001E-2</c:v>
                      </c:pt>
                      <c:pt idx="7">
                        <c:v>1.3845E-2</c:v>
                      </c:pt>
                      <c:pt idx="8">
                        <c:v>1.4116E-2</c:v>
                      </c:pt>
                      <c:pt idx="9">
                        <c:v>1.4460000000000001E-2</c:v>
                      </c:pt>
                      <c:pt idx="10">
                        <c:v>1.481E-2</c:v>
                      </c:pt>
                      <c:pt idx="11">
                        <c:v>1.5096999999999999E-2</c:v>
                      </c:pt>
                      <c:pt idx="12">
                        <c:v>1.5294E-2</c:v>
                      </c:pt>
                      <c:pt idx="13">
                        <c:v>1.5412E-2</c:v>
                      </c:pt>
                      <c:pt idx="14">
                        <c:v>1.5478E-2</c:v>
                      </c:pt>
                      <c:pt idx="15">
                        <c:v>1.5513000000000001E-2</c:v>
                      </c:pt>
                      <c:pt idx="16">
                        <c:v>1.5531E-2</c:v>
                      </c:pt>
                      <c:pt idx="17">
                        <c:v>1.5537E-2</c:v>
                      </c:pt>
                      <c:pt idx="18">
                        <c:v>1.5526E-2</c:v>
                      </c:pt>
                      <c:pt idx="19">
                        <c:v>1.5462999999999999E-2</c:v>
                      </c:pt>
                      <c:pt idx="20">
                        <c:v>1.5226E-2</c:v>
                      </c:pt>
                      <c:pt idx="21">
                        <c:v>1.4445E-2</c:v>
                      </c:pt>
                      <c:pt idx="22">
                        <c:v>1.7378999999999999E-3</c:v>
                      </c:pt>
                      <c:pt idx="23">
                        <c:v>2.8085E-5</c:v>
                      </c:pt>
                      <c:pt idx="24">
                        <c:v>1.0037000000000001E-5</c:v>
                      </c:pt>
                      <c:pt idx="25">
                        <c:v>3.6059000000000001E-6</c:v>
                      </c:pt>
                      <c:pt idx="26">
                        <c:v>1.3024E-6</c:v>
                      </c:pt>
                      <c:pt idx="27">
                        <c:v>4.7406E-7</c:v>
                      </c:pt>
                      <c:pt idx="28">
                        <c:v>1.7140000000000001E-7</c:v>
                      </c:pt>
                      <c:pt idx="29">
                        <c:v>3.7789000000000002E-8</c:v>
                      </c:pt>
                      <c:pt idx="30">
                        <c:v>8.4633000000000007E-9</c:v>
                      </c:pt>
                      <c:pt idx="31">
                        <c:v>1.9569000000000001E-9</c:v>
                      </c:pt>
                      <c:pt idx="32">
                        <c:v>7.7382000000000003E-12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7.5756000000000005E-29</c:v>
                      </c:pt>
                      <c:pt idx="1">
                        <c:v>2.9401999999999999E-27</c:v>
                      </c:pt>
                      <c:pt idx="2">
                        <c:v>9.9583000000000004E-26</c:v>
                      </c:pt>
                      <c:pt idx="3">
                        <c:v>3.5787999999999998E-24</c:v>
                      </c:pt>
                      <c:pt idx="4">
                        <c:v>1.4182000000000001E-22</c:v>
                      </c:pt>
                      <c:pt idx="5">
                        <c:v>1.2896E-16</c:v>
                      </c:pt>
                      <c:pt idx="6">
                        <c:v>2.2897000000000001E-15</c:v>
                      </c:pt>
                      <c:pt idx="7">
                        <c:v>3.1573000000000001E-14</c:v>
                      </c:pt>
                      <c:pt idx="8">
                        <c:v>3.4560000000000001E-13</c:v>
                      </c:pt>
                      <c:pt idx="9">
                        <c:v>3.1638999999999999E-12</c:v>
                      </c:pt>
                      <c:pt idx="10">
                        <c:v>2.5638999999999999E-11</c:v>
                      </c:pt>
                      <c:pt idx="11">
                        <c:v>1.9056999999999999E-10</c:v>
                      </c:pt>
                      <c:pt idx="12">
                        <c:v>1.3130999999999999E-9</c:v>
                      </c:pt>
                      <c:pt idx="13">
                        <c:v>8.3702999999999995E-9</c:v>
                      </c:pt>
                      <c:pt idx="14">
                        <c:v>4.9187999999999997E-8</c:v>
                      </c:pt>
                      <c:pt idx="15">
                        <c:v>2.664E-7</c:v>
                      </c:pt>
                      <c:pt idx="16">
                        <c:v>1.3331E-6</c:v>
                      </c:pt>
                      <c:pt idx="17">
                        <c:v>6.1879999999999999E-6</c:v>
                      </c:pt>
                      <c:pt idx="18">
                        <c:v>2.6750999999999998E-5</c:v>
                      </c:pt>
                      <c:pt idx="19">
                        <c:v>1.0794999999999999E-4</c:v>
                      </c:pt>
                      <c:pt idx="20">
                        <c:v>4.0492000000000002E-4</c:v>
                      </c:pt>
                      <c:pt idx="21">
                        <c:v>1.3795999999999999E-3</c:v>
                      </c:pt>
                      <c:pt idx="22">
                        <c:v>1.6258999999999999E-2</c:v>
                      </c:pt>
                      <c:pt idx="23">
                        <c:v>1.4115000000000001E-2</c:v>
                      </c:pt>
                      <c:pt idx="24">
                        <c:v>1.2591E-2</c:v>
                      </c:pt>
                      <c:pt idx="25">
                        <c:v>1.0965000000000001E-2</c:v>
                      </c:pt>
                      <c:pt idx="26">
                        <c:v>9.3370999999999992E-3</c:v>
                      </c:pt>
                      <c:pt idx="27">
                        <c:v>7.8056000000000002E-3</c:v>
                      </c:pt>
                      <c:pt idx="28">
                        <c:v>6.3140999999999996E-3</c:v>
                      </c:pt>
                      <c:pt idx="29">
                        <c:v>2.9566000000000002E-3</c:v>
                      </c:pt>
                      <c:pt idx="30">
                        <c:v>1.3887999999999999E-3</c:v>
                      </c:pt>
                      <c:pt idx="31">
                        <c:v>6.6326999999999998E-4</c:v>
                      </c:pt>
                      <c:pt idx="32">
                        <c:v>4.0513999999999999E-5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5.2854000000000005E-7</c:v>
                      </c:pt>
                      <c:pt idx="1">
                        <c:v>1.1217E-6</c:v>
                      </c:pt>
                      <c:pt idx="2">
                        <c:v>2.6616999999999999E-6</c:v>
                      </c:pt>
                      <c:pt idx="3">
                        <c:v>7.6415999999999998E-6</c:v>
                      </c:pt>
                      <c:pt idx="4">
                        <c:v>2.5486E-5</c:v>
                      </c:pt>
                      <c:pt idx="5">
                        <c:v>2.6394000000000001E-3</c:v>
                      </c:pt>
                      <c:pt idx="6">
                        <c:v>6.7882000000000003E-3</c:v>
                      </c:pt>
                      <c:pt idx="7">
                        <c:v>1.537E-2</c:v>
                      </c:pt>
                      <c:pt idx="8">
                        <c:v>3.0145000000000002E-2</c:v>
                      </c:pt>
                      <c:pt idx="9">
                        <c:v>5.1109000000000002E-2</c:v>
                      </c:pt>
                      <c:pt idx="10">
                        <c:v>7.5374999999999998E-2</c:v>
                      </c:pt>
                      <c:pt idx="11">
                        <c:v>9.7961999999999994E-2</c:v>
                      </c:pt>
                      <c:pt idx="12">
                        <c:v>0.11501</c:v>
                      </c:pt>
                      <c:pt idx="13">
                        <c:v>0.12592999999999999</c:v>
                      </c:pt>
                      <c:pt idx="14">
                        <c:v>0.13225000000000001</c:v>
                      </c:pt>
                      <c:pt idx="15">
                        <c:v>0.13572999999999999</c:v>
                      </c:pt>
                      <c:pt idx="16">
                        <c:v>0.13761999999999999</c:v>
                      </c:pt>
                      <c:pt idx="17">
                        <c:v>0.13866000000000001</c:v>
                      </c:pt>
                      <c:pt idx="18">
                        <c:v>0.13922000000000001</c:v>
                      </c:pt>
                      <c:pt idx="19">
                        <c:v>0.13954</c:v>
                      </c:pt>
                      <c:pt idx="20">
                        <c:v>0.13972999999999999</c:v>
                      </c:pt>
                      <c:pt idx="21">
                        <c:v>0.13983000000000001</c:v>
                      </c:pt>
                      <c:pt idx="22">
                        <c:v>0.13997000000000001</c:v>
                      </c:pt>
                      <c:pt idx="23">
                        <c:v>0.13999</c:v>
                      </c:pt>
                      <c:pt idx="24">
                        <c:v>0.14000000000000001</c:v>
                      </c:pt>
                      <c:pt idx="25">
                        <c:v>0.14000000000000001</c:v>
                      </c:pt>
                      <c:pt idx="26">
                        <c:v>0.14000000000000001</c:v>
                      </c:pt>
                      <c:pt idx="27">
                        <c:v>0.14000000000000001</c:v>
                      </c:pt>
                      <c:pt idx="28">
                        <c:v>0.13999</c:v>
                      </c:pt>
                      <c:pt idx="29">
                        <c:v>0.13966999999999999</c:v>
                      </c:pt>
                      <c:pt idx="30">
                        <c:v>0.13941000000000001</c:v>
                      </c:pt>
                      <c:pt idx="31">
                        <c:v>0.13919000000000001</c:v>
                      </c:pt>
                      <c:pt idx="32">
                        <c:v>0.13839000000000001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2.7998999999999999E-28</c:v>
                      </c:pt>
                      <c:pt idx="1">
                        <c:v>1.0385999999999999E-26</c:v>
                      </c:pt>
                      <c:pt idx="2">
                        <c:v>3.2712999999999998E-25</c:v>
                      </c:pt>
                      <c:pt idx="3">
                        <c:v>1.026E-23</c:v>
                      </c:pt>
                      <c:pt idx="4">
                        <c:v>3.2961E-22</c:v>
                      </c:pt>
                      <c:pt idx="5">
                        <c:v>1.0036000000000001E-16</c:v>
                      </c:pt>
                      <c:pt idx="6">
                        <c:v>1.4244E-15</c:v>
                      </c:pt>
                      <c:pt idx="7">
                        <c:v>1.6396999999999999E-14</c:v>
                      </c:pt>
                      <c:pt idx="8">
                        <c:v>1.5638000000000001E-13</c:v>
                      </c:pt>
                      <c:pt idx="9">
                        <c:v>1.2856000000000001E-12</c:v>
                      </c:pt>
                      <c:pt idx="10">
                        <c:v>9.4622000000000006E-12</c:v>
                      </c:pt>
                      <c:pt idx="11">
                        <c:v>6.3634E-11</c:v>
                      </c:pt>
                      <c:pt idx="12">
                        <c:v>3.9289000000000003E-10</c:v>
                      </c:pt>
                      <c:pt idx="13">
                        <c:v>2.2262E-9</c:v>
                      </c:pt>
                      <c:pt idx="14">
                        <c:v>1.1587E-8</c:v>
                      </c:pt>
                      <c:pt idx="15">
                        <c:v>5.5549000000000003E-8</c:v>
                      </c:pt>
                      <c:pt idx="16">
                        <c:v>2.4629999999999998E-7</c:v>
                      </c:pt>
                      <c:pt idx="17">
                        <c:v>1.0144E-6</c:v>
                      </c:pt>
                      <c:pt idx="18">
                        <c:v>3.8963999999999997E-6</c:v>
                      </c:pt>
                      <c:pt idx="19">
                        <c:v>1.3995999999999999E-5</c:v>
                      </c:pt>
                      <c:pt idx="20">
                        <c:v>4.6999000000000002E-5</c:v>
                      </c:pt>
                      <c:pt idx="21">
                        <c:v>1.4606999999999999E-4</c:v>
                      </c:pt>
                      <c:pt idx="22">
                        <c:v>3.0864999999999998E-3</c:v>
                      </c:pt>
                      <c:pt idx="23">
                        <c:v>1.1698999999999999E-2</c:v>
                      </c:pt>
                      <c:pt idx="24">
                        <c:v>1.4792E-2</c:v>
                      </c:pt>
                      <c:pt idx="25">
                        <c:v>1.8062000000000002E-2</c:v>
                      </c:pt>
                      <c:pt idx="26">
                        <c:v>2.1322000000000001E-2</c:v>
                      </c:pt>
                      <c:pt idx="27">
                        <c:v>2.4386999999999999E-2</c:v>
                      </c:pt>
                      <c:pt idx="28">
                        <c:v>2.682E-2</c:v>
                      </c:pt>
                      <c:pt idx="29">
                        <c:v>2.1689E-2</c:v>
                      </c:pt>
                      <c:pt idx="30">
                        <c:v>1.7243999999999999E-2</c:v>
                      </c:pt>
                      <c:pt idx="31">
                        <c:v>1.3558000000000001E-2</c:v>
                      </c:pt>
                      <c:pt idx="32">
                        <c:v>4.5989000000000004E-3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2.8265000000000001E-9</c:v>
                      </c:pt>
                      <c:pt idx="1">
                        <c:v>8.0000999999999993E-9</c:v>
                      </c:pt>
                      <c:pt idx="2">
                        <c:v>1.8224000000000002E-8</c:v>
                      </c:pt>
                      <c:pt idx="3">
                        <c:v>3.2019999999999998E-8</c:v>
                      </c:pt>
                      <c:pt idx="4">
                        <c:v>4.3060000000000003E-8</c:v>
                      </c:pt>
                      <c:pt idx="5">
                        <c:v>3.1809999999999998E-8</c:v>
                      </c:pt>
                      <c:pt idx="6">
                        <c:v>2.7503000000000001E-8</c:v>
                      </c:pt>
                      <c:pt idx="7">
                        <c:v>2.4861E-8</c:v>
                      </c:pt>
                      <c:pt idx="8">
                        <c:v>2.3668999999999998E-8</c:v>
                      </c:pt>
                      <c:pt idx="9">
                        <c:v>2.3231999999999999E-8</c:v>
                      </c:pt>
                      <c:pt idx="10">
                        <c:v>2.2659000000000001E-8</c:v>
                      </c:pt>
                      <c:pt idx="11">
                        <c:v>2.1959999999999999E-8</c:v>
                      </c:pt>
                      <c:pt idx="12">
                        <c:v>2.0686999999999999E-8</c:v>
                      </c:pt>
                      <c:pt idx="13">
                        <c:v>1.8737999999999999E-8</c:v>
                      </c:pt>
                      <c:pt idx="14">
                        <c:v>1.6546000000000001E-8</c:v>
                      </c:pt>
                      <c:pt idx="15">
                        <c:v>1.4403E-8</c:v>
                      </c:pt>
                      <c:pt idx="16">
                        <c:v>1.2445E-8</c:v>
                      </c:pt>
                      <c:pt idx="17">
                        <c:v>1.0713E-8</c:v>
                      </c:pt>
                      <c:pt idx="18">
                        <c:v>9.2080999999999993E-9</c:v>
                      </c:pt>
                      <c:pt idx="19">
                        <c:v>7.9125999999999993E-9</c:v>
                      </c:pt>
                      <c:pt idx="20">
                        <c:v>6.8070999999999998E-9</c:v>
                      </c:pt>
                      <c:pt idx="21">
                        <c:v>5.8781999999999998E-9</c:v>
                      </c:pt>
                      <c:pt idx="22">
                        <c:v>3.4846000000000001E-9</c:v>
                      </c:pt>
                      <c:pt idx="23">
                        <c:v>1.9703000000000001E-9</c:v>
                      </c:pt>
                      <c:pt idx="24">
                        <c:v>1.7096E-9</c:v>
                      </c:pt>
                      <c:pt idx="25">
                        <c:v>1.4847000000000001E-9</c:v>
                      </c:pt>
                      <c:pt idx="26">
                        <c:v>1.2903E-9</c:v>
                      </c:pt>
                      <c:pt idx="27">
                        <c:v>1.1219E-9</c:v>
                      </c:pt>
                      <c:pt idx="28">
                        <c:v>9.7606000000000004E-10</c:v>
                      </c:pt>
                      <c:pt idx="29">
                        <c:v>8.5312000000000005E-10</c:v>
                      </c:pt>
                      <c:pt idx="30">
                        <c:v>7.4336000000000001E-10</c:v>
                      </c:pt>
                      <c:pt idx="31">
                        <c:v>6.4702000000000001E-10</c:v>
                      </c:pt>
                      <c:pt idx="32">
                        <c:v>3.7200000000000001E-10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6.5148000000000001E-10</c:v>
                      </c:pt>
                      <c:pt idx="1">
                        <c:v>2.0896999999999999E-9</c:v>
                      </c:pt>
                      <c:pt idx="2">
                        <c:v>5.3268000000000003E-9</c:v>
                      </c:pt>
                      <c:pt idx="3">
                        <c:v>1.036E-8</c:v>
                      </c:pt>
                      <c:pt idx="4">
                        <c:v>1.5276999999999998E-8</c:v>
                      </c:pt>
                      <c:pt idx="5">
                        <c:v>1.5183000000000001E-8</c:v>
                      </c:pt>
                      <c:pt idx="6">
                        <c:v>1.3939999999999999E-8</c:v>
                      </c:pt>
                      <c:pt idx="7">
                        <c:v>1.3321000000000001E-8</c:v>
                      </c:pt>
                      <c:pt idx="8">
                        <c:v>1.3354E-8</c:v>
                      </c:pt>
                      <c:pt idx="9">
                        <c:v>1.3752E-8</c:v>
                      </c:pt>
                      <c:pt idx="10">
                        <c:v>1.4025999999999999E-8</c:v>
                      </c:pt>
                      <c:pt idx="11">
                        <c:v>1.3751E-8</c:v>
                      </c:pt>
                      <c:pt idx="12">
                        <c:v>1.2843E-8</c:v>
                      </c:pt>
                      <c:pt idx="13">
                        <c:v>1.1528000000000001E-8</c:v>
                      </c:pt>
                      <c:pt idx="14">
                        <c:v>1.0085000000000001E-8</c:v>
                      </c:pt>
                      <c:pt idx="15">
                        <c:v>8.6941000000000004E-9</c:v>
                      </c:pt>
                      <c:pt idx="16">
                        <c:v>7.4380999999999998E-9</c:v>
                      </c:pt>
                      <c:pt idx="17">
                        <c:v>6.3395000000000003E-9</c:v>
                      </c:pt>
                      <c:pt idx="18">
                        <c:v>5.3942000000000003E-9</c:v>
                      </c:pt>
                      <c:pt idx="19">
                        <c:v>4.5885E-9</c:v>
                      </c:pt>
                      <c:pt idx="20">
                        <c:v>3.9075000000000004E-9</c:v>
                      </c:pt>
                      <c:pt idx="21">
                        <c:v>3.3401000000000001E-9</c:v>
                      </c:pt>
                      <c:pt idx="22">
                        <c:v>1.9017000000000002E-9</c:v>
                      </c:pt>
                      <c:pt idx="23">
                        <c:v>1.0337000000000001E-9</c:v>
                      </c:pt>
                      <c:pt idx="24">
                        <c:v>8.8833999999999995E-10</c:v>
                      </c:pt>
                      <c:pt idx="25">
                        <c:v>7.6410999999999996E-10</c:v>
                      </c:pt>
                      <c:pt idx="26">
                        <c:v>6.5776000000000001E-10</c:v>
                      </c:pt>
                      <c:pt idx="27">
                        <c:v>5.6653999999999999E-10</c:v>
                      </c:pt>
                      <c:pt idx="28">
                        <c:v>4.8829999999999996E-10</c:v>
                      </c:pt>
                      <c:pt idx="29">
                        <c:v>4.2284000000000001E-10</c:v>
                      </c:pt>
                      <c:pt idx="30">
                        <c:v>3.6505E-10</c:v>
                      </c:pt>
                      <c:pt idx="31">
                        <c:v>3.1482999999999999E-10</c:v>
                      </c:pt>
                      <c:pt idx="32">
                        <c:v>1.7455999999999999E-10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2.3804999999999998E-3</c:v>
                      </c:pt>
                      <c:pt idx="1">
                        <c:v>8.1585000000000008E-3</c:v>
                      </c:pt>
                      <c:pt idx="2">
                        <c:v>2.2703000000000001E-2</c:v>
                      </c:pt>
                      <c:pt idx="3">
                        <c:v>4.9029000000000003E-2</c:v>
                      </c:pt>
                      <c:pt idx="4">
                        <c:v>8.1378000000000006E-2</c:v>
                      </c:pt>
                      <c:pt idx="5">
                        <c:v>0.14174999999999999</c:v>
                      </c:pt>
                      <c:pt idx="6">
                        <c:v>0.15184</c:v>
                      </c:pt>
                      <c:pt idx="7">
                        <c:v>0.16986000000000001</c:v>
                      </c:pt>
                      <c:pt idx="8">
                        <c:v>0.19985</c:v>
                      </c:pt>
                      <c:pt idx="9">
                        <c:v>0.24199999999999999</c:v>
                      </c:pt>
                      <c:pt idx="10">
                        <c:v>0.29065999999999997</c:v>
                      </c:pt>
                      <c:pt idx="11">
                        <c:v>0.33589000000000002</c:v>
                      </c:pt>
                      <c:pt idx="12">
                        <c:v>0.37001000000000001</c:v>
                      </c:pt>
                      <c:pt idx="13">
                        <c:v>0.39185999999999999</c:v>
                      </c:pt>
                      <c:pt idx="14">
                        <c:v>0.40450000000000003</c:v>
                      </c:pt>
                      <c:pt idx="15">
                        <c:v>0.41147</c:v>
                      </c:pt>
                      <c:pt idx="16">
                        <c:v>0.41525000000000001</c:v>
                      </c:pt>
                      <c:pt idx="17">
                        <c:v>0.41732000000000002</c:v>
                      </c:pt>
                      <c:pt idx="18">
                        <c:v>0.41850999999999999</c:v>
                      </c:pt>
                      <c:pt idx="19">
                        <c:v>0.41932999999999998</c:v>
                      </c:pt>
                      <c:pt idx="20">
                        <c:v>0.42032999999999998</c:v>
                      </c:pt>
                      <c:pt idx="21">
                        <c:v>0.42265000000000003</c:v>
                      </c:pt>
                      <c:pt idx="22">
                        <c:v>0.45709</c:v>
                      </c:pt>
                      <c:pt idx="23">
                        <c:v>0.46577000000000002</c:v>
                      </c:pt>
                      <c:pt idx="24">
                        <c:v>0.46736</c:v>
                      </c:pt>
                      <c:pt idx="25">
                        <c:v>0.46901999999999999</c:v>
                      </c:pt>
                      <c:pt idx="26">
                        <c:v>0.47065000000000001</c:v>
                      </c:pt>
                      <c:pt idx="27">
                        <c:v>0.47219</c:v>
                      </c:pt>
                      <c:pt idx="28">
                        <c:v>0.47367999999999999</c:v>
                      </c:pt>
                      <c:pt idx="29">
                        <c:v>0.47704000000000002</c:v>
                      </c:pt>
                      <c:pt idx="30">
                        <c:v>0.47860999999999998</c:v>
                      </c:pt>
                      <c:pt idx="31">
                        <c:v>0.47933999999999999</c:v>
                      </c:pt>
                      <c:pt idx="32">
                        <c:v>0.47996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7.2273000000000001E-12</c:v>
                      </c:pt>
                      <c:pt idx="1">
                        <c:v>3.0615999999999998E-11</c:v>
                      </c:pt>
                      <c:pt idx="2">
                        <c:v>1.0052000000000001E-10</c:v>
                      </c:pt>
                      <c:pt idx="3">
                        <c:v>2.4645999999999999E-10</c:v>
                      </c:pt>
                      <c:pt idx="4">
                        <c:v>4.4978000000000002E-10</c:v>
                      </c:pt>
                      <c:pt idx="5">
                        <c:v>9.0864999999999996E-10</c:v>
                      </c:pt>
                      <c:pt idx="6">
                        <c:v>9.6864999999999996E-10</c:v>
                      </c:pt>
                      <c:pt idx="7">
                        <c:v>1.0653E-9</c:v>
                      </c:pt>
                      <c:pt idx="8">
                        <c:v>1.2192000000000001E-9</c:v>
                      </c:pt>
                      <c:pt idx="9">
                        <c:v>1.4232E-9</c:v>
                      </c:pt>
                      <c:pt idx="10">
                        <c:v>1.6345000000000001E-9</c:v>
                      </c:pt>
                      <c:pt idx="11">
                        <c:v>1.7936000000000001E-9</c:v>
                      </c:pt>
                      <c:pt idx="12">
                        <c:v>1.8648E-9</c:v>
                      </c:pt>
                      <c:pt idx="13">
                        <c:v>1.854E-9</c:v>
                      </c:pt>
                      <c:pt idx="14">
                        <c:v>1.7882000000000001E-9</c:v>
                      </c:pt>
                      <c:pt idx="15">
                        <c:v>1.6925000000000001E-9</c:v>
                      </c:pt>
                      <c:pt idx="16">
                        <c:v>1.5835E-9</c:v>
                      </c:pt>
                      <c:pt idx="17">
                        <c:v>1.4704E-9</c:v>
                      </c:pt>
                      <c:pt idx="18">
                        <c:v>1.3586E-9</c:v>
                      </c:pt>
                      <c:pt idx="19">
                        <c:v>1.2509999999999999E-9</c:v>
                      </c:pt>
                      <c:pt idx="20">
                        <c:v>1.1497000000000001E-9</c:v>
                      </c:pt>
                      <c:pt idx="21">
                        <c:v>1.0578E-9</c:v>
                      </c:pt>
                      <c:pt idx="22">
                        <c:v>7.8874999999999999E-10</c:v>
                      </c:pt>
                      <c:pt idx="23">
                        <c:v>5.4359999999999996E-10</c:v>
                      </c:pt>
                      <c:pt idx="24">
                        <c:v>4.9357999999999996E-10</c:v>
                      </c:pt>
                      <c:pt idx="25">
                        <c:v>4.4790000000000002E-10</c:v>
                      </c:pt>
                      <c:pt idx="26">
                        <c:v>4.0617E-10</c:v>
                      </c:pt>
                      <c:pt idx="27">
                        <c:v>3.6803000000000002E-10</c:v>
                      </c:pt>
                      <c:pt idx="28">
                        <c:v>3.3325000000000001E-10</c:v>
                      </c:pt>
                      <c:pt idx="29">
                        <c:v>3.0279999999999998E-10</c:v>
                      </c:pt>
                      <c:pt idx="30">
                        <c:v>2.7396999999999999E-10</c:v>
                      </c:pt>
                      <c:pt idx="31">
                        <c:v>2.4734E-10</c:v>
                      </c:pt>
                      <c:pt idx="32">
                        <c:v>1.6297000000000001E-10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(1)Geic]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5.2854000000000005E-7</c:v>
                      </c:pt>
                      <c:pt idx="1">
                        <c:v>1.1217E-6</c:v>
                      </c:pt>
                      <c:pt idx="2">
                        <c:v>2.6616999999999999E-6</c:v>
                      </c:pt>
                      <c:pt idx="3">
                        <c:v>7.6415999999999998E-6</c:v>
                      </c:pt>
                      <c:pt idx="4">
                        <c:v>2.5486E-5</c:v>
                      </c:pt>
                      <c:pt idx="5">
                        <c:v>2.6394000000000001E-3</c:v>
                      </c:pt>
                      <c:pt idx="6">
                        <c:v>6.7882000000000003E-3</c:v>
                      </c:pt>
                      <c:pt idx="7">
                        <c:v>1.537E-2</c:v>
                      </c:pt>
                      <c:pt idx="8">
                        <c:v>3.0145000000000002E-2</c:v>
                      </c:pt>
                      <c:pt idx="9">
                        <c:v>5.1109000000000002E-2</c:v>
                      </c:pt>
                      <c:pt idx="10">
                        <c:v>7.5374999999999998E-2</c:v>
                      </c:pt>
                      <c:pt idx="11">
                        <c:v>9.7961999999999994E-2</c:v>
                      </c:pt>
                      <c:pt idx="12">
                        <c:v>0.11501</c:v>
                      </c:pt>
                      <c:pt idx="13">
                        <c:v>0.12592999999999999</c:v>
                      </c:pt>
                      <c:pt idx="14">
                        <c:v>0.13225000000000001</c:v>
                      </c:pt>
                      <c:pt idx="15">
                        <c:v>0.13572999999999999</c:v>
                      </c:pt>
                      <c:pt idx="16">
                        <c:v>0.13761999999999999</c:v>
                      </c:pt>
                      <c:pt idx="17">
                        <c:v>0.13866000000000001</c:v>
                      </c:pt>
                      <c:pt idx="18">
                        <c:v>0.13922000000000001</c:v>
                      </c:pt>
                      <c:pt idx="19">
                        <c:v>0.13954</c:v>
                      </c:pt>
                      <c:pt idx="20">
                        <c:v>0.13972999999999999</c:v>
                      </c:pt>
                      <c:pt idx="21">
                        <c:v>0.13983000000000001</c:v>
                      </c:pt>
                      <c:pt idx="22">
                        <c:v>0.13997000000000001</c:v>
                      </c:pt>
                      <c:pt idx="23">
                        <c:v>0.13999</c:v>
                      </c:pt>
                      <c:pt idx="24">
                        <c:v>0.14000000000000001</c:v>
                      </c:pt>
                      <c:pt idx="25">
                        <c:v>0.14000000000000001</c:v>
                      </c:pt>
                      <c:pt idx="26">
                        <c:v>0.14000000000000001</c:v>
                      </c:pt>
                      <c:pt idx="27">
                        <c:v>0.14000000000000001</c:v>
                      </c:pt>
                      <c:pt idx="28">
                        <c:v>0.13999</c:v>
                      </c:pt>
                      <c:pt idx="29">
                        <c:v>0.13966999999999999</c:v>
                      </c:pt>
                      <c:pt idx="30">
                        <c:v>0.13941000000000001</c:v>
                      </c:pt>
                      <c:pt idx="31">
                        <c:v>0.13919000000000001</c:v>
                      </c:pt>
                      <c:pt idx="32">
                        <c:v>0.13839000000000001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1.4259E-22</c:v>
                      </c:pt>
                      <c:pt idx="24">
                        <c:v>4.8393000000000001E-18</c:v>
                      </c:pt>
                      <c:pt idx="25">
                        <c:v>8.6730999999999997E-14</c:v>
                      </c:pt>
                      <c:pt idx="26">
                        <c:v>7.9190000000000003E-10</c:v>
                      </c:pt>
                      <c:pt idx="27">
                        <c:v>1.4299000000000001E-7</c:v>
                      </c:pt>
                      <c:pt idx="28">
                        <c:v>5.5106000000000003E-4</c:v>
                      </c:pt>
                      <c:pt idx="29">
                        <c:v>1.2390999999999999E-2</c:v>
                      </c:pt>
                      <c:pt idx="30">
                        <c:v>1.9973000000000001E-2</c:v>
                      </c:pt>
                      <c:pt idx="31">
                        <c:v>2.5111000000000001E-2</c:v>
                      </c:pt>
                      <c:pt idx="32">
                        <c:v>3.5318000000000002E-2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2.2449000000000001E-23</c:v>
                      </c:pt>
                      <c:pt idx="24">
                        <c:v>5.7803000000000002E-19</c:v>
                      </c:pt>
                      <c:pt idx="25">
                        <c:v>8.0229000000000003E-15</c:v>
                      </c:pt>
                      <c:pt idx="26">
                        <c:v>5.7836000000000002E-11</c:v>
                      </c:pt>
                      <c:pt idx="27">
                        <c:v>8.3879E-9</c:v>
                      </c:pt>
                      <c:pt idx="28">
                        <c:v>2.6605999999999999E-5</c:v>
                      </c:pt>
                      <c:pt idx="29">
                        <c:v>6.5841999999999995E-4</c:v>
                      </c:pt>
                      <c:pt idx="30">
                        <c:v>1.1711E-3</c:v>
                      </c:pt>
                      <c:pt idx="31">
                        <c:v>1.6188000000000001E-3</c:v>
                      </c:pt>
                      <c:pt idx="32">
                        <c:v>3.2217000000000001E-3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-18.66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-18.66</c:v>
                      </c:pt>
                      <c:pt idx="4">
                        <c:v>-18.670000000000002</c:v>
                      </c:pt>
                      <c:pt idx="5">
                        <c:v>-18.75</c:v>
                      </c:pt>
                      <c:pt idx="6">
                        <c:v>-18.78</c:v>
                      </c:pt>
                      <c:pt idx="7">
                        <c:v>-18.809999999999999</c:v>
                      </c:pt>
                      <c:pt idx="8">
                        <c:v>-18.829999999999998</c:v>
                      </c:pt>
                      <c:pt idx="9">
                        <c:v>-18.86</c:v>
                      </c:pt>
                      <c:pt idx="10">
                        <c:v>-18.899999999999999</c:v>
                      </c:pt>
                      <c:pt idx="11">
                        <c:v>-18.93</c:v>
                      </c:pt>
                      <c:pt idx="12">
                        <c:v>-18.96</c:v>
                      </c:pt>
                      <c:pt idx="13">
                        <c:v>-18.989999999999998</c:v>
                      </c:pt>
                      <c:pt idx="14">
                        <c:v>-19.03</c:v>
                      </c:pt>
                      <c:pt idx="15">
                        <c:v>-19.059999999999999</c:v>
                      </c:pt>
                      <c:pt idx="16">
                        <c:v>-19.100000000000001</c:v>
                      </c:pt>
                      <c:pt idx="17">
                        <c:v>-19.13</c:v>
                      </c:pt>
                      <c:pt idx="18">
                        <c:v>-19.170000000000002</c:v>
                      </c:pt>
                      <c:pt idx="19">
                        <c:v>-19.2</c:v>
                      </c:pt>
                      <c:pt idx="20">
                        <c:v>-19.23</c:v>
                      </c:pt>
                      <c:pt idx="21">
                        <c:v>-19.27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-19.55</c:v>
                      </c:pt>
                      <c:pt idx="25">
                        <c:v>-19.579999999999998</c:v>
                      </c:pt>
                      <c:pt idx="26">
                        <c:v>-19.61</c:v>
                      </c:pt>
                      <c:pt idx="27">
                        <c:v>-19.64</c:v>
                      </c:pt>
                      <c:pt idx="28">
                        <c:v>-19.670000000000002</c:v>
                      </c:pt>
                      <c:pt idx="29">
                        <c:v>-19.7</c:v>
                      </c:pt>
                      <c:pt idx="30">
                        <c:v>-19.73</c:v>
                      </c:pt>
                      <c:pt idx="31">
                        <c:v>-19.760000000000002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-67.12</c:v>
                      </c:pt>
                      <c:pt idx="1">
                        <c:v>-63.52</c:v>
                      </c:pt>
                      <c:pt idx="2">
                        <c:v>-60.12</c:v>
                      </c:pt>
                      <c:pt idx="3">
                        <c:v>-56.76</c:v>
                      </c:pt>
                      <c:pt idx="4">
                        <c:v>-53.4</c:v>
                      </c:pt>
                      <c:pt idx="5">
                        <c:v>-41.04</c:v>
                      </c:pt>
                      <c:pt idx="6">
                        <c:v>-38.450000000000003</c:v>
                      </c:pt>
                      <c:pt idx="7">
                        <c:v>-36.08</c:v>
                      </c:pt>
                      <c:pt idx="8">
                        <c:v>-33.93</c:v>
                      </c:pt>
                      <c:pt idx="9">
                        <c:v>-31.94</c:v>
                      </c:pt>
                      <c:pt idx="10">
                        <c:v>-30.07</c:v>
                      </c:pt>
                      <c:pt idx="11">
                        <c:v>-28.28</c:v>
                      </c:pt>
                      <c:pt idx="12">
                        <c:v>-26.54</c:v>
                      </c:pt>
                      <c:pt idx="13">
                        <c:v>-24.87</c:v>
                      </c:pt>
                      <c:pt idx="14">
                        <c:v>-23.27</c:v>
                      </c:pt>
                      <c:pt idx="15">
                        <c:v>-21.74</c:v>
                      </c:pt>
                      <c:pt idx="16">
                        <c:v>-20.27</c:v>
                      </c:pt>
                      <c:pt idx="17">
                        <c:v>-18.87</c:v>
                      </c:pt>
                      <c:pt idx="18">
                        <c:v>-17.54</c:v>
                      </c:pt>
                      <c:pt idx="19">
                        <c:v>-16.260000000000002</c:v>
                      </c:pt>
                      <c:pt idx="20">
                        <c:v>-15.05</c:v>
                      </c:pt>
                      <c:pt idx="21">
                        <c:v>-13.91</c:v>
                      </c:pt>
                      <c:pt idx="22">
                        <c:v>-10.79</c:v>
                      </c:pt>
                      <c:pt idx="23">
                        <c:v>-9.1989999999999998</c:v>
                      </c:pt>
                      <c:pt idx="24">
                        <c:v>-8.8740000000000006</c:v>
                      </c:pt>
                      <c:pt idx="25">
                        <c:v>-8.5730000000000004</c:v>
                      </c:pt>
                      <c:pt idx="26">
                        <c:v>-8.2949999999999999</c:v>
                      </c:pt>
                      <c:pt idx="27">
                        <c:v>-8.0359999999999996</c:v>
                      </c:pt>
                      <c:pt idx="28">
                        <c:v>-7.8040000000000003</c:v>
                      </c:pt>
                      <c:pt idx="29">
                        <c:v>-7.8559999999999999</c:v>
                      </c:pt>
                      <c:pt idx="30">
                        <c:v>-7.915</c:v>
                      </c:pt>
                      <c:pt idx="31">
                        <c:v>-7.9720000000000004</c:v>
                      </c:pt>
                      <c:pt idx="32">
                        <c:v>-8.1969999999999992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-16.98</c:v>
                      </c:pt>
                      <c:pt idx="1">
                        <c:v>-16.239999999999998</c:v>
                      </c:pt>
                      <c:pt idx="2">
                        <c:v>-15.42</c:v>
                      </c:pt>
                      <c:pt idx="3">
                        <c:v>-14.46</c:v>
                      </c:pt>
                      <c:pt idx="4">
                        <c:v>-13.36</c:v>
                      </c:pt>
                      <c:pt idx="5">
                        <c:v>-8.9659999999999993</c:v>
                      </c:pt>
                      <c:pt idx="6">
                        <c:v>-8.077</c:v>
                      </c:pt>
                      <c:pt idx="7">
                        <c:v>-7.3339999999999996</c:v>
                      </c:pt>
                      <c:pt idx="8">
                        <c:v>-6.7590000000000003</c:v>
                      </c:pt>
                      <c:pt idx="9">
                        <c:v>-6.35</c:v>
                      </c:pt>
                      <c:pt idx="10">
                        <c:v>-6.0869999999999997</c:v>
                      </c:pt>
                      <c:pt idx="11">
                        <c:v>-5.9379999999999997</c:v>
                      </c:pt>
                      <c:pt idx="12">
                        <c:v>-5.87</c:v>
                      </c:pt>
                      <c:pt idx="13">
                        <c:v>-5.8520000000000003</c:v>
                      </c:pt>
                      <c:pt idx="14">
                        <c:v>-5.8609999999999998</c:v>
                      </c:pt>
                      <c:pt idx="15">
                        <c:v>-5.8860000000000001</c:v>
                      </c:pt>
                      <c:pt idx="16">
                        <c:v>-5.9180000000000001</c:v>
                      </c:pt>
                      <c:pt idx="17">
                        <c:v>-5.9550000000000001</c:v>
                      </c:pt>
                      <c:pt idx="18">
                        <c:v>-5.9930000000000003</c:v>
                      </c:pt>
                      <c:pt idx="19">
                        <c:v>-6.0330000000000004</c:v>
                      </c:pt>
                      <c:pt idx="20">
                        <c:v>-6.0739999999999998</c:v>
                      </c:pt>
                      <c:pt idx="21">
                        <c:v>-6.1180000000000003</c:v>
                      </c:pt>
                      <c:pt idx="22">
                        <c:v>-6.3319999999999999</c:v>
                      </c:pt>
                      <c:pt idx="23">
                        <c:v>-6.508</c:v>
                      </c:pt>
                      <c:pt idx="24">
                        <c:v>-6.5510000000000002</c:v>
                      </c:pt>
                      <c:pt idx="25">
                        <c:v>-6.5940000000000003</c:v>
                      </c:pt>
                      <c:pt idx="26">
                        <c:v>-6.6360000000000001</c:v>
                      </c:pt>
                      <c:pt idx="27">
                        <c:v>-6.6779999999999999</c:v>
                      </c:pt>
                      <c:pt idx="28">
                        <c:v>-6.7190000000000003</c:v>
                      </c:pt>
                      <c:pt idx="29">
                        <c:v>-6.7510000000000003</c:v>
                      </c:pt>
                      <c:pt idx="30">
                        <c:v>-6.7839999999999998</c:v>
                      </c:pt>
                      <c:pt idx="31">
                        <c:v>-6.8170000000000002</c:v>
                      </c:pt>
                      <c:pt idx="32">
                        <c:v>-6.9539999999999997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-22.53</c:v>
                      </c:pt>
                      <c:pt idx="2">
                        <c:v>-21.75</c:v>
                      </c:pt>
                      <c:pt idx="3">
                        <c:v>-21.28</c:v>
                      </c:pt>
                      <c:pt idx="4">
                        <c:v>-21.09</c:v>
                      </c:pt>
                      <c:pt idx="5">
                        <c:v>-21.65</c:v>
                      </c:pt>
                      <c:pt idx="6">
                        <c:v>-21.85</c:v>
                      </c:pt>
                      <c:pt idx="7">
                        <c:v>-22.03</c:v>
                      </c:pt>
                      <c:pt idx="8">
                        <c:v>-22.18</c:v>
                      </c:pt>
                      <c:pt idx="9">
                        <c:v>-22.32</c:v>
                      </c:pt>
                      <c:pt idx="10">
                        <c:v>-22.47</c:v>
                      </c:pt>
                      <c:pt idx="11">
                        <c:v>-22.65</c:v>
                      </c:pt>
                      <c:pt idx="12">
                        <c:v>-22.86</c:v>
                      </c:pt>
                      <c:pt idx="13">
                        <c:v>-23.08</c:v>
                      </c:pt>
                      <c:pt idx="14">
                        <c:v>-23.31</c:v>
                      </c:pt>
                      <c:pt idx="15">
                        <c:v>-23.54</c:v>
                      </c:pt>
                      <c:pt idx="16">
                        <c:v>-23.78</c:v>
                      </c:pt>
                      <c:pt idx="17">
                        <c:v>-24.01</c:v>
                      </c:pt>
                      <c:pt idx="18">
                        <c:v>-24.25</c:v>
                      </c:pt>
                      <c:pt idx="19">
                        <c:v>-24.48</c:v>
                      </c:pt>
                      <c:pt idx="20">
                        <c:v>-24.71</c:v>
                      </c:pt>
                      <c:pt idx="21">
                        <c:v>-24.94</c:v>
                      </c:pt>
                      <c:pt idx="22">
                        <c:v>-25.82</c:v>
                      </c:pt>
                      <c:pt idx="23">
                        <c:v>-26.68</c:v>
                      </c:pt>
                      <c:pt idx="24">
                        <c:v>-26.9</c:v>
                      </c:pt>
                      <c:pt idx="25">
                        <c:v>-27.11</c:v>
                      </c:pt>
                      <c:pt idx="26">
                        <c:v>-27.32</c:v>
                      </c:pt>
                      <c:pt idx="27">
                        <c:v>-27.52</c:v>
                      </c:pt>
                      <c:pt idx="28">
                        <c:v>-27.73</c:v>
                      </c:pt>
                      <c:pt idx="29">
                        <c:v>-27.92</c:v>
                      </c:pt>
                      <c:pt idx="30">
                        <c:v>-28.11</c:v>
                      </c:pt>
                      <c:pt idx="31">
                        <c:v>-28.3</c:v>
                      </c:pt>
                      <c:pt idx="32">
                        <c:v>-29.08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ALL!$F$123:$AL$123</c:f>
              <c:numCache>
                <c:formatCode>General</c:formatCode>
                <c:ptCount val="33"/>
                <c:pt idx="0">
                  <c:v>-138.25933621916215</c:v>
                </c:pt>
                <c:pt idx="1">
                  <c:v>-140.28345403313827</c:v>
                </c:pt>
                <c:pt idx="2">
                  <c:v>-142.62706086943717</c:v>
                </c:pt>
                <c:pt idx="3">
                  <c:v>-145.58270951348359</c:v>
                </c:pt>
                <c:pt idx="4">
                  <c:v>-148.9549166075719</c:v>
                </c:pt>
                <c:pt idx="5">
                  <c:v>-163.65796285442946</c:v>
                </c:pt>
                <c:pt idx="6">
                  <c:v>-167.65961923392808</c:v>
                </c:pt>
                <c:pt idx="7">
                  <c:v>-172.06080777583637</c:v>
                </c:pt>
                <c:pt idx="8">
                  <c:v>-177.03020804486849</c:v>
                </c:pt>
                <c:pt idx="9">
                  <c:v>-182.5954597127739</c:v>
                </c:pt>
                <c:pt idx="10">
                  <c:v>-188.79362828712445</c:v>
                </c:pt>
                <c:pt idx="11">
                  <c:v>-195.54439707765377</c:v>
                </c:pt>
                <c:pt idx="12">
                  <c:v>-202.71474068398356</c:v>
                </c:pt>
                <c:pt idx="13">
                  <c:v>-210.13861587612112</c:v>
                </c:pt>
                <c:pt idx="14">
                  <c:v>-217.7098632496205</c:v>
                </c:pt>
                <c:pt idx="15">
                  <c:v>-225.39690642683649</c:v>
                </c:pt>
                <c:pt idx="16">
                  <c:v>-233.26374175175252</c:v>
                </c:pt>
                <c:pt idx="17">
                  <c:v>-241.17280794127376</c:v>
                </c:pt>
                <c:pt idx="18">
                  <c:v>-249.32576592846698</c:v>
                </c:pt>
                <c:pt idx="19">
                  <c:v>-257.49597303351482</c:v>
                </c:pt>
                <c:pt idx="20">
                  <c:v>-265.8953744740831</c:v>
                </c:pt>
                <c:pt idx="21">
                  <c:v>-274.78323727860652</c:v>
                </c:pt>
                <c:pt idx="22">
                  <c:v>-317.91923673329478</c:v>
                </c:pt>
                <c:pt idx="23">
                  <c:v>-357.03928653904933</c:v>
                </c:pt>
                <c:pt idx="24">
                  <c:v>-366.93941464348023</c:v>
                </c:pt>
                <c:pt idx="25">
                  <c:v>-376.846072638929</c:v>
                </c:pt>
                <c:pt idx="26">
                  <c:v>-386.85408888476098</c:v>
                </c:pt>
                <c:pt idx="27">
                  <c:v>-396.86542065946702</c:v>
                </c:pt>
                <c:pt idx="28">
                  <c:v>-407.04318115256251</c:v>
                </c:pt>
                <c:pt idx="29">
                  <c:v>-414.76745649540379</c:v>
                </c:pt>
                <c:pt idx="30">
                  <c:v>-423.41450278074808</c:v>
                </c:pt>
                <c:pt idx="31">
                  <c:v>-432.63018951556705</c:v>
                </c:pt>
                <c:pt idx="32">
                  <c:v>-472.7836176019282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-152.03948624034498</c:v>
                </c:pt>
                <c:pt idx="1">
                  <c:v>-154.00293394315176</c:v>
                </c:pt>
                <c:pt idx="2">
                  <c:v>-156.04708052646609</c:v>
                </c:pt>
                <c:pt idx="3">
                  <c:v>-158.43297173319891</c:v>
                </c:pt>
                <c:pt idx="4">
                  <c:v>-161.16067631927277</c:v>
                </c:pt>
                <c:pt idx="5">
                  <c:v>-175.04230586490877</c:v>
                </c:pt>
                <c:pt idx="6">
                  <c:v>-178.95494781052045</c:v>
                </c:pt>
                <c:pt idx="7">
                  <c:v>-183.13596321176772</c:v>
                </c:pt>
                <c:pt idx="8">
                  <c:v>-187.71199304889328</c:v>
                </c:pt>
                <c:pt idx="9">
                  <c:v>-192.74218316419257</c:v>
                </c:pt>
                <c:pt idx="10">
                  <c:v>-198.38520965896166</c:v>
                </c:pt>
                <c:pt idx="11">
                  <c:v>-204.68729515117855</c:v>
                </c:pt>
                <c:pt idx="12">
                  <c:v>-211.57025401672936</c:v>
                </c:pt>
                <c:pt idx="13">
                  <c:v>-218.85114981232812</c:v>
                </c:pt>
                <c:pt idx="14">
                  <c:v>-226.3747185719329</c:v>
                </c:pt>
                <c:pt idx="15">
                  <c:v>-234.06983540394793</c:v>
                </c:pt>
                <c:pt idx="16">
                  <c:v>-241.97643990488743</c:v>
                </c:pt>
                <c:pt idx="17">
                  <c:v>-249.93885341550592</c:v>
                </c:pt>
                <c:pt idx="18">
                  <c:v>-258.15210319445413</c:v>
                </c:pt>
                <c:pt idx="19">
                  <c:v>-266.35255490756589</c:v>
                </c:pt>
                <c:pt idx="20">
                  <c:v>-274.67913097273538</c:v>
                </c:pt>
                <c:pt idx="21">
                  <c:v>-283.15601130880697</c:v>
                </c:pt>
                <c:pt idx="22">
                  <c:v>-318.91341797993584</c:v>
                </c:pt>
                <c:pt idx="23">
                  <c:v>-357.05634946701252</c:v>
                </c:pt>
                <c:pt idx="24">
                  <c:v>-366.94561575360683</c:v>
                </c:pt>
                <c:pt idx="25">
                  <c:v>-376.84834063605808</c:v>
                </c:pt>
                <c:pt idx="26">
                  <c:v>-386.85493020329841</c:v>
                </c:pt>
                <c:pt idx="27">
                  <c:v>-396.86574884622581</c:v>
                </c:pt>
                <c:pt idx="28">
                  <c:v>-407.0433326343279</c:v>
                </c:pt>
                <c:pt idx="29">
                  <c:v>-414.7675228630539</c:v>
                </c:pt>
                <c:pt idx="30">
                  <c:v>-423.41455065238</c:v>
                </c:pt>
                <c:pt idx="31">
                  <c:v>-432.63023378893905</c:v>
                </c:pt>
                <c:pt idx="32">
                  <c:v>-472.78366118751887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-152.03948624034498</c:v>
                </c:pt>
                <c:pt idx="1">
                  <c:v>-154.00293394315176</c:v>
                </c:pt>
                <c:pt idx="2">
                  <c:v>-156.04708052646609</c:v>
                </c:pt>
                <c:pt idx="3">
                  <c:v>-158.43297173319891</c:v>
                </c:pt>
                <c:pt idx="4">
                  <c:v>-161.16067631927277</c:v>
                </c:pt>
                <c:pt idx="5">
                  <c:v>-175.04230586490877</c:v>
                </c:pt>
                <c:pt idx="6">
                  <c:v>-178.95494781052045</c:v>
                </c:pt>
                <c:pt idx="7">
                  <c:v>-183.13596321176772</c:v>
                </c:pt>
                <c:pt idx="8">
                  <c:v>-187.71199304889328</c:v>
                </c:pt>
                <c:pt idx="9">
                  <c:v>-192.74218316419257</c:v>
                </c:pt>
                <c:pt idx="10">
                  <c:v>-198.38520965896166</c:v>
                </c:pt>
                <c:pt idx="11">
                  <c:v>-204.68729515117855</c:v>
                </c:pt>
                <c:pt idx="12">
                  <c:v>-211.57025401672936</c:v>
                </c:pt>
                <c:pt idx="13">
                  <c:v>-218.85114981232812</c:v>
                </c:pt>
                <c:pt idx="14">
                  <c:v>-226.3747185719329</c:v>
                </c:pt>
                <c:pt idx="15">
                  <c:v>-234.06983540394793</c:v>
                </c:pt>
                <c:pt idx="16">
                  <c:v>-241.97643990488743</c:v>
                </c:pt>
                <c:pt idx="17">
                  <c:v>-249.93885341550592</c:v>
                </c:pt>
                <c:pt idx="18">
                  <c:v>-258.15210319445413</c:v>
                </c:pt>
                <c:pt idx="19">
                  <c:v>-266.35255490756589</c:v>
                </c:pt>
                <c:pt idx="20">
                  <c:v>-274.67913097273538</c:v>
                </c:pt>
                <c:pt idx="21">
                  <c:v>-283.15601130880697</c:v>
                </c:pt>
                <c:pt idx="22">
                  <c:v>-318.91341797993584</c:v>
                </c:pt>
                <c:pt idx="23">
                  <c:v>-357.05634946701252</c:v>
                </c:pt>
                <c:pt idx="24">
                  <c:v>-366.94561575360683</c:v>
                </c:pt>
                <c:pt idx="25">
                  <c:v>-376.84834063607781</c:v>
                </c:pt>
                <c:pt idx="26">
                  <c:v>-386.85493037905377</c:v>
                </c:pt>
                <c:pt idx="27">
                  <c:v>-396.86577989999813</c:v>
                </c:pt>
                <c:pt idx="28">
                  <c:v>-407.16096612231996</c:v>
                </c:pt>
                <c:pt idx="29">
                  <c:v>-417.49056408525638</c:v>
                </c:pt>
                <c:pt idx="30">
                  <c:v>-427.93754581833753</c:v>
                </c:pt>
                <c:pt idx="31">
                  <c:v>-438.48775725766313</c:v>
                </c:pt>
                <c:pt idx="32">
                  <c:v>-482.04557909567279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ALL!$B$114:$B$115</c:f>
              <c:numCache>
                <c:formatCode>0</c:formatCode>
                <c:ptCount val="2"/>
                <c:pt idx="0">
                  <c:v>-482.04501535714286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735.7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884.4</c:v>
                </c:pt>
                <c:pt idx="29">
                  <c:v>900.9</c:v>
                </c:pt>
                <c:pt idx="30">
                  <c:v>917.4</c:v>
                </c:pt>
                <c:pt idx="31">
                  <c:v>933.9</c:v>
                </c:pt>
                <c:pt idx="32">
                  <c:v>1000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-152.03891136642861</c:v>
                </c:pt>
                <c:pt idx="1">
                  <c:v>-154.00607693057142</c:v>
                </c:pt>
                <c:pt idx="2">
                  <c:v>-156.04911587057143</c:v>
                </c:pt>
                <c:pt idx="3">
                  <c:v>-158.43258132299999</c:v>
                </c:pt>
                <c:pt idx="4">
                  <c:v>-161.15876571428572</c:v>
                </c:pt>
                <c:pt idx="5">
                  <c:v>-175.04147519909998</c:v>
                </c:pt>
                <c:pt idx="6">
                  <c:v>-178.95455161470002</c:v>
                </c:pt>
                <c:pt idx="7">
                  <c:v>-183.13790581890004</c:v>
                </c:pt>
                <c:pt idx="8">
                  <c:v>-187.71008179544998</c:v>
                </c:pt>
                <c:pt idx="9">
                  <c:v>-192.74201398842857</c:v>
                </c:pt>
                <c:pt idx="10">
                  <c:v>-198.38092938734999</c:v>
                </c:pt>
                <c:pt idx="11">
                  <c:v>-204.68664891925712</c:v>
                </c:pt>
                <c:pt idx="12">
                  <c:v>-211.57047599250004</c:v>
                </c:pt>
                <c:pt idx="13">
                  <c:v>-218.85162617678571</c:v>
                </c:pt>
                <c:pt idx="14">
                  <c:v>-226.37463685157141</c:v>
                </c:pt>
                <c:pt idx="15">
                  <c:v>-234.06891434849999</c:v>
                </c:pt>
                <c:pt idx="16">
                  <c:v>-241.97792924914287</c:v>
                </c:pt>
                <c:pt idx="17">
                  <c:v>-249.94023950089291</c:v>
                </c:pt>
                <c:pt idx="18">
                  <c:v>-258.15271654742145</c:v>
                </c:pt>
                <c:pt idx="19">
                  <c:v>-266.35261601224289</c:v>
                </c:pt>
                <c:pt idx="20">
                  <c:v>-274.68123427080002</c:v>
                </c:pt>
                <c:pt idx="21">
                  <c:v>-283.1542333467429</c:v>
                </c:pt>
                <c:pt idx="22">
                  <c:v>-318.91649446830002</c:v>
                </c:pt>
                <c:pt idx="23">
                  <c:v>-357.05651848307139</c:v>
                </c:pt>
                <c:pt idx="24">
                  <c:v>-366.94693729155</c:v>
                </c:pt>
                <c:pt idx="25">
                  <c:v>-376.84470516779999</c:v>
                </c:pt>
                <c:pt idx="26">
                  <c:v>-386.85742789570713</c:v>
                </c:pt>
                <c:pt idx="27">
                  <c:v>-396.86544722974287</c:v>
                </c:pt>
                <c:pt idx="28">
                  <c:v>-407.16199954979993</c:v>
                </c:pt>
                <c:pt idx="29">
                  <c:v>-417.4934201509501</c:v>
                </c:pt>
                <c:pt idx="30">
                  <c:v>-427.94028354612857</c:v>
                </c:pt>
                <c:pt idx="31">
                  <c:v>-438.48566450157853</c:v>
                </c:pt>
                <c:pt idx="32">
                  <c:v>-482.04501535714286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-3.4708607412758862E-20</c:v>
                      </c:pt>
                      <c:pt idx="24">
                        <c:v>-1.1355133014573897E-15</c:v>
                      </c:pt>
                      <c:pt idx="25">
                        <c:v>-1.9743216113992303E-11</c:v>
                      </c:pt>
                      <c:pt idx="26">
                        <c:v>-1.7575537705058117E-7</c:v>
                      </c:pt>
                      <c:pt idx="27">
                        <c:v>-3.1053772332817487E-5</c:v>
                      </c:pt>
                      <c:pt idx="28">
                        <c:v>-0.11763348799203781</c:v>
                      </c:pt>
                      <c:pt idx="29">
                        <c:v>-2.7230412222024829</c:v>
                      </c:pt>
                      <c:pt idx="30">
                        <c:v>-4.5229951659575507</c:v>
                      </c:pt>
                      <c:pt idx="31">
                        <c:v>-5.8575234687240929</c:v>
                      </c:pt>
                      <c:pt idx="32">
                        <c:v>-9.2619179081539276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774B-47E8-A19D-44B695C09DB0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-13.780150021182845</c:v>
                      </c:pt>
                      <c:pt idx="1">
                        <c:v>-13.719479910013501</c:v>
                      </c:pt>
                      <c:pt idx="2">
                        <c:v>-13.420019657028917</c:v>
                      </c:pt>
                      <c:pt idx="3">
                        <c:v>-12.850262219715306</c:v>
                      </c:pt>
                      <c:pt idx="4">
                        <c:v>-12.205759711700876</c:v>
                      </c:pt>
                      <c:pt idx="5">
                        <c:v>-11.384343010479316</c:v>
                      </c:pt>
                      <c:pt idx="6">
                        <c:v>-11.295328576592365</c:v>
                      </c:pt>
                      <c:pt idx="7">
                        <c:v>-11.075155435931345</c:v>
                      </c:pt>
                      <c:pt idx="8">
                        <c:v>-10.681785004024798</c:v>
                      </c:pt>
                      <c:pt idx="9">
                        <c:v>-10.14672345141866</c:v>
                      </c:pt>
                      <c:pt idx="10">
                        <c:v>-9.5915813718371989</c:v>
                      </c:pt>
                      <c:pt idx="11">
                        <c:v>-9.1428980735247798</c:v>
                      </c:pt>
                      <c:pt idx="12">
                        <c:v>-8.8555133327458044</c:v>
                      </c:pt>
                      <c:pt idx="13">
                        <c:v>-8.7125339362070093</c:v>
                      </c:pt>
                      <c:pt idx="14">
                        <c:v>-8.6648553223124036</c:v>
                      </c:pt>
                      <c:pt idx="15">
                        <c:v>-8.672928977111436</c:v>
                      </c:pt>
                      <c:pt idx="16">
                        <c:v>-8.712698153134907</c:v>
                      </c:pt>
                      <c:pt idx="17">
                        <c:v>-8.766045474232163</c:v>
                      </c:pt>
                      <c:pt idx="18">
                        <c:v>-8.8263372659871226</c:v>
                      </c:pt>
                      <c:pt idx="19">
                        <c:v>-8.8565818740510522</c:v>
                      </c:pt>
                      <c:pt idx="20">
                        <c:v>-8.7837564986522931</c:v>
                      </c:pt>
                      <c:pt idx="21">
                        <c:v>-8.3727740302004339</c:v>
                      </c:pt>
                      <c:pt idx="22">
                        <c:v>-0.99418124664108398</c:v>
                      </c:pt>
                      <c:pt idx="23">
                        <c:v>-1.7062927963174535E-2</c:v>
                      </c:pt>
                      <c:pt idx="24">
                        <c:v>-6.2011101265737993E-3</c:v>
                      </c:pt>
                      <c:pt idx="25">
                        <c:v>-2.2679971290620023E-3</c:v>
                      </c:pt>
                      <c:pt idx="26">
                        <c:v>-8.4131853743693444E-4</c:v>
                      </c:pt>
                      <c:pt idx="27">
                        <c:v>-3.2818675877928556E-4</c:v>
                      </c:pt>
                      <c:pt idx="28">
                        <c:v>-1.514817653685323E-4</c:v>
                      </c:pt>
                      <c:pt idx="29">
                        <c:v>-6.6367650121287367E-5</c:v>
                      </c:pt>
                      <c:pt idx="30">
                        <c:v>-4.7871631901840948E-5</c:v>
                      </c:pt>
                      <c:pt idx="31">
                        <c:v>-4.427337200441796E-5</c:v>
                      </c:pt>
                      <c:pt idx="32">
                        <c:v>-4.3585590670203575E-5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-13.780150021182845</c:v>
                      </c:pt>
                      <c:pt idx="1">
                        <c:v>-13.719479910013501</c:v>
                      </c:pt>
                      <c:pt idx="2">
                        <c:v>-13.420019657028917</c:v>
                      </c:pt>
                      <c:pt idx="3">
                        <c:v>-12.850262219715306</c:v>
                      </c:pt>
                      <c:pt idx="4">
                        <c:v>-12.205759711700876</c:v>
                      </c:pt>
                      <c:pt idx="5">
                        <c:v>-11.384343010479316</c:v>
                      </c:pt>
                      <c:pt idx="6">
                        <c:v>-11.295328576592365</c:v>
                      </c:pt>
                      <c:pt idx="7">
                        <c:v>-11.075155435931345</c:v>
                      </c:pt>
                      <c:pt idx="8">
                        <c:v>-10.681785004024798</c:v>
                      </c:pt>
                      <c:pt idx="9">
                        <c:v>-10.14672345141866</c:v>
                      </c:pt>
                      <c:pt idx="10">
                        <c:v>-9.5915813718371989</c:v>
                      </c:pt>
                      <c:pt idx="11">
                        <c:v>-9.1428980735247798</c:v>
                      </c:pt>
                      <c:pt idx="12">
                        <c:v>-8.8555133327458044</c:v>
                      </c:pt>
                      <c:pt idx="13">
                        <c:v>-8.7125339362070093</c:v>
                      </c:pt>
                      <c:pt idx="14">
                        <c:v>-8.6648553223124036</c:v>
                      </c:pt>
                      <c:pt idx="15">
                        <c:v>-8.672928977111436</c:v>
                      </c:pt>
                      <c:pt idx="16">
                        <c:v>-8.712698153134907</c:v>
                      </c:pt>
                      <c:pt idx="17">
                        <c:v>-8.766045474232163</c:v>
                      </c:pt>
                      <c:pt idx="18">
                        <c:v>-8.8263372659871226</c:v>
                      </c:pt>
                      <c:pt idx="19">
                        <c:v>-8.8565818740510522</c:v>
                      </c:pt>
                      <c:pt idx="20">
                        <c:v>-8.7837564986522931</c:v>
                      </c:pt>
                      <c:pt idx="21">
                        <c:v>-8.3727740302004339</c:v>
                      </c:pt>
                      <c:pt idx="22">
                        <c:v>-0.99418124664108398</c:v>
                      </c:pt>
                      <c:pt idx="23">
                        <c:v>-1.7062927963174535E-2</c:v>
                      </c:pt>
                      <c:pt idx="24">
                        <c:v>-6.2011101265749347E-3</c:v>
                      </c:pt>
                      <c:pt idx="25">
                        <c:v>-2.2679971488052185E-3</c:v>
                      </c:pt>
                      <c:pt idx="26">
                        <c:v>-8.41494292813985E-4</c:v>
                      </c:pt>
                      <c:pt idx="27">
                        <c:v>-3.5924053111210306E-4</c:v>
                      </c:pt>
                      <c:pt idx="28">
                        <c:v>-0.11778496975740634</c:v>
                      </c:pt>
                      <c:pt idx="29">
                        <c:v>-2.7231075898526043</c:v>
                      </c:pt>
                      <c:pt idx="30">
                        <c:v>-4.5230430375894528</c:v>
                      </c:pt>
                      <c:pt idx="31">
                        <c:v>-5.857567742096097</c:v>
                      </c:pt>
                      <c:pt idx="32">
                        <c:v>-9.2619614937445984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>
                        <c:v>735.7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884.4</c:v>
                      </c:pt>
                      <c:pt idx="29">
                        <c:v>900.9</c:v>
                      </c:pt>
                      <c:pt idx="30">
                        <c:v>917.4</c:v>
                      </c:pt>
                      <c:pt idx="31">
                        <c:v>933.9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-1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2.9827000000000001E-9</c:v>
                </c:pt>
                <c:pt idx="1">
                  <c:v>5.4655999999999998E-9</c:v>
                </c:pt>
                <c:pt idx="2">
                  <c:v>8.6291999999999999E-9</c:v>
                </c:pt>
                <c:pt idx="3">
                  <c:v>1.5218000000000001E-8</c:v>
                </c:pt>
                <c:pt idx="4">
                  <c:v>2.2297999999999999E-8</c:v>
                </c:pt>
                <c:pt idx="5">
                  <c:v>3.6994E-8</c:v>
                </c:pt>
                <c:pt idx="6">
                  <c:v>2.3000000000000001E-8</c:v>
                </c:pt>
                <c:pt idx="7">
                  <c:v>1.1274000000000001E-8</c:v>
                </c:pt>
                <c:pt idx="8">
                  <c:v>3.6984E-9</c:v>
                </c:pt>
                <c:pt idx="9">
                  <c:v>4.7711999999999997E-12</c:v>
                </c:pt>
                <c:pt idx="10">
                  <c:v>7.1197000000000007E-18</c:v>
                </c:pt>
                <c:pt idx="11">
                  <c:v>5.4020999999999997E-25</c:v>
                </c:pt>
                <c:pt idx="12">
                  <c:v>1.4035000000000001E-32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6.1428999999999998E-28</c:v>
                </c:pt>
                <c:pt idx="24">
                  <c:v>1.8061E-22</c:v>
                </c:pt>
                <c:pt idx="25">
                  <c:v>2.1782E-17</c:v>
                </c:pt>
                <c:pt idx="26">
                  <c:v>1.0454999999999999E-12</c:v>
                </c:pt>
                <c:pt idx="27">
                  <c:v>5.7881999999999997E-10</c:v>
                </c:pt>
                <c:pt idx="28">
                  <c:v>1.8897999999999999E-7</c:v>
                </c:pt>
                <c:pt idx="29">
                  <c:v>6.7478E-6</c:v>
                </c:pt>
                <c:pt idx="30">
                  <c:v>5.5303999999999996E-6</c:v>
                </c:pt>
                <c:pt idx="31">
                  <c:v>4.3992000000000002E-6</c:v>
                </c:pt>
                <c:pt idx="32">
                  <c:v>2.1291999999999999E-6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5.8711000000000001E-31</c:v>
                </c:pt>
                <c:pt idx="3">
                  <c:v>6.2772999999999996E-25</c:v>
                </c:pt>
                <c:pt idx="4">
                  <c:v>8.6447999999999994E-22</c:v>
                </c:pt>
                <c:pt idx="5">
                  <c:v>2.0010999999999999E-17</c:v>
                </c:pt>
                <c:pt idx="6">
                  <c:v>7.7615999999999997E-16</c:v>
                </c:pt>
                <c:pt idx="7">
                  <c:v>3.5560999999999999E-13</c:v>
                </c:pt>
                <c:pt idx="8">
                  <c:v>4.4159000000000002E-10</c:v>
                </c:pt>
                <c:pt idx="9">
                  <c:v>5.0248000000000003E-9</c:v>
                </c:pt>
                <c:pt idx="10">
                  <c:v>6.2596000000000002E-9</c:v>
                </c:pt>
                <c:pt idx="11">
                  <c:v>1.0265E-8</c:v>
                </c:pt>
                <c:pt idx="12">
                  <c:v>2.1635999999999999E-8</c:v>
                </c:pt>
                <c:pt idx="13">
                  <c:v>1.5935E-8</c:v>
                </c:pt>
                <c:pt idx="14">
                  <c:v>2.6362000000000001E-8</c:v>
                </c:pt>
                <c:pt idx="15">
                  <c:v>2.0599000000000001E-8</c:v>
                </c:pt>
                <c:pt idx="16">
                  <c:v>2.3733000000000001E-8</c:v>
                </c:pt>
                <c:pt idx="17">
                  <c:v>2.3631999999999999E-8</c:v>
                </c:pt>
                <c:pt idx="18">
                  <c:v>2.2979E-8</c:v>
                </c:pt>
                <c:pt idx="19">
                  <c:v>2.3184999999999999E-8</c:v>
                </c:pt>
                <c:pt idx="20">
                  <c:v>2.3359000000000001E-8</c:v>
                </c:pt>
                <c:pt idx="21">
                  <c:v>2.4491999999999999E-8</c:v>
                </c:pt>
                <c:pt idx="22">
                  <c:v>3.1211000000000001E-8</c:v>
                </c:pt>
                <c:pt idx="23">
                  <c:v>3.2555000000000003E-8</c:v>
                </c:pt>
                <c:pt idx="24">
                  <c:v>3.2135999999999997E-8</c:v>
                </c:pt>
                <c:pt idx="25">
                  <c:v>3.1651999999999998E-8</c:v>
                </c:pt>
                <c:pt idx="26">
                  <c:v>3.1298E-8</c:v>
                </c:pt>
                <c:pt idx="27">
                  <c:v>1.2007000000000001E-10</c:v>
                </c:pt>
                <c:pt idx="28">
                  <c:v>1.5713E-29</c:v>
                </c:pt>
                <c:pt idx="29">
                  <c:v>1.8893E-29</c:v>
                </c:pt>
                <c:pt idx="30">
                  <c:v>3.5658999999999998E-30</c:v>
                </c:pt>
                <c:pt idx="31">
                  <c:v>2.3366000000000001E-29</c:v>
                </c:pt>
                <c:pt idx="32">
                  <c:v>4.121E-23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0.13761999999999999</c:v>
                </c:pt>
                <c:pt idx="1">
                  <c:v>0.13184000000000001</c:v>
                </c:pt>
                <c:pt idx="2">
                  <c:v>0.1173</c:v>
                </c:pt>
                <c:pt idx="3">
                  <c:v>9.0985999999999997E-2</c:v>
                </c:pt>
                <c:pt idx="4">
                  <c:v>5.8673000000000003E-2</c:v>
                </c:pt>
                <c:pt idx="5">
                  <c:v>3.5301E-3</c:v>
                </c:pt>
                <c:pt idx="6">
                  <c:v>1.7362E-3</c:v>
                </c:pt>
                <c:pt idx="7">
                  <c:v>8.7681E-4</c:v>
                </c:pt>
                <c:pt idx="8">
                  <c:v>4.4354000000000003E-4</c:v>
                </c:pt>
                <c:pt idx="9">
                  <c:v>2.1458999999999999E-4</c:v>
                </c:pt>
                <c:pt idx="10">
                  <c:v>9.4772999999999995E-5</c:v>
                </c:pt>
                <c:pt idx="11">
                  <c:v>3.7471000000000001E-5</c:v>
                </c:pt>
                <c:pt idx="12">
                  <c:v>1.3517E-5</c:v>
                </c:pt>
                <c:pt idx="13">
                  <c:v>4.6341999999999996E-6</c:v>
                </c:pt>
                <c:pt idx="14">
                  <c:v>1.5689999999999999E-6</c:v>
                </c:pt>
                <c:pt idx="15">
                  <c:v>5.3781999999999998E-7</c:v>
                </c:pt>
                <c:pt idx="16">
                  <c:v>1.8911999999999999E-7</c:v>
                </c:pt>
                <c:pt idx="17">
                  <c:v>6.8608000000000001E-8</c:v>
                </c:pt>
                <c:pt idx="18">
                  <c:v>2.5722E-8</c:v>
                </c:pt>
                <c:pt idx="19">
                  <c:v>9.9647999999999993E-9</c:v>
                </c:pt>
                <c:pt idx="20">
                  <c:v>3.9866999999999999E-9</c:v>
                </c:pt>
                <c:pt idx="21">
                  <c:v>1.6471E-9</c:v>
                </c:pt>
                <c:pt idx="22">
                  <c:v>6.4954000000000001E-11</c:v>
                </c:pt>
                <c:pt idx="23">
                  <c:v>3.496E-12</c:v>
                </c:pt>
                <c:pt idx="24">
                  <c:v>1.7611E-12</c:v>
                </c:pt>
                <c:pt idx="25">
                  <c:v>9.0203999999999996E-13</c:v>
                </c:pt>
                <c:pt idx="26">
                  <c:v>4.6937999999999996E-13</c:v>
                </c:pt>
                <c:pt idx="27">
                  <c:v>2.4795999999999999E-13</c:v>
                </c:pt>
                <c:pt idx="28">
                  <c:v>1.3305E-13</c:v>
                </c:pt>
                <c:pt idx="29">
                  <c:v>7.4307999999999995E-14</c:v>
                </c:pt>
                <c:pt idx="30">
                  <c:v>4.1655E-14</c:v>
                </c:pt>
                <c:pt idx="31">
                  <c:v>2.3510999999999999E-14</c:v>
                </c:pt>
                <c:pt idx="32">
                  <c:v>2.6029999999999999E-15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0.14238000000000001</c:v>
                </c:pt>
                <c:pt idx="1">
                  <c:v>0.14815</c:v>
                </c:pt>
                <c:pt idx="2">
                  <c:v>0.16269</c:v>
                </c:pt>
                <c:pt idx="3">
                  <c:v>0.189</c:v>
                </c:pt>
                <c:pt idx="4">
                  <c:v>0.22128</c:v>
                </c:pt>
                <c:pt idx="5">
                  <c:v>0.27118999999999999</c:v>
                </c:pt>
                <c:pt idx="6">
                  <c:v>0.26468999999999998</c:v>
                </c:pt>
                <c:pt idx="7">
                  <c:v>0.24837999999999999</c:v>
                </c:pt>
                <c:pt idx="8">
                  <c:v>0.21926999999999999</c:v>
                </c:pt>
                <c:pt idx="9">
                  <c:v>0.17757000000000001</c:v>
                </c:pt>
                <c:pt idx="10">
                  <c:v>0.12916</c:v>
                </c:pt>
                <c:pt idx="11">
                  <c:v>8.4039000000000003E-2</c:v>
                </c:pt>
                <c:pt idx="12">
                  <c:v>4.9964000000000001E-2</c:v>
                </c:pt>
                <c:pt idx="13">
                  <c:v>2.8131E-2</c:v>
                </c:pt>
                <c:pt idx="14">
                  <c:v>1.5495999999999999E-2</c:v>
                </c:pt>
                <c:pt idx="15">
                  <c:v>8.5325999999999996E-3</c:v>
                </c:pt>
                <c:pt idx="16">
                  <c:v>4.7505999999999998E-3</c:v>
                </c:pt>
                <c:pt idx="17">
                  <c:v>2.6887999999999999E-3</c:v>
                </c:pt>
                <c:pt idx="18">
                  <c:v>1.5502999999999999E-3</c:v>
                </c:pt>
                <c:pt idx="19">
                  <c:v>9.1091999999999996E-4</c:v>
                </c:pt>
                <c:pt idx="20">
                  <c:v>5.4536999999999999E-4</c:v>
                </c:pt>
                <c:pt idx="21">
                  <c:v>3.3270000000000001E-4</c:v>
                </c:pt>
                <c:pt idx="22">
                  <c:v>5.4917000000000003E-5</c:v>
                </c:pt>
                <c:pt idx="23">
                  <c:v>1.0937999999999999E-5</c:v>
                </c:pt>
                <c:pt idx="24">
                  <c:v>7.5044999999999999E-6</c:v>
                </c:pt>
                <c:pt idx="25">
                  <c:v>5.1990999999999999E-6</c:v>
                </c:pt>
                <c:pt idx="26">
                  <c:v>3.6355000000000002E-6</c:v>
                </c:pt>
                <c:pt idx="27">
                  <c:v>2.5647000000000002E-6</c:v>
                </c:pt>
                <c:pt idx="28">
                  <c:v>1.8256999999999999E-6</c:v>
                </c:pt>
                <c:pt idx="29">
                  <c:v>1.3259000000000001E-6</c:v>
                </c:pt>
                <c:pt idx="30">
                  <c:v>9.660599999999999E-7</c:v>
                </c:pt>
                <c:pt idx="31">
                  <c:v>7.0707999999999995E-7</c:v>
                </c:pt>
                <c:pt idx="32">
                  <c:v>2.1397999999999999E-7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1.1708E-2</c:v>
                </c:pt>
                <c:pt idx="1">
                  <c:v>1.1806000000000001E-2</c:v>
                </c:pt>
                <c:pt idx="2">
                  <c:v>1.2043E-2</c:v>
                </c:pt>
                <c:pt idx="3">
                  <c:v>1.2439E-2</c:v>
                </c:pt>
                <c:pt idx="4">
                  <c:v>1.2874999999999999E-2</c:v>
                </c:pt>
                <c:pt idx="5">
                  <c:v>1.3566999999999999E-2</c:v>
                </c:pt>
                <c:pt idx="6">
                  <c:v>1.3669000000000001E-2</c:v>
                </c:pt>
                <c:pt idx="7">
                  <c:v>1.3845E-2</c:v>
                </c:pt>
                <c:pt idx="8">
                  <c:v>1.4116E-2</c:v>
                </c:pt>
                <c:pt idx="9">
                  <c:v>1.4460000000000001E-2</c:v>
                </c:pt>
                <c:pt idx="10">
                  <c:v>1.481E-2</c:v>
                </c:pt>
                <c:pt idx="11">
                  <c:v>1.5096999999999999E-2</c:v>
                </c:pt>
                <c:pt idx="12">
                  <c:v>1.5294E-2</c:v>
                </c:pt>
                <c:pt idx="13">
                  <c:v>1.5412E-2</c:v>
                </c:pt>
                <c:pt idx="14">
                  <c:v>1.5478E-2</c:v>
                </c:pt>
                <c:pt idx="15">
                  <c:v>1.5513000000000001E-2</c:v>
                </c:pt>
                <c:pt idx="16">
                  <c:v>1.5531E-2</c:v>
                </c:pt>
                <c:pt idx="17">
                  <c:v>1.5537E-2</c:v>
                </c:pt>
                <c:pt idx="18">
                  <c:v>1.5526E-2</c:v>
                </c:pt>
                <c:pt idx="19">
                  <c:v>1.5462999999999999E-2</c:v>
                </c:pt>
                <c:pt idx="20">
                  <c:v>1.5226E-2</c:v>
                </c:pt>
                <c:pt idx="21">
                  <c:v>1.4445E-2</c:v>
                </c:pt>
                <c:pt idx="22">
                  <c:v>1.7378999999999999E-3</c:v>
                </c:pt>
                <c:pt idx="23">
                  <c:v>2.8085E-5</c:v>
                </c:pt>
                <c:pt idx="24">
                  <c:v>1.0037000000000001E-5</c:v>
                </c:pt>
                <c:pt idx="25">
                  <c:v>3.6059000000000001E-6</c:v>
                </c:pt>
                <c:pt idx="26">
                  <c:v>1.3024E-6</c:v>
                </c:pt>
                <c:pt idx="27">
                  <c:v>4.7406E-7</c:v>
                </c:pt>
                <c:pt idx="28">
                  <c:v>1.7140000000000001E-7</c:v>
                </c:pt>
                <c:pt idx="29">
                  <c:v>3.7789000000000002E-8</c:v>
                </c:pt>
                <c:pt idx="30">
                  <c:v>8.4633000000000007E-9</c:v>
                </c:pt>
                <c:pt idx="31">
                  <c:v>1.9569000000000001E-9</c:v>
                </c:pt>
                <c:pt idx="32">
                  <c:v>7.7382000000000003E-12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7.5756000000000005E-29</c:v>
                </c:pt>
                <c:pt idx="1">
                  <c:v>2.9401999999999999E-27</c:v>
                </c:pt>
                <c:pt idx="2">
                  <c:v>9.9583000000000004E-26</c:v>
                </c:pt>
                <c:pt idx="3">
                  <c:v>3.5787999999999998E-24</c:v>
                </c:pt>
                <c:pt idx="4">
                  <c:v>1.4182000000000001E-22</c:v>
                </c:pt>
                <c:pt idx="5">
                  <c:v>1.2896E-16</c:v>
                </c:pt>
                <c:pt idx="6">
                  <c:v>2.2897000000000001E-15</c:v>
                </c:pt>
                <c:pt idx="7">
                  <c:v>3.1573000000000001E-14</c:v>
                </c:pt>
                <c:pt idx="8">
                  <c:v>3.4560000000000001E-13</c:v>
                </c:pt>
                <c:pt idx="9">
                  <c:v>3.1638999999999999E-12</c:v>
                </c:pt>
                <c:pt idx="10">
                  <c:v>2.5638999999999999E-11</c:v>
                </c:pt>
                <c:pt idx="11">
                  <c:v>1.9056999999999999E-10</c:v>
                </c:pt>
                <c:pt idx="12">
                  <c:v>1.3130999999999999E-9</c:v>
                </c:pt>
                <c:pt idx="13">
                  <c:v>8.3702999999999995E-9</c:v>
                </c:pt>
                <c:pt idx="14">
                  <c:v>4.9187999999999997E-8</c:v>
                </c:pt>
                <c:pt idx="15">
                  <c:v>2.664E-7</c:v>
                </c:pt>
                <c:pt idx="16">
                  <c:v>1.3331E-6</c:v>
                </c:pt>
                <c:pt idx="17">
                  <c:v>6.1879999999999999E-6</c:v>
                </c:pt>
                <c:pt idx="18">
                  <c:v>2.6750999999999998E-5</c:v>
                </c:pt>
                <c:pt idx="19">
                  <c:v>1.0794999999999999E-4</c:v>
                </c:pt>
                <c:pt idx="20">
                  <c:v>4.0492000000000002E-4</c:v>
                </c:pt>
                <c:pt idx="21">
                  <c:v>1.3795999999999999E-3</c:v>
                </c:pt>
                <c:pt idx="22">
                  <c:v>1.6258999999999999E-2</c:v>
                </c:pt>
                <c:pt idx="23">
                  <c:v>1.4115000000000001E-2</c:v>
                </c:pt>
                <c:pt idx="24">
                  <c:v>1.2591E-2</c:v>
                </c:pt>
                <c:pt idx="25">
                  <c:v>1.0965000000000001E-2</c:v>
                </c:pt>
                <c:pt idx="26">
                  <c:v>9.3370999999999992E-3</c:v>
                </c:pt>
                <c:pt idx="27">
                  <c:v>7.8056000000000002E-3</c:v>
                </c:pt>
                <c:pt idx="28">
                  <c:v>6.3140999999999996E-3</c:v>
                </c:pt>
                <c:pt idx="29">
                  <c:v>2.9566000000000002E-3</c:v>
                </c:pt>
                <c:pt idx="30">
                  <c:v>1.3887999999999999E-3</c:v>
                </c:pt>
                <c:pt idx="31">
                  <c:v>6.6326999999999998E-4</c:v>
                </c:pt>
                <c:pt idx="32">
                  <c:v>4.0513999999999999E-5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5.2854000000000005E-7</c:v>
                </c:pt>
                <c:pt idx="1">
                  <c:v>1.1217E-6</c:v>
                </c:pt>
                <c:pt idx="2">
                  <c:v>2.6616999999999999E-6</c:v>
                </c:pt>
                <c:pt idx="3">
                  <c:v>7.6415999999999998E-6</c:v>
                </c:pt>
                <c:pt idx="4">
                  <c:v>2.5486E-5</c:v>
                </c:pt>
                <c:pt idx="5">
                  <c:v>2.6394000000000001E-3</c:v>
                </c:pt>
                <c:pt idx="6">
                  <c:v>6.7882000000000003E-3</c:v>
                </c:pt>
                <c:pt idx="7">
                  <c:v>1.537E-2</c:v>
                </c:pt>
                <c:pt idx="8">
                  <c:v>3.0145000000000002E-2</c:v>
                </c:pt>
                <c:pt idx="9">
                  <c:v>5.1109000000000002E-2</c:v>
                </c:pt>
                <c:pt idx="10">
                  <c:v>7.5374999999999998E-2</c:v>
                </c:pt>
                <c:pt idx="11">
                  <c:v>9.7961999999999994E-2</c:v>
                </c:pt>
                <c:pt idx="12">
                  <c:v>0.11501</c:v>
                </c:pt>
                <c:pt idx="13">
                  <c:v>0.12592999999999999</c:v>
                </c:pt>
                <c:pt idx="14">
                  <c:v>0.13225000000000001</c:v>
                </c:pt>
                <c:pt idx="15">
                  <c:v>0.13572999999999999</c:v>
                </c:pt>
                <c:pt idx="16">
                  <c:v>0.13761999999999999</c:v>
                </c:pt>
                <c:pt idx="17">
                  <c:v>0.13866000000000001</c:v>
                </c:pt>
                <c:pt idx="18">
                  <c:v>0.13922000000000001</c:v>
                </c:pt>
                <c:pt idx="19">
                  <c:v>0.13954</c:v>
                </c:pt>
                <c:pt idx="20">
                  <c:v>0.13972999999999999</c:v>
                </c:pt>
                <c:pt idx="21">
                  <c:v>0.13983000000000001</c:v>
                </c:pt>
                <c:pt idx="22">
                  <c:v>0.13997000000000001</c:v>
                </c:pt>
                <c:pt idx="23">
                  <c:v>0.13999</c:v>
                </c:pt>
                <c:pt idx="24">
                  <c:v>0.14000000000000001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0.14000000000000001</c:v>
                </c:pt>
                <c:pt idx="28">
                  <c:v>0.13999</c:v>
                </c:pt>
                <c:pt idx="29">
                  <c:v>0.13966999999999999</c:v>
                </c:pt>
                <c:pt idx="30">
                  <c:v>0.13941000000000001</c:v>
                </c:pt>
                <c:pt idx="31">
                  <c:v>0.13919000000000001</c:v>
                </c:pt>
                <c:pt idx="32">
                  <c:v>0.13839000000000001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2.7998999999999999E-28</c:v>
                </c:pt>
                <c:pt idx="1">
                  <c:v>1.0385999999999999E-26</c:v>
                </c:pt>
                <c:pt idx="2">
                  <c:v>3.2712999999999998E-25</c:v>
                </c:pt>
                <c:pt idx="3">
                  <c:v>1.026E-23</c:v>
                </c:pt>
                <c:pt idx="4">
                  <c:v>3.2961E-22</c:v>
                </c:pt>
                <c:pt idx="5">
                  <c:v>1.0036000000000001E-16</c:v>
                </c:pt>
                <c:pt idx="6">
                  <c:v>1.4244E-15</c:v>
                </c:pt>
                <c:pt idx="7">
                  <c:v>1.6396999999999999E-14</c:v>
                </c:pt>
                <c:pt idx="8">
                  <c:v>1.5638000000000001E-13</c:v>
                </c:pt>
                <c:pt idx="9">
                  <c:v>1.2856000000000001E-12</c:v>
                </c:pt>
                <c:pt idx="10">
                  <c:v>9.4622000000000006E-12</c:v>
                </c:pt>
                <c:pt idx="11">
                  <c:v>6.3634E-11</c:v>
                </c:pt>
                <c:pt idx="12">
                  <c:v>3.9289000000000003E-10</c:v>
                </c:pt>
                <c:pt idx="13">
                  <c:v>2.2262E-9</c:v>
                </c:pt>
                <c:pt idx="14">
                  <c:v>1.1587E-8</c:v>
                </c:pt>
                <c:pt idx="15">
                  <c:v>5.5549000000000003E-8</c:v>
                </c:pt>
                <c:pt idx="16">
                  <c:v>2.4629999999999998E-7</c:v>
                </c:pt>
                <c:pt idx="17">
                  <c:v>1.0144E-6</c:v>
                </c:pt>
                <c:pt idx="18">
                  <c:v>3.8963999999999997E-6</c:v>
                </c:pt>
                <c:pt idx="19">
                  <c:v>1.3995999999999999E-5</c:v>
                </c:pt>
                <c:pt idx="20">
                  <c:v>4.6999000000000002E-5</c:v>
                </c:pt>
                <c:pt idx="21">
                  <c:v>1.4606999999999999E-4</c:v>
                </c:pt>
                <c:pt idx="22">
                  <c:v>3.0864999999999998E-3</c:v>
                </c:pt>
                <c:pt idx="23">
                  <c:v>1.1698999999999999E-2</c:v>
                </c:pt>
                <c:pt idx="24">
                  <c:v>1.4792E-2</c:v>
                </c:pt>
                <c:pt idx="25">
                  <c:v>1.8062000000000002E-2</c:v>
                </c:pt>
                <c:pt idx="26">
                  <c:v>2.1322000000000001E-2</c:v>
                </c:pt>
                <c:pt idx="27">
                  <c:v>2.4386999999999999E-2</c:v>
                </c:pt>
                <c:pt idx="28">
                  <c:v>2.682E-2</c:v>
                </c:pt>
                <c:pt idx="29">
                  <c:v>2.1689E-2</c:v>
                </c:pt>
                <c:pt idx="30">
                  <c:v>1.7243999999999999E-2</c:v>
                </c:pt>
                <c:pt idx="31">
                  <c:v>1.3558000000000001E-2</c:v>
                </c:pt>
                <c:pt idx="32">
                  <c:v>4.5989000000000004E-3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2.8265000000000001E-9</c:v>
                </c:pt>
                <c:pt idx="1">
                  <c:v>8.0000999999999993E-9</c:v>
                </c:pt>
                <c:pt idx="2">
                  <c:v>1.8224000000000002E-8</c:v>
                </c:pt>
                <c:pt idx="3">
                  <c:v>3.2019999999999998E-8</c:v>
                </c:pt>
                <c:pt idx="4">
                  <c:v>4.3060000000000003E-8</c:v>
                </c:pt>
                <c:pt idx="5">
                  <c:v>3.1809999999999998E-8</c:v>
                </c:pt>
                <c:pt idx="6">
                  <c:v>2.7503000000000001E-8</c:v>
                </c:pt>
                <c:pt idx="7">
                  <c:v>2.4861E-8</c:v>
                </c:pt>
                <c:pt idx="8">
                  <c:v>2.3668999999999998E-8</c:v>
                </c:pt>
                <c:pt idx="9">
                  <c:v>2.3231999999999999E-8</c:v>
                </c:pt>
                <c:pt idx="10">
                  <c:v>2.2659000000000001E-8</c:v>
                </c:pt>
                <c:pt idx="11">
                  <c:v>2.1959999999999999E-8</c:v>
                </c:pt>
                <c:pt idx="12">
                  <c:v>2.0686999999999999E-8</c:v>
                </c:pt>
                <c:pt idx="13">
                  <c:v>1.8737999999999999E-8</c:v>
                </c:pt>
                <c:pt idx="14">
                  <c:v>1.6546000000000001E-8</c:v>
                </c:pt>
                <c:pt idx="15">
                  <c:v>1.4403E-8</c:v>
                </c:pt>
                <c:pt idx="16">
                  <c:v>1.2445E-8</c:v>
                </c:pt>
                <c:pt idx="17">
                  <c:v>1.0713E-8</c:v>
                </c:pt>
                <c:pt idx="18">
                  <c:v>9.2080999999999993E-9</c:v>
                </c:pt>
                <c:pt idx="19">
                  <c:v>7.9125999999999993E-9</c:v>
                </c:pt>
                <c:pt idx="20">
                  <c:v>6.8070999999999998E-9</c:v>
                </c:pt>
                <c:pt idx="21">
                  <c:v>5.8781999999999998E-9</c:v>
                </c:pt>
                <c:pt idx="22">
                  <c:v>3.4846000000000001E-9</c:v>
                </c:pt>
                <c:pt idx="23">
                  <c:v>1.9703000000000001E-9</c:v>
                </c:pt>
                <c:pt idx="24">
                  <c:v>1.7096E-9</c:v>
                </c:pt>
                <c:pt idx="25">
                  <c:v>1.4847000000000001E-9</c:v>
                </c:pt>
                <c:pt idx="26">
                  <c:v>1.2903E-9</c:v>
                </c:pt>
                <c:pt idx="27">
                  <c:v>1.1219E-9</c:v>
                </c:pt>
                <c:pt idx="28">
                  <c:v>9.7606000000000004E-10</c:v>
                </c:pt>
                <c:pt idx="29">
                  <c:v>8.5312000000000005E-10</c:v>
                </c:pt>
                <c:pt idx="30">
                  <c:v>7.4336000000000001E-10</c:v>
                </c:pt>
                <c:pt idx="31">
                  <c:v>6.4702000000000001E-10</c:v>
                </c:pt>
                <c:pt idx="32">
                  <c:v>3.7200000000000001E-10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6.5148000000000001E-10</c:v>
                </c:pt>
                <c:pt idx="1">
                  <c:v>2.0896999999999999E-9</c:v>
                </c:pt>
                <c:pt idx="2">
                  <c:v>5.3268000000000003E-9</c:v>
                </c:pt>
                <c:pt idx="3">
                  <c:v>1.036E-8</c:v>
                </c:pt>
                <c:pt idx="4">
                  <c:v>1.5276999999999998E-8</c:v>
                </c:pt>
                <c:pt idx="5">
                  <c:v>1.5183000000000001E-8</c:v>
                </c:pt>
                <c:pt idx="6">
                  <c:v>1.3939999999999999E-8</c:v>
                </c:pt>
                <c:pt idx="7">
                  <c:v>1.3321000000000001E-8</c:v>
                </c:pt>
                <c:pt idx="8">
                  <c:v>1.3354E-8</c:v>
                </c:pt>
                <c:pt idx="9">
                  <c:v>1.3752E-8</c:v>
                </c:pt>
                <c:pt idx="10">
                  <c:v>1.4025999999999999E-8</c:v>
                </c:pt>
                <c:pt idx="11">
                  <c:v>1.3751E-8</c:v>
                </c:pt>
                <c:pt idx="12">
                  <c:v>1.2843E-8</c:v>
                </c:pt>
                <c:pt idx="13">
                  <c:v>1.1528000000000001E-8</c:v>
                </c:pt>
                <c:pt idx="14">
                  <c:v>1.0085000000000001E-8</c:v>
                </c:pt>
                <c:pt idx="15">
                  <c:v>8.6941000000000004E-9</c:v>
                </c:pt>
                <c:pt idx="16">
                  <c:v>7.4380999999999998E-9</c:v>
                </c:pt>
                <c:pt idx="17">
                  <c:v>6.3395000000000003E-9</c:v>
                </c:pt>
                <c:pt idx="18">
                  <c:v>5.3942000000000003E-9</c:v>
                </c:pt>
                <c:pt idx="19">
                  <c:v>4.5885E-9</c:v>
                </c:pt>
                <c:pt idx="20">
                  <c:v>3.9075000000000004E-9</c:v>
                </c:pt>
                <c:pt idx="21">
                  <c:v>3.3401000000000001E-9</c:v>
                </c:pt>
                <c:pt idx="22">
                  <c:v>1.9017000000000002E-9</c:v>
                </c:pt>
                <c:pt idx="23">
                  <c:v>1.0337000000000001E-9</c:v>
                </c:pt>
                <c:pt idx="24">
                  <c:v>8.8833999999999995E-10</c:v>
                </c:pt>
                <c:pt idx="25">
                  <c:v>7.6410999999999996E-10</c:v>
                </c:pt>
                <c:pt idx="26">
                  <c:v>6.5776000000000001E-10</c:v>
                </c:pt>
                <c:pt idx="27">
                  <c:v>5.6653999999999999E-10</c:v>
                </c:pt>
                <c:pt idx="28">
                  <c:v>4.8829999999999996E-10</c:v>
                </c:pt>
                <c:pt idx="29">
                  <c:v>4.2284000000000001E-10</c:v>
                </c:pt>
                <c:pt idx="30">
                  <c:v>3.6505E-10</c:v>
                </c:pt>
                <c:pt idx="31">
                  <c:v>3.1482999999999999E-10</c:v>
                </c:pt>
                <c:pt idx="32">
                  <c:v>1.7455999999999999E-10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2.3804999999999998E-3</c:v>
                </c:pt>
                <c:pt idx="1">
                  <c:v>8.1585000000000008E-3</c:v>
                </c:pt>
                <c:pt idx="2">
                  <c:v>2.2703000000000001E-2</c:v>
                </c:pt>
                <c:pt idx="3">
                  <c:v>4.9029000000000003E-2</c:v>
                </c:pt>
                <c:pt idx="4">
                  <c:v>8.1378000000000006E-2</c:v>
                </c:pt>
                <c:pt idx="5">
                  <c:v>0.14174999999999999</c:v>
                </c:pt>
                <c:pt idx="6">
                  <c:v>0.15184</c:v>
                </c:pt>
                <c:pt idx="7">
                  <c:v>0.16986000000000001</c:v>
                </c:pt>
                <c:pt idx="8">
                  <c:v>0.19985</c:v>
                </c:pt>
                <c:pt idx="9">
                  <c:v>0.24199999999999999</c:v>
                </c:pt>
                <c:pt idx="10">
                  <c:v>0.29065999999999997</c:v>
                </c:pt>
                <c:pt idx="11">
                  <c:v>0.33589000000000002</c:v>
                </c:pt>
                <c:pt idx="12">
                  <c:v>0.37001000000000001</c:v>
                </c:pt>
                <c:pt idx="13">
                  <c:v>0.39185999999999999</c:v>
                </c:pt>
                <c:pt idx="14">
                  <c:v>0.40450000000000003</c:v>
                </c:pt>
                <c:pt idx="15">
                  <c:v>0.41147</c:v>
                </c:pt>
                <c:pt idx="16">
                  <c:v>0.41525000000000001</c:v>
                </c:pt>
                <c:pt idx="17">
                  <c:v>0.41732000000000002</c:v>
                </c:pt>
                <c:pt idx="18">
                  <c:v>0.41850999999999999</c:v>
                </c:pt>
                <c:pt idx="19">
                  <c:v>0.41932999999999998</c:v>
                </c:pt>
                <c:pt idx="20">
                  <c:v>0.42032999999999998</c:v>
                </c:pt>
                <c:pt idx="21">
                  <c:v>0.42265000000000003</c:v>
                </c:pt>
                <c:pt idx="22">
                  <c:v>0.45709</c:v>
                </c:pt>
                <c:pt idx="23">
                  <c:v>0.46577000000000002</c:v>
                </c:pt>
                <c:pt idx="24">
                  <c:v>0.46736</c:v>
                </c:pt>
                <c:pt idx="25">
                  <c:v>0.46901999999999999</c:v>
                </c:pt>
                <c:pt idx="26">
                  <c:v>0.47065000000000001</c:v>
                </c:pt>
                <c:pt idx="27">
                  <c:v>0.47219</c:v>
                </c:pt>
                <c:pt idx="28">
                  <c:v>0.47367999999999999</c:v>
                </c:pt>
                <c:pt idx="29">
                  <c:v>0.47704000000000002</c:v>
                </c:pt>
                <c:pt idx="30">
                  <c:v>0.47860999999999998</c:v>
                </c:pt>
                <c:pt idx="31">
                  <c:v>0.47933999999999999</c:v>
                </c:pt>
                <c:pt idx="32">
                  <c:v>0.47996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7.2273000000000001E-12</c:v>
                </c:pt>
                <c:pt idx="1">
                  <c:v>3.0615999999999998E-11</c:v>
                </c:pt>
                <c:pt idx="2">
                  <c:v>1.0052000000000001E-10</c:v>
                </c:pt>
                <c:pt idx="3">
                  <c:v>2.4645999999999999E-10</c:v>
                </c:pt>
                <c:pt idx="4">
                  <c:v>4.4978000000000002E-10</c:v>
                </c:pt>
                <c:pt idx="5">
                  <c:v>9.0864999999999996E-10</c:v>
                </c:pt>
                <c:pt idx="6">
                  <c:v>9.6864999999999996E-10</c:v>
                </c:pt>
                <c:pt idx="7">
                  <c:v>1.0653E-9</c:v>
                </c:pt>
                <c:pt idx="8">
                  <c:v>1.2192000000000001E-9</c:v>
                </c:pt>
                <c:pt idx="9">
                  <c:v>1.4232E-9</c:v>
                </c:pt>
                <c:pt idx="10">
                  <c:v>1.6345000000000001E-9</c:v>
                </c:pt>
                <c:pt idx="11">
                  <c:v>1.7936000000000001E-9</c:v>
                </c:pt>
                <c:pt idx="12">
                  <c:v>1.8648E-9</c:v>
                </c:pt>
                <c:pt idx="13">
                  <c:v>1.854E-9</c:v>
                </c:pt>
                <c:pt idx="14">
                  <c:v>1.7882000000000001E-9</c:v>
                </c:pt>
                <c:pt idx="15">
                  <c:v>1.6925000000000001E-9</c:v>
                </c:pt>
                <c:pt idx="16">
                  <c:v>1.5835E-9</c:v>
                </c:pt>
                <c:pt idx="17">
                  <c:v>1.4704E-9</c:v>
                </c:pt>
                <c:pt idx="18">
                  <c:v>1.3586E-9</c:v>
                </c:pt>
                <c:pt idx="19">
                  <c:v>1.2509999999999999E-9</c:v>
                </c:pt>
                <c:pt idx="20">
                  <c:v>1.1497000000000001E-9</c:v>
                </c:pt>
                <c:pt idx="21">
                  <c:v>1.0578E-9</c:v>
                </c:pt>
                <c:pt idx="22">
                  <c:v>7.8874999999999999E-10</c:v>
                </c:pt>
                <c:pt idx="23">
                  <c:v>5.4359999999999996E-10</c:v>
                </c:pt>
                <c:pt idx="24">
                  <c:v>4.9357999999999996E-10</c:v>
                </c:pt>
                <c:pt idx="25">
                  <c:v>4.4790000000000002E-10</c:v>
                </c:pt>
                <c:pt idx="26">
                  <c:v>4.0617E-10</c:v>
                </c:pt>
                <c:pt idx="27">
                  <c:v>3.6803000000000002E-10</c:v>
                </c:pt>
                <c:pt idx="28">
                  <c:v>3.3325000000000001E-10</c:v>
                </c:pt>
                <c:pt idx="29">
                  <c:v>3.0279999999999998E-10</c:v>
                </c:pt>
                <c:pt idx="30">
                  <c:v>2.7396999999999999E-10</c:v>
                </c:pt>
                <c:pt idx="31">
                  <c:v>2.4734E-10</c:v>
                </c:pt>
                <c:pt idx="32">
                  <c:v>1.6297000000000001E-10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(1)Geic]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5.2854000000000005E-7</c:v>
                </c:pt>
                <c:pt idx="1">
                  <c:v>1.1217E-6</c:v>
                </c:pt>
                <c:pt idx="2">
                  <c:v>2.6616999999999999E-6</c:v>
                </c:pt>
                <c:pt idx="3">
                  <c:v>7.6415999999999998E-6</c:v>
                </c:pt>
                <c:pt idx="4">
                  <c:v>2.5486E-5</c:v>
                </c:pt>
                <c:pt idx="5">
                  <c:v>2.6394000000000001E-3</c:v>
                </c:pt>
                <c:pt idx="6">
                  <c:v>6.7882000000000003E-3</c:v>
                </c:pt>
                <c:pt idx="7">
                  <c:v>1.537E-2</c:v>
                </c:pt>
                <c:pt idx="8">
                  <c:v>3.0145000000000002E-2</c:v>
                </c:pt>
                <c:pt idx="9">
                  <c:v>5.1109000000000002E-2</c:v>
                </c:pt>
                <c:pt idx="10">
                  <c:v>7.5374999999999998E-2</c:v>
                </c:pt>
                <c:pt idx="11">
                  <c:v>9.7961999999999994E-2</c:v>
                </c:pt>
                <c:pt idx="12">
                  <c:v>0.11501</c:v>
                </c:pt>
                <c:pt idx="13">
                  <c:v>0.12592999999999999</c:v>
                </c:pt>
                <c:pt idx="14">
                  <c:v>0.13225000000000001</c:v>
                </c:pt>
                <c:pt idx="15">
                  <c:v>0.13572999999999999</c:v>
                </c:pt>
                <c:pt idx="16">
                  <c:v>0.13761999999999999</c:v>
                </c:pt>
                <c:pt idx="17">
                  <c:v>0.13866000000000001</c:v>
                </c:pt>
                <c:pt idx="18">
                  <c:v>0.13922000000000001</c:v>
                </c:pt>
                <c:pt idx="19">
                  <c:v>0.13954</c:v>
                </c:pt>
                <c:pt idx="20">
                  <c:v>0.13972999999999999</c:v>
                </c:pt>
                <c:pt idx="21">
                  <c:v>0.13983000000000001</c:v>
                </c:pt>
                <c:pt idx="22">
                  <c:v>0.13997000000000001</c:v>
                </c:pt>
                <c:pt idx="23">
                  <c:v>0.13999</c:v>
                </c:pt>
                <c:pt idx="24">
                  <c:v>0.14000000000000001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0.14000000000000001</c:v>
                </c:pt>
                <c:pt idx="28">
                  <c:v>0.13999</c:v>
                </c:pt>
                <c:pt idx="29">
                  <c:v>0.13966999999999999</c:v>
                </c:pt>
                <c:pt idx="30">
                  <c:v>0.13941000000000001</c:v>
                </c:pt>
                <c:pt idx="31">
                  <c:v>0.13919000000000001</c:v>
                </c:pt>
                <c:pt idx="32">
                  <c:v>0.13839000000000001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421.8</c:v>
                </c:pt>
                <c:pt idx="7">
                  <c:v>438.3</c:v>
                </c:pt>
                <c:pt idx="8">
                  <c:v>454.9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735.7</c:v>
                </c:pt>
                <c:pt idx="23" formatCode="0">
                  <c:v>801.8</c:v>
                </c:pt>
                <c:pt idx="24" formatCode="0">
                  <c:v>818.3</c:v>
                </c:pt>
                <c:pt idx="25" formatCode="0">
                  <c:v>834.8</c:v>
                </c:pt>
                <c:pt idx="26" formatCode="0">
                  <c:v>851.3</c:v>
                </c:pt>
                <c:pt idx="27" formatCode="0">
                  <c:v>867.8</c:v>
                </c:pt>
                <c:pt idx="28" formatCode="0">
                  <c:v>884.4</c:v>
                </c:pt>
                <c:pt idx="29" formatCode="0">
                  <c:v>900.9</c:v>
                </c:pt>
                <c:pt idx="30" formatCode="0">
                  <c:v>917.4</c:v>
                </c:pt>
                <c:pt idx="31" formatCode="0">
                  <c:v>933.9</c:v>
                </c:pt>
                <c:pt idx="32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1.4259E-22</c:v>
                </c:pt>
                <c:pt idx="24">
                  <c:v>4.8393000000000001E-18</c:v>
                </c:pt>
                <c:pt idx="25">
                  <c:v>8.6730999999999997E-14</c:v>
                </c:pt>
                <c:pt idx="26">
                  <c:v>7.9190000000000003E-10</c:v>
                </c:pt>
                <c:pt idx="27">
                  <c:v>1.4299000000000001E-7</c:v>
                </c:pt>
                <c:pt idx="28">
                  <c:v>5.5106000000000003E-4</c:v>
                </c:pt>
                <c:pt idx="29">
                  <c:v>1.2390999999999999E-2</c:v>
                </c:pt>
                <c:pt idx="30">
                  <c:v>1.9973000000000001E-2</c:v>
                </c:pt>
                <c:pt idx="31">
                  <c:v>2.5111000000000001E-2</c:v>
                </c:pt>
                <c:pt idx="32">
                  <c:v>3.5318000000000002E-2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1.4458999999999999E-9</c:v>
                      </c:pt>
                      <c:pt idx="1">
                        <c:v>2.5027000000000001E-10</c:v>
                      </c:pt>
                      <c:pt idx="2">
                        <c:v>1.1699000000000001E-12</c:v>
                      </c:pt>
                      <c:pt idx="3">
                        <c:v>1.2121E-17</c:v>
                      </c:pt>
                      <c:pt idx="4">
                        <c:v>2.3451999999999999E-26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8.2921999999999996E-3</c:v>
                      </c:pt>
                      <c:pt idx="1">
                        <c:v>8.1940999999999993E-3</c:v>
                      </c:pt>
                      <c:pt idx="2">
                        <c:v>7.9570000000000005E-3</c:v>
                      </c:pt>
                      <c:pt idx="3">
                        <c:v>7.561E-3</c:v>
                      </c:pt>
                      <c:pt idx="4">
                        <c:v>7.1253000000000002E-3</c:v>
                      </c:pt>
                      <c:pt idx="5">
                        <c:v>6.4335E-3</c:v>
                      </c:pt>
                      <c:pt idx="6">
                        <c:v>6.3306999999999999E-3</c:v>
                      </c:pt>
                      <c:pt idx="7">
                        <c:v>6.1551000000000002E-3</c:v>
                      </c:pt>
                      <c:pt idx="8">
                        <c:v>5.8837000000000004E-3</c:v>
                      </c:pt>
                      <c:pt idx="9">
                        <c:v>5.5401000000000001E-3</c:v>
                      </c:pt>
                      <c:pt idx="10">
                        <c:v>5.1904000000000004E-3</c:v>
                      </c:pt>
                      <c:pt idx="11">
                        <c:v>4.9026E-3</c:v>
                      </c:pt>
                      <c:pt idx="12">
                        <c:v>4.7057999999999996E-3</c:v>
                      </c:pt>
                      <c:pt idx="13">
                        <c:v>4.5878999999999998E-3</c:v>
                      </c:pt>
                      <c:pt idx="14">
                        <c:v>4.5222999999999999E-3</c:v>
                      </c:pt>
                      <c:pt idx="15">
                        <c:v>4.4869000000000003E-3</c:v>
                      </c:pt>
                      <c:pt idx="16">
                        <c:v>4.4676999999999998E-3</c:v>
                      </c:pt>
                      <c:pt idx="17">
                        <c:v>4.4561999999999996E-3</c:v>
                      </c:pt>
                      <c:pt idx="18">
                        <c:v>4.4453000000000001E-3</c:v>
                      </c:pt>
                      <c:pt idx="19">
                        <c:v>4.4216000000000004E-3</c:v>
                      </c:pt>
                      <c:pt idx="20">
                        <c:v>4.3454000000000001E-3</c:v>
                      </c:pt>
                      <c:pt idx="21">
                        <c:v>4.1025999999999996E-3</c:v>
                      </c:pt>
                      <c:pt idx="22">
                        <c:v>4.5949000000000001E-4</c:v>
                      </c:pt>
                      <c:pt idx="23">
                        <c:v>7.2798000000000002E-6</c:v>
                      </c:pt>
                      <c:pt idx="24">
                        <c:v>2.5911999999999999E-6</c:v>
                      </c:pt>
                      <c:pt idx="25">
                        <c:v>9.2691999999999999E-7</c:v>
                      </c:pt>
                      <c:pt idx="26">
                        <c:v>3.3339E-7</c:v>
                      </c:pt>
                      <c:pt idx="27">
                        <c:v>1.2088000000000001E-7</c:v>
                      </c:pt>
                      <c:pt idx="28">
                        <c:v>4.3569999999999999E-8</c:v>
                      </c:pt>
                      <c:pt idx="29">
                        <c:v>9.6765999999999994E-9</c:v>
                      </c:pt>
                      <c:pt idx="30">
                        <c:v>2.1810999999999998E-9</c:v>
                      </c:pt>
                      <c:pt idx="31">
                        <c:v>5.0700000000000001E-10</c:v>
                      </c:pt>
                      <c:pt idx="32">
                        <c:v>2.0327E-12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7.4465000000000001E-35</c:v>
                      </c:pt>
                      <c:pt idx="9">
                        <c:v>9.0942999999999997E-33</c:v>
                      </c:pt>
                      <c:pt idx="10">
                        <c:v>8.2290000000000008E-31</c:v>
                      </c:pt>
                      <c:pt idx="11">
                        <c:v>5.9169000000000003E-29</c:v>
                      </c:pt>
                      <c:pt idx="12">
                        <c:v>3.5006000000000002E-27</c:v>
                      </c:pt>
                      <c:pt idx="13">
                        <c:v>1.7198000000000001E-25</c:v>
                      </c:pt>
                      <c:pt idx="14">
                        <c:v>7.0269E-24</c:v>
                      </c:pt>
                      <c:pt idx="15">
                        <c:v>2.3967999999999999E-22</c:v>
                      </c:pt>
                      <c:pt idx="16">
                        <c:v>6.8768000000000004E-21</c:v>
                      </c:pt>
                      <c:pt idx="17">
                        <c:v>1.6759E-19</c:v>
                      </c:pt>
                      <c:pt idx="18">
                        <c:v>3.5032999999999997E-18</c:v>
                      </c:pt>
                      <c:pt idx="19">
                        <c:v>6.3313999999999995E-17</c:v>
                      </c:pt>
                      <c:pt idx="20">
                        <c:v>9.8978000000000008E-16</c:v>
                      </c:pt>
                      <c:pt idx="21">
                        <c:v>1.3115E-14</c:v>
                      </c:pt>
                      <c:pt idx="22">
                        <c:v>1.8892E-11</c:v>
                      </c:pt>
                      <c:pt idx="23">
                        <c:v>9.9455999999999992E-10</c:v>
                      </c:pt>
                      <c:pt idx="24">
                        <c:v>2.2495000000000001E-9</c:v>
                      </c:pt>
                      <c:pt idx="25">
                        <c:v>4.7989E-9</c:v>
                      </c:pt>
                      <c:pt idx="26">
                        <c:v>9.6941999999999999E-9</c:v>
                      </c:pt>
                      <c:pt idx="27">
                        <c:v>1.8652000000000001E-8</c:v>
                      </c:pt>
                      <c:pt idx="28">
                        <c:v>3.3769000000000003E-8</c:v>
                      </c:pt>
                      <c:pt idx="29">
                        <c:v>3.4797999999999998E-8</c:v>
                      </c:pt>
                      <c:pt idx="30">
                        <c:v>3.5021E-8</c:v>
                      </c:pt>
                      <c:pt idx="31">
                        <c:v>3.4928E-8</c:v>
                      </c:pt>
                      <c:pt idx="32">
                        <c:v>3.2273000000000001E-8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1.2616E-34</c:v>
                      </c:pt>
                      <c:pt idx="11">
                        <c:v>7.1091E-33</c:v>
                      </c:pt>
                      <c:pt idx="12">
                        <c:v>3.2809E-31</c:v>
                      </c:pt>
                      <c:pt idx="13">
                        <c:v>1.2545E-29</c:v>
                      </c:pt>
                      <c:pt idx="14">
                        <c:v>3.9983999999999998E-28</c:v>
                      </c:pt>
                      <c:pt idx="15">
                        <c:v>1.0702999999999999E-26</c:v>
                      </c:pt>
                      <c:pt idx="16">
                        <c:v>2.4292999999999999E-25</c:v>
                      </c:pt>
                      <c:pt idx="17">
                        <c:v>4.7242999999999998E-24</c:v>
                      </c:pt>
                      <c:pt idx="18">
                        <c:v>7.9534999999999998E-23</c:v>
                      </c:pt>
                      <c:pt idx="19">
                        <c:v>1.1693999999999999E-21</c:v>
                      </c:pt>
                      <c:pt idx="20">
                        <c:v>1.5085999999999999E-20</c:v>
                      </c:pt>
                      <c:pt idx="21">
                        <c:v>1.6962000000000001E-19</c:v>
                      </c:pt>
                      <c:pt idx="22">
                        <c:v>3.6142999999999999E-16</c:v>
                      </c:pt>
                      <c:pt idx="23">
                        <c:v>8.1400999999999996E-14</c:v>
                      </c:pt>
                      <c:pt idx="24">
                        <c:v>2.6731E-13</c:v>
                      </c:pt>
                      <c:pt idx="25">
                        <c:v>8.2919000000000002E-13</c:v>
                      </c:pt>
                      <c:pt idx="26">
                        <c:v>2.4381999999999998E-12</c:v>
                      </c:pt>
                      <c:pt idx="27">
                        <c:v>6.8258000000000003E-12</c:v>
                      </c:pt>
                      <c:pt idx="28">
                        <c:v>1.8101E-11</c:v>
                      </c:pt>
                      <c:pt idx="29">
                        <c:v>3.5168999999999998E-11</c:v>
                      </c:pt>
                      <c:pt idx="30">
                        <c:v>6.6286000000000003E-11</c:v>
                      </c:pt>
                      <c:pt idx="31">
                        <c:v>1.221E-10</c:v>
                      </c:pt>
                      <c:pt idx="32">
                        <c:v>1.1423999999999999E-9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2.2449000000000001E-23</c:v>
                      </c:pt>
                      <c:pt idx="24">
                        <c:v>5.7803000000000002E-19</c:v>
                      </c:pt>
                      <c:pt idx="25">
                        <c:v>8.0229000000000003E-15</c:v>
                      </c:pt>
                      <c:pt idx="26">
                        <c:v>5.7836000000000002E-11</c:v>
                      </c:pt>
                      <c:pt idx="27">
                        <c:v>8.3879E-9</c:v>
                      </c:pt>
                      <c:pt idx="28">
                        <c:v>2.6605999999999999E-5</c:v>
                      </c:pt>
                      <c:pt idx="29">
                        <c:v>6.5841999999999995E-4</c:v>
                      </c:pt>
                      <c:pt idx="30">
                        <c:v>1.1711E-3</c:v>
                      </c:pt>
                      <c:pt idx="31">
                        <c:v>1.6188000000000001E-3</c:v>
                      </c:pt>
                      <c:pt idx="32">
                        <c:v>3.2217000000000001E-3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-18.66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-18.66</c:v>
                      </c:pt>
                      <c:pt idx="4">
                        <c:v>-18.670000000000002</c:v>
                      </c:pt>
                      <c:pt idx="5">
                        <c:v>-18.75</c:v>
                      </c:pt>
                      <c:pt idx="6">
                        <c:v>-18.78</c:v>
                      </c:pt>
                      <c:pt idx="7">
                        <c:v>-18.809999999999999</c:v>
                      </c:pt>
                      <c:pt idx="8">
                        <c:v>-18.829999999999998</c:v>
                      </c:pt>
                      <c:pt idx="9">
                        <c:v>-18.86</c:v>
                      </c:pt>
                      <c:pt idx="10">
                        <c:v>-18.899999999999999</c:v>
                      </c:pt>
                      <c:pt idx="11">
                        <c:v>-18.93</c:v>
                      </c:pt>
                      <c:pt idx="12">
                        <c:v>-18.96</c:v>
                      </c:pt>
                      <c:pt idx="13">
                        <c:v>-18.989999999999998</c:v>
                      </c:pt>
                      <c:pt idx="14">
                        <c:v>-19.03</c:v>
                      </c:pt>
                      <c:pt idx="15">
                        <c:v>-19.059999999999999</c:v>
                      </c:pt>
                      <c:pt idx="16">
                        <c:v>-19.100000000000001</c:v>
                      </c:pt>
                      <c:pt idx="17">
                        <c:v>-19.13</c:v>
                      </c:pt>
                      <c:pt idx="18">
                        <c:v>-19.170000000000002</c:v>
                      </c:pt>
                      <c:pt idx="19">
                        <c:v>-19.2</c:v>
                      </c:pt>
                      <c:pt idx="20">
                        <c:v>-19.23</c:v>
                      </c:pt>
                      <c:pt idx="21">
                        <c:v>-19.27</c:v>
                      </c:pt>
                      <c:pt idx="22">
                        <c:v>-19.38</c:v>
                      </c:pt>
                      <c:pt idx="23">
                        <c:v>-19.510000000000002</c:v>
                      </c:pt>
                      <c:pt idx="24">
                        <c:v>-19.55</c:v>
                      </c:pt>
                      <c:pt idx="25">
                        <c:v>-19.579999999999998</c:v>
                      </c:pt>
                      <c:pt idx="26">
                        <c:v>-19.61</c:v>
                      </c:pt>
                      <c:pt idx="27">
                        <c:v>-19.64</c:v>
                      </c:pt>
                      <c:pt idx="28">
                        <c:v>-19.670000000000002</c:v>
                      </c:pt>
                      <c:pt idx="29">
                        <c:v>-19.7</c:v>
                      </c:pt>
                      <c:pt idx="30">
                        <c:v>-19.73</c:v>
                      </c:pt>
                      <c:pt idx="31">
                        <c:v>-19.760000000000002</c:v>
                      </c:pt>
                      <c:pt idx="32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-67.12</c:v>
                      </c:pt>
                      <c:pt idx="1">
                        <c:v>-63.52</c:v>
                      </c:pt>
                      <c:pt idx="2">
                        <c:v>-60.12</c:v>
                      </c:pt>
                      <c:pt idx="3">
                        <c:v>-56.76</c:v>
                      </c:pt>
                      <c:pt idx="4">
                        <c:v>-53.4</c:v>
                      </c:pt>
                      <c:pt idx="5">
                        <c:v>-41.04</c:v>
                      </c:pt>
                      <c:pt idx="6">
                        <c:v>-38.450000000000003</c:v>
                      </c:pt>
                      <c:pt idx="7">
                        <c:v>-36.08</c:v>
                      </c:pt>
                      <c:pt idx="8">
                        <c:v>-33.93</c:v>
                      </c:pt>
                      <c:pt idx="9">
                        <c:v>-31.94</c:v>
                      </c:pt>
                      <c:pt idx="10">
                        <c:v>-30.07</c:v>
                      </c:pt>
                      <c:pt idx="11">
                        <c:v>-28.28</c:v>
                      </c:pt>
                      <c:pt idx="12">
                        <c:v>-26.54</c:v>
                      </c:pt>
                      <c:pt idx="13">
                        <c:v>-24.87</c:v>
                      </c:pt>
                      <c:pt idx="14">
                        <c:v>-23.27</c:v>
                      </c:pt>
                      <c:pt idx="15">
                        <c:v>-21.74</c:v>
                      </c:pt>
                      <c:pt idx="16">
                        <c:v>-20.27</c:v>
                      </c:pt>
                      <c:pt idx="17">
                        <c:v>-18.87</c:v>
                      </c:pt>
                      <c:pt idx="18">
                        <c:v>-17.54</c:v>
                      </c:pt>
                      <c:pt idx="19">
                        <c:v>-16.260000000000002</c:v>
                      </c:pt>
                      <c:pt idx="20">
                        <c:v>-15.05</c:v>
                      </c:pt>
                      <c:pt idx="21">
                        <c:v>-13.91</c:v>
                      </c:pt>
                      <c:pt idx="22">
                        <c:v>-10.79</c:v>
                      </c:pt>
                      <c:pt idx="23">
                        <c:v>-9.1989999999999998</c:v>
                      </c:pt>
                      <c:pt idx="24">
                        <c:v>-8.8740000000000006</c:v>
                      </c:pt>
                      <c:pt idx="25">
                        <c:v>-8.5730000000000004</c:v>
                      </c:pt>
                      <c:pt idx="26">
                        <c:v>-8.2949999999999999</c:v>
                      </c:pt>
                      <c:pt idx="27">
                        <c:v>-8.0359999999999996</c:v>
                      </c:pt>
                      <c:pt idx="28">
                        <c:v>-7.8040000000000003</c:v>
                      </c:pt>
                      <c:pt idx="29">
                        <c:v>-7.8559999999999999</c:v>
                      </c:pt>
                      <c:pt idx="30">
                        <c:v>-7.915</c:v>
                      </c:pt>
                      <c:pt idx="31">
                        <c:v>-7.9720000000000004</c:v>
                      </c:pt>
                      <c:pt idx="32">
                        <c:v>-8.1969999999999992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-16.98</c:v>
                      </c:pt>
                      <c:pt idx="1">
                        <c:v>-16.239999999999998</c:v>
                      </c:pt>
                      <c:pt idx="2">
                        <c:v>-15.42</c:v>
                      </c:pt>
                      <c:pt idx="3">
                        <c:v>-14.46</c:v>
                      </c:pt>
                      <c:pt idx="4">
                        <c:v>-13.36</c:v>
                      </c:pt>
                      <c:pt idx="5">
                        <c:v>-8.9659999999999993</c:v>
                      </c:pt>
                      <c:pt idx="6">
                        <c:v>-8.077</c:v>
                      </c:pt>
                      <c:pt idx="7">
                        <c:v>-7.3339999999999996</c:v>
                      </c:pt>
                      <c:pt idx="8">
                        <c:v>-6.7590000000000003</c:v>
                      </c:pt>
                      <c:pt idx="9">
                        <c:v>-6.35</c:v>
                      </c:pt>
                      <c:pt idx="10">
                        <c:v>-6.0869999999999997</c:v>
                      </c:pt>
                      <c:pt idx="11">
                        <c:v>-5.9379999999999997</c:v>
                      </c:pt>
                      <c:pt idx="12">
                        <c:v>-5.87</c:v>
                      </c:pt>
                      <c:pt idx="13">
                        <c:v>-5.8520000000000003</c:v>
                      </c:pt>
                      <c:pt idx="14">
                        <c:v>-5.8609999999999998</c:v>
                      </c:pt>
                      <c:pt idx="15">
                        <c:v>-5.8860000000000001</c:v>
                      </c:pt>
                      <c:pt idx="16">
                        <c:v>-5.9180000000000001</c:v>
                      </c:pt>
                      <c:pt idx="17">
                        <c:v>-5.9550000000000001</c:v>
                      </c:pt>
                      <c:pt idx="18">
                        <c:v>-5.9930000000000003</c:v>
                      </c:pt>
                      <c:pt idx="19">
                        <c:v>-6.0330000000000004</c:v>
                      </c:pt>
                      <c:pt idx="20">
                        <c:v>-6.0739999999999998</c:v>
                      </c:pt>
                      <c:pt idx="21">
                        <c:v>-6.1180000000000003</c:v>
                      </c:pt>
                      <c:pt idx="22">
                        <c:v>-6.3319999999999999</c:v>
                      </c:pt>
                      <c:pt idx="23">
                        <c:v>-6.508</c:v>
                      </c:pt>
                      <c:pt idx="24">
                        <c:v>-6.5510000000000002</c:v>
                      </c:pt>
                      <c:pt idx="25">
                        <c:v>-6.5940000000000003</c:v>
                      </c:pt>
                      <c:pt idx="26">
                        <c:v>-6.6360000000000001</c:v>
                      </c:pt>
                      <c:pt idx="27">
                        <c:v>-6.6779999999999999</c:v>
                      </c:pt>
                      <c:pt idx="28">
                        <c:v>-6.7190000000000003</c:v>
                      </c:pt>
                      <c:pt idx="29">
                        <c:v>-6.7510000000000003</c:v>
                      </c:pt>
                      <c:pt idx="30">
                        <c:v>-6.7839999999999998</c:v>
                      </c:pt>
                      <c:pt idx="31">
                        <c:v>-6.8170000000000002</c:v>
                      </c:pt>
                      <c:pt idx="32">
                        <c:v>-6.9539999999999997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-22.53</c:v>
                      </c:pt>
                      <c:pt idx="2">
                        <c:v>-21.75</c:v>
                      </c:pt>
                      <c:pt idx="3">
                        <c:v>-21.28</c:v>
                      </c:pt>
                      <c:pt idx="4">
                        <c:v>-21.09</c:v>
                      </c:pt>
                      <c:pt idx="5">
                        <c:v>-21.65</c:v>
                      </c:pt>
                      <c:pt idx="6">
                        <c:v>-21.85</c:v>
                      </c:pt>
                      <c:pt idx="7">
                        <c:v>-22.03</c:v>
                      </c:pt>
                      <c:pt idx="8">
                        <c:v>-22.18</c:v>
                      </c:pt>
                      <c:pt idx="9">
                        <c:v>-22.32</c:v>
                      </c:pt>
                      <c:pt idx="10">
                        <c:v>-22.47</c:v>
                      </c:pt>
                      <c:pt idx="11">
                        <c:v>-22.65</c:v>
                      </c:pt>
                      <c:pt idx="12">
                        <c:v>-22.86</c:v>
                      </c:pt>
                      <c:pt idx="13">
                        <c:v>-23.08</c:v>
                      </c:pt>
                      <c:pt idx="14">
                        <c:v>-23.31</c:v>
                      </c:pt>
                      <c:pt idx="15">
                        <c:v>-23.54</c:v>
                      </c:pt>
                      <c:pt idx="16">
                        <c:v>-23.78</c:v>
                      </c:pt>
                      <c:pt idx="17">
                        <c:v>-24.01</c:v>
                      </c:pt>
                      <c:pt idx="18">
                        <c:v>-24.25</c:v>
                      </c:pt>
                      <c:pt idx="19">
                        <c:v>-24.48</c:v>
                      </c:pt>
                      <c:pt idx="20">
                        <c:v>-24.71</c:v>
                      </c:pt>
                      <c:pt idx="21">
                        <c:v>-24.94</c:v>
                      </c:pt>
                      <c:pt idx="22">
                        <c:v>-25.82</c:v>
                      </c:pt>
                      <c:pt idx="23">
                        <c:v>-26.68</c:v>
                      </c:pt>
                      <c:pt idx="24">
                        <c:v>-26.9</c:v>
                      </c:pt>
                      <c:pt idx="25">
                        <c:v>-27.11</c:v>
                      </c:pt>
                      <c:pt idx="26">
                        <c:v>-27.32</c:v>
                      </c:pt>
                      <c:pt idx="27">
                        <c:v>-27.52</c:v>
                      </c:pt>
                      <c:pt idx="28">
                        <c:v>-27.73</c:v>
                      </c:pt>
                      <c:pt idx="29">
                        <c:v>-27.92</c:v>
                      </c:pt>
                      <c:pt idx="30">
                        <c:v>-28.11</c:v>
                      </c:pt>
                      <c:pt idx="31">
                        <c:v>-28.3</c:v>
                      </c:pt>
                      <c:pt idx="32">
                        <c:v>-29.08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421.8</c:v>
                      </c:pt>
                      <c:pt idx="7">
                        <c:v>438.3</c:v>
                      </c:pt>
                      <c:pt idx="8">
                        <c:v>454.9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735.7</c:v>
                      </c:pt>
                      <c:pt idx="23" formatCode="0">
                        <c:v>801.8</c:v>
                      </c:pt>
                      <c:pt idx="24" formatCode="0">
                        <c:v>818.3</c:v>
                      </c:pt>
                      <c:pt idx="25" formatCode="0">
                        <c:v>834.8</c:v>
                      </c:pt>
                      <c:pt idx="26" formatCode="0">
                        <c:v>851.3</c:v>
                      </c:pt>
                      <c:pt idx="27" formatCode="0">
                        <c:v>867.8</c:v>
                      </c:pt>
                      <c:pt idx="28" formatCode="0">
                        <c:v>884.4</c:v>
                      </c:pt>
                      <c:pt idx="29" formatCode="0">
                        <c:v>900.9</c:v>
                      </c:pt>
                      <c:pt idx="30" formatCode="0">
                        <c:v>917.4</c:v>
                      </c:pt>
                      <c:pt idx="31" formatCode="0">
                        <c:v>933.9</c:v>
                      </c:pt>
                      <c:pt idx="32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-3.7222436745000009</c:v>
                </c:pt>
                <c:pt idx="1">
                  <c:v>-15.149326874057142</c:v>
                </c:pt>
                <c:pt idx="2">
                  <c:v>-27.859652068050003</c:v>
                </c:pt>
                <c:pt idx="3">
                  <c:v>-41.608545519270002</c:v>
                </c:pt>
                <c:pt idx="4">
                  <c:v>-56.234041349732145</c:v>
                </c:pt>
                <c:pt idx="5">
                  <c:v>-71.589680128928578</c:v>
                </c:pt>
                <c:pt idx="6">
                  <c:v>-87.616389864342864</c:v>
                </c:pt>
                <c:pt idx="7">
                  <c:v>-104.25864092055002</c:v>
                </c:pt>
                <c:pt idx="8">
                  <c:v>-121.45816777589998</c:v>
                </c:pt>
                <c:pt idx="9">
                  <c:v>-139.16812119235715</c:v>
                </c:pt>
                <c:pt idx="10">
                  <c:v>-157.46353204937142</c:v>
                </c:pt>
                <c:pt idx="11">
                  <c:v>-176.48238921428572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 formatCode="0.00E+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2.2783E-8</c:v>
                </c:pt>
                <c:pt idx="1">
                  <c:v>2.3207999999999998E-8</c:v>
                </c:pt>
                <c:pt idx="2">
                  <c:v>3.0831E-8</c:v>
                </c:pt>
                <c:pt idx="3">
                  <c:v>1.9866000000000001E-8</c:v>
                </c:pt>
                <c:pt idx="4">
                  <c:v>2.0292999999999998E-8</c:v>
                </c:pt>
                <c:pt idx="5">
                  <c:v>2.1535000000000001E-8</c:v>
                </c:pt>
                <c:pt idx="6">
                  <c:v>2.3738000000000001E-8</c:v>
                </c:pt>
                <c:pt idx="7">
                  <c:v>2.6975999999999999E-8</c:v>
                </c:pt>
                <c:pt idx="8">
                  <c:v>2.6417999999999999E-8</c:v>
                </c:pt>
                <c:pt idx="9">
                  <c:v>2.7024000000000001E-8</c:v>
                </c:pt>
                <c:pt idx="10">
                  <c:v>2.0041999999999998E-8</c:v>
                </c:pt>
                <c:pt idx="11">
                  <c:v>1.3179E-8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4.1284999999999998E-19</c:v>
                </c:pt>
                <c:pt idx="2">
                  <c:v>4.7391E-15</c:v>
                </c:pt>
                <c:pt idx="3">
                  <c:v>3.3814000000000001E-12</c:v>
                </c:pt>
                <c:pt idx="4">
                  <c:v>4.3065999999999999E-10</c:v>
                </c:pt>
                <c:pt idx="5">
                  <c:v>1.7616E-8</c:v>
                </c:pt>
                <c:pt idx="6">
                  <c:v>3.2985000000000001E-7</c:v>
                </c:pt>
                <c:pt idx="7">
                  <c:v>3.5267999999999998E-6</c:v>
                </c:pt>
                <c:pt idx="8">
                  <c:v>2.4674000000000001E-5</c:v>
                </c:pt>
                <c:pt idx="9">
                  <c:v>1.2306E-4</c:v>
                </c:pt>
                <c:pt idx="10">
                  <c:v>4.5855000000000001E-4</c:v>
                </c:pt>
                <c:pt idx="11">
                  <c:v>1.2537E-3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1.0815E-17</c:v>
                </c:pt>
                <c:pt idx="2">
                  <c:v>4.5678000000000001E-14</c:v>
                </c:pt>
                <c:pt idx="3">
                  <c:v>1.5258999999999999E-11</c:v>
                </c:pt>
                <c:pt idx="4">
                  <c:v>1.0687E-9</c:v>
                </c:pt>
                <c:pt idx="5">
                  <c:v>2.6931000000000001E-8</c:v>
                </c:pt>
                <c:pt idx="6">
                  <c:v>3.3792E-7</c:v>
                </c:pt>
                <c:pt idx="7">
                  <c:v>2.5795E-6</c:v>
                </c:pt>
                <c:pt idx="8">
                  <c:v>1.3482000000000001E-5</c:v>
                </c:pt>
                <c:pt idx="9">
                  <c:v>5.1613999999999997E-5</c:v>
                </c:pt>
                <c:pt idx="10">
                  <c:v>1.4820999999999999E-4</c:v>
                </c:pt>
                <c:pt idx="11">
                  <c:v>3.0273000000000002E-4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8.2633000000000005E-20</c:v>
                </c:pt>
                <c:pt idx="1">
                  <c:v>1.0203E-14</c:v>
                </c:pt>
                <c:pt idx="2">
                  <c:v>1.9244000000000002E-11</c:v>
                </c:pt>
                <c:pt idx="3">
                  <c:v>3.4791000000000001E-9</c:v>
                </c:pt>
                <c:pt idx="4">
                  <c:v>1.4992000000000001E-7</c:v>
                </c:pt>
                <c:pt idx="5">
                  <c:v>2.5457999999999998E-6</c:v>
                </c:pt>
                <c:pt idx="6">
                  <c:v>2.3031999999999999E-5</c:v>
                </c:pt>
                <c:pt idx="7">
                  <c:v>1.3339E-4</c:v>
                </c:pt>
                <c:pt idx="8">
                  <c:v>5.4830999999999999E-4</c:v>
                </c:pt>
                <c:pt idx="9">
                  <c:v>1.6838000000000001E-3</c:v>
                </c:pt>
                <c:pt idx="10">
                  <c:v>3.8706999999999999E-3</c:v>
                </c:pt>
                <c:pt idx="11">
                  <c:v>6.1057000000000004E-3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5.6344999999999999E-13</c:v>
                </c:pt>
                <c:pt idx="2">
                  <c:v>2.7175000000000002E-10</c:v>
                </c:pt>
                <c:pt idx="3">
                  <c:v>1.7757000000000001E-8</c:v>
                </c:pt>
                <c:pt idx="4">
                  <c:v>3.4676999999999997E-7</c:v>
                </c:pt>
                <c:pt idx="5">
                  <c:v>3.1225000000000002E-6</c:v>
                </c:pt>
                <c:pt idx="6">
                  <c:v>1.6796E-5</c:v>
                </c:pt>
                <c:pt idx="7">
                  <c:v>6.2982000000000001E-5</c:v>
                </c:pt>
                <c:pt idx="8">
                  <c:v>1.7830999999999999E-4</c:v>
                </c:pt>
                <c:pt idx="9">
                  <c:v>3.9241999999999999E-4</c:v>
                </c:pt>
                <c:pt idx="10">
                  <c:v>6.5547999999999995E-4</c:v>
                </c:pt>
                <c:pt idx="11">
                  <c:v>7.3410000000000001E-4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8.4466000000000006E-14</c:v>
                </c:pt>
                <c:pt idx="2">
                  <c:v>5.5912000000000002E-11</c:v>
                </c:pt>
                <c:pt idx="3">
                  <c:v>4.4193000000000002E-9</c:v>
                </c:pt>
                <c:pt idx="4">
                  <c:v>9.7182000000000003E-8</c:v>
                </c:pt>
                <c:pt idx="5">
                  <c:v>9.4422000000000002E-7</c:v>
                </c:pt>
                <c:pt idx="6">
                  <c:v>5.3391000000000003E-6</c:v>
                </c:pt>
                <c:pt idx="7">
                  <c:v>2.0684999999999999E-5</c:v>
                </c:pt>
                <c:pt idx="8">
                  <c:v>5.9579E-5</c:v>
                </c:pt>
                <c:pt idx="9">
                  <c:v>1.3079000000000001E-4</c:v>
                </c:pt>
                <c:pt idx="10">
                  <c:v>2.1085E-4</c:v>
                </c:pt>
                <c:pt idx="11">
                  <c:v>2.1446E-4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2.3718E-15</c:v>
                </c:pt>
                <c:pt idx="2">
                  <c:v>2.0001999999999999E-12</c:v>
                </c:pt>
                <c:pt idx="3">
                  <c:v>1.8133000000000001E-10</c:v>
                </c:pt>
                <c:pt idx="4">
                  <c:v>4.3148999999999996E-9</c:v>
                </c:pt>
                <c:pt idx="5">
                  <c:v>4.3858000000000001E-8</c:v>
                </c:pt>
                <c:pt idx="6">
                  <c:v>2.5432000000000002E-7</c:v>
                </c:pt>
                <c:pt idx="7">
                  <c:v>9.9755999999999994E-7</c:v>
                </c:pt>
                <c:pt idx="8">
                  <c:v>2.8744E-6</c:v>
                </c:pt>
                <c:pt idx="9">
                  <c:v>6.2053999999999999E-6</c:v>
                </c:pt>
                <c:pt idx="10">
                  <c:v>9.5367999999999999E-6</c:v>
                </c:pt>
                <c:pt idx="11">
                  <c:v>8.7167999999999993E-6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4.4898999999999999E-15</c:v>
                </c:pt>
                <c:pt idx="2">
                  <c:v>1.0202999999999999E-11</c:v>
                </c:pt>
                <c:pt idx="3">
                  <c:v>2.4183999999999998E-9</c:v>
                </c:pt>
                <c:pt idx="4">
                  <c:v>1.4000999999999999E-7</c:v>
                </c:pt>
                <c:pt idx="5">
                  <c:v>3.1868000000000001E-6</c:v>
                </c:pt>
                <c:pt idx="6">
                  <c:v>3.8056000000000003E-5</c:v>
                </c:pt>
                <c:pt idx="7">
                  <c:v>2.8582E-4</c:v>
                </c:pt>
                <c:pt idx="8">
                  <c:v>1.5125E-3</c:v>
                </c:pt>
                <c:pt idx="9">
                  <c:v>6.0857999999999997E-3</c:v>
                </c:pt>
                <c:pt idx="10">
                  <c:v>1.9578000000000002E-2</c:v>
                </c:pt>
                <c:pt idx="11">
                  <c:v>5.0479999999999997E-2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5.7083999999999999E-31</c:v>
                </c:pt>
                <c:pt idx="2">
                  <c:v>3.8902999999999999E-25</c:v>
                </c:pt>
                <c:pt idx="3">
                  <c:v>5.8614000000000001E-21</c:v>
                </c:pt>
                <c:pt idx="4">
                  <c:v>8.0426999999999996E-18</c:v>
                </c:pt>
                <c:pt idx="5">
                  <c:v>2.2259000000000001E-15</c:v>
                </c:pt>
                <c:pt idx="6">
                  <c:v>2.0128999999999999E-13</c:v>
                </c:pt>
                <c:pt idx="7">
                  <c:v>8.0862E-12</c:v>
                </c:pt>
                <c:pt idx="8">
                  <c:v>1.7658E-10</c:v>
                </c:pt>
                <c:pt idx="9">
                  <c:v>2.4185999999999999E-9</c:v>
                </c:pt>
                <c:pt idx="10">
                  <c:v>2.3157E-8</c:v>
                </c:pt>
                <c:pt idx="11">
                  <c:v>1.6509E-7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5.0018E-12</c:v>
                </c:pt>
                <c:pt idx="1">
                  <c:v>5.1719999999999999E-9</c:v>
                </c:pt>
                <c:pt idx="2">
                  <c:v>4.7672E-7</c:v>
                </c:pt>
                <c:pt idx="3">
                  <c:v>1.1173E-5</c:v>
                </c:pt>
                <c:pt idx="4">
                  <c:v>1.1153E-4</c:v>
                </c:pt>
                <c:pt idx="5">
                  <c:v>6.1563000000000004E-4</c:v>
                </c:pt>
                <c:pt idx="6">
                  <c:v>2.1047000000000001E-3</c:v>
                </c:pt>
                <c:pt idx="7">
                  <c:v>4.7291E-3</c:v>
                </c:pt>
                <c:pt idx="8">
                  <c:v>7.7929999999999996E-3</c:v>
                </c:pt>
                <c:pt idx="9">
                  <c:v>1.0592000000000001E-2</c:v>
                </c:pt>
                <c:pt idx="10">
                  <c:v>1.2978999999999999E-2</c:v>
                </c:pt>
                <c:pt idx="11">
                  <c:v>1.4978E-2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F8F-421C-B882-6FC6CED20D0E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3.9999E-2</c:v>
                      </c:pt>
                      <c:pt idx="3">
                        <c:v>3.9978E-2</c:v>
                      </c:pt>
                      <c:pt idx="4">
                        <c:v>3.9777E-2</c:v>
                      </c:pt>
                      <c:pt idx="5">
                        <c:v>3.8768999999999998E-2</c:v>
                      </c:pt>
                      <c:pt idx="6">
                        <c:v>3.5791000000000003E-2</c:v>
                      </c:pt>
                      <c:pt idx="7">
                        <c:v>3.0542E-2</c:v>
                      </c:pt>
                      <c:pt idx="8">
                        <c:v>2.4414000000000002E-2</c:v>
                      </c:pt>
                      <c:pt idx="9">
                        <c:v>1.8815999999999999E-2</c:v>
                      </c:pt>
                      <c:pt idx="10">
                        <c:v>1.4041E-2</c:v>
                      </c:pt>
                      <c:pt idx="11">
                        <c:v>1.0044000000000001E-2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0.28000000000000003</c:v>
                      </c:pt>
                      <c:pt idx="1">
                        <c:v>0.28000000000000003</c:v>
                      </c:pt>
                      <c:pt idx="2">
                        <c:v>0.28000000000000003</c:v>
                      </c:pt>
                      <c:pt idx="3">
                        <c:v>0.28000000000000003</c:v>
                      </c:pt>
                      <c:pt idx="4">
                        <c:v>0.28000000000000003</c:v>
                      </c:pt>
                      <c:pt idx="5">
                        <c:v>0.28000000000000003</c:v>
                      </c:pt>
                      <c:pt idx="6">
                        <c:v>0.28000000000000003</c:v>
                      </c:pt>
                      <c:pt idx="7">
                        <c:v>0.28000000000000003</c:v>
                      </c:pt>
                      <c:pt idx="8">
                        <c:v>0.28000000000000003</c:v>
                      </c:pt>
                      <c:pt idx="9">
                        <c:v>0.28000000000000003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0.48</c:v>
                      </c:pt>
                      <c:pt idx="3">
                        <c:v>0.47999000000000003</c:v>
                      </c:pt>
                      <c:pt idx="4">
                        <c:v>0.47987999999999997</c:v>
                      </c:pt>
                      <c:pt idx="5">
                        <c:v>0.47933999999999999</c:v>
                      </c:pt>
                      <c:pt idx="6">
                        <c:v>0.47755999999999998</c:v>
                      </c:pt>
                      <c:pt idx="7">
                        <c:v>0.47348000000000001</c:v>
                      </c:pt>
                      <c:pt idx="8">
                        <c:v>0.46479999999999999</c:v>
                      </c:pt>
                      <c:pt idx="9">
                        <c:v>0.44491999999999998</c:v>
                      </c:pt>
                      <c:pt idx="10">
                        <c:v>0.40106000000000003</c:v>
                      </c:pt>
                      <c:pt idx="11">
                        <c:v>0.32258999999999999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-19.260000000000002</c:v>
                      </c:pt>
                      <c:pt idx="7">
                        <c:v>-19.41</c:v>
                      </c:pt>
                      <c:pt idx="8">
                        <c:v>-19.559999999999999</c:v>
                      </c:pt>
                      <c:pt idx="9">
                        <c:v>-19.73</c:v>
                      </c:pt>
                      <c:pt idx="10">
                        <c:v>-19.940000000000001</c:v>
                      </c:pt>
                      <c:pt idx="11">
                        <c:v>-20.2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-7.6630000000000003</c:v>
                      </c:pt>
                      <c:pt idx="1">
                        <c:v>-8.1549999999999994</c:v>
                      </c:pt>
                      <c:pt idx="2">
                        <c:v>-8.5950000000000006</c:v>
                      </c:pt>
                      <c:pt idx="3">
                        <c:v>-8.9879999999999995</c:v>
                      </c:pt>
                      <c:pt idx="4">
                        <c:v>-9.3450000000000006</c:v>
                      </c:pt>
                      <c:pt idx="5">
                        <c:v>-9.6869999999999994</c:v>
                      </c:pt>
                      <c:pt idx="6">
                        <c:v>-10.050000000000001</c:v>
                      </c:pt>
                      <c:pt idx="7">
                        <c:v>-10.47</c:v>
                      </c:pt>
                      <c:pt idx="8">
                        <c:v>-10.92</c:v>
                      </c:pt>
                      <c:pt idx="9">
                        <c:v>-11.37</c:v>
                      </c:pt>
                      <c:pt idx="10">
                        <c:v>-11.81</c:v>
                      </c:pt>
                      <c:pt idx="11">
                        <c:v>-12.22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7.5119999999999996</c:v>
                      </c:pt>
                      <c:pt idx="1">
                        <c:v>4.4539999999999997</c:v>
                      </c:pt>
                      <c:pt idx="2">
                        <c:v>2.2879999999999998</c:v>
                      </c:pt>
                      <c:pt idx="3">
                        <c:v>0.65210000000000001</c:v>
                      </c:pt>
                      <c:pt idx="4">
                        <c:v>-0.63829999999999998</c:v>
                      </c:pt>
                      <c:pt idx="5">
                        <c:v>-1.6890000000000001</c:v>
                      </c:pt>
                      <c:pt idx="6">
                        <c:v>-2.5640000000000001</c:v>
                      </c:pt>
                      <c:pt idx="7">
                        <c:v>-3.3050000000000002</c:v>
                      </c:pt>
                      <c:pt idx="8">
                        <c:v>-3.9390000000000001</c:v>
                      </c:pt>
                      <c:pt idx="9">
                        <c:v>-4.4790000000000001</c:v>
                      </c:pt>
                      <c:pt idx="10">
                        <c:v>-4.9219999999999997</c:v>
                      </c:pt>
                      <c:pt idx="11">
                        <c:v>-5.2549999999999999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-5.0519999999999996</c:v>
                      </c:pt>
                      <c:pt idx="2">
                        <c:v>-5.4409999999999998</c:v>
                      </c:pt>
                      <c:pt idx="3">
                        <c:v>-5.8239999999999998</c:v>
                      </c:pt>
                      <c:pt idx="4">
                        <c:v>-6.1890000000000001</c:v>
                      </c:pt>
                      <c:pt idx="5">
                        <c:v>-6.53</c:v>
                      </c:pt>
                      <c:pt idx="6">
                        <c:v>-6.8470000000000004</c:v>
                      </c:pt>
                      <c:pt idx="7">
                        <c:v>-7.1420000000000003</c:v>
                      </c:pt>
                      <c:pt idx="8">
                        <c:v>-7.42</c:v>
                      </c:pt>
                      <c:pt idx="9">
                        <c:v>-7.6909999999999998</c:v>
                      </c:pt>
                      <c:pt idx="10">
                        <c:v>-7.9740000000000002</c:v>
                      </c:pt>
                      <c:pt idx="11">
                        <c:v>-8.298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-3.7222436745000009</c:v>
                </c:pt>
                <c:pt idx="1">
                  <c:v>-15.149326874057143</c:v>
                </c:pt>
                <c:pt idx="2">
                  <c:v>-27.859548625172945</c:v>
                </c:pt>
                <c:pt idx="3">
                  <c:v>-41.60496235323474</c:v>
                </c:pt>
                <c:pt idx="4">
                  <c:v>-56.188926113662831</c:v>
                </c:pt>
                <c:pt idx="5">
                  <c:v>-71.298746303134024</c:v>
                </c:pt>
                <c:pt idx="6">
                  <c:v>-86.443119656182162</c:v>
                </c:pt>
                <c:pt idx="7">
                  <c:v>-101.07800697505387</c:v>
                </c:pt>
                <c:pt idx="8">
                  <c:v>-114.7205760806706</c:v>
                </c:pt>
                <c:pt idx="9">
                  <c:v>-126.00885718375527</c:v>
                </c:pt>
                <c:pt idx="10">
                  <c:v>-131.50533983610111</c:v>
                </c:pt>
                <c:pt idx="11">
                  <c:v>-126.82550784910714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-3.7222436753120189</c:v>
                </c:pt>
                <c:pt idx="1">
                  <c:v>-15.149327987107506</c:v>
                </c:pt>
                <c:pt idx="2">
                  <c:v>-27.859678610253695</c:v>
                </c:pt>
                <c:pt idx="3">
                  <c:v>-41.608697823852488</c:v>
                </c:pt>
                <c:pt idx="4">
                  <c:v>-56.233592010578633</c:v>
                </c:pt>
                <c:pt idx="5">
                  <c:v>-71.589794140911508</c:v>
                </c:pt>
                <c:pt idx="6">
                  <c:v>-87.616265240630341</c:v>
                </c:pt>
                <c:pt idx="7">
                  <c:v>-104.25857056553539</c:v>
                </c:pt>
                <c:pt idx="8">
                  <c:v>-121.45770992933585</c:v>
                </c:pt>
                <c:pt idx="9">
                  <c:v>-139.1677112609558</c:v>
                </c:pt>
                <c:pt idx="10">
                  <c:v>-157.46367722214441</c:v>
                </c:pt>
                <c:pt idx="11">
                  <c:v>-176.48343385067943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FLUID!$B$114:$B$115</c:f>
              <c:numCache>
                <c:formatCode>0</c:formatCode>
                <c:ptCount val="2"/>
                <c:pt idx="0">
                  <c:v>-176.48343385067943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-3.7222436745000009</c:v>
                </c:pt>
                <c:pt idx="1">
                  <c:v>-15.149326874057142</c:v>
                </c:pt>
                <c:pt idx="2">
                  <c:v>-27.859652068050003</c:v>
                </c:pt>
                <c:pt idx="3">
                  <c:v>-41.608545519270002</c:v>
                </c:pt>
                <c:pt idx="4">
                  <c:v>-56.234041349732145</c:v>
                </c:pt>
                <c:pt idx="5">
                  <c:v>-71.589680128928578</c:v>
                </c:pt>
                <c:pt idx="6">
                  <c:v>-87.616389864342864</c:v>
                </c:pt>
                <c:pt idx="7">
                  <c:v>-104.25864092055002</c:v>
                </c:pt>
                <c:pt idx="8">
                  <c:v>-121.45816777589998</c:v>
                </c:pt>
                <c:pt idx="9">
                  <c:v>-139.16812119235715</c:v>
                </c:pt>
                <c:pt idx="10">
                  <c:v>-157.46353204937142</c:v>
                </c:pt>
                <c:pt idx="11">
                  <c:v>-176.48238921428572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 formatCode="0.00E+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-8.1201783230074353E-10</c:v>
                      </c:pt>
                      <c:pt idx="1">
                        <c:v>-1.1130503635325961E-6</c:v>
                      </c:pt>
                      <c:pt idx="2">
                        <c:v>-1.2998508075172759E-4</c:v>
                      </c:pt>
                      <c:pt idx="3">
                        <c:v>-3.7354706177456978E-3</c:v>
                      </c:pt>
                      <c:pt idx="4">
                        <c:v>-4.4665896915799939E-2</c:v>
                      </c:pt>
                      <c:pt idx="5">
                        <c:v>-0.29104783777748572</c:v>
                      </c:pt>
                      <c:pt idx="6">
                        <c:v>-1.1731455844481815</c:v>
                      </c:pt>
                      <c:pt idx="7">
                        <c:v>-3.1805635904815328</c:v>
                      </c:pt>
                      <c:pt idx="8">
                        <c:v>-6.7371338486652519</c:v>
                      </c:pt>
                      <c:pt idx="9">
                        <c:v>-13.158854077200516</c:v>
                      </c:pt>
                      <c:pt idx="10">
                        <c:v>-25.958337386043304</c:v>
                      </c:pt>
                      <c:pt idx="11">
                        <c:v>-49.657926001572292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-1.1697537137293148E-9</c:v>
                      </c:pt>
                      <c:pt idx="1">
                        <c:v>-1.5076370206754533E-6</c:v>
                      </c:pt>
                      <c:pt idx="2">
                        <c:v>-1.685159747517276E-4</c:v>
                      </c:pt>
                      <c:pt idx="3">
                        <c:v>-4.6851756177456972E-3</c:v>
                      </c:pt>
                      <c:pt idx="4">
                        <c:v>-5.4575735737228515E-2</c:v>
                      </c:pt>
                      <c:pt idx="5">
                        <c:v>-0.34800240749177141</c:v>
                      </c:pt>
                      <c:pt idx="6">
                        <c:v>-1.3757004090910387</c:v>
                      </c:pt>
                      <c:pt idx="7">
                        <c:v>-3.6548585411958188</c:v>
                      </c:pt>
                      <c:pt idx="8">
                        <c:v>-7.5515023486652515</c:v>
                      </c:pt>
                      <c:pt idx="9">
                        <c:v>-14.310015334343372</c:v>
                      </c:pt>
                      <c:pt idx="10">
                        <c:v>-27.42283212175759</c:v>
                      </c:pt>
                      <c:pt idx="11">
                        <c:v>-51.409175158715151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-3.7222436756697546</c:v>
                      </c:pt>
                      <c:pt idx="1">
                        <c:v>-15.149328381694165</c:v>
                      </c:pt>
                      <c:pt idx="2">
                        <c:v>-27.859717141147698</c:v>
                      </c:pt>
                      <c:pt idx="3">
                        <c:v>-41.609647528852484</c:v>
                      </c:pt>
                      <c:pt idx="4">
                        <c:v>-56.243501849400062</c:v>
                      </c:pt>
                      <c:pt idx="5">
                        <c:v>-71.646748710625801</c:v>
                      </c:pt>
                      <c:pt idx="6">
                        <c:v>-87.818820065273201</c:v>
                      </c:pt>
                      <c:pt idx="7">
                        <c:v>-104.73286551624969</c:v>
                      </c:pt>
                      <c:pt idx="8">
                        <c:v>-122.27207842933585</c:v>
                      </c:pt>
                      <c:pt idx="9">
                        <c:v>-140.31887251809863</c:v>
                      </c:pt>
                      <c:pt idx="10">
                        <c:v>-158.92817195785869</c:v>
                      </c:pt>
                      <c:pt idx="11">
                        <c:v>-178.2346830078223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1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0.04</c:v>
                </c:pt>
                <c:pt idx="1">
                  <c:v>0.04</c:v>
                </c:pt>
                <c:pt idx="2">
                  <c:v>3.9999E-2</c:v>
                </c:pt>
                <c:pt idx="3">
                  <c:v>3.9978E-2</c:v>
                </c:pt>
                <c:pt idx="4">
                  <c:v>3.9777E-2</c:v>
                </c:pt>
                <c:pt idx="5">
                  <c:v>3.8768999999999998E-2</c:v>
                </c:pt>
                <c:pt idx="6">
                  <c:v>3.5791000000000003E-2</c:v>
                </c:pt>
                <c:pt idx="7">
                  <c:v>3.0542E-2</c:v>
                </c:pt>
                <c:pt idx="8">
                  <c:v>2.4414000000000002E-2</c:v>
                </c:pt>
                <c:pt idx="9">
                  <c:v>1.8815999999999999E-2</c:v>
                </c:pt>
                <c:pt idx="10">
                  <c:v>1.4041E-2</c:v>
                </c:pt>
                <c:pt idx="11">
                  <c:v>1.0044000000000001E-2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0.48</c:v>
                </c:pt>
                <c:pt idx="3">
                  <c:v>0.47999000000000003</c:v>
                </c:pt>
                <c:pt idx="4">
                  <c:v>0.47987999999999997</c:v>
                </c:pt>
                <c:pt idx="5">
                  <c:v>0.47933999999999999</c:v>
                </c:pt>
                <c:pt idx="6">
                  <c:v>0.47755999999999998</c:v>
                </c:pt>
                <c:pt idx="7">
                  <c:v>0.47348000000000001</c:v>
                </c:pt>
                <c:pt idx="8">
                  <c:v>0.46479999999999999</c:v>
                </c:pt>
                <c:pt idx="9">
                  <c:v>0.44491999999999998</c:v>
                </c:pt>
                <c:pt idx="10">
                  <c:v>0.40106000000000003</c:v>
                </c:pt>
                <c:pt idx="11">
                  <c:v>0.32258999999999999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3-4D01-BEA3-739B2EC62692}"/>
              </c:ext>
            </c:extLst>
          </c:dPt>
          <c:xVal>
            <c:numRef>
              <c:f>FLUID!$BA$3:$BA$4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2.2783E-8</c:v>
                      </c:pt>
                      <c:pt idx="1">
                        <c:v>2.3207999999999998E-8</c:v>
                      </c:pt>
                      <c:pt idx="2">
                        <c:v>3.0831E-8</c:v>
                      </c:pt>
                      <c:pt idx="3">
                        <c:v>1.9866000000000001E-8</c:v>
                      </c:pt>
                      <c:pt idx="4">
                        <c:v>2.0292999999999998E-8</c:v>
                      </c:pt>
                      <c:pt idx="5">
                        <c:v>2.1535000000000001E-8</c:v>
                      </c:pt>
                      <c:pt idx="6">
                        <c:v>2.3738000000000001E-8</c:v>
                      </c:pt>
                      <c:pt idx="7">
                        <c:v>2.6975999999999999E-8</c:v>
                      </c:pt>
                      <c:pt idx="8">
                        <c:v>2.6417999999999999E-8</c:v>
                      </c:pt>
                      <c:pt idx="9">
                        <c:v>2.7024000000000001E-8</c:v>
                      </c:pt>
                      <c:pt idx="10">
                        <c:v>2.0041999999999998E-8</c:v>
                      </c:pt>
                      <c:pt idx="11">
                        <c:v>1.3179E-8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4.1284999999999998E-19</c:v>
                      </c:pt>
                      <c:pt idx="2">
                        <c:v>4.7391E-15</c:v>
                      </c:pt>
                      <c:pt idx="3">
                        <c:v>3.3814000000000001E-12</c:v>
                      </c:pt>
                      <c:pt idx="4">
                        <c:v>4.3065999999999999E-10</c:v>
                      </c:pt>
                      <c:pt idx="5">
                        <c:v>1.7616E-8</c:v>
                      </c:pt>
                      <c:pt idx="6">
                        <c:v>3.2985000000000001E-7</c:v>
                      </c:pt>
                      <c:pt idx="7">
                        <c:v>3.5267999999999998E-6</c:v>
                      </c:pt>
                      <c:pt idx="8">
                        <c:v>2.4674000000000001E-5</c:v>
                      </c:pt>
                      <c:pt idx="9">
                        <c:v>1.2306E-4</c:v>
                      </c:pt>
                      <c:pt idx="10">
                        <c:v>4.5855000000000001E-4</c:v>
                      </c:pt>
                      <c:pt idx="11">
                        <c:v>1.2537E-3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1.0815E-17</c:v>
                      </c:pt>
                      <c:pt idx="2">
                        <c:v>4.5678000000000001E-14</c:v>
                      </c:pt>
                      <c:pt idx="3">
                        <c:v>1.5258999999999999E-11</c:v>
                      </c:pt>
                      <c:pt idx="4">
                        <c:v>1.0687E-9</c:v>
                      </c:pt>
                      <c:pt idx="5">
                        <c:v>2.6931000000000001E-8</c:v>
                      </c:pt>
                      <c:pt idx="6">
                        <c:v>3.3792E-7</c:v>
                      </c:pt>
                      <c:pt idx="7">
                        <c:v>2.5795E-6</c:v>
                      </c:pt>
                      <c:pt idx="8">
                        <c:v>1.3482000000000001E-5</c:v>
                      </c:pt>
                      <c:pt idx="9">
                        <c:v>5.1613999999999997E-5</c:v>
                      </c:pt>
                      <c:pt idx="10">
                        <c:v>1.4820999999999999E-4</c:v>
                      </c:pt>
                      <c:pt idx="11">
                        <c:v>3.0273000000000002E-4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8.2633000000000005E-20</c:v>
                      </c:pt>
                      <c:pt idx="1">
                        <c:v>1.0203E-14</c:v>
                      </c:pt>
                      <c:pt idx="2">
                        <c:v>1.9244000000000002E-11</c:v>
                      </c:pt>
                      <c:pt idx="3">
                        <c:v>3.4791000000000001E-9</c:v>
                      </c:pt>
                      <c:pt idx="4">
                        <c:v>1.4992000000000001E-7</c:v>
                      </c:pt>
                      <c:pt idx="5">
                        <c:v>2.5457999999999998E-6</c:v>
                      </c:pt>
                      <c:pt idx="6">
                        <c:v>2.3031999999999999E-5</c:v>
                      </c:pt>
                      <c:pt idx="7">
                        <c:v>1.3339E-4</c:v>
                      </c:pt>
                      <c:pt idx="8">
                        <c:v>5.4830999999999999E-4</c:v>
                      </c:pt>
                      <c:pt idx="9">
                        <c:v>1.6838000000000001E-3</c:v>
                      </c:pt>
                      <c:pt idx="10">
                        <c:v>3.8706999999999999E-3</c:v>
                      </c:pt>
                      <c:pt idx="11">
                        <c:v>6.1057000000000004E-3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5.6344999999999999E-13</c:v>
                      </c:pt>
                      <c:pt idx="2">
                        <c:v>2.7175000000000002E-10</c:v>
                      </c:pt>
                      <c:pt idx="3">
                        <c:v>1.7757000000000001E-8</c:v>
                      </c:pt>
                      <c:pt idx="4">
                        <c:v>3.4676999999999997E-7</c:v>
                      </c:pt>
                      <c:pt idx="5">
                        <c:v>3.1225000000000002E-6</c:v>
                      </c:pt>
                      <c:pt idx="6">
                        <c:v>1.6796E-5</c:v>
                      </c:pt>
                      <c:pt idx="7">
                        <c:v>6.2982000000000001E-5</c:v>
                      </c:pt>
                      <c:pt idx="8">
                        <c:v>1.7830999999999999E-4</c:v>
                      </c:pt>
                      <c:pt idx="9">
                        <c:v>3.9241999999999999E-4</c:v>
                      </c:pt>
                      <c:pt idx="10">
                        <c:v>6.5547999999999995E-4</c:v>
                      </c:pt>
                      <c:pt idx="11">
                        <c:v>7.3410000000000001E-4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8.4466000000000006E-14</c:v>
                      </c:pt>
                      <c:pt idx="2">
                        <c:v>5.5912000000000002E-11</c:v>
                      </c:pt>
                      <c:pt idx="3">
                        <c:v>4.4193000000000002E-9</c:v>
                      </c:pt>
                      <c:pt idx="4">
                        <c:v>9.7182000000000003E-8</c:v>
                      </c:pt>
                      <c:pt idx="5">
                        <c:v>9.4422000000000002E-7</c:v>
                      </c:pt>
                      <c:pt idx="6">
                        <c:v>5.3391000000000003E-6</c:v>
                      </c:pt>
                      <c:pt idx="7">
                        <c:v>2.0684999999999999E-5</c:v>
                      </c:pt>
                      <c:pt idx="8">
                        <c:v>5.9579E-5</c:v>
                      </c:pt>
                      <c:pt idx="9">
                        <c:v>1.3079000000000001E-4</c:v>
                      </c:pt>
                      <c:pt idx="10">
                        <c:v>2.1085E-4</c:v>
                      </c:pt>
                      <c:pt idx="11">
                        <c:v>2.1446E-4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2.3718E-15</c:v>
                      </c:pt>
                      <c:pt idx="2">
                        <c:v>2.0001999999999999E-12</c:v>
                      </c:pt>
                      <c:pt idx="3">
                        <c:v>1.8133000000000001E-10</c:v>
                      </c:pt>
                      <c:pt idx="4">
                        <c:v>4.3148999999999996E-9</c:v>
                      </c:pt>
                      <c:pt idx="5">
                        <c:v>4.3858000000000001E-8</c:v>
                      </c:pt>
                      <c:pt idx="6">
                        <c:v>2.5432000000000002E-7</c:v>
                      </c:pt>
                      <c:pt idx="7">
                        <c:v>9.9755999999999994E-7</c:v>
                      </c:pt>
                      <c:pt idx="8">
                        <c:v>2.8744E-6</c:v>
                      </c:pt>
                      <c:pt idx="9">
                        <c:v>6.2053999999999999E-6</c:v>
                      </c:pt>
                      <c:pt idx="10">
                        <c:v>9.5367999999999999E-6</c:v>
                      </c:pt>
                      <c:pt idx="11">
                        <c:v>8.7167999999999993E-6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4.4898999999999999E-15</c:v>
                      </c:pt>
                      <c:pt idx="2">
                        <c:v>1.0202999999999999E-11</c:v>
                      </c:pt>
                      <c:pt idx="3">
                        <c:v>2.4183999999999998E-9</c:v>
                      </c:pt>
                      <c:pt idx="4">
                        <c:v>1.4000999999999999E-7</c:v>
                      </c:pt>
                      <c:pt idx="5">
                        <c:v>3.1868000000000001E-6</c:v>
                      </c:pt>
                      <c:pt idx="6">
                        <c:v>3.8056000000000003E-5</c:v>
                      </c:pt>
                      <c:pt idx="7">
                        <c:v>2.8582E-4</c:v>
                      </c:pt>
                      <c:pt idx="8">
                        <c:v>1.5125E-3</c:v>
                      </c:pt>
                      <c:pt idx="9">
                        <c:v>6.0857999999999997E-3</c:v>
                      </c:pt>
                      <c:pt idx="10">
                        <c:v>1.9578000000000002E-2</c:v>
                      </c:pt>
                      <c:pt idx="11">
                        <c:v>5.0479999999999997E-2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5.7083999999999999E-31</c:v>
                      </c:pt>
                      <c:pt idx="2">
                        <c:v>3.8902999999999999E-25</c:v>
                      </c:pt>
                      <c:pt idx="3">
                        <c:v>5.8614000000000001E-21</c:v>
                      </c:pt>
                      <c:pt idx="4">
                        <c:v>8.0426999999999996E-18</c:v>
                      </c:pt>
                      <c:pt idx="5">
                        <c:v>2.2259000000000001E-15</c:v>
                      </c:pt>
                      <c:pt idx="6">
                        <c:v>2.0128999999999999E-13</c:v>
                      </c:pt>
                      <c:pt idx="7">
                        <c:v>8.0862E-12</c:v>
                      </c:pt>
                      <c:pt idx="8">
                        <c:v>1.7658E-10</c:v>
                      </c:pt>
                      <c:pt idx="9">
                        <c:v>2.4185999999999999E-9</c:v>
                      </c:pt>
                      <c:pt idx="10">
                        <c:v>2.3157E-8</c:v>
                      </c:pt>
                      <c:pt idx="11">
                        <c:v>1.6509E-7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5.0018E-12</c:v>
                      </c:pt>
                      <c:pt idx="1">
                        <c:v>5.1719999999999999E-9</c:v>
                      </c:pt>
                      <c:pt idx="2">
                        <c:v>4.7672E-7</c:v>
                      </c:pt>
                      <c:pt idx="3">
                        <c:v>1.1173E-5</c:v>
                      </c:pt>
                      <c:pt idx="4">
                        <c:v>1.1153E-4</c:v>
                      </c:pt>
                      <c:pt idx="5">
                        <c:v>6.1563000000000004E-4</c:v>
                      </c:pt>
                      <c:pt idx="6">
                        <c:v>2.1047000000000001E-3</c:v>
                      </c:pt>
                      <c:pt idx="7">
                        <c:v>4.7291E-3</c:v>
                      </c:pt>
                      <c:pt idx="8">
                        <c:v>7.7929999999999996E-3</c:v>
                      </c:pt>
                      <c:pt idx="9">
                        <c:v>1.0592000000000001E-2</c:v>
                      </c:pt>
                      <c:pt idx="10">
                        <c:v>1.2978999999999999E-2</c:v>
                      </c:pt>
                      <c:pt idx="11">
                        <c:v>1.4978E-2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-19.260000000000002</c:v>
                      </c:pt>
                      <c:pt idx="7">
                        <c:v>-19.41</c:v>
                      </c:pt>
                      <c:pt idx="8">
                        <c:v>-19.559999999999999</c:v>
                      </c:pt>
                      <c:pt idx="9">
                        <c:v>-19.73</c:v>
                      </c:pt>
                      <c:pt idx="10">
                        <c:v>-19.940000000000001</c:v>
                      </c:pt>
                      <c:pt idx="11">
                        <c:v>-20.2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-7.6630000000000003</c:v>
                      </c:pt>
                      <c:pt idx="1">
                        <c:v>-8.1549999999999994</c:v>
                      </c:pt>
                      <c:pt idx="2">
                        <c:v>-8.5950000000000006</c:v>
                      </c:pt>
                      <c:pt idx="3">
                        <c:v>-8.9879999999999995</c:v>
                      </c:pt>
                      <c:pt idx="4">
                        <c:v>-9.3450000000000006</c:v>
                      </c:pt>
                      <c:pt idx="5">
                        <c:v>-9.6869999999999994</c:v>
                      </c:pt>
                      <c:pt idx="6">
                        <c:v>-10.050000000000001</c:v>
                      </c:pt>
                      <c:pt idx="7">
                        <c:v>-10.47</c:v>
                      </c:pt>
                      <c:pt idx="8">
                        <c:v>-10.92</c:v>
                      </c:pt>
                      <c:pt idx="9">
                        <c:v>-11.37</c:v>
                      </c:pt>
                      <c:pt idx="10">
                        <c:v>-11.81</c:v>
                      </c:pt>
                      <c:pt idx="11">
                        <c:v>-12.22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7.5119999999999996</c:v>
                      </c:pt>
                      <c:pt idx="1">
                        <c:v>4.4539999999999997</c:v>
                      </c:pt>
                      <c:pt idx="2">
                        <c:v>2.2879999999999998</c:v>
                      </c:pt>
                      <c:pt idx="3">
                        <c:v>0.65210000000000001</c:v>
                      </c:pt>
                      <c:pt idx="4">
                        <c:v>-0.63829999999999998</c:v>
                      </c:pt>
                      <c:pt idx="5">
                        <c:v>-1.6890000000000001</c:v>
                      </c:pt>
                      <c:pt idx="6">
                        <c:v>-2.5640000000000001</c:v>
                      </c:pt>
                      <c:pt idx="7">
                        <c:v>-3.3050000000000002</c:v>
                      </c:pt>
                      <c:pt idx="8">
                        <c:v>-3.9390000000000001</c:v>
                      </c:pt>
                      <c:pt idx="9">
                        <c:v>-4.4790000000000001</c:v>
                      </c:pt>
                      <c:pt idx="10">
                        <c:v>-4.9219999999999997</c:v>
                      </c:pt>
                      <c:pt idx="11">
                        <c:v>-5.2549999999999999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-5.0519999999999996</c:v>
                      </c:pt>
                      <c:pt idx="2">
                        <c:v>-5.4409999999999998</c:v>
                      </c:pt>
                      <c:pt idx="3">
                        <c:v>-5.8239999999999998</c:v>
                      </c:pt>
                      <c:pt idx="4">
                        <c:v>-6.1890000000000001</c:v>
                      </c:pt>
                      <c:pt idx="5">
                        <c:v>-6.53</c:v>
                      </c:pt>
                      <c:pt idx="6">
                        <c:v>-6.8470000000000004</c:v>
                      </c:pt>
                      <c:pt idx="7">
                        <c:v>-7.1420000000000003</c:v>
                      </c:pt>
                      <c:pt idx="8">
                        <c:v>-7.42</c:v>
                      </c:pt>
                      <c:pt idx="9">
                        <c:v>-7.6909999999999998</c:v>
                      </c:pt>
                      <c:pt idx="10">
                        <c:v>-7.9740000000000002</c:v>
                      </c:pt>
                      <c:pt idx="11">
                        <c:v>-8.298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-150.19965250692857</c:v>
                </c:pt>
                <c:pt idx="1">
                  <c:v>-152.00684709107145</c:v>
                </c:pt>
                <c:pt idx="2">
                  <c:v>-153.7905389592857</c:v>
                </c:pt>
                <c:pt idx="3">
                  <c:v>-155.62300368449999</c:v>
                </c:pt>
                <c:pt idx="4">
                  <c:v>-157.59312802285712</c:v>
                </c:pt>
                <c:pt idx="5">
                  <c:v>-160.64119284042857</c:v>
                </c:pt>
                <c:pt idx="6">
                  <c:v>-164.11837019078575</c:v>
                </c:pt>
                <c:pt idx="7">
                  <c:v>-167.68822333371429</c:v>
                </c:pt>
                <c:pt idx="8">
                  <c:v>-171.25422626925001</c:v>
                </c:pt>
                <c:pt idx="9">
                  <c:v>-186.48208395214283</c:v>
                </c:pt>
                <c:pt idx="10">
                  <c:v>-190.46062066380003</c:v>
                </c:pt>
                <c:pt idx="11">
                  <c:v>-194.51061076311427</c:v>
                </c:pt>
                <c:pt idx="12">
                  <c:v>-199.7127535991786</c:v>
                </c:pt>
                <c:pt idx="13">
                  <c:v>-206.99652997767859</c:v>
                </c:pt>
                <c:pt idx="14">
                  <c:v>-237.22656605775003</c:v>
                </c:pt>
                <c:pt idx="15">
                  <c:v>-269.01386012005719</c:v>
                </c:pt>
                <c:pt idx="16">
                  <c:v>-302.28967536164998</c:v>
                </c:pt>
                <c:pt idx="17">
                  <c:v>-310.81690623895719</c:v>
                </c:pt>
                <c:pt idx="18">
                  <c:v>-319.8508532723572</c:v>
                </c:pt>
                <c:pt idx="19">
                  <c:v>-328.94635587505724</c:v>
                </c:pt>
                <c:pt idx="20">
                  <c:v>-338.47298929602852</c:v>
                </c:pt>
                <c:pt idx="21">
                  <c:v>-348.23077828875</c:v>
                </c:pt>
                <c:pt idx="22">
                  <c:v>-358.09523067617147</c:v>
                </c:pt>
                <c:pt idx="23">
                  <c:v>-368.08116111561429</c:v>
                </c:pt>
                <c:pt idx="24">
                  <c:v>-378.1736373589714</c:v>
                </c:pt>
                <c:pt idx="25">
                  <c:v>-419.31298861155</c:v>
                </c:pt>
                <c:pt idx="26">
                  <c:v>-461.93936657142854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88184504847"/>
          <c:y val="7.3209491520351416E-2"/>
          <c:w val="0.83553361749524424"/>
          <c:h val="0.77107340657712931"/>
        </c:manualLayout>
      </c:layout>
      <c:scatterChart>
        <c:scatterStyle val="lineMarker"/>
        <c:varyColors val="0"/>
        <c:ser>
          <c:idx val="8"/>
          <c:order val="8"/>
          <c:tx>
            <c:strRef>
              <c:f>SOLID!$E$12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7.7565999999999998E-3</c:v>
                </c:pt>
                <c:pt idx="19" formatCode="General">
                  <c:v>2.8487E-3</c:v>
                </c:pt>
                <c:pt idx="20" formatCode="General">
                  <c:v>7.5883000000000005E-4</c:v>
                </c:pt>
                <c:pt idx="21" formatCode="General">
                  <c:v>1.1998999999999999E-4</c:v>
                </c:pt>
                <c:pt idx="22" formatCode="General">
                  <c:v>2.0021E-5</c:v>
                </c:pt>
                <c:pt idx="23" formatCode="General">
                  <c:v>3.5053000000000001E-6</c:v>
                </c:pt>
                <c:pt idx="24" formatCode="General">
                  <c:v>6.4165000000000003E-7</c:v>
                </c:pt>
                <c:pt idx="25" formatCode="General">
                  <c:v>1.0583E-9</c:v>
                </c:pt>
                <c:pt idx="26" formatCode="General">
                  <c:v>2.8184000000000002E-12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6.6809999999999997E-33</c:v>
                </c:pt>
                <c:pt idx="10">
                  <c:v>7.8149999999999998E-31</c:v>
                </c:pt>
                <c:pt idx="11">
                  <c:v>6.8396999999999999E-29</c:v>
                </c:pt>
                <c:pt idx="12">
                  <c:v>4.6017E-27</c:v>
                </c:pt>
                <c:pt idx="13">
                  <c:v>2.4372999999999999E-25</c:v>
                </c:pt>
                <c:pt idx="14">
                  <c:v>2.5777E-19</c:v>
                </c:pt>
                <c:pt idx="15">
                  <c:v>2.2115999999999999E-14</c:v>
                </c:pt>
                <c:pt idx="16">
                  <c:v>2.9888000000000001E-10</c:v>
                </c:pt>
                <c:pt idx="17">
                  <c:v>2.5529000000000001E-9</c:v>
                </c:pt>
                <c:pt idx="18">
                  <c:v>7.7960999999999996E-9</c:v>
                </c:pt>
                <c:pt idx="19" formatCode="General">
                  <c:v>2.0885999999999999E-8</c:v>
                </c:pt>
                <c:pt idx="20" formatCode="General">
                  <c:v>3.7773999999999998E-8</c:v>
                </c:pt>
                <c:pt idx="21" formatCode="General">
                  <c:v>3.7906000000000002E-8</c:v>
                </c:pt>
                <c:pt idx="22" formatCode="General">
                  <c:v>3.7667000000000002E-8</c:v>
                </c:pt>
                <c:pt idx="23" formatCode="General">
                  <c:v>3.6985999999999998E-8</c:v>
                </c:pt>
                <c:pt idx="24" formatCode="General">
                  <c:v>3.5881000000000002E-8</c:v>
                </c:pt>
                <c:pt idx="25" formatCode="General">
                  <c:v>2.8110999999999999E-8</c:v>
                </c:pt>
                <c:pt idx="26" formatCode="General">
                  <c:v>1.7782E-8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E1-40A6-A933-2A862B83ED7D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6.6855000000000004E-18</c:v>
                      </c:pt>
                      <c:pt idx="15">
                        <c:v>1.762E-13</c:v>
                      </c:pt>
                      <c:pt idx="16">
                        <c:v>5.8739999999999998E-14</c:v>
                      </c:pt>
                      <c:pt idx="17">
                        <c:v>4.9521000000000001E-21</c:v>
                      </c:pt>
                      <c:pt idx="18">
                        <c:v>3.5675999999999999E-28</c:v>
                      </c:pt>
                      <c:pt idx="19" formatCode="General">
                        <c:v>0</c:v>
                      </c:pt>
                      <c:pt idx="20" formatCode="General">
                        <c:v>5.1645000000000003E-20</c:v>
                      </c:pt>
                      <c:pt idx="21" formatCode="General">
                        <c:v>2.3851000000000001E-13</c:v>
                      </c:pt>
                      <c:pt idx="22" formatCode="General">
                        <c:v>1.8062000000000001E-17</c:v>
                      </c:pt>
                      <c:pt idx="23" formatCode="General">
                        <c:v>8.5727999999999997E-20</c:v>
                      </c:pt>
                      <c:pt idx="24" formatCode="General">
                        <c:v>6.7719000000000002E-20</c:v>
                      </c:pt>
                      <c:pt idx="25" formatCode="General">
                        <c:v>2.1051999999999999E-14</c:v>
                      </c:pt>
                      <c:pt idx="26" formatCode="General">
                        <c:v>4.6006999999999996E-9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2E1-40A6-A933-2A862B83ED7D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1.6387999999999999E-33</c:v>
                      </c:pt>
                      <c:pt idx="8">
                        <c:v>5.0901000000000002E-26</c:v>
                      </c:pt>
                      <c:pt idx="9">
                        <c:v>1.5335000000000001E-11</c:v>
                      </c:pt>
                      <c:pt idx="10">
                        <c:v>4.4230000000000001E-10</c:v>
                      </c:pt>
                      <c:pt idx="11">
                        <c:v>1.8701E-8</c:v>
                      </c:pt>
                      <c:pt idx="12">
                        <c:v>0.14000000000000001</c:v>
                      </c:pt>
                      <c:pt idx="13">
                        <c:v>0.14000000000000001</c:v>
                      </c:pt>
                      <c:pt idx="14">
                        <c:v>0.14000000000000001</c:v>
                      </c:pt>
                      <c:pt idx="15">
                        <c:v>0.14000000000000001</c:v>
                      </c:pt>
                      <c:pt idx="16">
                        <c:v>0.14000000000000001</c:v>
                      </c:pt>
                      <c:pt idx="17">
                        <c:v>0.14000000000000001</c:v>
                      </c:pt>
                      <c:pt idx="18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0.13650999999999999</c:v>
                      </c:pt>
                      <c:pt idx="21" formatCode="General">
                        <c:v>0.13588</c:v>
                      </c:pt>
                      <c:pt idx="22" formatCode="General">
                        <c:v>0.13528000000000001</c:v>
                      </c:pt>
                      <c:pt idx="23" formatCode="General">
                        <c:v>0.13461999999999999</c:v>
                      </c:pt>
                      <c:pt idx="24" formatCode="General">
                        <c:v>0.13389000000000001</c:v>
                      </c:pt>
                      <c:pt idx="25" formatCode="General">
                        <c:v>0.12989000000000001</c:v>
                      </c:pt>
                      <c:pt idx="26" formatCode="General">
                        <c:v>0.12297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2E1-40A6-A933-2A862B83ED7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>
                        <c:v>0.14000000000000001</c:v>
                      </c:pt>
                      <c:pt idx="5">
                        <c:v>0.28000000000000003</c:v>
                      </c:pt>
                      <c:pt idx="6">
                        <c:v>0.28000000000000003</c:v>
                      </c:pt>
                      <c:pt idx="7">
                        <c:v>0.28000000000000003</c:v>
                      </c:pt>
                      <c:pt idx="8">
                        <c:v>0.28000000000000003</c:v>
                      </c:pt>
                      <c:pt idx="9">
                        <c:v>0.28000000000000003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2.0335E-7</c:v>
                      </c:pt>
                      <c:pt idx="13">
                        <c:v>1.9375E-9</c:v>
                      </c:pt>
                      <c:pt idx="14">
                        <c:v>2.8928000000000001E-13</c:v>
                      </c:pt>
                      <c:pt idx="15">
                        <c:v>5.8773E-21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2E1-40A6-A933-2A862B83ED7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3.8944000000000003E-36</c:v>
                      </c:pt>
                      <c:pt idx="16">
                        <c:v>1.0914999999999999E-20</c:v>
                      </c:pt>
                      <c:pt idx="17">
                        <c:v>2.7170000000000003E-20</c:v>
                      </c:pt>
                      <c:pt idx="18">
                        <c:v>2.7481999999999999E-17</c:v>
                      </c:pt>
                      <c:pt idx="19" formatCode="General">
                        <c:v>2.1655999999999999E-17</c:v>
                      </c:pt>
                      <c:pt idx="20" formatCode="General">
                        <c:v>4.1360000000000001E-8</c:v>
                      </c:pt>
                      <c:pt idx="21" formatCode="General">
                        <c:v>3.4271999999999999E-7</c:v>
                      </c:pt>
                      <c:pt idx="22" formatCode="General">
                        <c:v>2.5522999999999999E-7</c:v>
                      </c:pt>
                      <c:pt idx="23" formatCode="General">
                        <c:v>1.8946E-7</c:v>
                      </c:pt>
                      <c:pt idx="24" formatCode="General">
                        <c:v>1.6390000000000001E-7</c:v>
                      </c:pt>
                      <c:pt idx="25" formatCode="General">
                        <c:v>5.6700999999999999E-8</c:v>
                      </c:pt>
                      <c:pt idx="26" formatCode="General">
                        <c:v>1.6385000000000001E-8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2E1-40A6-A933-2A862B83ED7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3.1006E-29</c:v>
                      </c:pt>
                      <c:pt idx="16">
                        <c:v>4.1882000000000003E-12</c:v>
                      </c:pt>
                      <c:pt idx="17">
                        <c:v>4.2325999999999999E-7</c:v>
                      </c:pt>
                      <c:pt idx="18">
                        <c:v>1.2243E-2</c:v>
                      </c:pt>
                      <c:pt idx="19" formatCode="General">
                        <c:v>1.7151E-2</c:v>
                      </c:pt>
                      <c:pt idx="20" formatCode="General">
                        <c:v>2.6225000000000002E-8</c:v>
                      </c:pt>
                      <c:pt idx="21" formatCode="General">
                        <c:v>6.3299000000000001E-13</c:v>
                      </c:pt>
                      <c:pt idx="22" formatCode="General">
                        <c:v>5.1691999999999997E-25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2E1-40A6-A933-2A862B83ED7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1.6387999999999999E-33</c:v>
                      </c:pt>
                      <c:pt idx="8">
                        <c:v>5.0901000000000002E-26</c:v>
                      </c:pt>
                      <c:pt idx="9">
                        <c:v>1.5335000000000001E-11</c:v>
                      </c:pt>
                      <c:pt idx="10">
                        <c:v>4.4230000000000001E-10</c:v>
                      </c:pt>
                      <c:pt idx="11">
                        <c:v>1.8701E-8</c:v>
                      </c:pt>
                      <c:pt idx="12">
                        <c:v>0.14000000000000001</c:v>
                      </c:pt>
                      <c:pt idx="13">
                        <c:v>0.14000000000000001</c:v>
                      </c:pt>
                      <c:pt idx="14">
                        <c:v>0.14000000000000001</c:v>
                      </c:pt>
                      <c:pt idx="15">
                        <c:v>0.14000000000000001</c:v>
                      </c:pt>
                      <c:pt idx="16">
                        <c:v>0.14000000000000001</c:v>
                      </c:pt>
                      <c:pt idx="17">
                        <c:v>0.14000000000000001</c:v>
                      </c:pt>
                      <c:pt idx="18">
                        <c:v>0.14000000000000001</c:v>
                      </c:pt>
                      <c:pt idx="19" formatCode="General">
                        <c:v>0.14000000000000001</c:v>
                      </c:pt>
                      <c:pt idx="20" formatCode="General">
                        <c:v>0.13650999999999999</c:v>
                      </c:pt>
                      <c:pt idx="21" formatCode="General">
                        <c:v>0.13588</c:v>
                      </c:pt>
                      <c:pt idx="22" formatCode="General">
                        <c:v>0.13528000000000001</c:v>
                      </c:pt>
                      <c:pt idx="23" formatCode="General">
                        <c:v>0.13461999999999999</c:v>
                      </c:pt>
                      <c:pt idx="24" formatCode="General">
                        <c:v>0.13389000000000001</c:v>
                      </c:pt>
                      <c:pt idx="25" formatCode="General">
                        <c:v>0.12989000000000001</c:v>
                      </c:pt>
                      <c:pt idx="26" formatCode="General">
                        <c:v>0.12297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2E1-40A6-A933-2A862B83ED7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D2E1-40A6-A933-2A862B83ED7D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1.5275E-21</c:v>
                      </c:pt>
                      <c:pt idx="1">
                        <c:v>1.3022000000000001E-17</c:v>
                      </c:pt>
                      <c:pt idx="2">
                        <c:v>4.1226999999999998E-12</c:v>
                      </c:pt>
                      <c:pt idx="3">
                        <c:v>1.4575E-9</c:v>
                      </c:pt>
                      <c:pt idx="4">
                        <c:v>3.051E-7</c:v>
                      </c:pt>
                      <c:pt idx="5">
                        <c:v>0.14000000000000001</c:v>
                      </c:pt>
                      <c:pt idx="6">
                        <c:v>0.14000000000000001</c:v>
                      </c:pt>
                      <c:pt idx="7">
                        <c:v>0.14000000000000001</c:v>
                      </c:pt>
                      <c:pt idx="8">
                        <c:v>0.14000000000000001</c:v>
                      </c:pt>
                      <c:pt idx="9">
                        <c:v>0.14000000000000001</c:v>
                      </c:pt>
                      <c:pt idx="10">
                        <c:v>0.14000000000000001</c:v>
                      </c:pt>
                      <c:pt idx="11">
                        <c:v>0.14000000000000001</c:v>
                      </c:pt>
                      <c:pt idx="12">
                        <c:v>0.42</c:v>
                      </c:pt>
                      <c:pt idx="13">
                        <c:v>0.42</c:v>
                      </c:pt>
                      <c:pt idx="14">
                        <c:v>0.42</c:v>
                      </c:pt>
                      <c:pt idx="15">
                        <c:v>0.42</c:v>
                      </c:pt>
                      <c:pt idx="16">
                        <c:v>0.42</c:v>
                      </c:pt>
                      <c:pt idx="17">
                        <c:v>0.42</c:v>
                      </c:pt>
                      <c:pt idx="18">
                        <c:v>0.44449</c:v>
                      </c:pt>
                      <c:pt idx="19" formatCode="General">
                        <c:v>0.45429999999999998</c:v>
                      </c:pt>
                      <c:pt idx="20" formatCode="General">
                        <c:v>0.47771999999999998</c:v>
                      </c:pt>
                      <c:pt idx="21" formatCode="General">
                        <c:v>0.47964000000000001</c:v>
                      </c:pt>
                      <c:pt idx="22" formatCode="General">
                        <c:v>0.47993999999999998</c:v>
                      </c:pt>
                      <c:pt idx="23" formatCode="General">
                        <c:v>0.47999000000000003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2E1-40A6-A933-2A862B83ED7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0.14000000000000001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0.14000000000000001</c:v>
                      </c:pt>
                      <c:pt idx="4">
                        <c:v>0.14000000000000001</c:v>
                      </c:pt>
                      <c:pt idx="5">
                        <c:v>3.2209999999999999E-9</c:v>
                      </c:pt>
                      <c:pt idx="6">
                        <c:v>1.9975999999999999E-10</c:v>
                      </c:pt>
                      <c:pt idx="7">
                        <c:v>9.6340999999999999E-12</c:v>
                      </c:pt>
                      <c:pt idx="8">
                        <c:v>1.4116999999999999E-13</c:v>
                      </c:pt>
                      <c:pt idx="9">
                        <c:v>2.8361000000000002E-26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2E1-40A6-A933-2A862B83ED7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(1)Ga[1]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3.6238000000000002E-20</c:v>
                      </c:pt>
                      <c:pt idx="15">
                        <c:v>7.0432999999999999E-14</c:v>
                      </c:pt>
                      <c:pt idx="16">
                        <c:v>2.9604999999999998E-10</c:v>
                      </c:pt>
                      <c:pt idx="17">
                        <c:v>1.039E-10</c:v>
                      </c:pt>
                      <c:pt idx="18">
                        <c:v>1.5157999999999999E-8</c:v>
                      </c:pt>
                      <c:pt idx="19" formatCode="General">
                        <c:v>2.1476E-7</c:v>
                      </c:pt>
                      <c:pt idx="20" formatCode="General">
                        <c:v>3.8482000000000002E-2</c:v>
                      </c:pt>
                      <c:pt idx="21" formatCode="General">
                        <c:v>3.9759999999999997E-2</c:v>
                      </c:pt>
                      <c:pt idx="22" formatCode="General">
                        <c:v>3.9960000000000002E-2</c:v>
                      </c:pt>
                      <c:pt idx="23" formatCode="General">
                        <c:v>3.9993000000000001E-2</c:v>
                      </c:pt>
                      <c:pt idx="24" formatCode="General">
                        <c:v>3.9997999999999999E-2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2E1-40A6-A933-2A862B83ED7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(1)Ge[1]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7.4125999999999999E-36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2.0193000000000001E-16</c:v>
                      </c:pt>
                      <c:pt idx="15">
                        <c:v>4.0033000000000001E-12</c:v>
                      </c:pt>
                      <c:pt idx="16">
                        <c:v>3.3269000000000002E-10</c:v>
                      </c:pt>
                      <c:pt idx="17">
                        <c:v>4.7667000000000002E-11</c:v>
                      </c:pt>
                      <c:pt idx="18">
                        <c:v>4.5630999999999997E-9</c:v>
                      </c:pt>
                      <c:pt idx="19" formatCode="General">
                        <c:v>4.5578E-8</c:v>
                      </c:pt>
                      <c:pt idx="20" formatCode="General">
                        <c:v>6.9871999999999998E-3</c:v>
                      </c:pt>
                      <c:pt idx="21" formatCode="General">
                        <c:v>8.2457999999999993E-3</c:v>
                      </c:pt>
                      <c:pt idx="22" formatCode="General">
                        <c:v>9.4445999999999992E-3</c:v>
                      </c:pt>
                      <c:pt idx="23" formatCode="General">
                        <c:v>1.0753E-2</c:v>
                      </c:pt>
                      <c:pt idx="24" formatCode="General">
                        <c:v>1.2215999999999999E-2</c:v>
                      </c:pt>
                      <c:pt idx="25" formatCode="General">
                        <c:v>2.0229E-2</c:v>
                      </c:pt>
                      <c:pt idx="26" formatCode="General">
                        <c:v>3.4062000000000002E-2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2E1-40A6-A933-2A862B83ED7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-18.72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>
                        <c:v>-18.73</c:v>
                      </c:pt>
                      <c:pt idx="5">
                        <c:v>-18.739999999999998</c:v>
                      </c:pt>
                      <c:pt idx="6">
                        <c:v>-18.760000000000002</c:v>
                      </c:pt>
                      <c:pt idx="7">
                        <c:v>-18.79</c:v>
                      </c:pt>
                      <c:pt idx="8">
                        <c:v>-18.809999999999999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</c:v>
                      </c:pt>
                      <c:pt idx="12">
                        <c:v>-19.03</c:v>
                      </c:pt>
                      <c:pt idx="13">
                        <c:v>-19.07</c:v>
                      </c:pt>
                      <c:pt idx="14">
                        <c:v>-19.2</c:v>
                      </c:pt>
                      <c:pt idx="15">
                        <c:v>-19.34</c:v>
                      </c:pt>
                      <c:pt idx="16">
                        <c:v>-19.48</c:v>
                      </c:pt>
                      <c:pt idx="17">
                        <c:v>-19.510000000000002</c:v>
                      </c:pt>
                      <c:pt idx="18">
                        <c:v>-19.489999999999998</c:v>
                      </c:pt>
                      <c:pt idx="19" formatCode="General">
                        <c:v>-19.5</c:v>
                      </c:pt>
                      <c:pt idx="20" formatCode="General">
                        <c:v>-19.52</c:v>
                      </c:pt>
                      <c:pt idx="21" formatCode="General">
                        <c:v>-19.55</c:v>
                      </c:pt>
                      <c:pt idx="22" formatCode="General">
                        <c:v>-19.579999999999998</c:v>
                      </c:pt>
                      <c:pt idx="23" formatCode="General">
                        <c:v>-19.61</c:v>
                      </c:pt>
                      <c:pt idx="24" formatCode="General">
                        <c:v>-19.64</c:v>
                      </c:pt>
                      <c:pt idx="25" formatCode="General">
                        <c:v>-19.760000000000002</c:v>
                      </c:pt>
                      <c:pt idx="26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2E1-40A6-A933-2A862B83ED7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-66.760000000000005</c:v>
                      </c:pt>
                      <c:pt idx="1">
                        <c:v>-63.28</c:v>
                      </c:pt>
                      <c:pt idx="2">
                        <c:v>-60.18</c:v>
                      </c:pt>
                      <c:pt idx="3">
                        <c:v>-57.4</c:v>
                      </c:pt>
                      <c:pt idx="4">
                        <c:v>-54.91</c:v>
                      </c:pt>
                      <c:pt idx="5">
                        <c:v>-51.53</c:v>
                      </c:pt>
                      <c:pt idx="6">
                        <c:v>-48.17</c:v>
                      </c:pt>
                      <c:pt idx="7">
                        <c:v>-45.06</c:v>
                      </c:pt>
                      <c:pt idx="8">
                        <c:v>-42.19</c:v>
                      </c:pt>
                      <c:pt idx="9">
                        <c:v>-32.53</c:v>
                      </c:pt>
                      <c:pt idx="10">
                        <c:v>-30.48</c:v>
                      </c:pt>
                      <c:pt idx="11">
                        <c:v>-28.55</c:v>
                      </c:pt>
                      <c:pt idx="12">
                        <c:v>-26.74</c:v>
                      </c:pt>
                      <c:pt idx="13">
                        <c:v>-25.02</c:v>
                      </c:pt>
                      <c:pt idx="14">
                        <c:v>-18.96</c:v>
                      </c:pt>
                      <c:pt idx="15">
                        <c:v>-13.95</c:v>
                      </c:pt>
                      <c:pt idx="16">
                        <c:v>-9.7059999999999995</c:v>
                      </c:pt>
                      <c:pt idx="17">
                        <c:v>-8.7420000000000009</c:v>
                      </c:pt>
                      <c:pt idx="18">
                        <c:v>-8.2560000000000002</c:v>
                      </c:pt>
                      <c:pt idx="19" formatCode="General">
                        <c:v>-7.8470000000000004</c:v>
                      </c:pt>
                      <c:pt idx="20" formatCode="General">
                        <c:v>-7.6349999999999998</c:v>
                      </c:pt>
                      <c:pt idx="21" formatCode="General">
                        <c:v>-7.7149999999999999</c:v>
                      </c:pt>
                      <c:pt idx="22" formatCode="General">
                        <c:v>-7.7960000000000003</c:v>
                      </c:pt>
                      <c:pt idx="23" formatCode="General">
                        <c:v>-7.8789999999999996</c:v>
                      </c:pt>
                      <c:pt idx="24" formatCode="General">
                        <c:v>-7.9630000000000001</c:v>
                      </c:pt>
                      <c:pt idx="25" formatCode="General">
                        <c:v>-8.3190000000000008</c:v>
                      </c:pt>
                      <c:pt idx="26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2E1-40A6-A933-2A862B83ED7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-9.6150000000000002</c:v>
                      </c:pt>
                      <c:pt idx="9">
                        <c:v>-6.04</c:v>
                      </c:pt>
                      <c:pt idx="10">
                        <c:v>-5.2759999999999998</c:v>
                      </c:pt>
                      <c:pt idx="11">
                        <c:v>-4.5529999999999999</c:v>
                      </c:pt>
                      <c:pt idx="12">
                        <c:v>-4.1150000000000002</c:v>
                      </c:pt>
                      <c:pt idx="13">
                        <c:v>-4.1550000000000002</c:v>
                      </c:pt>
                      <c:pt idx="14">
                        <c:v>-4.3170000000000002</c:v>
                      </c:pt>
                      <c:pt idx="15">
                        <c:v>-4.4809999999999999</c:v>
                      </c:pt>
                      <c:pt idx="16">
                        <c:v>-4.6429999999999998</c:v>
                      </c:pt>
                      <c:pt idx="17">
                        <c:v>-4.6829999999999998</c:v>
                      </c:pt>
                      <c:pt idx="18">
                        <c:v>-4.7220000000000004</c:v>
                      </c:pt>
                      <c:pt idx="19" formatCode="General">
                        <c:v>-4.7619999999999996</c:v>
                      </c:pt>
                      <c:pt idx="20" formatCode="General">
                        <c:v>-4.8010000000000002</c:v>
                      </c:pt>
                      <c:pt idx="21" formatCode="General">
                        <c:v>-4.84</c:v>
                      </c:pt>
                      <c:pt idx="22" formatCode="General">
                        <c:v>-4.8780000000000001</c:v>
                      </c:pt>
                      <c:pt idx="23" formatCode="General">
                        <c:v>-4.9169999999999998</c:v>
                      </c:pt>
                      <c:pt idx="24" formatCode="General">
                        <c:v>-4.9550000000000001</c:v>
                      </c:pt>
                      <c:pt idx="25" formatCode="General">
                        <c:v>-5.1040000000000001</c:v>
                      </c:pt>
                      <c:pt idx="26" formatCode="General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2E1-40A6-A933-2A862B83ED7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-19.79</c:v>
                      </c:pt>
                      <c:pt idx="6">
                        <c:v>-20.03</c:v>
                      </c:pt>
                      <c:pt idx="7">
                        <c:v>-20.28</c:v>
                      </c:pt>
                      <c:pt idx="8">
                        <c:v>-20.52</c:v>
                      </c:pt>
                      <c:pt idx="9">
                        <c:v>-21.52</c:v>
                      </c:pt>
                      <c:pt idx="10">
                        <c:v>-21.77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-22.51</c:v>
                      </c:pt>
                      <c:pt idx="14">
                        <c:v>-23.48</c:v>
                      </c:pt>
                      <c:pt idx="15">
                        <c:v>-24.41</c:v>
                      </c:pt>
                      <c:pt idx="16">
                        <c:v>-25.31</c:v>
                      </c:pt>
                      <c:pt idx="17">
                        <c:v>-25.53</c:v>
                      </c:pt>
                      <c:pt idx="18">
                        <c:v>-25.75</c:v>
                      </c:pt>
                      <c:pt idx="19">
                        <c:v>-25.96</c:v>
                      </c:pt>
                      <c:pt idx="20">
                        <c:v>-26.18</c:v>
                      </c:pt>
                      <c:pt idx="21">
                        <c:v>-26.39</c:v>
                      </c:pt>
                      <c:pt idx="22">
                        <c:v>-26.6</c:v>
                      </c:pt>
                      <c:pt idx="23">
                        <c:v>-26.81</c:v>
                      </c:pt>
                      <c:pt idx="24">
                        <c:v>-27.02</c:v>
                      </c:pt>
                      <c:pt idx="25">
                        <c:v>-27.83</c:v>
                      </c:pt>
                      <c:pt idx="26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2E1-40A6-A933-2A862B83ED7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2E1-40A6-A933-2A862B83ED7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2E1-40A6-A933-2A862B83ED7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2E1-40A6-A933-2A862B83ED7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2E1-40A6-A933-2A862B83ED7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2E1-40A6-A933-2A862B83ED7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2E1-40A6-A933-2A862B83ED7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2E1-40A6-A933-2A862B83ED7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2E1-40A6-A933-2A862B83ED7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2E1-40A6-A933-2A862B83ED7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2E1-40A6-A933-2A862B83ED7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2E1-40A6-A933-2A862B83ED7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2E1-40A6-A933-2A862B83ED7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-30.36236847428572</c:v>
                </c:pt>
                <c:pt idx="1">
                  <c:v>-32.190697329642859</c:v>
                </c:pt>
                <c:pt idx="2">
                  <c:v>-34.024133663571433</c:v>
                </c:pt>
                <c:pt idx="3">
                  <c:v>-35.857569997500008</c:v>
                </c:pt>
                <c:pt idx="4">
                  <c:v>-37.731296022857144</c:v>
                </c:pt>
                <c:pt idx="5">
                  <c:v>-39.587816972142853</c:v>
                </c:pt>
                <c:pt idx="6">
                  <c:v>-41.479543890000016</c:v>
                </c:pt>
                <c:pt idx="7">
                  <c:v>-43.387151502857144</c:v>
                </c:pt>
                <c:pt idx="8">
                  <c:v>-45.276568177500003</c:v>
                </c:pt>
                <c:pt idx="9">
                  <c:v>-52.996634877857147</c:v>
                </c:pt>
                <c:pt idx="10">
                  <c:v>-54.967533652499995</c:v>
                </c:pt>
                <c:pt idx="11">
                  <c:v>-56.916315857142855</c:v>
                </c:pt>
                <c:pt idx="12">
                  <c:v>-58.870977601071424</c:v>
                </c:pt>
                <c:pt idx="13">
                  <c:v>-60.874760223214295</c:v>
                </c:pt>
                <c:pt idx="14">
                  <c:v>-68.815553142857141</c:v>
                </c:pt>
                <c:pt idx="15">
                  <c:v>-76.909505091448111</c:v>
                </c:pt>
                <c:pt idx="16">
                  <c:v>-85.11337479277465</c:v>
                </c:pt>
                <c:pt idx="17">
                  <c:v>-87.156283033859381</c:v>
                </c:pt>
                <c:pt idx="18">
                  <c:v>-88.976810973366909</c:v>
                </c:pt>
                <c:pt idx="19">
                  <c:v>-90.933350221594679</c:v>
                </c:pt>
                <c:pt idx="20">
                  <c:v>-99.946351096073656</c:v>
                </c:pt>
                <c:pt idx="21">
                  <c:v>-102.46330173608551</c:v>
                </c:pt>
                <c:pt idx="22">
                  <c:v>-104.79656697678547</c:v>
                </c:pt>
                <c:pt idx="23">
                  <c:v>-107.10998301267776</c:v>
                </c:pt>
                <c:pt idx="24">
                  <c:v>-109.42821049777254</c:v>
                </c:pt>
                <c:pt idx="25">
                  <c:v>-118.8242229034929</c:v>
                </c:pt>
                <c:pt idx="26">
                  <c:v>-128.42933035714285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-135.3639375264643</c:v>
                </c:pt>
                <c:pt idx="1">
                  <c:v>-138.35978075121432</c:v>
                </c:pt>
                <c:pt idx="2">
                  <c:v>-141.33926994835716</c:v>
                </c:pt>
                <c:pt idx="3">
                  <c:v>-144.35211276225002</c:v>
                </c:pt>
                <c:pt idx="4">
                  <c:v>-147.4925023817143</c:v>
                </c:pt>
                <c:pt idx="5">
                  <c:v>-73.900780932689401</c:v>
                </c:pt>
                <c:pt idx="6">
                  <c:v>-76.067204189563867</c:v>
                </c:pt>
                <c:pt idx="7">
                  <c:v>-78.244652258269667</c:v>
                </c:pt>
                <c:pt idx="8">
                  <c:v>-80.405023041086068</c:v>
                </c:pt>
                <c:pt idx="9">
                  <c:v>-89.285191734000009</c:v>
                </c:pt>
                <c:pt idx="10">
                  <c:v>-91.555569890249998</c:v>
                </c:pt>
                <c:pt idx="11">
                  <c:v>-93.810070914857135</c:v>
                </c:pt>
                <c:pt idx="12">
                  <c:v>-96.083746364249976</c:v>
                </c:pt>
                <c:pt idx="13">
                  <c:v>-98.405151200892874</c:v>
                </c:pt>
                <c:pt idx="14">
                  <c:v>-107.65333094785714</c:v>
                </c:pt>
                <c:pt idx="15">
                  <c:v>-117.12593864830525</c:v>
                </c:pt>
                <c:pt idx="16">
                  <c:v>-126.77086644322463</c:v>
                </c:pt>
                <c:pt idx="17">
                  <c:v>-129.18160424461655</c:v>
                </c:pt>
                <c:pt idx="18">
                  <c:v>-105.57777260432957</c:v>
                </c:pt>
                <c:pt idx="19">
                  <c:v>-97.148624624989054</c:v>
                </c:pt>
                <c:pt idx="20">
                  <c:v>-101.64122653563481</c:v>
                </c:pt>
                <c:pt idx="21">
                  <c:v>-102.73912243030207</c:v>
                </c:pt>
                <c:pt idx="22">
                  <c:v>-104.84391024845689</c:v>
                </c:pt>
                <c:pt idx="23">
                  <c:v>-107.11850629408072</c:v>
                </c:pt>
                <c:pt idx="24">
                  <c:v>-109.42981413082447</c:v>
                </c:pt>
                <c:pt idx="25">
                  <c:v>-118.82422584210876</c:v>
                </c:pt>
                <c:pt idx="26">
                  <c:v>-128.42933036578901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SOLID!$A$114:$A$115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SOLID!$B$114:$B$115</c:f>
              <c:numCache>
                <c:formatCode>0</c:formatCode>
                <c:ptCount val="2"/>
                <c:pt idx="0">
                  <c:v>-461.93936657142854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B8-4099-89EB-409D78398715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>
                  <c:v>785.2</c:v>
                </c:pt>
                <c:pt idx="20">
                  <c:v>801.8</c:v>
                </c:pt>
                <c:pt idx="21">
                  <c:v>818.3</c:v>
                </c:pt>
                <c:pt idx="22">
                  <c:v>834.8</c:v>
                </c:pt>
                <c:pt idx="23">
                  <c:v>851.3</c:v>
                </c:pt>
                <c:pt idx="24">
                  <c:v>867.8</c:v>
                </c:pt>
                <c:pt idx="25">
                  <c:v>933.9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-150.19965250692857</c:v>
                </c:pt>
                <c:pt idx="1">
                  <c:v>-152.00684709107145</c:v>
                </c:pt>
                <c:pt idx="2">
                  <c:v>-153.7905389592857</c:v>
                </c:pt>
                <c:pt idx="3">
                  <c:v>-155.62300368449999</c:v>
                </c:pt>
                <c:pt idx="4">
                  <c:v>-157.59312802285712</c:v>
                </c:pt>
                <c:pt idx="5">
                  <c:v>-160.64119284042857</c:v>
                </c:pt>
                <c:pt idx="6">
                  <c:v>-164.11837019078575</c:v>
                </c:pt>
                <c:pt idx="7">
                  <c:v>-167.68822333371429</c:v>
                </c:pt>
                <c:pt idx="8">
                  <c:v>-171.25422626925001</c:v>
                </c:pt>
                <c:pt idx="9">
                  <c:v>-186.48208395214283</c:v>
                </c:pt>
                <c:pt idx="10">
                  <c:v>-190.46062066380003</c:v>
                </c:pt>
                <c:pt idx="11">
                  <c:v>-194.51061076311427</c:v>
                </c:pt>
                <c:pt idx="12">
                  <c:v>-199.7127535991786</c:v>
                </c:pt>
                <c:pt idx="13">
                  <c:v>-206.99652997767859</c:v>
                </c:pt>
                <c:pt idx="14">
                  <c:v>-237.22656605775003</c:v>
                </c:pt>
                <c:pt idx="15">
                  <c:v>-269.01386012005719</c:v>
                </c:pt>
                <c:pt idx="16">
                  <c:v>-302.28967536164998</c:v>
                </c:pt>
                <c:pt idx="17">
                  <c:v>-310.81690623895719</c:v>
                </c:pt>
                <c:pt idx="18">
                  <c:v>-319.8508532723572</c:v>
                </c:pt>
                <c:pt idx="19">
                  <c:v>-328.94635587505724</c:v>
                </c:pt>
                <c:pt idx="20">
                  <c:v>-338.47298929602852</c:v>
                </c:pt>
                <c:pt idx="21">
                  <c:v>-348.23077828875</c:v>
                </c:pt>
                <c:pt idx="22">
                  <c:v>-358.09523067617147</c:v>
                </c:pt>
                <c:pt idx="23">
                  <c:v>-368.08116111561429</c:v>
                </c:pt>
                <c:pt idx="24">
                  <c:v>-378.1736373589714</c:v>
                </c:pt>
                <c:pt idx="25">
                  <c:v>-419.31298861155</c:v>
                </c:pt>
                <c:pt idx="26">
                  <c:v>-461.93936657142854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-105.00156905217857</c:v>
                      </c:pt>
                      <c:pt idx="1">
                        <c:v>-106.16908342157144</c:v>
                      </c:pt>
                      <c:pt idx="2">
                        <c:v>-107.31513628478572</c:v>
                      </c:pt>
                      <c:pt idx="3">
                        <c:v>-108.49454276475001</c:v>
                      </c:pt>
                      <c:pt idx="4">
                        <c:v>-109.76120635885717</c:v>
                      </c:pt>
                      <c:pt idx="5">
                        <c:v>-34.312963960546547</c:v>
                      </c:pt>
                      <c:pt idx="6">
                        <c:v>-34.587660299563851</c:v>
                      </c:pt>
                      <c:pt idx="7">
                        <c:v>-34.857500755412516</c:v>
                      </c:pt>
                      <c:pt idx="8">
                        <c:v>-35.128454863586065</c:v>
                      </c:pt>
                      <c:pt idx="9">
                        <c:v>-36.288556856142861</c:v>
                      </c:pt>
                      <c:pt idx="10">
                        <c:v>-36.588036237750003</c:v>
                      </c:pt>
                      <c:pt idx="11">
                        <c:v>-36.893755057714287</c:v>
                      </c:pt>
                      <c:pt idx="12">
                        <c:v>-37.212768763178559</c:v>
                      </c:pt>
                      <c:pt idx="13">
                        <c:v>-37.530390977678572</c:v>
                      </c:pt>
                      <c:pt idx="14">
                        <c:v>-38.837777804999995</c:v>
                      </c:pt>
                      <c:pt idx="15">
                        <c:v>-40.21643355685714</c:v>
                      </c:pt>
                      <c:pt idx="16">
                        <c:v>-41.657491650449991</c:v>
                      </c:pt>
                      <c:pt idx="17">
                        <c:v>-42.025321210757156</c:v>
                      </c:pt>
                      <c:pt idx="18">
                        <c:v>-16.600961630962662</c:v>
                      </c:pt>
                      <c:pt idx="19">
                        <c:v>-6.2152744033943677</c:v>
                      </c:pt>
                      <c:pt idx="20">
                        <c:v>-1.6948754395611645</c:v>
                      </c:pt>
                      <c:pt idx="21">
                        <c:v>-0.27582069421656752</c:v>
                      </c:pt>
                      <c:pt idx="22">
                        <c:v>-4.7343271671417671E-2</c:v>
                      </c:pt>
                      <c:pt idx="23">
                        <c:v>-8.5232814029598137E-3</c:v>
                      </c:pt>
                      <c:pt idx="24">
                        <c:v>-1.6036330519329123E-3</c:v>
                      </c:pt>
                      <c:pt idx="25">
                        <c:v>-2.9386158674673239E-6</c:v>
                      </c:pt>
                      <c:pt idx="26">
                        <c:v>-8.6461566153857137E-9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-105.00156905217857</c:v>
                      </c:pt>
                      <c:pt idx="1">
                        <c:v>-106.16908342157144</c:v>
                      </c:pt>
                      <c:pt idx="2">
                        <c:v>-107.31513628478572</c:v>
                      </c:pt>
                      <c:pt idx="3">
                        <c:v>-108.49454276475001</c:v>
                      </c:pt>
                      <c:pt idx="4">
                        <c:v>-109.76120635885717</c:v>
                      </c:pt>
                      <c:pt idx="5">
                        <c:v>-34.312963960546547</c:v>
                      </c:pt>
                      <c:pt idx="6">
                        <c:v>-34.587660299563851</c:v>
                      </c:pt>
                      <c:pt idx="7">
                        <c:v>-34.857500755412516</c:v>
                      </c:pt>
                      <c:pt idx="8">
                        <c:v>-35.128454863586065</c:v>
                      </c:pt>
                      <c:pt idx="9">
                        <c:v>-36.288556856142861</c:v>
                      </c:pt>
                      <c:pt idx="10">
                        <c:v>-36.588036237750003</c:v>
                      </c:pt>
                      <c:pt idx="11">
                        <c:v>-36.893755057714287</c:v>
                      </c:pt>
                      <c:pt idx="12">
                        <c:v>-37.212768763178559</c:v>
                      </c:pt>
                      <c:pt idx="13">
                        <c:v>-37.530390977678572</c:v>
                      </c:pt>
                      <c:pt idx="14">
                        <c:v>-38.837777804999995</c:v>
                      </c:pt>
                      <c:pt idx="15">
                        <c:v>-40.216433556880148</c:v>
                      </c:pt>
                      <c:pt idx="16">
                        <c:v>-41.657491942459465</c:v>
                      </c:pt>
                      <c:pt idx="17">
                        <c:v>-42.025323663517234</c:v>
                      </c:pt>
                      <c:pt idx="18">
                        <c:v>-16.600969151734859</c:v>
                      </c:pt>
                      <c:pt idx="19">
                        <c:v>-6.2152946881781839</c:v>
                      </c:pt>
                      <c:pt idx="20">
                        <c:v>-1.6949127183392816</c:v>
                      </c:pt>
                      <c:pt idx="21">
                        <c:v>-0.27585921389422974</c:v>
                      </c:pt>
                      <c:pt idx="22">
                        <c:v>-4.738266763172478E-2</c:v>
                      </c:pt>
                      <c:pt idx="23">
                        <c:v>-8.5630812452307699E-3</c:v>
                      </c:pt>
                      <c:pt idx="24">
                        <c:v>-1.6433416916759736E-3</c:v>
                      </c:pt>
                      <c:pt idx="25">
                        <c:v>-3.7604507403848038E-5</c:v>
                      </c:pt>
                      <c:pt idx="26">
                        <c:v>-2.433499467350824E-5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>
                        <c:v>785.2</c:v>
                      </c:pt>
                      <c:pt idx="20">
                        <c:v>801.8</c:v>
                      </c:pt>
                      <c:pt idx="21">
                        <c:v>818.3</c:v>
                      </c:pt>
                      <c:pt idx="22">
                        <c:v>834.8</c:v>
                      </c:pt>
                      <c:pt idx="23">
                        <c:v>851.3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1000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4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6.6855000000000004E-18</c:v>
                </c:pt>
                <c:pt idx="15">
                  <c:v>1.762E-13</c:v>
                </c:pt>
                <c:pt idx="16">
                  <c:v>5.8739999999999998E-14</c:v>
                </c:pt>
                <c:pt idx="17">
                  <c:v>4.9521000000000001E-21</c:v>
                </c:pt>
                <c:pt idx="18">
                  <c:v>3.5675999999999999E-28</c:v>
                </c:pt>
                <c:pt idx="19" formatCode="General">
                  <c:v>0</c:v>
                </c:pt>
                <c:pt idx="20" formatCode="General">
                  <c:v>5.1645000000000003E-20</c:v>
                </c:pt>
                <c:pt idx="21" formatCode="General">
                  <c:v>2.3851000000000001E-13</c:v>
                </c:pt>
                <c:pt idx="22" formatCode="General">
                  <c:v>1.8062000000000001E-17</c:v>
                </c:pt>
                <c:pt idx="23" formatCode="General">
                  <c:v>8.5727999999999997E-20</c:v>
                </c:pt>
                <c:pt idx="24" formatCode="General">
                  <c:v>6.7719000000000002E-20</c:v>
                </c:pt>
                <c:pt idx="25" formatCode="General">
                  <c:v>2.1051999999999999E-14</c:v>
                </c:pt>
                <c:pt idx="26" formatCode="General">
                  <c:v>4.6006999999999996E-9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7C9-4F8E-93A1-524E66C52F6C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1.6387999999999999E-33</c:v>
                </c:pt>
                <c:pt idx="8">
                  <c:v>5.0901000000000002E-26</c:v>
                </c:pt>
                <c:pt idx="9">
                  <c:v>1.5335000000000001E-11</c:v>
                </c:pt>
                <c:pt idx="10">
                  <c:v>4.4230000000000001E-10</c:v>
                </c:pt>
                <c:pt idx="11">
                  <c:v>1.8701E-8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0.14000000000000001</c:v>
                </c:pt>
                <c:pt idx="18">
                  <c:v>0.14000000000000001</c:v>
                </c:pt>
                <c:pt idx="19" formatCode="General">
                  <c:v>0.14000000000000001</c:v>
                </c:pt>
                <c:pt idx="20" formatCode="General">
                  <c:v>0.13650999999999999</c:v>
                </c:pt>
                <c:pt idx="21" formatCode="General">
                  <c:v>0.13588</c:v>
                </c:pt>
                <c:pt idx="22" formatCode="General">
                  <c:v>0.13528000000000001</c:v>
                </c:pt>
                <c:pt idx="23" formatCode="General">
                  <c:v>0.13461999999999999</c:v>
                </c:pt>
                <c:pt idx="24" formatCode="General">
                  <c:v>0.13389000000000001</c:v>
                </c:pt>
                <c:pt idx="25" formatCode="General">
                  <c:v>0.12989000000000001</c:v>
                </c:pt>
                <c:pt idx="26" formatCode="General">
                  <c:v>0.12297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7C9-4F8E-93A1-524E66C52F6C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2.0335E-7</c:v>
                </c:pt>
                <c:pt idx="13">
                  <c:v>1.9375E-9</c:v>
                </c:pt>
                <c:pt idx="14">
                  <c:v>2.8928000000000001E-13</c:v>
                </c:pt>
                <c:pt idx="15">
                  <c:v>5.8773E-21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7C9-4F8E-93A1-524E66C52F6C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3.8944000000000003E-36</c:v>
                </c:pt>
                <c:pt idx="16">
                  <c:v>1.0914999999999999E-20</c:v>
                </c:pt>
                <c:pt idx="17">
                  <c:v>2.7170000000000003E-20</c:v>
                </c:pt>
                <c:pt idx="18">
                  <c:v>2.7481999999999999E-17</c:v>
                </c:pt>
                <c:pt idx="19" formatCode="General">
                  <c:v>2.1655999999999999E-17</c:v>
                </c:pt>
                <c:pt idx="20" formatCode="General">
                  <c:v>4.1360000000000001E-8</c:v>
                </c:pt>
                <c:pt idx="21" formatCode="General">
                  <c:v>3.4271999999999999E-7</c:v>
                </c:pt>
                <c:pt idx="22" formatCode="General">
                  <c:v>2.5522999999999999E-7</c:v>
                </c:pt>
                <c:pt idx="23" formatCode="General">
                  <c:v>1.8946E-7</c:v>
                </c:pt>
                <c:pt idx="24" formatCode="General">
                  <c:v>1.6390000000000001E-7</c:v>
                </c:pt>
                <c:pt idx="25" formatCode="General">
                  <c:v>5.6700999999999999E-8</c:v>
                </c:pt>
                <c:pt idx="26" formatCode="General">
                  <c:v>1.6385000000000001E-8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7C9-4F8E-93A1-524E66C52F6C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1.6387999999999999E-33</c:v>
                </c:pt>
                <c:pt idx="8">
                  <c:v>5.0901000000000002E-26</c:v>
                </c:pt>
                <c:pt idx="9">
                  <c:v>1.5335000000000001E-11</c:v>
                </c:pt>
                <c:pt idx="10">
                  <c:v>4.4230000000000001E-10</c:v>
                </c:pt>
                <c:pt idx="11">
                  <c:v>1.8701E-8</c:v>
                </c:pt>
                <c:pt idx="12">
                  <c:v>0.14000000000000001</c:v>
                </c:pt>
                <c:pt idx="13">
                  <c:v>0.14000000000000001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0.14000000000000001</c:v>
                </c:pt>
                <c:pt idx="18">
                  <c:v>0.14000000000000001</c:v>
                </c:pt>
                <c:pt idx="19" formatCode="General">
                  <c:v>0.14000000000000001</c:v>
                </c:pt>
                <c:pt idx="20" formatCode="General">
                  <c:v>0.13650999999999999</c:v>
                </c:pt>
                <c:pt idx="21" formatCode="General">
                  <c:v>0.13588</c:v>
                </c:pt>
                <c:pt idx="22" formatCode="General">
                  <c:v>0.13528000000000001</c:v>
                </c:pt>
                <c:pt idx="23" formatCode="General">
                  <c:v>0.13461999999999999</c:v>
                </c:pt>
                <c:pt idx="24" formatCode="General">
                  <c:v>0.13389000000000001</c:v>
                </c:pt>
                <c:pt idx="25" formatCode="General">
                  <c:v>0.12989000000000001</c:v>
                </c:pt>
                <c:pt idx="26" formatCode="General">
                  <c:v>0.12297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7C9-4F8E-93A1-524E66C52F6C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4-A7C9-4F8E-93A1-524E66C52F6C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1.5275E-21</c:v>
                </c:pt>
                <c:pt idx="1">
                  <c:v>1.3022000000000001E-17</c:v>
                </c:pt>
                <c:pt idx="2">
                  <c:v>4.1226999999999998E-12</c:v>
                </c:pt>
                <c:pt idx="3">
                  <c:v>1.4575E-9</c:v>
                </c:pt>
                <c:pt idx="4">
                  <c:v>3.051E-7</c:v>
                </c:pt>
                <c:pt idx="5">
                  <c:v>0.14000000000000001</c:v>
                </c:pt>
                <c:pt idx="6">
                  <c:v>0.14000000000000001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0.14000000000000001</c:v>
                </c:pt>
                <c:pt idx="10">
                  <c:v>0.14000000000000001</c:v>
                </c:pt>
                <c:pt idx="11">
                  <c:v>0.14000000000000001</c:v>
                </c:pt>
                <c:pt idx="12">
                  <c:v>0.42</c:v>
                </c:pt>
                <c:pt idx="13">
                  <c:v>0.42</c:v>
                </c:pt>
                <c:pt idx="14">
                  <c:v>0.42</c:v>
                </c:pt>
                <c:pt idx="15">
                  <c:v>0.42</c:v>
                </c:pt>
                <c:pt idx="16">
                  <c:v>0.42</c:v>
                </c:pt>
                <c:pt idx="17">
                  <c:v>0.42</c:v>
                </c:pt>
                <c:pt idx="18">
                  <c:v>0.44449</c:v>
                </c:pt>
                <c:pt idx="19" formatCode="General">
                  <c:v>0.45429999999999998</c:v>
                </c:pt>
                <c:pt idx="20" formatCode="General">
                  <c:v>0.47771999999999998</c:v>
                </c:pt>
                <c:pt idx="21" formatCode="General">
                  <c:v>0.47964000000000001</c:v>
                </c:pt>
                <c:pt idx="22" formatCode="General">
                  <c:v>0.47993999999999998</c:v>
                </c:pt>
                <c:pt idx="23" formatCode="General">
                  <c:v>0.47999000000000003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7C9-4F8E-93A1-524E66C52F6C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0.14000000000000001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3.2209999999999999E-9</c:v>
                </c:pt>
                <c:pt idx="6">
                  <c:v>1.9975999999999999E-10</c:v>
                </c:pt>
                <c:pt idx="7">
                  <c:v>9.6340999999999999E-12</c:v>
                </c:pt>
                <c:pt idx="8">
                  <c:v>1.4116999999999999E-13</c:v>
                </c:pt>
                <c:pt idx="9">
                  <c:v>2.8361000000000002E-26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7C9-4F8E-93A1-524E66C52F6C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(1)Ga[1]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3.6238000000000002E-20</c:v>
                </c:pt>
                <c:pt idx="15">
                  <c:v>7.0432999999999999E-14</c:v>
                </c:pt>
                <c:pt idx="16">
                  <c:v>2.9604999999999998E-10</c:v>
                </c:pt>
                <c:pt idx="17">
                  <c:v>1.039E-10</c:v>
                </c:pt>
                <c:pt idx="18">
                  <c:v>1.5157999999999999E-8</c:v>
                </c:pt>
                <c:pt idx="19" formatCode="General">
                  <c:v>2.1476E-7</c:v>
                </c:pt>
                <c:pt idx="20" formatCode="General">
                  <c:v>3.8482000000000002E-2</c:v>
                </c:pt>
                <c:pt idx="21" formatCode="General">
                  <c:v>3.9759999999999997E-2</c:v>
                </c:pt>
                <c:pt idx="22" formatCode="General">
                  <c:v>3.9960000000000002E-2</c:v>
                </c:pt>
                <c:pt idx="23" formatCode="General">
                  <c:v>3.9993000000000001E-2</c:v>
                </c:pt>
                <c:pt idx="24" formatCode="General">
                  <c:v>3.9997999999999999E-2</c:v>
                </c:pt>
                <c:pt idx="25" formatCode="General">
                  <c:v>0.04</c:v>
                </c:pt>
                <c:pt idx="26" formatCode="General">
                  <c:v>0.04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7C9-4F8E-93A1-524E66C52F6C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(1)Ge[1]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603.5</c:v>
                </c:pt>
                <c:pt idx="15">
                  <c:v>669.6</c:v>
                </c:pt>
                <c:pt idx="16">
                  <c:v>735.7</c:v>
                </c:pt>
                <c:pt idx="17">
                  <c:v>752.2</c:v>
                </c:pt>
                <c:pt idx="18">
                  <c:v>768.7</c:v>
                </c:pt>
                <c:pt idx="19" formatCode="0">
                  <c:v>785.2</c:v>
                </c:pt>
                <c:pt idx="20" formatCode="0">
                  <c:v>801.8</c:v>
                </c:pt>
                <c:pt idx="21" formatCode="0">
                  <c:v>818.3</c:v>
                </c:pt>
                <c:pt idx="22" formatCode="0">
                  <c:v>834.8</c:v>
                </c:pt>
                <c:pt idx="23" formatCode="0">
                  <c:v>851.3</c:v>
                </c:pt>
                <c:pt idx="24" formatCode="0">
                  <c:v>867.8</c:v>
                </c:pt>
                <c:pt idx="25" formatCode="0">
                  <c:v>933.9</c:v>
                </c:pt>
                <c:pt idx="26" formatCode="0">
                  <c:v>1000</c:v>
                </c:pt>
              </c:numCache>
            </c:numRef>
          </c:xVal>
          <c:yVal>
            <c:numRef>
              <c:f>SOLID!$F$16:$AL$16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7.4125999999999999E-36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2.0193000000000001E-16</c:v>
                </c:pt>
                <c:pt idx="15">
                  <c:v>4.0033000000000001E-12</c:v>
                </c:pt>
                <c:pt idx="16">
                  <c:v>3.3269000000000002E-10</c:v>
                </c:pt>
                <c:pt idx="17">
                  <c:v>4.7667000000000002E-11</c:v>
                </c:pt>
                <c:pt idx="18">
                  <c:v>4.5630999999999997E-9</c:v>
                </c:pt>
                <c:pt idx="19" formatCode="General">
                  <c:v>4.5578E-8</c:v>
                </c:pt>
                <c:pt idx="20" formatCode="General">
                  <c:v>6.9871999999999998E-3</c:v>
                </c:pt>
                <c:pt idx="21" formatCode="General">
                  <c:v>8.2457999999999993E-3</c:v>
                </c:pt>
                <c:pt idx="22" formatCode="General">
                  <c:v>9.4445999999999992E-3</c:v>
                </c:pt>
                <c:pt idx="23" formatCode="General">
                  <c:v>1.0753E-2</c:v>
                </c:pt>
                <c:pt idx="24" formatCode="General">
                  <c:v>1.2215999999999999E-2</c:v>
                </c:pt>
                <c:pt idx="25" formatCode="General">
                  <c:v>2.0229E-2</c:v>
                </c:pt>
                <c:pt idx="26" formatCode="General">
                  <c:v>3.4062000000000002E-2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7C9-4F8E-93A1-524E66C52F6C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7C9-4F8E-93A1-524E66C52F6C}"/>
              </c:ext>
            </c:extLst>
          </c:dPt>
          <c:xVal>
            <c:numRef>
              <c:f>SOLID!$BA$3:$BA$4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SOLID!$BB$3:$BB$4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7C9-4F8E-93A1-524E66C5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3.1006E-29</c:v>
                      </c:pt>
                      <c:pt idx="16">
                        <c:v>4.1882000000000003E-12</c:v>
                      </c:pt>
                      <c:pt idx="17">
                        <c:v>4.2325999999999999E-7</c:v>
                      </c:pt>
                      <c:pt idx="18">
                        <c:v>1.2243E-2</c:v>
                      </c:pt>
                      <c:pt idx="19" formatCode="General">
                        <c:v>1.7151E-2</c:v>
                      </c:pt>
                      <c:pt idx="20" formatCode="General">
                        <c:v>2.6225000000000002E-8</c:v>
                      </c:pt>
                      <c:pt idx="21" formatCode="General">
                        <c:v>6.3299000000000001E-13</c:v>
                      </c:pt>
                      <c:pt idx="22" formatCode="General">
                        <c:v>5.1691999999999997E-25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A7C9-4F8E-93A1-524E66C52F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0.02</c:v>
                      </c:pt>
                      <c:pt idx="1">
                        <c:v>0.02</c:v>
                      </c:pt>
                      <c:pt idx="2">
                        <c:v>0.02</c:v>
                      </c:pt>
                      <c:pt idx="3">
                        <c:v>0.02</c:v>
                      </c:pt>
                      <c:pt idx="4">
                        <c:v>0.02</c:v>
                      </c:pt>
                      <c:pt idx="5">
                        <c:v>0.02</c:v>
                      </c:pt>
                      <c:pt idx="6">
                        <c:v>0.02</c:v>
                      </c:pt>
                      <c:pt idx="7">
                        <c:v>0.02</c:v>
                      </c:pt>
                      <c:pt idx="8">
                        <c:v>0.02</c:v>
                      </c:pt>
                      <c:pt idx="9">
                        <c:v>0.02</c:v>
                      </c:pt>
                      <c:pt idx="10">
                        <c:v>0.02</c:v>
                      </c:pt>
                      <c:pt idx="11">
                        <c:v>0.02</c:v>
                      </c:pt>
                      <c:pt idx="12">
                        <c:v>0.02</c:v>
                      </c:pt>
                      <c:pt idx="13">
                        <c:v>0.02</c:v>
                      </c:pt>
                      <c:pt idx="14">
                        <c:v>0.02</c:v>
                      </c:pt>
                      <c:pt idx="15">
                        <c:v>0.02</c:v>
                      </c:pt>
                      <c:pt idx="16">
                        <c:v>0.02</c:v>
                      </c:pt>
                      <c:pt idx="17">
                        <c:v>0.02</c:v>
                      </c:pt>
                      <c:pt idx="18">
                        <c:v>7.7565999999999998E-3</c:v>
                      </c:pt>
                      <c:pt idx="19" formatCode="General">
                        <c:v>2.8487E-3</c:v>
                      </c:pt>
                      <c:pt idx="20" formatCode="General">
                        <c:v>7.5883000000000005E-4</c:v>
                      </c:pt>
                      <c:pt idx="21" formatCode="General">
                        <c:v>1.1998999999999999E-4</c:v>
                      </c:pt>
                      <c:pt idx="22" formatCode="General">
                        <c:v>2.0021E-5</c:v>
                      </c:pt>
                      <c:pt idx="23" formatCode="General">
                        <c:v>3.5053000000000001E-6</c:v>
                      </c:pt>
                      <c:pt idx="24" formatCode="General">
                        <c:v>6.4165000000000003E-7</c:v>
                      </c:pt>
                      <c:pt idx="25" formatCode="General">
                        <c:v>1.0583E-9</c:v>
                      </c:pt>
                      <c:pt idx="26" formatCode="General">
                        <c:v>2.8184000000000002E-12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7C9-4F8E-93A1-524E66C52F6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6.6809999999999997E-33</c:v>
                      </c:pt>
                      <c:pt idx="10">
                        <c:v>7.8149999999999998E-31</c:v>
                      </c:pt>
                      <c:pt idx="11">
                        <c:v>6.8396999999999999E-29</c:v>
                      </c:pt>
                      <c:pt idx="12">
                        <c:v>4.6017E-27</c:v>
                      </c:pt>
                      <c:pt idx="13">
                        <c:v>2.4372999999999999E-25</c:v>
                      </c:pt>
                      <c:pt idx="14">
                        <c:v>2.5777E-19</c:v>
                      </c:pt>
                      <c:pt idx="15">
                        <c:v>2.2115999999999999E-14</c:v>
                      </c:pt>
                      <c:pt idx="16">
                        <c:v>2.9888000000000001E-10</c:v>
                      </c:pt>
                      <c:pt idx="17">
                        <c:v>2.5529000000000001E-9</c:v>
                      </c:pt>
                      <c:pt idx="18">
                        <c:v>7.7960999999999996E-9</c:v>
                      </c:pt>
                      <c:pt idx="19" formatCode="General">
                        <c:v>2.0885999999999999E-8</c:v>
                      </c:pt>
                      <c:pt idx="20" formatCode="General">
                        <c:v>3.7773999999999998E-8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3.7667000000000002E-8</c:v>
                      </c:pt>
                      <c:pt idx="23" formatCode="General">
                        <c:v>3.6985999999999998E-8</c:v>
                      </c:pt>
                      <c:pt idx="24" formatCode="General">
                        <c:v>3.5881000000000002E-8</c:v>
                      </c:pt>
                      <c:pt idx="25" formatCode="General">
                        <c:v>2.8110999999999999E-8</c:v>
                      </c:pt>
                      <c:pt idx="26" formatCode="General">
                        <c:v>1.7782E-8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7C9-4F8E-93A1-524E66C52F6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7C9-4F8E-93A1-524E66C52F6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-18.72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>
                        <c:v>-18.73</c:v>
                      </c:pt>
                      <c:pt idx="5">
                        <c:v>-18.739999999999998</c:v>
                      </c:pt>
                      <c:pt idx="6">
                        <c:v>-18.760000000000002</c:v>
                      </c:pt>
                      <c:pt idx="7">
                        <c:v>-18.79</c:v>
                      </c:pt>
                      <c:pt idx="8">
                        <c:v>-18.809999999999999</c:v>
                      </c:pt>
                      <c:pt idx="9">
                        <c:v>-18.93</c:v>
                      </c:pt>
                      <c:pt idx="10">
                        <c:v>-18.97</c:v>
                      </c:pt>
                      <c:pt idx="11">
                        <c:v>-19</c:v>
                      </c:pt>
                      <c:pt idx="12">
                        <c:v>-19.03</c:v>
                      </c:pt>
                      <c:pt idx="13">
                        <c:v>-19.07</c:v>
                      </c:pt>
                      <c:pt idx="14">
                        <c:v>-19.2</c:v>
                      </c:pt>
                      <c:pt idx="15">
                        <c:v>-19.34</c:v>
                      </c:pt>
                      <c:pt idx="16">
                        <c:v>-19.48</c:v>
                      </c:pt>
                      <c:pt idx="17">
                        <c:v>-19.510000000000002</c:v>
                      </c:pt>
                      <c:pt idx="18">
                        <c:v>-19.489999999999998</c:v>
                      </c:pt>
                      <c:pt idx="19" formatCode="General">
                        <c:v>-19.5</c:v>
                      </c:pt>
                      <c:pt idx="20" formatCode="General">
                        <c:v>-19.52</c:v>
                      </c:pt>
                      <c:pt idx="21" formatCode="General">
                        <c:v>-19.55</c:v>
                      </c:pt>
                      <c:pt idx="22" formatCode="General">
                        <c:v>-19.579999999999998</c:v>
                      </c:pt>
                      <c:pt idx="23" formatCode="General">
                        <c:v>-19.61</c:v>
                      </c:pt>
                      <c:pt idx="24" formatCode="General">
                        <c:v>-19.64</c:v>
                      </c:pt>
                      <c:pt idx="25" formatCode="General">
                        <c:v>-19.760000000000002</c:v>
                      </c:pt>
                      <c:pt idx="26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7C9-4F8E-93A1-524E66C52F6C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-66.760000000000005</c:v>
                      </c:pt>
                      <c:pt idx="1">
                        <c:v>-63.28</c:v>
                      </c:pt>
                      <c:pt idx="2">
                        <c:v>-60.18</c:v>
                      </c:pt>
                      <c:pt idx="3">
                        <c:v>-57.4</c:v>
                      </c:pt>
                      <c:pt idx="4">
                        <c:v>-54.91</c:v>
                      </c:pt>
                      <c:pt idx="5">
                        <c:v>-51.53</c:v>
                      </c:pt>
                      <c:pt idx="6">
                        <c:v>-48.17</c:v>
                      </c:pt>
                      <c:pt idx="7">
                        <c:v>-45.06</c:v>
                      </c:pt>
                      <c:pt idx="8">
                        <c:v>-42.19</c:v>
                      </c:pt>
                      <c:pt idx="9">
                        <c:v>-32.53</c:v>
                      </c:pt>
                      <c:pt idx="10">
                        <c:v>-30.48</c:v>
                      </c:pt>
                      <c:pt idx="11">
                        <c:v>-28.55</c:v>
                      </c:pt>
                      <c:pt idx="12">
                        <c:v>-26.74</c:v>
                      </c:pt>
                      <c:pt idx="13">
                        <c:v>-25.02</c:v>
                      </c:pt>
                      <c:pt idx="14">
                        <c:v>-18.96</c:v>
                      </c:pt>
                      <c:pt idx="15">
                        <c:v>-13.95</c:v>
                      </c:pt>
                      <c:pt idx="16">
                        <c:v>-9.7059999999999995</c:v>
                      </c:pt>
                      <c:pt idx="17">
                        <c:v>-8.7420000000000009</c:v>
                      </c:pt>
                      <c:pt idx="18">
                        <c:v>-8.2560000000000002</c:v>
                      </c:pt>
                      <c:pt idx="19" formatCode="General">
                        <c:v>-7.8470000000000004</c:v>
                      </c:pt>
                      <c:pt idx="20" formatCode="General">
                        <c:v>-7.6349999999999998</c:v>
                      </c:pt>
                      <c:pt idx="21" formatCode="General">
                        <c:v>-7.7149999999999999</c:v>
                      </c:pt>
                      <c:pt idx="22" formatCode="General">
                        <c:v>-7.7960000000000003</c:v>
                      </c:pt>
                      <c:pt idx="23" formatCode="General">
                        <c:v>-7.8789999999999996</c:v>
                      </c:pt>
                      <c:pt idx="24" formatCode="General">
                        <c:v>-7.9630000000000001</c:v>
                      </c:pt>
                      <c:pt idx="25" formatCode="General">
                        <c:v>-8.3190000000000008</c:v>
                      </c:pt>
                      <c:pt idx="26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7C9-4F8E-93A1-524E66C52F6C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-15.65</c:v>
                      </c:pt>
                      <c:pt idx="2">
                        <c:v>-15.09</c:v>
                      </c:pt>
                      <c:pt idx="3">
                        <c:v>-14.59</c:v>
                      </c:pt>
                      <c:pt idx="4">
                        <c:v>-14.16</c:v>
                      </c:pt>
                      <c:pt idx="5">
                        <c:v>-13.03</c:v>
                      </c:pt>
                      <c:pt idx="6">
                        <c:v>-11.8</c:v>
                      </c:pt>
                      <c:pt idx="7">
                        <c:v>-10.67</c:v>
                      </c:pt>
                      <c:pt idx="8">
                        <c:v>-9.6150000000000002</c:v>
                      </c:pt>
                      <c:pt idx="9">
                        <c:v>-6.04</c:v>
                      </c:pt>
                      <c:pt idx="10">
                        <c:v>-5.2759999999999998</c:v>
                      </c:pt>
                      <c:pt idx="11">
                        <c:v>-4.5529999999999999</c:v>
                      </c:pt>
                      <c:pt idx="12">
                        <c:v>-4.1150000000000002</c:v>
                      </c:pt>
                      <c:pt idx="13">
                        <c:v>-4.1550000000000002</c:v>
                      </c:pt>
                      <c:pt idx="14">
                        <c:v>-4.3170000000000002</c:v>
                      </c:pt>
                      <c:pt idx="15">
                        <c:v>-4.4809999999999999</c:v>
                      </c:pt>
                      <c:pt idx="16">
                        <c:v>-4.6429999999999998</c:v>
                      </c:pt>
                      <c:pt idx="17">
                        <c:v>-4.6829999999999998</c:v>
                      </c:pt>
                      <c:pt idx="18">
                        <c:v>-4.7220000000000004</c:v>
                      </c:pt>
                      <c:pt idx="19" formatCode="General">
                        <c:v>-4.7619999999999996</c:v>
                      </c:pt>
                      <c:pt idx="20" formatCode="General">
                        <c:v>-4.8010000000000002</c:v>
                      </c:pt>
                      <c:pt idx="21" formatCode="General">
                        <c:v>-4.84</c:v>
                      </c:pt>
                      <c:pt idx="22" formatCode="General">
                        <c:v>-4.8780000000000001</c:v>
                      </c:pt>
                      <c:pt idx="23" formatCode="General">
                        <c:v>-4.9169999999999998</c:v>
                      </c:pt>
                      <c:pt idx="24" formatCode="General">
                        <c:v>-4.9550000000000001</c:v>
                      </c:pt>
                      <c:pt idx="25" formatCode="General">
                        <c:v>-5.1040000000000001</c:v>
                      </c:pt>
                      <c:pt idx="26" formatCode="General">
                        <c:v>-5.2489999999999997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7C9-4F8E-93A1-524E66C52F6C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-22.41</c:v>
                      </c:pt>
                      <c:pt idx="2">
                        <c:v>-21.42</c:v>
                      </c:pt>
                      <c:pt idx="3">
                        <c:v>-20.54</c:v>
                      </c:pt>
                      <c:pt idx="4">
                        <c:v>-19.760000000000002</c:v>
                      </c:pt>
                      <c:pt idx="5">
                        <c:v>-19.79</c:v>
                      </c:pt>
                      <c:pt idx="6">
                        <c:v>-20.03</c:v>
                      </c:pt>
                      <c:pt idx="7">
                        <c:v>-20.28</c:v>
                      </c:pt>
                      <c:pt idx="8">
                        <c:v>-20.52</c:v>
                      </c:pt>
                      <c:pt idx="9">
                        <c:v>-21.52</c:v>
                      </c:pt>
                      <c:pt idx="10">
                        <c:v>-21.77</c:v>
                      </c:pt>
                      <c:pt idx="11">
                        <c:v>-22.02</c:v>
                      </c:pt>
                      <c:pt idx="12">
                        <c:v>-22.27</c:v>
                      </c:pt>
                      <c:pt idx="13">
                        <c:v>-22.51</c:v>
                      </c:pt>
                      <c:pt idx="14">
                        <c:v>-23.48</c:v>
                      </c:pt>
                      <c:pt idx="15">
                        <c:v>-24.41</c:v>
                      </c:pt>
                      <c:pt idx="16">
                        <c:v>-25.31</c:v>
                      </c:pt>
                      <c:pt idx="17">
                        <c:v>-25.53</c:v>
                      </c:pt>
                      <c:pt idx="18">
                        <c:v>-25.75</c:v>
                      </c:pt>
                      <c:pt idx="19">
                        <c:v>-25.96</c:v>
                      </c:pt>
                      <c:pt idx="20">
                        <c:v>-26.18</c:v>
                      </c:pt>
                      <c:pt idx="21">
                        <c:v>-26.39</c:v>
                      </c:pt>
                      <c:pt idx="22">
                        <c:v>-26.6</c:v>
                      </c:pt>
                      <c:pt idx="23">
                        <c:v>-26.81</c:v>
                      </c:pt>
                      <c:pt idx="24">
                        <c:v>-27.02</c:v>
                      </c:pt>
                      <c:pt idx="25">
                        <c:v>-27.83</c:v>
                      </c:pt>
                      <c:pt idx="26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7C9-4F8E-93A1-524E66C52F6C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7C9-4F8E-93A1-524E66C52F6C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7C9-4F8E-93A1-524E66C52F6C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7C9-4F8E-93A1-524E66C52F6C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7C9-4F8E-93A1-524E66C52F6C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7C9-4F8E-93A1-524E66C52F6C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7C9-4F8E-93A1-524E66C52F6C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7C9-4F8E-93A1-524E66C52F6C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7C9-4F8E-93A1-524E66C52F6C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7C9-4F8E-93A1-524E66C52F6C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7C9-4F8E-93A1-524E66C52F6C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7C9-4F8E-93A1-524E66C52F6C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603.5</c:v>
                      </c:pt>
                      <c:pt idx="15">
                        <c:v>669.6</c:v>
                      </c:pt>
                      <c:pt idx="16">
                        <c:v>735.7</c:v>
                      </c:pt>
                      <c:pt idx="17">
                        <c:v>752.2</c:v>
                      </c:pt>
                      <c:pt idx="18">
                        <c:v>768.7</c:v>
                      </c:pt>
                      <c:pt idx="19" formatCode="0">
                        <c:v>785.2</c:v>
                      </c:pt>
                      <c:pt idx="20" formatCode="0">
                        <c:v>801.8</c:v>
                      </c:pt>
                      <c:pt idx="21" formatCode="0">
                        <c:v>818.3</c:v>
                      </c:pt>
                      <c:pt idx="22" formatCode="0">
                        <c:v>834.8</c:v>
                      </c:pt>
                      <c:pt idx="23" formatCode="0">
                        <c:v>851.3</c:v>
                      </c:pt>
                      <c:pt idx="24" formatCode="0">
                        <c:v>867.8</c:v>
                      </c:pt>
                      <c:pt idx="25" formatCode="0">
                        <c:v>933.9</c:v>
                      </c:pt>
                      <c:pt idx="26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7C9-4F8E-93A1-524E66C52F6C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-15.639818181818182</c:v>
                </c:pt>
                <c:pt idx="1">
                  <c:v>-15.36830303030303</c:v>
                </c:pt>
                <c:pt idx="2">
                  <c:v>-15.096787878787879</c:v>
                </c:pt>
                <c:pt idx="3">
                  <c:v>-14.853636363636364</c:v>
                </c:pt>
                <c:pt idx="4" formatCode="General">
                  <c:v>-14.611212121212121</c:v>
                </c:pt>
                <c:pt idx="5" formatCode="General">
                  <c:v>-14.399757575757576</c:v>
                </c:pt>
                <c:pt idx="6" formatCode="General">
                  <c:v>-14.191272727272727</c:v>
                </c:pt>
                <c:pt idx="7" formatCode="General">
                  <c:v>-13.694303030303029</c:v>
                </c:pt>
                <c:pt idx="8" formatCode="General">
                  <c:v>-13.14642424242424</c:v>
                </c:pt>
                <c:pt idx="9" formatCode="General">
                  <c:v>-12.563192771084337</c:v>
                </c:pt>
                <c:pt idx="10" formatCode="General">
                  <c:v>-11.970421686746988</c:v>
                </c:pt>
                <c:pt idx="11" formatCode="General">
                  <c:v>-11.409636363636364</c:v>
                </c:pt>
                <c:pt idx="12" formatCode="General">
                  <c:v>-10.861757575757576</c:v>
                </c:pt>
                <c:pt idx="13" formatCode="General">
                  <c:v>-10.337515151515152</c:v>
                </c:pt>
                <c:pt idx="14" formatCode="General">
                  <c:v>-9.8260000000000005</c:v>
                </c:pt>
                <c:pt idx="15" formatCode="General">
                  <c:v>-9.3608018154311647</c:v>
                </c:pt>
                <c:pt idx="16" formatCode="General">
                  <c:v>-8.9281240544629359</c:v>
                </c:pt>
                <c:pt idx="17" formatCode="General">
                  <c:v>-8.4954462934947053</c:v>
                </c:pt>
                <c:pt idx="18" formatCode="General">
                  <c:v>-8.0627685325264746</c:v>
                </c:pt>
                <c:pt idx="19" formatCode="General">
                  <c:v>-7.6300907715582449</c:v>
                </c:pt>
                <c:pt idx="20" formatCode="General">
                  <c:v>-7.1974130105900151</c:v>
                </c:pt>
                <c:pt idx="21" formatCode="General">
                  <c:v>-6.7647352496217845</c:v>
                </c:pt>
                <c:pt idx="22" formatCode="General">
                  <c:v>-6.3320574886535539</c:v>
                </c:pt>
                <c:pt idx="23" formatCode="General">
                  <c:v>-5.9196121212121202</c:v>
                </c:pt>
                <c:pt idx="24" formatCode="General">
                  <c:v>-5.5491878787878779</c:v>
                </c:pt>
                <c:pt idx="25" formatCode="General">
                  <c:v>-5.1839818181818167</c:v>
                </c:pt>
                <c:pt idx="26" formatCode="General">
                  <c:v>-4.8334363636363626</c:v>
                </c:pt>
                <c:pt idx="27" formatCode="General">
                  <c:v>-4.5105272727272725</c:v>
                </c:pt>
                <c:pt idx="28" formatCode="General">
                  <c:v>-4.2981636363636362</c:v>
                </c:pt>
                <c:pt idx="29" formatCode="General">
                  <c:v>-4.1176506024096389</c:v>
                </c:pt>
                <c:pt idx="30" formatCode="General">
                  <c:v>-4.1369277108433735</c:v>
                </c:pt>
                <c:pt idx="31" formatCode="General">
                  <c:v>-4.1562272727272731</c:v>
                </c:pt>
                <c:pt idx="32" formatCode="General">
                  <c:v>-4.175863636363637</c:v>
                </c:pt>
                <c:pt idx="33" formatCode="General">
                  <c:v>-4.1955</c:v>
                </c:pt>
                <c:pt idx="34" formatCode="General">
                  <c:v>-4.2151363636363639</c:v>
                </c:pt>
                <c:pt idx="35" formatCode="General">
                  <c:v>-4.2347727272727278</c:v>
                </c:pt>
                <c:pt idx="36" formatCode="General">
                  <c:v>-4.2544090909090908</c:v>
                </c:pt>
                <c:pt idx="37" formatCode="General">
                  <c:v>-4.2740454545454547</c:v>
                </c:pt>
                <c:pt idx="38" formatCode="General">
                  <c:v>-4.2936818181818186</c:v>
                </c:pt>
                <c:pt idx="39" formatCode="General">
                  <c:v>-4.3133181818181816</c:v>
                </c:pt>
                <c:pt idx="40" formatCode="General">
                  <c:v>-4.3331270801815434</c:v>
                </c:pt>
                <c:pt idx="41" formatCode="General">
                  <c:v>-4.3529757942511349</c:v>
                </c:pt>
                <c:pt idx="42" formatCode="General">
                  <c:v>-4.3728245083207264</c:v>
                </c:pt>
                <c:pt idx="43" formatCode="General">
                  <c:v>-4.392673222390318</c:v>
                </c:pt>
                <c:pt idx="44" formatCode="General">
                  <c:v>-4.4125219364599095</c:v>
                </c:pt>
                <c:pt idx="45" formatCode="General">
                  <c:v>-4.4323706505295011</c:v>
                </c:pt>
                <c:pt idx="46" formatCode="General">
                  <c:v>-4.4522193645990917</c:v>
                </c:pt>
                <c:pt idx="47" formatCode="General">
                  <c:v>-4.4720680786686833</c:v>
                </c:pt>
                <c:pt idx="48" formatCode="General">
                  <c:v>-4.4917836611195154</c:v>
                </c:pt>
                <c:pt idx="49" formatCode="General">
                  <c:v>-4.511390317700454</c:v>
                </c:pt>
                <c:pt idx="50" formatCode="General">
                  <c:v>-4.5309969742813916</c:v>
                </c:pt>
                <c:pt idx="51" formatCode="General">
                  <c:v>-4.5506036308623292</c:v>
                </c:pt>
                <c:pt idx="52" formatCode="General">
                  <c:v>-4.5702102874432677</c:v>
                </c:pt>
                <c:pt idx="53" formatCode="General">
                  <c:v>-4.5898169440242054</c:v>
                </c:pt>
                <c:pt idx="54" formatCode="General">
                  <c:v>-4.6094236006051439</c:v>
                </c:pt>
                <c:pt idx="55" formatCode="General">
                  <c:v>-4.6290302571860815</c:v>
                </c:pt>
                <c:pt idx="56" formatCode="General">
                  <c:v>-4.6485757575757569</c:v>
                </c:pt>
                <c:pt idx="57" formatCode="General">
                  <c:v>-4.6679696969696964</c:v>
                </c:pt>
                <c:pt idx="58" formatCode="General">
                  <c:v>-4.6872545454545449</c:v>
                </c:pt>
                <c:pt idx="59" formatCode="General">
                  <c:v>-4.7061636363636365</c:v>
                </c:pt>
                <c:pt idx="60" formatCode="General">
                  <c:v>-4.7251515151515155</c:v>
                </c:pt>
                <c:pt idx="61" formatCode="General">
                  <c:v>-4.7445454545454542</c:v>
                </c:pt>
                <c:pt idx="62" formatCode="General">
                  <c:v>-4.7638795180722884</c:v>
                </c:pt>
                <c:pt idx="63" formatCode="General">
                  <c:v>-4.7826746987951809</c:v>
                </c:pt>
                <c:pt idx="64" formatCode="General">
                  <c:v>-4.8014727272727278</c:v>
                </c:pt>
                <c:pt idx="65" formatCode="General">
                  <c:v>-4.8203818181818185</c:v>
                </c:pt>
                <c:pt idx="66" formatCode="General">
                  <c:v>-4.8392909090909093</c:v>
                </c:pt>
                <c:pt idx="67" formatCode="General">
                  <c:v>-4.857733333333333</c:v>
                </c:pt>
                <c:pt idx="68" formatCode="General">
                  <c:v>-4.8761575757575759</c:v>
                </c:pt>
                <c:pt idx="69" formatCode="General">
                  <c:v>-4.8950181818181822</c:v>
                </c:pt>
                <c:pt idx="70" formatCode="General">
                  <c:v>-4.9139272727272729</c:v>
                </c:pt>
                <c:pt idx="71" formatCode="General">
                  <c:v>-4.9324303030303032</c:v>
                </c:pt>
                <c:pt idx="72" formatCode="General">
                  <c:v>-4.9508545454545452</c:v>
                </c:pt>
                <c:pt idx="73" formatCode="General">
                  <c:v>-4.9689757942511346</c:v>
                </c:pt>
                <c:pt idx="74" formatCode="General">
                  <c:v>-4.9870090771558244</c:v>
                </c:pt>
                <c:pt idx="75" formatCode="General">
                  <c:v>-5.0050423600605143</c:v>
                </c:pt>
                <c:pt idx="76" formatCode="General">
                  <c:v>-5.0230756429652041</c:v>
                </c:pt>
                <c:pt idx="77" formatCode="General">
                  <c:v>-5.041108925869894</c:v>
                </c:pt>
                <c:pt idx="78" formatCode="General">
                  <c:v>-5.0591422087745839</c:v>
                </c:pt>
                <c:pt idx="79" formatCode="General">
                  <c:v>-5.0771754916792737</c:v>
                </c:pt>
                <c:pt idx="80" formatCode="General">
                  <c:v>-5.0952087745839636</c:v>
                </c:pt>
                <c:pt idx="81" formatCode="General">
                  <c:v>-5.1129939485627833</c:v>
                </c:pt>
                <c:pt idx="82" formatCode="General">
                  <c:v>-5.1305431164901663</c:v>
                </c:pt>
                <c:pt idx="83" formatCode="General">
                  <c:v>-5.1480922844175492</c:v>
                </c:pt>
                <c:pt idx="84" formatCode="General">
                  <c:v>-5.1656414523449321</c:v>
                </c:pt>
                <c:pt idx="85" formatCode="General">
                  <c:v>-5.1831906202723141</c:v>
                </c:pt>
                <c:pt idx="86" formatCode="General">
                  <c:v>-5.2007397881996971</c:v>
                </c:pt>
                <c:pt idx="87" formatCode="General">
                  <c:v>-5.21828895612708</c:v>
                </c:pt>
                <c:pt idx="88" formatCode="General">
                  <c:v>-5.2358381240544629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1EF-44BA-AAAA-9AD66152902A}"/>
            </c:ext>
          </c:extLst>
        </c:ser>
        <c:ser>
          <c:idx val="37"/>
          <c:order val="39"/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-61.256727272727268</c:v>
                </c:pt>
                <c:pt idx="1">
                  <c:v>-60.102787878787879</c:v>
                </c:pt>
                <c:pt idx="2">
                  <c:v>-58.948848484848483</c:v>
                </c:pt>
                <c:pt idx="3">
                  <c:v>-58.021818181818183</c:v>
                </c:pt>
                <c:pt idx="4" formatCode="General">
                  <c:v>-57.100606060606061</c:v>
                </c:pt>
                <c:pt idx="5" formatCode="General">
                  <c:v>-56.365212121212124</c:v>
                </c:pt>
                <c:pt idx="6" formatCode="General">
                  <c:v>-55.647636363636359</c:v>
                </c:pt>
                <c:pt idx="7" formatCode="General">
                  <c:v>-55.20318910741301</c:v>
                </c:pt>
                <c:pt idx="8" formatCode="General">
                  <c:v>-54.806940998487143</c:v>
                </c:pt>
                <c:pt idx="9" formatCode="General">
                  <c:v>-54.410692889561268</c:v>
                </c:pt>
                <c:pt idx="10" formatCode="General">
                  <c:v>-54.014444780635401</c:v>
                </c:pt>
                <c:pt idx="11" formatCode="General">
                  <c:v>-53.618196671709526</c:v>
                </c:pt>
                <c:pt idx="12" formatCode="General">
                  <c:v>-53.221948562783659</c:v>
                </c:pt>
                <c:pt idx="13" formatCode="General">
                  <c:v>-52.825700453857792</c:v>
                </c:pt>
                <c:pt idx="14" formatCode="General">
                  <c:v>-52.429452344931917</c:v>
                </c:pt>
                <c:pt idx="15" formatCode="General">
                  <c:v>-52.126709090909088</c:v>
                </c:pt>
                <c:pt idx="16" formatCode="General">
                  <c:v>-51.889618181818186</c:v>
                </c:pt>
                <c:pt idx="17" formatCode="General">
                  <c:v>-51.679509090909093</c:v>
                </c:pt>
                <c:pt idx="18" formatCode="General">
                  <c:v>-51.493812121212123</c:v>
                </c:pt>
                <c:pt idx="19" formatCode="General">
                  <c:v>-51.332704819277112</c:v>
                </c:pt>
                <c:pt idx="20" formatCode="General">
                  <c:v>-51.20017469879518</c:v>
                </c:pt>
                <c:pt idx="21" formatCode="General">
                  <c:v>-51.094763636363638</c:v>
                </c:pt>
                <c:pt idx="22" formatCode="General">
                  <c:v>-51.03221818181818</c:v>
                </c:pt>
                <c:pt idx="23" formatCode="General">
                  <c:v>-50.995830303030303</c:v>
                </c:pt>
                <c:pt idx="24" formatCode="General">
                  <c:v>-51.013769696969696</c:v>
                </c:pt>
                <c:pt idx="25" formatCode="General">
                  <c:v>-51.053854545454548</c:v>
                </c:pt>
                <c:pt idx="26" formatCode="General">
                  <c:v>-51.156157575757575</c:v>
                </c:pt>
                <c:pt idx="27" formatCode="General">
                  <c:v>-51.272133333333336</c:v>
                </c:pt>
                <c:pt idx="28" formatCode="General">
                  <c:v>-51.442799999999998</c:v>
                </c:pt>
                <c:pt idx="29" formatCode="General">
                  <c:v>-51.617963855421685</c:v>
                </c:pt>
                <c:pt idx="30" formatCode="General">
                  <c:v>-51.821337349397588</c:v>
                </c:pt>
                <c:pt idx="31" formatCode="General">
                  <c:v>-52.026212121212119</c:v>
                </c:pt>
                <c:pt idx="32" formatCode="General">
                  <c:v>-52.25360606060606</c:v>
                </c:pt>
                <c:pt idx="33" formatCode="General">
                  <c:v>-52.480999999999995</c:v>
                </c:pt>
                <c:pt idx="34" formatCode="General">
                  <c:v>-52.716151515151516</c:v>
                </c:pt>
                <c:pt idx="35" formatCode="General">
                  <c:v>-52.951303030303031</c:v>
                </c:pt>
                <c:pt idx="36" formatCode="General">
                  <c:v>-53.198727272727275</c:v>
                </c:pt>
                <c:pt idx="37" formatCode="General">
                  <c:v>-53.446969696969695</c:v>
                </c:pt>
                <c:pt idx="38" formatCode="General">
                  <c:v>-53.688848484848485</c:v>
                </c:pt>
                <c:pt idx="39" formatCode="General">
                  <c:v>-53.929818181818185</c:v>
                </c:pt>
                <c:pt idx="40" formatCode="General">
                  <c:v>-54.177831325301206</c:v>
                </c:pt>
                <c:pt idx="41" formatCode="General">
                  <c:v>-54.427469879518071</c:v>
                </c:pt>
                <c:pt idx="42" formatCode="General">
                  <c:v>-54.671787878787882</c:v>
                </c:pt>
                <c:pt idx="43" formatCode="General">
                  <c:v>-54.914212121212124</c:v>
                </c:pt>
                <c:pt idx="44" formatCode="General">
                  <c:v>-55.156963636363635</c:v>
                </c:pt>
                <c:pt idx="45" formatCode="General">
                  <c:v>-55.399872727272729</c:v>
                </c:pt>
                <c:pt idx="46" formatCode="General">
                  <c:v>-55.64367272727273</c:v>
                </c:pt>
                <c:pt idx="47" formatCode="General">
                  <c:v>-55.888036363636367</c:v>
                </c:pt>
                <c:pt idx="48" formatCode="General">
                  <c:v>-56.129400907715585</c:v>
                </c:pt>
                <c:pt idx="49" formatCode="General">
                  <c:v>-56.368311649016647</c:v>
                </c:pt>
                <c:pt idx="50" formatCode="General">
                  <c:v>-56.607222390317702</c:v>
                </c:pt>
                <c:pt idx="51" formatCode="General">
                  <c:v>-56.846133131618764</c:v>
                </c:pt>
                <c:pt idx="52" formatCode="General">
                  <c:v>-57.085043872919819</c:v>
                </c:pt>
                <c:pt idx="53" formatCode="General">
                  <c:v>-57.323954614220881</c:v>
                </c:pt>
                <c:pt idx="54" formatCode="General">
                  <c:v>-57.562865355521936</c:v>
                </c:pt>
                <c:pt idx="55" formatCode="General">
                  <c:v>-57.801776096822998</c:v>
                </c:pt>
                <c:pt idx="56" formatCode="General">
                  <c:v>-58.037972768532526</c:v>
                </c:pt>
                <c:pt idx="57" formatCode="General">
                  <c:v>-58.267443267776095</c:v>
                </c:pt>
                <c:pt idx="58" formatCode="General">
                  <c:v>-58.49691376701967</c:v>
                </c:pt>
                <c:pt idx="59" formatCode="General">
                  <c:v>-58.726384266263238</c:v>
                </c:pt>
                <c:pt idx="60" formatCode="General">
                  <c:v>-58.955854765506807</c:v>
                </c:pt>
                <c:pt idx="61" formatCode="General">
                  <c:v>-59.185325264750382</c:v>
                </c:pt>
                <c:pt idx="62" formatCode="General">
                  <c:v>-59.414795763993951</c:v>
                </c:pt>
                <c:pt idx="63" formatCode="General">
                  <c:v>-59.644266263237519</c:v>
                </c:pt>
                <c:pt idx="64" formatCode="General">
                  <c:v>-59.873854545454549</c:v>
                </c:pt>
                <c:pt idx="65" formatCode="General">
                  <c:v>-60.108036363636366</c:v>
                </c:pt>
                <c:pt idx="66" formatCode="General">
                  <c:v>-60.342218181818183</c:v>
                </c:pt>
                <c:pt idx="67" formatCode="General">
                  <c:v>-60.567066666666669</c:v>
                </c:pt>
                <c:pt idx="68" formatCode="General">
                  <c:v>-60.791551515151518</c:v>
                </c:pt>
                <c:pt idx="69" formatCode="General">
                  <c:v>-61.015600000000006</c:v>
                </c:pt>
                <c:pt idx="70" formatCode="General">
                  <c:v>-61.239600000000003</c:v>
                </c:pt>
                <c:pt idx="71" formatCode="General">
                  <c:v>-61.455478787878789</c:v>
                </c:pt>
                <c:pt idx="72" formatCode="General">
                  <c:v>-61.669781818181818</c:v>
                </c:pt>
                <c:pt idx="73" formatCode="General">
                  <c:v>-61.890180722891564</c:v>
                </c:pt>
                <c:pt idx="74" formatCode="General">
                  <c:v>-62.112349397590364</c:v>
                </c:pt>
                <c:pt idx="75" formatCode="General">
                  <c:v>-62.318830303030303</c:v>
                </c:pt>
                <c:pt idx="76" formatCode="General">
                  <c:v>-62.518587878787883</c:v>
                </c:pt>
                <c:pt idx="77" formatCode="General">
                  <c:v>-62.718654545454548</c:v>
                </c:pt>
                <c:pt idx="78" formatCode="General">
                  <c:v>-62.918896969696966</c:v>
                </c:pt>
                <c:pt idx="79" formatCode="General">
                  <c:v>-63.119139393939392</c:v>
                </c:pt>
                <c:pt idx="80" formatCode="General">
                  <c:v>-63.319381818181817</c:v>
                </c:pt>
                <c:pt idx="81" formatCode="General">
                  <c:v>-63.522260211800301</c:v>
                </c:pt>
                <c:pt idx="82" formatCode="General">
                  <c:v>-63.727645990922845</c:v>
                </c:pt>
                <c:pt idx="83" formatCode="General">
                  <c:v>-63.933031770045382</c:v>
                </c:pt>
                <c:pt idx="84" formatCode="General">
                  <c:v>-64.138417549167926</c:v>
                </c:pt>
                <c:pt idx="85" formatCode="General">
                  <c:v>-64.343803328290463</c:v>
                </c:pt>
                <c:pt idx="86" formatCode="General">
                  <c:v>-64.549189107413</c:v>
                </c:pt>
                <c:pt idx="87" formatCode="General">
                  <c:v>-64.754574886535551</c:v>
                </c:pt>
                <c:pt idx="88" formatCode="General">
                  <c:v>-64.959960665658087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EF-44BA-AAAA-9AD66152902A}"/>
            </c:ext>
          </c:extLst>
        </c:ser>
        <c:ser>
          <c:idx val="42"/>
          <c:order val="43"/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EVALUATION!$B$144:$CP$144</c:f>
              <c:numCache>
                <c:formatCode>0</c:formatCode>
                <c:ptCount val="93"/>
                <c:pt idx="0">
                  <c:v>-16.225090909090905</c:v>
                </c:pt>
                <c:pt idx="1">
                  <c:v>-15.827515151515151</c:v>
                </c:pt>
                <c:pt idx="2">
                  <c:v>-15.429939393939394</c:v>
                </c:pt>
                <c:pt idx="3">
                  <c:v>-14.966181818181818</c:v>
                </c:pt>
                <c:pt idx="4" formatCode="General">
                  <c:v>-14.500727272727273</c:v>
                </c:pt>
                <c:pt idx="5" formatCode="General">
                  <c:v>-13.973333333333333</c:v>
                </c:pt>
                <c:pt idx="6" formatCode="General">
                  <c:v>-13.44</c:v>
                </c:pt>
                <c:pt idx="7" formatCode="General">
                  <c:v>-12.907969742813917</c:v>
                </c:pt>
                <c:pt idx="8" formatCode="General">
                  <c:v>-12.376169440242057</c:v>
                </c:pt>
                <c:pt idx="9" formatCode="General">
                  <c:v>-11.844369137670196</c:v>
                </c:pt>
                <c:pt idx="10" formatCode="General">
                  <c:v>-11.312568835098336</c:v>
                </c:pt>
                <c:pt idx="11" formatCode="General">
                  <c:v>-10.780768532526475</c:v>
                </c:pt>
                <c:pt idx="12" formatCode="General">
                  <c:v>-10.248968229954613</c:v>
                </c:pt>
                <c:pt idx="13" formatCode="General">
                  <c:v>-9.7171679273827536</c:v>
                </c:pt>
                <c:pt idx="14" formatCode="General">
                  <c:v>-9.185367624810894</c:v>
                </c:pt>
                <c:pt idx="15" formatCode="General">
                  <c:v>-8.7127696969696977</c:v>
                </c:pt>
                <c:pt idx="16" formatCode="General">
                  <c:v>-8.2817393939393948</c:v>
                </c:pt>
                <c:pt idx="17" formatCode="General">
                  <c:v>-7.887872727272728</c:v>
                </c:pt>
                <c:pt idx="18" formatCode="General">
                  <c:v>-7.5276303030303033</c:v>
                </c:pt>
                <c:pt idx="19" formatCode="General">
                  <c:v>-7.2058373493975907</c:v>
                </c:pt>
                <c:pt idx="20" formatCode="General">
                  <c:v>-6.9287289156626501</c:v>
                </c:pt>
                <c:pt idx="21" formatCode="General">
                  <c:v>-6.6821575757575751</c:v>
                </c:pt>
                <c:pt idx="22" formatCode="General">
                  <c:v>-6.4838545454545446</c:v>
                </c:pt>
                <c:pt idx="23" formatCode="General">
                  <c:v>-6.3085575757575754</c:v>
                </c:pt>
                <c:pt idx="24" formatCode="General">
                  <c:v>-6.181042424242424</c:v>
                </c:pt>
                <c:pt idx="25" formatCode="General">
                  <c:v>-6.068036363636363</c:v>
                </c:pt>
                <c:pt idx="26" formatCode="General">
                  <c:v>-5.9957939393939386</c:v>
                </c:pt>
                <c:pt idx="27" formatCode="General">
                  <c:v>-5.9314060606060606</c:v>
                </c:pt>
                <c:pt idx="28" formatCode="General">
                  <c:v>-5.8984363636363639</c:v>
                </c:pt>
                <c:pt idx="29" formatCode="General">
                  <c:v>-5.8688072289156628</c:v>
                </c:pt>
                <c:pt idx="30" formatCode="General">
                  <c:v>-5.8601325301204819</c:v>
                </c:pt>
                <c:pt idx="31" formatCode="General">
                  <c:v>-5.8522727272727275</c:v>
                </c:pt>
                <c:pt idx="32" formatCode="General">
                  <c:v>-5.8566363636363636</c:v>
                </c:pt>
                <c:pt idx="33" formatCode="General">
                  <c:v>-5.8609999999999998</c:v>
                </c:pt>
                <c:pt idx="34" formatCode="General">
                  <c:v>-5.8731212121212124</c:v>
                </c:pt>
                <c:pt idx="35" formatCode="General">
                  <c:v>-5.8852424242424242</c:v>
                </c:pt>
                <c:pt idx="36" formatCode="General">
                  <c:v>-5.9005454545454548</c:v>
                </c:pt>
                <c:pt idx="37" formatCode="General">
                  <c:v>-5.916060606060606</c:v>
                </c:pt>
                <c:pt idx="38" formatCode="General">
                  <c:v>-5.9336969696969701</c:v>
                </c:pt>
                <c:pt idx="39" formatCode="General">
                  <c:v>-5.9516363636363634</c:v>
                </c:pt>
                <c:pt idx="40" formatCode="General">
                  <c:v>-5.9698795180722897</c:v>
                </c:pt>
                <c:pt idx="41" formatCode="General">
                  <c:v>-5.9881927710843375</c:v>
                </c:pt>
                <c:pt idx="42" formatCode="General">
                  <c:v>-6.0073030303030306</c:v>
                </c:pt>
                <c:pt idx="43" formatCode="General">
                  <c:v>-6.0266969696969701</c:v>
                </c:pt>
                <c:pt idx="44" formatCode="General">
                  <c:v>-6.0464181818181819</c:v>
                </c:pt>
                <c:pt idx="45" formatCode="General">
                  <c:v>-6.0662969696969693</c:v>
                </c:pt>
                <c:pt idx="46" formatCode="General">
                  <c:v>-6.0870666666666668</c:v>
                </c:pt>
                <c:pt idx="47" formatCode="General">
                  <c:v>-6.1084000000000005</c:v>
                </c:pt>
                <c:pt idx="48" formatCode="General">
                  <c:v>-6.1322450832072617</c:v>
                </c:pt>
                <c:pt idx="49" formatCode="General">
                  <c:v>-6.1581452344931922</c:v>
                </c:pt>
                <c:pt idx="50" formatCode="General">
                  <c:v>-6.1840453857791227</c:v>
                </c:pt>
                <c:pt idx="51" formatCode="General">
                  <c:v>-6.2099455370650531</c:v>
                </c:pt>
                <c:pt idx="52" formatCode="General">
                  <c:v>-6.2358456883509836</c:v>
                </c:pt>
                <c:pt idx="53" formatCode="General">
                  <c:v>-6.2617458396369132</c:v>
                </c:pt>
                <c:pt idx="54" formatCode="General">
                  <c:v>-6.2876459909228437</c:v>
                </c:pt>
                <c:pt idx="55" formatCode="General">
                  <c:v>-6.3135461422087742</c:v>
                </c:pt>
                <c:pt idx="56" formatCode="General">
                  <c:v>-6.3381240544629343</c:v>
                </c:pt>
                <c:pt idx="57" formatCode="General">
                  <c:v>-6.3594251134644475</c:v>
                </c:pt>
                <c:pt idx="58" formatCode="General">
                  <c:v>-6.3807261724659607</c:v>
                </c:pt>
                <c:pt idx="59" formatCode="General">
                  <c:v>-6.4020272314674731</c:v>
                </c:pt>
                <c:pt idx="60" formatCode="General">
                  <c:v>-6.4233282904689863</c:v>
                </c:pt>
                <c:pt idx="61" formatCode="General">
                  <c:v>-6.4446293494704996</c:v>
                </c:pt>
                <c:pt idx="62" formatCode="General">
                  <c:v>-6.4659304084720119</c:v>
                </c:pt>
                <c:pt idx="63" formatCode="General">
                  <c:v>-6.4872314674735252</c:v>
                </c:pt>
                <c:pt idx="64" formatCode="General">
                  <c:v>-6.5085212121212122</c:v>
                </c:pt>
                <c:pt idx="65" formatCode="General">
                  <c:v>-6.529369696969697</c:v>
                </c:pt>
                <c:pt idx="66" formatCode="General">
                  <c:v>-6.5502181818181819</c:v>
                </c:pt>
                <c:pt idx="67" formatCode="General">
                  <c:v>-6.5710666666666668</c:v>
                </c:pt>
                <c:pt idx="68" formatCode="General">
                  <c:v>-6.5919151515151517</c:v>
                </c:pt>
                <c:pt idx="69" formatCode="General">
                  <c:v>-6.6123272727272733</c:v>
                </c:pt>
                <c:pt idx="70" formatCode="General">
                  <c:v>-6.6326909090909094</c:v>
                </c:pt>
                <c:pt idx="71" formatCode="General">
                  <c:v>-6.6530545454545456</c:v>
                </c:pt>
                <c:pt idx="72" formatCode="General">
                  <c:v>-6.6734181818181817</c:v>
                </c:pt>
                <c:pt idx="73" formatCode="General">
                  <c:v>-6.6933132530120485</c:v>
                </c:pt>
                <c:pt idx="74" formatCode="General">
                  <c:v>-6.713072289156627</c:v>
                </c:pt>
                <c:pt idx="75" formatCode="General">
                  <c:v>-6.7298606060606065</c:v>
                </c:pt>
                <c:pt idx="76" formatCode="General">
                  <c:v>-6.7453757575757578</c:v>
                </c:pt>
                <c:pt idx="77" formatCode="General">
                  <c:v>-6.7612000000000005</c:v>
                </c:pt>
                <c:pt idx="78" formatCode="General">
                  <c:v>-6.7771999999999997</c:v>
                </c:pt>
                <c:pt idx="79" formatCode="General">
                  <c:v>-6.7931999999999997</c:v>
                </c:pt>
                <c:pt idx="80" formatCode="General">
                  <c:v>-6.8091999999999997</c:v>
                </c:pt>
                <c:pt idx="81" formatCode="General">
                  <c:v>-6.825497730711044</c:v>
                </c:pt>
                <c:pt idx="82" formatCode="General">
                  <c:v>-6.8420786686838122</c:v>
                </c:pt>
                <c:pt idx="83" formatCode="General">
                  <c:v>-6.8586596066565813</c:v>
                </c:pt>
                <c:pt idx="84" formatCode="General">
                  <c:v>-6.8752405446293494</c:v>
                </c:pt>
                <c:pt idx="85" formatCode="General">
                  <c:v>-6.8918214826021176</c:v>
                </c:pt>
                <c:pt idx="86" formatCode="General">
                  <c:v>-6.9084024205748866</c:v>
                </c:pt>
                <c:pt idx="87" formatCode="General">
                  <c:v>-6.9249833585476548</c:v>
                </c:pt>
                <c:pt idx="88" formatCode="General">
                  <c:v>-6.9415642965204229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1EF-44BA-AAAA-9AD66152902A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11EF-44BA-AAAA-9AD66152902A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EVALUATION!$B$104:$CP$104</c:f>
              <c:numCache>
                <c:formatCode>0</c:formatCode>
                <c:ptCount val="93"/>
                <c:pt idx="0">
                  <c:v>-63.223636363636359</c:v>
                </c:pt>
                <c:pt idx="1">
                  <c:v>-61.720606060606059</c:v>
                </c:pt>
                <c:pt idx="2">
                  <c:v>-60.217575757575759</c:v>
                </c:pt>
                <c:pt idx="3">
                  <c:v>-58.865818181818177</c:v>
                </c:pt>
                <c:pt idx="4" formatCode="General">
                  <c:v>-57.517939393939393</c:v>
                </c:pt>
                <c:pt idx="5" formatCode="General">
                  <c:v>-56.298363636363632</c:v>
                </c:pt>
                <c:pt idx="6" formatCode="General">
                  <c:v>-55.091090909090902</c:v>
                </c:pt>
                <c:pt idx="7" formatCode="General">
                  <c:v>-53.517030303030296</c:v>
                </c:pt>
                <c:pt idx="8" formatCode="General">
                  <c:v>-51.878242424242423</c:v>
                </c:pt>
                <c:pt idx="9" formatCode="General">
                  <c:v>-50.254819277108432</c:v>
                </c:pt>
                <c:pt idx="10" formatCode="General">
                  <c:v>-48.635542168674704</c:v>
                </c:pt>
                <c:pt idx="11" formatCode="General">
                  <c:v>-47.095636363636366</c:v>
                </c:pt>
                <c:pt idx="12" formatCode="General">
                  <c:v>-45.587757575757578</c:v>
                </c:pt>
                <c:pt idx="13" formatCode="General">
                  <c:v>-44.155515151515154</c:v>
                </c:pt>
                <c:pt idx="14" formatCode="General">
                  <c:v>-42.764000000000003</c:v>
                </c:pt>
                <c:pt idx="15" formatCode="General">
                  <c:v>-41.503131618759454</c:v>
                </c:pt>
                <c:pt idx="16" formatCode="General">
                  <c:v>-40.333993948562785</c:v>
                </c:pt>
                <c:pt idx="17" formatCode="General">
                  <c:v>-39.164856278366109</c:v>
                </c:pt>
                <c:pt idx="18" formatCode="General">
                  <c:v>-37.99571860816944</c:v>
                </c:pt>
                <c:pt idx="19" formatCode="General">
                  <c:v>-36.826580937972764</c:v>
                </c:pt>
                <c:pt idx="20" formatCode="General">
                  <c:v>-35.657443267776095</c:v>
                </c:pt>
                <c:pt idx="21" formatCode="General">
                  <c:v>-34.488305597579426</c:v>
                </c:pt>
                <c:pt idx="22" formatCode="General">
                  <c:v>-33.31916792738275</c:v>
                </c:pt>
                <c:pt idx="23" formatCode="General">
                  <c:v>-32.206969696969693</c:v>
                </c:pt>
                <c:pt idx="24" formatCode="General">
                  <c:v>-31.213030303030301</c:v>
                </c:pt>
                <c:pt idx="25" formatCode="General">
                  <c:v>-30.234363636363636</c:v>
                </c:pt>
                <c:pt idx="26" formatCode="General">
                  <c:v>-29.298606060606058</c:v>
                </c:pt>
                <c:pt idx="27" formatCode="General">
                  <c:v>-28.374484848484848</c:v>
                </c:pt>
                <c:pt idx="28" formatCode="General">
                  <c:v>-27.496909090909089</c:v>
                </c:pt>
                <c:pt idx="29" formatCode="General">
                  <c:v>-26.626024096385539</c:v>
                </c:pt>
                <c:pt idx="30" formatCode="General">
                  <c:v>-25.797108433734937</c:v>
                </c:pt>
                <c:pt idx="31" formatCode="General">
                  <c:v>-24.974090909090908</c:v>
                </c:pt>
                <c:pt idx="32" formatCode="General">
                  <c:v>-24.239545454545453</c:v>
                </c:pt>
                <c:pt idx="33" formatCode="General">
                  <c:v>-23.504999999999999</c:v>
                </c:pt>
                <c:pt idx="34" formatCode="General">
                  <c:v>-22.770454545454545</c:v>
                </c:pt>
                <c:pt idx="35" formatCode="General">
                  <c:v>-22.03590909090909</c:v>
                </c:pt>
                <c:pt idx="36" formatCode="General">
                  <c:v>-21.301363636363636</c:v>
                </c:pt>
                <c:pt idx="37" formatCode="General">
                  <c:v>-20.566818181818181</c:v>
                </c:pt>
                <c:pt idx="38" formatCode="General">
                  <c:v>-19.832272727272727</c:v>
                </c:pt>
                <c:pt idx="39" formatCode="General">
                  <c:v>-19.097727272727273</c:v>
                </c:pt>
                <c:pt idx="40" formatCode="General">
                  <c:v>-18.467337367624811</c:v>
                </c:pt>
                <c:pt idx="41" formatCode="General">
                  <c:v>-17.860983358547657</c:v>
                </c:pt>
                <c:pt idx="42" formatCode="General">
                  <c:v>-17.254629349470502</c:v>
                </c:pt>
                <c:pt idx="43" formatCode="General">
                  <c:v>-16.648275340393344</c:v>
                </c:pt>
                <c:pt idx="44" formatCode="General">
                  <c:v>-16.041921331316189</c:v>
                </c:pt>
                <c:pt idx="45" formatCode="General">
                  <c:v>-15.435567322239033</c:v>
                </c:pt>
                <c:pt idx="46" formatCode="General">
                  <c:v>-14.829213313161876</c:v>
                </c:pt>
                <c:pt idx="47" formatCode="General">
                  <c:v>-14.222859304084722</c:v>
                </c:pt>
                <c:pt idx="48" formatCode="General">
                  <c:v>-13.667494704992437</c:v>
                </c:pt>
                <c:pt idx="49" formatCode="General">
                  <c:v>-13.153848714069593</c:v>
                </c:pt>
                <c:pt idx="50" formatCode="General">
                  <c:v>-12.640202723146748</c:v>
                </c:pt>
                <c:pt idx="51" formatCode="General">
                  <c:v>-12.126556732223904</c:v>
                </c:pt>
                <c:pt idx="52" formatCode="General">
                  <c:v>-11.612910741301061</c:v>
                </c:pt>
                <c:pt idx="53" formatCode="General">
                  <c:v>-11.099264750378216</c:v>
                </c:pt>
                <c:pt idx="54" formatCode="General">
                  <c:v>-10.585618759455372</c:v>
                </c:pt>
                <c:pt idx="55" formatCode="General">
                  <c:v>-10.071972768532529</c:v>
                </c:pt>
                <c:pt idx="56" formatCode="General">
                  <c:v>-9.5716242424242441</c:v>
                </c:pt>
                <c:pt idx="57" formatCode="General">
                  <c:v>-9.104230303030306</c:v>
                </c:pt>
                <c:pt idx="58" formatCode="General">
                  <c:v>-8.688981818181821</c:v>
                </c:pt>
                <c:pt idx="59" formatCode="General">
                  <c:v>-8.4533454545454561</c:v>
                </c:pt>
                <c:pt idx="60" formatCode="General">
                  <c:v>-8.2237757575757584</c:v>
                </c:pt>
                <c:pt idx="61" formatCode="General">
                  <c:v>-8.025472727272728</c:v>
                </c:pt>
                <c:pt idx="62" formatCode="General">
                  <c:v>-7.8367831325301216</c:v>
                </c:pt>
                <c:pt idx="63" formatCode="General">
                  <c:v>-7.7346144578313254</c:v>
                </c:pt>
                <c:pt idx="64" formatCode="General">
                  <c:v>-7.6359696969696973</c:v>
                </c:pt>
                <c:pt idx="65" formatCode="General">
                  <c:v>-7.6747575757575754</c:v>
                </c:pt>
                <c:pt idx="66" formatCode="General">
                  <c:v>-7.7135454545454545</c:v>
                </c:pt>
                <c:pt idx="67" formatCode="General">
                  <c:v>-7.7528000000000006</c:v>
                </c:pt>
                <c:pt idx="68" formatCode="General">
                  <c:v>-7.7920727272727275</c:v>
                </c:pt>
                <c:pt idx="69" formatCode="General">
                  <c:v>-7.832218181818182</c:v>
                </c:pt>
                <c:pt idx="70" formatCode="General">
                  <c:v>-7.8724606060606055</c:v>
                </c:pt>
                <c:pt idx="71" formatCode="General">
                  <c:v>-7.9131090909090913</c:v>
                </c:pt>
                <c:pt idx="72" formatCode="General">
                  <c:v>-7.9538363636363636</c:v>
                </c:pt>
                <c:pt idx="73" formatCode="General">
                  <c:v>-7.9963918305597588</c:v>
                </c:pt>
                <c:pt idx="74" formatCode="General">
                  <c:v>-8.0394780635400913</c:v>
                </c:pt>
                <c:pt idx="75" formatCode="General">
                  <c:v>-8.0825642965204239</c:v>
                </c:pt>
                <c:pt idx="76" formatCode="General">
                  <c:v>-8.1256505295007564</c:v>
                </c:pt>
                <c:pt idx="77" formatCode="General">
                  <c:v>-8.1687367624810907</c:v>
                </c:pt>
                <c:pt idx="78" formatCode="General">
                  <c:v>-8.2118229954614232</c:v>
                </c:pt>
                <c:pt idx="79" formatCode="General">
                  <c:v>-8.2549092284417558</c:v>
                </c:pt>
                <c:pt idx="80" formatCode="General">
                  <c:v>-8.2979954614220883</c:v>
                </c:pt>
                <c:pt idx="81" formatCode="General">
                  <c:v>-8.3441830559757957</c:v>
                </c:pt>
                <c:pt idx="82" formatCode="General">
                  <c:v>-8.3933207261724672</c:v>
                </c:pt>
                <c:pt idx="83" formatCode="General">
                  <c:v>-8.4424583963691386</c:v>
                </c:pt>
                <c:pt idx="84" formatCode="General">
                  <c:v>-8.4915960665658101</c:v>
                </c:pt>
                <c:pt idx="85" formatCode="General">
                  <c:v>-8.5407337367624816</c:v>
                </c:pt>
                <c:pt idx="86" formatCode="General">
                  <c:v>-8.5898714069591531</c:v>
                </c:pt>
                <c:pt idx="87" formatCode="General">
                  <c:v>-8.6390090771558246</c:v>
                </c:pt>
                <c:pt idx="88" formatCode="General">
                  <c:v>-8.688146747352496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43"/>
          <c:order val="44"/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EVALUATION!$B$145:$CP$145</c:f>
              <c:numCache>
                <c:formatCode>0</c:formatCode>
                <c:ptCount val="93"/>
                <c:pt idx="0">
                  <c:v>-63.458181818181821</c:v>
                </c:pt>
                <c:pt idx="1">
                  <c:v>-61.809696969696965</c:v>
                </c:pt>
                <c:pt idx="2">
                  <c:v>-60.161212121212117</c:v>
                </c:pt>
                <c:pt idx="3">
                  <c:v>-58.531636363636359</c:v>
                </c:pt>
                <c:pt idx="4" formatCode="General">
                  <c:v>-56.902545454545447</c:v>
                </c:pt>
                <c:pt idx="5" formatCode="General">
                  <c:v>-55.273454545454541</c:v>
                </c:pt>
                <c:pt idx="6" formatCode="General">
                  <c:v>-53.644363636363636</c:v>
                </c:pt>
                <c:pt idx="7" formatCode="General">
                  <c:v>-52.128472012102868</c:v>
                </c:pt>
                <c:pt idx="8" formatCode="General">
                  <c:v>-50.632556732223904</c:v>
                </c:pt>
                <c:pt idx="9" formatCode="General">
                  <c:v>-49.136641452344932</c:v>
                </c:pt>
                <c:pt idx="10" formatCode="General">
                  <c:v>-47.640726172465961</c:v>
                </c:pt>
                <c:pt idx="11" formatCode="General">
                  <c:v>-46.144810892586989</c:v>
                </c:pt>
                <c:pt idx="12" formatCode="General">
                  <c:v>-44.648895612708017</c:v>
                </c:pt>
                <c:pt idx="13" formatCode="General">
                  <c:v>-43.152980332829046</c:v>
                </c:pt>
                <c:pt idx="14" formatCode="General">
                  <c:v>-41.657065052950074</c:v>
                </c:pt>
                <c:pt idx="15" formatCode="General">
                  <c:v>-40.302242424242429</c:v>
                </c:pt>
                <c:pt idx="16" formatCode="General">
                  <c:v>-39.046484848484852</c:v>
                </c:pt>
                <c:pt idx="17" formatCode="General">
                  <c:v>-37.846727272727279</c:v>
                </c:pt>
                <c:pt idx="18" formatCode="General">
                  <c:v>-36.697636363636363</c:v>
                </c:pt>
                <c:pt idx="19" formatCode="General">
                  <c:v>-35.600783132530118</c:v>
                </c:pt>
                <c:pt idx="20" formatCode="General">
                  <c:v>-34.564638554216863</c:v>
                </c:pt>
                <c:pt idx="21" formatCode="General">
                  <c:v>-33.556121212121212</c:v>
                </c:pt>
                <c:pt idx="22" formatCode="General">
                  <c:v>-32.591272727272724</c:v>
                </c:pt>
                <c:pt idx="23" formatCode="General">
                  <c:v>-31.645333333333333</c:v>
                </c:pt>
                <c:pt idx="24" formatCode="General">
                  <c:v>-30.738666666666663</c:v>
                </c:pt>
                <c:pt idx="25" formatCode="General">
                  <c:v>-29.842181818181817</c:v>
                </c:pt>
                <c:pt idx="26" formatCode="General">
                  <c:v>-28.97430303030303</c:v>
                </c:pt>
                <c:pt idx="27" formatCode="General">
                  <c:v>-28.111272727272727</c:v>
                </c:pt>
                <c:pt idx="28" formatCode="General">
                  <c:v>-27.26763636363636</c:v>
                </c:pt>
                <c:pt idx="29" formatCode="General">
                  <c:v>-26.429337349397588</c:v>
                </c:pt>
                <c:pt idx="30" formatCode="General">
                  <c:v>-25.624518072289156</c:v>
                </c:pt>
                <c:pt idx="31" formatCode="General">
                  <c:v>-24.821515151515154</c:v>
                </c:pt>
                <c:pt idx="32" formatCode="General">
                  <c:v>-24.045757575757577</c:v>
                </c:pt>
                <c:pt idx="33" formatCode="General">
                  <c:v>-23.27</c:v>
                </c:pt>
                <c:pt idx="34" formatCode="General">
                  <c:v>-22.528181818181817</c:v>
                </c:pt>
                <c:pt idx="35" formatCode="General">
                  <c:v>-21.786363636363635</c:v>
                </c:pt>
                <c:pt idx="36" formatCode="General">
                  <c:v>-21.07181818181818</c:v>
                </c:pt>
                <c:pt idx="37" formatCode="General">
                  <c:v>-20.359090909090909</c:v>
                </c:pt>
                <c:pt idx="38" formatCode="General">
                  <c:v>-19.676060606060606</c:v>
                </c:pt>
                <c:pt idx="39" formatCode="General">
                  <c:v>-18.99727272727273</c:v>
                </c:pt>
                <c:pt idx="40" formatCode="General">
                  <c:v>-18.349216867469881</c:v>
                </c:pt>
                <c:pt idx="41" formatCode="General">
                  <c:v>-17.708253012048193</c:v>
                </c:pt>
                <c:pt idx="42" formatCode="General">
                  <c:v>-17.082303030303031</c:v>
                </c:pt>
                <c:pt idx="43" formatCode="General">
                  <c:v>-16.461696969696973</c:v>
                </c:pt>
                <c:pt idx="44" formatCode="General">
                  <c:v>-15.864000000000003</c:v>
                </c:pt>
                <c:pt idx="45" formatCode="General">
                  <c:v>-15.277333333333337</c:v>
                </c:pt>
                <c:pt idx="46" formatCode="General">
                  <c:v>-14.711454545454547</c:v>
                </c:pt>
                <c:pt idx="47" formatCode="General">
                  <c:v>-14.158727272727274</c:v>
                </c:pt>
                <c:pt idx="48" formatCode="General">
                  <c:v>-13.70231467473525</c:v>
                </c:pt>
                <c:pt idx="49" formatCode="General">
                  <c:v>-13.324704992435704</c:v>
                </c:pt>
                <c:pt idx="50" formatCode="General">
                  <c:v>-12.947095310136159</c:v>
                </c:pt>
                <c:pt idx="51" formatCode="General">
                  <c:v>-12.569485627836613</c:v>
                </c:pt>
                <c:pt idx="52" formatCode="General">
                  <c:v>-12.191875945537067</c:v>
                </c:pt>
                <c:pt idx="53" formatCode="General">
                  <c:v>-11.814266263237521</c:v>
                </c:pt>
                <c:pt idx="54" formatCode="General">
                  <c:v>-11.436656580937974</c:v>
                </c:pt>
                <c:pt idx="55" formatCode="General">
                  <c:v>-11.059046898638428</c:v>
                </c:pt>
                <c:pt idx="56" formatCode="General">
                  <c:v>-10.734639939485628</c:v>
                </c:pt>
                <c:pt idx="57" formatCode="General">
                  <c:v>-10.542083207261724</c:v>
                </c:pt>
                <c:pt idx="58" formatCode="General">
                  <c:v>-10.349526475037822</c:v>
                </c:pt>
                <c:pt idx="59" formatCode="General">
                  <c:v>-10.156969742813917</c:v>
                </c:pt>
                <c:pt idx="60" formatCode="General">
                  <c:v>-9.9644130105900146</c:v>
                </c:pt>
                <c:pt idx="61" formatCode="General">
                  <c:v>-9.771856278366112</c:v>
                </c:pt>
                <c:pt idx="62" formatCode="General">
                  <c:v>-9.5792995461422077</c:v>
                </c:pt>
                <c:pt idx="63" formatCode="General">
                  <c:v>-9.3867428139183051</c:v>
                </c:pt>
                <c:pt idx="64" formatCode="General">
                  <c:v>-9.1950606060606042</c:v>
                </c:pt>
                <c:pt idx="65" formatCode="General">
                  <c:v>-9.0374848484848478</c:v>
                </c:pt>
                <c:pt idx="66" formatCode="General">
                  <c:v>-8.8799090909090914</c:v>
                </c:pt>
                <c:pt idx="67" formatCode="General">
                  <c:v>-8.7335333333333338</c:v>
                </c:pt>
                <c:pt idx="68" formatCode="General">
                  <c:v>-8.5875939393939387</c:v>
                </c:pt>
                <c:pt idx="69" formatCode="General">
                  <c:v>-8.4516909090909085</c:v>
                </c:pt>
                <c:pt idx="70" formatCode="General">
                  <c:v>-8.3169030303030294</c:v>
                </c:pt>
                <c:pt idx="71" formatCode="General">
                  <c:v>-8.1898303030303019</c:v>
                </c:pt>
                <c:pt idx="72" formatCode="General">
                  <c:v>-8.0642545454545438</c:v>
                </c:pt>
                <c:pt idx="73" formatCode="General">
                  <c:v>-7.9493493975903604</c:v>
                </c:pt>
                <c:pt idx="74" formatCode="General">
                  <c:v>-7.8375421686746982</c:v>
                </c:pt>
                <c:pt idx="75" formatCode="General">
                  <c:v>-7.8216484848484846</c:v>
                </c:pt>
                <c:pt idx="76" formatCode="General">
                  <c:v>-7.8468606060606056</c:v>
                </c:pt>
                <c:pt idx="77" formatCode="General">
                  <c:v>-7.8742363636363635</c:v>
                </c:pt>
                <c:pt idx="78" formatCode="General">
                  <c:v>-7.902842424242424</c:v>
                </c:pt>
                <c:pt idx="79" formatCode="General">
                  <c:v>-7.930890909090909</c:v>
                </c:pt>
                <c:pt idx="80" formatCode="General">
                  <c:v>-7.9585272727272729</c:v>
                </c:pt>
                <c:pt idx="81" formatCode="General">
                  <c:v>-7.9859561270801818</c:v>
                </c:pt>
                <c:pt idx="82" formatCode="General">
                  <c:v>-8.0131875945537061</c:v>
                </c:pt>
                <c:pt idx="83" formatCode="General">
                  <c:v>-8.0404190620272313</c:v>
                </c:pt>
                <c:pt idx="84" formatCode="General">
                  <c:v>-8.0676505295007566</c:v>
                </c:pt>
                <c:pt idx="85" formatCode="General">
                  <c:v>-8.0948819969742818</c:v>
                </c:pt>
                <c:pt idx="86" formatCode="General">
                  <c:v>-8.1221134644478052</c:v>
                </c:pt>
                <c:pt idx="87" formatCode="General">
                  <c:v>-8.1493449319213305</c:v>
                </c:pt>
                <c:pt idx="88" formatCode="General">
                  <c:v>-8.1765763993948557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35EF-46D6-A94F-2517E60135C4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EF-46D6-A94F-2517E60135C4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-22.391999999999999</c:v>
                </c:pt>
                <c:pt idx="1">
                  <c:v>-21.911999999999999</c:v>
                </c:pt>
                <c:pt idx="2">
                  <c:v>-21.432000000000002</c:v>
                </c:pt>
                <c:pt idx="3">
                  <c:v>-21.004000000000001</c:v>
                </c:pt>
                <c:pt idx="4" formatCode="General">
                  <c:v>-20.577333333333332</c:v>
                </c:pt>
                <c:pt idx="5" formatCode="General">
                  <c:v>-20.194909090909089</c:v>
                </c:pt>
                <c:pt idx="6" formatCode="General">
                  <c:v>-19.816727272727274</c:v>
                </c:pt>
                <c:pt idx="7" formatCode="General">
                  <c:v>-19.772363636363636</c:v>
                </c:pt>
                <c:pt idx="8" formatCode="General">
                  <c:v>-19.786909090909091</c:v>
                </c:pt>
                <c:pt idx="9" formatCode="General">
                  <c:v>-19.881084337349396</c:v>
                </c:pt>
                <c:pt idx="10" formatCode="General">
                  <c:v>-19.996746987951809</c:v>
                </c:pt>
                <c:pt idx="11" formatCode="General">
                  <c:v>-20.116363636363637</c:v>
                </c:pt>
                <c:pt idx="12" formatCode="General">
                  <c:v>-20.237575757575758</c:v>
                </c:pt>
                <c:pt idx="13" formatCode="General">
                  <c:v>-20.355636363636364</c:v>
                </c:pt>
                <c:pt idx="14" formatCode="General">
                  <c:v>-20.472000000000001</c:v>
                </c:pt>
                <c:pt idx="15" formatCode="General">
                  <c:v>-20.591104387291981</c:v>
                </c:pt>
                <c:pt idx="16" formatCode="General">
                  <c:v>-20.71213313161876</c:v>
                </c:pt>
                <c:pt idx="17" formatCode="General">
                  <c:v>-20.833161875945535</c:v>
                </c:pt>
                <c:pt idx="18" formatCode="General">
                  <c:v>-20.954190620272314</c:v>
                </c:pt>
                <c:pt idx="19" formatCode="General">
                  <c:v>-21.075219364599093</c:v>
                </c:pt>
                <c:pt idx="20" formatCode="General">
                  <c:v>-21.196248108925868</c:v>
                </c:pt>
                <c:pt idx="21" formatCode="General">
                  <c:v>-21.317276853252647</c:v>
                </c:pt>
                <c:pt idx="22" formatCode="General">
                  <c:v>-21.438305597579426</c:v>
                </c:pt>
                <c:pt idx="23" formatCode="General">
                  <c:v>-21.559393939393939</c:v>
                </c:pt>
                <c:pt idx="24" formatCode="General">
                  <c:v>-21.68060606060606</c:v>
                </c:pt>
                <c:pt idx="25" formatCode="General">
                  <c:v>-21.801818181818181</c:v>
                </c:pt>
                <c:pt idx="26" formatCode="General">
                  <c:v>-21.923030303030302</c:v>
                </c:pt>
                <c:pt idx="27" formatCode="General">
                  <c:v>-22.044242424242423</c:v>
                </c:pt>
                <c:pt idx="28" formatCode="General">
                  <c:v>-22.165454545454544</c:v>
                </c:pt>
                <c:pt idx="29" formatCode="General">
                  <c:v>-22.28590361445783</c:v>
                </c:pt>
                <c:pt idx="30" formatCode="General">
                  <c:v>-22.401566265060243</c:v>
                </c:pt>
                <c:pt idx="31" formatCode="General">
                  <c:v>-22.517348484848487</c:v>
                </c:pt>
                <c:pt idx="32" formatCode="General">
                  <c:v>-22.634924242424244</c:v>
                </c:pt>
                <c:pt idx="33" formatCode="General">
                  <c:v>-22.752500000000001</c:v>
                </c:pt>
                <c:pt idx="34" formatCode="General">
                  <c:v>-22.870075757575759</c:v>
                </c:pt>
                <c:pt idx="35" formatCode="General">
                  <c:v>-22.987651515151516</c:v>
                </c:pt>
                <c:pt idx="36" formatCode="General">
                  <c:v>-23.105227272727273</c:v>
                </c:pt>
                <c:pt idx="37" formatCode="General">
                  <c:v>-23.22280303030303</c:v>
                </c:pt>
                <c:pt idx="38" formatCode="General">
                  <c:v>-23.340378787878787</c:v>
                </c:pt>
                <c:pt idx="39" formatCode="General">
                  <c:v>-23.457954545454545</c:v>
                </c:pt>
                <c:pt idx="40" formatCode="General">
                  <c:v>-23.57145234493192</c:v>
                </c:pt>
                <c:pt idx="41" formatCode="General">
                  <c:v>-23.684009077155824</c:v>
                </c:pt>
                <c:pt idx="42" formatCode="General">
                  <c:v>-23.796565809379729</c:v>
                </c:pt>
                <c:pt idx="43" formatCode="General">
                  <c:v>-23.909122541603629</c:v>
                </c:pt>
                <c:pt idx="44" formatCode="General">
                  <c:v>-24.021679273827534</c:v>
                </c:pt>
                <c:pt idx="45" formatCode="General">
                  <c:v>-24.134236006051438</c:v>
                </c:pt>
                <c:pt idx="46" formatCode="General">
                  <c:v>-24.246792738275339</c:v>
                </c:pt>
                <c:pt idx="47" formatCode="General">
                  <c:v>-24.359349470499243</c:v>
                </c:pt>
                <c:pt idx="48" formatCode="General">
                  <c:v>-24.469909228441754</c:v>
                </c:pt>
                <c:pt idx="49" formatCode="General">
                  <c:v>-24.578835098335855</c:v>
                </c:pt>
                <c:pt idx="50" formatCode="General">
                  <c:v>-24.687760968229952</c:v>
                </c:pt>
                <c:pt idx="51" formatCode="General">
                  <c:v>-24.796686838124053</c:v>
                </c:pt>
                <c:pt idx="52" formatCode="General">
                  <c:v>-24.905612708018154</c:v>
                </c:pt>
                <c:pt idx="53" formatCode="General">
                  <c:v>-25.014538577912251</c:v>
                </c:pt>
                <c:pt idx="54" formatCode="General">
                  <c:v>-25.123464447806352</c:v>
                </c:pt>
                <c:pt idx="55" formatCode="General">
                  <c:v>-25.232390317700453</c:v>
                </c:pt>
                <c:pt idx="56" formatCode="General">
                  <c:v>-25.340666666666664</c:v>
                </c:pt>
                <c:pt idx="57" formatCode="General">
                  <c:v>-25.447333333333333</c:v>
                </c:pt>
                <c:pt idx="58" formatCode="General">
                  <c:v>-25.554000000000002</c:v>
                </c:pt>
                <c:pt idx="59" formatCode="General">
                  <c:v>-25.660666666666668</c:v>
                </c:pt>
                <c:pt idx="60" formatCode="General">
                  <c:v>-25.766545454545454</c:v>
                </c:pt>
                <c:pt idx="61" formatCode="General">
                  <c:v>-25.868363636363636</c:v>
                </c:pt>
                <c:pt idx="62" formatCode="General">
                  <c:v>-25.970602409638555</c:v>
                </c:pt>
                <c:pt idx="63" formatCode="General">
                  <c:v>-26.076626506024098</c:v>
                </c:pt>
                <c:pt idx="64" formatCode="General">
                  <c:v>-26.182545454545455</c:v>
                </c:pt>
                <c:pt idx="65" formatCode="General">
                  <c:v>-26.284363636363636</c:v>
                </c:pt>
                <c:pt idx="66" formatCode="General">
                  <c:v>-26.386181818181818</c:v>
                </c:pt>
                <c:pt idx="67" formatCode="General">
                  <c:v>-26.488000000000003</c:v>
                </c:pt>
                <c:pt idx="68" formatCode="General">
                  <c:v>-26.589818181818185</c:v>
                </c:pt>
                <c:pt idx="69" formatCode="General">
                  <c:v>-26.691636363636363</c:v>
                </c:pt>
                <c:pt idx="70" formatCode="General">
                  <c:v>-26.793454545454544</c:v>
                </c:pt>
                <c:pt idx="71" formatCode="General">
                  <c:v>-26.895272727272726</c:v>
                </c:pt>
                <c:pt idx="72" formatCode="General">
                  <c:v>-26.997090909090907</c:v>
                </c:pt>
                <c:pt idx="73" formatCode="General">
                  <c:v>-27.095975794251135</c:v>
                </c:pt>
                <c:pt idx="74" formatCode="General">
                  <c:v>-27.194009077155826</c:v>
                </c:pt>
                <c:pt idx="75" formatCode="General">
                  <c:v>-27.292042360060513</c:v>
                </c:pt>
                <c:pt idx="76" formatCode="General">
                  <c:v>-27.390075642965204</c:v>
                </c:pt>
                <c:pt idx="77" formatCode="General">
                  <c:v>-27.488108925869895</c:v>
                </c:pt>
                <c:pt idx="78" formatCode="General">
                  <c:v>-27.586142208774582</c:v>
                </c:pt>
                <c:pt idx="79" formatCode="General">
                  <c:v>-27.684175491679273</c:v>
                </c:pt>
                <c:pt idx="80" formatCode="General">
                  <c:v>-27.782208774583964</c:v>
                </c:pt>
                <c:pt idx="81" formatCode="General">
                  <c:v>-27.879001512859304</c:v>
                </c:pt>
                <c:pt idx="82" formatCode="General">
                  <c:v>-27.974614220877456</c:v>
                </c:pt>
                <c:pt idx="83" formatCode="General">
                  <c:v>-28.070226928895611</c:v>
                </c:pt>
                <c:pt idx="84" formatCode="General">
                  <c:v>-28.165839636913766</c:v>
                </c:pt>
                <c:pt idx="85" formatCode="General">
                  <c:v>-28.261452344931921</c:v>
                </c:pt>
                <c:pt idx="86" formatCode="General">
                  <c:v>-28.357065052950077</c:v>
                </c:pt>
                <c:pt idx="87" formatCode="General">
                  <c:v>-28.452677760968232</c:v>
                </c:pt>
                <c:pt idx="88" formatCode="General">
                  <c:v>-28.548290468986384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22F-4A2F-976F-7C3C2CD148C5}"/>
            </c:ext>
          </c:extLst>
        </c:ser>
        <c:ser>
          <c:idx val="40"/>
          <c:order val="41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-194.46381818181817</c:v>
                </c:pt>
                <c:pt idx="1">
                  <c:v>-190.03230303030301</c:v>
                </c:pt>
                <c:pt idx="2">
                  <c:v>-185.60078787878788</c:v>
                </c:pt>
                <c:pt idx="3">
                  <c:v>-181.64672727272728</c:v>
                </c:pt>
                <c:pt idx="4" formatCode="General">
                  <c:v>-177.7049090909091</c:v>
                </c:pt>
                <c:pt idx="5" formatCode="General">
                  <c:v>-174.13472727272728</c:v>
                </c:pt>
                <c:pt idx="6" formatCode="General">
                  <c:v>-170.6001818181818</c:v>
                </c:pt>
                <c:pt idx="7" formatCode="General">
                  <c:v>-167.69977307110437</c:v>
                </c:pt>
                <c:pt idx="8" formatCode="General">
                  <c:v>-164.91127080181542</c:v>
                </c:pt>
                <c:pt idx="9" formatCode="General">
                  <c:v>-162.12276853252646</c:v>
                </c:pt>
                <c:pt idx="10" formatCode="General">
                  <c:v>-159.33426626323751</c:v>
                </c:pt>
                <c:pt idx="11" formatCode="General">
                  <c:v>-156.54576399394855</c:v>
                </c:pt>
                <c:pt idx="12" formatCode="General">
                  <c:v>-153.7572617246596</c:v>
                </c:pt>
                <c:pt idx="13" formatCode="General">
                  <c:v>-150.96875945537062</c:v>
                </c:pt>
                <c:pt idx="14" formatCode="General">
                  <c:v>-148.18025718608166</c:v>
                </c:pt>
                <c:pt idx="15" formatCode="General">
                  <c:v>-145.72539393939394</c:v>
                </c:pt>
                <c:pt idx="16" formatCode="General">
                  <c:v>-143.50478787878788</c:v>
                </c:pt>
                <c:pt idx="17" formatCode="General">
                  <c:v>-141.38090909090911</c:v>
                </c:pt>
                <c:pt idx="18" formatCode="General">
                  <c:v>-139.34454545454545</c:v>
                </c:pt>
                <c:pt idx="19" formatCode="General">
                  <c:v>-137.39186746987951</c:v>
                </c:pt>
                <c:pt idx="20" formatCode="General">
                  <c:v>-135.53644578313251</c:v>
                </c:pt>
                <c:pt idx="21" formatCode="General">
                  <c:v>-133.73115151515148</c:v>
                </c:pt>
                <c:pt idx="22" formatCode="General">
                  <c:v>-132.00509090909091</c:v>
                </c:pt>
                <c:pt idx="23" formatCode="General">
                  <c:v>-130.32157575757574</c:v>
                </c:pt>
                <c:pt idx="24" formatCode="General">
                  <c:v>-128.72642424242423</c:v>
                </c:pt>
                <c:pt idx="25" formatCode="General">
                  <c:v>-127.1630909090909</c:v>
                </c:pt>
                <c:pt idx="26" formatCode="General">
                  <c:v>-125.68915151515151</c:v>
                </c:pt>
                <c:pt idx="27" formatCode="General">
                  <c:v>-124.23363636363635</c:v>
                </c:pt>
                <c:pt idx="28" formatCode="General">
                  <c:v>-122.85181818181817</c:v>
                </c:pt>
                <c:pt idx="29" formatCode="General">
                  <c:v>-121.48240963855422</c:v>
                </c:pt>
                <c:pt idx="30" formatCode="General">
                  <c:v>-120.19084337349396</c:v>
                </c:pt>
                <c:pt idx="31" formatCode="General">
                  <c:v>-118.90393939393938</c:v>
                </c:pt>
                <c:pt idx="32" formatCode="General">
                  <c:v>-117.6869696969697</c:v>
                </c:pt>
                <c:pt idx="33" formatCode="General">
                  <c:v>-116.47</c:v>
                </c:pt>
                <c:pt idx="34" formatCode="General">
                  <c:v>-115.32090909090908</c:v>
                </c:pt>
                <c:pt idx="35" formatCode="General">
                  <c:v>-114.17181818181818</c:v>
                </c:pt>
                <c:pt idx="36" formatCode="General">
                  <c:v>-113.09090909090908</c:v>
                </c:pt>
                <c:pt idx="37" formatCode="General">
                  <c:v>-112.01454545454546</c:v>
                </c:pt>
                <c:pt idx="38" formatCode="General">
                  <c:v>-110.98484848484848</c:v>
                </c:pt>
                <c:pt idx="39" formatCode="General">
                  <c:v>-109.96181818181819</c:v>
                </c:pt>
                <c:pt idx="40" formatCode="General">
                  <c:v>-109.01036144578313</c:v>
                </c:pt>
                <c:pt idx="41" formatCode="General">
                  <c:v>-108.07542168674699</c:v>
                </c:pt>
                <c:pt idx="42" formatCode="General">
                  <c:v>-107.16133333333333</c:v>
                </c:pt>
                <c:pt idx="43" formatCode="General">
                  <c:v>-106.25466666666668</c:v>
                </c:pt>
                <c:pt idx="44" formatCode="General">
                  <c:v>-105.39381818181819</c:v>
                </c:pt>
                <c:pt idx="45" formatCode="General">
                  <c:v>-104.55503030303029</c:v>
                </c:pt>
                <c:pt idx="46" formatCode="General">
                  <c:v>-103.75781818181818</c:v>
                </c:pt>
                <c:pt idx="47" formatCode="General">
                  <c:v>-102.98690909090911</c:v>
                </c:pt>
                <c:pt idx="48" formatCode="General">
                  <c:v>-102.400363086233</c:v>
                </c:pt>
                <c:pt idx="49" formatCode="General">
                  <c:v>-101.9646596066566</c:v>
                </c:pt>
                <c:pt idx="50" formatCode="General">
                  <c:v>-101.52895612708019</c:v>
                </c:pt>
                <c:pt idx="51" formatCode="General">
                  <c:v>-101.09325264750379</c:v>
                </c:pt>
                <c:pt idx="52" formatCode="General">
                  <c:v>-100.6575491679274</c:v>
                </c:pt>
                <c:pt idx="53" formatCode="General">
                  <c:v>-100.221845688351</c:v>
                </c:pt>
                <c:pt idx="54" formatCode="General">
                  <c:v>-99.786142208774592</c:v>
                </c:pt>
                <c:pt idx="55" formatCode="General">
                  <c:v>-99.350438729198189</c:v>
                </c:pt>
                <c:pt idx="56" formatCode="General">
                  <c:v>-99.019052950075647</c:v>
                </c:pt>
                <c:pt idx="57" formatCode="General">
                  <c:v>-98.946193645990931</c:v>
                </c:pt>
                <c:pt idx="58" formatCode="General">
                  <c:v>-98.873334341906201</c:v>
                </c:pt>
                <c:pt idx="59" formatCode="General">
                  <c:v>-98.800475037821485</c:v>
                </c:pt>
                <c:pt idx="60" formatCode="General">
                  <c:v>-98.727615733736755</c:v>
                </c:pt>
                <c:pt idx="61" formatCode="General">
                  <c:v>-98.654756429652039</c:v>
                </c:pt>
                <c:pt idx="62" formatCode="General">
                  <c:v>-98.581897125567309</c:v>
                </c:pt>
                <c:pt idx="63" formatCode="General">
                  <c:v>-98.509037821482593</c:v>
                </c:pt>
                <c:pt idx="64" formatCode="General">
                  <c:v>-98.438121212121203</c:v>
                </c:pt>
                <c:pt idx="65" formatCode="General">
                  <c:v>-98.442969696969683</c:v>
                </c:pt>
                <c:pt idx="66" formatCode="General">
                  <c:v>-98.447818181818178</c:v>
                </c:pt>
                <c:pt idx="67" formatCode="General">
                  <c:v>-98.461066666666667</c:v>
                </c:pt>
                <c:pt idx="68" formatCode="General">
                  <c:v>-98.474642424242418</c:v>
                </c:pt>
                <c:pt idx="69" formatCode="General">
                  <c:v>-98.508290909090917</c:v>
                </c:pt>
                <c:pt idx="70" formatCode="General">
                  <c:v>-98.544169696969703</c:v>
                </c:pt>
                <c:pt idx="71" formatCode="General">
                  <c:v>-98.583296969696974</c:v>
                </c:pt>
                <c:pt idx="72" formatCode="General">
                  <c:v>-98.623054545454551</c:v>
                </c:pt>
                <c:pt idx="73" formatCode="General">
                  <c:v>-98.694000000000003</c:v>
                </c:pt>
                <c:pt idx="74" formatCode="General">
                  <c:v>-98.774000000000001</c:v>
                </c:pt>
                <c:pt idx="75" formatCode="General">
                  <c:v>-99.026751515151517</c:v>
                </c:pt>
                <c:pt idx="76" formatCode="General">
                  <c:v>-99.3535393939394</c:v>
                </c:pt>
                <c:pt idx="77" formatCode="General">
                  <c:v>-99.684654545454549</c:v>
                </c:pt>
                <c:pt idx="78" formatCode="General">
                  <c:v>-100.01823030303031</c:v>
                </c:pt>
                <c:pt idx="79" formatCode="General">
                  <c:v>-100.35069090909091</c:v>
                </c:pt>
                <c:pt idx="80" formatCode="General">
                  <c:v>-100.68232727272728</c:v>
                </c:pt>
                <c:pt idx="81" formatCode="General">
                  <c:v>-101.01705597579426</c:v>
                </c:pt>
                <c:pt idx="82" formatCode="General">
                  <c:v>-101.35472617246596</c:v>
                </c:pt>
                <c:pt idx="83" formatCode="General">
                  <c:v>-101.69239636913767</c:v>
                </c:pt>
                <c:pt idx="84" formatCode="General">
                  <c:v>-102.03006656580938</c:v>
                </c:pt>
                <c:pt idx="85" formatCode="General">
                  <c:v>-102.36773676248109</c:v>
                </c:pt>
                <c:pt idx="86" formatCode="General">
                  <c:v>-102.7054069591528</c:v>
                </c:pt>
                <c:pt idx="87" formatCode="General">
                  <c:v>-103.04307715582451</c:v>
                </c:pt>
                <c:pt idx="88" formatCode="General">
                  <c:v>-103.3807473524962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2F-4A2F-976F-7C3C2CD148C5}"/>
            </c:ext>
          </c:extLst>
        </c:ser>
        <c:ser>
          <c:idx val="44"/>
          <c:order val="45"/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EVALUATION!$B$146:$CP$146</c:f>
              <c:numCache>
                <c:formatCode>0</c:formatCode>
                <c:ptCount val="93"/>
                <c:pt idx="0">
                  <c:v>-22.515818181818183</c:v>
                </c:pt>
                <c:pt idx="1">
                  <c:v>-22.137636363636364</c:v>
                </c:pt>
                <c:pt idx="2">
                  <c:v>-21.759454545454545</c:v>
                </c:pt>
                <c:pt idx="3">
                  <c:v>-21.527818181818184</c:v>
                </c:pt>
                <c:pt idx="4" formatCode="General">
                  <c:v>-21.299939393939393</c:v>
                </c:pt>
                <c:pt idx="5" formatCode="General">
                  <c:v>-21.195939393939394</c:v>
                </c:pt>
                <c:pt idx="6" formatCode="General">
                  <c:v>-21.10381818181818</c:v>
                </c:pt>
                <c:pt idx="7" formatCode="General">
                  <c:v>-21.147609682299546</c:v>
                </c:pt>
                <c:pt idx="8" formatCode="General">
                  <c:v>-21.215385779122542</c:v>
                </c:pt>
                <c:pt idx="9" formatCode="General">
                  <c:v>-21.283161875945538</c:v>
                </c:pt>
                <c:pt idx="10" formatCode="General">
                  <c:v>-21.350937972768531</c:v>
                </c:pt>
                <c:pt idx="11" formatCode="General">
                  <c:v>-21.418714069591527</c:v>
                </c:pt>
                <c:pt idx="12" formatCode="General">
                  <c:v>-21.486490166414523</c:v>
                </c:pt>
                <c:pt idx="13" formatCode="General">
                  <c:v>-21.554266263237519</c:v>
                </c:pt>
                <c:pt idx="14" formatCode="General">
                  <c:v>-21.622042360060512</c:v>
                </c:pt>
                <c:pt idx="15" formatCode="General">
                  <c:v>-21.706969696969697</c:v>
                </c:pt>
                <c:pt idx="16" formatCode="General">
                  <c:v>-21.803939393939395</c:v>
                </c:pt>
                <c:pt idx="17" formatCode="General">
                  <c:v>-21.895818181818182</c:v>
                </c:pt>
                <c:pt idx="18" formatCode="General">
                  <c:v>-21.983090909090912</c:v>
                </c:pt>
                <c:pt idx="19" formatCode="General">
                  <c:v>-22.06343373493976</c:v>
                </c:pt>
                <c:pt idx="20" formatCode="General">
                  <c:v>-22.135722891566264</c:v>
                </c:pt>
                <c:pt idx="21" formatCode="General">
                  <c:v>-22.20630303030303</c:v>
                </c:pt>
                <c:pt idx="22" formatCode="General">
                  <c:v>-22.27418181818182</c:v>
                </c:pt>
                <c:pt idx="23" formatCode="General">
                  <c:v>-22.343636363636364</c:v>
                </c:pt>
                <c:pt idx="24" formatCode="General">
                  <c:v>-22.416363636363634</c:v>
                </c:pt>
                <c:pt idx="25" formatCode="General">
                  <c:v>-22.492909090909091</c:v>
                </c:pt>
                <c:pt idx="26" formatCode="General">
                  <c:v>-22.580181818181817</c:v>
                </c:pt>
                <c:pt idx="27" formatCode="General">
                  <c:v>-22.670363636363636</c:v>
                </c:pt>
                <c:pt idx="28" formatCode="General">
                  <c:v>-22.772181818181817</c:v>
                </c:pt>
                <c:pt idx="29" formatCode="General">
                  <c:v>-22.874578313253011</c:v>
                </c:pt>
                <c:pt idx="30" formatCode="General">
                  <c:v>-22.980602409638553</c:v>
                </c:pt>
                <c:pt idx="31" formatCode="General">
                  <c:v>-23.086969696969696</c:v>
                </c:pt>
                <c:pt idx="32" formatCode="General">
                  <c:v>-23.198484848484846</c:v>
                </c:pt>
                <c:pt idx="33" formatCode="General">
                  <c:v>-23.31</c:v>
                </c:pt>
                <c:pt idx="34" formatCode="General">
                  <c:v>-23.421515151515152</c:v>
                </c:pt>
                <c:pt idx="35" formatCode="General">
                  <c:v>-23.533030303030301</c:v>
                </c:pt>
                <c:pt idx="36" formatCode="General">
                  <c:v>-23.649090909090908</c:v>
                </c:pt>
                <c:pt idx="37" formatCode="General">
                  <c:v>-23.765454545454546</c:v>
                </c:pt>
                <c:pt idx="38" formatCode="General">
                  <c:v>-23.877575757575759</c:v>
                </c:pt>
                <c:pt idx="39" formatCode="General">
                  <c:v>-23.989090909090912</c:v>
                </c:pt>
                <c:pt idx="40" formatCode="General">
                  <c:v>-24.103975903614458</c:v>
                </c:pt>
                <c:pt idx="41" formatCode="General">
                  <c:v>-24.219638554216868</c:v>
                </c:pt>
                <c:pt idx="42" formatCode="General">
                  <c:v>-24.332242424242423</c:v>
                </c:pt>
                <c:pt idx="43" formatCode="General">
                  <c:v>-24.443757575757576</c:v>
                </c:pt>
                <c:pt idx="44" formatCode="General">
                  <c:v>-24.555272727272726</c:v>
                </c:pt>
                <c:pt idx="45" formatCode="General">
                  <c:v>-24.666787878787879</c:v>
                </c:pt>
                <c:pt idx="46" formatCode="General">
                  <c:v>-24.778303030303032</c:v>
                </c:pt>
                <c:pt idx="47" formatCode="General">
                  <c:v>-24.889818181818182</c:v>
                </c:pt>
                <c:pt idx="48" formatCode="General">
                  <c:v>-24.998577912254163</c:v>
                </c:pt>
                <c:pt idx="49" formatCode="General">
                  <c:v>-25.105083207261725</c:v>
                </c:pt>
                <c:pt idx="50" formatCode="General">
                  <c:v>-25.21158850226929</c:v>
                </c:pt>
                <c:pt idx="51" formatCode="General">
                  <c:v>-25.318093797276855</c:v>
                </c:pt>
                <c:pt idx="52" formatCode="General">
                  <c:v>-25.424599092284417</c:v>
                </c:pt>
                <c:pt idx="53" formatCode="General">
                  <c:v>-25.531104387291983</c:v>
                </c:pt>
                <c:pt idx="54" formatCode="General">
                  <c:v>-25.637609682299548</c:v>
                </c:pt>
                <c:pt idx="55" formatCode="General">
                  <c:v>-25.74411497730711</c:v>
                </c:pt>
                <c:pt idx="56" formatCode="General">
                  <c:v>-25.849924357034794</c:v>
                </c:pt>
                <c:pt idx="57" formatCode="General">
                  <c:v>-25.954009077155824</c:v>
                </c:pt>
                <c:pt idx="58" formatCode="General">
                  <c:v>-26.058093797276854</c:v>
                </c:pt>
                <c:pt idx="59" formatCode="General">
                  <c:v>-26.162178517397884</c:v>
                </c:pt>
                <c:pt idx="60" formatCode="General">
                  <c:v>-26.26626323751891</c:v>
                </c:pt>
                <c:pt idx="61" formatCode="General">
                  <c:v>-26.37034795763994</c:v>
                </c:pt>
                <c:pt idx="62" formatCode="General">
                  <c:v>-26.474432677760969</c:v>
                </c:pt>
                <c:pt idx="63" formatCode="General">
                  <c:v>-26.578517397881996</c:v>
                </c:pt>
                <c:pt idx="64" formatCode="General">
                  <c:v>-26.682666666666666</c:v>
                </c:pt>
                <c:pt idx="65" formatCode="General">
                  <c:v>-26.789333333333332</c:v>
                </c:pt>
                <c:pt idx="66" formatCode="General">
                  <c:v>-26.896000000000001</c:v>
                </c:pt>
                <c:pt idx="67" formatCode="General">
                  <c:v>-26.998000000000001</c:v>
                </c:pt>
                <c:pt idx="68" formatCode="General">
                  <c:v>-27.099818181818183</c:v>
                </c:pt>
                <c:pt idx="69" formatCode="General">
                  <c:v>-27.201636363636364</c:v>
                </c:pt>
                <c:pt idx="70" formatCode="General">
                  <c:v>-27.303454545454546</c:v>
                </c:pt>
                <c:pt idx="71" formatCode="General">
                  <c:v>-27.401212121212122</c:v>
                </c:pt>
                <c:pt idx="72" formatCode="General">
                  <c:v>-27.49818181818182</c:v>
                </c:pt>
                <c:pt idx="73" formatCode="General">
                  <c:v>-27.598433734939761</c:v>
                </c:pt>
                <c:pt idx="74" formatCode="General">
                  <c:v>-27.699638554216868</c:v>
                </c:pt>
                <c:pt idx="75" formatCode="General">
                  <c:v>-27.794484848484849</c:v>
                </c:pt>
                <c:pt idx="76" formatCode="General">
                  <c:v>-27.886606060606063</c:v>
                </c:pt>
                <c:pt idx="77" formatCode="General">
                  <c:v>-27.978727272727273</c:v>
                </c:pt>
                <c:pt idx="78" formatCode="General">
                  <c:v>-28.070848484848486</c:v>
                </c:pt>
                <c:pt idx="79" formatCode="General">
                  <c:v>-28.162969696969697</c:v>
                </c:pt>
                <c:pt idx="80" formatCode="General">
                  <c:v>-28.25509090909091</c:v>
                </c:pt>
                <c:pt idx="81" formatCode="General">
                  <c:v>-28.348381240544629</c:v>
                </c:pt>
                <c:pt idx="82" formatCode="General">
                  <c:v>-28.442783661119517</c:v>
                </c:pt>
                <c:pt idx="83" formatCode="General">
                  <c:v>-28.537186081694404</c:v>
                </c:pt>
                <c:pt idx="84" formatCode="General">
                  <c:v>-28.631588502269288</c:v>
                </c:pt>
                <c:pt idx="85" formatCode="General">
                  <c:v>-28.725990922844176</c:v>
                </c:pt>
                <c:pt idx="86" formatCode="General">
                  <c:v>-28.82039334341906</c:v>
                </c:pt>
                <c:pt idx="87" formatCode="General">
                  <c:v>-28.914795763993947</c:v>
                </c:pt>
                <c:pt idx="88" formatCode="General">
                  <c:v>-29.009198184568834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022F-4A2F-976F-7C3C2CD148C5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22F-4A2F-976F-7C3C2CD148C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2F-4A2F-976F-7C3C2CD14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2F-4A2F-976F-7C3C2CD148C5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22F-4A2F-976F-7C3C2CD148C5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022F-4A2F-976F-7C3C2CD148C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22F-4A2F-976F-7C3C2CD148C5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22F-4A2F-976F-7C3C2CD148C5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22F-4A2F-976F-7C3C2CD148C5}"/>
                  </c:ext>
                </c:extLst>
              </c15:ser>
            </c15:filteredScatterSeries>
            <c15:filteredScatterSeries>
              <c15:ser>
                <c:idx val="3"/>
                <c:order val="5"/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22F-4A2F-976F-7C3C2CD148C5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22F-4A2F-976F-7C3C2CD148C5}"/>
                  </c:ext>
                </c:extLst>
              </c15:ser>
            </c15:filteredScatterSeries>
            <c15:filteredScatterSeries>
              <c15:ser>
                <c:idx val="6"/>
                <c:order val="8"/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22F-4A2F-976F-7C3C2CD148C5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22F-4A2F-976F-7C3C2CD148C5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2F-4A2F-976F-7C3C2CD148C5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2F-4A2F-976F-7C3C2CD148C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22F-4A2F-976F-7C3C2CD148C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22F-4A2F-976F-7C3C2CD148C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22F-4A2F-976F-7C3C2CD148C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22F-4A2F-976F-7C3C2CD148C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22F-4A2F-976F-7C3C2CD148C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22F-4A2F-976F-7C3C2CD148C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22F-4A2F-976F-7C3C2CD148C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22F-4A2F-976F-7C3C2CD148C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22F-4A2F-976F-7C3C2CD148C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22F-4A2F-976F-7C3C2CD148C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22F-4A2F-976F-7C3C2CD148C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22F-4A2F-976F-7C3C2CD148C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22F-4A2F-976F-7C3C2CD148C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22F-4A2F-976F-7C3C2CD148C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22F-4A2F-976F-7C3C2CD148C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22F-4A2F-976F-7C3C2CD148C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22F-4A2F-976F-7C3C2CD148C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22F-4A2F-976F-7C3C2CD148C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22F-4A2F-976F-7C3C2CD148C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22F-4A2F-976F-7C3C2CD148C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22F-4A2F-976F-7C3C2CD148C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22F-4A2F-976F-7C3C2CD148C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22F-4A2F-976F-7C3C2CD148C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22F-4A2F-976F-7C3C2CD148C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22F-4A2F-976F-7C3C2CD148C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22F-4A2F-976F-7C3C2CD148C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22F-4A2F-976F-7C3C2CD148C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22F-4A2F-976F-7C3C2CD148C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22F-4A2F-976F-7C3C2CD148C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22F-4A2F-976F-7C3C2CD148C5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22F-4A2F-976F-7C3C2CD148C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22F-4A2F-976F-7C3C2CD148C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22F-4A2F-976F-7C3C2CD148C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22F-4A2F-976F-7C3C2CD148C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22F-4A2F-976F-7C3C2CD148C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22F-4A2F-976F-7C3C2CD148C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22F-4A2F-976F-7C3C2CD148C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22F-4A2F-976F-7C3C2CD148C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22F-4A2F-976F-7C3C2CD148C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22F-4A2F-976F-7C3C2CD148C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0-9729-4FC8-BC53-4E6B694307CE}"/>
              </c:ext>
            </c:extLst>
          </c:dPt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-38.031818181818181</c:v>
                </c:pt>
                <c:pt idx="1">
                  <c:v>-37.280303030303031</c:v>
                </c:pt>
                <c:pt idx="2">
                  <c:v>-36.528787878787881</c:v>
                </c:pt>
                <c:pt idx="3">
                  <c:v>-35.857636363636367</c:v>
                </c:pt>
                <c:pt idx="4" formatCode="General">
                  <c:v>-35.188545454545448</c:v>
                </c:pt>
                <c:pt idx="5" formatCode="General">
                  <c:v>-34.594666666666662</c:v>
                </c:pt>
                <c:pt idx="6" formatCode="General">
                  <c:v>-34.008000000000003</c:v>
                </c:pt>
                <c:pt idx="7" formatCode="General">
                  <c:v>-33.466666666666669</c:v>
                </c:pt>
                <c:pt idx="8" formatCode="General">
                  <c:v>-32.93333333333333</c:v>
                </c:pt>
                <c:pt idx="9" formatCode="General">
                  <c:v>-32.444277108433738</c:v>
                </c:pt>
                <c:pt idx="10" formatCode="General">
                  <c:v>-31.967168674698797</c:v>
                </c:pt>
                <c:pt idx="11" formatCode="General">
                  <c:v>-31.526000000000003</c:v>
                </c:pt>
                <c:pt idx="12" formatCode="General">
                  <c:v>-31.099333333333337</c:v>
                </c:pt>
                <c:pt idx="13" formatCode="General">
                  <c:v>-30.693151515151516</c:v>
                </c:pt>
                <c:pt idx="14" formatCode="General">
                  <c:v>-30.297999999999998</c:v>
                </c:pt>
                <c:pt idx="15" formatCode="General">
                  <c:v>-29.951906202723144</c:v>
                </c:pt>
                <c:pt idx="16" formatCode="General">
                  <c:v>-29.640257186081694</c:v>
                </c:pt>
                <c:pt idx="17" formatCode="General">
                  <c:v>-29.328608169440241</c:v>
                </c:pt>
                <c:pt idx="18" formatCode="General">
                  <c:v>-29.016959152798787</c:v>
                </c:pt>
                <c:pt idx="19" formatCode="General">
                  <c:v>-28.705310136157337</c:v>
                </c:pt>
                <c:pt idx="20" formatCode="General">
                  <c:v>-28.393661119515883</c:v>
                </c:pt>
                <c:pt idx="21" formatCode="General">
                  <c:v>-28.08201210287443</c:v>
                </c:pt>
                <c:pt idx="22" formatCode="General">
                  <c:v>-27.77036308623298</c:v>
                </c:pt>
                <c:pt idx="23" formatCode="General">
                  <c:v>-27.479006060606057</c:v>
                </c:pt>
                <c:pt idx="24" formatCode="General">
                  <c:v>-27.229793939393939</c:v>
                </c:pt>
                <c:pt idx="25" formatCode="General">
                  <c:v>-26.985799999999998</c:v>
                </c:pt>
                <c:pt idx="26" formatCode="General">
                  <c:v>-26.756466666666665</c:v>
                </c:pt>
                <c:pt idx="27" formatCode="General">
                  <c:v>-26.554769696969696</c:v>
                </c:pt>
                <c:pt idx="28" formatCode="General">
                  <c:v>-26.46361818181818</c:v>
                </c:pt>
                <c:pt idx="29" formatCode="General">
                  <c:v>-26.40355421686747</c:v>
                </c:pt>
                <c:pt idx="30" formatCode="General">
                  <c:v>-26.538493975903616</c:v>
                </c:pt>
                <c:pt idx="31" formatCode="General">
                  <c:v>-26.673575757575762</c:v>
                </c:pt>
                <c:pt idx="32" formatCode="General">
                  <c:v>-26.810787878787881</c:v>
                </c:pt>
                <c:pt idx="33" formatCode="General">
                  <c:v>-26.948</c:v>
                </c:pt>
                <c:pt idx="34" formatCode="General">
                  <c:v>-27.085212121212123</c:v>
                </c:pt>
                <c:pt idx="35" formatCode="General">
                  <c:v>-27.222424242424243</c:v>
                </c:pt>
                <c:pt idx="36" formatCode="General">
                  <c:v>-27.359636363636366</c:v>
                </c:pt>
                <c:pt idx="37" formatCode="General">
                  <c:v>-27.496848484848485</c:v>
                </c:pt>
                <c:pt idx="38" formatCode="General">
                  <c:v>-27.634060606060608</c:v>
                </c:pt>
                <c:pt idx="39" formatCode="General">
                  <c:v>-27.771272727272727</c:v>
                </c:pt>
                <c:pt idx="40" formatCode="General">
                  <c:v>-27.904579425113464</c:v>
                </c:pt>
                <c:pt idx="41" formatCode="General">
                  <c:v>-28.036984871406958</c:v>
                </c:pt>
                <c:pt idx="42" formatCode="General">
                  <c:v>-28.169390317700454</c:v>
                </c:pt>
                <c:pt idx="43" formatCode="General">
                  <c:v>-28.301795763993947</c:v>
                </c:pt>
                <c:pt idx="44" formatCode="General">
                  <c:v>-28.434201210287441</c:v>
                </c:pt>
                <c:pt idx="45" formatCode="General">
                  <c:v>-28.566606656580937</c:v>
                </c:pt>
                <c:pt idx="46" formatCode="General">
                  <c:v>-28.69901210287443</c:v>
                </c:pt>
                <c:pt idx="47" formatCode="General">
                  <c:v>-28.831417549167924</c:v>
                </c:pt>
                <c:pt idx="48" formatCode="General">
                  <c:v>-28.96169288956127</c:v>
                </c:pt>
                <c:pt idx="49" formatCode="General">
                  <c:v>-29.090225416036308</c:v>
                </c:pt>
                <c:pt idx="50" formatCode="General">
                  <c:v>-29.218757942511346</c:v>
                </c:pt>
                <c:pt idx="51" formatCode="General">
                  <c:v>-29.347290468986383</c:v>
                </c:pt>
                <c:pt idx="52" formatCode="General">
                  <c:v>-29.475822995461421</c:v>
                </c:pt>
                <c:pt idx="53" formatCode="General">
                  <c:v>-29.604355521936458</c:v>
                </c:pt>
                <c:pt idx="54" formatCode="General">
                  <c:v>-29.732888048411496</c:v>
                </c:pt>
                <c:pt idx="55" formatCode="General">
                  <c:v>-29.861420574886534</c:v>
                </c:pt>
                <c:pt idx="56" formatCode="General">
                  <c:v>-29.989242424242423</c:v>
                </c:pt>
                <c:pt idx="57" formatCode="General">
                  <c:v>-30.115303030303028</c:v>
                </c:pt>
                <c:pt idx="58" formatCode="General">
                  <c:v>-30.241254545454545</c:v>
                </c:pt>
                <c:pt idx="59" formatCode="General">
                  <c:v>-30.366830303030305</c:v>
                </c:pt>
                <c:pt idx="60" formatCode="General">
                  <c:v>-30.491696969696971</c:v>
                </c:pt>
                <c:pt idx="61" formatCode="General">
                  <c:v>-30.612909090909092</c:v>
                </c:pt>
                <c:pt idx="62" formatCode="General">
                  <c:v>-30.734481927710846</c:v>
                </c:pt>
                <c:pt idx="63" formatCode="General">
                  <c:v>-30.859301204819278</c:v>
                </c:pt>
                <c:pt idx="64" formatCode="General">
                  <c:v>-30.984018181818183</c:v>
                </c:pt>
                <c:pt idx="65" formatCode="General">
                  <c:v>-31.104745454545455</c:v>
                </c:pt>
                <c:pt idx="66" formatCode="General">
                  <c:v>-31.225472727272727</c:v>
                </c:pt>
                <c:pt idx="67" formatCode="General">
                  <c:v>-31.345733333333335</c:v>
                </c:pt>
                <c:pt idx="68" formatCode="General">
                  <c:v>-31.465975757575759</c:v>
                </c:pt>
                <c:pt idx="69" formatCode="General">
                  <c:v>-31.586654545454547</c:v>
                </c:pt>
                <c:pt idx="70" formatCode="General">
                  <c:v>-31.707381818181815</c:v>
                </c:pt>
                <c:pt idx="71" formatCode="General">
                  <c:v>-31.827703030303031</c:v>
                </c:pt>
                <c:pt idx="72" formatCode="General">
                  <c:v>-31.947945454545454</c:v>
                </c:pt>
                <c:pt idx="73" formatCode="General">
                  <c:v>-32.064951588502268</c:v>
                </c:pt>
                <c:pt idx="74" formatCode="General">
                  <c:v>-32.181018154311651</c:v>
                </c:pt>
                <c:pt idx="75" formatCode="General">
                  <c:v>-32.297084720121028</c:v>
                </c:pt>
                <c:pt idx="76" formatCode="General">
                  <c:v>-32.413151285930411</c:v>
                </c:pt>
                <c:pt idx="77" formatCode="General">
                  <c:v>-32.529217851739787</c:v>
                </c:pt>
                <c:pt idx="78" formatCode="General">
                  <c:v>-32.645284417549163</c:v>
                </c:pt>
                <c:pt idx="79" formatCode="General">
                  <c:v>-32.761350983358547</c:v>
                </c:pt>
                <c:pt idx="80" formatCode="General">
                  <c:v>-32.877417549167923</c:v>
                </c:pt>
                <c:pt idx="81" formatCode="General">
                  <c:v>-32.991995461422086</c:v>
                </c:pt>
                <c:pt idx="82" formatCode="General">
                  <c:v>-33.105157337367622</c:v>
                </c:pt>
                <c:pt idx="83" formatCode="General">
                  <c:v>-33.218319213313158</c:v>
                </c:pt>
                <c:pt idx="84" formatCode="General">
                  <c:v>-33.331481089258695</c:v>
                </c:pt>
                <c:pt idx="85" formatCode="General">
                  <c:v>-33.444642965204238</c:v>
                </c:pt>
                <c:pt idx="86" formatCode="General">
                  <c:v>-33.557804841149775</c:v>
                </c:pt>
                <c:pt idx="87" formatCode="General">
                  <c:v>-33.670966717095311</c:v>
                </c:pt>
                <c:pt idx="88" formatCode="General">
                  <c:v>-33.784128593040847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9-4FC8-BC53-4E6B694307CE}"/>
            </c:ext>
          </c:extLst>
        </c:ser>
        <c:ser>
          <c:idx val="38"/>
          <c:order val="40"/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-38.740909090909085</c:v>
                </c:pt>
                <c:pt idx="1">
                  <c:v>-37.965151515151511</c:v>
                </c:pt>
                <c:pt idx="2">
                  <c:v>-37.189393939393938</c:v>
                </c:pt>
                <c:pt idx="3">
                  <c:v>-36.494</c:v>
                </c:pt>
                <c:pt idx="4" formatCode="General">
                  <c:v>-35.800666666666665</c:v>
                </c:pt>
                <c:pt idx="5" formatCode="General">
                  <c:v>-35.169272727272727</c:v>
                </c:pt>
                <c:pt idx="6" formatCode="General">
                  <c:v>-34.543818181818182</c:v>
                </c:pt>
                <c:pt idx="7" formatCode="General">
                  <c:v>-34.055579425113464</c:v>
                </c:pt>
                <c:pt idx="8" formatCode="General">
                  <c:v>-33.591555219364601</c:v>
                </c:pt>
                <c:pt idx="9" formatCode="General">
                  <c:v>-33.127531013615737</c:v>
                </c:pt>
                <c:pt idx="10" formatCode="General">
                  <c:v>-32.663506807866867</c:v>
                </c:pt>
                <c:pt idx="11" formatCode="General">
                  <c:v>-32.199482602118003</c:v>
                </c:pt>
                <c:pt idx="12" formatCode="General">
                  <c:v>-31.73545839636914</c:v>
                </c:pt>
                <c:pt idx="13" formatCode="General">
                  <c:v>-31.271434190620273</c:v>
                </c:pt>
                <c:pt idx="14" formatCode="General">
                  <c:v>-30.807409984871406</c:v>
                </c:pt>
                <c:pt idx="15" formatCode="General">
                  <c:v>-30.419739393939395</c:v>
                </c:pt>
                <c:pt idx="16" formatCode="General">
                  <c:v>-30.085678787878788</c:v>
                </c:pt>
                <c:pt idx="17" formatCode="General">
                  <c:v>-29.783690909090911</c:v>
                </c:pt>
                <c:pt idx="18" formatCode="General">
                  <c:v>-29.510721212121211</c:v>
                </c:pt>
                <c:pt idx="19" formatCode="General">
                  <c:v>-29.269271084337351</c:v>
                </c:pt>
                <c:pt idx="20" formatCode="General">
                  <c:v>-29.064451807228917</c:v>
                </c:pt>
                <c:pt idx="21" formatCode="General">
                  <c:v>-28.888460606060605</c:v>
                </c:pt>
                <c:pt idx="22" formatCode="General">
                  <c:v>-28.758036363636364</c:v>
                </c:pt>
                <c:pt idx="23" formatCode="General">
                  <c:v>-28.652193939393939</c:v>
                </c:pt>
                <c:pt idx="24" formatCode="General">
                  <c:v>-28.597406060606062</c:v>
                </c:pt>
                <c:pt idx="25" formatCode="General">
                  <c:v>-28.560945454545454</c:v>
                </c:pt>
                <c:pt idx="26" formatCode="General">
                  <c:v>-28.575975757575755</c:v>
                </c:pt>
                <c:pt idx="27" formatCode="General">
                  <c:v>-28.601769696969694</c:v>
                </c:pt>
                <c:pt idx="28" formatCode="General">
                  <c:v>-28.670618181818181</c:v>
                </c:pt>
                <c:pt idx="29" formatCode="General">
                  <c:v>-28.743385542168674</c:v>
                </c:pt>
                <c:pt idx="30" formatCode="General">
                  <c:v>-28.840734939759034</c:v>
                </c:pt>
                <c:pt idx="31" formatCode="General">
                  <c:v>-28.939242424242423</c:v>
                </c:pt>
                <c:pt idx="32" formatCode="General">
                  <c:v>-29.055121212121211</c:v>
                </c:pt>
                <c:pt idx="33" formatCode="General">
                  <c:v>-29.170999999999999</c:v>
                </c:pt>
                <c:pt idx="34" formatCode="General">
                  <c:v>-29.294636363636364</c:v>
                </c:pt>
                <c:pt idx="35" formatCode="General">
                  <c:v>-29.418272727272726</c:v>
                </c:pt>
                <c:pt idx="36" formatCode="General">
                  <c:v>-29.549636363636363</c:v>
                </c:pt>
                <c:pt idx="37" formatCode="General">
                  <c:v>-29.681515151515153</c:v>
                </c:pt>
                <c:pt idx="38" formatCode="General">
                  <c:v>-29.81127272727273</c:v>
                </c:pt>
                <c:pt idx="39" formatCode="General">
                  <c:v>-29.940727272727276</c:v>
                </c:pt>
                <c:pt idx="40" formatCode="General">
                  <c:v>-30.073855421686751</c:v>
                </c:pt>
                <c:pt idx="41" formatCode="General">
                  <c:v>-30.207831325301207</c:v>
                </c:pt>
                <c:pt idx="42" formatCode="General">
                  <c:v>-30.339545454545455</c:v>
                </c:pt>
                <c:pt idx="43" formatCode="General">
                  <c:v>-30.470454545454547</c:v>
                </c:pt>
                <c:pt idx="44" formatCode="General">
                  <c:v>-30.601690909090909</c:v>
                </c:pt>
                <c:pt idx="45" formatCode="General">
                  <c:v>-30.733084848484847</c:v>
                </c:pt>
                <c:pt idx="46" formatCode="General">
                  <c:v>-30.865369696969697</c:v>
                </c:pt>
                <c:pt idx="47" formatCode="General">
                  <c:v>-30.998218181818181</c:v>
                </c:pt>
                <c:pt idx="48" formatCode="General">
                  <c:v>-31.130822995461422</c:v>
                </c:pt>
                <c:pt idx="49" formatCode="General">
                  <c:v>-31.263228441754915</c:v>
                </c:pt>
                <c:pt idx="50" formatCode="General">
                  <c:v>-31.395633888048412</c:v>
                </c:pt>
                <c:pt idx="51" formatCode="General">
                  <c:v>-31.528039334341905</c:v>
                </c:pt>
                <c:pt idx="52" formatCode="General">
                  <c:v>-31.660444780635402</c:v>
                </c:pt>
                <c:pt idx="53" formatCode="General">
                  <c:v>-31.792850226928895</c:v>
                </c:pt>
                <c:pt idx="54" formatCode="General">
                  <c:v>-31.925255673222392</c:v>
                </c:pt>
                <c:pt idx="55" formatCode="General">
                  <c:v>-32.057661119515885</c:v>
                </c:pt>
                <c:pt idx="56" formatCode="General">
                  <c:v>-32.188048411497732</c:v>
                </c:pt>
                <c:pt idx="57" formatCode="General">
                  <c:v>-32.313434190620271</c:v>
                </c:pt>
                <c:pt idx="58" formatCode="General">
                  <c:v>-32.438819969742816</c:v>
                </c:pt>
                <c:pt idx="59" formatCode="General">
                  <c:v>-32.564205748865355</c:v>
                </c:pt>
                <c:pt idx="60" formatCode="General">
                  <c:v>-32.689591527987901</c:v>
                </c:pt>
                <c:pt idx="61" formatCode="General">
                  <c:v>-32.814977307110439</c:v>
                </c:pt>
                <c:pt idx="62" formatCode="General">
                  <c:v>-32.940363086232985</c:v>
                </c:pt>
                <c:pt idx="63" formatCode="General">
                  <c:v>-33.065748865355523</c:v>
                </c:pt>
                <c:pt idx="64" formatCode="General">
                  <c:v>-33.191187878787879</c:v>
                </c:pt>
                <c:pt idx="65" formatCode="General">
                  <c:v>-33.318703030303034</c:v>
                </c:pt>
                <c:pt idx="66" formatCode="General">
                  <c:v>-33.446218181818182</c:v>
                </c:pt>
                <c:pt idx="67" formatCode="General">
                  <c:v>-33.569066666666664</c:v>
                </c:pt>
                <c:pt idx="68" formatCode="General">
                  <c:v>-33.691733333333332</c:v>
                </c:pt>
                <c:pt idx="69" formatCode="General">
                  <c:v>-33.813963636363638</c:v>
                </c:pt>
                <c:pt idx="70" formatCode="General">
                  <c:v>-33.936145454545461</c:v>
                </c:pt>
                <c:pt idx="71" formatCode="General">
                  <c:v>-34.05426666666667</c:v>
                </c:pt>
                <c:pt idx="72" formatCode="General">
                  <c:v>-34.171599999999998</c:v>
                </c:pt>
                <c:pt idx="73" formatCode="General">
                  <c:v>-34.291746987951811</c:v>
                </c:pt>
                <c:pt idx="74" formatCode="General">
                  <c:v>-34.412710843373496</c:v>
                </c:pt>
                <c:pt idx="75" formatCode="General">
                  <c:v>-34.524345454545454</c:v>
                </c:pt>
                <c:pt idx="76" formatCode="General">
                  <c:v>-34.631981818181821</c:v>
                </c:pt>
                <c:pt idx="77" formatCode="General">
                  <c:v>-34.739927272727272</c:v>
                </c:pt>
                <c:pt idx="78" formatCode="General">
                  <c:v>-34.848048484848483</c:v>
                </c:pt>
                <c:pt idx="79" formatCode="General">
                  <c:v>-34.956169696969695</c:v>
                </c:pt>
                <c:pt idx="80" formatCode="General">
                  <c:v>-35.064290909090914</c:v>
                </c:pt>
                <c:pt idx="81" formatCode="General">
                  <c:v>-35.173878971255675</c:v>
                </c:pt>
                <c:pt idx="82" formatCode="General">
                  <c:v>-35.284862329803332</c:v>
                </c:pt>
                <c:pt idx="83" formatCode="General">
                  <c:v>-35.395845688350988</c:v>
                </c:pt>
                <c:pt idx="84" formatCode="General">
                  <c:v>-35.506829046898638</c:v>
                </c:pt>
                <c:pt idx="85" formatCode="General">
                  <c:v>-35.617812405446294</c:v>
                </c:pt>
                <c:pt idx="86" formatCode="General">
                  <c:v>-35.728795763993951</c:v>
                </c:pt>
                <c:pt idx="87" formatCode="General">
                  <c:v>-35.839779122541607</c:v>
                </c:pt>
                <c:pt idx="88" formatCode="General">
                  <c:v>-35.950762481089257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9729-4FC8-BC53-4E6B694307CE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9-4FC8-BC53-4E6B6943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9729-4FC8-BC53-4E6B694307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729-4FC8-BC53-4E6B694307CE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729-4FC8-BC53-4E6B694307CE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729-4FC8-BC53-4E6B694307CE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729-4FC8-BC53-4E6B694307CE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729-4FC8-BC53-4E6B694307CE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729-4FC8-BC53-4E6B694307CE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729-4FC8-BC53-4E6B694307CE}"/>
                  </c:ext>
                </c:extLst>
              </c15:ser>
            </c15:filteredScatterSeries>
            <c15:filteredScatterSeries>
              <c15:ser>
                <c:idx val="7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729-4FC8-BC53-4E6B694307CE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729-4FC8-BC53-4E6B694307CE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729-4FC8-BC53-4E6B694307C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729-4FC8-BC53-4E6B694307C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729-4FC8-BC53-4E6B694307C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729-4FC8-BC53-4E6B694307C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729-4FC8-BC53-4E6B694307C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729-4FC8-BC53-4E6B694307C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729-4FC8-BC53-4E6B694307C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729-4FC8-BC53-4E6B694307C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729-4FC8-BC53-4E6B694307C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729-4FC8-BC53-4E6B694307C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729-4FC8-BC53-4E6B694307C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729-4FC8-BC53-4E6B694307C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729-4FC8-BC53-4E6B694307C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729-4FC8-BC53-4E6B694307C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729-4FC8-BC53-4E6B694307C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729-4FC8-BC53-4E6B694307C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729-4FC8-BC53-4E6B694307C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729-4FC8-BC53-4E6B694307C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729-4FC8-BC53-4E6B694307C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729-4FC8-BC53-4E6B694307C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729-4FC8-BC53-4E6B694307C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729-4FC8-BC53-4E6B694307C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729-4FC8-BC53-4E6B694307C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729-4FC8-BC53-4E6B694307C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729-4FC8-BC53-4E6B694307C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729-4FC8-BC53-4E6B694307C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29-4FC8-BC53-4E6B694307C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729-4FC8-BC53-4E6B694307C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729-4FC8-BC53-4E6B694307CE}"/>
                  </c:ext>
                </c:extLst>
              </c15:ser>
            </c15:filteredScatterSeries>
            <c15:filteredScatterSeries>
              <c15:ser>
                <c:idx val="40"/>
                <c:order val="41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729-4FC8-BC53-4E6B694307C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729-4FC8-BC53-4E6B694307C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729-4FC8-BC53-4E6B694307C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729-4FC8-BC53-4E6B694307C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729-4FC8-BC53-4E6B694307C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729-4FC8-BC53-4E6B694307C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729-4FC8-BC53-4E6B694307C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729-4FC8-BC53-4E6B694307C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729-4FC8-BC53-4E6B694307C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729-4FC8-BC53-4E6B694307C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729-4FC8-BC53-4E6B694307C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729-4FC8-BC53-4E6B694307C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729-4FC8-BC53-4E6B694307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-60.423818181818177</c:v>
                </c:pt>
                <c:pt idx="1">
                  <c:v>-59.19230303030303</c:v>
                </c:pt>
                <c:pt idx="2">
                  <c:v>-57.960787878787883</c:v>
                </c:pt>
                <c:pt idx="3">
                  <c:v>-56.861636363636364</c:v>
                </c:pt>
                <c:pt idx="4" formatCode="General">
                  <c:v>-55.76587878787879</c:v>
                </c:pt>
                <c:pt idx="5" formatCode="General">
                  <c:v>-54.789575757575761</c:v>
                </c:pt>
                <c:pt idx="6" formatCode="General">
                  <c:v>-53.82472727272728</c:v>
                </c:pt>
                <c:pt idx="7" formatCode="General">
                  <c:v>-53.239030303030304</c:v>
                </c:pt>
                <c:pt idx="8" formatCode="General">
                  <c:v>-52.720242424242421</c:v>
                </c:pt>
                <c:pt idx="9" formatCode="General">
                  <c:v>-52.32536144578313</c:v>
                </c:pt>
                <c:pt idx="10" formatCode="General">
                  <c:v>-51.963915662650599</c:v>
                </c:pt>
                <c:pt idx="11" formatCode="General">
                  <c:v>-51.64236363636364</c:v>
                </c:pt>
                <c:pt idx="12" formatCode="General">
                  <c:v>-51.336909090909096</c:v>
                </c:pt>
                <c:pt idx="13" formatCode="General">
                  <c:v>-51.048787878787884</c:v>
                </c:pt>
                <c:pt idx="14" formatCode="General">
                  <c:v>-50.77</c:v>
                </c:pt>
                <c:pt idx="15" formatCode="General">
                  <c:v>-50.543010590015129</c:v>
                </c:pt>
                <c:pt idx="16" formatCode="General">
                  <c:v>-50.352390317700454</c:v>
                </c:pt>
                <c:pt idx="17" formatCode="General">
                  <c:v>-50.161770045385779</c:v>
                </c:pt>
                <c:pt idx="18" formatCode="General">
                  <c:v>-49.971149773071105</c:v>
                </c:pt>
                <c:pt idx="19" formatCode="General">
                  <c:v>-49.78052950075643</c:v>
                </c:pt>
                <c:pt idx="20" formatCode="General">
                  <c:v>-49.589909228441755</c:v>
                </c:pt>
                <c:pt idx="21" formatCode="General">
                  <c:v>-49.39928895612708</c:v>
                </c:pt>
                <c:pt idx="22" formatCode="General">
                  <c:v>-49.208668683812405</c:v>
                </c:pt>
                <c:pt idx="23" formatCode="General">
                  <c:v>-49.038399999999996</c:v>
                </c:pt>
                <c:pt idx="24" formatCode="General">
                  <c:v>-48.910400000000003</c:v>
                </c:pt>
                <c:pt idx="25" formatCode="General">
                  <c:v>-48.787618181818182</c:v>
                </c:pt>
                <c:pt idx="26" formatCode="General">
                  <c:v>-48.67949696969697</c:v>
                </c:pt>
                <c:pt idx="27" formatCode="General">
                  <c:v>-48.59901212121212</c:v>
                </c:pt>
                <c:pt idx="28" formatCode="General">
                  <c:v>-48.629072727272728</c:v>
                </c:pt>
                <c:pt idx="29" formatCode="General">
                  <c:v>-48.689457831325306</c:v>
                </c:pt>
                <c:pt idx="30" formatCode="General">
                  <c:v>-48.940060240963859</c:v>
                </c:pt>
                <c:pt idx="31" formatCode="General">
                  <c:v>-49.190924242424245</c:v>
                </c:pt>
                <c:pt idx="32" formatCode="General">
                  <c:v>-49.445712121212125</c:v>
                </c:pt>
                <c:pt idx="33" formatCode="General">
                  <c:v>-49.700500000000005</c:v>
                </c:pt>
                <c:pt idx="34" formatCode="General">
                  <c:v>-49.955287878787885</c:v>
                </c:pt>
                <c:pt idx="35" formatCode="General">
                  <c:v>-50.210075757575758</c:v>
                </c:pt>
                <c:pt idx="36" formatCode="General">
                  <c:v>-50.464863636363638</c:v>
                </c:pt>
                <c:pt idx="37" formatCode="General">
                  <c:v>-50.719651515151519</c:v>
                </c:pt>
                <c:pt idx="38" formatCode="General">
                  <c:v>-50.974439393939399</c:v>
                </c:pt>
                <c:pt idx="39" formatCode="General">
                  <c:v>-51.229227272727272</c:v>
                </c:pt>
                <c:pt idx="40" formatCode="General">
                  <c:v>-51.476031770045388</c:v>
                </c:pt>
                <c:pt idx="41" formatCode="General">
                  <c:v>-51.720993948562786</c:v>
                </c:pt>
                <c:pt idx="42" formatCode="General">
                  <c:v>-51.965956127080183</c:v>
                </c:pt>
                <c:pt idx="43" formatCode="General">
                  <c:v>-52.210918305597581</c:v>
                </c:pt>
                <c:pt idx="44" formatCode="General">
                  <c:v>-52.455880484114978</c:v>
                </c:pt>
                <c:pt idx="45" formatCode="General">
                  <c:v>-52.700842662632375</c:v>
                </c:pt>
                <c:pt idx="46" formatCode="General">
                  <c:v>-52.945804841149773</c:v>
                </c:pt>
                <c:pt idx="47" formatCode="General">
                  <c:v>-53.19076701966717</c:v>
                </c:pt>
                <c:pt idx="48" formatCode="General">
                  <c:v>-53.431602118003028</c:v>
                </c:pt>
                <c:pt idx="49" formatCode="General">
                  <c:v>-53.669060514372163</c:v>
                </c:pt>
                <c:pt idx="50" formatCode="General">
                  <c:v>-53.906518910741298</c:v>
                </c:pt>
                <c:pt idx="51" formatCode="General">
                  <c:v>-54.14397730711044</c:v>
                </c:pt>
                <c:pt idx="52" formatCode="General">
                  <c:v>-54.381435703479575</c:v>
                </c:pt>
                <c:pt idx="53" formatCode="General">
                  <c:v>-54.61889409984871</c:v>
                </c:pt>
                <c:pt idx="54" formatCode="General">
                  <c:v>-54.856352496217852</c:v>
                </c:pt>
                <c:pt idx="55" formatCode="General">
                  <c:v>-55.093810892586987</c:v>
                </c:pt>
                <c:pt idx="56" formatCode="General">
                  <c:v>-55.329909090909091</c:v>
                </c:pt>
                <c:pt idx="57" formatCode="General">
                  <c:v>-55.562636363636365</c:v>
                </c:pt>
                <c:pt idx="58" formatCode="General">
                  <c:v>-55.795254545454547</c:v>
                </c:pt>
                <c:pt idx="59" formatCode="General">
                  <c:v>-56.027496969696969</c:v>
                </c:pt>
                <c:pt idx="60" formatCode="General">
                  <c:v>-56.258242424242425</c:v>
                </c:pt>
                <c:pt idx="61" formatCode="General">
                  <c:v>-56.481272727272724</c:v>
                </c:pt>
                <c:pt idx="62" formatCode="General">
                  <c:v>-56.705084337349398</c:v>
                </c:pt>
                <c:pt idx="63" formatCode="General">
                  <c:v>-56.935927710843373</c:v>
                </c:pt>
                <c:pt idx="64" formatCode="General">
                  <c:v>-57.166563636363641</c:v>
                </c:pt>
                <c:pt idx="65" formatCode="General">
                  <c:v>-57.389109090909095</c:v>
                </c:pt>
                <c:pt idx="66" formatCode="General">
                  <c:v>-57.611654545454549</c:v>
                </c:pt>
                <c:pt idx="67" formatCode="General">
                  <c:v>-57.833733333333342</c:v>
                </c:pt>
                <c:pt idx="68" formatCode="General">
                  <c:v>-58.055793939393944</c:v>
                </c:pt>
                <c:pt idx="69" formatCode="General">
                  <c:v>-58.278290909090913</c:v>
                </c:pt>
                <c:pt idx="70" formatCode="General">
                  <c:v>-58.500836363636367</c:v>
                </c:pt>
                <c:pt idx="71" formatCode="General">
                  <c:v>-58.72297575757576</c:v>
                </c:pt>
                <c:pt idx="72" formatCode="General">
                  <c:v>-58.945036363636362</c:v>
                </c:pt>
                <c:pt idx="73" formatCode="General">
                  <c:v>-59.1609273827534</c:v>
                </c:pt>
                <c:pt idx="74" formatCode="General">
                  <c:v>-59.37502723146747</c:v>
                </c:pt>
                <c:pt idx="75" formatCode="General">
                  <c:v>-59.589127080181541</c:v>
                </c:pt>
                <c:pt idx="76" formatCode="General">
                  <c:v>-59.803226928895612</c:v>
                </c:pt>
                <c:pt idx="77" formatCode="General">
                  <c:v>-60.017326777609682</c:v>
                </c:pt>
                <c:pt idx="78" formatCode="General">
                  <c:v>-60.231426626323746</c:v>
                </c:pt>
                <c:pt idx="79" formatCode="General">
                  <c:v>-60.445526475037816</c:v>
                </c:pt>
                <c:pt idx="80" formatCode="General">
                  <c:v>-60.659626323751887</c:v>
                </c:pt>
                <c:pt idx="81" formatCode="General">
                  <c:v>-60.87099697428139</c:v>
                </c:pt>
                <c:pt idx="82" formatCode="General">
                  <c:v>-61.079771558245078</c:v>
                </c:pt>
                <c:pt idx="83" formatCode="General">
                  <c:v>-61.288546142208773</c:v>
                </c:pt>
                <c:pt idx="84" formatCode="General">
                  <c:v>-61.497320726172468</c:v>
                </c:pt>
                <c:pt idx="85" formatCode="General">
                  <c:v>-61.706095310136156</c:v>
                </c:pt>
                <c:pt idx="86" formatCode="General">
                  <c:v>-61.914869894099851</c:v>
                </c:pt>
                <c:pt idx="87" formatCode="General">
                  <c:v>-62.12364447806354</c:v>
                </c:pt>
                <c:pt idx="88" formatCode="General">
                  <c:v>-62.332419062027235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512-420D-849A-A4A865892EA1}"/>
            </c:ext>
          </c:extLst>
        </c:ser>
        <c:ser>
          <c:idx val="37"/>
          <c:order val="39"/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EVALUATION!$B$140:$CP$140</c:f>
              <c:numCache>
                <c:formatCode>0</c:formatCode>
                <c:ptCount val="93"/>
                <c:pt idx="0">
                  <c:v>-61.256727272727268</c:v>
                </c:pt>
                <c:pt idx="1">
                  <c:v>-60.102787878787879</c:v>
                </c:pt>
                <c:pt idx="2">
                  <c:v>-58.948848484848483</c:v>
                </c:pt>
                <c:pt idx="3">
                  <c:v>-58.021818181818183</c:v>
                </c:pt>
                <c:pt idx="4" formatCode="General">
                  <c:v>-57.100606060606061</c:v>
                </c:pt>
                <c:pt idx="5" formatCode="General">
                  <c:v>-56.365212121212124</c:v>
                </c:pt>
                <c:pt idx="6" formatCode="General">
                  <c:v>-55.647636363636359</c:v>
                </c:pt>
                <c:pt idx="7" formatCode="General">
                  <c:v>-55.20318910741301</c:v>
                </c:pt>
                <c:pt idx="8" formatCode="General">
                  <c:v>-54.806940998487143</c:v>
                </c:pt>
                <c:pt idx="9" formatCode="General">
                  <c:v>-54.410692889561268</c:v>
                </c:pt>
                <c:pt idx="10" formatCode="General">
                  <c:v>-54.014444780635401</c:v>
                </c:pt>
                <c:pt idx="11" formatCode="General">
                  <c:v>-53.618196671709526</c:v>
                </c:pt>
                <c:pt idx="12" formatCode="General">
                  <c:v>-53.221948562783659</c:v>
                </c:pt>
                <c:pt idx="13" formatCode="General">
                  <c:v>-52.825700453857792</c:v>
                </c:pt>
                <c:pt idx="14" formatCode="General">
                  <c:v>-52.429452344931917</c:v>
                </c:pt>
                <c:pt idx="15" formatCode="General">
                  <c:v>-52.126709090909088</c:v>
                </c:pt>
                <c:pt idx="16" formatCode="General">
                  <c:v>-51.889618181818186</c:v>
                </c:pt>
                <c:pt idx="17" formatCode="General">
                  <c:v>-51.679509090909093</c:v>
                </c:pt>
                <c:pt idx="18" formatCode="General">
                  <c:v>-51.493812121212123</c:v>
                </c:pt>
                <c:pt idx="19" formatCode="General">
                  <c:v>-51.332704819277112</c:v>
                </c:pt>
                <c:pt idx="20" formatCode="General">
                  <c:v>-51.20017469879518</c:v>
                </c:pt>
                <c:pt idx="21" formatCode="General">
                  <c:v>-51.094763636363638</c:v>
                </c:pt>
                <c:pt idx="22" formatCode="General">
                  <c:v>-51.03221818181818</c:v>
                </c:pt>
                <c:pt idx="23" formatCode="General">
                  <c:v>-50.995830303030303</c:v>
                </c:pt>
                <c:pt idx="24" formatCode="General">
                  <c:v>-51.013769696969696</c:v>
                </c:pt>
                <c:pt idx="25" formatCode="General">
                  <c:v>-51.053854545454548</c:v>
                </c:pt>
                <c:pt idx="26" formatCode="General">
                  <c:v>-51.156157575757575</c:v>
                </c:pt>
                <c:pt idx="27" formatCode="General">
                  <c:v>-51.272133333333336</c:v>
                </c:pt>
                <c:pt idx="28" formatCode="General">
                  <c:v>-51.442799999999998</c:v>
                </c:pt>
                <c:pt idx="29" formatCode="General">
                  <c:v>-51.617963855421685</c:v>
                </c:pt>
                <c:pt idx="30" formatCode="General">
                  <c:v>-51.821337349397588</c:v>
                </c:pt>
                <c:pt idx="31" formatCode="General">
                  <c:v>-52.026212121212119</c:v>
                </c:pt>
                <c:pt idx="32" formatCode="General">
                  <c:v>-52.25360606060606</c:v>
                </c:pt>
                <c:pt idx="33" formatCode="General">
                  <c:v>-52.480999999999995</c:v>
                </c:pt>
                <c:pt idx="34" formatCode="General">
                  <c:v>-52.716151515151516</c:v>
                </c:pt>
                <c:pt idx="35" formatCode="General">
                  <c:v>-52.951303030303031</c:v>
                </c:pt>
                <c:pt idx="36" formatCode="General">
                  <c:v>-53.198727272727275</c:v>
                </c:pt>
                <c:pt idx="37" formatCode="General">
                  <c:v>-53.446969696969695</c:v>
                </c:pt>
                <c:pt idx="38" formatCode="General">
                  <c:v>-53.688848484848485</c:v>
                </c:pt>
                <c:pt idx="39" formatCode="General">
                  <c:v>-53.929818181818185</c:v>
                </c:pt>
                <c:pt idx="40" formatCode="General">
                  <c:v>-54.177831325301206</c:v>
                </c:pt>
                <c:pt idx="41" formatCode="General">
                  <c:v>-54.427469879518071</c:v>
                </c:pt>
                <c:pt idx="42" formatCode="General">
                  <c:v>-54.671787878787882</c:v>
                </c:pt>
                <c:pt idx="43" formatCode="General">
                  <c:v>-54.914212121212124</c:v>
                </c:pt>
                <c:pt idx="44" formatCode="General">
                  <c:v>-55.156963636363635</c:v>
                </c:pt>
                <c:pt idx="45" formatCode="General">
                  <c:v>-55.399872727272729</c:v>
                </c:pt>
                <c:pt idx="46" formatCode="General">
                  <c:v>-55.64367272727273</c:v>
                </c:pt>
                <c:pt idx="47" formatCode="General">
                  <c:v>-55.888036363636367</c:v>
                </c:pt>
                <c:pt idx="48" formatCode="General">
                  <c:v>-56.129400907715585</c:v>
                </c:pt>
                <c:pt idx="49" formatCode="General">
                  <c:v>-56.368311649016647</c:v>
                </c:pt>
                <c:pt idx="50" formatCode="General">
                  <c:v>-56.607222390317702</c:v>
                </c:pt>
                <c:pt idx="51" formatCode="General">
                  <c:v>-56.846133131618764</c:v>
                </c:pt>
                <c:pt idx="52" formatCode="General">
                  <c:v>-57.085043872919819</c:v>
                </c:pt>
                <c:pt idx="53" formatCode="General">
                  <c:v>-57.323954614220881</c:v>
                </c:pt>
                <c:pt idx="54" formatCode="General">
                  <c:v>-57.562865355521936</c:v>
                </c:pt>
                <c:pt idx="55" formatCode="General">
                  <c:v>-57.801776096822998</c:v>
                </c:pt>
                <c:pt idx="56" formatCode="General">
                  <c:v>-58.037972768532526</c:v>
                </c:pt>
                <c:pt idx="57" formatCode="General">
                  <c:v>-58.267443267776095</c:v>
                </c:pt>
                <c:pt idx="58" formatCode="General">
                  <c:v>-58.49691376701967</c:v>
                </c:pt>
                <c:pt idx="59" formatCode="General">
                  <c:v>-58.726384266263238</c:v>
                </c:pt>
                <c:pt idx="60" formatCode="General">
                  <c:v>-58.955854765506807</c:v>
                </c:pt>
                <c:pt idx="61" formatCode="General">
                  <c:v>-59.185325264750382</c:v>
                </c:pt>
                <c:pt idx="62" formatCode="General">
                  <c:v>-59.414795763993951</c:v>
                </c:pt>
                <c:pt idx="63" formatCode="General">
                  <c:v>-59.644266263237519</c:v>
                </c:pt>
                <c:pt idx="64" formatCode="General">
                  <c:v>-59.873854545454549</c:v>
                </c:pt>
                <c:pt idx="65" formatCode="General">
                  <c:v>-60.108036363636366</c:v>
                </c:pt>
                <c:pt idx="66" formatCode="General">
                  <c:v>-60.342218181818183</c:v>
                </c:pt>
                <c:pt idx="67" formatCode="General">
                  <c:v>-60.567066666666669</c:v>
                </c:pt>
                <c:pt idx="68" formatCode="General">
                  <c:v>-60.791551515151518</c:v>
                </c:pt>
                <c:pt idx="69" formatCode="General">
                  <c:v>-61.015600000000006</c:v>
                </c:pt>
                <c:pt idx="70" formatCode="General">
                  <c:v>-61.239600000000003</c:v>
                </c:pt>
                <c:pt idx="71" formatCode="General">
                  <c:v>-61.455478787878789</c:v>
                </c:pt>
                <c:pt idx="72" formatCode="General">
                  <c:v>-61.669781818181818</c:v>
                </c:pt>
                <c:pt idx="73" formatCode="General">
                  <c:v>-61.890180722891564</c:v>
                </c:pt>
                <c:pt idx="74" formatCode="General">
                  <c:v>-62.112349397590364</c:v>
                </c:pt>
                <c:pt idx="75" formatCode="General">
                  <c:v>-62.318830303030303</c:v>
                </c:pt>
                <c:pt idx="76" formatCode="General">
                  <c:v>-62.518587878787883</c:v>
                </c:pt>
                <c:pt idx="77" formatCode="General">
                  <c:v>-62.718654545454548</c:v>
                </c:pt>
                <c:pt idx="78" formatCode="General">
                  <c:v>-62.918896969696966</c:v>
                </c:pt>
                <c:pt idx="79" formatCode="General">
                  <c:v>-63.119139393939392</c:v>
                </c:pt>
                <c:pt idx="80" formatCode="General">
                  <c:v>-63.319381818181817</c:v>
                </c:pt>
                <c:pt idx="81" formatCode="General">
                  <c:v>-63.522260211800301</c:v>
                </c:pt>
                <c:pt idx="82" formatCode="General">
                  <c:v>-63.727645990922845</c:v>
                </c:pt>
                <c:pt idx="83" formatCode="General">
                  <c:v>-63.933031770045382</c:v>
                </c:pt>
                <c:pt idx="84" formatCode="General">
                  <c:v>-64.138417549167926</c:v>
                </c:pt>
                <c:pt idx="85" formatCode="General">
                  <c:v>-64.343803328290463</c:v>
                </c:pt>
                <c:pt idx="86" formatCode="General">
                  <c:v>-64.549189107413</c:v>
                </c:pt>
                <c:pt idx="87" formatCode="General">
                  <c:v>-64.754574886535551</c:v>
                </c:pt>
                <c:pt idx="88" formatCode="General">
                  <c:v>-64.959960665658087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3512-420D-849A-A4A865892EA1}"/>
            </c:ext>
          </c:extLst>
        </c:ser>
        <c:ser>
          <c:idx val="53"/>
          <c:order val="54"/>
          <c:tx>
            <c:v>temp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3512-420D-849A-A4A865892EA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12-420D-849A-A4A86589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12-420D-849A-A4A865892EA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12-420D-849A-A4A865892EA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12-420D-849A-A4A865892EA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12-420D-849A-A4A865892EA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12-420D-849A-A4A865892EA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12-420D-849A-A4A865892EA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12-420D-849A-A4A865892EA1}"/>
                  </c:ext>
                </c:extLst>
              </c15:ser>
            </c15:filteredScatterSeries>
            <c15:filteredScatterSeries>
              <c15:ser>
                <c:idx val="4"/>
                <c:order val="6"/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512-420D-849A-A4A865892EA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12-420D-849A-A4A865892EA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12-420D-849A-A4A865892EA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12-420D-849A-A4A865892EA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12-420D-849A-A4A865892EA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12-420D-849A-A4A865892EA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12-420D-849A-A4A865892EA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12-420D-849A-A4A865892EA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12-420D-849A-A4A865892EA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12-420D-849A-A4A865892EA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12-420D-849A-A4A865892EA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12-420D-849A-A4A865892EA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12-420D-849A-A4A865892EA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12-420D-849A-A4A865892EA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12-420D-849A-A4A865892EA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12-420D-849A-A4A865892EA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12-420D-849A-A4A865892EA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12-420D-849A-A4A865892EA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12-420D-849A-A4A865892EA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12-420D-849A-A4A865892EA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12-420D-849A-A4A865892EA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12-420D-849A-A4A865892EA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12-420D-849A-A4A865892EA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12-420D-849A-A4A865892EA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12-420D-849A-A4A865892EA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12-420D-849A-A4A865892EA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12-420D-849A-A4A865892EA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12-420D-849A-A4A865892EA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12-420D-849A-A4A865892EA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12-420D-849A-A4A865892EA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12-420D-849A-A4A865892EA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12-420D-849A-A4A865892EA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12-420D-849A-A4A865892EA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12-420D-849A-A4A865892EA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12-420D-849A-A4A865892EA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12-420D-849A-A4A865892EA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12-420D-849A-A4A865892EA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512-420D-849A-A4A865892EA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12-420D-849A-A4A865892EA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12-420D-849A-A4A865892EA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12-420D-849A-A4A865892EA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12-420D-849A-A4A865892EA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12-420D-849A-A4A865892EA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12-420D-849A-A4A865892EA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12-420D-849A-A4A865892EA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12-420D-849A-A4A865892EA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6"/>
          <c:order val="8"/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EVALUATION!$B$109:$CP$109</c:f>
              <c:numCache>
                <c:formatCode>0</c:formatCode>
                <c:ptCount val="93"/>
                <c:pt idx="0">
                  <c:v>-193.62327272727273</c:v>
                </c:pt>
                <c:pt idx="1">
                  <c:v>-189.17721212121214</c:v>
                </c:pt>
                <c:pt idx="2">
                  <c:v>-184.73115151515151</c:v>
                </c:pt>
                <c:pt idx="3">
                  <c:v>-180.74363636363634</c:v>
                </c:pt>
                <c:pt idx="4" formatCode="General">
                  <c:v>-176.76787878787877</c:v>
                </c:pt>
                <c:pt idx="5" formatCode="General">
                  <c:v>-173.18145454545453</c:v>
                </c:pt>
                <c:pt idx="6" formatCode="General">
                  <c:v>-169.63236363636364</c:v>
                </c:pt>
                <c:pt idx="7" formatCode="General">
                  <c:v>-166.35115151515151</c:v>
                </c:pt>
                <c:pt idx="8" formatCode="General">
                  <c:v>-163.11721212121213</c:v>
                </c:pt>
                <c:pt idx="9" formatCode="General">
                  <c:v>-160.15289156626505</c:v>
                </c:pt>
                <c:pt idx="10" formatCode="General">
                  <c:v>-157.26132530120483</c:v>
                </c:pt>
                <c:pt idx="11" formatCode="General">
                  <c:v>-154.54036363636365</c:v>
                </c:pt>
                <c:pt idx="12" formatCode="General">
                  <c:v>-151.88824242424243</c:v>
                </c:pt>
                <c:pt idx="13" formatCode="General">
                  <c:v>-149.37793939393941</c:v>
                </c:pt>
                <c:pt idx="14" formatCode="General">
                  <c:v>-146.94400000000002</c:v>
                </c:pt>
                <c:pt idx="15" formatCode="General">
                  <c:v>-144.77957639939487</c:v>
                </c:pt>
                <c:pt idx="16" formatCode="General">
                  <c:v>-142.80438729198184</c:v>
                </c:pt>
                <c:pt idx="17" formatCode="General">
                  <c:v>-140.82919818456884</c:v>
                </c:pt>
                <c:pt idx="18" formatCode="General">
                  <c:v>-138.85400907715584</c:v>
                </c:pt>
                <c:pt idx="19" formatCode="General">
                  <c:v>-136.87881996974281</c:v>
                </c:pt>
                <c:pt idx="20" formatCode="General">
                  <c:v>-134.90363086232981</c:v>
                </c:pt>
                <c:pt idx="21" formatCode="General">
                  <c:v>-132.9284417549168</c:v>
                </c:pt>
                <c:pt idx="22" formatCode="General">
                  <c:v>-130.95325264750377</c:v>
                </c:pt>
                <c:pt idx="23" formatCode="General">
                  <c:v>-129.09212121212121</c:v>
                </c:pt>
                <c:pt idx="24" formatCode="General">
                  <c:v>-127.46787878787879</c:v>
                </c:pt>
                <c:pt idx="25" formatCode="General">
                  <c:v>-125.87418181818182</c:v>
                </c:pt>
                <c:pt idx="26" formatCode="General">
                  <c:v>-124.36630303030303</c:v>
                </c:pt>
                <c:pt idx="27" formatCode="General">
                  <c:v>-122.88169696969696</c:v>
                </c:pt>
                <c:pt idx="28" formatCode="General">
                  <c:v>-121.49018181818181</c:v>
                </c:pt>
                <c:pt idx="29" formatCode="General">
                  <c:v>-120.10975903614457</c:v>
                </c:pt>
                <c:pt idx="30" formatCode="General">
                  <c:v>-118.7989156626506</c:v>
                </c:pt>
                <c:pt idx="31" formatCode="General">
                  <c:v>-117.50022727272727</c:v>
                </c:pt>
                <c:pt idx="32" formatCode="General">
                  <c:v>-116.38386363636363</c:v>
                </c:pt>
                <c:pt idx="33" formatCode="General">
                  <c:v>-115.2675</c:v>
                </c:pt>
                <c:pt idx="34" formatCode="General">
                  <c:v>-114.15113636363635</c:v>
                </c:pt>
                <c:pt idx="35" formatCode="General">
                  <c:v>-113.03477272727272</c:v>
                </c:pt>
                <c:pt idx="36" formatCode="General">
                  <c:v>-111.91840909090909</c:v>
                </c:pt>
                <c:pt idx="37" formatCode="General">
                  <c:v>-110.80204545454545</c:v>
                </c:pt>
                <c:pt idx="38" formatCode="General">
                  <c:v>-109.68568181818182</c:v>
                </c:pt>
                <c:pt idx="39" formatCode="General">
                  <c:v>-108.56931818181818</c:v>
                </c:pt>
                <c:pt idx="40" formatCode="General">
                  <c:v>-107.64903177004538</c:v>
                </c:pt>
                <c:pt idx="41" formatCode="General">
                  <c:v>-106.77399394856278</c:v>
                </c:pt>
                <c:pt idx="42" formatCode="General">
                  <c:v>-105.89895612708018</c:v>
                </c:pt>
                <c:pt idx="43" formatCode="General">
                  <c:v>-105.02391830559758</c:v>
                </c:pt>
                <c:pt idx="44" formatCode="General">
                  <c:v>-104.14888048411498</c:v>
                </c:pt>
                <c:pt idx="45" formatCode="General">
                  <c:v>-103.27384266263238</c:v>
                </c:pt>
                <c:pt idx="46" formatCode="General">
                  <c:v>-102.39880484114977</c:v>
                </c:pt>
                <c:pt idx="47" formatCode="General">
                  <c:v>-101.52376701966716</c:v>
                </c:pt>
                <c:pt idx="48" formatCode="General">
                  <c:v>-100.74471709531014</c:v>
                </c:pt>
                <c:pt idx="49" formatCode="General">
                  <c:v>-100.04420272314674</c:v>
                </c:pt>
                <c:pt idx="50" formatCode="General">
                  <c:v>-99.343688350983356</c:v>
                </c:pt>
                <c:pt idx="51" formatCode="General">
                  <c:v>-98.643173978819959</c:v>
                </c:pt>
                <c:pt idx="52" formatCode="General">
                  <c:v>-97.942659606656576</c:v>
                </c:pt>
                <c:pt idx="53" formatCode="General">
                  <c:v>-97.242145234493179</c:v>
                </c:pt>
                <c:pt idx="54" formatCode="General">
                  <c:v>-96.541630862329797</c:v>
                </c:pt>
                <c:pt idx="55" formatCode="General">
                  <c:v>-95.841116490166399</c:v>
                </c:pt>
                <c:pt idx="56" formatCode="General">
                  <c:v>-95.165248484848476</c:v>
                </c:pt>
                <c:pt idx="57" formatCode="General">
                  <c:v>-94.550460606060611</c:v>
                </c:pt>
                <c:pt idx="58" formatCode="General">
                  <c:v>-94.039963636363652</c:v>
                </c:pt>
                <c:pt idx="59" formatCode="General">
                  <c:v>-93.888690909090911</c:v>
                </c:pt>
                <c:pt idx="60" formatCode="General">
                  <c:v>-93.747187878787884</c:v>
                </c:pt>
                <c:pt idx="61" formatCode="General">
                  <c:v>-93.65603636363636</c:v>
                </c:pt>
                <c:pt idx="62" formatCode="General">
                  <c:v>-93.585373493975894</c:v>
                </c:pt>
                <c:pt idx="63" formatCode="General">
                  <c:v>-93.699108433734935</c:v>
                </c:pt>
                <c:pt idx="64" formatCode="General">
                  <c:v>-93.819575757575748</c:v>
                </c:pt>
                <c:pt idx="65" formatCode="General">
                  <c:v>-94.202606060606058</c:v>
                </c:pt>
                <c:pt idx="66" formatCode="General">
                  <c:v>-94.585636363636354</c:v>
                </c:pt>
                <c:pt idx="67" formatCode="General">
                  <c:v>-94.9696</c:v>
                </c:pt>
                <c:pt idx="68" formatCode="General">
                  <c:v>-95.353600000000014</c:v>
                </c:pt>
                <c:pt idx="69" formatCode="General">
                  <c:v>-95.739345454545457</c:v>
                </c:pt>
                <c:pt idx="70" formatCode="General">
                  <c:v>-96.125284848484839</c:v>
                </c:pt>
                <c:pt idx="71" formatCode="General">
                  <c:v>-96.512036363636355</c:v>
                </c:pt>
                <c:pt idx="72" formatCode="General">
                  <c:v>-96.898945454545455</c:v>
                </c:pt>
                <c:pt idx="73" formatCode="General">
                  <c:v>-97.280711043872927</c:v>
                </c:pt>
                <c:pt idx="74" formatCode="General">
                  <c:v>-97.660983358547654</c:v>
                </c:pt>
                <c:pt idx="75" formatCode="General">
                  <c:v>-98.041255673222395</c:v>
                </c:pt>
                <c:pt idx="76" formatCode="General">
                  <c:v>-98.421527987897136</c:v>
                </c:pt>
                <c:pt idx="77" formatCode="General">
                  <c:v>-98.801800302571863</c:v>
                </c:pt>
                <c:pt idx="78" formatCode="General">
                  <c:v>-99.182072617246604</c:v>
                </c:pt>
                <c:pt idx="79" formatCode="General">
                  <c:v>-99.562344931921331</c:v>
                </c:pt>
                <c:pt idx="80" formatCode="General">
                  <c:v>-99.942617246596072</c:v>
                </c:pt>
                <c:pt idx="81" formatCode="General">
                  <c:v>-100.32537065052951</c:v>
                </c:pt>
                <c:pt idx="82" formatCode="General">
                  <c:v>-100.71048411497731</c:v>
                </c:pt>
                <c:pt idx="83" formatCode="General">
                  <c:v>-101.09559757942512</c:v>
                </c:pt>
                <c:pt idx="84" formatCode="General">
                  <c:v>-101.48071104387292</c:v>
                </c:pt>
                <c:pt idx="85" formatCode="General">
                  <c:v>-101.86582450832073</c:v>
                </c:pt>
                <c:pt idx="86" formatCode="General">
                  <c:v>-102.25093797276854</c:v>
                </c:pt>
                <c:pt idx="87" formatCode="General">
                  <c:v>-102.63605143721634</c:v>
                </c:pt>
                <c:pt idx="88" formatCode="General">
                  <c:v>-103.02116490166415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0EFE-44AB-BC11-EAB99CDED101}"/>
            </c:ext>
          </c:extLst>
        </c:ser>
        <c:ser>
          <c:idx val="40"/>
          <c:order val="41"/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-194.46381818181817</c:v>
                </c:pt>
                <c:pt idx="1">
                  <c:v>-190.03230303030301</c:v>
                </c:pt>
                <c:pt idx="2">
                  <c:v>-185.60078787878788</c:v>
                </c:pt>
                <c:pt idx="3">
                  <c:v>-181.64672727272728</c:v>
                </c:pt>
                <c:pt idx="4" formatCode="General">
                  <c:v>-177.7049090909091</c:v>
                </c:pt>
                <c:pt idx="5" formatCode="General">
                  <c:v>-174.13472727272728</c:v>
                </c:pt>
                <c:pt idx="6" formatCode="General">
                  <c:v>-170.6001818181818</c:v>
                </c:pt>
                <c:pt idx="7" formatCode="General">
                  <c:v>-167.69977307110437</c:v>
                </c:pt>
                <c:pt idx="8" formatCode="General">
                  <c:v>-164.91127080181542</c:v>
                </c:pt>
                <c:pt idx="9" formatCode="General">
                  <c:v>-162.12276853252646</c:v>
                </c:pt>
                <c:pt idx="10" formatCode="General">
                  <c:v>-159.33426626323751</c:v>
                </c:pt>
                <c:pt idx="11" formatCode="General">
                  <c:v>-156.54576399394855</c:v>
                </c:pt>
                <c:pt idx="12" formatCode="General">
                  <c:v>-153.7572617246596</c:v>
                </c:pt>
                <c:pt idx="13" formatCode="General">
                  <c:v>-150.96875945537062</c:v>
                </c:pt>
                <c:pt idx="14" formatCode="General">
                  <c:v>-148.18025718608166</c:v>
                </c:pt>
                <c:pt idx="15" formatCode="General">
                  <c:v>-145.72539393939394</c:v>
                </c:pt>
                <c:pt idx="16" formatCode="General">
                  <c:v>-143.50478787878788</c:v>
                </c:pt>
                <c:pt idx="17" formatCode="General">
                  <c:v>-141.38090909090911</c:v>
                </c:pt>
                <c:pt idx="18" formatCode="General">
                  <c:v>-139.34454545454545</c:v>
                </c:pt>
                <c:pt idx="19" formatCode="General">
                  <c:v>-137.39186746987951</c:v>
                </c:pt>
                <c:pt idx="20" formatCode="General">
                  <c:v>-135.53644578313251</c:v>
                </c:pt>
                <c:pt idx="21" formatCode="General">
                  <c:v>-133.73115151515148</c:v>
                </c:pt>
                <c:pt idx="22" formatCode="General">
                  <c:v>-132.00509090909091</c:v>
                </c:pt>
                <c:pt idx="23" formatCode="General">
                  <c:v>-130.32157575757574</c:v>
                </c:pt>
                <c:pt idx="24" formatCode="General">
                  <c:v>-128.72642424242423</c:v>
                </c:pt>
                <c:pt idx="25" formatCode="General">
                  <c:v>-127.1630909090909</c:v>
                </c:pt>
                <c:pt idx="26" formatCode="General">
                  <c:v>-125.68915151515151</c:v>
                </c:pt>
                <c:pt idx="27" formatCode="General">
                  <c:v>-124.23363636363635</c:v>
                </c:pt>
                <c:pt idx="28" formatCode="General">
                  <c:v>-122.85181818181817</c:v>
                </c:pt>
                <c:pt idx="29" formatCode="General">
                  <c:v>-121.48240963855422</c:v>
                </c:pt>
                <c:pt idx="30" formatCode="General">
                  <c:v>-120.19084337349396</c:v>
                </c:pt>
                <c:pt idx="31" formatCode="General">
                  <c:v>-118.90393939393938</c:v>
                </c:pt>
                <c:pt idx="32" formatCode="General">
                  <c:v>-117.6869696969697</c:v>
                </c:pt>
                <c:pt idx="33" formatCode="General">
                  <c:v>-116.47</c:v>
                </c:pt>
                <c:pt idx="34" formatCode="General">
                  <c:v>-115.32090909090908</c:v>
                </c:pt>
                <c:pt idx="35" formatCode="General">
                  <c:v>-114.17181818181818</c:v>
                </c:pt>
                <c:pt idx="36" formatCode="General">
                  <c:v>-113.09090909090908</c:v>
                </c:pt>
                <c:pt idx="37" formatCode="General">
                  <c:v>-112.01454545454546</c:v>
                </c:pt>
                <c:pt idx="38" formatCode="General">
                  <c:v>-110.98484848484848</c:v>
                </c:pt>
                <c:pt idx="39" formatCode="General">
                  <c:v>-109.96181818181819</c:v>
                </c:pt>
                <c:pt idx="40" formatCode="General">
                  <c:v>-109.01036144578313</c:v>
                </c:pt>
                <c:pt idx="41" formatCode="General">
                  <c:v>-108.07542168674699</c:v>
                </c:pt>
                <c:pt idx="42" formatCode="General">
                  <c:v>-107.16133333333333</c:v>
                </c:pt>
                <c:pt idx="43" formatCode="General">
                  <c:v>-106.25466666666668</c:v>
                </c:pt>
                <c:pt idx="44" formatCode="General">
                  <c:v>-105.39381818181819</c:v>
                </c:pt>
                <c:pt idx="45" formatCode="General">
                  <c:v>-104.55503030303029</c:v>
                </c:pt>
                <c:pt idx="46" formatCode="General">
                  <c:v>-103.75781818181818</c:v>
                </c:pt>
                <c:pt idx="47" formatCode="General">
                  <c:v>-102.98690909090911</c:v>
                </c:pt>
                <c:pt idx="48" formatCode="General">
                  <c:v>-102.400363086233</c:v>
                </c:pt>
                <c:pt idx="49" formatCode="General">
                  <c:v>-101.9646596066566</c:v>
                </c:pt>
                <c:pt idx="50" formatCode="General">
                  <c:v>-101.52895612708019</c:v>
                </c:pt>
                <c:pt idx="51" formatCode="General">
                  <c:v>-101.09325264750379</c:v>
                </c:pt>
                <c:pt idx="52" formatCode="General">
                  <c:v>-100.6575491679274</c:v>
                </c:pt>
                <c:pt idx="53" formatCode="General">
                  <c:v>-100.221845688351</c:v>
                </c:pt>
                <c:pt idx="54" formatCode="General">
                  <c:v>-99.786142208774592</c:v>
                </c:pt>
                <c:pt idx="55" formatCode="General">
                  <c:v>-99.350438729198189</c:v>
                </c:pt>
                <c:pt idx="56" formatCode="General">
                  <c:v>-99.019052950075647</c:v>
                </c:pt>
                <c:pt idx="57" formatCode="General">
                  <c:v>-98.946193645990931</c:v>
                </c:pt>
                <c:pt idx="58" formatCode="General">
                  <c:v>-98.873334341906201</c:v>
                </c:pt>
                <c:pt idx="59" formatCode="General">
                  <c:v>-98.800475037821485</c:v>
                </c:pt>
                <c:pt idx="60" formatCode="General">
                  <c:v>-98.727615733736755</c:v>
                </c:pt>
                <c:pt idx="61" formatCode="General">
                  <c:v>-98.654756429652039</c:v>
                </c:pt>
                <c:pt idx="62" formatCode="General">
                  <c:v>-98.581897125567309</c:v>
                </c:pt>
                <c:pt idx="63" formatCode="General">
                  <c:v>-98.509037821482593</c:v>
                </c:pt>
                <c:pt idx="64" formatCode="General">
                  <c:v>-98.438121212121203</c:v>
                </c:pt>
                <c:pt idx="65" formatCode="General">
                  <c:v>-98.442969696969683</c:v>
                </c:pt>
                <c:pt idx="66" formatCode="General">
                  <c:v>-98.447818181818178</c:v>
                </c:pt>
                <c:pt idx="67" formatCode="General">
                  <c:v>-98.461066666666667</c:v>
                </c:pt>
                <c:pt idx="68" formatCode="General">
                  <c:v>-98.474642424242418</c:v>
                </c:pt>
                <c:pt idx="69" formatCode="General">
                  <c:v>-98.508290909090917</c:v>
                </c:pt>
                <c:pt idx="70" formatCode="General">
                  <c:v>-98.544169696969703</c:v>
                </c:pt>
                <c:pt idx="71" formatCode="General">
                  <c:v>-98.583296969696974</c:v>
                </c:pt>
                <c:pt idx="72" formatCode="General">
                  <c:v>-98.623054545454551</c:v>
                </c:pt>
                <c:pt idx="73" formatCode="General">
                  <c:v>-98.694000000000003</c:v>
                </c:pt>
                <c:pt idx="74" formatCode="General">
                  <c:v>-98.774000000000001</c:v>
                </c:pt>
                <c:pt idx="75" formatCode="General">
                  <c:v>-99.026751515151517</c:v>
                </c:pt>
                <c:pt idx="76" formatCode="General">
                  <c:v>-99.3535393939394</c:v>
                </c:pt>
                <c:pt idx="77" formatCode="General">
                  <c:v>-99.684654545454549</c:v>
                </c:pt>
                <c:pt idx="78" formatCode="General">
                  <c:v>-100.01823030303031</c:v>
                </c:pt>
                <c:pt idx="79" formatCode="General">
                  <c:v>-100.35069090909091</c:v>
                </c:pt>
                <c:pt idx="80" formatCode="General">
                  <c:v>-100.68232727272728</c:v>
                </c:pt>
                <c:pt idx="81" formatCode="General">
                  <c:v>-101.01705597579426</c:v>
                </c:pt>
                <c:pt idx="82" formatCode="General">
                  <c:v>-101.35472617246596</c:v>
                </c:pt>
                <c:pt idx="83" formatCode="General">
                  <c:v>-101.69239636913767</c:v>
                </c:pt>
                <c:pt idx="84" formatCode="General">
                  <c:v>-102.03006656580938</c:v>
                </c:pt>
                <c:pt idx="85" formatCode="General">
                  <c:v>-102.36773676248109</c:v>
                </c:pt>
                <c:pt idx="86" formatCode="General">
                  <c:v>-102.7054069591528</c:v>
                </c:pt>
                <c:pt idx="87" formatCode="General">
                  <c:v>-103.04307715582451</c:v>
                </c:pt>
                <c:pt idx="88" formatCode="General">
                  <c:v>-103.3807473524962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0EFE-44AB-BC11-EAB99CDED101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FE-44AB-BC11-EAB99CDED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0EFE-44AB-BC11-EAB99CDED10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FE-44AB-BC11-EAB99CDED10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0EFE-44AB-BC11-EAB99CDED10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FE-44AB-BC11-EAB99CDED10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FE-44AB-BC11-EAB99CDED10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FE-44AB-BC11-EAB99CDED10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FE-44AB-BC11-EAB99CDED10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EFE-44AB-BC11-EAB99CDED101}"/>
                  </c:ext>
                </c:extLst>
              </c15:ser>
            </c15:filteredScatterSeries>
            <c15:filteredScatterSeries>
              <c15:ser>
                <c:idx val="5"/>
                <c:order val="7"/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EFE-44AB-BC11-EAB99CDED101}"/>
                  </c:ext>
                </c:extLst>
              </c15:ser>
            </c15:filteredScatterSeries>
            <c15:filteredScatterSeries>
              <c15:ser>
                <c:idx val="7"/>
                <c:order val="9"/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EFE-44AB-BC11-EAB99CDED10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EFE-44AB-BC11-EAB99CDED10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EFE-44AB-BC11-EAB99CDED10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FE-44AB-BC11-EAB99CDED10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EFE-44AB-BC11-EAB99CDED10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FE-44AB-BC11-EAB99CDED10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EFE-44AB-BC11-EAB99CDED10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EFE-44AB-BC11-EAB99CDED10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EFE-44AB-BC11-EAB99CDED10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FE-44AB-BC11-EAB99CDED10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EFE-44AB-BC11-EAB99CDED10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EFE-44AB-BC11-EAB99CDED10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EFE-44AB-BC11-EAB99CDED10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EFE-44AB-BC11-EAB99CDED10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EFE-44AB-BC11-EAB99CDED10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EFE-44AB-BC11-EAB99CDED10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EFE-44AB-BC11-EAB99CDED10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EFE-44AB-BC11-EAB99CDED10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EFE-44AB-BC11-EAB99CDED10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EFE-44AB-BC11-EAB99CDED10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EFE-44AB-BC11-EAB99CDED10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EFE-44AB-BC11-EAB99CDED10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EFE-44AB-BC11-EAB99CDED10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EFE-44AB-BC11-EAB99CDED10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EFE-44AB-BC11-EAB99CDED10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EFE-44AB-BC11-EAB99CDED10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EFE-44AB-BC11-EAB99CDED10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EFE-44AB-BC11-EAB99CDED10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EFE-44AB-BC11-EAB99CDED10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FE-44AB-BC11-EAB99CDED10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EFE-44AB-BC11-EAB99CDED10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EFE-44AB-BC11-EAB99CDED10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EFE-44AB-BC11-EAB99CDED10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EFE-44AB-BC11-EAB99CDED10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EFE-44AB-BC11-EAB99CDED10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EFE-44AB-BC11-EAB99CDED10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EFE-44AB-BC11-EAB99CDED10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EFE-44AB-BC11-EAB99CDED10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EFE-44AB-BC11-EAB99CDED10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EFE-44AB-BC11-EAB99CDED10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EFE-44AB-BC11-EAB99CDED10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EFE-44AB-BC11-EAB99CDED10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EFE-44AB-BC11-EAB99CDED10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EFE-44AB-BC11-EAB99CDED1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45923209945810856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7"/>
          <c:order val="9"/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EVALUATION!$B$110:$CP$110</c:f>
              <c:numCache>
                <c:formatCode>0</c:formatCode>
                <c:ptCount val="93"/>
                <c:pt idx="0">
                  <c:v>-148.83927272727271</c:v>
                </c:pt>
                <c:pt idx="1">
                  <c:v>-145.35321212121212</c:v>
                </c:pt>
                <c:pt idx="2">
                  <c:v>-141.86715151515151</c:v>
                </c:pt>
                <c:pt idx="3">
                  <c:v>-138.73563636363636</c:v>
                </c:pt>
                <c:pt idx="4" formatCode="General">
                  <c:v>-135.61321212121211</c:v>
                </c:pt>
                <c:pt idx="5" formatCode="General">
                  <c:v>-132.79163636363634</c:v>
                </c:pt>
                <c:pt idx="6" formatCode="General">
                  <c:v>-129.99890909090908</c:v>
                </c:pt>
                <c:pt idx="7" formatCode="General">
                  <c:v>-126.80642424242423</c:v>
                </c:pt>
                <c:pt idx="8" formatCode="General">
                  <c:v>-123.54339393939392</c:v>
                </c:pt>
                <c:pt idx="9" formatCode="General">
                  <c:v>-120.39072289156626</c:v>
                </c:pt>
                <c:pt idx="10" formatCode="General">
                  <c:v>-117.26783132530122</c:v>
                </c:pt>
                <c:pt idx="11" formatCode="General">
                  <c:v>-114.30763636363638</c:v>
                </c:pt>
                <c:pt idx="12" formatCode="General">
                  <c:v>-111.41309090909093</c:v>
                </c:pt>
                <c:pt idx="13" formatCode="General">
                  <c:v>-108.66666666666667</c:v>
                </c:pt>
                <c:pt idx="14" formatCode="General">
                  <c:v>-106</c:v>
                </c:pt>
                <c:pt idx="15" formatCode="General">
                  <c:v>-103.59736762481089</c:v>
                </c:pt>
                <c:pt idx="16" formatCode="General">
                  <c:v>-101.38012102874433</c:v>
                </c:pt>
                <c:pt idx="17" formatCode="General">
                  <c:v>-99.162874432677754</c:v>
                </c:pt>
                <c:pt idx="18" formatCode="General">
                  <c:v>-96.945627836611195</c:v>
                </c:pt>
                <c:pt idx="19" formatCode="General">
                  <c:v>-94.728381240544621</c:v>
                </c:pt>
                <c:pt idx="20" formatCode="General">
                  <c:v>-92.511134644478062</c:v>
                </c:pt>
                <c:pt idx="21" formatCode="General">
                  <c:v>-90.293888048411489</c:v>
                </c:pt>
                <c:pt idx="22" formatCode="General">
                  <c:v>-88.076641452344916</c:v>
                </c:pt>
                <c:pt idx="23" formatCode="General">
                  <c:v>-85.973333333333329</c:v>
                </c:pt>
                <c:pt idx="24" formatCode="General">
                  <c:v>-84.106666666666669</c:v>
                </c:pt>
                <c:pt idx="25" formatCode="General">
                  <c:v>-82.270545454545456</c:v>
                </c:pt>
                <c:pt idx="26" formatCode="General">
                  <c:v>-80.520242424242426</c:v>
                </c:pt>
                <c:pt idx="27" formatCode="General">
                  <c:v>-78.793212121212122</c:v>
                </c:pt>
                <c:pt idx="28" formatCode="General">
                  <c:v>-77.159272727272722</c:v>
                </c:pt>
                <c:pt idx="29" formatCode="General">
                  <c:v>-75.537951807228907</c:v>
                </c:pt>
                <c:pt idx="30" formatCode="General">
                  <c:v>-73.995783132530121</c:v>
                </c:pt>
                <c:pt idx="31" formatCode="General">
                  <c:v>-72.465530303030306</c:v>
                </c:pt>
                <c:pt idx="32" formatCode="General">
                  <c:v>-71.114015151515147</c:v>
                </c:pt>
                <c:pt idx="33" formatCode="General">
                  <c:v>-69.762500000000003</c:v>
                </c:pt>
                <c:pt idx="34" formatCode="General">
                  <c:v>-68.410984848484844</c:v>
                </c:pt>
                <c:pt idx="35" formatCode="General">
                  <c:v>-67.0594696969697</c:v>
                </c:pt>
                <c:pt idx="36" formatCode="General">
                  <c:v>-65.707954545454555</c:v>
                </c:pt>
                <c:pt idx="37" formatCode="General">
                  <c:v>-64.356439393939397</c:v>
                </c:pt>
                <c:pt idx="38" formatCode="General">
                  <c:v>-63.004924242424245</c:v>
                </c:pt>
                <c:pt idx="39" formatCode="General">
                  <c:v>-61.653409090909093</c:v>
                </c:pt>
                <c:pt idx="40" formatCode="General">
                  <c:v>-60.50612708018155</c:v>
                </c:pt>
                <c:pt idx="41" formatCode="General">
                  <c:v>-59.405975794251141</c:v>
                </c:pt>
                <c:pt idx="42" formatCode="General">
                  <c:v>-58.305824508320732</c:v>
                </c:pt>
                <c:pt idx="43" formatCode="General">
                  <c:v>-57.205673222390324</c:v>
                </c:pt>
                <c:pt idx="44" formatCode="General">
                  <c:v>-56.105521936459915</c:v>
                </c:pt>
                <c:pt idx="45" formatCode="General">
                  <c:v>-55.005370650529507</c:v>
                </c:pt>
                <c:pt idx="46" formatCode="General">
                  <c:v>-53.905219364599098</c:v>
                </c:pt>
                <c:pt idx="47" formatCode="General">
                  <c:v>-52.80506807866869</c:v>
                </c:pt>
                <c:pt idx="48" formatCode="General">
                  <c:v>-51.804898638426629</c:v>
                </c:pt>
                <c:pt idx="49" formatCode="General">
                  <c:v>-50.886532526475044</c:v>
                </c:pt>
                <c:pt idx="50" formatCode="General">
                  <c:v>-49.968166414523452</c:v>
                </c:pt>
                <c:pt idx="51" formatCode="General">
                  <c:v>-49.04980030257186</c:v>
                </c:pt>
                <c:pt idx="52" formatCode="General">
                  <c:v>-48.131434190620276</c:v>
                </c:pt>
                <c:pt idx="53" formatCode="General">
                  <c:v>-47.213068078668684</c:v>
                </c:pt>
                <c:pt idx="54" formatCode="General">
                  <c:v>-46.294701966717099</c:v>
                </c:pt>
                <c:pt idx="55" formatCode="General">
                  <c:v>-45.376335854765507</c:v>
                </c:pt>
                <c:pt idx="56" formatCode="General">
                  <c:v>-44.483915151515149</c:v>
                </c:pt>
                <c:pt idx="57" formatCode="General">
                  <c:v>-43.655793939393945</c:v>
                </c:pt>
                <c:pt idx="58" formatCode="General">
                  <c:v>-42.931963636363641</c:v>
                </c:pt>
                <c:pt idx="59" formatCode="General">
                  <c:v>-42.567357575757576</c:v>
                </c:pt>
                <c:pt idx="60" formatCode="General">
                  <c:v>-42.214096969696975</c:v>
                </c:pt>
                <c:pt idx="61" formatCode="General">
                  <c:v>-41.919309090909096</c:v>
                </c:pt>
                <c:pt idx="62" formatCode="General">
                  <c:v>-41.644168674698797</c:v>
                </c:pt>
                <c:pt idx="63" formatCode="General">
                  <c:v>-41.545855421686753</c:v>
                </c:pt>
                <c:pt idx="64" formatCode="General">
                  <c:v>-41.454484848484853</c:v>
                </c:pt>
                <c:pt idx="65" formatCode="General">
                  <c:v>-41.633878787878793</c:v>
                </c:pt>
                <c:pt idx="66" formatCode="General">
                  <c:v>-41.813272727272725</c:v>
                </c:pt>
                <c:pt idx="67" formatCode="General">
                  <c:v>-41.993600000000001</c:v>
                </c:pt>
                <c:pt idx="68" formatCode="General">
                  <c:v>-42.173963636363638</c:v>
                </c:pt>
                <c:pt idx="69" formatCode="General">
                  <c:v>-42.356072727272725</c:v>
                </c:pt>
                <c:pt idx="70" formatCode="General">
                  <c:v>-42.538375757575757</c:v>
                </c:pt>
                <c:pt idx="71" formatCode="General">
                  <c:v>-42.72149090909091</c:v>
                </c:pt>
                <c:pt idx="72" formatCode="General">
                  <c:v>-42.904763636363633</c:v>
                </c:pt>
                <c:pt idx="73" formatCode="General">
                  <c:v>-43.088759455370649</c:v>
                </c:pt>
                <c:pt idx="74" formatCode="General">
                  <c:v>-43.272965204236009</c:v>
                </c:pt>
                <c:pt idx="75" formatCode="General">
                  <c:v>-43.457170953101361</c:v>
                </c:pt>
                <c:pt idx="76" formatCode="General">
                  <c:v>-43.64137670196672</c:v>
                </c:pt>
                <c:pt idx="77" formatCode="General">
                  <c:v>-43.825582450832073</c:v>
                </c:pt>
                <c:pt idx="78" formatCode="General">
                  <c:v>-44.009788199697432</c:v>
                </c:pt>
                <c:pt idx="79" formatCode="General">
                  <c:v>-44.193993948562785</c:v>
                </c:pt>
                <c:pt idx="80" formatCode="General">
                  <c:v>-44.378199697428144</c:v>
                </c:pt>
                <c:pt idx="81" formatCode="General">
                  <c:v>-44.567367624810899</c:v>
                </c:pt>
                <c:pt idx="82" formatCode="General">
                  <c:v>-44.761255673222394</c:v>
                </c:pt>
                <c:pt idx="83" formatCode="General">
                  <c:v>-44.955143721633888</c:v>
                </c:pt>
                <c:pt idx="84" formatCode="General">
                  <c:v>-45.14903177004539</c:v>
                </c:pt>
                <c:pt idx="85" formatCode="General">
                  <c:v>-45.342919818456885</c:v>
                </c:pt>
                <c:pt idx="86" formatCode="General">
                  <c:v>-45.536807866868379</c:v>
                </c:pt>
                <c:pt idx="87" formatCode="General">
                  <c:v>-45.730695915279881</c:v>
                </c:pt>
                <c:pt idx="88" formatCode="General">
                  <c:v>-45.924583963691376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894-4356-9EB2-6A9076CBABE1}"/>
            </c:ext>
          </c:extLst>
        </c:ser>
        <c:ser>
          <c:idx val="41"/>
          <c:order val="42"/>
          <c:spPr>
            <a:ln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  <c:pt idx="87">
                  <c:v>986</c:v>
                </c:pt>
                <c:pt idx="88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EVALUATION!$B$143:$CP$143</c:f>
              <c:numCache>
                <c:formatCode>0</c:formatCode>
                <c:ptCount val="93"/>
                <c:pt idx="0">
                  <c:v>-149.43218181818182</c:v>
                </c:pt>
                <c:pt idx="1">
                  <c:v>-145.75703030303029</c:v>
                </c:pt>
                <c:pt idx="2">
                  <c:v>-142.08187878787879</c:v>
                </c:pt>
                <c:pt idx="3">
                  <c:v>-138.59109090909092</c:v>
                </c:pt>
                <c:pt idx="4" formatCode="General">
                  <c:v>-135.1050303030303</c:v>
                </c:pt>
                <c:pt idx="5" formatCode="General">
                  <c:v>-131.74284848484848</c:v>
                </c:pt>
                <c:pt idx="6" formatCode="General">
                  <c:v>-128.39254545454546</c:v>
                </c:pt>
                <c:pt idx="7" formatCode="General">
                  <c:v>-125.4045537065053</c:v>
                </c:pt>
                <c:pt idx="8" formatCode="General">
                  <c:v>-122.48049924357035</c:v>
                </c:pt>
                <c:pt idx="9" formatCode="General">
                  <c:v>-119.5564447806354</c:v>
                </c:pt>
                <c:pt idx="10" formatCode="General">
                  <c:v>-116.63239031770046</c:v>
                </c:pt>
                <c:pt idx="11" formatCode="General">
                  <c:v>-113.70833585476551</c:v>
                </c:pt>
                <c:pt idx="12" formatCode="General">
                  <c:v>-110.78428139183055</c:v>
                </c:pt>
                <c:pt idx="13" formatCode="General">
                  <c:v>-107.8602269288956</c:v>
                </c:pt>
                <c:pt idx="14" formatCode="General">
                  <c:v>-104.93617246596065</c:v>
                </c:pt>
                <c:pt idx="15" formatCode="General">
                  <c:v>-102.31145454545454</c:v>
                </c:pt>
                <c:pt idx="16" formatCode="General">
                  <c:v>-99.896909090909091</c:v>
                </c:pt>
                <c:pt idx="17" formatCode="General">
                  <c:v>-97.589272727272729</c:v>
                </c:pt>
                <c:pt idx="18" formatCode="General">
                  <c:v>-95.378363636363645</c:v>
                </c:pt>
                <c:pt idx="19" formatCode="General">
                  <c:v>-93.265000000000001</c:v>
                </c:pt>
                <c:pt idx="20" formatCode="General">
                  <c:v>-91.264999999999986</c:v>
                </c:pt>
                <c:pt idx="21" formatCode="General">
                  <c:v>-89.318545454545443</c:v>
                </c:pt>
                <c:pt idx="22" formatCode="General">
                  <c:v>-87.456727272727264</c:v>
                </c:pt>
                <c:pt idx="23" formatCode="General">
                  <c:v>-85.63430303030303</c:v>
                </c:pt>
                <c:pt idx="24" formatCode="General">
                  <c:v>-83.893696969696961</c:v>
                </c:pt>
                <c:pt idx="25" formatCode="General">
                  <c:v>-82.177272727272722</c:v>
                </c:pt>
                <c:pt idx="26" formatCode="General">
                  <c:v>-80.528787878787881</c:v>
                </c:pt>
                <c:pt idx="27" formatCode="General">
                  <c:v>-78.8929090909091</c:v>
                </c:pt>
                <c:pt idx="28" formatCode="General">
                  <c:v>-77.307454545454547</c:v>
                </c:pt>
                <c:pt idx="29" formatCode="General">
                  <c:v>-75.733253012048181</c:v>
                </c:pt>
                <c:pt idx="30" formatCode="General">
                  <c:v>-74.229638554216862</c:v>
                </c:pt>
                <c:pt idx="31" formatCode="General">
                  <c:v>-72.72999999999999</c:v>
                </c:pt>
                <c:pt idx="32" formatCode="General">
                  <c:v>-71.289999999999992</c:v>
                </c:pt>
                <c:pt idx="33" formatCode="General">
                  <c:v>-69.849999999999994</c:v>
                </c:pt>
                <c:pt idx="34" formatCode="General">
                  <c:v>-68.47787878787878</c:v>
                </c:pt>
                <c:pt idx="35" formatCode="General">
                  <c:v>-67.105757575757565</c:v>
                </c:pt>
                <c:pt idx="36" formatCode="General">
                  <c:v>-65.792727272727262</c:v>
                </c:pt>
                <c:pt idx="37" formatCode="General">
                  <c:v>-64.48363636363635</c:v>
                </c:pt>
                <c:pt idx="38" formatCode="General">
                  <c:v>-63.229696969696967</c:v>
                </c:pt>
                <c:pt idx="39" formatCode="General">
                  <c:v>-61.983636363636364</c:v>
                </c:pt>
                <c:pt idx="40" formatCode="General">
                  <c:v>-60.802409638554217</c:v>
                </c:pt>
                <c:pt idx="41" formatCode="General">
                  <c:v>-59.636144578313257</c:v>
                </c:pt>
                <c:pt idx="42" formatCode="General">
                  <c:v>-58.496848484848485</c:v>
                </c:pt>
                <c:pt idx="43" formatCode="General">
                  <c:v>-57.367151515151519</c:v>
                </c:pt>
                <c:pt idx="44" formatCode="General">
                  <c:v>-56.283272727272731</c:v>
                </c:pt>
                <c:pt idx="45" formatCode="General">
                  <c:v>-55.221454545454549</c:v>
                </c:pt>
                <c:pt idx="46" formatCode="General">
                  <c:v>-54.20121212121213</c:v>
                </c:pt>
                <c:pt idx="47" formatCode="General">
                  <c:v>-53.207272727272738</c:v>
                </c:pt>
                <c:pt idx="48" formatCode="General">
                  <c:v>-52.403207261724667</c:v>
                </c:pt>
                <c:pt idx="49" formatCode="General">
                  <c:v>-51.75449319213314</c:v>
                </c:pt>
                <c:pt idx="50" formatCode="General">
                  <c:v>-51.105779122541612</c:v>
                </c:pt>
                <c:pt idx="51" formatCode="General">
                  <c:v>-50.457065052950078</c:v>
                </c:pt>
                <c:pt idx="52" formatCode="General">
                  <c:v>-49.808350983358551</c:v>
                </c:pt>
                <c:pt idx="53" formatCode="General">
                  <c:v>-49.159636913767024</c:v>
                </c:pt>
                <c:pt idx="54" formatCode="General">
                  <c:v>-48.510922844175496</c:v>
                </c:pt>
                <c:pt idx="55" formatCode="General">
                  <c:v>-47.862208774583969</c:v>
                </c:pt>
                <c:pt idx="56" formatCode="General">
                  <c:v>-47.319204236006051</c:v>
                </c:pt>
                <c:pt idx="57" formatCode="General">
                  <c:v>-47.038175491679276</c:v>
                </c:pt>
                <c:pt idx="58" formatCode="General">
                  <c:v>-46.757146747352493</c:v>
                </c:pt>
                <c:pt idx="59" formatCode="General">
                  <c:v>-46.476118003025718</c:v>
                </c:pt>
                <c:pt idx="60" formatCode="General">
                  <c:v>-46.195089258698943</c:v>
                </c:pt>
                <c:pt idx="61" formatCode="General">
                  <c:v>-45.914060514372167</c:v>
                </c:pt>
                <c:pt idx="62" formatCode="General">
                  <c:v>-45.633031770045385</c:v>
                </c:pt>
                <c:pt idx="63" formatCode="General">
                  <c:v>-45.352003025718609</c:v>
                </c:pt>
                <c:pt idx="64" formatCode="General">
                  <c:v>-45.072787878787878</c:v>
                </c:pt>
                <c:pt idx="65" formatCode="General">
                  <c:v>-44.864303030303027</c:v>
                </c:pt>
                <c:pt idx="66" formatCode="General">
                  <c:v>-44.655818181818177</c:v>
                </c:pt>
                <c:pt idx="67" formatCode="General">
                  <c:v>-44.465066666666665</c:v>
                </c:pt>
                <c:pt idx="68" formatCode="General">
                  <c:v>-44.27500606060606</c:v>
                </c:pt>
                <c:pt idx="69" formatCode="General">
                  <c:v>-44.105018181818181</c:v>
                </c:pt>
                <c:pt idx="70" formatCode="General">
                  <c:v>-43.937260606060605</c:v>
                </c:pt>
                <c:pt idx="71" formatCode="General">
                  <c:v>-43.780872727272722</c:v>
                </c:pt>
                <c:pt idx="72" formatCode="General">
                  <c:v>-43.626690909090904</c:v>
                </c:pt>
                <c:pt idx="73" formatCode="General">
                  <c:v>-43.497132530120481</c:v>
                </c:pt>
                <c:pt idx="74" formatCode="General">
                  <c:v>-43.374722891566265</c:v>
                </c:pt>
                <c:pt idx="75" formatCode="General">
                  <c:v>-43.437781818181818</c:v>
                </c:pt>
                <c:pt idx="76" formatCode="General">
                  <c:v>-43.580327272727274</c:v>
                </c:pt>
                <c:pt idx="77" formatCode="General">
                  <c:v>-43.727200000000003</c:v>
                </c:pt>
                <c:pt idx="78" formatCode="General">
                  <c:v>-43.876533333333334</c:v>
                </c:pt>
                <c:pt idx="79" formatCode="General">
                  <c:v>-44.024751515151515</c:v>
                </c:pt>
                <c:pt idx="80" formatCode="General">
                  <c:v>-44.172145454545458</c:v>
                </c:pt>
                <c:pt idx="81" formatCode="General">
                  <c:v>-44.320293494704991</c:v>
                </c:pt>
                <c:pt idx="82" formatCode="General">
                  <c:v>-44.469158850226925</c:v>
                </c:pt>
                <c:pt idx="83" formatCode="General">
                  <c:v>-44.618024205748867</c:v>
                </c:pt>
                <c:pt idx="84" formatCode="General">
                  <c:v>-44.766889561270801</c:v>
                </c:pt>
                <c:pt idx="85" formatCode="General">
                  <c:v>-44.915754916792736</c:v>
                </c:pt>
                <c:pt idx="86" formatCode="General">
                  <c:v>-45.06462027231467</c:v>
                </c:pt>
                <c:pt idx="87" formatCode="General">
                  <c:v>-45.213485627836612</c:v>
                </c:pt>
                <c:pt idx="88" formatCode="General">
                  <c:v>-45.362350983358546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894-4356-9EB2-6A9076CBABE1}"/>
            </c:ext>
          </c:extLst>
        </c:ser>
        <c:ser>
          <c:idx val="53"/>
          <c:order val="54"/>
          <c:tx>
            <c:v>temp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-194.46381818181817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94-4356-9EB2-6A9076CBA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8894-4356-9EB2-6A9076CBABE1}"/>
                  </c:ext>
                </c:extLst>
              </c15:ser>
            </c15:filteredScatterSeries>
            <c15:filteredScatterSeries>
              <c15:ser>
                <c:idx val="39"/>
                <c:order val="1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894-4356-9EB2-6A9076CBABE1}"/>
                  </c:ext>
                </c:extLst>
              </c15:ser>
            </c15:filteredScatterSeries>
            <c15:filteredScatterSeries>
              <c15:ser>
                <c:idx val="54"/>
                <c:order val="2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8894-4356-9EB2-6A9076CBABE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-38.031818181818181</c:v>
                      </c:pt>
                      <c:pt idx="1">
                        <c:v>-37.280303030303031</c:v>
                      </c:pt>
                      <c:pt idx="2">
                        <c:v>-36.528787878787881</c:v>
                      </c:pt>
                      <c:pt idx="3">
                        <c:v>-35.857636363636367</c:v>
                      </c:pt>
                      <c:pt idx="4" formatCode="General">
                        <c:v>-35.188545454545448</c:v>
                      </c:pt>
                      <c:pt idx="5" formatCode="General">
                        <c:v>-34.594666666666662</c:v>
                      </c:pt>
                      <c:pt idx="6" formatCode="General">
                        <c:v>-34.008000000000003</c:v>
                      </c:pt>
                      <c:pt idx="7" formatCode="General">
                        <c:v>-33.466666666666669</c:v>
                      </c:pt>
                      <c:pt idx="8" formatCode="General">
                        <c:v>-32.93333333333333</c:v>
                      </c:pt>
                      <c:pt idx="9" formatCode="General">
                        <c:v>-32.444277108433738</c:v>
                      </c:pt>
                      <c:pt idx="10" formatCode="General">
                        <c:v>-31.967168674698797</c:v>
                      </c:pt>
                      <c:pt idx="11" formatCode="General">
                        <c:v>-31.526000000000003</c:v>
                      </c:pt>
                      <c:pt idx="12" formatCode="General">
                        <c:v>-31.099333333333337</c:v>
                      </c:pt>
                      <c:pt idx="13" formatCode="General">
                        <c:v>-30.693151515151516</c:v>
                      </c:pt>
                      <c:pt idx="14" formatCode="General">
                        <c:v>-30.297999999999998</c:v>
                      </c:pt>
                      <c:pt idx="15" formatCode="General">
                        <c:v>-29.951906202723144</c:v>
                      </c:pt>
                      <c:pt idx="16" formatCode="General">
                        <c:v>-29.640257186081694</c:v>
                      </c:pt>
                      <c:pt idx="17" formatCode="General">
                        <c:v>-29.328608169440241</c:v>
                      </c:pt>
                      <c:pt idx="18" formatCode="General">
                        <c:v>-29.016959152798787</c:v>
                      </c:pt>
                      <c:pt idx="19" formatCode="General">
                        <c:v>-28.705310136157337</c:v>
                      </c:pt>
                      <c:pt idx="20" formatCode="General">
                        <c:v>-28.393661119515883</c:v>
                      </c:pt>
                      <c:pt idx="21" formatCode="General">
                        <c:v>-28.08201210287443</c:v>
                      </c:pt>
                      <c:pt idx="22" formatCode="General">
                        <c:v>-27.77036308623298</c:v>
                      </c:pt>
                      <c:pt idx="23" formatCode="General">
                        <c:v>-27.479006060606057</c:v>
                      </c:pt>
                      <c:pt idx="24" formatCode="General">
                        <c:v>-27.229793939393939</c:v>
                      </c:pt>
                      <c:pt idx="25" formatCode="General">
                        <c:v>-26.985799999999998</c:v>
                      </c:pt>
                      <c:pt idx="26" formatCode="General">
                        <c:v>-26.756466666666665</c:v>
                      </c:pt>
                      <c:pt idx="27" formatCode="General">
                        <c:v>-26.554769696969696</c:v>
                      </c:pt>
                      <c:pt idx="28" formatCode="General">
                        <c:v>-26.46361818181818</c:v>
                      </c:pt>
                      <c:pt idx="29" formatCode="General">
                        <c:v>-26.40355421686747</c:v>
                      </c:pt>
                      <c:pt idx="30" formatCode="General">
                        <c:v>-26.538493975903616</c:v>
                      </c:pt>
                      <c:pt idx="31" formatCode="General">
                        <c:v>-26.673575757575762</c:v>
                      </c:pt>
                      <c:pt idx="32" formatCode="General">
                        <c:v>-26.810787878787881</c:v>
                      </c:pt>
                      <c:pt idx="33" formatCode="General">
                        <c:v>-26.948</c:v>
                      </c:pt>
                      <c:pt idx="34" formatCode="General">
                        <c:v>-27.085212121212123</c:v>
                      </c:pt>
                      <c:pt idx="35" formatCode="General">
                        <c:v>-27.222424242424243</c:v>
                      </c:pt>
                      <c:pt idx="36" formatCode="General">
                        <c:v>-27.359636363636366</c:v>
                      </c:pt>
                      <c:pt idx="37" formatCode="General">
                        <c:v>-27.496848484848485</c:v>
                      </c:pt>
                      <c:pt idx="38" formatCode="General">
                        <c:v>-27.634060606060608</c:v>
                      </c:pt>
                      <c:pt idx="39" formatCode="General">
                        <c:v>-27.771272727272727</c:v>
                      </c:pt>
                      <c:pt idx="40" formatCode="General">
                        <c:v>-27.904579425113464</c:v>
                      </c:pt>
                      <c:pt idx="41" formatCode="General">
                        <c:v>-28.036984871406958</c:v>
                      </c:pt>
                      <c:pt idx="42" formatCode="General">
                        <c:v>-28.169390317700454</c:v>
                      </c:pt>
                      <c:pt idx="43" formatCode="General">
                        <c:v>-28.301795763993947</c:v>
                      </c:pt>
                      <c:pt idx="44" formatCode="General">
                        <c:v>-28.434201210287441</c:v>
                      </c:pt>
                      <c:pt idx="45" formatCode="General">
                        <c:v>-28.566606656580937</c:v>
                      </c:pt>
                      <c:pt idx="46" formatCode="General">
                        <c:v>-28.69901210287443</c:v>
                      </c:pt>
                      <c:pt idx="47" formatCode="General">
                        <c:v>-28.831417549167924</c:v>
                      </c:pt>
                      <c:pt idx="48" formatCode="General">
                        <c:v>-28.96169288956127</c:v>
                      </c:pt>
                      <c:pt idx="49" formatCode="General">
                        <c:v>-29.090225416036308</c:v>
                      </c:pt>
                      <c:pt idx="50" formatCode="General">
                        <c:v>-29.218757942511346</c:v>
                      </c:pt>
                      <c:pt idx="51" formatCode="General">
                        <c:v>-29.347290468986383</c:v>
                      </c:pt>
                      <c:pt idx="52" formatCode="General">
                        <c:v>-29.475822995461421</c:v>
                      </c:pt>
                      <c:pt idx="53" formatCode="General">
                        <c:v>-29.604355521936458</c:v>
                      </c:pt>
                      <c:pt idx="54" formatCode="General">
                        <c:v>-29.732888048411496</c:v>
                      </c:pt>
                      <c:pt idx="55" formatCode="General">
                        <c:v>-29.861420574886534</c:v>
                      </c:pt>
                      <c:pt idx="56" formatCode="General">
                        <c:v>-29.989242424242423</c:v>
                      </c:pt>
                      <c:pt idx="57" formatCode="General">
                        <c:v>-30.115303030303028</c:v>
                      </c:pt>
                      <c:pt idx="58" formatCode="General">
                        <c:v>-30.241254545454545</c:v>
                      </c:pt>
                      <c:pt idx="59" formatCode="General">
                        <c:v>-30.366830303030305</c:v>
                      </c:pt>
                      <c:pt idx="60" formatCode="General">
                        <c:v>-30.491696969696971</c:v>
                      </c:pt>
                      <c:pt idx="61" formatCode="General">
                        <c:v>-30.612909090909092</c:v>
                      </c:pt>
                      <c:pt idx="62" formatCode="General">
                        <c:v>-30.734481927710846</c:v>
                      </c:pt>
                      <c:pt idx="63" formatCode="General">
                        <c:v>-30.859301204819278</c:v>
                      </c:pt>
                      <c:pt idx="64" formatCode="General">
                        <c:v>-30.984018181818183</c:v>
                      </c:pt>
                      <c:pt idx="65" formatCode="General">
                        <c:v>-31.104745454545455</c:v>
                      </c:pt>
                      <c:pt idx="66" formatCode="General">
                        <c:v>-31.225472727272727</c:v>
                      </c:pt>
                      <c:pt idx="67" formatCode="General">
                        <c:v>-31.345733333333335</c:v>
                      </c:pt>
                      <c:pt idx="68" formatCode="General">
                        <c:v>-31.465975757575759</c:v>
                      </c:pt>
                      <c:pt idx="69" formatCode="General">
                        <c:v>-31.586654545454547</c:v>
                      </c:pt>
                      <c:pt idx="70" formatCode="General">
                        <c:v>-31.707381818181815</c:v>
                      </c:pt>
                      <c:pt idx="71" formatCode="General">
                        <c:v>-31.827703030303031</c:v>
                      </c:pt>
                      <c:pt idx="72" formatCode="General">
                        <c:v>-31.947945454545454</c:v>
                      </c:pt>
                      <c:pt idx="73" formatCode="General">
                        <c:v>-32.064951588502268</c:v>
                      </c:pt>
                      <c:pt idx="74" formatCode="General">
                        <c:v>-32.181018154311651</c:v>
                      </c:pt>
                      <c:pt idx="75" formatCode="General">
                        <c:v>-32.297084720121028</c:v>
                      </c:pt>
                      <c:pt idx="76" formatCode="General">
                        <c:v>-32.413151285930411</c:v>
                      </c:pt>
                      <c:pt idx="77" formatCode="General">
                        <c:v>-32.529217851739787</c:v>
                      </c:pt>
                      <c:pt idx="78" formatCode="General">
                        <c:v>-32.645284417549163</c:v>
                      </c:pt>
                      <c:pt idx="79" formatCode="General">
                        <c:v>-32.761350983358547</c:v>
                      </c:pt>
                      <c:pt idx="80" formatCode="General">
                        <c:v>-32.877417549167923</c:v>
                      </c:pt>
                      <c:pt idx="81" formatCode="General">
                        <c:v>-32.991995461422086</c:v>
                      </c:pt>
                      <c:pt idx="82" formatCode="General">
                        <c:v>-33.105157337367622</c:v>
                      </c:pt>
                      <c:pt idx="83" formatCode="General">
                        <c:v>-33.218319213313158</c:v>
                      </c:pt>
                      <c:pt idx="84" formatCode="General">
                        <c:v>-33.331481089258695</c:v>
                      </c:pt>
                      <c:pt idx="85" formatCode="General">
                        <c:v>-33.444642965204238</c:v>
                      </c:pt>
                      <c:pt idx="86" formatCode="General">
                        <c:v>-33.557804841149775</c:v>
                      </c:pt>
                      <c:pt idx="87" formatCode="General">
                        <c:v>-33.670966717095311</c:v>
                      </c:pt>
                      <c:pt idx="88" formatCode="General">
                        <c:v>-33.784128593040847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94-4356-9EB2-6A9076CBABE1}"/>
                  </c:ext>
                </c:extLst>
              </c15:ser>
            </c15:filteredScatterSeries>
            <c15:filteredScatterSeries>
              <c15:ser>
                <c:idx val="1"/>
                <c:order val="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94-4356-9EB2-6A9076CBABE1}"/>
                  </c:ext>
                </c:extLst>
              </c15:ser>
            </c15:filteredScatterSeries>
            <c15:filteredScatterSeries>
              <c15:ser>
                <c:idx val="2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-148.83927272727271</c:v>
                      </c:pt>
                      <c:pt idx="1">
                        <c:v>-145.35321212121212</c:v>
                      </c:pt>
                      <c:pt idx="2">
                        <c:v>-141.86715151515151</c:v>
                      </c:pt>
                      <c:pt idx="3">
                        <c:v>-138.73563636363636</c:v>
                      </c:pt>
                      <c:pt idx="4" formatCode="General">
                        <c:v>-135.61321212121211</c:v>
                      </c:pt>
                      <c:pt idx="5" formatCode="General">
                        <c:v>-132.79163636363634</c:v>
                      </c:pt>
                      <c:pt idx="6" formatCode="General">
                        <c:v>-129.99890909090908</c:v>
                      </c:pt>
                      <c:pt idx="7" formatCode="General">
                        <c:v>-126.80642424242423</c:v>
                      </c:pt>
                      <c:pt idx="8" formatCode="General">
                        <c:v>-123.54339393939392</c:v>
                      </c:pt>
                      <c:pt idx="9" formatCode="General">
                        <c:v>-120.39072289156626</c:v>
                      </c:pt>
                      <c:pt idx="10" formatCode="General">
                        <c:v>-117.26783132530122</c:v>
                      </c:pt>
                      <c:pt idx="11" formatCode="General">
                        <c:v>-114.30763636363638</c:v>
                      </c:pt>
                      <c:pt idx="12" formatCode="General">
                        <c:v>-111.41309090909093</c:v>
                      </c:pt>
                      <c:pt idx="13" formatCode="General">
                        <c:v>-108.66666666666667</c:v>
                      </c:pt>
                      <c:pt idx="14" formatCode="General">
                        <c:v>-106</c:v>
                      </c:pt>
                      <c:pt idx="15" formatCode="General">
                        <c:v>-103.59736762481089</c:v>
                      </c:pt>
                      <c:pt idx="16" formatCode="General">
                        <c:v>-101.38012102874433</c:v>
                      </c:pt>
                      <c:pt idx="17" formatCode="General">
                        <c:v>-99.162874432677754</c:v>
                      </c:pt>
                      <c:pt idx="18" formatCode="General">
                        <c:v>-96.945627836611195</c:v>
                      </c:pt>
                      <c:pt idx="19" formatCode="General">
                        <c:v>-94.728381240544621</c:v>
                      </c:pt>
                      <c:pt idx="20" formatCode="General">
                        <c:v>-92.511134644478062</c:v>
                      </c:pt>
                      <c:pt idx="21" formatCode="General">
                        <c:v>-90.293888048411489</c:v>
                      </c:pt>
                      <c:pt idx="22" formatCode="General">
                        <c:v>-88.076641452344916</c:v>
                      </c:pt>
                      <c:pt idx="23" formatCode="General">
                        <c:v>-85.973333333333329</c:v>
                      </c:pt>
                      <c:pt idx="24" formatCode="General">
                        <c:v>-84.106666666666669</c:v>
                      </c:pt>
                      <c:pt idx="25" formatCode="General">
                        <c:v>-82.270545454545456</c:v>
                      </c:pt>
                      <c:pt idx="26" formatCode="General">
                        <c:v>-80.520242424242426</c:v>
                      </c:pt>
                      <c:pt idx="27" formatCode="General">
                        <c:v>-78.793212121212122</c:v>
                      </c:pt>
                      <c:pt idx="28" formatCode="General">
                        <c:v>-77.159272727272722</c:v>
                      </c:pt>
                      <c:pt idx="29" formatCode="General">
                        <c:v>-75.537951807228907</c:v>
                      </c:pt>
                      <c:pt idx="30" formatCode="General">
                        <c:v>-73.995783132530121</c:v>
                      </c:pt>
                      <c:pt idx="31" formatCode="General">
                        <c:v>-72.465530303030306</c:v>
                      </c:pt>
                      <c:pt idx="32" formatCode="General">
                        <c:v>-71.114015151515147</c:v>
                      </c:pt>
                      <c:pt idx="33" formatCode="General">
                        <c:v>-69.762500000000003</c:v>
                      </c:pt>
                      <c:pt idx="34" formatCode="General">
                        <c:v>-68.410984848484844</c:v>
                      </c:pt>
                      <c:pt idx="35" formatCode="General">
                        <c:v>-67.0594696969697</c:v>
                      </c:pt>
                      <c:pt idx="36" formatCode="General">
                        <c:v>-65.707954545454555</c:v>
                      </c:pt>
                      <c:pt idx="37" formatCode="General">
                        <c:v>-64.356439393939397</c:v>
                      </c:pt>
                      <c:pt idx="38" formatCode="General">
                        <c:v>-63.004924242424245</c:v>
                      </c:pt>
                      <c:pt idx="39" formatCode="General">
                        <c:v>-61.653409090909093</c:v>
                      </c:pt>
                      <c:pt idx="40" formatCode="General">
                        <c:v>-60.50612708018155</c:v>
                      </c:pt>
                      <c:pt idx="41" formatCode="General">
                        <c:v>-59.405975794251141</c:v>
                      </c:pt>
                      <c:pt idx="42" formatCode="General">
                        <c:v>-58.305824508320732</c:v>
                      </c:pt>
                      <c:pt idx="43" formatCode="General">
                        <c:v>-57.205673222390324</c:v>
                      </c:pt>
                      <c:pt idx="44" formatCode="General">
                        <c:v>-56.105521936459915</c:v>
                      </c:pt>
                      <c:pt idx="45" formatCode="General">
                        <c:v>-55.005370650529507</c:v>
                      </c:pt>
                      <c:pt idx="46" formatCode="General">
                        <c:v>-53.905219364599098</c:v>
                      </c:pt>
                      <c:pt idx="47" formatCode="General">
                        <c:v>-52.80506807866869</c:v>
                      </c:pt>
                      <c:pt idx="48" formatCode="General">
                        <c:v>-51.804898638426629</c:v>
                      </c:pt>
                      <c:pt idx="49" formatCode="General">
                        <c:v>-50.886532526475044</c:v>
                      </c:pt>
                      <c:pt idx="50" formatCode="General">
                        <c:v>-49.968166414523452</c:v>
                      </c:pt>
                      <c:pt idx="51" formatCode="General">
                        <c:v>-49.04980030257186</c:v>
                      </c:pt>
                      <c:pt idx="52" formatCode="General">
                        <c:v>-48.131434190620276</c:v>
                      </c:pt>
                      <c:pt idx="53" formatCode="General">
                        <c:v>-47.213068078668684</c:v>
                      </c:pt>
                      <c:pt idx="54" formatCode="General">
                        <c:v>-46.294701966717099</c:v>
                      </c:pt>
                      <c:pt idx="55" formatCode="General">
                        <c:v>-45.376335854765507</c:v>
                      </c:pt>
                      <c:pt idx="56" formatCode="General">
                        <c:v>-44.483915151515149</c:v>
                      </c:pt>
                      <c:pt idx="57" formatCode="General">
                        <c:v>-43.655793939393945</c:v>
                      </c:pt>
                      <c:pt idx="58" formatCode="General">
                        <c:v>-42.931963636363641</c:v>
                      </c:pt>
                      <c:pt idx="59" formatCode="General">
                        <c:v>-42.567357575757576</c:v>
                      </c:pt>
                      <c:pt idx="60" formatCode="General">
                        <c:v>-42.214096969696975</c:v>
                      </c:pt>
                      <c:pt idx="61" formatCode="General">
                        <c:v>-41.919309090909096</c:v>
                      </c:pt>
                      <c:pt idx="62" formatCode="General">
                        <c:v>-41.644168674698797</c:v>
                      </c:pt>
                      <c:pt idx="63" formatCode="General">
                        <c:v>-41.545855421686753</c:v>
                      </c:pt>
                      <c:pt idx="64" formatCode="General">
                        <c:v>-41.454484848484853</c:v>
                      </c:pt>
                      <c:pt idx="65" formatCode="General">
                        <c:v>-41.633878787878793</c:v>
                      </c:pt>
                      <c:pt idx="66" formatCode="General">
                        <c:v>-41.813272727272725</c:v>
                      </c:pt>
                      <c:pt idx="67" formatCode="General">
                        <c:v>-41.993600000000001</c:v>
                      </c:pt>
                      <c:pt idx="68" formatCode="General">
                        <c:v>-42.173963636363638</c:v>
                      </c:pt>
                      <c:pt idx="69" formatCode="General">
                        <c:v>-42.356072727272725</c:v>
                      </c:pt>
                      <c:pt idx="70" formatCode="General">
                        <c:v>-42.538375757575757</c:v>
                      </c:pt>
                      <c:pt idx="71" formatCode="General">
                        <c:v>-42.72149090909091</c:v>
                      </c:pt>
                      <c:pt idx="72" formatCode="General">
                        <c:v>-42.904763636363633</c:v>
                      </c:pt>
                      <c:pt idx="73" formatCode="General">
                        <c:v>-43.088759455370649</c:v>
                      </c:pt>
                      <c:pt idx="74" formatCode="General">
                        <c:v>-43.272965204236009</c:v>
                      </c:pt>
                      <c:pt idx="75" formatCode="General">
                        <c:v>-43.457170953101361</c:v>
                      </c:pt>
                      <c:pt idx="76" formatCode="General">
                        <c:v>-43.64137670196672</c:v>
                      </c:pt>
                      <c:pt idx="77" formatCode="General">
                        <c:v>-43.825582450832073</c:v>
                      </c:pt>
                      <c:pt idx="78" formatCode="General">
                        <c:v>-44.009788199697432</c:v>
                      </c:pt>
                      <c:pt idx="79" formatCode="General">
                        <c:v>-44.193993948562785</c:v>
                      </c:pt>
                      <c:pt idx="80" formatCode="General">
                        <c:v>-44.378199697428144</c:v>
                      </c:pt>
                      <c:pt idx="81" formatCode="General">
                        <c:v>-44.567367624810899</c:v>
                      </c:pt>
                      <c:pt idx="82" formatCode="General">
                        <c:v>-44.761255673222394</c:v>
                      </c:pt>
                      <c:pt idx="83" formatCode="General">
                        <c:v>-44.955143721633888</c:v>
                      </c:pt>
                      <c:pt idx="84" formatCode="General">
                        <c:v>-45.14903177004539</c:v>
                      </c:pt>
                      <c:pt idx="85" formatCode="General">
                        <c:v>-45.342919818456885</c:v>
                      </c:pt>
                      <c:pt idx="86" formatCode="General">
                        <c:v>-45.536807866868379</c:v>
                      </c:pt>
                      <c:pt idx="87" formatCode="General">
                        <c:v>-45.730695915279881</c:v>
                      </c:pt>
                      <c:pt idx="88" formatCode="General">
                        <c:v>-45.924583963691376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94-4356-9EB2-6A9076CBABE1}"/>
                  </c:ext>
                </c:extLst>
              </c15:ser>
            </c15:filteredScatterSeries>
            <c15:filteredScatterSeries>
              <c15:ser>
                <c:idx val="3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894-4356-9EB2-6A9076CBABE1}"/>
                  </c:ext>
                </c:extLst>
              </c15:ser>
            </c15:filteredScatterSeries>
            <c15:filteredScatterSeries>
              <c15:ser>
                <c:idx val="4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894-4356-9EB2-6A9076CBABE1}"/>
                  </c:ext>
                </c:extLst>
              </c15:ser>
            </c15:filteredScatterSeries>
            <c15:filteredScatterSeries>
              <c15:ser>
                <c:idx val="5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-60.423818181818177</c:v>
                      </c:pt>
                      <c:pt idx="1">
                        <c:v>-59.19230303030303</c:v>
                      </c:pt>
                      <c:pt idx="2">
                        <c:v>-57.960787878787883</c:v>
                      </c:pt>
                      <c:pt idx="3">
                        <c:v>-56.861636363636364</c:v>
                      </c:pt>
                      <c:pt idx="4" formatCode="General">
                        <c:v>-55.76587878787879</c:v>
                      </c:pt>
                      <c:pt idx="5" formatCode="General">
                        <c:v>-54.789575757575761</c:v>
                      </c:pt>
                      <c:pt idx="6" formatCode="General">
                        <c:v>-53.82472727272728</c:v>
                      </c:pt>
                      <c:pt idx="7" formatCode="General">
                        <c:v>-53.239030303030304</c:v>
                      </c:pt>
                      <c:pt idx="8" formatCode="General">
                        <c:v>-52.720242424242421</c:v>
                      </c:pt>
                      <c:pt idx="9" formatCode="General">
                        <c:v>-52.32536144578313</c:v>
                      </c:pt>
                      <c:pt idx="10" formatCode="General">
                        <c:v>-51.963915662650599</c:v>
                      </c:pt>
                      <c:pt idx="11" formatCode="General">
                        <c:v>-51.64236363636364</c:v>
                      </c:pt>
                      <c:pt idx="12" formatCode="General">
                        <c:v>-51.336909090909096</c:v>
                      </c:pt>
                      <c:pt idx="13" formatCode="General">
                        <c:v>-51.048787878787884</c:v>
                      </c:pt>
                      <c:pt idx="14" formatCode="General">
                        <c:v>-50.77</c:v>
                      </c:pt>
                      <c:pt idx="15" formatCode="General">
                        <c:v>-50.543010590015129</c:v>
                      </c:pt>
                      <c:pt idx="16" formatCode="General">
                        <c:v>-50.352390317700454</c:v>
                      </c:pt>
                      <c:pt idx="17" formatCode="General">
                        <c:v>-50.161770045385779</c:v>
                      </c:pt>
                      <c:pt idx="18" formatCode="General">
                        <c:v>-49.971149773071105</c:v>
                      </c:pt>
                      <c:pt idx="19" formatCode="General">
                        <c:v>-49.78052950075643</c:v>
                      </c:pt>
                      <c:pt idx="20" formatCode="General">
                        <c:v>-49.589909228441755</c:v>
                      </c:pt>
                      <c:pt idx="21" formatCode="General">
                        <c:v>-49.39928895612708</c:v>
                      </c:pt>
                      <c:pt idx="22" formatCode="General">
                        <c:v>-49.208668683812405</c:v>
                      </c:pt>
                      <c:pt idx="23" formatCode="General">
                        <c:v>-49.038399999999996</c:v>
                      </c:pt>
                      <c:pt idx="24" formatCode="General">
                        <c:v>-48.910400000000003</c:v>
                      </c:pt>
                      <c:pt idx="25" formatCode="General">
                        <c:v>-48.787618181818182</c:v>
                      </c:pt>
                      <c:pt idx="26" formatCode="General">
                        <c:v>-48.67949696969697</c:v>
                      </c:pt>
                      <c:pt idx="27" formatCode="General">
                        <c:v>-48.59901212121212</c:v>
                      </c:pt>
                      <c:pt idx="28" formatCode="General">
                        <c:v>-48.629072727272728</c:v>
                      </c:pt>
                      <c:pt idx="29" formatCode="General">
                        <c:v>-48.689457831325306</c:v>
                      </c:pt>
                      <c:pt idx="30" formatCode="General">
                        <c:v>-48.940060240963859</c:v>
                      </c:pt>
                      <c:pt idx="31" formatCode="General">
                        <c:v>-49.190924242424245</c:v>
                      </c:pt>
                      <c:pt idx="32" formatCode="General">
                        <c:v>-49.445712121212125</c:v>
                      </c:pt>
                      <c:pt idx="33" formatCode="General">
                        <c:v>-49.700500000000005</c:v>
                      </c:pt>
                      <c:pt idx="34" formatCode="General">
                        <c:v>-49.955287878787885</c:v>
                      </c:pt>
                      <c:pt idx="35" formatCode="General">
                        <c:v>-50.210075757575758</c:v>
                      </c:pt>
                      <c:pt idx="36" formatCode="General">
                        <c:v>-50.464863636363638</c:v>
                      </c:pt>
                      <c:pt idx="37" formatCode="General">
                        <c:v>-50.719651515151519</c:v>
                      </c:pt>
                      <c:pt idx="38" formatCode="General">
                        <c:v>-50.974439393939399</c:v>
                      </c:pt>
                      <c:pt idx="39" formatCode="General">
                        <c:v>-51.229227272727272</c:v>
                      </c:pt>
                      <c:pt idx="40" formatCode="General">
                        <c:v>-51.476031770045388</c:v>
                      </c:pt>
                      <c:pt idx="41" formatCode="General">
                        <c:v>-51.720993948562786</c:v>
                      </c:pt>
                      <c:pt idx="42" formatCode="General">
                        <c:v>-51.965956127080183</c:v>
                      </c:pt>
                      <c:pt idx="43" formatCode="General">
                        <c:v>-52.210918305597581</c:v>
                      </c:pt>
                      <c:pt idx="44" formatCode="General">
                        <c:v>-52.455880484114978</c:v>
                      </c:pt>
                      <c:pt idx="45" formatCode="General">
                        <c:v>-52.700842662632375</c:v>
                      </c:pt>
                      <c:pt idx="46" formatCode="General">
                        <c:v>-52.945804841149773</c:v>
                      </c:pt>
                      <c:pt idx="47" formatCode="General">
                        <c:v>-53.19076701966717</c:v>
                      </c:pt>
                      <c:pt idx="48" formatCode="General">
                        <c:v>-53.431602118003028</c:v>
                      </c:pt>
                      <c:pt idx="49" formatCode="General">
                        <c:v>-53.669060514372163</c:v>
                      </c:pt>
                      <c:pt idx="50" formatCode="General">
                        <c:v>-53.906518910741298</c:v>
                      </c:pt>
                      <c:pt idx="51" formatCode="General">
                        <c:v>-54.14397730711044</c:v>
                      </c:pt>
                      <c:pt idx="52" formatCode="General">
                        <c:v>-54.381435703479575</c:v>
                      </c:pt>
                      <c:pt idx="53" formatCode="General">
                        <c:v>-54.61889409984871</c:v>
                      </c:pt>
                      <c:pt idx="54" formatCode="General">
                        <c:v>-54.856352496217852</c:v>
                      </c:pt>
                      <c:pt idx="55" formatCode="General">
                        <c:v>-55.093810892586987</c:v>
                      </c:pt>
                      <c:pt idx="56" formatCode="General">
                        <c:v>-55.329909090909091</c:v>
                      </c:pt>
                      <c:pt idx="57" formatCode="General">
                        <c:v>-55.562636363636365</c:v>
                      </c:pt>
                      <c:pt idx="58" formatCode="General">
                        <c:v>-55.795254545454547</c:v>
                      </c:pt>
                      <c:pt idx="59" formatCode="General">
                        <c:v>-56.027496969696969</c:v>
                      </c:pt>
                      <c:pt idx="60" formatCode="General">
                        <c:v>-56.258242424242425</c:v>
                      </c:pt>
                      <c:pt idx="61" formatCode="General">
                        <c:v>-56.481272727272724</c:v>
                      </c:pt>
                      <c:pt idx="62" formatCode="General">
                        <c:v>-56.705084337349398</c:v>
                      </c:pt>
                      <c:pt idx="63" formatCode="General">
                        <c:v>-56.935927710843373</c:v>
                      </c:pt>
                      <c:pt idx="64" formatCode="General">
                        <c:v>-57.166563636363641</c:v>
                      </c:pt>
                      <c:pt idx="65" formatCode="General">
                        <c:v>-57.389109090909095</c:v>
                      </c:pt>
                      <c:pt idx="66" formatCode="General">
                        <c:v>-57.611654545454549</c:v>
                      </c:pt>
                      <c:pt idx="67" formatCode="General">
                        <c:v>-57.833733333333342</c:v>
                      </c:pt>
                      <c:pt idx="68" formatCode="General">
                        <c:v>-58.055793939393944</c:v>
                      </c:pt>
                      <c:pt idx="69" formatCode="General">
                        <c:v>-58.278290909090913</c:v>
                      </c:pt>
                      <c:pt idx="70" formatCode="General">
                        <c:v>-58.500836363636367</c:v>
                      </c:pt>
                      <c:pt idx="71" formatCode="General">
                        <c:v>-58.72297575757576</c:v>
                      </c:pt>
                      <c:pt idx="72" formatCode="General">
                        <c:v>-58.945036363636362</c:v>
                      </c:pt>
                      <c:pt idx="73" formatCode="General">
                        <c:v>-59.1609273827534</c:v>
                      </c:pt>
                      <c:pt idx="74" formatCode="General">
                        <c:v>-59.37502723146747</c:v>
                      </c:pt>
                      <c:pt idx="75" formatCode="General">
                        <c:v>-59.589127080181541</c:v>
                      </c:pt>
                      <c:pt idx="76" formatCode="General">
                        <c:v>-59.803226928895612</c:v>
                      </c:pt>
                      <c:pt idx="77" formatCode="General">
                        <c:v>-60.017326777609682</c:v>
                      </c:pt>
                      <c:pt idx="78" formatCode="General">
                        <c:v>-60.231426626323746</c:v>
                      </c:pt>
                      <c:pt idx="79" formatCode="General">
                        <c:v>-60.445526475037816</c:v>
                      </c:pt>
                      <c:pt idx="80" formatCode="General">
                        <c:v>-60.659626323751887</c:v>
                      </c:pt>
                      <c:pt idx="81" formatCode="General">
                        <c:v>-60.87099697428139</c:v>
                      </c:pt>
                      <c:pt idx="82" formatCode="General">
                        <c:v>-61.079771558245078</c:v>
                      </c:pt>
                      <c:pt idx="83" formatCode="General">
                        <c:v>-61.288546142208773</c:v>
                      </c:pt>
                      <c:pt idx="84" formatCode="General">
                        <c:v>-61.497320726172468</c:v>
                      </c:pt>
                      <c:pt idx="85" formatCode="General">
                        <c:v>-61.706095310136156</c:v>
                      </c:pt>
                      <c:pt idx="86" formatCode="General">
                        <c:v>-61.914869894099851</c:v>
                      </c:pt>
                      <c:pt idx="87" formatCode="General">
                        <c:v>-62.12364447806354</c:v>
                      </c:pt>
                      <c:pt idx="88" formatCode="General">
                        <c:v>-62.332419062027235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894-4356-9EB2-6A9076CBABE1}"/>
                  </c:ext>
                </c:extLst>
              </c15:ser>
            </c15:filteredScatterSeries>
            <c15:filteredScatterSeries>
              <c15:ser>
                <c:idx val="6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-193.62327272727273</c:v>
                      </c:pt>
                      <c:pt idx="1">
                        <c:v>-189.17721212121214</c:v>
                      </c:pt>
                      <c:pt idx="2">
                        <c:v>-184.73115151515151</c:v>
                      </c:pt>
                      <c:pt idx="3">
                        <c:v>-180.74363636363634</c:v>
                      </c:pt>
                      <c:pt idx="4" formatCode="General">
                        <c:v>-176.76787878787877</c:v>
                      </c:pt>
                      <c:pt idx="5" formatCode="General">
                        <c:v>-173.18145454545453</c:v>
                      </c:pt>
                      <c:pt idx="6" formatCode="General">
                        <c:v>-169.63236363636364</c:v>
                      </c:pt>
                      <c:pt idx="7" formatCode="General">
                        <c:v>-166.35115151515151</c:v>
                      </c:pt>
                      <c:pt idx="8" formatCode="General">
                        <c:v>-163.11721212121213</c:v>
                      </c:pt>
                      <c:pt idx="9" formatCode="General">
                        <c:v>-160.15289156626505</c:v>
                      </c:pt>
                      <c:pt idx="10" formatCode="General">
                        <c:v>-157.26132530120483</c:v>
                      </c:pt>
                      <c:pt idx="11" formatCode="General">
                        <c:v>-154.54036363636365</c:v>
                      </c:pt>
                      <c:pt idx="12" formatCode="General">
                        <c:v>-151.88824242424243</c:v>
                      </c:pt>
                      <c:pt idx="13" formatCode="General">
                        <c:v>-149.37793939393941</c:v>
                      </c:pt>
                      <c:pt idx="14" formatCode="General">
                        <c:v>-146.94400000000002</c:v>
                      </c:pt>
                      <c:pt idx="15" formatCode="General">
                        <c:v>-144.77957639939487</c:v>
                      </c:pt>
                      <c:pt idx="16" formatCode="General">
                        <c:v>-142.80438729198184</c:v>
                      </c:pt>
                      <c:pt idx="17" formatCode="General">
                        <c:v>-140.82919818456884</c:v>
                      </c:pt>
                      <c:pt idx="18" formatCode="General">
                        <c:v>-138.85400907715584</c:v>
                      </c:pt>
                      <c:pt idx="19" formatCode="General">
                        <c:v>-136.87881996974281</c:v>
                      </c:pt>
                      <c:pt idx="20" formatCode="General">
                        <c:v>-134.90363086232981</c:v>
                      </c:pt>
                      <c:pt idx="21" formatCode="General">
                        <c:v>-132.9284417549168</c:v>
                      </c:pt>
                      <c:pt idx="22" formatCode="General">
                        <c:v>-130.95325264750377</c:v>
                      </c:pt>
                      <c:pt idx="23" formatCode="General">
                        <c:v>-129.09212121212121</c:v>
                      </c:pt>
                      <c:pt idx="24" formatCode="General">
                        <c:v>-127.46787878787879</c:v>
                      </c:pt>
                      <c:pt idx="25" formatCode="General">
                        <c:v>-125.87418181818182</c:v>
                      </c:pt>
                      <c:pt idx="26" formatCode="General">
                        <c:v>-124.36630303030303</c:v>
                      </c:pt>
                      <c:pt idx="27" formatCode="General">
                        <c:v>-122.88169696969696</c:v>
                      </c:pt>
                      <c:pt idx="28" formatCode="General">
                        <c:v>-121.49018181818181</c:v>
                      </c:pt>
                      <c:pt idx="29" formatCode="General">
                        <c:v>-120.10975903614457</c:v>
                      </c:pt>
                      <c:pt idx="30" formatCode="General">
                        <c:v>-118.7989156626506</c:v>
                      </c:pt>
                      <c:pt idx="31" formatCode="General">
                        <c:v>-117.50022727272727</c:v>
                      </c:pt>
                      <c:pt idx="32" formatCode="General">
                        <c:v>-116.38386363636363</c:v>
                      </c:pt>
                      <c:pt idx="33" formatCode="General">
                        <c:v>-115.2675</c:v>
                      </c:pt>
                      <c:pt idx="34" formatCode="General">
                        <c:v>-114.15113636363635</c:v>
                      </c:pt>
                      <c:pt idx="35" formatCode="General">
                        <c:v>-113.03477272727272</c:v>
                      </c:pt>
                      <c:pt idx="36" formatCode="General">
                        <c:v>-111.91840909090909</c:v>
                      </c:pt>
                      <c:pt idx="37" formatCode="General">
                        <c:v>-110.80204545454545</c:v>
                      </c:pt>
                      <c:pt idx="38" formatCode="General">
                        <c:v>-109.68568181818182</c:v>
                      </c:pt>
                      <c:pt idx="39" formatCode="General">
                        <c:v>-108.56931818181818</c:v>
                      </c:pt>
                      <c:pt idx="40" formatCode="General">
                        <c:v>-107.64903177004538</c:v>
                      </c:pt>
                      <c:pt idx="41" formatCode="General">
                        <c:v>-106.77399394856278</c:v>
                      </c:pt>
                      <c:pt idx="42" formatCode="General">
                        <c:v>-105.89895612708018</c:v>
                      </c:pt>
                      <c:pt idx="43" formatCode="General">
                        <c:v>-105.02391830559758</c:v>
                      </c:pt>
                      <c:pt idx="44" formatCode="General">
                        <c:v>-104.14888048411498</c:v>
                      </c:pt>
                      <c:pt idx="45" formatCode="General">
                        <c:v>-103.27384266263238</c:v>
                      </c:pt>
                      <c:pt idx="46" formatCode="General">
                        <c:v>-102.39880484114977</c:v>
                      </c:pt>
                      <c:pt idx="47" formatCode="General">
                        <c:v>-101.52376701966716</c:v>
                      </c:pt>
                      <c:pt idx="48" formatCode="General">
                        <c:v>-100.74471709531014</c:v>
                      </c:pt>
                      <c:pt idx="49" formatCode="General">
                        <c:v>-100.04420272314674</c:v>
                      </c:pt>
                      <c:pt idx="50" formatCode="General">
                        <c:v>-99.343688350983356</c:v>
                      </c:pt>
                      <c:pt idx="51" formatCode="General">
                        <c:v>-98.643173978819959</c:v>
                      </c:pt>
                      <c:pt idx="52" formatCode="General">
                        <c:v>-97.942659606656576</c:v>
                      </c:pt>
                      <c:pt idx="53" formatCode="General">
                        <c:v>-97.242145234493179</c:v>
                      </c:pt>
                      <c:pt idx="54" formatCode="General">
                        <c:v>-96.541630862329797</c:v>
                      </c:pt>
                      <c:pt idx="55" formatCode="General">
                        <c:v>-95.841116490166399</c:v>
                      </c:pt>
                      <c:pt idx="56" formatCode="General">
                        <c:v>-95.165248484848476</c:v>
                      </c:pt>
                      <c:pt idx="57" formatCode="General">
                        <c:v>-94.550460606060611</c:v>
                      </c:pt>
                      <c:pt idx="58" formatCode="General">
                        <c:v>-94.039963636363652</c:v>
                      </c:pt>
                      <c:pt idx="59" formatCode="General">
                        <c:v>-93.888690909090911</c:v>
                      </c:pt>
                      <c:pt idx="60" formatCode="General">
                        <c:v>-93.747187878787884</c:v>
                      </c:pt>
                      <c:pt idx="61" formatCode="General">
                        <c:v>-93.65603636363636</c:v>
                      </c:pt>
                      <c:pt idx="62" formatCode="General">
                        <c:v>-93.585373493975894</c:v>
                      </c:pt>
                      <c:pt idx="63" formatCode="General">
                        <c:v>-93.699108433734935</c:v>
                      </c:pt>
                      <c:pt idx="64" formatCode="General">
                        <c:v>-93.819575757575748</c:v>
                      </c:pt>
                      <c:pt idx="65" formatCode="General">
                        <c:v>-94.202606060606058</c:v>
                      </c:pt>
                      <c:pt idx="66" formatCode="General">
                        <c:v>-94.585636363636354</c:v>
                      </c:pt>
                      <c:pt idx="67" formatCode="General">
                        <c:v>-94.9696</c:v>
                      </c:pt>
                      <c:pt idx="68" formatCode="General">
                        <c:v>-95.353600000000014</c:v>
                      </c:pt>
                      <c:pt idx="69" formatCode="General">
                        <c:v>-95.739345454545457</c:v>
                      </c:pt>
                      <c:pt idx="70" formatCode="General">
                        <c:v>-96.125284848484839</c:v>
                      </c:pt>
                      <c:pt idx="71" formatCode="General">
                        <c:v>-96.512036363636355</c:v>
                      </c:pt>
                      <c:pt idx="72" formatCode="General">
                        <c:v>-96.898945454545455</c:v>
                      </c:pt>
                      <c:pt idx="73" formatCode="General">
                        <c:v>-97.280711043872927</c:v>
                      </c:pt>
                      <c:pt idx="74" formatCode="General">
                        <c:v>-97.660983358547654</c:v>
                      </c:pt>
                      <c:pt idx="75" formatCode="General">
                        <c:v>-98.041255673222395</c:v>
                      </c:pt>
                      <c:pt idx="76" formatCode="General">
                        <c:v>-98.421527987897136</c:v>
                      </c:pt>
                      <c:pt idx="77" formatCode="General">
                        <c:v>-98.801800302571863</c:v>
                      </c:pt>
                      <c:pt idx="78" formatCode="General">
                        <c:v>-99.182072617246604</c:v>
                      </c:pt>
                      <c:pt idx="79" formatCode="General">
                        <c:v>-99.562344931921331</c:v>
                      </c:pt>
                      <c:pt idx="80" formatCode="General">
                        <c:v>-99.942617246596072</c:v>
                      </c:pt>
                      <c:pt idx="81" formatCode="General">
                        <c:v>-100.32537065052951</c:v>
                      </c:pt>
                      <c:pt idx="82" formatCode="General">
                        <c:v>-100.71048411497731</c:v>
                      </c:pt>
                      <c:pt idx="83" formatCode="General">
                        <c:v>-101.09559757942512</c:v>
                      </c:pt>
                      <c:pt idx="84" formatCode="General">
                        <c:v>-101.48071104387292</c:v>
                      </c:pt>
                      <c:pt idx="85" formatCode="General">
                        <c:v>-101.86582450832073</c:v>
                      </c:pt>
                      <c:pt idx="86" formatCode="General">
                        <c:v>-102.25093797276854</c:v>
                      </c:pt>
                      <c:pt idx="87" formatCode="General">
                        <c:v>-102.63605143721634</c:v>
                      </c:pt>
                      <c:pt idx="88" formatCode="General">
                        <c:v>-103.02116490166415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894-4356-9EB2-6A9076CBABE1}"/>
                  </c:ext>
                </c:extLst>
              </c15:ser>
            </c15:filteredScatterSeries>
            <c15:filteredScatterSeries>
              <c15:ser>
                <c:idx val="8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894-4356-9EB2-6A9076CBABE1}"/>
                  </c:ext>
                </c:extLst>
              </c15:ser>
            </c15:filteredScatterSeries>
            <c15:filteredScatterSeries>
              <c15:ser>
                <c:idx val="9"/>
                <c:order val="1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894-4356-9EB2-6A9076CBABE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894-4356-9EB2-6A9076CBABE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-18.71</c:v>
                      </c:pt>
                      <c:pt idx="1">
                        <c:v>-18.71</c:v>
                      </c:pt>
                      <c:pt idx="2">
                        <c:v>-18.71</c:v>
                      </c:pt>
                      <c:pt idx="3">
                        <c:v>-18.71</c:v>
                      </c:pt>
                      <c:pt idx="4" formatCode="General">
                        <c:v>-18.71</c:v>
                      </c:pt>
                      <c:pt idx="5" formatCode="General">
                        <c:v>-18.718848484848486</c:v>
                      </c:pt>
                      <c:pt idx="6" formatCode="General">
                        <c:v>-18.728545454545454</c:v>
                      </c:pt>
                      <c:pt idx="7" formatCode="General">
                        <c:v>-18.734121212121213</c:v>
                      </c:pt>
                      <c:pt idx="8" formatCode="General">
                        <c:v>-18.738969696969697</c:v>
                      </c:pt>
                      <c:pt idx="9" formatCode="General">
                        <c:v>-18.747590361445784</c:v>
                      </c:pt>
                      <c:pt idx="10" formatCode="General">
                        <c:v>-18.757228915662651</c:v>
                      </c:pt>
                      <c:pt idx="11" formatCode="General">
                        <c:v>-18.770363636363637</c:v>
                      </c:pt>
                      <c:pt idx="12" formatCode="General">
                        <c:v>-18.784909090909089</c:v>
                      </c:pt>
                      <c:pt idx="13" formatCode="General">
                        <c:v>-18.796303030303029</c:v>
                      </c:pt>
                      <c:pt idx="14" formatCode="General">
                        <c:v>-18.805999999999997</c:v>
                      </c:pt>
                      <c:pt idx="15" formatCode="General">
                        <c:v>-18.818532526475035</c:v>
                      </c:pt>
                      <c:pt idx="16" formatCode="General">
                        <c:v>-18.833055975794249</c:v>
                      </c:pt>
                      <c:pt idx="17" formatCode="General">
                        <c:v>-18.847579425113462</c:v>
                      </c:pt>
                      <c:pt idx="18" formatCode="General">
                        <c:v>-18.862102874432676</c:v>
                      </c:pt>
                      <c:pt idx="19" formatCode="General">
                        <c:v>-18.876626323751889</c:v>
                      </c:pt>
                      <c:pt idx="20" formatCode="General">
                        <c:v>-18.891149773071103</c:v>
                      </c:pt>
                      <c:pt idx="21" formatCode="General">
                        <c:v>-18.905673222390316</c:v>
                      </c:pt>
                      <c:pt idx="22" formatCode="General">
                        <c:v>-18.92019667170953</c:v>
                      </c:pt>
                      <c:pt idx="23" formatCode="General">
                        <c:v>-18.93630303030303</c:v>
                      </c:pt>
                      <c:pt idx="24" formatCode="General">
                        <c:v>-18.955696969696969</c:v>
                      </c:pt>
                      <c:pt idx="25" formatCode="General">
                        <c:v>-18.973818181818181</c:v>
                      </c:pt>
                      <c:pt idx="26" formatCode="General">
                        <c:v>-18.988363636363637</c:v>
                      </c:pt>
                      <c:pt idx="27" formatCode="General">
                        <c:v>-19.002909090909093</c:v>
                      </c:pt>
                      <c:pt idx="28" formatCode="General">
                        <c:v>-19.017454545454545</c:v>
                      </c:pt>
                      <c:pt idx="29" formatCode="General">
                        <c:v>-19.032650602409639</c:v>
                      </c:pt>
                      <c:pt idx="30" formatCode="General">
                        <c:v>-19.051927710843373</c:v>
                      </c:pt>
                      <c:pt idx="31" formatCode="General">
                        <c:v>-19.070984848484848</c:v>
                      </c:pt>
                      <c:pt idx="32" formatCode="General">
                        <c:v>-19.086742424242424</c:v>
                      </c:pt>
                      <c:pt idx="33" formatCode="General">
                        <c:v>-19.102499999999999</c:v>
                      </c:pt>
                      <c:pt idx="34" formatCode="General">
                        <c:v>-19.118257575757575</c:v>
                      </c:pt>
                      <c:pt idx="35" formatCode="General">
                        <c:v>-19.13401515151515</c:v>
                      </c:pt>
                      <c:pt idx="36" formatCode="General">
                        <c:v>-19.149772727272726</c:v>
                      </c:pt>
                      <c:pt idx="37" formatCode="General">
                        <c:v>-19.165530303030302</c:v>
                      </c:pt>
                      <c:pt idx="38" formatCode="General">
                        <c:v>-19.181287878787877</c:v>
                      </c:pt>
                      <c:pt idx="39" formatCode="General">
                        <c:v>-19.197045454545453</c:v>
                      </c:pt>
                      <c:pt idx="40" formatCode="General">
                        <c:v>-19.21376701966717</c:v>
                      </c:pt>
                      <c:pt idx="41" formatCode="General">
                        <c:v>-19.230711043872919</c:v>
                      </c:pt>
                      <c:pt idx="42" formatCode="General">
                        <c:v>-19.247655068078668</c:v>
                      </c:pt>
                      <c:pt idx="43" formatCode="General">
                        <c:v>-19.264599092284417</c:v>
                      </c:pt>
                      <c:pt idx="44" formatCode="General">
                        <c:v>-19.281543116490166</c:v>
                      </c:pt>
                      <c:pt idx="45" formatCode="General">
                        <c:v>-19.298487140695915</c:v>
                      </c:pt>
                      <c:pt idx="46" formatCode="General">
                        <c:v>-19.315431164901664</c:v>
                      </c:pt>
                      <c:pt idx="47" formatCode="General">
                        <c:v>-19.332375189107413</c:v>
                      </c:pt>
                      <c:pt idx="48" formatCode="General">
                        <c:v>-19.349319213313162</c:v>
                      </c:pt>
                      <c:pt idx="49" formatCode="General">
                        <c:v>-19.366263237518911</c:v>
                      </c:pt>
                      <c:pt idx="50" formatCode="General">
                        <c:v>-19.38320726172466</c:v>
                      </c:pt>
                      <c:pt idx="51" formatCode="General">
                        <c:v>-19.400151285930409</c:v>
                      </c:pt>
                      <c:pt idx="52" formatCode="General">
                        <c:v>-19.417095310136158</c:v>
                      </c:pt>
                      <c:pt idx="53" formatCode="General">
                        <c:v>-19.434039334341907</c:v>
                      </c:pt>
                      <c:pt idx="54" formatCode="General">
                        <c:v>-19.450983358547656</c:v>
                      </c:pt>
                      <c:pt idx="55" formatCode="General">
                        <c:v>-19.467927382753405</c:v>
                      </c:pt>
                      <c:pt idx="56" formatCode="General">
                        <c:v>-19.484181818181817</c:v>
                      </c:pt>
                      <c:pt idx="57" formatCode="General">
                        <c:v>-19.498727272727272</c:v>
                      </c:pt>
                      <c:pt idx="58" formatCode="General">
                        <c:v>-19.507818181818184</c:v>
                      </c:pt>
                      <c:pt idx="59" formatCode="General">
                        <c:v>-19.498121212121212</c:v>
                      </c:pt>
                      <c:pt idx="60" formatCode="General">
                        <c:v>-19.490787878787877</c:v>
                      </c:pt>
                      <c:pt idx="61" formatCode="General">
                        <c:v>-19.495636363636361</c:v>
                      </c:pt>
                      <c:pt idx="62" formatCode="General">
                        <c:v>-19.500963855421688</c:v>
                      </c:pt>
                      <c:pt idx="63" formatCode="General">
                        <c:v>-19.510602409638555</c:v>
                      </c:pt>
                      <c:pt idx="64" formatCode="General">
                        <c:v>-19.520363636363637</c:v>
                      </c:pt>
                      <c:pt idx="65" formatCode="General">
                        <c:v>-19.534909090909093</c:v>
                      </c:pt>
                      <c:pt idx="66" formatCode="General">
                        <c:v>-19.549454545454545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-19.651255673222391</c:v>
                      </c:pt>
                      <c:pt idx="74" formatCode="General">
                        <c:v>-19.665779122541604</c:v>
                      </c:pt>
                      <c:pt idx="75" formatCode="General">
                        <c:v>-19.680302571860818</c:v>
                      </c:pt>
                      <c:pt idx="76" formatCode="General">
                        <c:v>-19.694826021180031</c:v>
                      </c:pt>
                      <c:pt idx="77" formatCode="General">
                        <c:v>-19.709349470499244</c:v>
                      </c:pt>
                      <c:pt idx="78" formatCode="General">
                        <c:v>-19.723872919818458</c:v>
                      </c:pt>
                      <c:pt idx="79" formatCode="General">
                        <c:v>-19.738396369137671</c:v>
                      </c:pt>
                      <c:pt idx="80" formatCode="General">
                        <c:v>-19.752919818456885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894-4356-9EB2-6A9076CBABE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-63.223636363636359</c:v>
                      </c:pt>
                      <c:pt idx="1">
                        <c:v>-61.720606060606059</c:v>
                      </c:pt>
                      <c:pt idx="2">
                        <c:v>-60.217575757575759</c:v>
                      </c:pt>
                      <c:pt idx="3">
                        <c:v>-58.865818181818177</c:v>
                      </c:pt>
                      <c:pt idx="4" formatCode="General">
                        <c:v>-57.517939393939393</c:v>
                      </c:pt>
                      <c:pt idx="5" formatCode="General">
                        <c:v>-56.298363636363632</c:v>
                      </c:pt>
                      <c:pt idx="6" formatCode="General">
                        <c:v>-55.091090909090902</c:v>
                      </c:pt>
                      <c:pt idx="7" formatCode="General">
                        <c:v>-53.517030303030296</c:v>
                      </c:pt>
                      <c:pt idx="8" formatCode="General">
                        <c:v>-51.878242424242423</c:v>
                      </c:pt>
                      <c:pt idx="9" formatCode="General">
                        <c:v>-50.254819277108432</c:v>
                      </c:pt>
                      <c:pt idx="10" formatCode="General">
                        <c:v>-48.635542168674704</c:v>
                      </c:pt>
                      <c:pt idx="11" formatCode="General">
                        <c:v>-47.095636363636366</c:v>
                      </c:pt>
                      <c:pt idx="12" formatCode="General">
                        <c:v>-45.587757575757578</c:v>
                      </c:pt>
                      <c:pt idx="13" formatCode="General">
                        <c:v>-44.155515151515154</c:v>
                      </c:pt>
                      <c:pt idx="14" formatCode="General">
                        <c:v>-42.764000000000003</c:v>
                      </c:pt>
                      <c:pt idx="15" formatCode="General">
                        <c:v>-41.503131618759454</c:v>
                      </c:pt>
                      <c:pt idx="16" formatCode="General">
                        <c:v>-40.333993948562785</c:v>
                      </c:pt>
                      <c:pt idx="17" formatCode="General">
                        <c:v>-39.164856278366109</c:v>
                      </c:pt>
                      <c:pt idx="18" formatCode="General">
                        <c:v>-37.99571860816944</c:v>
                      </c:pt>
                      <c:pt idx="19" formatCode="General">
                        <c:v>-36.826580937972764</c:v>
                      </c:pt>
                      <c:pt idx="20" formatCode="General">
                        <c:v>-35.657443267776095</c:v>
                      </c:pt>
                      <c:pt idx="21" formatCode="General">
                        <c:v>-34.488305597579426</c:v>
                      </c:pt>
                      <c:pt idx="22" formatCode="General">
                        <c:v>-33.31916792738275</c:v>
                      </c:pt>
                      <c:pt idx="23" formatCode="General">
                        <c:v>-32.206969696969693</c:v>
                      </c:pt>
                      <c:pt idx="24" formatCode="General">
                        <c:v>-31.213030303030301</c:v>
                      </c:pt>
                      <c:pt idx="25" formatCode="General">
                        <c:v>-30.234363636363636</c:v>
                      </c:pt>
                      <c:pt idx="26" formatCode="General">
                        <c:v>-29.298606060606058</c:v>
                      </c:pt>
                      <c:pt idx="27" formatCode="General">
                        <c:v>-28.374484848484848</c:v>
                      </c:pt>
                      <c:pt idx="28" formatCode="General">
                        <c:v>-27.496909090909089</c:v>
                      </c:pt>
                      <c:pt idx="29" formatCode="General">
                        <c:v>-26.626024096385539</c:v>
                      </c:pt>
                      <c:pt idx="30" formatCode="General">
                        <c:v>-25.797108433734937</c:v>
                      </c:pt>
                      <c:pt idx="31" formatCode="General">
                        <c:v>-24.974090909090908</c:v>
                      </c:pt>
                      <c:pt idx="32" formatCode="General">
                        <c:v>-24.239545454545453</c:v>
                      </c:pt>
                      <c:pt idx="33" formatCode="General">
                        <c:v>-23.504999999999999</c:v>
                      </c:pt>
                      <c:pt idx="34" formatCode="General">
                        <c:v>-22.770454545454545</c:v>
                      </c:pt>
                      <c:pt idx="35" formatCode="General">
                        <c:v>-22.03590909090909</c:v>
                      </c:pt>
                      <c:pt idx="36" formatCode="General">
                        <c:v>-21.301363636363636</c:v>
                      </c:pt>
                      <c:pt idx="37" formatCode="General">
                        <c:v>-20.566818181818181</c:v>
                      </c:pt>
                      <c:pt idx="38" formatCode="General">
                        <c:v>-19.832272727272727</c:v>
                      </c:pt>
                      <c:pt idx="39" formatCode="General">
                        <c:v>-19.097727272727273</c:v>
                      </c:pt>
                      <c:pt idx="40" formatCode="General">
                        <c:v>-18.467337367624811</c:v>
                      </c:pt>
                      <c:pt idx="41" formatCode="General">
                        <c:v>-17.860983358547657</c:v>
                      </c:pt>
                      <c:pt idx="42" formatCode="General">
                        <c:v>-17.254629349470502</c:v>
                      </c:pt>
                      <c:pt idx="43" formatCode="General">
                        <c:v>-16.648275340393344</c:v>
                      </c:pt>
                      <c:pt idx="44" formatCode="General">
                        <c:v>-16.041921331316189</c:v>
                      </c:pt>
                      <c:pt idx="45" formatCode="General">
                        <c:v>-15.435567322239033</c:v>
                      </c:pt>
                      <c:pt idx="46" formatCode="General">
                        <c:v>-14.829213313161876</c:v>
                      </c:pt>
                      <c:pt idx="47" formatCode="General">
                        <c:v>-14.222859304084722</c:v>
                      </c:pt>
                      <c:pt idx="48" formatCode="General">
                        <c:v>-13.667494704992437</c:v>
                      </c:pt>
                      <c:pt idx="49" formatCode="General">
                        <c:v>-13.153848714069593</c:v>
                      </c:pt>
                      <c:pt idx="50" formatCode="General">
                        <c:v>-12.640202723146748</c:v>
                      </c:pt>
                      <c:pt idx="51" formatCode="General">
                        <c:v>-12.126556732223904</c:v>
                      </c:pt>
                      <c:pt idx="52" formatCode="General">
                        <c:v>-11.612910741301061</c:v>
                      </c:pt>
                      <c:pt idx="53" formatCode="General">
                        <c:v>-11.099264750378216</c:v>
                      </c:pt>
                      <c:pt idx="54" formatCode="General">
                        <c:v>-10.585618759455372</c:v>
                      </c:pt>
                      <c:pt idx="55" formatCode="General">
                        <c:v>-10.071972768532529</c:v>
                      </c:pt>
                      <c:pt idx="56" formatCode="General">
                        <c:v>-9.5716242424242441</c:v>
                      </c:pt>
                      <c:pt idx="57" formatCode="General">
                        <c:v>-9.104230303030306</c:v>
                      </c:pt>
                      <c:pt idx="58" formatCode="General">
                        <c:v>-8.688981818181821</c:v>
                      </c:pt>
                      <c:pt idx="59" formatCode="General">
                        <c:v>-8.4533454545454561</c:v>
                      </c:pt>
                      <c:pt idx="60" formatCode="General">
                        <c:v>-8.2237757575757584</c:v>
                      </c:pt>
                      <c:pt idx="61" formatCode="General">
                        <c:v>-8.025472727272728</c:v>
                      </c:pt>
                      <c:pt idx="62" formatCode="General">
                        <c:v>-7.8367831325301216</c:v>
                      </c:pt>
                      <c:pt idx="63" formatCode="General">
                        <c:v>-7.7346144578313254</c:v>
                      </c:pt>
                      <c:pt idx="64" formatCode="General">
                        <c:v>-7.6359696969696973</c:v>
                      </c:pt>
                      <c:pt idx="65" formatCode="General">
                        <c:v>-7.6747575757575754</c:v>
                      </c:pt>
                      <c:pt idx="66" formatCode="General">
                        <c:v>-7.7135454545454545</c:v>
                      </c:pt>
                      <c:pt idx="67" formatCode="General">
                        <c:v>-7.7528000000000006</c:v>
                      </c:pt>
                      <c:pt idx="68" formatCode="General">
                        <c:v>-7.7920727272727275</c:v>
                      </c:pt>
                      <c:pt idx="69" formatCode="General">
                        <c:v>-7.832218181818182</c:v>
                      </c:pt>
                      <c:pt idx="70" formatCode="General">
                        <c:v>-7.8724606060606055</c:v>
                      </c:pt>
                      <c:pt idx="71" formatCode="General">
                        <c:v>-7.9131090909090913</c:v>
                      </c:pt>
                      <c:pt idx="72" formatCode="General">
                        <c:v>-7.9538363636363636</c:v>
                      </c:pt>
                      <c:pt idx="73" formatCode="General">
                        <c:v>-7.9963918305597588</c:v>
                      </c:pt>
                      <c:pt idx="74" formatCode="General">
                        <c:v>-8.0394780635400913</c:v>
                      </c:pt>
                      <c:pt idx="75" formatCode="General">
                        <c:v>-8.0825642965204239</c:v>
                      </c:pt>
                      <c:pt idx="76" formatCode="General">
                        <c:v>-8.1256505295007564</c:v>
                      </c:pt>
                      <c:pt idx="77" formatCode="General">
                        <c:v>-8.1687367624810907</c:v>
                      </c:pt>
                      <c:pt idx="78" formatCode="General">
                        <c:v>-8.2118229954614232</c:v>
                      </c:pt>
                      <c:pt idx="79" formatCode="General">
                        <c:v>-8.2549092284417558</c:v>
                      </c:pt>
                      <c:pt idx="80" formatCode="General">
                        <c:v>-8.2979954614220883</c:v>
                      </c:pt>
                      <c:pt idx="81" formatCode="General">
                        <c:v>-8.3441830559757957</c:v>
                      </c:pt>
                      <c:pt idx="82" formatCode="General">
                        <c:v>-8.3933207261724672</c:v>
                      </c:pt>
                      <c:pt idx="83" formatCode="General">
                        <c:v>-8.4424583963691386</c:v>
                      </c:pt>
                      <c:pt idx="84" formatCode="General">
                        <c:v>-8.4915960665658101</c:v>
                      </c:pt>
                      <c:pt idx="85" formatCode="General">
                        <c:v>-8.5407337367624816</c:v>
                      </c:pt>
                      <c:pt idx="86" formatCode="General">
                        <c:v>-8.5898714069591531</c:v>
                      </c:pt>
                      <c:pt idx="87" formatCode="General">
                        <c:v>-8.6390090771558246</c:v>
                      </c:pt>
                      <c:pt idx="88" formatCode="General">
                        <c:v>-8.688146747352496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894-4356-9EB2-6A9076CBABE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-15.639818181818182</c:v>
                      </c:pt>
                      <c:pt idx="1">
                        <c:v>-15.36830303030303</c:v>
                      </c:pt>
                      <c:pt idx="2">
                        <c:v>-15.096787878787879</c:v>
                      </c:pt>
                      <c:pt idx="3">
                        <c:v>-14.853636363636364</c:v>
                      </c:pt>
                      <c:pt idx="4" formatCode="General">
                        <c:v>-14.611212121212121</c:v>
                      </c:pt>
                      <c:pt idx="5" formatCode="General">
                        <c:v>-14.399757575757576</c:v>
                      </c:pt>
                      <c:pt idx="6" formatCode="General">
                        <c:v>-14.191272727272727</c:v>
                      </c:pt>
                      <c:pt idx="7" formatCode="General">
                        <c:v>-13.694303030303029</c:v>
                      </c:pt>
                      <c:pt idx="8" formatCode="General">
                        <c:v>-13.14642424242424</c:v>
                      </c:pt>
                      <c:pt idx="9" formatCode="General">
                        <c:v>-12.563192771084337</c:v>
                      </c:pt>
                      <c:pt idx="10" formatCode="General">
                        <c:v>-11.970421686746988</c:v>
                      </c:pt>
                      <c:pt idx="11" formatCode="General">
                        <c:v>-11.409636363636364</c:v>
                      </c:pt>
                      <c:pt idx="12" formatCode="General">
                        <c:v>-10.861757575757576</c:v>
                      </c:pt>
                      <c:pt idx="13" formatCode="General">
                        <c:v>-10.337515151515152</c:v>
                      </c:pt>
                      <c:pt idx="14" formatCode="General">
                        <c:v>-9.8260000000000005</c:v>
                      </c:pt>
                      <c:pt idx="15" formatCode="General">
                        <c:v>-9.3608018154311647</c:v>
                      </c:pt>
                      <c:pt idx="16" formatCode="General">
                        <c:v>-8.9281240544629359</c:v>
                      </c:pt>
                      <c:pt idx="17" formatCode="General">
                        <c:v>-8.4954462934947053</c:v>
                      </c:pt>
                      <c:pt idx="18" formatCode="General">
                        <c:v>-8.0627685325264746</c:v>
                      </c:pt>
                      <c:pt idx="19" formatCode="General">
                        <c:v>-7.6300907715582449</c:v>
                      </c:pt>
                      <c:pt idx="20" formatCode="General">
                        <c:v>-7.1974130105900151</c:v>
                      </c:pt>
                      <c:pt idx="21" formatCode="General">
                        <c:v>-6.7647352496217845</c:v>
                      </c:pt>
                      <c:pt idx="22" formatCode="General">
                        <c:v>-6.3320574886535539</c:v>
                      </c:pt>
                      <c:pt idx="23" formatCode="General">
                        <c:v>-5.9196121212121202</c:v>
                      </c:pt>
                      <c:pt idx="24" formatCode="General">
                        <c:v>-5.5491878787878779</c:v>
                      </c:pt>
                      <c:pt idx="25" formatCode="General">
                        <c:v>-5.1839818181818167</c:v>
                      </c:pt>
                      <c:pt idx="26" formatCode="General">
                        <c:v>-4.8334363636363626</c:v>
                      </c:pt>
                      <c:pt idx="27" formatCode="General">
                        <c:v>-4.5105272727272725</c:v>
                      </c:pt>
                      <c:pt idx="28" formatCode="General">
                        <c:v>-4.2981636363636362</c:v>
                      </c:pt>
                      <c:pt idx="29" formatCode="General">
                        <c:v>-4.1176506024096389</c:v>
                      </c:pt>
                      <c:pt idx="30" formatCode="General">
                        <c:v>-4.1369277108433735</c:v>
                      </c:pt>
                      <c:pt idx="31" formatCode="General">
                        <c:v>-4.1562272727272731</c:v>
                      </c:pt>
                      <c:pt idx="32" formatCode="General">
                        <c:v>-4.175863636363637</c:v>
                      </c:pt>
                      <c:pt idx="33" formatCode="General">
                        <c:v>-4.1955</c:v>
                      </c:pt>
                      <c:pt idx="34" formatCode="General">
                        <c:v>-4.2151363636363639</c:v>
                      </c:pt>
                      <c:pt idx="35" formatCode="General">
                        <c:v>-4.2347727272727278</c:v>
                      </c:pt>
                      <c:pt idx="36" formatCode="General">
                        <c:v>-4.2544090909090908</c:v>
                      </c:pt>
                      <c:pt idx="37" formatCode="General">
                        <c:v>-4.2740454545454547</c:v>
                      </c:pt>
                      <c:pt idx="38" formatCode="General">
                        <c:v>-4.2936818181818186</c:v>
                      </c:pt>
                      <c:pt idx="39" formatCode="General">
                        <c:v>-4.3133181818181816</c:v>
                      </c:pt>
                      <c:pt idx="40" formatCode="General">
                        <c:v>-4.3331270801815434</c:v>
                      </c:pt>
                      <c:pt idx="41" formatCode="General">
                        <c:v>-4.3529757942511349</c:v>
                      </c:pt>
                      <c:pt idx="42" formatCode="General">
                        <c:v>-4.3728245083207264</c:v>
                      </c:pt>
                      <c:pt idx="43" formatCode="General">
                        <c:v>-4.392673222390318</c:v>
                      </c:pt>
                      <c:pt idx="44" formatCode="General">
                        <c:v>-4.4125219364599095</c:v>
                      </c:pt>
                      <c:pt idx="45" formatCode="General">
                        <c:v>-4.4323706505295011</c:v>
                      </c:pt>
                      <c:pt idx="46" formatCode="General">
                        <c:v>-4.4522193645990917</c:v>
                      </c:pt>
                      <c:pt idx="47" formatCode="General">
                        <c:v>-4.4720680786686833</c:v>
                      </c:pt>
                      <c:pt idx="48" formatCode="General">
                        <c:v>-4.4917836611195154</c:v>
                      </c:pt>
                      <c:pt idx="49" formatCode="General">
                        <c:v>-4.511390317700454</c:v>
                      </c:pt>
                      <c:pt idx="50" formatCode="General">
                        <c:v>-4.5309969742813916</c:v>
                      </c:pt>
                      <c:pt idx="51" formatCode="General">
                        <c:v>-4.5506036308623292</c:v>
                      </c:pt>
                      <c:pt idx="52" formatCode="General">
                        <c:v>-4.5702102874432677</c:v>
                      </c:pt>
                      <c:pt idx="53" formatCode="General">
                        <c:v>-4.5898169440242054</c:v>
                      </c:pt>
                      <c:pt idx="54" formatCode="General">
                        <c:v>-4.6094236006051439</c:v>
                      </c:pt>
                      <c:pt idx="55" formatCode="General">
                        <c:v>-4.6290302571860815</c:v>
                      </c:pt>
                      <c:pt idx="56" formatCode="General">
                        <c:v>-4.6485757575757569</c:v>
                      </c:pt>
                      <c:pt idx="57" formatCode="General">
                        <c:v>-4.6679696969696964</c:v>
                      </c:pt>
                      <c:pt idx="58" formatCode="General">
                        <c:v>-4.6872545454545449</c:v>
                      </c:pt>
                      <c:pt idx="59" formatCode="General">
                        <c:v>-4.7061636363636365</c:v>
                      </c:pt>
                      <c:pt idx="60" formatCode="General">
                        <c:v>-4.7251515151515155</c:v>
                      </c:pt>
                      <c:pt idx="61" formatCode="General">
                        <c:v>-4.7445454545454542</c:v>
                      </c:pt>
                      <c:pt idx="62" formatCode="General">
                        <c:v>-4.7638795180722884</c:v>
                      </c:pt>
                      <c:pt idx="63" formatCode="General">
                        <c:v>-4.7826746987951809</c:v>
                      </c:pt>
                      <c:pt idx="64" formatCode="General">
                        <c:v>-4.8014727272727278</c:v>
                      </c:pt>
                      <c:pt idx="65" formatCode="General">
                        <c:v>-4.8203818181818185</c:v>
                      </c:pt>
                      <c:pt idx="66" formatCode="General">
                        <c:v>-4.8392909090909093</c:v>
                      </c:pt>
                      <c:pt idx="67" formatCode="General">
                        <c:v>-4.857733333333333</c:v>
                      </c:pt>
                      <c:pt idx="68" formatCode="General">
                        <c:v>-4.8761575757575759</c:v>
                      </c:pt>
                      <c:pt idx="69" formatCode="General">
                        <c:v>-4.8950181818181822</c:v>
                      </c:pt>
                      <c:pt idx="70" formatCode="General">
                        <c:v>-4.9139272727272729</c:v>
                      </c:pt>
                      <c:pt idx="71" formatCode="General">
                        <c:v>-4.9324303030303032</c:v>
                      </c:pt>
                      <c:pt idx="72" formatCode="General">
                        <c:v>-4.9508545454545452</c:v>
                      </c:pt>
                      <c:pt idx="73" formatCode="General">
                        <c:v>-4.9689757942511346</c:v>
                      </c:pt>
                      <c:pt idx="74" formatCode="General">
                        <c:v>-4.9870090771558244</c:v>
                      </c:pt>
                      <c:pt idx="75" formatCode="General">
                        <c:v>-5.0050423600605143</c:v>
                      </c:pt>
                      <c:pt idx="76" formatCode="General">
                        <c:v>-5.0230756429652041</c:v>
                      </c:pt>
                      <c:pt idx="77" formatCode="General">
                        <c:v>-5.041108925869894</c:v>
                      </c:pt>
                      <c:pt idx="78" formatCode="General">
                        <c:v>-5.0591422087745839</c:v>
                      </c:pt>
                      <c:pt idx="79" formatCode="General">
                        <c:v>-5.0771754916792737</c:v>
                      </c:pt>
                      <c:pt idx="80" formatCode="General">
                        <c:v>-5.0952087745839636</c:v>
                      </c:pt>
                      <c:pt idx="81" formatCode="General">
                        <c:v>-5.1129939485627833</c:v>
                      </c:pt>
                      <c:pt idx="82" formatCode="General">
                        <c:v>-5.1305431164901663</c:v>
                      </c:pt>
                      <c:pt idx="83" formatCode="General">
                        <c:v>-5.1480922844175492</c:v>
                      </c:pt>
                      <c:pt idx="84" formatCode="General">
                        <c:v>-5.1656414523449321</c:v>
                      </c:pt>
                      <c:pt idx="85" formatCode="General">
                        <c:v>-5.1831906202723141</c:v>
                      </c:pt>
                      <c:pt idx="86" formatCode="General">
                        <c:v>-5.2007397881996971</c:v>
                      </c:pt>
                      <c:pt idx="87" formatCode="General">
                        <c:v>-5.21828895612708</c:v>
                      </c:pt>
                      <c:pt idx="88" formatCode="General">
                        <c:v>-5.2358381240544629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894-4356-9EB2-6A9076CBABE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-22.391999999999999</c:v>
                      </c:pt>
                      <c:pt idx="1">
                        <c:v>-21.911999999999999</c:v>
                      </c:pt>
                      <c:pt idx="2">
                        <c:v>-21.432000000000002</c:v>
                      </c:pt>
                      <c:pt idx="3">
                        <c:v>-21.004000000000001</c:v>
                      </c:pt>
                      <c:pt idx="4" formatCode="General">
                        <c:v>-20.577333333333332</c:v>
                      </c:pt>
                      <c:pt idx="5" formatCode="General">
                        <c:v>-20.194909090909089</c:v>
                      </c:pt>
                      <c:pt idx="6" formatCode="General">
                        <c:v>-19.816727272727274</c:v>
                      </c:pt>
                      <c:pt idx="7" formatCode="General">
                        <c:v>-19.772363636363636</c:v>
                      </c:pt>
                      <c:pt idx="8" formatCode="General">
                        <c:v>-19.786909090909091</c:v>
                      </c:pt>
                      <c:pt idx="9" formatCode="General">
                        <c:v>-19.881084337349396</c:v>
                      </c:pt>
                      <c:pt idx="10" formatCode="General">
                        <c:v>-19.996746987951809</c:v>
                      </c:pt>
                      <c:pt idx="11" formatCode="General">
                        <c:v>-20.116363636363637</c:v>
                      </c:pt>
                      <c:pt idx="12" formatCode="General">
                        <c:v>-20.237575757575758</c:v>
                      </c:pt>
                      <c:pt idx="13" formatCode="General">
                        <c:v>-20.355636363636364</c:v>
                      </c:pt>
                      <c:pt idx="14" formatCode="General">
                        <c:v>-20.472000000000001</c:v>
                      </c:pt>
                      <c:pt idx="15" formatCode="General">
                        <c:v>-20.591104387291981</c:v>
                      </c:pt>
                      <c:pt idx="16" formatCode="General">
                        <c:v>-20.71213313161876</c:v>
                      </c:pt>
                      <c:pt idx="17" formatCode="General">
                        <c:v>-20.833161875945535</c:v>
                      </c:pt>
                      <c:pt idx="18" formatCode="General">
                        <c:v>-20.954190620272314</c:v>
                      </c:pt>
                      <c:pt idx="19" formatCode="General">
                        <c:v>-21.075219364599093</c:v>
                      </c:pt>
                      <c:pt idx="20" formatCode="General">
                        <c:v>-21.196248108925868</c:v>
                      </c:pt>
                      <c:pt idx="21" formatCode="General">
                        <c:v>-21.317276853252647</c:v>
                      </c:pt>
                      <c:pt idx="22" formatCode="General">
                        <c:v>-21.438305597579426</c:v>
                      </c:pt>
                      <c:pt idx="23" formatCode="General">
                        <c:v>-21.559393939393939</c:v>
                      </c:pt>
                      <c:pt idx="24" formatCode="General">
                        <c:v>-21.68060606060606</c:v>
                      </c:pt>
                      <c:pt idx="25" formatCode="General">
                        <c:v>-21.801818181818181</c:v>
                      </c:pt>
                      <c:pt idx="26" formatCode="General">
                        <c:v>-21.923030303030302</c:v>
                      </c:pt>
                      <c:pt idx="27" formatCode="General">
                        <c:v>-22.044242424242423</c:v>
                      </c:pt>
                      <c:pt idx="28" formatCode="General">
                        <c:v>-22.165454545454544</c:v>
                      </c:pt>
                      <c:pt idx="29" formatCode="General">
                        <c:v>-22.28590361445783</c:v>
                      </c:pt>
                      <c:pt idx="30" formatCode="General">
                        <c:v>-22.401566265060243</c:v>
                      </c:pt>
                      <c:pt idx="31" formatCode="General">
                        <c:v>-22.517348484848487</c:v>
                      </c:pt>
                      <c:pt idx="32" formatCode="General">
                        <c:v>-22.634924242424244</c:v>
                      </c:pt>
                      <c:pt idx="33" formatCode="General">
                        <c:v>-22.752500000000001</c:v>
                      </c:pt>
                      <c:pt idx="34" formatCode="General">
                        <c:v>-22.870075757575759</c:v>
                      </c:pt>
                      <c:pt idx="35" formatCode="General">
                        <c:v>-22.987651515151516</c:v>
                      </c:pt>
                      <c:pt idx="36" formatCode="General">
                        <c:v>-23.105227272727273</c:v>
                      </c:pt>
                      <c:pt idx="37" formatCode="General">
                        <c:v>-23.22280303030303</c:v>
                      </c:pt>
                      <c:pt idx="38" formatCode="General">
                        <c:v>-23.340378787878787</c:v>
                      </c:pt>
                      <c:pt idx="39" formatCode="General">
                        <c:v>-23.457954545454545</c:v>
                      </c:pt>
                      <c:pt idx="40" formatCode="General">
                        <c:v>-23.57145234493192</c:v>
                      </c:pt>
                      <c:pt idx="41" formatCode="General">
                        <c:v>-23.684009077155824</c:v>
                      </c:pt>
                      <c:pt idx="42" formatCode="General">
                        <c:v>-23.796565809379729</c:v>
                      </c:pt>
                      <c:pt idx="43" formatCode="General">
                        <c:v>-23.909122541603629</c:v>
                      </c:pt>
                      <c:pt idx="44" formatCode="General">
                        <c:v>-24.021679273827534</c:v>
                      </c:pt>
                      <c:pt idx="45" formatCode="General">
                        <c:v>-24.134236006051438</c:v>
                      </c:pt>
                      <c:pt idx="46" formatCode="General">
                        <c:v>-24.246792738275339</c:v>
                      </c:pt>
                      <c:pt idx="47" formatCode="General">
                        <c:v>-24.359349470499243</c:v>
                      </c:pt>
                      <c:pt idx="48" formatCode="General">
                        <c:v>-24.469909228441754</c:v>
                      </c:pt>
                      <c:pt idx="49" formatCode="General">
                        <c:v>-24.578835098335855</c:v>
                      </c:pt>
                      <c:pt idx="50" formatCode="General">
                        <c:v>-24.687760968229952</c:v>
                      </c:pt>
                      <c:pt idx="51" formatCode="General">
                        <c:v>-24.796686838124053</c:v>
                      </c:pt>
                      <c:pt idx="52" formatCode="General">
                        <c:v>-24.905612708018154</c:v>
                      </c:pt>
                      <c:pt idx="53" formatCode="General">
                        <c:v>-25.014538577912251</c:v>
                      </c:pt>
                      <c:pt idx="54" formatCode="General">
                        <c:v>-25.123464447806352</c:v>
                      </c:pt>
                      <c:pt idx="55" formatCode="General">
                        <c:v>-25.232390317700453</c:v>
                      </c:pt>
                      <c:pt idx="56" formatCode="General">
                        <c:v>-25.340666666666664</c:v>
                      </c:pt>
                      <c:pt idx="57" formatCode="General">
                        <c:v>-25.447333333333333</c:v>
                      </c:pt>
                      <c:pt idx="58" formatCode="General">
                        <c:v>-25.554000000000002</c:v>
                      </c:pt>
                      <c:pt idx="59" formatCode="General">
                        <c:v>-25.660666666666668</c:v>
                      </c:pt>
                      <c:pt idx="60" formatCode="General">
                        <c:v>-25.766545454545454</c:v>
                      </c:pt>
                      <c:pt idx="61" formatCode="General">
                        <c:v>-25.868363636363636</c:v>
                      </c:pt>
                      <c:pt idx="62" formatCode="General">
                        <c:v>-25.970602409638555</c:v>
                      </c:pt>
                      <c:pt idx="63" formatCode="General">
                        <c:v>-26.076626506024098</c:v>
                      </c:pt>
                      <c:pt idx="64" formatCode="General">
                        <c:v>-26.182545454545455</c:v>
                      </c:pt>
                      <c:pt idx="65" formatCode="General">
                        <c:v>-26.284363636363636</c:v>
                      </c:pt>
                      <c:pt idx="66" formatCode="General">
                        <c:v>-26.386181818181818</c:v>
                      </c:pt>
                      <c:pt idx="67" formatCode="General">
                        <c:v>-26.488000000000003</c:v>
                      </c:pt>
                      <c:pt idx="68" formatCode="General">
                        <c:v>-26.589818181818185</c:v>
                      </c:pt>
                      <c:pt idx="69" formatCode="General">
                        <c:v>-26.691636363636363</c:v>
                      </c:pt>
                      <c:pt idx="70" formatCode="General">
                        <c:v>-26.793454545454544</c:v>
                      </c:pt>
                      <c:pt idx="71" formatCode="General">
                        <c:v>-26.895272727272726</c:v>
                      </c:pt>
                      <c:pt idx="72" formatCode="General">
                        <c:v>-26.997090909090907</c:v>
                      </c:pt>
                      <c:pt idx="73" formatCode="General">
                        <c:v>-27.095975794251135</c:v>
                      </c:pt>
                      <c:pt idx="74" formatCode="General">
                        <c:v>-27.194009077155826</c:v>
                      </c:pt>
                      <c:pt idx="75" formatCode="General">
                        <c:v>-27.292042360060513</c:v>
                      </c:pt>
                      <c:pt idx="76" formatCode="General">
                        <c:v>-27.390075642965204</c:v>
                      </c:pt>
                      <c:pt idx="77" formatCode="General">
                        <c:v>-27.488108925869895</c:v>
                      </c:pt>
                      <c:pt idx="78" formatCode="General">
                        <c:v>-27.586142208774582</c:v>
                      </c:pt>
                      <c:pt idx="79" formatCode="General">
                        <c:v>-27.684175491679273</c:v>
                      </c:pt>
                      <c:pt idx="80" formatCode="General">
                        <c:v>-27.782208774583964</c:v>
                      </c:pt>
                      <c:pt idx="81" formatCode="General">
                        <c:v>-27.879001512859304</c:v>
                      </c:pt>
                      <c:pt idx="82" formatCode="General">
                        <c:v>-27.974614220877456</c:v>
                      </c:pt>
                      <c:pt idx="83" formatCode="General">
                        <c:v>-28.070226928895611</c:v>
                      </c:pt>
                      <c:pt idx="84" formatCode="General">
                        <c:v>-28.165839636913766</c:v>
                      </c:pt>
                      <c:pt idx="85" formatCode="General">
                        <c:v>-28.261452344931921</c:v>
                      </c:pt>
                      <c:pt idx="86" formatCode="General">
                        <c:v>-28.357065052950077</c:v>
                      </c:pt>
                      <c:pt idx="87" formatCode="General">
                        <c:v>-28.452677760968232</c:v>
                      </c:pt>
                      <c:pt idx="88" formatCode="General">
                        <c:v>-28.548290468986384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894-4356-9EB2-6A9076CBABE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894-4356-9EB2-6A9076CBABE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894-4356-9EB2-6A9076CBABE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894-4356-9EB2-6A9076CBABE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894-4356-9EB2-6A9076CBABE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894-4356-9EB2-6A9076CBABE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894-4356-9EB2-6A9076CBABE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894-4356-9EB2-6A9076CBABE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894-4356-9EB2-6A9076CBABE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894-4356-9EB2-6A9076CBABE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894-4356-9EB2-6A9076CBABE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894-4356-9EB2-6A9076CBABE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894-4356-9EB2-6A9076CBABE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894-4356-9EB2-6A9076CBABE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894-4356-9EB2-6A9076CBABE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894-4356-9EB2-6A9076CBABE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894-4356-9EB2-6A9076CBABE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894-4356-9EB2-6A9076CBABE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894-4356-9EB2-6A9076CBABE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894-4356-9EB2-6A9076CBABE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-149.43218181818182</c:v>
                      </c:pt>
                      <c:pt idx="1">
                        <c:v>-145.75703030303029</c:v>
                      </c:pt>
                      <c:pt idx="2">
                        <c:v>-142.08187878787879</c:v>
                      </c:pt>
                      <c:pt idx="3">
                        <c:v>-138.59109090909092</c:v>
                      </c:pt>
                      <c:pt idx="4" formatCode="General">
                        <c:v>-135.1050303030303</c:v>
                      </c:pt>
                      <c:pt idx="5" formatCode="General">
                        <c:v>-131.74284848484848</c:v>
                      </c:pt>
                      <c:pt idx="6" formatCode="General">
                        <c:v>-128.39254545454546</c:v>
                      </c:pt>
                      <c:pt idx="7" formatCode="General">
                        <c:v>-125.4045537065053</c:v>
                      </c:pt>
                      <c:pt idx="8" formatCode="General">
                        <c:v>-122.48049924357035</c:v>
                      </c:pt>
                      <c:pt idx="9" formatCode="General">
                        <c:v>-119.5564447806354</c:v>
                      </c:pt>
                      <c:pt idx="10" formatCode="General">
                        <c:v>-116.63239031770046</c:v>
                      </c:pt>
                      <c:pt idx="11" formatCode="General">
                        <c:v>-113.70833585476551</c:v>
                      </c:pt>
                      <c:pt idx="12" formatCode="General">
                        <c:v>-110.78428139183055</c:v>
                      </c:pt>
                      <c:pt idx="13" formatCode="General">
                        <c:v>-107.8602269288956</c:v>
                      </c:pt>
                      <c:pt idx="14" formatCode="General">
                        <c:v>-104.93617246596065</c:v>
                      </c:pt>
                      <c:pt idx="15" formatCode="General">
                        <c:v>-102.31145454545454</c:v>
                      </c:pt>
                      <c:pt idx="16" formatCode="General">
                        <c:v>-99.896909090909091</c:v>
                      </c:pt>
                      <c:pt idx="17" formatCode="General">
                        <c:v>-97.589272727272729</c:v>
                      </c:pt>
                      <c:pt idx="18" formatCode="General">
                        <c:v>-95.378363636363645</c:v>
                      </c:pt>
                      <c:pt idx="19" formatCode="General">
                        <c:v>-93.265000000000001</c:v>
                      </c:pt>
                      <c:pt idx="20" formatCode="General">
                        <c:v>-91.264999999999986</c:v>
                      </c:pt>
                      <c:pt idx="21" formatCode="General">
                        <c:v>-89.318545454545443</c:v>
                      </c:pt>
                      <c:pt idx="22" formatCode="General">
                        <c:v>-87.456727272727264</c:v>
                      </c:pt>
                      <c:pt idx="23" formatCode="General">
                        <c:v>-85.63430303030303</c:v>
                      </c:pt>
                      <c:pt idx="24" formatCode="General">
                        <c:v>-83.893696969696961</c:v>
                      </c:pt>
                      <c:pt idx="25" formatCode="General">
                        <c:v>-82.177272727272722</c:v>
                      </c:pt>
                      <c:pt idx="26" formatCode="General">
                        <c:v>-80.528787878787881</c:v>
                      </c:pt>
                      <c:pt idx="27" formatCode="General">
                        <c:v>-78.8929090909091</c:v>
                      </c:pt>
                      <c:pt idx="28" formatCode="General">
                        <c:v>-77.307454545454547</c:v>
                      </c:pt>
                      <c:pt idx="29" formatCode="General">
                        <c:v>-75.733253012048181</c:v>
                      </c:pt>
                      <c:pt idx="30" formatCode="General">
                        <c:v>-74.229638554216862</c:v>
                      </c:pt>
                      <c:pt idx="31" formatCode="General">
                        <c:v>-72.72999999999999</c:v>
                      </c:pt>
                      <c:pt idx="32" formatCode="General">
                        <c:v>-71.289999999999992</c:v>
                      </c:pt>
                      <c:pt idx="33" formatCode="General">
                        <c:v>-69.849999999999994</c:v>
                      </c:pt>
                      <c:pt idx="34" formatCode="General">
                        <c:v>-68.47787878787878</c:v>
                      </c:pt>
                      <c:pt idx="35" formatCode="General">
                        <c:v>-67.105757575757565</c:v>
                      </c:pt>
                      <c:pt idx="36" formatCode="General">
                        <c:v>-65.792727272727262</c:v>
                      </c:pt>
                      <c:pt idx="37" formatCode="General">
                        <c:v>-64.48363636363635</c:v>
                      </c:pt>
                      <c:pt idx="38" formatCode="General">
                        <c:v>-63.229696969696967</c:v>
                      </c:pt>
                      <c:pt idx="39" formatCode="General">
                        <c:v>-61.983636363636364</c:v>
                      </c:pt>
                      <c:pt idx="40" formatCode="General">
                        <c:v>-60.802409638554217</c:v>
                      </c:pt>
                      <c:pt idx="41" formatCode="General">
                        <c:v>-59.636144578313257</c:v>
                      </c:pt>
                      <c:pt idx="42" formatCode="General">
                        <c:v>-58.496848484848485</c:v>
                      </c:pt>
                      <c:pt idx="43" formatCode="General">
                        <c:v>-57.367151515151519</c:v>
                      </c:pt>
                      <c:pt idx="44" formatCode="General">
                        <c:v>-56.283272727272731</c:v>
                      </c:pt>
                      <c:pt idx="45" formatCode="General">
                        <c:v>-55.221454545454549</c:v>
                      </c:pt>
                      <c:pt idx="46" formatCode="General">
                        <c:v>-54.20121212121213</c:v>
                      </c:pt>
                      <c:pt idx="47" formatCode="General">
                        <c:v>-53.207272727272738</c:v>
                      </c:pt>
                      <c:pt idx="48" formatCode="General">
                        <c:v>-52.403207261724667</c:v>
                      </c:pt>
                      <c:pt idx="49" formatCode="General">
                        <c:v>-51.75449319213314</c:v>
                      </c:pt>
                      <c:pt idx="50" formatCode="General">
                        <c:v>-51.105779122541612</c:v>
                      </c:pt>
                      <c:pt idx="51" formatCode="General">
                        <c:v>-50.457065052950078</c:v>
                      </c:pt>
                      <c:pt idx="52" formatCode="General">
                        <c:v>-49.808350983358551</c:v>
                      </c:pt>
                      <c:pt idx="53" formatCode="General">
                        <c:v>-49.159636913767024</c:v>
                      </c:pt>
                      <c:pt idx="54" formatCode="General">
                        <c:v>-48.510922844175496</c:v>
                      </c:pt>
                      <c:pt idx="55" formatCode="General">
                        <c:v>-47.862208774583969</c:v>
                      </c:pt>
                      <c:pt idx="56" formatCode="General">
                        <c:v>-47.319204236006051</c:v>
                      </c:pt>
                      <c:pt idx="57" formatCode="General">
                        <c:v>-47.038175491679276</c:v>
                      </c:pt>
                      <c:pt idx="58" formatCode="General">
                        <c:v>-46.757146747352493</c:v>
                      </c:pt>
                      <c:pt idx="59" formatCode="General">
                        <c:v>-46.476118003025718</c:v>
                      </c:pt>
                      <c:pt idx="60" formatCode="General">
                        <c:v>-46.195089258698943</c:v>
                      </c:pt>
                      <c:pt idx="61" formatCode="General">
                        <c:v>-45.914060514372167</c:v>
                      </c:pt>
                      <c:pt idx="62" formatCode="General">
                        <c:v>-45.633031770045385</c:v>
                      </c:pt>
                      <c:pt idx="63" formatCode="General">
                        <c:v>-45.352003025718609</c:v>
                      </c:pt>
                      <c:pt idx="64" formatCode="General">
                        <c:v>-45.072787878787878</c:v>
                      </c:pt>
                      <c:pt idx="65" formatCode="General">
                        <c:v>-44.864303030303027</c:v>
                      </c:pt>
                      <c:pt idx="66" formatCode="General">
                        <c:v>-44.655818181818177</c:v>
                      </c:pt>
                      <c:pt idx="67" formatCode="General">
                        <c:v>-44.465066666666665</c:v>
                      </c:pt>
                      <c:pt idx="68" formatCode="General">
                        <c:v>-44.27500606060606</c:v>
                      </c:pt>
                      <c:pt idx="69" formatCode="General">
                        <c:v>-44.105018181818181</c:v>
                      </c:pt>
                      <c:pt idx="70" formatCode="General">
                        <c:v>-43.937260606060605</c:v>
                      </c:pt>
                      <c:pt idx="71" formatCode="General">
                        <c:v>-43.780872727272722</c:v>
                      </c:pt>
                      <c:pt idx="72" formatCode="General">
                        <c:v>-43.626690909090904</c:v>
                      </c:pt>
                      <c:pt idx="73" formatCode="General">
                        <c:v>-43.497132530120481</c:v>
                      </c:pt>
                      <c:pt idx="74" formatCode="General">
                        <c:v>-43.374722891566265</c:v>
                      </c:pt>
                      <c:pt idx="75" formatCode="General">
                        <c:v>-43.437781818181818</c:v>
                      </c:pt>
                      <c:pt idx="76" formatCode="General">
                        <c:v>-43.580327272727274</c:v>
                      </c:pt>
                      <c:pt idx="77" formatCode="General">
                        <c:v>-43.727200000000003</c:v>
                      </c:pt>
                      <c:pt idx="78" formatCode="General">
                        <c:v>-43.876533333333334</c:v>
                      </c:pt>
                      <c:pt idx="79" formatCode="General">
                        <c:v>-44.024751515151515</c:v>
                      </c:pt>
                      <c:pt idx="80" formatCode="General">
                        <c:v>-44.172145454545458</c:v>
                      </c:pt>
                      <c:pt idx="81" formatCode="General">
                        <c:v>-44.320293494704991</c:v>
                      </c:pt>
                      <c:pt idx="82" formatCode="General">
                        <c:v>-44.469158850226925</c:v>
                      </c:pt>
                      <c:pt idx="83" formatCode="General">
                        <c:v>-44.618024205748867</c:v>
                      </c:pt>
                      <c:pt idx="84" formatCode="General">
                        <c:v>-44.766889561270801</c:v>
                      </c:pt>
                      <c:pt idx="85" formatCode="General">
                        <c:v>-44.915754916792736</c:v>
                      </c:pt>
                      <c:pt idx="86" formatCode="General">
                        <c:v>-45.06462027231467</c:v>
                      </c:pt>
                      <c:pt idx="87" formatCode="General">
                        <c:v>-45.213485627836612</c:v>
                      </c:pt>
                      <c:pt idx="88" formatCode="General">
                        <c:v>-45.362350983358546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894-4356-9EB2-6A9076CBABE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894-4356-9EB2-6A9076CBABE1}"/>
                  </c:ext>
                </c:extLst>
              </c15:ser>
            </c15:filteredScatterSeries>
            <c15:filteredScatterSeries>
              <c15:ser>
                <c:idx val="36"/>
                <c:order val="3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894-4356-9EB2-6A9076CBABE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-61.256727272727268</c:v>
                      </c:pt>
                      <c:pt idx="1">
                        <c:v>-60.102787878787879</c:v>
                      </c:pt>
                      <c:pt idx="2">
                        <c:v>-58.948848484848483</c:v>
                      </c:pt>
                      <c:pt idx="3">
                        <c:v>-58.021818181818183</c:v>
                      </c:pt>
                      <c:pt idx="4" formatCode="General">
                        <c:v>-57.100606060606061</c:v>
                      </c:pt>
                      <c:pt idx="5" formatCode="General">
                        <c:v>-56.365212121212124</c:v>
                      </c:pt>
                      <c:pt idx="6" formatCode="General">
                        <c:v>-55.647636363636359</c:v>
                      </c:pt>
                      <c:pt idx="7" formatCode="General">
                        <c:v>-55.20318910741301</c:v>
                      </c:pt>
                      <c:pt idx="8" formatCode="General">
                        <c:v>-54.806940998487143</c:v>
                      </c:pt>
                      <c:pt idx="9" formatCode="General">
                        <c:v>-54.410692889561268</c:v>
                      </c:pt>
                      <c:pt idx="10" formatCode="General">
                        <c:v>-54.014444780635401</c:v>
                      </c:pt>
                      <c:pt idx="11" formatCode="General">
                        <c:v>-53.618196671709526</c:v>
                      </c:pt>
                      <c:pt idx="12" formatCode="General">
                        <c:v>-53.221948562783659</c:v>
                      </c:pt>
                      <c:pt idx="13" formatCode="General">
                        <c:v>-52.825700453857792</c:v>
                      </c:pt>
                      <c:pt idx="14" formatCode="General">
                        <c:v>-52.429452344931917</c:v>
                      </c:pt>
                      <c:pt idx="15" formatCode="General">
                        <c:v>-52.126709090909088</c:v>
                      </c:pt>
                      <c:pt idx="16" formatCode="General">
                        <c:v>-51.889618181818186</c:v>
                      </c:pt>
                      <c:pt idx="17" formatCode="General">
                        <c:v>-51.679509090909093</c:v>
                      </c:pt>
                      <c:pt idx="18" formatCode="General">
                        <c:v>-51.493812121212123</c:v>
                      </c:pt>
                      <c:pt idx="19" formatCode="General">
                        <c:v>-51.332704819277112</c:v>
                      </c:pt>
                      <c:pt idx="20" formatCode="General">
                        <c:v>-51.20017469879518</c:v>
                      </c:pt>
                      <c:pt idx="21" formatCode="General">
                        <c:v>-51.094763636363638</c:v>
                      </c:pt>
                      <c:pt idx="22" formatCode="General">
                        <c:v>-51.03221818181818</c:v>
                      </c:pt>
                      <c:pt idx="23" formatCode="General">
                        <c:v>-50.995830303030303</c:v>
                      </c:pt>
                      <c:pt idx="24" formatCode="General">
                        <c:v>-51.013769696969696</c:v>
                      </c:pt>
                      <c:pt idx="25" formatCode="General">
                        <c:v>-51.053854545454548</c:v>
                      </c:pt>
                      <c:pt idx="26" formatCode="General">
                        <c:v>-51.156157575757575</c:v>
                      </c:pt>
                      <c:pt idx="27" formatCode="General">
                        <c:v>-51.272133333333336</c:v>
                      </c:pt>
                      <c:pt idx="28" formatCode="General">
                        <c:v>-51.442799999999998</c:v>
                      </c:pt>
                      <c:pt idx="29" formatCode="General">
                        <c:v>-51.617963855421685</c:v>
                      </c:pt>
                      <c:pt idx="30" formatCode="General">
                        <c:v>-51.821337349397588</c:v>
                      </c:pt>
                      <c:pt idx="31" formatCode="General">
                        <c:v>-52.026212121212119</c:v>
                      </c:pt>
                      <c:pt idx="32" formatCode="General">
                        <c:v>-52.25360606060606</c:v>
                      </c:pt>
                      <c:pt idx="33" formatCode="General">
                        <c:v>-52.480999999999995</c:v>
                      </c:pt>
                      <c:pt idx="34" formatCode="General">
                        <c:v>-52.716151515151516</c:v>
                      </c:pt>
                      <c:pt idx="35" formatCode="General">
                        <c:v>-52.951303030303031</c:v>
                      </c:pt>
                      <c:pt idx="36" formatCode="General">
                        <c:v>-53.198727272727275</c:v>
                      </c:pt>
                      <c:pt idx="37" formatCode="General">
                        <c:v>-53.446969696969695</c:v>
                      </c:pt>
                      <c:pt idx="38" formatCode="General">
                        <c:v>-53.688848484848485</c:v>
                      </c:pt>
                      <c:pt idx="39" formatCode="General">
                        <c:v>-53.929818181818185</c:v>
                      </c:pt>
                      <c:pt idx="40" formatCode="General">
                        <c:v>-54.177831325301206</c:v>
                      </c:pt>
                      <c:pt idx="41" formatCode="General">
                        <c:v>-54.427469879518071</c:v>
                      </c:pt>
                      <c:pt idx="42" formatCode="General">
                        <c:v>-54.671787878787882</c:v>
                      </c:pt>
                      <c:pt idx="43" formatCode="General">
                        <c:v>-54.914212121212124</c:v>
                      </c:pt>
                      <c:pt idx="44" formatCode="General">
                        <c:v>-55.156963636363635</c:v>
                      </c:pt>
                      <c:pt idx="45" formatCode="General">
                        <c:v>-55.399872727272729</c:v>
                      </c:pt>
                      <c:pt idx="46" formatCode="General">
                        <c:v>-55.64367272727273</c:v>
                      </c:pt>
                      <c:pt idx="47" formatCode="General">
                        <c:v>-55.888036363636367</c:v>
                      </c:pt>
                      <c:pt idx="48" formatCode="General">
                        <c:v>-56.129400907715585</c:v>
                      </c:pt>
                      <c:pt idx="49" formatCode="General">
                        <c:v>-56.368311649016647</c:v>
                      </c:pt>
                      <c:pt idx="50" formatCode="General">
                        <c:v>-56.607222390317702</c:v>
                      </c:pt>
                      <c:pt idx="51" formatCode="General">
                        <c:v>-56.846133131618764</c:v>
                      </c:pt>
                      <c:pt idx="52" formatCode="General">
                        <c:v>-57.085043872919819</c:v>
                      </c:pt>
                      <c:pt idx="53" formatCode="General">
                        <c:v>-57.323954614220881</c:v>
                      </c:pt>
                      <c:pt idx="54" formatCode="General">
                        <c:v>-57.562865355521936</c:v>
                      </c:pt>
                      <c:pt idx="55" formatCode="General">
                        <c:v>-57.801776096822998</c:v>
                      </c:pt>
                      <c:pt idx="56" formatCode="General">
                        <c:v>-58.037972768532526</c:v>
                      </c:pt>
                      <c:pt idx="57" formatCode="General">
                        <c:v>-58.267443267776095</c:v>
                      </c:pt>
                      <c:pt idx="58" formatCode="General">
                        <c:v>-58.49691376701967</c:v>
                      </c:pt>
                      <c:pt idx="59" formatCode="General">
                        <c:v>-58.726384266263238</c:v>
                      </c:pt>
                      <c:pt idx="60" formatCode="General">
                        <c:v>-58.955854765506807</c:v>
                      </c:pt>
                      <c:pt idx="61" formatCode="General">
                        <c:v>-59.185325264750382</c:v>
                      </c:pt>
                      <c:pt idx="62" formatCode="General">
                        <c:v>-59.414795763993951</c:v>
                      </c:pt>
                      <c:pt idx="63" formatCode="General">
                        <c:v>-59.644266263237519</c:v>
                      </c:pt>
                      <c:pt idx="64" formatCode="General">
                        <c:v>-59.873854545454549</c:v>
                      </c:pt>
                      <c:pt idx="65" formatCode="General">
                        <c:v>-60.108036363636366</c:v>
                      </c:pt>
                      <c:pt idx="66" formatCode="General">
                        <c:v>-60.342218181818183</c:v>
                      </c:pt>
                      <c:pt idx="67" formatCode="General">
                        <c:v>-60.567066666666669</c:v>
                      </c:pt>
                      <c:pt idx="68" formatCode="General">
                        <c:v>-60.791551515151518</c:v>
                      </c:pt>
                      <c:pt idx="69" formatCode="General">
                        <c:v>-61.015600000000006</c:v>
                      </c:pt>
                      <c:pt idx="70" formatCode="General">
                        <c:v>-61.239600000000003</c:v>
                      </c:pt>
                      <c:pt idx="71" formatCode="General">
                        <c:v>-61.455478787878789</c:v>
                      </c:pt>
                      <c:pt idx="72" formatCode="General">
                        <c:v>-61.669781818181818</c:v>
                      </c:pt>
                      <c:pt idx="73" formatCode="General">
                        <c:v>-61.890180722891564</c:v>
                      </c:pt>
                      <c:pt idx="74" formatCode="General">
                        <c:v>-62.112349397590364</c:v>
                      </c:pt>
                      <c:pt idx="75" formatCode="General">
                        <c:v>-62.318830303030303</c:v>
                      </c:pt>
                      <c:pt idx="76" formatCode="General">
                        <c:v>-62.518587878787883</c:v>
                      </c:pt>
                      <c:pt idx="77" formatCode="General">
                        <c:v>-62.718654545454548</c:v>
                      </c:pt>
                      <c:pt idx="78" formatCode="General">
                        <c:v>-62.918896969696966</c:v>
                      </c:pt>
                      <c:pt idx="79" formatCode="General">
                        <c:v>-63.119139393939392</c:v>
                      </c:pt>
                      <c:pt idx="80" formatCode="General">
                        <c:v>-63.319381818181817</c:v>
                      </c:pt>
                      <c:pt idx="81" formatCode="General">
                        <c:v>-63.522260211800301</c:v>
                      </c:pt>
                      <c:pt idx="82" formatCode="General">
                        <c:v>-63.727645990922845</c:v>
                      </c:pt>
                      <c:pt idx="83" formatCode="General">
                        <c:v>-63.933031770045382</c:v>
                      </c:pt>
                      <c:pt idx="84" formatCode="General">
                        <c:v>-64.138417549167926</c:v>
                      </c:pt>
                      <c:pt idx="85" formatCode="General">
                        <c:v>-64.343803328290463</c:v>
                      </c:pt>
                      <c:pt idx="86" formatCode="General">
                        <c:v>-64.549189107413</c:v>
                      </c:pt>
                      <c:pt idx="87" formatCode="General">
                        <c:v>-64.754574886535551</c:v>
                      </c:pt>
                      <c:pt idx="88" formatCode="General">
                        <c:v>-64.959960665658087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894-4356-9EB2-6A9076CBABE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-38.740909090909085</c:v>
                      </c:pt>
                      <c:pt idx="1">
                        <c:v>-37.965151515151511</c:v>
                      </c:pt>
                      <c:pt idx="2">
                        <c:v>-37.189393939393938</c:v>
                      </c:pt>
                      <c:pt idx="3">
                        <c:v>-36.494</c:v>
                      </c:pt>
                      <c:pt idx="4" formatCode="General">
                        <c:v>-35.800666666666665</c:v>
                      </c:pt>
                      <c:pt idx="5" formatCode="General">
                        <c:v>-35.169272727272727</c:v>
                      </c:pt>
                      <c:pt idx="6" formatCode="General">
                        <c:v>-34.543818181818182</c:v>
                      </c:pt>
                      <c:pt idx="7" formatCode="General">
                        <c:v>-34.055579425113464</c:v>
                      </c:pt>
                      <c:pt idx="8" formatCode="General">
                        <c:v>-33.591555219364601</c:v>
                      </c:pt>
                      <c:pt idx="9" formatCode="General">
                        <c:v>-33.127531013615737</c:v>
                      </c:pt>
                      <c:pt idx="10" formatCode="General">
                        <c:v>-32.663506807866867</c:v>
                      </c:pt>
                      <c:pt idx="11" formatCode="General">
                        <c:v>-32.199482602118003</c:v>
                      </c:pt>
                      <c:pt idx="12" formatCode="General">
                        <c:v>-31.73545839636914</c:v>
                      </c:pt>
                      <c:pt idx="13" formatCode="General">
                        <c:v>-31.271434190620273</c:v>
                      </c:pt>
                      <c:pt idx="14" formatCode="General">
                        <c:v>-30.807409984871406</c:v>
                      </c:pt>
                      <c:pt idx="15" formatCode="General">
                        <c:v>-30.419739393939395</c:v>
                      </c:pt>
                      <c:pt idx="16" formatCode="General">
                        <c:v>-30.085678787878788</c:v>
                      </c:pt>
                      <c:pt idx="17" formatCode="General">
                        <c:v>-29.783690909090911</c:v>
                      </c:pt>
                      <c:pt idx="18" formatCode="General">
                        <c:v>-29.510721212121211</c:v>
                      </c:pt>
                      <c:pt idx="19" formatCode="General">
                        <c:v>-29.269271084337351</c:v>
                      </c:pt>
                      <c:pt idx="20" formatCode="General">
                        <c:v>-29.064451807228917</c:v>
                      </c:pt>
                      <c:pt idx="21" formatCode="General">
                        <c:v>-28.888460606060605</c:v>
                      </c:pt>
                      <c:pt idx="22" formatCode="General">
                        <c:v>-28.758036363636364</c:v>
                      </c:pt>
                      <c:pt idx="23" formatCode="General">
                        <c:v>-28.652193939393939</c:v>
                      </c:pt>
                      <c:pt idx="24" formatCode="General">
                        <c:v>-28.597406060606062</c:v>
                      </c:pt>
                      <c:pt idx="25" formatCode="General">
                        <c:v>-28.560945454545454</c:v>
                      </c:pt>
                      <c:pt idx="26" formatCode="General">
                        <c:v>-28.575975757575755</c:v>
                      </c:pt>
                      <c:pt idx="27" formatCode="General">
                        <c:v>-28.601769696969694</c:v>
                      </c:pt>
                      <c:pt idx="28" formatCode="General">
                        <c:v>-28.670618181818181</c:v>
                      </c:pt>
                      <c:pt idx="29" formatCode="General">
                        <c:v>-28.743385542168674</c:v>
                      </c:pt>
                      <c:pt idx="30" formatCode="General">
                        <c:v>-28.840734939759034</c:v>
                      </c:pt>
                      <c:pt idx="31" formatCode="General">
                        <c:v>-28.939242424242423</c:v>
                      </c:pt>
                      <c:pt idx="32" formatCode="General">
                        <c:v>-29.055121212121211</c:v>
                      </c:pt>
                      <c:pt idx="33" formatCode="General">
                        <c:v>-29.170999999999999</c:v>
                      </c:pt>
                      <c:pt idx="34" formatCode="General">
                        <c:v>-29.294636363636364</c:v>
                      </c:pt>
                      <c:pt idx="35" formatCode="General">
                        <c:v>-29.418272727272726</c:v>
                      </c:pt>
                      <c:pt idx="36" formatCode="General">
                        <c:v>-29.549636363636363</c:v>
                      </c:pt>
                      <c:pt idx="37" formatCode="General">
                        <c:v>-29.681515151515153</c:v>
                      </c:pt>
                      <c:pt idx="38" formatCode="General">
                        <c:v>-29.81127272727273</c:v>
                      </c:pt>
                      <c:pt idx="39" formatCode="General">
                        <c:v>-29.940727272727276</c:v>
                      </c:pt>
                      <c:pt idx="40" formatCode="General">
                        <c:v>-30.073855421686751</c:v>
                      </c:pt>
                      <c:pt idx="41" formatCode="General">
                        <c:v>-30.207831325301207</c:v>
                      </c:pt>
                      <c:pt idx="42" formatCode="General">
                        <c:v>-30.339545454545455</c:v>
                      </c:pt>
                      <c:pt idx="43" formatCode="General">
                        <c:v>-30.470454545454547</c:v>
                      </c:pt>
                      <c:pt idx="44" formatCode="General">
                        <c:v>-30.601690909090909</c:v>
                      </c:pt>
                      <c:pt idx="45" formatCode="General">
                        <c:v>-30.733084848484847</c:v>
                      </c:pt>
                      <c:pt idx="46" formatCode="General">
                        <c:v>-30.865369696969697</c:v>
                      </c:pt>
                      <c:pt idx="47" formatCode="General">
                        <c:v>-30.998218181818181</c:v>
                      </c:pt>
                      <c:pt idx="48" formatCode="General">
                        <c:v>-31.130822995461422</c:v>
                      </c:pt>
                      <c:pt idx="49" formatCode="General">
                        <c:v>-31.263228441754915</c:v>
                      </c:pt>
                      <c:pt idx="50" formatCode="General">
                        <c:v>-31.395633888048412</c:v>
                      </c:pt>
                      <c:pt idx="51" formatCode="General">
                        <c:v>-31.528039334341905</c:v>
                      </c:pt>
                      <c:pt idx="52" formatCode="General">
                        <c:v>-31.660444780635402</c:v>
                      </c:pt>
                      <c:pt idx="53" formatCode="General">
                        <c:v>-31.792850226928895</c:v>
                      </c:pt>
                      <c:pt idx="54" formatCode="General">
                        <c:v>-31.925255673222392</c:v>
                      </c:pt>
                      <c:pt idx="55" formatCode="General">
                        <c:v>-32.057661119515885</c:v>
                      </c:pt>
                      <c:pt idx="56" formatCode="General">
                        <c:v>-32.188048411497732</c:v>
                      </c:pt>
                      <c:pt idx="57" formatCode="General">
                        <c:v>-32.313434190620271</c:v>
                      </c:pt>
                      <c:pt idx="58" formatCode="General">
                        <c:v>-32.438819969742816</c:v>
                      </c:pt>
                      <c:pt idx="59" formatCode="General">
                        <c:v>-32.564205748865355</c:v>
                      </c:pt>
                      <c:pt idx="60" formatCode="General">
                        <c:v>-32.689591527987901</c:v>
                      </c:pt>
                      <c:pt idx="61" formatCode="General">
                        <c:v>-32.814977307110439</c:v>
                      </c:pt>
                      <c:pt idx="62" formatCode="General">
                        <c:v>-32.940363086232985</c:v>
                      </c:pt>
                      <c:pt idx="63" formatCode="General">
                        <c:v>-33.065748865355523</c:v>
                      </c:pt>
                      <c:pt idx="64" formatCode="General">
                        <c:v>-33.191187878787879</c:v>
                      </c:pt>
                      <c:pt idx="65" formatCode="General">
                        <c:v>-33.318703030303034</c:v>
                      </c:pt>
                      <c:pt idx="66" formatCode="General">
                        <c:v>-33.446218181818182</c:v>
                      </c:pt>
                      <c:pt idx="67" formatCode="General">
                        <c:v>-33.569066666666664</c:v>
                      </c:pt>
                      <c:pt idx="68" formatCode="General">
                        <c:v>-33.691733333333332</c:v>
                      </c:pt>
                      <c:pt idx="69" formatCode="General">
                        <c:v>-33.813963636363638</c:v>
                      </c:pt>
                      <c:pt idx="70" formatCode="General">
                        <c:v>-33.936145454545461</c:v>
                      </c:pt>
                      <c:pt idx="71" formatCode="General">
                        <c:v>-34.05426666666667</c:v>
                      </c:pt>
                      <c:pt idx="72" formatCode="General">
                        <c:v>-34.171599999999998</c:v>
                      </c:pt>
                      <c:pt idx="73" formatCode="General">
                        <c:v>-34.291746987951811</c:v>
                      </c:pt>
                      <c:pt idx="74" formatCode="General">
                        <c:v>-34.412710843373496</c:v>
                      </c:pt>
                      <c:pt idx="75" formatCode="General">
                        <c:v>-34.524345454545454</c:v>
                      </c:pt>
                      <c:pt idx="76" formatCode="General">
                        <c:v>-34.631981818181821</c:v>
                      </c:pt>
                      <c:pt idx="77" formatCode="General">
                        <c:v>-34.739927272727272</c:v>
                      </c:pt>
                      <c:pt idx="78" formatCode="General">
                        <c:v>-34.848048484848483</c:v>
                      </c:pt>
                      <c:pt idx="79" formatCode="General">
                        <c:v>-34.956169696969695</c:v>
                      </c:pt>
                      <c:pt idx="80" formatCode="General">
                        <c:v>-35.064290909090914</c:v>
                      </c:pt>
                      <c:pt idx="81" formatCode="General">
                        <c:v>-35.173878971255675</c:v>
                      </c:pt>
                      <c:pt idx="82" formatCode="General">
                        <c:v>-35.284862329803332</c:v>
                      </c:pt>
                      <c:pt idx="83" formatCode="General">
                        <c:v>-35.395845688350988</c:v>
                      </c:pt>
                      <c:pt idx="84" formatCode="General">
                        <c:v>-35.506829046898638</c:v>
                      </c:pt>
                      <c:pt idx="85" formatCode="General">
                        <c:v>-35.617812405446294</c:v>
                      </c:pt>
                      <c:pt idx="86" formatCode="General">
                        <c:v>-35.728795763993951</c:v>
                      </c:pt>
                      <c:pt idx="87" formatCode="General">
                        <c:v>-35.839779122541607</c:v>
                      </c:pt>
                      <c:pt idx="88" formatCode="General">
                        <c:v>-35.950762481089257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894-4356-9EB2-6A9076CBABE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-194.46381818181817</c:v>
                      </c:pt>
                      <c:pt idx="1">
                        <c:v>-190.03230303030301</c:v>
                      </c:pt>
                      <c:pt idx="2">
                        <c:v>-185.60078787878788</c:v>
                      </c:pt>
                      <c:pt idx="3">
                        <c:v>-181.64672727272728</c:v>
                      </c:pt>
                      <c:pt idx="4" formatCode="General">
                        <c:v>-177.7049090909091</c:v>
                      </c:pt>
                      <c:pt idx="5" formatCode="General">
                        <c:v>-174.13472727272728</c:v>
                      </c:pt>
                      <c:pt idx="6" formatCode="General">
                        <c:v>-170.6001818181818</c:v>
                      </c:pt>
                      <c:pt idx="7" formatCode="General">
                        <c:v>-167.69977307110437</c:v>
                      </c:pt>
                      <c:pt idx="8" formatCode="General">
                        <c:v>-164.91127080181542</c:v>
                      </c:pt>
                      <c:pt idx="9" formatCode="General">
                        <c:v>-162.12276853252646</c:v>
                      </c:pt>
                      <c:pt idx="10" formatCode="General">
                        <c:v>-159.33426626323751</c:v>
                      </c:pt>
                      <c:pt idx="11" formatCode="General">
                        <c:v>-156.54576399394855</c:v>
                      </c:pt>
                      <c:pt idx="12" formatCode="General">
                        <c:v>-153.7572617246596</c:v>
                      </c:pt>
                      <c:pt idx="13" formatCode="General">
                        <c:v>-150.96875945537062</c:v>
                      </c:pt>
                      <c:pt idx="14" formatCode="General">
                        <c:v>-148.18025718608166</c:v>
                      </c:pt>
                      <c:pt idx="15" formatCode="General">
                        <c:v>-145.72539393939394</c:v>
                      </c:pt>
                      <c:pt idx="16" formatCode="General">
                        <c:v>-143.50478787878788</c:v>
                      </c:pt>
                      <c:pt idx="17" formatCode="General">
                        <c:v>-141.38090909090911</c:v>
                      </c:pt>
                      <c:pt idx="18" formatCode="General">
                        <c:v>-139.34454545454545</c:v>
                      </c:pt>
                      <c:pt idx="19" formatCode="General">
                        <c:v>-137.39186746987951</c:v>
                      </c:pt>
                      <c:pt idx="20" formatCode="General">
                        <c:v>-135.53644578313251</c:v>
                      </c:pt>
                      <c:pt idx="21" formatCode="General">
                        <c:v>-133.73115151515148</c:v>
                      </c:pt>
                      <c:pt idx="22" formatCode="General">
                        <c:v>-132.00509090909091</c:v>
                      </c:pt>
                      <c:pt idx="23" formatCode="General">
                        <c:v>-130.32157575757574</c:v>
                      </c:pt>
                      <c:pt idx="24" formatCode="General">
                        <c:v>-128.72642424242423</c:v>
                      </c:pt>
                      <c:pt idx="25" formatCode="General">
                        <c:v>-127.1630909090909</c:v>
                      </c:pt>
                      <c:pt idx="26" formatCode="General">
                        <c:v>-125.68915151515151</c:v>
                      </c:pt>
                      <c:pt idx="27" formatCode="General">
                        <c:v>-124.23363636363635</c:v>
                      </c:pt>
                      <c:pt idx="28" formatCode="General">
                        <c:v>-122.85181818181817</c:v>
                      </c:pt>
                      <c:pt idx="29" formatCode="General">
                        <c:v>-121.48240963855422</c:v>
                      </c:pt>
                      <c:pt idx="30" formatCode="General">
                        <c:v>-120.19084337349396</c:v>
                      </c:pt>
                      <c:pt idx="31" formatCode="General">
                        <c:v>-118.90393939393938</c:v>
                      </c:pt>
                      <c:pt idx="32" formatCode="General">
                        <c:v>-117.6869696969697</c:v>
                      </c:pt>
                      <c:pt idx="33" formatCode="General">
                        <c:v>-116.47</c:v>
                      </c:pt>
                      <c:pt idx="34" formatCode="General">
                        <c:v>-115.32090909090908</c:v>
                      </c:pt>
                      <c:pt idx="35" formatCode="General">
                        <c:v>-114.17181818181818</c:v>
                      </c:pt>
                      <c:pt idx="36" formatCode="General">
                        <c:v>-113.09090909090908</c:v>
                      </c:pt>
                      <c:pt idx="37" formatCode="General">
                        <c:v>-112.01454545454546</c:v>
                      </c:pt>
                      <c:pt idx="38" formatCode="General">
                        <c:v>-110.98484848484848</c:v>
                      </c:pt>
                      <c:pt idx="39" formatCode="General">
                        <c:v>-109.96181818181819</c:v>
                      </c:pt>
                      <c:pt idx="40" formatCode="General">
                        <c:v>-109.01036144578313</c:v>
                      </c:pt>
                      <c:pt idx="41" formatCode="General">
                        <c:v>-108.07542168674699</c:v>
                      </c:pt>
                      <c:pt idx="42" formatCode="General">
                        <c:v>-107.16133333333333</c:v>
                      </c:pt>
                      <c:pt idx="43" formatCode="General">
                        <c:v>-106.25466666666668</c:v>
                      </c:pt>
                      <c:pt idx="44" formatCode="General">
                        <c:v>-105.39381818181819</c:v>
                      </c:pt>
                      <c:pt idx="45" formatCode="General">
                        <c:v>-104.55503030303029</c:v>
                      </c:pt>
                      <c:pt idx="46" formatCode="General">
                        <c:v>-103.75781818181818</c:v>
                      </c:pt>
                      <c:pt idx="47" formatCode="General">
                        <c:v>-102.98690909090911</c:v>
                      </c:pt>
                      <c:pt idx="48" formatCode="General">
                        <c:v>-102.400363086233</c:v>
                      </c:pt>
                      <c:pt idx="49" formatCode="General">
                        <c:v>-101.9646596066566</c:v>
                      </c:pt>
                      <c:pt idx="50" formatCode="General">
                        <c:v>-101.52895612708019</c:v>
                      </c:pt>
                      <c:pt idx="51" formatCode="General">
                        <c:v>-101.09325264750379</c:v>
                      </c:pt>
                      <c:pt idx="52" formatCode="General">
                        <c:v>-100.6575491679274</c:v>
                      </c:pt>
                      <c:pt idx="53" formatCode="General">
                        <c:v>-100.221845688351</c:v>
                      </c:pt>
                      <c:pt idx="54" formatCode="General">
                        <c:v>-99.786142208774592</c:v>
                      </c:pt>
                      <c:pt idx="55" formatCode="General">
                        <c:v>-99.350438729198189</c:v>
                      </c:pt>
                      <c:pt idx="56" formatCode="General">
                        <c:v>-99.019052950075647</c:v>
                      </c:pt>
                      <c:pt idx="57" formatCode="General">
                        <c:v>-98.946193645990931</c:v>
                      </c:pt>
                      <c:pt idx="58" formatCode="General">
                        <c:v>-98.873334341906201</c:v>
                      </c:pt>
                      <c:pt idx="59" formatCode="General">
                        <c:v>-98.800475037821485</c:v>
                      </c:pt>
                      <c:pt idx="60" formatCode="General">
                        <c:v>-98.727615733736755</c:v>
                      </c:pt>
                      <c:pt idx="61" formatCode="General">
                        <c:v>-98.654756429652039</c:v>
                      </c:pt>
                      <c:pt idx="62" formatCode="General">
                        <c:v>-98.581897125567309</c:v>
                      </c:pt>
                      <c:pt idx="63" formatCode="General">
                        <c:v>-98.509037821482593</c:v>
                      </c:pt>
                      <c:pt idx="64" formatCode="General">
                        <c:v>-98.438121212121203</c:v>
                      </c:pt>
                      <c:pt idx="65" formatCode="General">
                        <c:v>-98.442969696969683</c:v>
                      </c:pt>
                      <c:pt idx="66" formatCode="General">
                        <c:v>-98.447818181818178</c:v>
                      </c:pt>
                      <c:pt idx="67" formatCode="General">
                        <c:v>-98.461066666666667</c:v>
                      </c:pt>
                      <c:pt idx="68" formatCode="General">
                        <c:v>-98.474642424242418</c:v>
                      </c:pt>
                      <c:pt idx="69" formatCode="General">
                        <c:v>-98.508290909090917</c:v>
                      </c:pt>
                      <c:pt idx="70" formatCode="General">
                        <c:v>-98.544169696969703</c:v>
                      </c:pt>
                      <c:pt idx="71" formatCode="General">
                        <c:v>-98.583296969696974</c:v>
                      </c:pt>
                      <c:pt idx="72" formatCode="General">
                        <c:v>-98.623054545454551</c:v>
                      </c:pt>
                      <c:pt idx="73" formatCode="General">
                        <c:v>-98.694000000000003</c:v>
                      </c:pt>
                      <c:pt idx="74" formatCode="General">
                        <c:v>-98.774000000000001</c:v>
                      </c:pt>
                      <c:pt idx="75" formatCode="General">
                        <c:v>-99.026751515151517</c:v>
                      </c:pt>
                      <c:pt idx="76" formatCode="General">
                        <c:v>-99.3535393939394</c:v>
                      </c:pt>
                      <c:pt idx="77" formatCode="General">
                        <c:v>-99.684654545454549</c:v>
                      </c:pt>
                      <c:pt idx="78" formatCode="General">
                        <c:v>-100.01823030303031</c:v>
                      </c:pt>
                      <c:pt idx="79" formatCode="General">
                        <c:v>-100.35069090909091</c:v>
                      </c:pt>
                      <c:pt idx="80" formatCode="General">
                        <c:v>-100.68232727272728</c:v>
                      </c:pt>
                      <c:pt idx="81" formatCode="General">
                        <c:v>-101.01705597579426</c:v>
                      </c:pt>
                      <c:pt idx="82" formatCode="General">
                        <c:v>-101.35472617246596</c:v>
                      </c:pt>
                      <c:pt idx="83" formatCode="General">
                        <c:v>-101.69239636913767</c:v>
                      </c:pt>
                      <c:pt idx="84" formatCode="General">
                        <c:v>-102.03006656580938</c:v>
                      </c:pt>
                      <c:pt idx="85" formatCode="General">
                        <c:v>-102.36773676248109</c:v>
                      </c:pt>
                      <c:pt idx="86" formatCode="General">
                        <c:v>-102.7054069591528</c:v>
                      </c:pt>
                      <c:pt idx="87" formatCode="General">
                        <c:v>-103.04307715582451</c:v>
                      </c:pt>
                      <c:pt idx="88" formatCode="General">
                        <c:v>-103.3807473524962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894-4356-9EB2-6A9076CBABE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894-4356-9EB2-6A9076CBABE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894-4356-9EB2-6A9076CBABE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894-4356-9EB2-6A9076CBABE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894-4356-9EB2-6A9076CBABE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894-4356-9EB2-6A9076CBABE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-22.515818181818183</c:v>
                      </c:pt>
                      <c:pt idx="1">
                        <c:v>-22.137636363636364</c:v>
                      </c:pt>
                      <c:pt idx="2">
                        <c:v>-21.759454545454545</c:v>
                      </c:pt>
                      <c:pt idx="3">
                        <c:v>-21.527818181818184</c:v>
                      </c:pt>
                      <c:pt idx="4" formatCode="General">
                        <c:v>-21.299939393939393</c:v>
                      </c:pt>
                      <c:pt idx="5" formatCode="General">
                        <c:v>-21.195939393939394</c:v>
                      </c:pt>
                      <c:pt idx="6" formatCode="General">
                        <c:v>-21.10381818181818</c:v>
                      </c:pt>
                      <c:pt idx="7" formatCode="General">
                        <c:v>-21.147609682299546</c:v>
                      </c:pt>
                      <c:pt idx="8" formatCode="General">
                        <c:v>-21.215385779122542</c:v>
                      </c:pt>
                      <c:pt idx="9" formatCode="General">
                        <c:v>-21.283161875945538</c:v>
                      </c:pt>
                      <c:pt idx="10" formatCode="General">
                        <c:v>-21.350937972768531</c:v>
                      </c:pt>
                      <c:pt idx="11" formatCode="General">
                        <c:v>-21.418714069591527</c:v>
                      </c:pt>
                      <c:pt idx="12" formatCode="General">
                        <c:v>-21.486490166414523</c:v>
                      </c:pt>
                      <c:pt idx="13" formatCode="General">
                        <c:v>-21.554266263237519</c:v>
                      </c:pt>
                      <c:pt idx="14" formatCode="General">
                        <c:v>-21.622042360060512</c:v>
                      </c:pt>
                      <c:pt idx="15" formatCode="General">
                        <c:v>-21.706969696969697</c:v>
                      </c:pt>
                      <c:pt idx="16" formatCode="General">
                        <c:v>-21.803939393939395</c:v>
                      </c:pt>
                      <c:pt idx="17" formatCode="General">
                        <c:v>-21.895818181818182</c:v>
                      </c:pt>
                      <c:pt idx="18" formatCode="General">
                        <c:v>-21.983090909090912</c:v>
                      </c:pt>
                      <c:pt idx="19" formatCode="General">
                        <c:v>-22.06343373493976</c:v>
                      </c:pt>
                      <c:pt idx="20" formatCode="General">
                        <c:v>-22.135722891566264</c:v>
                      </c:pt>
                      <c:pt idx="21" formatCode="General">
                        <c:v>-22.20630303030303</c:v>
                      </c:pt>
                      <c:pt idx="22" formatCode="General">
                        <c:v>-22.27418181818182</c:v>
                      </c:pt>
                      <c:pt idx="23" formatCode="General">
                        <c:v>-22.343636363636364</c:v>
                      </c:pt>
                      <c:pt idx="24" formatCode="General">
                        <c:v>-22.416363636363634</c:v>
                      </c:pt>
                      <c:pt idx="25" formatCode="General">
                        <c:v>-22.492909090909091</c:v>
                      </c:pt>
                      <c:pt idx="26" formatCode="General">
                        <c:v>-22.580181818181817</c:v>
                      </c:pt>
                      <c:pt idx="27" formatCode="General">
                        <c:v>-22.670363636363636</c:v>
                      </c:pt>
                      <c:pt idx="28" formatCode="General">
                        <c:v>-22.772181818181817</c:v>
                      </c:pt>
                      <c:pt idx="29" formatCode="General">
                        <c:v>-22.874578313253011</c:v>
                      </c:pt>
                      <c:pt idx="30" formatCode="General">
                        <c:v>-22.980602409638553</c:v>
                      </c:pt>
                      <c:pt idx="31" formatCode="General">
                        <c:v>-23.086969696969696</c:v>
                      </c:pt>
                      <c:pt idx="32" formatCode="General">
                        <c:v>-23.198484848484846</c:v>
                      </c:pt>
                      <c:pt idx="33" formatCode="General">
                        <c:v>-23.31</c:v>
                      </c:pt>
                      <c:pt idx="34" formatCode="General">
                        <c:v>-23.421515151515152</c:v>
                      </c:pt>
                      <c:pt idx="35" formatCode="General">
                        <c:v>-23.533030303030301</c:v>
                      </c:pt>
                      <c:pt idx="36" formatCode="General">
                        <c:v>-23.649090909090908</c:v>
                      </c:pt>
                      <c:pt idx="37" formatCode="General">
                        <c:v>-23.765454545454546</c:v>
                      </c:pt>
                      <c:pt idx="38" formatCode="General">
                        <c:v>-23.877575757575759</c:v>
                      </c:pt>
                      <c:pt idx="39" formatCode="General">
                        <c:v>-23.989090909090912</c:v>
                      </c:pt>
                      <c:pt idx="40" formatCode="General">
                        <c:v>-24.103975903614458</c:v>
                      </c:pt>
                      <c:pt idx="41" formatCode="General">
                        <c:v>-24.219638554216868</c:v>
                      </c:pt>
                      <c:pt idx="42" formatCode="General">
                        <c:v>-24.332242424242423</c:v>
                      </c:pt>
                      <c:pt idx="43" formatCode="General">
                        <c:v>-24.443757575757576</c:v>
                      </c:pt>
                      <c:pt idx="44" formatCode="General">
                        <c:v>-24.555272727272726</c:v>
                      </c:pt>
                      <c:pt idx="45" formatCode="General">
                        <c:v>-24.666787878787879</c:v>
                      </c:pt>
                      <c:pt idx="46" formatCode="General">
                        <c:v>-24.778303030303032</c:v>
                      </c:pt>
                      <c:pt idx="47" formatCode="General">
                        <c:v>-24.889818181818182</c:v>
                      </c:pt>
                      <c:pt idx="48" formatCode="General">
                        <c:v>-24.998577912254163</c:v>
                      </c:pt>
                      <c:pt idx="49" formatCode="General">
                        <c:v>-25.105083207261725</c:v>
                      </c:pt>
                      <c:pt idx="50" formatCode="General">
                        <c:v>-25.21158850226929</c:v>
                      </c:pt>
                      <c:pt idx="51" formatCode="General">
                        <c:v>-25.318093797276855</c:v>
                      </c:pt>
                      <c:pt idx="52" formatCode="General">
                        <c:v>-25.424599092284417</c:v>
                      </c:pt>
                      <c:pt idx="53" formatCode="General">
                        <c:v>-25.531104387291983</c:v>
                      </c:pt>
                      <c:pt idx="54" formatCode="General">
                        <c:v>-25.637609682299548</c:v>
                      </c:pt>
                      <c:pt idx="55" formatCode="General">
                        <c:v>-25.74411497730711</c:v>
                      </c:pt>
                      <c:pt idx="56" formatCode="General">
                        <c:v>-25.849924357034794</c:v>
                      </c:pt>
                      <c:pt idx="57" formatCode="General">
                        <c:v>-25.954009077155824</c:v>
                      </c:pt>
                      <c:pt idx="58" formatCode="General">
                        <c:v>-26.058093797276854</c:v>
                      </c:pt>
                      <c:pt idx="59" formatCode="General">
                        <c:v>-26.162178517397884</c:v>
                      </c:pt>
                      <c:pt idx="60" formatCode="General">
                        <c:v>-26.26626323751891</c:v>
                      </c:pt>
                      <c:pt idx="61" formatCode="General">
                        <c:v>-26.37034795763994</c:v>
                      </c:pt>
                      <c:pt idx="62" formatCode="General">
                        <c:v>-26.474432677760969</c:v>
                      </c:pt>
                      <c:pt idx="63" formatCode="General">
                        <c:v>-26.578517397881996</c:v>
                      </c:pt>
                      <c:pt idx="64" formatCode="General">
                        <c:v>-26.682666666666666</c:v>
                      </c:pt>
                      <c:pt idx="65" formatCode="General">
                        <c:v>-26.789333333333332</c:v>
                      </c:pt>
                      <c:pt idx="66" formatCode="General">
                        <c:v>-26.896000000000001</c:v>
                      </c:pt>
                      <c:pt idx="67" formatCode="General">
                        <c:v>-26.998000000000001</c:v>
                      </c:pt>
                      <c:pt idx="68" formatCode="General">
                        <c:v>-27.099818181818183</c:v>
                      </c:pt>
                      <c:pt idx="69" formatCode="General">
                        <c:v>-27.201636363636364</c:v>
                      </c:pt>
                      <c:pt idx="70" formatCode="General">
                        <c:v>-27.303454545454546</c:v>
                      </c:pt>
                      <c:pt idx="71" formatCode="General">
                        <c:v>-27.401212121212122</c:v>
                      </c:pt>
                      <c:pt idx="72" formatCode="General">
                        <c:v>-27.49818181818182</c:v>
                      </c:pt>
                      <c:pt idx="73" formatCode="General">
                        <c:v>-27.598433734939761</c:v>
                      </c:pt>
                      <c:pt idx="74" formatCode="General">
                        <c:v>-27.699638554216868</c:v>
                      </c:pt>
                      <c:pt idx="75" formatCode="General">
                        <c:v>-27.794484848484849</c:v>
                      </c:pt>
                      <c:pt idx="76" formatCode="General">
                        <c:v>-27.886606060606063</c:v>
                      </c:pt>
                      <c:pt idx="77" formatCode="General">
                        <c:v>-27.978727272727273</c:v>
                      </c:pt>
                      <c:pt idx="78" formatCode="General">
                        <c:v>-28.070848484848486</c:v>
                      </c:pt>
                      <c:pt idx="79" formatCode="General">
                        <c:v>-28.162969696969697</c:v>
                      </c:pt>
                      <c:pt idx="80" formatCode="General">
                        <c:v>-28.25509090909091</c:v>
                      </c:pt>
                      <c:pt idx="81" formatCode="General">
                        <c:v>-28.348381240544629</c:v>
                      </c:pt>
                      <c:pt idx="82" formatCode="General">
                        <c:v>-28.442783661119517</c:v>
                      </c:pt>
                      <c:pt idx="83" formatCode="General">
                        <c:v>-28.537186081694404</c:v>
                      </c:pt>
                      <c:pt idx="84" formatCode="General">
                        <c:v>-28.631588502269288</c:v>
                      </c:pt>
                      <c:pt idx="85" formatCode="General">
                        <c:v>-28.725990922844176</c:v>
                      </c:pt>
                      <c:pt idx="86" formatCode="General">
                        <c:v>-28.82039334341906</c:v>
                      </c:pt>
                      <c:pt idx="87" formatCode="General">
                        <c:v>-28.914795763993947</c:v>
                      </c:pt>
                      <c:pt idx="88" formatCode="General">
                        <c:v>-29.009198184568834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894-4356-9EB2-6A9076CBABE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894-4356-9EB2-6A9076CBABE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894-4356-9EB2-6A9076CBABE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-16.225090909090905</c:v>
                      </c:pt>
                      <c:pt idx="1">
                        <c:v>-15.827515151515151</c:v>
                      </c:pt>
                      <c:pt idx="2">
                        <c:v>-15.429939393939394</c:v>
                      </c:pt>
                      <c:pt idx="3">
                        <c:v>-14.966181818181818</c:v>
                      </c:pt>
                      <c:pt idx="4" formatCode="General">
                        <c:v>-14.500727272727273</c:v>
                      </c:pt>
                      <c:pt idx="5" formatCode="General">
                        <c:v>-13.973333333333333</c:v>
                      </c:pt>
                      <c:pt idx="6" formatCode="General">
                        <c:v>-13.44</c:v>
                      </c:pt>
                      <c:pt idx="7" formatCode="General">
                        <c:v>-12.907969742813917</c:v>
                      </c:pt>
                      <c:pt idx="8" formatCode="General">
                        <c:v>-12.376169440242057</c:v>
                      </c:pt>
                      <c:pt idx="9" formatCode="General">
                        <c:v>-11.844369137670196</c:v>
                      </c:pt>
                      <c:pt idx="10" formatCode="General">
                        <c:v>-11.312568835098336</c:v>
                      </c:pt>
                      <c:pt idx="11" formatCode="General">
                        <c:v>-10.780768532526475</c:v>
                      </c:pt>
                      <c:pt idx="12" formatCode="General">
                        <c:v>-10.248968229954613</c:v>
                      </c:pt>
                      <c:pt idx="13" formatCode="General">
                        <c:v>-9.7171679273827536</c:v>
                      </c:pt>
                      <c:pt idx="14" formatCode="General">
                        <c:v>-9.185367624810894</c:v>
                      </c:pt>
                      <c:pt idx="15" formatCode="General">
                        <c:v>-8.7127696969696977</c:v>
                      </c:pt>
                      <c:pt idx="16" formatCode="General">
                        <c:v>-8.2817393939393948</c:v>
                      </c:pt>
                      <c:pt idx="17" formatCode="General">
                        <c:v>-7.887872727272728</c:v>
                      </c:pt>
                      <c:pt idx="18" formatCode="General">
                        <c:v>-7.5276303030303033</c:v>
                      </c:pt>
                      <c:pt idx="19" formatCode="General">
                        <c:v>-7.2058373493975907</c:v>
                      </c:pt>
                      <c:pt idx="20" formatCode="General">
                        <c:v>-6.9287289156626501</c:v>
                      </c:pt>
                      <c:pt idx="21" formatCode="General">
                        <c:v>-6.6821575757575751</c:v>
                      </c:pt>
                      <c:pt idx="22" formatCode="General">
                        <c:v>-6.4838545454545446</c:v>
                      </c:pt>
                      <c:pt idx="23" formatCode="General">
                        <c:v>-6.3085575757575754</c:v>
                      </c:pt>
                      <c:pt idx="24" formatCode="General">
                        <c:v>-6.181042424242424</c:v>
                      </c:pt>
                      <c:pt idx="25" formatCode="General">
                        <c:v>-6.068036363636363</c:v>
                      </c:pt>
                      <c:pt idx="26" formatCode="General">
                        <c:v>-5.9957939393939386</c:v>
                      </c:pt>
                      <c:pt idx="27" formatCode="General">
                        <c:v>-5.9314060606060606</c:v>
                      </c:pt>
                      <c:pt idx="28" formatCode="General">
                        <c:v>-5.8984363636363639</c:v>
                      </c:pt>
                      <c:pt idx="29" formatCode="General">
                        <c:v>-5.8688072289156628</c:v>
                      </c:pt>
                      <c:pt idx="30" formatCode="General">
                        <c:v>-5.8601325301204819</c:v>
                      </c:pt>
                      <c:pt idx="31" formatCode="General">
                        <c:v>-5.8522727272727275</c:v>
                      </c:pt>
                      <c:pt idx="32" formatCode="General">
                        <c:v>-5.8566363636363636</c:v>
                      </c:pt>
                      <c:pt idx="33" formatCode="General">
                        <c:v>-5.8609999999999998</c:v>
                      </c:pt>
                      <c:pt idx="34" formatCode="General">
                        <c:v>-5.8731212121212124</c:v>
                      </c:pt>
                      <c:pt idx="35" formatCode="General">
                        <c:v>-5.8852424242424242</c:v>
                      </c:pt>
                      <c:pt idx="36" formatCode="General">
                        <c:v>-5.9005454545454548</c:v>
                      </c:pt>
                      <c:pt idx="37" formatCode="General">
                        <c:v>-5.916060606060606</c:v>
                      </c:pt>
                      <c:pt idx="38" formatCode="General">
                        <c:v>-5.9336969696969701</c:v>
                      </c:pt>
                      <c:pt idx="39" formatCode="General">
                        <c:v>-5.9516363636363634</c:v>
                      </c:pt>
                      <c:pt idx="40" formatCode="General">
                        <c:v>-5.9698795180722897</c:v>
                      </c:pt>
                      <c:pt idx="41" formatCode="General">
                        <c:v>-5.9881927710843375</c:v>
                      </c:pt>
                      <c:pt idx="42" formatCode="General">
                        <c:v>-6.0073030303030306</c:v>
                      </c:pt>
                      <c:pt idx="43" formatCode="General">
                        <c:v>-6.0266969696969701</c:v>
                      </c:pt>
                      <c:pt idx="44" formatCode="General">
                        <c:v>-6.0464181818181819</c:v>
                      </c:pt>
                      <c:pt idx="45" formatCode="General">
                        <c:v>-6.0662969696969693</c:v>
                      </c:pt>
                      <c:pt idx="46" formatCode="General">
                        <c:v>-6.0870666666666668</c:v>
                      </c:pt>
                      <c:pt idx="47" formatCode="General">
                        <c:v>-6.1084000000000005</c:v>
                      </c:pt>
                      <c:pt idx="48" formatCode="General">
                        <c:v>-6.1322450832072617</c:v>
                      </c:pt>
                      <c:pt idx="49" formatCode="General">
                        <c:v>-6.1581452344931922</c:v>
                      </c:pt>
                      <c:pt idx="50" formatCode="General">
                        <c:v>-6.1840453857791227</c:v>
                      </c:pt>
                      <c:pt idx="51" formatCode="General">
                        <c:v>-6.2099455370650531</c:v>
                      </c:pt>
                      <c:pt idx="52" formatCode="General">
                        <c:v>-6.2358456883509836</c:v>
                      </c:pt>
                      <c:pt idx="53" formatCode="General">
                        <c:v>-6.2617458396369132</c:v>
                      </c:pt>
                      <c:pt idx="54" formatCode="General">
                        <c:v>-6.2876459909228437</c:v>
                      </c:pt>
                      <c:pt idx="55" formatCode="General">
                        <c:v>-6.3135461422087742</c:v>
                      </c:pt>
                      <c:pt idx="56" formatCode="General">
                        <c:v>-6.3381240544629343</c:v>
                      </c:pt>
                      <c:pt idx="57" formatCode="General">
                        <c:v>-6.3594251134644475</c:v>
                      </c:pt>
                      <c:pt idx="58" formatCode="General">
                        <c:v>-6.3807261724659607</c:v>
                      </c:pt>
                      <c:pt idx="59" formatCode="General">
                        <c:v>-6.4020272314674731</c:v>
                      </c:pt>
                      <c:pt idx="60" formatCode="General">
                        <c:v>-6.4233282904689863</c:v>
                      </c:pt>
                      <c:pt idx="61" formatCode="General">
                        <c:v>-6.4446293494704996</c:v>
                      </c:pt>
                      <c:pt idx="62" formatCode="General">
                        <c:v>-6.4659304084720119</c:v>
                      </c:pt>
                      <c:pt idx="63" formatCode="General">
                        <c:v>-6.4872314674735252</c:v>
                      </c:pt>
                      <c:pt idx="64" formatCode="General">
                        <c:v>-6.5085212121212122</c:v>
                      </c:pt>
                      <c:pt idx="65" formatCode="General">
                        <c:v>-6.529369696969697</c:v>
                      </c:pt>
                      <c:pt idx="66" formatCode="General">
                        <c:v>-6.5502181818181819</c:v>
                      </c:pt>
                      <c:pt idx="67" formatCode="General">
                        <c:v>-6.5710666666666668</c:v>
                      </c:pt>
                      <c:pt idx="68" formatCode="General">
                        <c:v>-6.5919151515151517</c:v>
                      </c:pt>
                      <c:pt idx="69" formatCode="General">
                        <c:v>-6.6123272727272733</c:v>
                      </c:pt>
                      <c:pt idx="70" formatCode="General">
                        <c:v>-6.6326909090909094</c:v>
                      </c:pt>
                      <c:pt idx="71" formatCode="General">
                        <c:v>-6.6530545454545456</c:v>
                      </c:pt>
                      <c:pt idx="72" formatCode="General">
                        <c:v>-6.6734181818181817</c:v>
                      </c:pt>
                      <c:pt idx="73" formatCode="General">
                        <c:v>-6.6933132530120485</c:v>
                      </c:pt>
                      <c:pt idx="74" formatCode="General">
                        <c:v>-6.713072289156627</c:v>
                      </c:pt>
                      <c:pt idx="75" formatCode="General">
                        <c:v>-6.7298606060606065</c:v>
                      </c:pt>
                      <c:pt idx="76" formatCode="General">
                        <c:v>-6.7453757575757578</c:v>
                      </c:pt>
                      <c:pt idx="77" formatCode="General">
                        <c:v>-6.7612000000000005</c:v>
                      </c:pt>
                      <c:pt idx="78" formatCode="General">
                        <c:v>-6.7771999999999997</c:v>
                      </c:pt>
                      <c:pt idx="79" formatCode="General">
                        <c:v>-6.7931999999999997</c:v>
                      </c:pt>
                      <c:pt idx="80" formatCode="General">
                        <c:v>-6.8091999999999997</c:v>
                      </c:pt>
                      <c:pt idx="81" formatCode="General">
                        <c:v>-6.825497730711044</c:v>
                      </c:pt>
                      <c:pt idx="82" formatCode="General">
                        <c:v>-6.8420786686838122</c:v>
                      </c:pt>
                      <c:pt idx="83" formatCode="General">
                        <c:v>-6.8586596066565813</c:v>
                      </c:pt>
                      <c:pt idx="84" formatCode="General">
                        <c:v>-6.8752405446293494</c:v>
                      </c:pt>
                      <c:pt idx="85" formatCode="General">
                        <c:v>-6.8918214826021176</c:v>
                      </c:pt>
                      <c:pt idx="86" formatCode="General">
                        <c:v>-6.9084024205748866</c:v>
                      </c:pt>
                      <c:pt idx="87" formatCode="General">
                        <c:v>-6.9249833585476548</c:v>
                      </c:pt>
                      <c:pt idx="88" formatCode="General">
                        <c:v>-6.9415642965204229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894-4356-9EB2-6A9076CBABE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-18.649999999999999</c:v>
                      </c:pt>
                      <c:pt idx="1">
                        <c:v>-18.649999999999999</c:v>
                      </c:pt>
                      <c:pt idx="2">
                        <c:v>-18.649999999999999</c:v>
                      </c:pt>
                      <c:pt idx="3">
                        <c:v>-18.654727272727271</c:v>
                      </c:pt>
                      <c:pt idx="4" formatCode="General">
                        <c:v>-18.659575757575759</c:v>
                      </c:pt>
                      <c:pt idx="5" formatCode="General">
                        <c:v>-18.664424242424243</c:v>
                      </c:pt>
                      <c:pt idx="6" formatCode="General">
                        <c:v>-18.66927272727273</c:v>
                      </c:pt>
                      <c:pt idx="7" formatCode="General">
                        <c:v>-18.678229954614224</c:v>
                      </c:pt>
                      <c:pt idx="8" formatCode="General">
                        <c:v>-18.687912254160363</c:v>
                      </c:pt>
                      <c:pt idx="9" formatCode="General">
                        <c:v>-18.697594553706505</c:v>
                      </c:pt>
                      <c:pt idx="10" formatCode="General">
                        <c:v>-18.707276853252647</c:v>
                      </c:pt>
                      <c:pt idx="11" formatCode="General">
                        <c:v>-18.71695915279879</c:v>
                      </c:pt>
                      <c:pt idx="12" formatCode="General">
                        <c:v>-18.726641452344932</c:v>
                      </c:pt>
                      <c:pt idx="13" formatCode="General">
                        <c:v>-18.736323751891074</c:v>
                      </c:pt>
                      <c:pt idx="14" formatCode="General">
                        <c:v>-18.746006051437217</c:v>
                      </c:pt>
                      <c:pt idx="15" formatCode="General">
                        <c:v>-18.758545454545455</c:v>
                      </c:pt>
                      <c:pt idx="16" formatCode="General">
                        <c:v>-18.773090909090911</c:v>
                      </c:pt>
                      <c:pt idx="17" formatCode="General">
                        <c:v>-18.787636363636363</c:v>
                      </c:pt>
                      <c:pt idx="18" formatCode="General">
                        <c:v>-18.802181818181818</c:v>
                      </c:pt>
                      <c:pt idx="19" formatCode="General">
                        <c:v>-18.814457831325299</c:v>
                      </c:pt>
                      <c:pt idx="20" formatCode="General">
                        <c:v>-18.824096385542166</c:v>
                      </c:pt>
                      <c:pt idx="21" formatCode="General">
                        <c:v>-18.835636363636361</c:v>
                      </c:pt>
                      <c:pt idx="22" formatCode="General">
                        <c:v>-18.850181818181817</c:v>
                      </c:pt>
                      <c:pt idx="23" formatCode="General">
                        <c:v>-18.86630303030303</c:v>
                      </c:pt>
                      <c:pt idx="24" formatCode="General">
                        <c:v>-18.885696969696969</c:v>
                      </c:pt>
                      <c:pt idx="25" formatCode="General">
                        <c:v>-18.903818181818181</c:v>
                      </c:pt>
                      <c:pt idx="26" formatCode="General">
                        <c:v>-18.918363636363637</c:v>
                      </c:pt>
                      <c:pt idx="27" formatCode="General">
                        <c:v>-18.932909090909092</c:v>
                      </c:pt>
                      <c:pt idx="28" formatCode="General">
                        <c:v>-18.947454545454544</c:v>
                      </c:pt>
                      <c:pt idx="29" formatCode="General">
                        <c:v>-18.961987951807231</c:v>
                      </c:pt>
                      <c:pt idx="30" formatCode="General">
                        <c:v>-18.976445783132529</c:v>
                      </c:pt>
                      <c:pt idx="31" formatCode="General">
                        <c:v>-18.991212121212119</c:v>
                      </c:pt>
                      <c:pt idx="32" formatCode="General">
                        <c:v>-19.010606060606062</c:v>
                      </c:pt>
                      <c:pt idx="33" formatCode="General">
                        <c:v>-19.03</c:v>
                      </c:pt>
                      <c:pt idx="34" formatCode="General">
                        <c:v>-19.044545454545453</c:v>
                      </c:pt>
                      <c:pt idx="35" formatCode="General">
                        <c:v>-19.059090909090909</c:v>
                      </c:pt>
                      <c:pt idx="36" formatCode="General">
                        <c:v>-19.078181818181818</c:v>
                      </c:pt>
                      <c:pt idx="37" formatCode="General">
                        <c:v>-19.097575757575758</c:v>
                      </c:pt>
                      <c:pt idx="38" formatCode="General">
                        <c:v>-19.112727272727273</c:v>
                      </c:pt>
                      <c:pt idx="39" formatCode="General">
                        <c:v>-19.127272727272725</c:v>
                      </c:pt>
                      <c:pt idx="40" formatCode="General">
                        <c:v>-19.145662650602411</c:v>
                      </c:pt>
                      <c:pt idx="41" formatCode="General">
                        <c:v>-19.164939759036145</c:v>
                      </c:pt>
                      <c:pt idx="42" formatCode="General">
                        <c:v>-19.180727272727275</c:v>
                      </c:pt>
                      <c:pt idx="43" formatCode="General">
                        <c:v>-19.195272727272727</c:v>
                      </c:pt>
                      <c:pt idx="44" formatCode="General">
                        <c:v>-19.209818181818182</c:v>
                      </c:pt>
                      <c:pt idx="45" formatCode="General">
                        <c:v>-19.224363636363638</c:v>
                      </c:pt>
                      <c:pt idx="46" formatCode="General">
                        <c:v>-19.24187878787879</c:v>
                      </c:pt>
                      <c:pt idx="47" formatCode="General">
                        <c:v>-19.261272727272726</c:v>
                      </c:pt>
                      <c:pt idx="48" formatCode="General">
                        <c:v>-19.277322239031768</c:v>
                      </c:pt>
                      <c:pt idx="49" formatCode="General">
                        <c:v>-19.290635400907714</c:v>
                      </c:pt>
                      <c:pt idx="50" formatCode="General">
                        <c:v>-19.30394856278366</c:v>
                      </c:pt>
                      <c:pt idx="51" formatCode="General">
                        <c:v>-19.317261724659605</c:v>
                      </c:pt>
                      <c:pt idx="52" formatCode="General">
                        <c:v>-19.330574886535551</c:v>
                      </c:pt>
                      <c:pt idx="53" formatCode="General">
                        <c:v>-19.343888048411497</c:v>
                      </c:pt>
                      <c:pt idx="54" formatCode="General">
                        <c:v>-19.357201210287442</c:v>
                      </c:pt>
                      <c:pt idx="55" formatCode="General">
                        <c:v>-19.370514372163388</c:v>
                      </c:pt>
                      <c:pt idx="56" formatCode="General">
                        <c:v>-19.384523449319211</c:v>
                      </c:pt>
                      <c:pt idx="57" formatCode="General">
                        <c:v>-19.400257186081692</c:v>
                      </c:pt>
                      <c:pt idx="58" formatCode="General">
                        <c:v>-19.415990922844177</c:v>
                      </c:pt>
                      <c:pt idx="59" formatCode="General">
                        <c:v>-19.431724659606658</c:v>
                      </c:pt>
                      <c:pt idx="60" formatCode="General">
                        <c:v>-19.447458396369139</c:v>
                      </c:pt>
                      <c:pt idx="61" formatCode="General">
                        <c:v>-19.463192133131621</c:v>
                      </c:pt>
                      <c:pt idx="62" formatCode="General">
                        <c:v>-19.478925869894102</c:v>
                      </c:pt>
                      <c:pt idx="63" formatCode="General">
                        <c:v>-19.494659606656583</c:v>
                      </c:pt>
                      <c:pt idx="64" formatCode="General">
                        <c:v>-19.51048484848485</c:v>
                      </c:pt>
                      <c:pt idx="65" formatCode="General">
                        <c:v>-19.52987878787879</c:v>
                      </c:pt>
                      <c:pt idx="66" formatCode="General">
                        <c:v>-19.549272727272729</c:v>
                      </c:pt>
                      <c:pt idx="67" formatCode="General">
                        <c:v>-19.564</c:v>
                      </c:pt>
                      <c:pt idx="68" formatCode="General">
                        <c:v>-19.578545454545452</c:v>
                      </c:pt>
                      <c:pt idx="69" formatCode="General">
                        <c:v>-19.593090909090908</c:v>
                      </c:pt>
                      <c:pt idx="70" formatCode="General">
                        <c:v>-19.607636363636363</c:v>
                      </c:pt>
                      <c:pt idx="71" formatCode="General">
                        <c:v>-19.622181818181819</c:v>
                      </c:pt>
                      <c:pt idx="72" formatCode="General">
                        <c:v>-19.636727272727274</c:v>
                      </c:pt>
                      <c:pt idx="73" formatCode="General">
                        <c:v>-19.651204819277108</c:v>
                      </c:pt>
                      <c:pt idx="74" formatCode="General">
                        <c:v>-19.66566265060241</c:v>
                      </c:pt>
                      <c:pt idx="75" formatCode="General">
                        <c:v>-19.680181818181818</c:v>
                      </c:pt>
                      <c:pt idx="76" formatCode="General">
                        <c:v>-19.694727272727274</c:v>
                      </c:pt>
                      <c:pt idx="77" formatCode="General">
                        <c:v>-19.709272727272726</c:v>
                      </c:pt>
                      <c:pt idx="78" formatCode="General">
                        <c:v>-19.723818181818181</c:v>
                      </c:pt>
                      <c:pt idx="79" formatCode="General">
                        <c:v>-19.738363636363637</c:v>
                      </c:pt>
                      <c:pt idx="80" formatCode="General">
                        <c:v>-19.752909090909093</c:v>
                      </c:pt>
                      <c:pt idx="81" formatCode="General">
                        <c:v>-19.767443267776098</c:v>
                      </c:pt>
                      <c:pt idx="82" formatCode="General">
                        <c:v>-19.781966717095312</c:v>
                      </c:pt>
                      <c:pt idx="83" formatCode="General">
                        <c:v>-19.796490166414525</c:v>
                      </c:pt>
                      <c:pt idx="84" formatCode="General">
                        <c:v>-19.811013615733739</c:v>
                      </c:pt>
                      <c:pt idx="85" formatCode="General">
                        <c:v>-19.825537065052949</c:v>
                      </c:pt>
                      <c:pt idx="86" formatCode="General">
                        <c:v>-19.840060514372162</c:v>
                      </c:pt>
                      <c:pt idx="87" formatCode="General">
                        <c:v>-19.854583963691375</c:v>
                      </c:pt>
                      <c:pt idx="88" formatCode="General">
                        <c:v>-19.869107413010589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894-4356-9EB2-6A9076CBABE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  <c:pt idx="87">
                        <c:v>986</c:v>
                      </c:pt>
                      <c:pt idx="88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-63.458181818181821</c:v>
                      </c:pt>
                      <c:pt idx="1">
                        <c:v>-61.809696969696965</c:v>
                      </c:pt>
                      <c:pt idx="2">
                        <c:v>-60.161212121212117</c:v>
                      </c:pt>
                      <c:pt idx="3">
                        <c:v>-58.531636363636359</c:v>
                      </c:pt>
                      <c:pt idx="4" formatCode="General">
                        <c:v>-56.902545454545447</c:v>
                      </c:pt>
                      <c:pt idx="5" formatCode="General">
                        <c:v>-55.273454545454541</c:v>
                      </c:pt>
                      <c:pt idx="6" formatCode="General">
                        <c:v>-53.644363636363636</c:v>
                      </c:pt>
                      <c:pt idx="7" formatCode="General">
                        <c:v>-52.128472012102868</c:v>
                      </c:pt>
                      <c:pt idx="8" formatCode="General">
                        <c:v>-50.632556732223904</c:v>
                      </c:pt>
                      <c:pt idx="9" formatCode="General">
                        <c:v>-49.136641452344932</c:v>
                      </c:pt>
                      <c:pt idx="10" formatCode="General">
                        <c:v>-47.640726172465961</c:v>
                      </c:pt>
                      <c:pt idx="11" formatCode="General">
                        <c:v>-46.144810892586989</c:v>
                      </c:pt>
                      <c:pt idx="12" formatCode="General">
                        <c:v>-44.648895612708017</c:v>
                      </c:pt>
                      <c:pt idx="13" formatCode="General">
                        <c:v>-43.152980332829046</c:v>
                      </c:pt>
                      <c:pt idx="14" formatCode="General">
                        <c:v>-41.657065052950074</c:v>
                      </c:pt>
                      <c:pt idx="15" formatCode="General">
                        <c:v>-40.302242424242429</c:v>
                      </c:pt>
                      <c:pt idx="16" formatCode="General">
                        <c:v>-39.046484848484852</c:v>
                      </c:pt>
                      <c:pt idx="17" formatCode="General">
                        <c:v>-37.846727272727279</c:v>
                      </c:pt>
                      <c:pt idx="18" formatCode="General">
                        <c:v>-36.697636363636363</c:v>
                      </c:pt>
                      <c:pt idx="19" formatCode="General">
                        <c:v>-35.600783132530118</c:v>
                      </c:pt>
                      <c:pt idx="20" formatCode="General">
                        <c:v>-34.564638554216863</c:v>
                      </c:pt>
                      <c:pt idx="21" formatCode="General">
                        <c:v>-33.556121212121212</c:v>
                      </c:pt>
                      <c:pt idx="22" formatCode="General">
                        <c:v>-32.591272727272724</c:v>
                      </c:pt>
                      <c:pt idx="23" formatCode="General">
                        <c:v>-31.645333333333333</c:v>
                      </c:pt>
                      <c:pt idx="24" formatCode="General">
                        <c:v>-30.738666666666663</c:v>
                      </c:pt>
                      <c:pt idx="25" formatCode="General">
                        <c:v>-29.842181818181817</c:v>
                      </c:pt>
                      <c:pt idx="26" formatCode="General">
                        <c:v>-28.97430303030303</c:v>
                      </c:pt>
                      <c:pt idx="27" formatCode="General">
                        <c:v>-28.111272727272727</c:v>
                      </c:pt>
                      <c:pt idx="28" formatCode="General">
                        <c:v>-27.26763636363636</c:v>
                      </c:pt>
                      <c:pt idx="29" formatCode="General">
                        <c:v>-26.429337349397588</c:v>
                      </c:pt>
                      <c:pt idx="30" formatCode="General">
                        <c:v>-25.624518072289156</c:v>
                      </c:pt>
                      <c:pt idx="31" formatCode="General">
                        <c:v>-24.821515151515154</c:v>
                      </c:pt>
                      <c:pt idx="32" formatCode="General">
                        <c:v>-24.045757575757577</c:v>
                      </c:pt>
                      <c:pt idx="33" formatCode="General">
                        <c:v>-23.27</c:v>
                      </c:pt>
                      <c:pt idx="34" formatCode="General">
                        <c:v>-22.528181818181817</c:v>
                      </c:pt>
                      <c:pt idx="35" formatCode="General">
                        <c:v>-21.786363636363635</c:v>
                      </c:pt>
                      <c:pt idx="36" formatCode="General">
                        <c:v>-21.07181818181818</c:v>
                      </c:pt>
                      <c:pt idx="37" formatCode="General">
                        <c:v>-20.359090909090909</c:v>
                      </c:pt>
                      <c:pt idx="38" formatCode="General">
                        <c:v>-19.676060606060606</c:v>
                      </c:pt>
                      <c:pt idx="39" formatCode="General">
                        <c:v>-18.99727272727273</c:v>
                      </c:pt>
                      <c:pt idx="40" formatCode="General">
                        <c:v>-18.349216867469881</c:v>
                      </c:pt>
                      <c:pt idx="41" formatCode="General">
                        <c:v>-17.708253012048193</c:v>
                      </c:pt>
                      <c:pt idx="42" formatCode="General">
                        <c:v>-17.082303030303031</c:v>
                      </c:pt>
                      <c:pt idx="43" formatCode="General">
                        <c:v>-16.461696969696973</c:v>
                      </c:pt>
                      <c:pt idx="44" formatCode="General">
                        <c:v>-15.864000000000003</c:v>
                      </c:pt>
                      <c:pt idx="45" formatCode="General">
                        <c:v>-15.277333333333337</c:v>
                      </c:pt>
                      <c:pt idx="46" formatCode="General">
                        <c:v>-14.711454545454547</c:v>
                      </c:pt>
                      <c:pt idx="47" formatCode="General">
                        <c:v>-14.158727272727274</c:v>
                      </c:pt>
                      <c:pt idx="48" formatCode="General">
                        <c:v>-13.70231467473525</c:v>
                      </c:pt>
                      <c:pt idx="49" formatCode="General">
                        <c:v>-13.324704992435704</c:v>
                      </c:pt>
                      <c:pt idx="50" formatCode="General">
                        <c:v>-12.947095310136159</c:v>
                      </c:pt>
                      <c:pt idx="51" formatCode="General">
                        <c:v>-12.569485627836613</c:v>
                      </c:pt>
                      <c:pt idx="52" formatCode="General">
                        <c:v>-12.191875945537067</c:v>
                      </c:pt>
                      <c:pt idx="53" formatCode="General">
                        <c:v>-11.814266263237521</c:v>
                      </c:pt>
                      <c:pt idx="54" formatCode="General">
                        <c:v>-11.436656580937974</c:v>
                      </c:pt>
                      <c:pt idx="55" formatCode="General">
                        <c:v>-11.059046898638428</c:v>
                      </c:pt>
                      <c:pt idx="56" formatCode="General">
                        <c:v>-10.734639939485628</c:v>
                      </c:pt>
                      <c:pt idx="57" formatCode="General">
                        <c:v>-10.542083207261724</c:v>
                      </c:pt>
                      <c:pt idx="58" formatCode="General">
                        <c:v>-10.349526475037822</c:v>
                      </c:pt>
                      <c:pt idx="59" formatCode="General">
                        <c:v>-10.156969742813917</c:v>
                      </c:pt>
                      <c:pt idx="60" formatCode="General">
                        <c:v>-9.9644130105900146</c:v>
                      </c:pt>
                      <c:pt idx="61" formatCode="General">
                        <c:v>-9.771856278366112</c:v>
                      </c:pt>
                      <c:pt idx="62" formatCode="General">
                        <c:v>-9.5792995461422077</c:v>
                      </c:pt>
                      <c:pt idx="63" formatCode="General">
                        <c:v>-9.3867428139183051</c:v>
                      </c:pt>
                      <c:pt idx="64" formatCode="General">
                        <c:v>-9.1950606060606042</c:v>
                      </c:pt>
                      <c:pt idx="65" formatCode="General">
                        <c:v>-9.0374848484848478</c:v>
                      </c:pt>
                      <c:pt idx="66" formatCode="General">
                        <c:v>-8.8799090909090914</c:v>
                      </c:pt>
                      <c:pt idx="67" formatCode="General">
                        <c:v>-8.7335333333333338</c:v>
                      </c:pt>
                      <c:pt idx="68" formatCode="General">
                        <c:v>-8.5875939393939387</c:v>
                      </c:pt>
                      <c:pt idx="69" formatCode="General">
                        <c:v>-8.4516909090909085</c:v>
                      </c:pt>
                      <c:pt idx="70" formatCode="General">
                        <c:v>-8.3169030303030294</c:v>
                      </c:pt>
                      <c:pt idx="71" formatCode="General">
                        <c:v>-8.1898303030303019</c:v>
                      </c:pt>
                      <c:pt idx="72" formatCode="General">
                        <c:v>-8.0642545454545438</c:v>
                      </c:pt>
                      <c:pt idx="73" formatCode="General">
                        <c:v>-7.9493493975903604</c:v>
                      </c:pt>
                      <c:pt idx="74" formatCode="General">
                        <c:v>-7.8375421686746982</c:v>
                      </c:pt>
                      <c:pt idx="75" formatCode="General">
                        <c:v>-7.8216484848484846</c:v>
                      </c:pt>
                      <c:pt idx="76" formatCode="General">
                        <c:v>-7.8468606060606056</c:v>
                      </c:pt>
                      <c:pt idx="77" formatCode="General">
                        <c:v>-7.8742363636363635</c:v>
                      </c:pt>
                      <c:pt idx="78" formatCode="General">
                        <c:v>-7.902842424242424</c:v>
                      </c:pt>
                      <c:pt idx="79" formatCode="General">
                        <c:v>-7.930890909090909</c:v>
                      </c:pt>
                      <c:pt idx="80" formatCode="General">
                        <c:v>-7.9585272727272729</c:v>
                      </c:pt>
                      <c:pt idx="81" formatCode="General">
                        <c:v>-7.9859561270801818</c:v>
                      </c:pt>
                      <c:pt idx="82" formatCode="General">
                        <c:v>-8.0131875945537061</c:v>
                      </c:pt>
                      <c:pt idx="83" formatCode="General">
                        <c:v>-8.0404190620272313</c:v>
                      </c:pt>
                      <c:pt idx="84" formatCode="General">
                        <c:v>-8.0676505295007566</c:v>
                      </c:pt>
                      <c:pt idx="85" formatCode="General">
                        <c:v>-8.0948819969742818</c:v>
                      </c:pt>
                      <c:pt idx="86" formatCode="General">
                        <c:v>-8.1221134644478052</c:v>
                      </c:pt>
                      <c:pt idx="87" formatCode="General">
                        <c:v>-8.1493449319213305</c:v>
                      </c:pt>
                      <c:pt idx="88" formatCode="General">
                        <c:v>-8.1765763993948557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894-4356-9EB2-6A9076CBABE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39</xdr:row>
      <xdr:rowOff>33617</xdr:rowOff>
    </xdr:from>
    <xdr:to>
      <xdr:col>44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44904</xdr:colOff>
      <xdr:row>2</xdr:row>
      <xdr:rowOff>37142</xdr:rowOff>
    </xdr:from>
    <xdr:to>
      <xdr:col>49</xdr:col>
      <xdr:colOff>773206</xdr:colOff>
      <xdr:row>18</xdr:row>
      <xdr:rowOff>11206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86369</xdr:colOff>
      <xdr:row>112</xdr:row>
      <xdr:rowOff>75906</xdr:rowOff>
    </xdr:from>
    <xdr:to>
      <xdr:col>49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89647</xdr:rowOff>
    </xdr:from>
    <xdr:to>
      <xdr:col>49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95</xdr:col>
          <xdr:colOff>676275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95</xdr:col>
      <xdr:colOff>0</xdr:colOff>
      <xdr:row>99</xdr:row>
      <xdr:rowOff>0</xdr:rowOff>
    </xdr:from>
    <xdr:to>
      <xdr:col>98</xdr:col>
      <xdr:colOff>843353</xdr:colOff>
      <xdr:row>111</xdr:row>
      <xdr:rowOff>215824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99</xdr:row>
      <xdr:rowOff>0</xdr:rowOff>
    </xdr:from>
    <xdr:to>
      <xdr:col>102</xdr:col>
      <xdr:colOff>843353</xdr:colOff>
      <xdr:row>111</xdr:row>
      <xdr:rowOff>215823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103</xdr:col>
      <xdr:colOff>0</xdr:colOff>
      <xdr:row>99</xdr:row>
      <xdr:rowOff>0</xdr:rowOff>
    </xdr:from>
    <xdr:to>
      <xdr:col>106</xdr:col>
      <xdr:colOff>843353</xdr:colOff>
      <xdr:row>111</xdr:row>
      <xdr:rowOff>215824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95</xdr:col>
      <xdr:colOff>0</xdr:colOff>
      <xdr:row>131</xdr:row>
      <xdr:rowOff>0</xdr:rowOff>
    </xdr:from>
    <xdr:to>
      <xdr:col>98</xdr:col>
      <xdr:colOff>843353</xdr:colOff>
      <xdr:row>143</xdr:row>
      <xdr:rowOff>238236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131</xdr:row>
      <xdr:rowOff>0</xdr:rowOff>
    </xdr:from>
    <xdr:to>
      <xdr:col>102</xdr:col>
      <xdr:colOff>843353</xdr:colOff>
      <xdr:row>143</xdr:row>
      <xdr:rowOff>238236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103</xdr:col>
      <xdr:colOff>0</xdr:colOff>
      <xdr:row>131</xdr:row>
      <xdr:rowOff>0</xdr:rowOff>
    </xdr:from>
    <xdr:to>
      <xdr:col>106</xdr:col>
      <xdr:colOff>843353</xdr:colOff>
      <xdr:row>143</xdr:row>
      <xdr:rowOff>238236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95</xdr:col>
      <xdr:colOff>-1</xdr:colOff>
      <xdr:row>144</xdr:row>
      <xdr:rowOff>0</xdr:rowOff>
    </xdr:from>
    <xdr:to>
      <xdr:col>98</xdr:col>
      <xdr:colOff>843352</xdr:colOff>
      <xdr:row>156</xdr:row>
      <xdr:rowOff>238235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E3" sqref="E3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27</v>
      </c>
      <c r="B1" s="40">
        <v>700</v>
      </c>
      <c r="D1" s="184" t="s">
        <v>40</v>
      </c>
      <c r="E1" s="185"/>
      <c r="F1" s="185"/>
      <c r="G1" s="185"/>
    </row>
    <row r="2" spans="1:7" ht="21.75" thickTop="1" x14ac:dyDescent="0.35">
      <c r="A2" s="11" t="s">
        <v>39</v>
      </c>
      <c r="B2" s="11"/>
      <c r="D2" s="7" t="s">
        <v>1</v>
      </c>
      <c r="E2" s="70" t="s">
        <v>3</v>
      </c>
      <c r="F2" s="7" t="s">
        <v>4</v>
      </c>
      <c r="G2" s="7" t="s">
        <v>2</v>
      </c>
    </row>
    <row r="3" spans="1:7" ht="27.75" customHeight="1" x14ac:dyDescent="0.35">
      <c r="D3" s="40">
        <v>25</v>
      </c>
      <c r="E3" s="40">
        <v>35</v>
      </c>
      <c r="F3" s="40">
        <v>5</v>
      </c>
      <c r="G3" s="40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36"/>
  <sheetViews>
    <sheetView topLeftCell="A91" zoomScale="85" zoomScaleNormal="85" zoomScaleSheetLayoutView="25" workbookViewId="0">
      <selection activeCell="AZ115" sqref="AZ11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hidden="1" customWidth="1"/>
    <col min="38" max="38" width="3" customWidth="1"/>
  </cols>
  <sheetData>
    <row r="1" spans="1:54" ht="29.25" customHeight="1" thickBot="1" x14ac:dyDescent="0.4">
      <c r="A1" s="188" t="s">
        <v>25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188"/>
      <c r="AF1" s="188"/>
      <c r="AG1" s="188"/>
      <c r="AH1" s="188"/>
      <c r="AI1" s="188"/>
      <c r="AJ1" s="188"/>
      <c r="AK1" s="188"/>
      <c r="AL1" s="188"/>
      <c r="AM1" s="188"/>
      <c r="AN1" s="188"/>
      <c r="AO1" s="188"/>
      <c r="AP1" s="188"/>
      <c r="AQ1" s="188"/>
      <c r="AR1" s="188"/>
      <c r="AS1" s="188"/>
      <c r="AT1" s="188"/>
      <c r="AU1" s="188"/>
      <c r="AV1" s="188"/>
      <c r="AW1" s="188"/>
      <c r="AX1" s="188"/>
      <c r="AY1" s="188"/>
      <c r="AZ1" s="188"/>
      <c r="BA1" s="188"/>
      <c r="BB1" s="188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4" t="s">
        <v>69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421.8</v>
      </c>
      <c r="M3" s="3">
        <v>438.3</v>
      </c>
      <c r="N3" s="3">
        <v>454.9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7">
        <v>554</v>
      </c>
      <c r="U3" s="60">
        <v>570.5</v>
      </c>
      <c r="V3" s="61">
        <v>587</v>
      </c>
      <c r="W3" s="1">
        <v>603.5</v>
      </c>
      <c r="X3" s="58">
        <v>620.1</v>
      </c>
      <c r="Y3" s="3">
        <v>636.6</v>
      </c>
      <c r="Z3" s="3">
        <v>653.1</v>
      </c>
      <c r="AA3" s="3">
        <v>669.6</v>
      </c>
      <c r="AB3" s="4">
        <v>735.7</v>
      </c>
      <c r="AC3" s="4">
        <v>801.8</v>
      </c>
      <c r="AD3" s="4">
        <v>818.3</v>
      </c>
      <c r="AE3" s="4">
        <v>834.8</v>
      </c>
      <c r="AF3" s="4">
        <v>851.3</v>
      </c>
      <c r="AG3" s="4">
        <v>867.8</v>
      </c>
      <c r="AH3" s="4">
        <v>884.4</v>
      </c>
      <c r="AI3" s="4">
        <v>900.9</v>
      </c>
      <c r="AJ3" s="4">
        <v>917.4</v>
      </c>
      <c r="AK3" s="4">
        <v>933.9</v>
      </c>
      <c r="AL3" s="20">
        <v>1000</v>
      </c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1</v>
      </c>
      <c r="D4" s="44">
        <f t="shared" si="0"/>
        <v>0</v>
      </c>
      <c r="E4" s="48" t="s">
        <v>41</v>
      </c>
      <c r="F4" s="49">
        <v>2.9827000000000001E-9</v>
      </c>
      <c r="G4" s="49">
        <v>5.4655999999999998E-9</v>
      </c>
      <c r="H4" s="49">
        <v>8.6291999999999999E-9</v>
      </c>
      <c r="I4" s="49">
        <v>1.5218000000000001E-8</v>
      </c>
      <c r="J4" s="49">
        <v>2.2297999999999999E-8</v>
      </c>
      <c r="K4" s="49">
        <v>3.6994E-8</v>
      </c>
      <c r="L4" s="49">
        <v>2.3000000000000001E-8</v>
      </c>
      <c r="M4" s="49">
        <v>1.1274000000000001E-8</v>
      </c>
      <c r="N4" s="49">
        <v>3.6984E-9</v>
      </c>
      <c r="O4" s="49">
        <v>4.7711999999999997E-12</v>
      </c>
      <c r="P4" s="49">
        <v>7.1197000000000007E-18</v>
      </c>
      <c r="Q4" s="49">
        <v>5.4020999999999997E-25</v>
      </c>
      <c r="R4" s="49">
        <v>1.4035000000000001E-32</v>
      </c>
      <c r="S4" s="49">
        <v>0</v>
      </c>
      <c r="T4" s="49">
        <v>0</v>
      </c>
      <c r="U4" s="49">
        <v>0</v>
      </c>
      <c r="V4" s="49">
        <v>0</v>
      </c>
      <c r="W4" s="49">
        <v>0</v>
      </c>
      <c r="X4" s="49">
        <v>0</v>
      </c>
      <c r="Y4" s="49">
        <v>0</v>
      </c>
      <c r="Z4" s="49">
        <v>0</v>
      </c>
      <c r="AA4" s="49">
        <v>0</v>
      </c>
      <c r="AB4" s="49">
        <v>0</v>
      </c>
      <c r="AC4" s="49">
        <v>0</v>
      </c>
      <c r="AD4" s="49">
        <v>0</v>
      </c>
      <c r="AE4" s="49">
        <v>0</v>
      </c>
      <c r="AF4" s="49">
        <v>0</v>
      </c>
      <c r="AG4" s="49">
        <v>0</v>
      </c>
      <c r="AH4" s="49">
        <v>0</v>
      </c>
      <c r="AI4" s="49">
        <v>0</v>
      </c>
      <c r="AJ4" s="49">
        <v>0</v>
      </c>
      <c r="AK4" s="49">
        <v>0</v>
      </c>
      <c r="AL4" s="49">
        <v>0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0</v>
      </c>
      <c r="D5" s="44">
        <f t="shared" si="0"/>
        <v>1</v>
      </c>
      <c r="E5" s="48" t="s">
        <v>53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6.1428999999999998E-28</v>
      </c>
      <c r="AD5" s="49">
        <v>1.8061E-22</v>
      </c>
      <c r="AE5" s="49">
        <v>2.1782E-17</v>
      </c>
      <c r="AF5" s="49">
        <v>1.0454999999999999E-12</v>
      </c>
      <c r="AG5" s="49">
        <v>5.7881999999999997E-10</v>
      </c>
      <c r="AH5" s="49">
        <v>1.8897999999999999E-7</v>
      </c>
      <c r="AI5" s="49">
        <v>6.7478E-6</v>
      </c>
      <c r="AJ5" s="49">
        <v>5.5303999999999996E-6</v>
      </c>
      <c r="AK5" s="49">
        <v>4.3992000000000002E-6</v>
      </c>
      <c r="AL5" s="49">
        <v>2.1291999999999999E-6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0</v>
      </c>
      <c r="D6" s="44">
        <f t="shared" si="0"/>
        <v>0</v>
      </c>
      <c r="E6" s="48" t="s">
        <v>42</v>
      </c>
      <c r="F6" s="49">
        <v>0</v>
      </c>
      <c r="G6" s="49">
        <v>0</v>
      </c>
      <c r="H6" s="49">
        <v>5.8711000000000001E-31</v>
      </c>
      <c r="I6" s="49">
        <v>6.2772999999999996E-25</v>
      </c>
      <c r="J6" s="49">
        <v>8.6447999999999994E-22</v>
      </c>
      <c r="K6" s="49">
        <v>2.0010999999999999E-17</v>
      </c>
      <c r="L6" s="49">
        <v>7.7615999999999997E-16</v>
      </c>
      <c r="M6" s="49">
        <v>3.5560999999999999E-13</v>
      </c>
      <c r="N6" s="49">
        <v>4.4159000000000002E-10</v>
      </c>
      <c r="O6" s="49">
        <v>5.0248000000000003E-9</v>
      </c>
      <c r="P6" s="49">
        <v>6.2596000000000002E-9</v>
      </c>
      <c r="Q6" s="49">
        <v>1.0265E-8</v>
      </c>
      <c r="R6" s="49">
        <v>2.1635999999999999E-8</v>
      </c>
      <c r="S6" s="49">
        <v>1.5935E-8</v>
      </c>
      <c r="T6" s="49">
        <v>2.6362000000000001E-8</v>
      </c>
      <c r="U6" s="49">
        <v>2.0599000000000001E-8</v>
      </c>
      <c r="V6" s="49">
        <v>2.3733000000000001E-8</v>
      </c>
      <c r="W6" s="49">
        <v>2.3631999999999999E-8</v>
      </c>
      <c r="X6" s="49">
        <v>2.2979E-8</v>
      </c>
      <c r="Y6" s="49">
        <v>2.3184999999999999E-8</v>
      </c>
      <c r="Z6" s="49">
        <v>2.3359000000000001E-8</v>
      </c>
      <c r="AA6" s="49">
        <v>2.4491999999999999E-8</v>
      </c>
      <c r="AB6" s="49">
        <v>3.1211000000000001E-8</v>
      </c>
      <c r="AC6" s="49">
        <v>3.2555000000000003E-8</v>
      </c>
      <c r="AD6" s="49">
        <v>3.2135999999999997E-8</v>
      </c>
      <c r="AE6" s="49">
        <v>3.1651999999999998E-8</v>
      </c>
      <c r="AF6" s="49">
        <v>3.1298E-8</v>
      </c>
      <c r="AG6" s="49">
        <v>1.2007000000000001E-10</v>
      </c>
      <c r="AH6" s="49">
        <v>1.5713E-29</v>
      </c>
      <c r="AI6" s="49">
        <v>1.8893E-29</v>
      </c>
      <c r="AJ6" s="49">
        <v>3.5658999999999998E-30</v>
      </c>
      <c r="AK6" s="49">
        <v>2.3366000000000001E-29</v>
      </c>
      <c r="AL6" s="49">
        <v>4.121E-23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2</v>
      </c>
      <c r="C7" s="44">
        <f t="shared" si="0"/>
        <v>1</v>
      </c>
      <c r="D7" s="44">
        <f t="shared" si="0"/>
        <v>0</v>
      </c>
      <c r="E7" s="48" t="s">
        <v>75</v>
      </c>
      <c r="F7" s="49">
        <v>1.4458999999999999E-9</v>
      </c>
      <c r="G7" s="49">
        <v>2.5027000000000001E-10</v>
      </c>
      <c r="H7" s="49">
        <v>1.1699000000000001E-12</v>
      </c>
      <c r="I7" s="49">
        <v>1.2121E-17</v>
      </c>
      <c r="J7" s="49">
        <v>2.3451999999999999E-26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49">
        <v>0</v>
      </c>
      <c r="AB7" s="49">
        <v>0</v>
      </c>
      <c r="AC7" s="49">
        <v>0</v>
      </c>
      <c r="AD7" s="49">
        <v>0</v>
      </c>
      <c r="AE7" s="49">
        <v>0</v>
      </c>
      <c r="AF7" s="49">
        <v>0</v>
      </c>
      <c r="AG7" s="49">
        <v>0</v>
      </c>
      <c r="AH7" s="49">
        <v>0</v>
      </c>
      <c r="AI7" s="49">
        <v>0</v>
      </c>
      <c r="AJ7" s="49">
        <v>0</v>
      </c>
      <c r="AK7" s="49">
        <v>0</v>
      </c>
      <c r="AL7" s="49">
        <v>0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3</v>
      </c>
      <c r="C8" s="44">
        <f t="shared" si="0"/>
        <v>0</v>
      </c>
      <c r="D8" s="44">
        <f t="shared" si="0"/>
        <v>2</v>
      </c>
      <c r="E8" s="48" t="s">
        <v>70</v>
      </c>
      <c r="F8" s="49">
        <v>8.2921999999999996E-3</v>
      </c>
      <c r="G8" s="49">
        <v>8.1940999999999993E-3</v>
      </c>
      <c r="H8" s="49">
        <v>7.9570000000000005E-3</v>
      </c>
      <c r="I8" s="49">
        <v>7.561E-3</v>
      </c>
      <c r="J8" s="49">
        <v>7.1253000000000002E-3</v>
      </c>
      <c r="K8" s="49">
        <v>6.4335E-3</v>
      </c>
      <c r="L8" s="49">
        <v>6.3306999999999999E-3</v>
      </c>
      <c r="M8" s="49">
        <v>6.1551000000000002E-3</v>
      </c>
      <c r="N8" s="49">
        <v>5.8837000000000004E-3</v>
      </c>
      <c r="O8" s="49">
        <v>5.5401000000000001E-3</v>
      </c>
      <c r="P8" s="49">
        <v>5.1904000000000004E-3</v>
      </c>
      <c r="Q8" s="49">
        <v>4.9026E-3</v>
      </c>
      <c r="R8" s="49">
        <v>4.7057999999999996E-3</v>
      </c>
      <c r="S8" s="49">
        <v>4.5878999999999998E-3</v>
      </c>
      <c r="T8" s="49">
        <v>4.5222999999999999E-3</v>
      </c>
      <c r="U8" s="49">
        <v>4.4869000000000003E-3</v>
      </c>
      <c r="V8" s="49">
        <v>4.4676999999999998E-3</v>
      </c>
      <c r="W8" s="49">
        <v>4.4561999999999996E-3</v>
      </c>
      <c r="X8" s="49">
        <v>4.4453000000000001E-3</v>
      </c>
      <c r="Y8" s="49">
        <v>4.4216000000000004E-3</v>
      </c>
      <c r="Z8" s="49">
        <v>4.3454000000000001E-3</v>
      </c>
      <c r="AA8" s="49">
        <v>4.1025999999999996E-3</v>
      </c>
      <c r="AB8" s="49">
        <v>4.5949000000000001E-4</v>
      </c>
      <c r="AC8" s="49">
        <v>7.2798000000000002E-6</v>
      </c>
      <c r="AD8" s="49">
        <v>2.5911999999999999E-6</v>
      </c>
      <c r="AE8" s="49">
        <v>9.2691999999999999E-7</v>
      </c>
      <c r="AF8" s="49">
        <v>3.3339E-7</v>
      </c>
      <c r="AG8" s="49">
        <v>1.2088000000000001E-7</v>
      </c>
      <c r="AH8" s="49">
        <v>4.3569999999999999E-8</v>
      </c>
      <c r="AI8" s="49">
        <v>9.6765999999999994E-9</v>
      </c>
      <c r="AJ8" s="49">
        <v>2.1810999999999998E-9</v>
      </c>
      <c r="AK8" s="49">
        <v>5.0700000000000001E-10</v>
      </c>
      <c r="AL8" s="49">
        <v>2.0327E-12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1</v>
      </c>
      <c r="C9" s="44">
        <f t="shared" si="0"/>
        <v>0</v>
      </c>
      <c r="D9" s="44">
        <f t="shared" si="0"/>
        <v>2</v>
      </c>
      <c r="E9" s="48" t="s">
        <v>71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7.4465000000000001E-35</v>
      </c>
      <c r="O9" s="49">
        <v>9.0942999999999997E-33</v>
      </c>
      <c r="P9" s="49">
        <v>8.2290000000000008E-31</v>
      </c>
      <c r="Q9" s="49">
        <v>5.9169000000000003E-29</v>
      </c>
      <c r="R9" s="49">
        <v>3.5006000000000002E-27</v>
      </c>
      <c r="S9" s="49">
        <v>1.7198000000000001E-25</v>
      </c>
      <c r="T9" s="49">
        <v>7.0269E-24</v>
      </c>
      <c r="U9" s="49">
        <v>2.3967999999999999E-22</v>
      </c>
      <c r="V9" s="49">
        <v>6.8768000000000004E-21</v>
      </c>
      <c r="W9" s="49">
        <v>1.6759E-19</v>
      </c>
      <c r="X9" s="49">
        <v>3.5032999999999997E-18</v>
      </c>
      <c r="Y9" s="49">
        <v>6.3313999999999995E-17</v>
      </c>
      <c r="Z9" s="49">
        <v>9.8978000000000008E-16</v>
      </c>
      <c r="AA9" s="49">
        <v>1.3115E-14</v>
      </c>
      <c r="AB9" s="49">
        <v>1.8892E-11</v>
      </c>
      <c r="AC9" s="49">
        <v>9.9455999999999992E-10</v>
      </c>
      <c r="AD9" s="49">
        <v>2.2495000000000001E-9</v>
      </c>
      <c r="AE9" s="49">
        <v>4.7989E-9</v>
      </c>
      <c r="AF9" s="49">
        <v>9.6941999999999999E-9</v>
      </c>
      <c r="AG9" s="49">
        <v>1.8652000000000001E-8</v>
      </c>
      <c r="AH9" s="49">
        <v>3.3769000000000003E-8</v>
      </c>
      <c r="AI9" s="49">
        <v>3.4797999999999998E-8</v>
      </c>
      <c r="AJ9" s="49">
        <v>3.5021E-8</v>
      </c>
      <c r="AK9" s="49">
        <v>3.4928E-8</v>
      </c>
      <c r="AL9" s="49">
        <v>3.2273000000000001E-8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0</v>
      </c>
      <c r="C10" s="44">
        <f t="shared" si="0"/>
        <v>0</v>
      </c>
      <c r="D10" s="44">
        <f t="shared" si="0"/>
        <v>1</v>
      </c>
      <c r="E10" s="48" t="s">
        <v>4</v>
      </c>
      <c r="F10" s="49">
        <v>0</v>
      </c>
      <c r="G10" s="49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0</v>
      </c>
      <c r="O10" s="49">
        <v>0</v>
      </c>
      <c r="P10" s="49">
        <v>1.2616E-34</v>
      </c>
      <c r="Q10" s="49">
        <v>7.1091E-33</v>
      </c>
      <c r="R10" s="49">
        <v>3.2809E-31</v>
      </c>
      <c r="S10" s="49">
        <v>1.2545E-29</v>
      </c>
      <c r="T10" s="49">
        <v>3.9983999999999998E-28</v>
      </c>
      <c r="U10" s="49">
        <v>1.0702999999999999E-26</v>
      </c>
      <c r="V10" s="49">
        <v>2.4292999999999999E-25</v>
      </c>
      <c r="W10" s="49">
        <v>4.7242999999999998E-24</v>
      </c>
      <c r="X10" s="49">
        <v>7.9534999999999998E-23</v>
      </c>
      <c r="Y10" s="49">
        <v>1.1693999999999999E-21</v>
      </c>
      <c r="Z10" s="49">
        <v>1.5085999999999999E-20</v>
      </c>
      <c r="AA10" s="49">
        <v>1.6962000000000001E-19</v>
      </c>
      <c r="AB10" s="49">
        <v>3.6142999999999999E-16</v>
      </c>
      <c r="AC10" s="49">
        <v>8.1400999999999996E-14</v>
      </c>
      <c r="AD10" s="49">
        <v>2.6731E-13</v>
      </c>
      <c r="AE10" s="49">
        <v>8.2919000000000002E-13</v>
      </c>
      <c r="AF10" s="49">
        <v>2.4381999999999998E-12</v>
      </c>
      <c r="AG10" s="49">
        <v>6.8258000000000003E-12</v>
      </c>
      <c r="AH10" s="49">
        <v>1.8101E-11</v>
      </c>
      <c r="AI10" s="49">
        <v>3.5168999999999998E-11</v>
      </c>
      <c r="AJ10" s="49">
        <v>6.6286000000000003E-11</v>
      </c>
      <c r="AK10" s="49">
        <v>1.221E-10</v>
      </c>
      <c r="AL10" s="49">
        <v>1.1423999999999999E-9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1</v>
      </c>
      <c r="B11" s="44">
        <f t="shared" si="0"/>
        <v>0</v>
      </c>
      <c r="C11" s="44">
        <f t="shared" si="0"/>
        <v>0</v>
      </c>
      <c r="D11" s="44">
        <f t="shared" si="0"/>
        <v>0</v>
      </c>
      <c r="E11" s="48" t="s">
        <v>1</v>
      </c>
      <c r="F11" s="49">
        <v>0.2</v>
      </c>
      <c r="G11" s="49">
        <v>0.2</v>
      </c>
      <c r="H11" s="49">
        <v>0.2</v>
      </c>
      <c r="I11" s="49">
        <v>0.2</v>
      </c>
      <c r="J11" s="49">
        <v>0.2</v>
      </c>
      <c r="K11" s="49">
        <v>0.2</v>
      </c>
      <c r="L11" s="49">
        <v>0.2</v>
      </c>
      <c r="M11" s="49">
        <v>0.2</v>
      </c>
      <c r="N11" s="49">
        <v>0.2</v>
      </c>
      <c r="O11" s="49">
        <v>0.2</v>
      </c>
      <c r="P11" s="49">
        <v>0.2</v>
      </c>
      <c r="Q11" s="49">
        <v>0.2</v>
      </c>
      <c r="R11" s="49">
        <v>0.2</v>
      </c>
      <c r="S11" s="49">
        <v>0.2</v>
      </c>
      <c r="T11" s="49">
        <v>0.2</v>
      </c>
      <c r="U11" s="49">
        <v>0.2</v>
      </c>
      <c r="V11" s="49">
        <v>0.2</v>
      </c>
      <c r="W11" s="49">
        <v>0.2</v>
      </c>
      <c r="X11" s="49">
        <v>0.2</v>
      </c>
      <c r="Y11" s="49">
        <v>0.2</v>
      </c>
      <c r="Z11" s="49">
        <v>0.2</v>
      </c>
      <c r="AA11" s="49">
        <v>0.2</v>
      </c>
      <c r="AB11" s="49">
        <v>0.2</v>
      </c>
      <c r="AC11" s="49">
        <v>0.2</v>
      </c>
      <c r="AD11" s="49">
        <v>0.2</v>
      </c>
      <c r="AE11" s="49">
        <v>0.2</v>
      </c>
      <c r="AF11" s="49">
        <v>0.2</v>
      </c>
      <c r="AG11" s="49">
        <v>0.2</v>
      </c>
      <c r="AH11" s="49">
        <v>0.2</v>
      </c>
      <c r="AI11" s="49">
        <v>0.2</v>
      </c>
      <c r="AJ11" s="49">
        <v>0.2</v>
      </c>
      <c r="AK11" s="49">
        <v>0.2</v>
      </c>
      <c r="AL11" s="49">
        <v>0.2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2</v>
      </c>
      <c r="C12" s="44">
        <f t="shared" si="0"/>
        <v>1</v>
      </c>
      <c r="D12" s="44">
        <f t="shared" si="0"/>
        <v>0</v>
      </c>
      <c r="E12" s="48" t="s">
        <v>54</v>
      </c>
      <c r="F12" s="49">
        <v>0.13761999999999999</v>
      </c>
      <c r="G12" s="49">
        <v>0.13184000000000001</v>
      </c>
      <c r="H12" s="49">
        <v>0.1173</v>
      </c>
      <c r="I12" s="49">
        <v>9.0985999999999997E-2</v>
      </c>
      <c r="J12" s="49">
        <v>5.8673000000000003E-2</v>
      </c>
      <c r="K12" s="49">
        <v>3.5301E-3</v>
      </c>
      <c r="L12" s="49">
        <v>1.7362E-3</v>
      </c>
      <c r="M12" s="49">
        <v>8.7681E-4</v>
      </c>
      <c r="N12" s="49">
        <v>4.4354000000000003E-4</v>
      </c>
      <c r="O12" s="49">
        <v>2.1458999999999999E-4</v>
      </c>
      <c r="P12" s="49">
        <v>9.4772999999999995E-5</v>
      </c>
      <c r="Q12" s="49">
        <v>3.7471000000000001E-5</v>
      </c>
      <c r="R12" s="49">
        <v>1.3517E-5</v>
      </c>
      <c r="S12" s="49">
        <v>4.6341999999999996E-6</v>
      </c>
      <c r="T12" s="49">
        <v>1.5689999999999999E-6</v>
      </c>
      <c r="U12" s="49">
        <v>5.3781999999999998E-7</v>
      </c>
      <c r="V12" s="49">
        <v>1.8911999999999999E-7</v>
      </c>
      <c r="W12" s="49">
        <v>6.8608000000000001E-8</v>
      </c>
      <c r="X12" s="49">
        <v>2.5722E-8</v>
      </c>
      <c r="Y12" s="49">
        <v>9.9647999999999993E-9</v>
      </c>
      <c r="Z12" s="49">
        <v>3.9866999999999999E-9</v>
      </c>
      <c r="AA12" s="49">
        <v>1.6471E-9</v>
      </c>
      <c r="AB12" s="49">
        <v>6.4954000000000001E-11</v>
      </c>
      <c r="AC12" s="49">
        <v>3.496E-12</v>
      </c>
      <c r="AD12" s="49">
        <v>1.7611E-12</v>
      </c>
      <c r="AE12" s="49">
        <v>9.0203999999999996E-13</v>
      </c>
      <c r="AF12" s="49">
        <v>4.6937999999999996E-13</v>
      </c>
      <c r="AG12" s="49">
        <v>2.4795999999999999E-13</v>
      </c>
      <c r="AH12" s="49">
        <v>1.3305E-13</v>
      </c>
      <c r="AI12" s="49">
        <v>7.4307999999999995E-14</v>
      </c>
      <c r="AJ12" s="49">
        <v>4.1655E-14</v>
      </c>
      <c r="AK12" s="49">
        <v>2.3510999999999999E-14</v>
      </c>
      <c r="AL12" s="49">
        <v>2.6029999999999999E-15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1</v>
      </c>
      <c r="D13" s="44">
        <f t="shared" si="0"/>
        <v>0</v>
      </c>
      <c r="E13" s="48" t="s">
        <v>74</v>
      </c>
      <c r="F13" s="49">
        <v>0.14238000000000001</v>
      </c>
      <c r="G13" s="49">
        <v>0.14815</v>
      </c>
      <c r="H13" s="49">
        <v>0.16269</v>
      </c>
      <c r="I13" s="49">
        <v>0.189</v>
      </c>
      <c r="J13" s="49">
        <v>0.22128</v>
      </c>
      <c r="K13" s="49">
        <v>0.27118999999999999</v>
      </c>
      <c r="L13" s="49">
        <v>0.26468999999999998</v>
      </c>
      <c r="M13" s="49">
        <v>0.24837999999999999</v>
      </c>
      <c r="N13" s="49">
        <v>0.21926999999999999</v>
      </c>
      <c r="O13" s="49">
        <v>0.17757000000000001</v>
      </c>
      <c r="P13" s="49">
        <v>0.12916</v>
      </c>
      <c r="Q13" s="49">
        <v>8.4039000000000003E-2</v>
      </c>
      <c r="R13" s="49">
        <v>4.9964000000000001E-2</v>
      </c>
      <c r="S13" s="49">
        <v>2.8131E-2</v>
      </c>
      <c r="T13" s="49">
        <v>1.5495999999999999E-2</v>
      </c>
      <c r="U13" s="49">
        <v>8.5325999999999996E-3</v>
      </c>
      <c r="V13" s="49">
        <v>4.7505999999999998E-3</v>
      </c>
      <c r="W13" s="49">
        <v>2.6887999999999999E-3</v>
      </c>
      <c r="X13" s="49">
        <v>1.5502999999999999E-3</v>
      </c>
      <c r="Y13" s="49">
        <v>9.1091999999999996E-4</v>
      </c>
      <c r="Z13" s="49">
        <v>5.4536999999999999E-4</v>
      </c>
      <c r="AA13" s="49">
        <v>3.3270000000000001E-4</v>
      </c>
      <c r="AB13" s="49">
        <v>5.4917000000000003E-5</v>
      </c>
      <c r="AC13" s="49">
        <v>1.0937999999999999E-5</v>
      </c>
      <c r="AD13" s="49">
        <v>7.5044999999999999E-6</v>
      </c>
      <c r="AE13" s="49">
        <v>5.1990999999999999E-6</v>
      </c>
      <c r="AF13" s="49">
        <v>3.6355000000000002E-6</v>
      </c>
      <c r="AG13" s="49">
        <v>2.5647000000000002E-6</v>
      </c>
      <c r="AH13" s="49">
        <v>1.8256999999999999E-6</v>
      </c>
      <c r="AI13" s="49">
        <v>1.3259000000000001E-6</v>
      </c>
      <c r="AJ13" s="49">
        <v>9.660599999999999E-7</v>
      </c>
      <c r="AK13" s="49">
        <v>7.0707999999999995E-7</v>
      </c>
      <c r="AL13" s="49">
        <v>2.1397999999999999E-7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0</v>
      </c>
      <c r="B14" s="44">
        <f t="shared" si="0"/>
        <v>3</v>
      </c>
      <c r="C14" s="44">
        <f t="shared" si="0"/>
        <v>0</v>
      </c>
      <c r="D14" s="44">
        <f t="shared" si="0"/>
        <v>2</v>
      </c>
      <c r="E14" s="48" t="s">
        <v>55</v>
      </c>
      <c r="F14" s="49">
        <v>1.1708E-2</v>
      </c>
      <c r="G14" s="49">
        <v>1.1806000000000001E-2</v>
      </c>
      <c r="H14" s="49">
        <v>1.2043E-2</v>
      </c>
      <c r="I14" s="49">
        <v>1.2439E-2</v>
      </c>
      <c r="J14" s="49">
        <v>1.2874999999999999E-2</v>
      </c>
      <c r="K14" s="49">
        <v>1.3566999999999999E-2</v>
      </c>
      <c r="L14" s="49">
        <v>1.3669000000000001E-2</v>
      </c>
      <c r="M14" s="49">
        <v>1.3845E-2</v>
      </c>
      <c r="N14" s="49">
        <v>1.4116E-2</v>
      </c>
      <c r="O14" s="49">
        <v>1.4460000000000001E-2</v>
      </c>
      <c r="P14" s="49">
        <v>1.481E-2</v>
      </c>
      <c r="Q14" s="49">
        <v>1.5096999999999999E-2</v>
      </c>
      <c r="R14" s="49">
        <v>1.5294E-2</v>
      </c>
      <c r="S14" s="49">
        <v>1.5412E-2</v>
      </c>
      <c r="T14" s="49">
        <v>1.5478E-2</v>
      </c>
      <c r="U14" s="49">
        <v>1.5513000000000001E-2</v>
      </c>
      <c r="V14" s="49">
        <v>1.5531E-2</v>
      </c>
      <c r="W14" s="49">
        <v>1.5537E-2</v>
      </c>
      <c r="X14" s="49">
        <v>1.5526E-2</v>
      </c>
      <c r="Y14" s="49">
        <v>1.5462999999999999E-2</v>
      </c>
      <c r="Z14" s="49">
        <v>1.5226E-2</v>
      </c>
      <c r="AA14" s="49">
        <v>1.4445E-2</v>
      </c>
      <c r="AB14" s="49">
        <v>1.7378999999999999E-3</v>
      </c>
      <c r="AC14" s="49">
        <v>2.8085E-5</v>
      </c>
      <c r="AD14" s="49">
        <v>1.0037000000000001E-5</v>
      </c>
      <c r="AE14" s="49">
        <v>3.6059000000000001E-6</v>
      </c>
      <c r="AF14" s="49">
        <v>1.3024E-6</v>
      </c>
      <c r="AG14" s="49">
        <v>4.7406E-7</v>
      </c>
      <c r="AH14" s="49">
        <v>1.7140000000000001E-7</v>
      </c>
      <c r="AI14" s="49">
        <v>3.7789000000000002E-8</v>
      </c>
      <c r="AJ14" s="49">
        <v>8.4633000000000007E-9</v>
      </c>
      <c r="AK14" s="49">
        <v>1.9569000000000001E-9</v>
      </c>
      <c r="AL14" s="49">
        <v>7.7382000000000003E-12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1</v>
      </c>
      <c r="C15" s="44">
        <f t="shared" si="0"/>
        <v>0</v>
      </c>
      <c r="D15" s="44">
        <f t="shared" si="0"/>
        <v>2</v>
      </c>
      <c r="E15" s="48" t="s">
        <v>56</v>
      </c>
      <c r="F15" s="49">
        <v>7.5756000000000005E-29</v>
      </c>
      <c r="G15" s="49">
        <v>2.9401999999999999E-27</v>
      </c>
      <c r="H15" s="49">
        <v>9.9583000000000004E-26</v>
      </c>
      <c r="I15" s="49">
        <v>3.5787999999999998E-24</v>
      </c>
      <c r="J15" s="49">
        <v>1.4182000000000001E-22</v>
      </c>
      <c r="K15" s="49">
        <v>1.2896E-16</v>
      </c>
      <c r="L15" s="49">
        <v>2.2897000000000001E-15</v>
      </c>
      <c r="M15" s="49">
        <v>3.1573000000000001E-14</v>
      </c>
      <c r="N15" s="49">
        <v>3.4560000000000001E-13</v>
      </c>
      <c r="O15" s="49">
        <v>3.1638999999999999E-12</v>
      </c>
      <c r="P15" s="49">
        <v>2.5638999999999999E-11</v>
      </c>
      <c r="Q15" s="49">
        <v>1.9056999999999999E-10</v>
      </c>
      <c r="R15" s="49">
        <v>1.3130999999999999E-9</v>
      </c>
      <c r="S15" s="49">
        <v>8.3702999999999995E-9</v>
      </c>
      <c r="T15" s="49">
        <v>4.9187999999999997E-8</v>
      </c>
      <c r="U15" s="49">
        <v>2.664E-7</v>
      </c>
      <c r="V15" s="49">
        <v>1.3331E-6</v>
      </c>
      <c r="W15" s="49">
        <v>6.1879999999999999E-6</v>
      </c>
      <c r="X15" s="49">
        <v>2.6750999999999998E-5</v>
      </c>
      <c r="Y15" s="49">
        <v>1.0794999999999999E-4</v>
      </c>
      <c r="Z15" s="49">
        <v>4.0492000000000002E-4</v>
      </c>
      <c r="AA15" s="49">
        <v>1.3795999999999999E-3</v>
      </c>
      <c r="AB15" s="49">
        <v>1.6258999999999999E-2</v>
      </c>
      <c r="AC15" s="49">
        <v>1.4115000000000001E-2</v>
      </c>
      <c r="AD15" s="49">
        <v>1.2591E-2</v>
      </c>
      <c r="AE15" s="49">
        <v>1.0965000000000001E-2</v>
      </c>
      <c r="AF15" s="49">
        <v>9.3370999999999992E-3</v>
      </c>
      <c r="AG15" s="49">
        <v>7.8056000000000002E-3</v>
      </c>
      <c r="AH15" s="49">
        <v>6.3140999999999996E-3</v>
      </c>
      <c r="AI15" s="49">
        <v>2.9566000000000002E-3</v>
      </c>
      <c r="AJ15" s="49">
        <v>1.3887999999999999E-3</v>
      </c>
      <c r="AK15" s="49">
        <v>6.6326999999999998E-4</v>
      </c>
      <c r="AL15" s="49">
        <v>4.0513999999999999E-5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48" t="s">
        <v>57</v>
      </c>
      <c r="F16" s="49">
        <v>5.2854000000000005E-7</v>
      </c>
      <c r="G16" s="49">
        <v>1.1217E-6</v>
      </c>
      <c r="H16" s="49">
        <v>2.6616999999999999E-6</v>
      </c>
      <c r="I16" s="49">
        <v>7.6415999999999998E-6</v>
      </c>
      <c r="J16" s="49">
        <v>2.5486E-5</v>
      </c>
      <c r="K16" s="49">
        <v>2.6394000000000001E-3</v>
      </c>
      <c r="L16" s="49">
        <v>6.7882000000000003E-3</v>
      </c>
      <c r="M16" s="49">
        <v>1.537E-2</v>
      </c>
      <c r="N16" s="49">
        <v>3.0145000000000002E-2</v>
      </c>
      <c r="O16" s="49">
        <v>5.1109000000000002E-2</v>
      </c>
      <c r="P16" s="49">
        <v>7.5374999999999998E-2</v>
      </c>
      <c r="Q16" s="49">
        <v>9.7961999999999994E-2</v>
      </c>
      <c r="R16" s="49">
        <v>0.11501</v>
      </c>
      <c r="S16" s="49">
        <v>0.12592999999999999</v>
      </c>
      <c r="T16" s="49">
        <v>0.13225000000000001</v>
      </c>
      <c r="U16" s="49">
        <v>0.13572999999999999</v>
      </c>
      <c r="V16" s="49">
        <v>0.13761999999999999</v>
      </c>
      <c r="W16" s="49">
        <v>0.13866000000000001</v>
      </c>
      <c r="X16" s="49">
        <v>0.13922000000000001</v>
      </c>
      <c r="Y16" s="49">
        <v>0.13954</v>
      </c>
      <c r="Z16" s="49">
        <v>0.13972999999999999</v>
      </c>
      <c r="AA16" s="49">
        <v>0.13983000000000001</v>
      </c>
      <c r="AB16" s="49">
        <v>0.13997000000000001</v>
      </c>
      <c r="AC16" s="49">
        <v>0.13999</v>
      </c>
      <c r="AD16" s="49">
        <v>0.14000000000000001</v>
      </c>
      <c r="AE16" s="49">
        <v>0.14000000000000001</v>
      </c>
      <c r="AF16" s="49">
        <v>0.14000000000000001</v>
      </c>
      <c r="AG16" s="49">
        <v>0.14000000000000001</v>
      </c>
      <c r="AH16" s="49">
        <v>0.13999</v>
      </c>
      <c r="AI16" s="49">
        <v>0.13966999999999999</v>
      </c>
      <c r="AJ16" s="49">
        <v>0.13941000000000001</v>
      </c>
      <c r="AK16" s="49">
        <v>0.13919000000000001</v>
      </c>
      <c r="AL16" s="49">
        <v>0.13839000000000001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0</v>
      </c>
      <c r="C17" s="44">
        <f t="shared" si="0"/>
        <v>0</v>
      </c>
      <c r="D17" s="44">
        <f t="shared" si="0"/>
        <v>1</v>
      </c>
      <c r="E17" s="48" t="s">
        <v>58</v>
      </c>
      <c r="F17" s="49">
        <v>2.7998999999999999E-28</v>
      </c>
      <c r="G17" s="49">
        <v>1.0385999999999999E-26</v>
      </c>
      <c r="H17" s="49">
        <v>3.2712999999999998E-25</v>
      </c>
      <c r="I17" s="49">
        <v>1.026E-23</v>
      </c>
      <c r="J17" s="49">
        <v>3.2961E-22</v>
      </c>
      <c r="K17" s="49">
        <v>1.0036000000000001E-16</v>
      </c>
      <c r="L17" s="49">
        <v>1.4244E-15</v>
      </c>
      <c r="M17" s="49">
        <v>1.6396999999999999E-14</v>
      </c>
      <c r="N17" s="49">
        <v>1.5638000000000001E-13</v>
      </c>
      <c r="O17" s="49">
        <v>1.2856000000000001E-12</v>
      </c>
      <c r="P17" s="49">
        <v>9.4622000000000006E-12</v>
      </c>
      <c r="Q17" s="49">
        <v>6.3634E-11</v>
      </c>
      <c r="R17" s="49">
        <v>3.9289000000000003E-10</v>
      </c>
      <c r="S17" s="49">
        <v>2.2262E-9</v>
      </c>
      <c r="T17" s="49">
        <v>1.1587E-8</v>
      </c>
      <c r="U17" s="49">
        <v>5.5549000000000003E-8</v>
      </c>
      <c r="V17" s="49">
        <v>2.4629999999999998E-7</v>
      </c>
      <c r="W17" s="49">
        <v>1.0144E-6</v>
      </c>
      <c r="X17" s="49">
        <v>3.8963999999999997E-6</v>
      </c>
      <c r="Y17" s="49">
        <v>1.3995999999999999E-5</v>
      </c>
      <c r="Z17" s="49">
        <v>4.6999000000000002E-5</v>
      </c>
      <c r="AA17" s="49">
        <v>1.4606999999999999E-4</v>
      </c>
      <c r="AB17" s="49">
        <v>3.0864999999999998E-3</v>
      </c>
      <c r="AC17" s="49">
        <v>1.1698999999999999E-2</v>
      </c>
      <c r="AD17" s="49">
        <v>1.4792E-2</v>
      </c>
      <c r="AE17" s="49">
        <v>1.8062000000000002E-2</v>
      </c>
      <c r="AF17" s="49">
        <v>2.1322000000000001E-2</v>
      </c>
      <c r="AG17" s="49">
        <v>2.4386999999999999E-2</v>
      </c>
      <c r="AH17" s="49">
        <v>2.682E-2</v>
      </c>
      <c r="AI17" s="49">
        <v>2.1689E-2</v>
      </c>
      <c r="AJ17" s="49">
        <v>1.7243999999999999E-2</v>
      </c>
      <c r="AK17" s="49">
        <v>1.3558000000000001E-2</v>
      </c>
      <c r="AL17" s="49">
        <v>4.5989000000000004E-3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1</v>
      </c>
      <c r="C18" s="44">
        <f t="shared" si="0"/>
        <v>0</v>
      </c>
      <c r="D18" s="44">
        <f t="shared" si="0"/>
        <v>0</v>
      </c>
      <c r="E18" s="48" t="s">
        <v>59</v>
      </c>
      <c r="F18" s="49">
        <v>2.8265000000000001E-9</v>
      </c>
      <c r="G18" s="49">
        <v>8.0000999999999993E-9</v>
      </c>
      <c r="H18" s="49">
        <v>1.8224000000000002E-8</v>
      </c>
      <c r="I18" s="49">
        <v>3.2019999999999998E-8</v>
      </c>
      <c r="J18" s="49">
        <v>4.3060000000000003E-8</v>
      </c>
      <c r="K18" s="49">
        <v>3.1809999999999998E-8</v>
      </c>
      <c r="L18" s="49">
        <v>2.7503000000000001E-8</v>
      </c>
      <c r="M18" s="49">
        <v>2.4861E-8</v>
      </c>
      <c r="N18" s="49">
        <v>2.3668999999999998E-8</v>
      </c>
      <c r="O18" s="49">
        <v>2.3231999999999999E-8</v>
      </c>
      <c r="P18" s="49">
        <v>2.2659000000000001E-8</v>
      </c>
      <c r="Q18" s="49">
        <v>2.1959999999999999E-8</v>
      </c>
      <c r="R18" s="49">
        <v>2.0686999999999999E-8</v>
      </c>
      <c r="S18" s="49">
        <v>1.8737999999999999E-8</v>
      </c>
      <c r="T18" s="49">
        <v>1.6546000000000001E-8</v>
      </c>
      <c r="U18" s="49">
        <v>1.4403E-8</v>
      </c>
      <c r="V18" s="49">
        <v>1.2445E-8</v>
      </c>
      <c r="W18" s="49">
        <v>1.0713E-8</v>
      </c>
      <c r="X18" s="49">
        <v>9.2080999999999993E-9</v>
      </c>
      <c r="Y18" s="49">
        <v>7.9125999999999993E-9</v>
      </c>
      <c r="Z18" s="49">
        <v>6.8070999999999998E-9</v>
      </c>
      <c r="AA18" s="49">
        <v>5.8781999999999998E-9</v>
      </c>
      <c r="AB18" s="49">
        <v>3.4846000000000001E-9</v>
      </c>
      <c r="AC18" s="49">
        <v>1.9703000000000001E-9</v>
      </c>
      <c r="AD18" s="49">
        <v>1.7096E-9</v>
      </c>
      <c r="AE18" s="49">
        <v>1.4847000000000001E-9</v>
      </c>
      <c r="AF18" s="49">
        <v>1.2903E-9</v>
      </c>
      <c r="AG18" s="49">
        <v>1.1219E-9</v>
      </c>
      <c r="AH18" s="49">
        <v>9.7606000000000004E-10</v>
      </c>
      <c r="AI18" s="49">
        <v>8.5312000000000005E-10</v>
      </c>
      <c r="AJ18" s="49">
        <v>7.4336000000000001E-10</v>
      </c>
      <c r="AK18" s="49">
        <v>6.4702000000000001E-10</v>
      </c>
      <c r="AL18" s="49">
        <v>3.7200000000000001E-10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1</v>
      </c>
      <c r="C19" s="44">
        <f t="shared" si="0"/>
        <v>0</v>
      </c>
      <c r="D19" s="44">
        <f t="shared" si="0"/>
        <v>0</v>
      </c>
      <c r="E19" s="48" t="s">
        <v>60</v>
      </c>
      <c r="F19" s="49">
        <v>6.5148000000000001E-10</v>
      </c>
      <c r="G19" s="49">
        <v>2.0896999999999999E-9</v>
      </c>
      <c r="H19" s="49">
        <v>5.3268000000000003E-9</v>
      </c>
      <c r="I19" s="49">
        <v>1.036E-8</v>
      </c>
      <c r="J19" s="49">
        <v>1.5276999999999998E-8</v>
      </c>
      <c r="K19" s="49">
        <v>1.5183000000000001E-8</v>
      </c>
      <c r="L19" s="49">
        <v>1.3939999999999999E-8</v>
      </c>
      <c r="M19" s="49">
        <v>1.3321000000000001E-8</v>
      </c>
      <c r="N19" s="49">
        <v>1.3354E-8</v>
      </c>
      <c r="O19" s="49">
        <v>1.3752E-8</v>
      </c>
      <c r="P19" s="49">
        <v>1.4025999999999999E-8</v>
      </c>
      <c r="Q19" s="49">
        <v>1.3751E-8</v>
      </c>
      <c r="R19" s="49">
        <v>1.2843E-8</v>
      </c>
      <c r="S19" s="49">
        <v>1.1528000000000001E-8</v>
      </c>
      <c r="T19" s="49">
        <v>1.0085000000000001E-8</v>
      </c>
      <c r="U19" s="49">
        <v>8.6941000000000004E-9</v>
      </c>
      <c r="V19" s="49">
        <v>7.4380999999999998E-9</v>
      </c>
      <c r="W19" s="49">
        <v>6.3395000000000003E-9</v>
      </c>
      <c r="X19" s="49">
        <v>5.3942000000000003E-9</v>
      </c>
      <c r="Y19" s="49">
        <v>4.5885E-9</v>
      </c>
      <c r="Z19" s="49">
        <v>3.9075000000000004E-9</v>
      </c>
      <c r="AA19" s="49">
        <v>3.3401000000000001E-9</v>
      </c>
      <c r="AB19" s="49">
        <v>1.9017000000000002E-9</v>
      </c>
      <c r="AC19" s="49">
        <v>1.0337000000000001E-9</v>
      </c>
      <c r="AD19" s="49">
        <v>8.8833999999999995E-10</v>
      </c>
      <c r="AE19" s="49">
        <v>7.6410999999999996E-10</v>
      </c>
      <c r="AF19" s="49">
        <v>6.5776000000000001E-10</v>
      </c>
      <c r="AG19" s="49">
        <v>5.6653999999999999E-10</v>
      </c>
      <c r="AH19" s="49">
        <v>4.8829999999999996E-10</v>
      </c>
      <c r="AI19" s="49">
        <v>4.2284000000000001E-10</v>
      </c>
      <c r="AJ19" s="49">
        <v>3.6505E-10</v>
      </c>
      <c r="AK19" s="49">
        <v>3.1482999999999999E-10</v>
      </c>
      <c r="AL19" s="49">
        <v>1.7455999999999999E-10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1</v>
      </c>
      <c r="C20" s="44">
        <f t="shared" si="1"/>
        <v>0</v>
      </c>
      <c r="D20" s="44">
        <f t="shared" si="1"/>
        <v>0</v>
      </c>
      <c r="E20" s="48" t="s">
        <v>61</v>
      </c>
      <c r="F20" s="49">
        <v>2.3804999999999998E-3</v>
      </c>
      <c r="G20" s="49">
        <v>8.1585000000000008E-3</v>
      </c>
      <c r="H20" s="49">
        <v>2.2703000000000001E-2</v>
      </c>
      <c r="I20" s="49">
        <v>4.9029000000000003E-2</v>
      </c>
      <c r="J20" s="49">
        <v>8.1378000000000006E-2</v>
      </c>
      <c r="K20" s="49">
        <v>0.14174999999999999</v>
      </c>
      <c r="L20" s="49">
        <v>0.15184</v>
      </c>
      <c r="M20" s="49">
        <v>0.16986000000000001</v>
      </c>
      <c r="N20" s="49">
        <v>0.19985</v>
      </c>
      <c r="O20" s="49">
        <v>0.24199999999999999</v>
      </c>
      <c r="P20" s="49">
        <v>0.29065999999999997</v>
      </c>
      <c r="Q20" s="49">
        <v>0.33589000000000002</v>
      </c>
      <c r="R20" s="49">
        <v>0.37001000000000001</v>
      </c>
      <c r="S20" s="49">
        <v>0.39185999999999999</v>
      </c>
      <c r="T20" s="49">
        <v>0.40450000000000003</v>
      </c>
      <c r="U20" s="49">
        <v>0.41147</v>
      </c>
      <c r="V20" s="49">
        <v>0.41525000000000001</v>
      </c>
      <c r="W20" s="49">
        <v>0.41732000000000002</v>
      </c>
      <c r="X20" s="49">
        <v>0.41850999999999999</v>
      </c>
      <c r="Y20" s="49">
        <v>0.41932999999999998</v>
      </c>
      <c r="Z20" s="49">
        <v>0.42032999999999998</v>
      </c>
      <c r="AA20" s="49">
        <v>0.42265000000000003</v>
      </c>
      <c r="AB20" s="49">
        <v>0.45709</v>
      </c>
      <c r="AC20" s="49">
        <v>0.46577000000000002</v>
      </c>
      <c r="AD20" s="49">
        <v>0.46736</v>
      </c>
      <c r="AE20" s="49">
        <v>0.46901999999999999</v>
      </c>
      <c r="AF20" s="49">
        <v>0.47065000000000001</v>
      </c>
      <c r="AG20" s="49">
        <v>0.47219</v>
      </c>
      <c r="AH20" s="49">
        <v>0.47367999999999999</v>
      </c>
      <c r="AI20" s="49">
        <v>0.47704000000000002</v>
      </c>
      <c r="AJ20" s="49">
        <v>0.47860999999999998</v>
      </c>
      <c r="AK20" s="49">
        <v>0.47933999999999999</v>
      </c>
      <c r="AL20" s="49">
        <v>0.47996</v>
      </c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1</v>
      </c>
      <c r="C21" s="44">
        <f t="shared" si="1"/>
        <v>0</v>
      </c>
      <c r="D21" s="44">
        <f t="shared" si="1"/>
        <v>0</v>
      </c>
      <c r="E21" s="48" t="s">
        <v>62</v>
      </c>
      <c r="F21" s="49">
        <v>7.2273000000000001E-12</v>
      </c>
      <c r="G21" s="49">
        <v>3.0615999999999998E-11</v>
      </c>
      <c r="H21" s="49">
        <v>1.0052000000000001E-10</v>
      </c>
      <c r="I21" s="49">
        <v>2.4645999999999999E-10</v>
      </c>
      <c r="J21" s="49">
        <v>4.4978000000000002E-10</v>
      </c>
      <c r="K21" s="49">
        <v>9.0864999999999996E-10</v>
      </c>
      <c r="L21" s="49">
        <v>9.6864999999999996E-10</v>
      </c>
      <c r="M21" s="49">
        <v>1.0653E-9</v>
      </c>
      <c r="N21" s="49">
        <v>1.2192000000000001E-9</v>
      </c>
      <c r="O21" s="49">
        <v>1.4232E-9</v>
      </c>
      <c r="P21" s="49">
        <v>1.6345000000000001E-9</v>
      </c>
      <c r="Q21" s="49">
        <v>1.7936000000000001E-9</v>
      </c>
      <c r="R21" s="49">
        <v>1.8648E-9</v>
      </c>
      <c r="S21" s="49">
        <v>1.854E-9</v>
      </c>
      <c r="T21" s="49">
        <v>1.7882000000000001E-9</v>
      </c>
      <c r="U21" s="49">
        <v>1.6925000000000001E-9</v>
      </c>
      <c r="V21" s="49">
        <v>1.5835E-9</v>
      </c>
      <c r="W21" s="49">
        <v>1.4704E-9</v>
      </c>
      <c r="X21" s="49">
        <v>1.3586E-9</v>
      </c>
      <c r="Y21" s="49">
        <v>1.2509999999999999E-9</v>
      </c>
      <c r="Z21" s="49">
        <v>1.1497000000000001E-9</v>
      </c>
      <c r="AA21" s="49">
        <v>1.0578E-9</v>
      </c>
      <c r="AB21" s="49">
        <v>7.8874999999999999E-10</v>
      </c>
      <c r="AC21" s="49">
        <v>5.4359999999999996E-10</v>
      </c>
      <c r="AD21" s="49">
        <v>4.9357999999999996E-10</v>
      </c>
      <c r="AE21" s="49">
        <v>4.4790000000000002E-10</v>
      </c>
      <c r="AF21" s="49">
        <v>4.0617E-10</v>
      </c>
      <c r="AG21" s="49">
        <v>3.6803000000000002E-10</v>
      </c>
      <c r="AH21" s="49">
        <v>3.3325000000000001E-10</v>
      </c>
      <c r="AI21" s="49">
        <v>3.0279999999999998E-10</v>
      </c>
      <c r="AJ21" s="49">
        <v>2.7396999999999999E-10</v>
      </c>
      <c r="AK21" s="49">
        <v>2.4734E-10</v>
      </c>
      <c r="AL21" s="49">
        <v>1.6297000000000001E-10</v>
      </c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1</v>
      </c>
      <c r="D22" s="44">
        <f t="shared" si="1"/>
        <v>0</v>
      </c>
      <c r="E22" s="48" t="s">
        <v>63</v>
      </c>
      <c r="F22" s="49">
        <v>5.2854000000000005E-7</v>
      </c>
      <c r="G22" s="49">
        <v>1.1217E-6</v>
      </c>
      <c r="H22" s="49">
        <v>2.6616999999999999E-6</v>
      </c>
      <c r="I22" s="49">
        <v>7.6415999999999998E-6</v>
      </c>
      <c r="J22" s="49">
        <v>2.5486E-5</v>
      </c>
      <c r="K22" s="49">
        <v>2.6394000000000001E-3</v>
      </c>
      <c r="L22" s="49">
        <v>6.7882000000000003E-3</v>
      </c>
      <c r="M22" s="49">
        <v>1.537E-2</v>
      </c>
      <c r="N22" s="49">
        <v>3.0145000000000002E-2</v>
      </c>
      <c r="O22" s="49">
        <v>5.1109000000000002E-2</v>
      </c>
      <c r="P22" s="49">
        <v>7.5374999999999998E-2</v>
      </c>
      <c r="Q22" s="49">
        <v>9.7961999999999994E-2</v>
      </c>
      <c r="R22" s="49">
        <v>0.11501</v>
      </c>
      <c r="S22" s="49">
        <v>0.12592999999999999</v>
      </c>
      <c r="T22" s="49">
        <v>0.13225000000000001</v>
      </c>
      <c r="U22" s="49">
        <v>0.13572999999999999</v>
      </c>
      <c r="V22" s="49">
        <v>0.13761999999999999</v>
      </c>
      <c r="W22" s="49">
        <v>0.13866000000000001</v>
      </c>
      <c r="X22" s="49">
        <v>0.13922000000000001</v>
      </c>
      <c r="Y22" s="49">
        <v>0.13954</v>
      </c>
      <c r="Z22" s="49">
        <v>0.13972999999999999</v>
      </c>
      <c r="AA22" s="49">
        <v>0.13983000000000001</v>
      </c>
      <c r="AB22" s="49">
        <v>0.13997000000000001</v>
      </c>
      <c r="AC22" s="49">
        <v>0.13999</v>
      </c>
      <c r="AD22" s="49">
        <v>0.14000000000000001</v>
      </c>
      <c r="AE22" s="49">
        <v>0.14000000000000001</v>
      </c>
      <c r="AF22" s="49">
        <v>0.14000000000000001</v>
      </c>
      <c r="AG22" s="49">
        <v>0.14000000000000001</v>
      </c>
      <c r="AH22" s="49">
        <v>0.13999</v>
      </c>
      <c r="AI22" s="49">
        <v>0.13966999999999999</v>
      </c>
      <c r="AJ22" s="49">
        <v>0.13941000000000001</v>
      </c>
      <c r="AK22" s="49">
        <v>0.13919000000000001</v>
      </c>
      <c r="AL22" s="49">
        <v>0.13839000000000001</v>
      </c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1</v>
      </c>
      <c r="E23" s="41" t="s">
        <v>64</v>
      </c>
      <c r="F23" s="49">
        <v>0</v>
      </c>
      <c r="G23" s="49">
        <v>0</v>
      </c>
      <c r="H23" s="49">
        <v>0</v>
      </c>
      <c r="I23" s="49">
        <v>0</v>
      </c>
      <c r="J23" s="49">
        <v>0</v>
      </c>
      <c r="K23" s="49">
        <v>0</v>
      </c>
      <c r="L23" s="49">
        <v>0</v>
      </c>
      <c r="M23" s="49">
        <v>0</v>
      </c>
      <c r="N23" s="49">
        <v>0</v>
      </c>
      <c r="O23" s="49">
        <v>0</v>
      </c>
      <c r="P23" s="49">
        <v>0</v>
      </c>
      <c r="Q23" s="49">
        <v>0</v>
      </c>
      <c r="R23" s="49">
        <v>0</v>
      </c>
      <c r="S23" s="49">
        <v>0</v>
      </c>
      <c r="T23" s="49">
        <v>0</v>
      </c>
      <c r="U23" s="49">
        <v>0</v>
      </c>
      <c r="V23" s="49">
        <v>0</v>
      </c>
      <c r="W23" s="49">
        <v>0</v>
      </c>
      <c r="X23" s="49">
        <v>0</v>
      </c>
      <c r="Y23" s="49">
        <v>0</v>
      </c>
      <c r="Z23" s="49">
        <v>0</v>
      </c>
      <c r="AA23" s="49">
        <v>0</v>
      </c>
      <c r="AB23" s="49">
        <v>0</v>
      </c>
      <c r="AC23" s="49">
        <v>1.4259E-22</v>
      </c>
      <c r="AD23" s="49">
        <v>4.8393000000000001E-18</v>
      </c>
      <c r="AE23" s="49">
        <v>8.6730999999999997E-14</v>
      </c>
      <c r="AF23" s="49">
        <v>7.9190000000000003E-10</v>
      </c>
      <c r="AG23" s="49">
        <v>1.4299000000000001E-7</v>
      </c>
      <c r="AH23" s="49">
        <v>5.5106000000000003E-4</v>
      </c>
      <c r="AI23" s="49">
        <v>1.2390999999999999E-2</v>
      </c>
      <c r="AJ23" s="49">
        <v>1.9973000000000001E-2</v>
      </c>
      <c r="AK23" s="49">
        <v>2.5111000000000001E-2</v>
      </c>
      <c r="AL23" s="49">
        <v>3.5318000000000002E-2</v>
      </c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1</v>
      </c>
      <c r="D24" s="44">
        <f t="shared" si="1"/>
        <v>0</v>
      </c>
      <c r="E24" s="41" t="s">
        <v>65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49">
        <v>0</v>
      </c>
      <c r="Y24" s="49">
        <v>0</v>
      </c>
      <c r="Z24" s="49">
        <v>0</v>
      </c>
      <c r="AA24" s="49">
        <v>0</v>
      </c>
      <c r="AB24" s="49">
        <v>0</v>
      </c>
      <c r="AC24" s="49">
        <v>2.2449000000000001E-23</v>
      </c>
      <c r="AD24" s="49">
        <v>5.7803000000000002E-19</v>
      </c>
      <c r="AE24" s="49">
        <v>8.0229000000000003E-15</v>
      </c>
      <c r="AF24" s="49">
        <v>5.7836000000000002E-11</v>
      </c>
      <c r="AG24" s="49">
        <v>8.3879E-9</v>
      </c>
      <c r="AH24" s="49">
        <v>2.6605999999999999E-5</v>
      </c>
      <c r="AI24" s="49">
        <v>6.5841999999999995E-4</v>
      </c>
      <c r="AJ24" s="49">
        <v>1.1711E-3</v>
      </c>
      <c r="AK24" s="49">
        <v>1.6188000000000001E-3</v>
      </c>
      <c r="AL24" s="49">
        <v>3.2217000000000001E-3</v>
      </c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1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 t="s">
        <v>28</v>
      </c>
      <c r="F25" s="49">
        <v>-18.66</v>
      </c>
      <c r="G25" s="49">
        <v>-18.649999999999999</v>
      </c>
      <c r="H25" s="49">
        <v>-18.649999999999999</v>
      </c>
      <c r="I25" s="49">
        <v>-18.66</v>
      </c>
      <c r="J25" s="49">
        <v>-18.670000000000002</v>
      </c>
      <c r="K25" s="49">
        <v>-18.75</v>
      </c>
      <c r="L25" s="49">
        <v>-18.78</v>
      </c>
      <c r="M25" s="49">
        <v>-18.809999999999999</v>
      </c>
      <c r="N25" s="49">
        <v>-18.829999999999998</v>
      </c>
      <c r="O25" s="49">
        <v>-18.86</v>
      </c>
      <c r="P25" s="49">
        <v>-18.899999999999999</v>
      </c>
      <c r="Q25" s="49">
        <v>-18.93</v>
      </c>
      <c r="R25" s="49">
        <v>-18.96</v>
      </c>
      <c r="S25" s="49">
        <v>-18.989999999999998</v>
      </c>
      <c r="T25" s="49">
        <v>-19.03</v>
      </c>
      <c r="U25" s="49">
        <v>-19.059999999999999</v>
      </c>
      <c r="V25" s="49">
        <v>-19.100000000000001</v>
      </c>
      <c r="W25" s="49">
        <v>-19.13</v>
      </c>
      <c r="X25" s="49">
        <v>-19.170000000000002</v>
      </c>
      <c r="Y25" s="49">
        <v>-19.2</v>
      </c>
      <c r="Z25" s="49">
        <v>-19.23</v>
      </c>
      <c r="AA25" s="49">
        <v>-19.27</v>
      </c>
      <c r="AB25" s="49">
        <v>-19.38</v>
      </c>
      <c r="AC25" s="49">
        <v>-19.510000000000002</v>
      </c>
      <c r="AD25" s="49">
        <v>-19.55</v>
      </c>
      <c r="AE25" s="49">
        <v>-19.579999999999998</v>
      </c>
      <c r="AF25" s="49">
        <v>-19.61</v>
      </c>
      <c r="AG25" s="49">
        <v>-19.64</v>
      </c>
      <c r="AH25" s="49">
        <v>-19.670000000000002</v>
      </c>
      <c r="AI25" s="49">
        <v>-19.7</v>
      </c>
      <c r="AJ25" s="49">
        <v>-19.73</v>
      </c>
      <c r="AK25" s="49">
        <v>-19.760000000000002</v>
      </c>
      <c r="AL25" s="49">
        <v>-19.88</v>
      </c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1</v>
      </c>
      <c r="E26" s="41" t="s">
        <v>5</v>
      </c>
      <c r="F26" s="49">
        <v>-67.12</v>
      </c>
      <c r="G26" s="49">
        <v>-63.52</v>
      </c>
      <c r="H26" s="49">
        <v>-60.12</v>
      </c>
      <c r="I26" s="49">
        <v>-56.76</v>
      </c>
      <c r="J26" s="49">
        <v>-53.4</v>
      </c>
      <c r="K26" s="49">
        <v>-41.04</v>
      </c>
      <c r="L26" s="49">
        <v>-38.450000000000003</v>
      </c>
      <c r="M26" s="49">
        <v>-36.08</v>
      </c>
      <c r="N26" s="49">
        <v>-33.93</v>
      </c>
      <c r="O26" s="49">
        <v>-31.94</v>
      </c>
      <c r="P26" s="49">
        <v>-30.07</v>
      </c>
      <c r="Q26" s="49">
        <v>-28.28</v>
      </c>
      <c r="R26" s="49">
        <v>-26.54</v>
      </c>
      <c r="S26" s="49">
        <v>-24.87</v>
      </c>
      <c r="T26" s="49">
        <v>-23.27</v>
      </c>
      <c r="U26" s="49">
        <v>-21.74</v>
      </c>
      <c r="V26" s="49">
        <v>-20.27</v>
      </c>
      <c r="W26" s="49">
        <v>-18.87</v>
      </c>
      <c r="X26" s="49">
        <v>-17.54</v>
      </c>
      <c r="Y26" s="49">
        <v>-16.260000000000002</v>
      </c>
      <c r="Z26" s="49">
        <v>-15.05</v>
      </c>
      <c r="AA26" s="49">
        <v>-13.91</v>
      </c>
      <c r="AB26" s="49">
        <v>-10.79</v>
      </c>
      <c r="AC26" s="49">
        <v>-9.1989999999999998</v>
      </c>
      <c r="AD26" s="49">
        <v>-8.8740000000000006</v>
      </c>
      <c r="AE26" s="49">
        <v>-8.5730000000000004</v>
      </c>
      <c r="AF26" s="49">
        <v>-8.2949999999999999</v>
      </c>
      <c r="AG26" s="49">
        <v>-8.0359999999999996</v>
      </c>
      <c r="AH26" s="49">
        <v>-7.8040000000000003</v>
      </c>
      <c r="AI26" s="49">
        <v>-7.8559999999999999</v>
      </c>
      <c r="AJ26" s="49">
        <v>-7.915</v>
      </c>
      <c r="AK26" s="49">
        <v>-7.9720000000000004</v>
      </c>
      <c r="AL26" s="49">
        <v>-8.1969999999999992</v>
      </c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1</v>
      </c>
      <c r="D27" s="44">
        <f t="shared" si="1"/>
        <v>0</v>
      </c>
      <c r="E27" s="41" t="s">
        <v>6</v>
      </c>
      <c r="F27" s="49">
        <v>-16.98</v>
      </c>
      <c r="G27" s="49">
        <v>-16.239999999999998</v>
      </c>
      <c r="H27" s="49">
        <v>-15.42</v>
      </c>
      <c r="I27" s="49">
        <v>-14.46</v>
      </c>
      <c r="J27" s="49">
        <v>-13.36</v>
      </c>
      <c r="K27" s="49">
        <v>-8.9659999999999993</v>
      </c>
      <c r="L27" s="49">
        <v>-8.077</v>
      </c>
      <c r="M27" s="49">
        <v>-7.3339999999999996</v>
      </c>
      <c r="N27" s="49">
        <v>-6.7590000000000003</v>
      </c>
      <c r="O27" s="49">
        <v>-6.35</v>
      </c>
      <c r="P27" s="49">
        <v>-6.0869999999999997</v>
      </c>
      <c r="Q27" s="49">
        <v>-5.9379999999999997</v>
      </c>
      <c r="R27" s="49">
        <v>-5.87</v>
      </c>
      <c r="S27" s="49">
        <v>-5.8520000000000003</v>
      </c>
      <c r="T27" s="49">
        <v>-5.8609999999999998</v>
      </c>
      <c r="U27" s="49">
        <v>-5.8860000000000001</v>
      </c>
      <c r="V27" s="49">
        <v>-5.9180000000000001</v>
      </c>
      <c r="W27" s="49">
        <v>-5.9550000000000001</v>
      </c>
      <c r="X27" s="49">
        <v>-5.9930000000000003</v>
      </c>
      <c r="Y27" s="49">
        <v>-6.0330000000000004</v>
      </c>
      <c r="Z27" s="49">
        <v>-6.0739999999999998</v>
      </c>
      <c r="AA27" s="49">
        <v>-6.1180000000000003</v>
      </c>
      <c r="AB27" s="49">
        <v>-6.3319999999999999</v>
      </c>
      <c r="AC27" s="49">
        <v>-6.508</v>
      </c>
      <c r="AD27" s="49">
        <v>-6.5510000000000002</v>
      </c>
      <c r="AE27" s="49">
        <v>-6.5940000000000003</v>
      </c>
      <c r="AF27" s="49">
        <v>-6.6360000000000001</v>
      </c>
      <c r="AG27" s="49">
        <v>-6.6779999999999999</v>
      </c>
      <c r="AH27" s="49">
        <v>-6.7190000000000003</v>
      </c>
      <c r="AI27" s="49">
        <v>-6.7510000000000003</v>
      </c>
      <c r="AJ27" s="49">
        <v>-6.7839999999999998</v>
      </c>
      <c r="AK27" s="49">
        <v>-6.8170000000000002</v>
      </c>
      <c r="AL27" s="49">
        <v>-6.9539999999999997</v>
      </c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2" si="2">IF( ISNUMBER( FIND(A$3,$E28,1)),   IF( ISNUMBER( VALUE(MID($E28,FIND(A$3,$E28,1)+2,1)) ), VALUE( MID($E28,FIND(A$3,$E28,1)+2,1) ),1),0)</f>
        <v>0</v>
      </c>
      <c r="B28" s="44">
        <f t="shared" si="2"/>
        <v>1</v>
      </c>
      <c r="C28" s="44">
        <f t="shared" si="2"/>
        <v>0</v>
      </c>
      <c r="D28" s="44">
        <f t="shared" si="2"/>
        <v>0</v>
      </c>
      <c r="E28" s="41" t="s">
        <v>7</v>
      </c>
      <c r="F28" s="49">
        <v>-23.56</v>
      </c>
      <c r="G28" s="49">
        <v>-22.53</v>
      </c>
      <c r="H28" s="49">
        <v>-21.75</v>
      </c>
      <c r="I28" s="49">
        <v>-21.28</v>
      </c>
      <c r="J28" s="49">
        <v>-21.09</v>
      </c>
      <c r="K28" s="49">
        <v>-21.65</v>
      </c>
      <c r="L28" s="49">
        <v>-21.85</v>
      </c>
      <c r="M28" s="49">
        <v>-22.03</v>
      </c>
      <c r="N28" s="49">
        <v>-22.18</v>
      </c>
      <c r="O28" s="49">
        <v>-22.32</v>
      </c>
      <c r="P28" s="49">
        <v>-22.47</v>
      </c>
      <c r="Q28" s="49">
        <v>-22.65</v>
      </c>
      <c r="R28" s="49">
        <v>-22.86</v>
      </c>
      <c r="S28" s="49">
        <v>-23.08</v>
      </c>
      <c r="T28" s="49">
        <v>-23.31</v>
      </c>
      <c r="U28" s="49">
        <v>-23.54</v>
      </c>
      <c r="V28" s="49">
        <v>-23.78</v>
      </c>
      <c r="W28" s="49">
        <v>-24.01</v>
      </c>
      <c r="X28" s="49">
        <v>-24.25</v>
      </c>
      <c r="Y28" s="49">
        <v>-24.48</v>
      </c>
      <c r="Z28" s="49">
        <v>-24.71</v>
      </c>
      <c r="AA28" s="49">
        <v>-24.94</v>
      </c>
      <c r="AB28" s="49">
        <v>-25.82</v>
      </c>
      <c r="AC28" s="49">
        <v>-26.68</v>
      </c>
      <c r="AD28" s="49">
        <v>-26.9</v>
      </c>
      <c r="AE28" s="49">
        <v>-27.11</v>
      </c>
      <c r="AF28" s="49">
        <v>-27.32</v>
      </c>
      <c r="AG28" s="49">
        <v>-27.52</v>
      </c>
      <c r="AH28" s="49">
        <v>-27.73</v>
      </c>
      <c r="AI28" s="49">
        <v>-27.92</v>
      </c>
      <c r="AJ28" s="49">
        <v>-28.11</v>
      </c>
      <c r="AK28" s="49">
        <v>-28.3</v>
      </c>
      <c r="AL28" s="49">
        <v>-29.08</v>
      </c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ref="A33:D33" si="3">IF( ISNUMBER( FIND(A$3,$E33,1)),   IF( ISNUMBER( VALUE(MID($E33,FIND(A$3,$E33,1)+2,1)) ), VALUE( MID($E33,FIND(A$3,$E33,1)+2,1) ),1),0)</f>
        <v>0</v>
      </c>
      <c r="B33" s="44">
        <f t="shared" si="3"/>
        <v>0</v>
      </c>
      <c r="C33" s="44">
        <f t="shared" si="3"/>
        <v>0</v>
      </c>
      <c r="D33" s="44">
        <f t="shared" si="3"/>
        <v>0</v>
      </c>
      <c r="E33" s="41">
        <v>1</v>
      </c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22</v>
      </c>
      <c r="E34" s="11" t="str">
        <f ca="1">OFFSET($E$3:$AL$3,$D34,0)</f>
        <v>H (Ar)</v>
      </c>
      <c r="F34" s="14">
        <f t="shared" ref="F34:AL37" ca="1" si="4">OFFSET($E$3:$AL$3,$D34,0)</f>
        <v>-18.66</v>
      </c>
      <c r="G34" s="14">
        <f t="shared" ca="1" si="4"/>
        <v>-18.649999999999999</v>
      </c>
      <c r="H34" s="14">
        <f t="shared" ca="1" si="4"/>
        <v>-18.649999999999999</v>
      </c>
      <c r="I34" s="14">
        <f t="shared" ca="1" si="4"/>
        <v>-18.66</v>
      </c>
      <c r="J34" s="14">
        <f t="shared" ca="1" si="4"/>
        <v>-18.670000000000002</v>
      </c>
      <c r="K34" s="14">
        <f t="shared" ca="1" si="4"/>
        <v>-18.75</v>
      </c>
      <c r="L34" s="14">
        <f t="shared" ca="1" si="4"/>
        <v>-18.78</v>
      </c>
      <c r="M34" s="14">
        <f t="shared" ca="1" si="4"/>
        <v>-18.809999999999999</v>
      </c>
      <c r="N34" s="14">
        <f t="shared" ca="1" si="4"/>
        <v>-18.829999999999998</v>
      </c>
      <c r="O34" s="14">
        <f t="shared" ca="1" si="4"/>
        <v>-18.86</v>
      </c>
      <c r="P34" s="14">
        <f t="shared" ca="1" si="4"/>
        <v>-18.899999999999999</v>
      </c>
      <c r="Q34" s="14">
        <f t="shared" ca="1" si="4"/>
        <v>-18.93</v>
      </c>
      <c r="R34" s="14">
        <f t="shared" ca="1" si="4"/>
        <v>-18.96</v>
      </c>
      <c r="S34" s="14">
        <f t="shared" ca="1" si="4"/>
        <v>-18.989999999999998</v>
      </c>
      <c r="T34" s="14">
        <f t="shared" ca="1" si="4"/>
        <v>-19.03</v>
      </c>
      <c r="U34" s="14">
        <f t="shared" ca="1" si="4"/>
        <v>-19.059999999999999</v>
      </c>
      <c r="V34" s="14">
        <f t="shared" ca="1" si="4"/>
        <v>-19.100000000000001</v>
      </c>
      <c r="W34" s="14">
        <f t="shared" ca="1" si="4"/>
        <v>-19.13</v>
      </c>
      <c r="X34" s="14">
        <f t="shared" ca="1" si="4"/>
        <v>-19.170000000000002</v>
      </c>
      <c r="Y34" s="14">
        <f t="shared" ca="1" si="4"/>
        <v>-19.2</v>
      </c>
      <c r="Z34" s="14">
        <f t="shared" ca="1" si="4"/>
        <v>-19.23</v>
      </c>
      <c r="AA34" s="14">
        <f t="shared" ca="1" si="4"/>
        <v>-19.27</v>
      </c>
      <c r="AB34" s="14">
        <f t="shared" ca="1" si="4"/>
        <v>-19.38</v>
      </c>
      <c r="AC34" s="14">
        <f t="shared" ca="1" si="4"/>
        <v>-19.510000000000002</v>
      </c>
      <c r="AD34" s="14">
        <f t="shared" ca="1" si="4"/>
        <v>-19.55</v>
      </c>
      <c r="AE34" s="14">
        <f t="shared" ca="1" si="4"/>
        <v>-19.579999999999998</v>
      </c>
      <c r="AF34" s="14">
        <f t="shared" ca="1" si="4"/>
        <v>-19.61</v>
      </c>
      <c r="AG34" s="14">
        <f t="shared" ca="1" si="4"/>
        <v>-19.64</v>
      </c>
      <c r="AH34" s="14">
        <f t="shared" ca="1" si="4"/>
        <v>-19.670000000000002</v>
      </c>
      <c r="AI34" s="14">
        <f t="shared" ca="1" si="4"/>
        <v>-19.7</v>
      </c>
      <c r="AJ34" s="14">
        <f t="shared" ca="1" si="4"/>
        <v>-19.73</v>
      </c>
      <c r="AK34" s="14">
        <f t="shared" ca="1" si="4"/>
        <v>-19.760000000000002</v>
      </c>
      <c r="AL34" s="14">
        <f t="shared" ca="1" si="4"/>
        <v>-19.88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s="37" customFormat="1" ht="21" customHeight="1" outlineLevel="1" x14ac:dyDescent="0.35">
      <c r="C35" s="11" t="s">
        <v>5</v>
      </c>
      <c r="D35" s="47">
        <f t="shared" ref="D35:D37" si="5">MATCH(C35,$E$4:$E$33)</f>
        <v>23</v>
      </c>
      <c r="E35" s="11" t="str">
        <f t="shared" ref="E35:E37" ca="1" si="6">OFFSET($E$3:$AL$3,$D35,0)</f>
        <v>H (Ga)</v>
      </c>
      <c r="F35" s="14">
        <f t="shared" ca="1" si="4"/>
        <v>-67.12</v>
      </c>
      <c r="G35" s="14">
        <f t="shared" ca="1" si="4"/>
        <v>-63.52</v>
      </c>
      <c r="H35" s="14">
        <f t="shared" ca="1" si="4"/>
        <v>-60.12</v>
      </c>
      <c r="I35" s="14">
        <f t="shared" ca="1" si="4"/>
        <v>-56.76</v>
      </c>
      <c r="J35" s="14">
        <f t="shared" ca="1" si="4"/>
        <v>-53.4</v>
      </c>
      <c r="K35" s="14">
        <f t="shared" ca="1" si="4"/>
        <v>-41.04</v>
      </c>
      <c r="L35" s="14">
        <f t="shared" ca="1" si="4"/>
        <v>-38.450000000000003</v>
      </c>
      <c r="M35" s="14">
        <f t="shared" ca="1" si="4"/>
        <v>-36.08</v>
      </c>
      <c r="N35" s="14">
        <f t="shared" ca="1" si="4"/>
        <v>-33.93</v>
      </c>
      <c r="O35" s="14">
        <f t="shared" ca="1" si="4"/>
        <v>-31.94</v>
      </c>
      <c r="P35" s="14">
        <f t="shared" ca="1" si="4"/>
        <v>-30.07</v>
      </c>
      <c r="Q35" s="14">
        <f t="shared" ca="1" si="4"/>
        <v>-28.28</v>
      </c>
      <c r="R35" s="14">
        <f t="shared" ca="1" si="4"/>
        <v>-26.54</v>
      </c>
      <c r="S35" s="14">
        <f t="shared" ca="1" si="4"/>
        <v>-24.87</v>
      </c>
      <c r="T35" s="14">
        <f t="shared" ca="1" si="4"/>
        <v>-23.27</v>
      </c>
      <c r="U35" s="14">
        <f t="shared" ca="1" si="4"/>
        <v>-21.74</v>
      </c>
      <c r="V35" s="14">
        <f t="shared" ca="1" si="4"/>
        <v>-20.27</v>
      </c>
      <c r="W35" s="14">
        <f t="shared" ca="1" si="4"/>
        <v>-18.87</v>
      </c>
      <c r="X35" s="14">
        <f t="shared" ca="1" si="4"/>
        <v>-17.54</v>
      </c>
      <c r="Y35" s="14">
        <f t="shared" ca="1" si="4"/>
        <v>-16.260000000000002</v>
      </c>
      <c r="Z35" s="14">
        <f t="shared" ca="1" si="4"/>
        <v>-15.05</v>
      </c>
      <c r="AA35" s="14">
        <f t="shared" ca="1" si="4"/>
        <v>-13.91</v>
      </c>
      <c r="AB35" s="14">
        <f t="shared" ca="1" si="4"/>
        <v>-10.79</v>
      </c>
      <c r="AC35" s="14">
        <f t="shared" ca="1" si="4"/>
        <v>-9.1989999999999998</v>
      </c>
      <c r="AD35" s="14">
        <f t="shared" ca="1" si="4"/>
        <v>-8.8740000000000006</v>
      </c>
      <c r="AE35" s="14">
        <f t="shared" ca="1" si="4"/>
        <v>-8.5730000000000004</v>
      </c>
      <c r="AF35" s="14">
        <f t="shared" ca="1" si="4"/>
        <v>-8.2949999999999999</v>
      </c>
      <c r="AG35" s="14">
        <f t="shared" ca="1" si="4"/>
        <v>-8.0359999999999996</v>
      </c>
      <c r="AH35" s="14">
        <f t="shared" ca="1" si="4"/>
        <v>-7.8040000000000003</v>
      </c>
      <c r="AI35" s="14">
        <f t="shared" ca="1" si="4"/>
        <v>-7.8559999999999999</v>
      </c>
      <c r="AJ35" s="14">
        <f t="shared" ca="1" si="4"/>
        <v>-7.915</v>
      </c>
      <c r="AK35" s="14">
        <f t="shared" ca="1" si="4"/>
        <v>-7.9720000000000004</v>
      </c>
      <c r="AL35" s="14">
        <f t="shared" ca="1" si="4"/>
        <v>-8.1969999999999992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s="37" customFormat="1" ht="21" customHeight="1" outlineLevel="1" x14ac:dyDescent="0.35">
      <c r="C36" s="11" t="s">
        <v>6</v>
      </c>
      <c r="D36" s="47">
        <f t="shared" si="5"/>
        <v>24</v>
      </c>
      <c r="E36" s="11" t="str">
        <f t="shared" ca="1" si="6"/>
        <v>H (Ge)</v>
      </c>
      <c r="F36" s="14">
        <f t="shared" ca="1" si="4"/>
        <v>-16.98</v>
      </c>
      <c r="G36" s="14">
        <f t="shared" ca="1" si="4"/>
        <v>-16.239999999999998</v>
      </c>
      <c r="H36" s="14">
        <f t="shared" ca="1" si="4"/>
        <v>-15.42</v>
      </c>
      <c r="I36" s="14">
        <f t="shared" ca="1" si="4"/>
        <v>-14.46</v>
      </c>
      <c r="J36" s="14">
        <f t="shared" ca="1" si="4"/>
        <v>-13.36</v>
      </c>
      <c r="K36" s="14">
        <f t="shared" ca="1" si="4"/>
        <v>-8.9659999999999993</v>
      </c>
      <c r="L36" s="14">
        <f t="shared" ca="1" si="4"/>
        <v>-8.077</v>
      </c>
      <c r="M36" s="14">
        <f t="shared" ca="1" si="4"/>
        <v>-7.3339999999999996</v>
      </c>
      <c r="N36" s="14">
        <f t="shared" ca="1" si="4"/>
        <v>-6.7590000000000003</v>
      </c>
      <c r="O36" s="14">
        <f t="shared" ca="1" si="4"/>
        <v>-6.35</v>
      </c>
      <c r="P36" s="14">
        <f t="shared" ca="1" si="4"/>
        <v>-6.0869999999999997</v>
      </c>
      <c r="Q36" s="14">
        <f t="shared" ca="1" si="4"/>
        <v>-5.9379999999999997</v>
      </c>
      <c r="R36" s="14">
        <f t="shared" ca="1" si="4"/>
        <v>-5.87</v>
      </c>
      <c r="S36" s="14">
        <f t="shared" ca="1" si="4"/>
        <v>-5.8520000000000003</v>
      </c>
      <c r="T36" s="14">
        <f t="shared" ca="1" si="4"/>
        <v>-5.8609999999999998</v>
      </c>
      <c r="U36" s="14">
        <f t="shared" ca="1" si="4"/>
        <v>-5.8860000000000001</v>
      </c>
      <c r="V36" s="14">
        <f t="shared" ca="1" si="4"/>
        <v>-5.9180000000000001</v>
      </c>
      <c r="W36" s="14">
        <f t="shared" ca="1" si="4"/>
        <v>-5.9550000000000001</v>
      </c>
      <c r="X36" s="14">
        <f t="shared" ca="1" si="4"/>
        <v>-5.9930000000000003</v>
      </c>
      <c r="Y36" s="14">
        <f t="shared" ca="1" si="4"/>
        <v>-6.0330000000000004</v>
      </c>
      <c r="Z36" s="14">
        <f t="shared" ca="1" si="4"/>
        <v>-6.0739999999999998</v>
      </c>
      <c r="AA36" s="14">
        <f t="shared" ca="1" si="4"/>
        <v>-6.1180000000000003</v>
      </c>
      <c r="AB36" s="14">
        <f t="shared" ca="1" si="4"/>
        <v>-6.3319999999999999</v>
      </c>
      <c r="AC36" s="14">
        <f t="shared" ca="1" si="4"/>
        <v>-6.508</v>
      </c>
      <c r="AD36" s="14">
        <f t="shared" ca="1" si="4"/>
        <v>-6.5510000000000002</v>
      </c>
      <c r="AE36" s="14">
        <f t="shared" ca="1" si="4"/>
        <v>-6.5940000000000003</v>
      </c>
      <c r="AF36" s="14">
        <f t="shared" ca="1" si="4"/>
        <v>-6.6360000000000001</v>
      </c>
      <c r="AG36" s="14">
        <f t="shared" ca="1" si="4"/>
        <v>-6.6779999999999999</v>
      </c>
      <c r="AH36" s="14">
        <f t="shared" ca="1" si="4"/>
        <v>-6.7190000000000003</v>
      </c>
      <c r="AI36" s="14">
        <f t="shared" ca="1" si="4"/>
        <v>-6.7510000000000003</v>
      </c>
      <c r="AJ36" s="14">
        <f t="shared" ca="1" si="4"/>
        <v>-6.7839999999999998</v>
      </c>
      <c r="AK36" s="14">
        <f t="shared" ca="1" si="4"/>
        <v>-6.8170000000000002</v>
      </c>
      <c r="AL36" s="14">
        <f t="shared" ca="1" si="4"/>
        <v>-6.9539999999999997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5"/>
        <v>25</v>
      </c>
      <c r="E37" s="11" t="str">
        <f t="shared" ca="1" si="6"/>
        <v>H (Se)</v>
      </c>
      <c r="F37" s="14">
        <f t="shared" ca="1" si="4"/>
        <v>-23.56</v>
      </c>
      <c r="G37" s="14">
        <f t="shared" ca="1" si="4"/>
        <v>-22.53</v>
      </c>
      <c r="H37" s="14">
        <f t="shared" ca="1" si="4"/>
        <v>-21.75</v>
      </c>
      <c r="I37" s="14">
        <f t="shared" ca="1" si="4"/>
        <v>-21.28</v>
      </c>
      <c r="J37" s="14">
        <f t="shared" ca="1" si="4"/>
        <v>-21.09</v>
      </c>
      <c r="K37" s="14">
        <f t="shared" ca="1" si="4"/>
        <v>-21.65</v>
      </c>
      <c r="L37" s="14">
        <f t="shared" ca="1" si="4"/>
        <v>-21.85</v>
      </c>
      <c r="M37" s="14">
        <f t="shared" ca="1" si="4"/>
        <v>-22.03</v>
      </c>
      <c r="N37" s="14">
        <f t="shared" ca="1" si="4"/>
        <v>-22.18</v>
      </c>
      <c r="O37" s="14">
        <f t="shared" ca="1" si="4"/>
        <v>-22.32</v>
      </c>
      <c r="P37" s="14">
        <f t="shared" ca="1" si="4"/>
        <v>-22.47</v>
      </c>
      <c r="Q37" s="14">
        <f t="shared" ca="1" si="4"/>
        <v>-22.65</v>
      </c>
      <c r="R37" s="14">
        <f t="shared" ca="1" si="4"/>
        <v>-22.86</v>
      </c>
      <c r="S37" s="14">
        <f t="shared" ca="1" si="4"/>
        <v>-23.08</v>
      </c>
      <c r="T37" s="14">
        <f t="shared" ca="1" si="4"/>
        <v>-23.31</v>
      </c>
      <c r="U37" s="14">
        <f t="shared" ca="1" si="4"/>
        <v>-23.54</v>
      </c>
      <c r="V37" s="14">
        <f t="shared" ca="1" si="4"/>
        <v>-23.78</v>
      </c>
      <c r="W37" s="14">
        <f t="shared" ca="1" si="4"/>
        <v>-24.01</v>
      </c>
      <c r="X37" s="14">
        <f t="shared" ca="1" si="4"/>
        <v>-24.25</v>
      </c>
      <c r="Y37" s="14">
        <f t="shared" ca="1" si="4"/>
        <v>-24.48</v>
      </c>
      <c r="Z37" s="14">
        <f t="shared" ca="1" si="4"/>
        <v>-24.71</v>
      </c>
      <c r="AA37" s="14">
        <f t="shared" ca="1" si="4"/>
        <v>-24.94</v>
      </c>
      <c r="AB37" s="14">
        <f t="shared" ca="1" si="4"/>
        <v>-25.82</v>
      </c>
      <c r="AC37" s="14">
        <f t="shared" ca="1" si="4"/>
        <v>-26.68</v>
      </c>
      <c r="AD37" s="14">
        <f t="shared" ca="1" si="4"/>
        <v>-26.9</v>
      </c>
      <c r="AE37" s="14">
        <f t="shared" ca="1" si="4"/>
        <v>-27.11</v>
      </c>
      <c r="AF37" s="14">
        <f t="shared" ca="1" si="4"/>
        <v>-27.32</v>
      </c>
      <c r="AG37" s="14">
        <f t="shared" ca="1" si="4"/>
        <v>-27.52</v>
      </c>
      <c r="AH37" s="14">
        <f t="shared" ref="AH37:AL37" ca="1" si="7">OFFSET($E$3:$AL$3,$D37,0)</f>
        <v>-27.73</v>
      </c>
      <c r="AI37" s="14">
        <f t="shared" ca="1" si="7"/>
        <v>-27.92</v>
      </c>
      <c r="AJ37" s="14">
        <f t="shared" ca="1" si="7"/>
        <v>-28.11</v>
      </c>
      <c r="AK37" s="14">
        <f t="shared" ca="1" si="7"/>
        <v>-28.3</v>
      </c>
      <c r="AL37" s="14">
        <f t="shared" ca="1" si="7"/>
        <v>-29.08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s="37" customFormat="1" ht="21" customHeight="1" thickBot="1" x14ac:dyDescent="0.4"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8">G3</f>
        <v>289.7</v>
      </c>
      <c r="H40" s="8">
        <f t="shared" si="8"/>
        <v>306.2</v>
      </c>
      <c r="I40" s="8">
        <f t="shared" si="8"/>
        <v>322.7</v>
      </c>
      <c r="J40" s="8">
        <f t="shared" si="8"/>
        <v>339.2</v>
      </c>
      <c r="K40" s="8">
        <f t="shared" si="8"/>
        <v>405.3</v>
      </c>
      <c r="L40" s="8">
        <f t="shared" si="8"/>
        <v>421.8</v>
      </c>
      <c r="M40" s="8">
        <f t="shared" si="8"/>
        <v>438.3</v>
      </c>
      <c r="N40" s="8">
        <f t="shared" si="8"/>
        <v>454.9</v>
      </c>
      <c r="O40" s="8">
        <f t="shared" si="8"/>
        <v>471.4</v>
      </c>
      <c r="P40" s="8">
        <f t="shared" si="8"/>
        <v>487.9</v>
      </c>
      <c r="Q40" s="8">
        <f t="shared" si="8"/>
        <v>504.4</v>
      </c>
      <c r="R40" s="8">
        <f t="shared" si="8"/>
        <v>520.9</v>
      </c>
      <c r="S40" s="8">
        <f t="shared" si="8"/>
        <v>537.5</v>
      </c>
      <c r="T40" s="8">
        <f t="shared" si="8"/>
        <v>554</v>
      </c>
      <c r="U40" s="8">
        <f t="shared" si="8"/>
        <v>570.5</v>
      </c>
      <c r="V40" s="8">
        <f t="shared" si="8"/>
        <v>587</v>
      </c>
      <c r="W40" s="8">
        <f t="shared" si="8"/>
        <v>603.5</v>
      </c>
      <c r="X40" s="8">
        <f t="shared" si="8"/>
        <v>620.1</v>
      </c>
      <c r="Y40" s="8">
        <f t="shared" si="8"/>
        <v>636.6</v>
      </c>
      <c r="Z40" s="8">
        <f t="shared" si="8"/>
        <v>653.1</v>
      </c>
      <c r="AA40" s="8">
        <f t="shared" si="8"/>
        <v>669.6</v>
      </c>
      <c r="AB40" s="8">
        <f t="shared" si="8"/>
        <v>735.7</v>
      </c>
      <c r="AC40" s="8">
        <f t="shared" si="8"/>
        <v>801.8</v>
      </c>
      <c r="AD40" s="8">
        <f t="shared" si="8"/>
        <v>818.3</v>
      </c>
      <c r="AE40" s="8">
        <f t="shared" si="8"/>
        <v>834.8</v>
      </c>
      <c r="AF40" s="8">
        <f t="shared" si="8"/>
        <v>851.3</v>
      </c>
      <c r="AG40" s="8">
        <f t="shared" si="8"/>
        <v>867.8</v>
      </c>
      <c r="AH40" s="8">
        <f t="shared" si="8"/>
        <v>884.4</v>
      </c>
      <c r="AI40" s="8">
        <f t="shared" si="8"/>
        <v>900.9</v>
      </c>
      <c r="AJ40" s="8">
        <f t="shared" si="8"/>
        <v>917.4</v>
      </c>
      <c r="AK40" s="8">
        <f t="shared" si="8"/>
        <v>933.9</v>
      </c>
      <c r="AL40" s="8">
        <f t="shared" si="8"/>
        <v>1000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9">($B$41*H.Ge+$C$41*H.Ga+$D$41*H.Se)*F$40*$B$2/1000</f>
        <v>-152.03891136642861</v>
      </c>
      <c r="G41" s="10">
        <f t="shared" ca="1" si="9"/>
        <v>-154.00607693057142</v>
      </c>
      <c r="H41" s="10">
        <f t="shared" ca="1" si="9"/>
        <v>-156.04911587057143</v>
      </c>
      <c r="I41" s="10">
        <f t="shared" ca="1" si="9"/>
        <v>-158.43258132299999</v>
      </c>
      <c r="J41" s="10">
        <f t="shared" ca="1" si="9"/>
        <v>-161.15876571428572</v>
      </c>
      <c r="K41" s="10">
        <f t="shared" ca="1" si="9"/>
        <v>-175.04147519909998</v>
      </c>
      <c r="L41" s="10">
        <f t="shared" ca="1" si="9"/>
        <v>-178.95455161470002</v>
      </c>
      <c r="M41" s="10">
        <f t="shared" ca="1" si="9"/>
        <v>-183.13790581890004</v>
      </c>
      <c r="N41" s="10">
        <f t="shared" ca="1" si="9"/>
        <v>-187.71008179544998</v>
      </c>
      <c r="O41" s="10">
        <f t="shared" ca="1" si="9"/>
        <v>-192.74201398842857</v>
      </c>
      <c r="P41" s="10">
        <f t="shared" ca="1" si="9"/>
        <v>-198.38092938734999</v>
      </c>
      <c r="Q41" s="10">
        <f t="shared" ca="1" si="9"/>
        <v>-204.68664891925712</v>
      </c>
      <c r="R41" s="10">
        <f t="shared" ca="1" si="9"/>
        <v>-211.57047599250004</v>
      </c>
      <c r="S41" s="10">
        <f t="shared" ca="1" si="9"/>
        <v>-218.85162617678571</v>
      </c>
      <c r="T41" s="10">
        <f t="shared" ca="1" si="9"/>
        <v>-226.37463685157141</v>
      </c>
      <c r="U41" s="10">
        <f t="shared" ca="1" si="9"/>
        <v>-234.06891434849999</v>
      </c>
      <c r="V41" s="10">
        <f t="shared" ca="1" si="9"/>
        <v>-241.97792924914287</v>
      </c>
      <c r="W41" s="10">
        <f t="shared" ca="1" si="9"/>
        <v>-249.94023950089291</v>
      </c>
      <c r="X41" s="10">
        <f t="shared" ca="1" si="9"/>
        <v>-258.15271654742145</v>
      </c>
      <c r="Y41" s="10">
        <f t="shared" ca="1" si="9"/>
        <v>-266.35261601224289</v>
      </c>
      <c r="Z41" s="10">
        <f t="shared" ca="1" si="9"/>
        <v>-274.68123427080002</v>
      </c>
      <c r="AA41" s="10">
        <f t="shared" ca="1" si="9"/>
        <v>-283.1542333467429</v>
      </c>
      <c r="AB41" s="10">
        <f t="shared" ca="1" si="9"/>
        <v>-318.91649446830002</v>
      </c>
      <c r="AC41" s="10">
        <f t="shared" ca="1" si="9"/>
        <v>-357.05651848307139</v>
      </c>
      <c r="AD41" s="10">
        <f t="shared" ca="1" si="9"/>
        <v>-366.94693729155</v>
      </c>
      <c r="AE41" s="10">
        <f t="shared" ca="1" si="9"/>
        <v>-376.84470516779999</v>
      </c>
      <c r="AF41" s="10">
        <f t="shared" ca="1" si="9"/>
        <v>-386.85742789570713</v>
      </c>
      <c r="AG41" s="10">
        <f t="shared" ca="1" si="9"/>
        <v>-396.86544722974287</v>
      </c>
      <c r="AH41" s="10">
        <f t="shared" ca="1" si="9"/>
        <v>-407.16199954979993</v>
      </c>
      <c r="AI41" s="10">
        <f t="shared" ca="1" si="9"/>
        <v>-417.4934201509501</v>
      </c>
      <c r="AJ41" s="10">
        <f t="shared" ca="1" si="9"/>
        <v>-427.94028354612857</v>
      </c>
      <c r="AK41" s="10">
        <f t="shared" ca="1" si="9"/>
        <v>-438.48566450157853</v>
      </c>
      <c r="AL41" s="10">
        <f t="shared" ca="1" si="9"/>
        <v>-482.04501535714286</v>
      </c>
    </row>
    <row r="42" spans="1:54" ht="176.25" customHeight="1" outlineLevel="1" x14ac:dyDescent="0.35"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</row>
    <row r="43" spans="1:54" ht="21" customHeight="1" x14ac:dyDescent="0.35"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</row>
    <row r="44" spans="1:54" ht="21" customHeight="1" thickBot="1" x14ac:dyDescent="0.45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10">E3</f>
        <v>Temperature,К</v>
      </c>
      <c r="F45" s="3">
        <f t="shared" si="10"/>
        <v>273.10000000000002</v>
      </c>
      <c r="G45" s="3">
        <f t="shared" si="10"/>
        <v>289.7</v>
      </c>
      <c r="H45" s="3">
        <f t="shared" si="10"/>
        <v>306.2</v>
      </c>
      <c r="I45" s="3">
        <f t="shared" si="10"/>
        <v>322.7</v>
      </c>
      <c r="J45" s="3">
        <f t="shared" si="10"/>
        <v>339.2</v>
      </c>
      <c r="K45" s="3">
        <f t="shared" si="10"/>
        <v>405.3</v>
      </c>
      <c r="L45" s="3">
        <f t="shared" si="10"/>
        <v>421.8</v>
      </c>
      <c r="M45" s="3">
        <f t="shared" si="10"/>
        <v>438.3</v>
      </c>
      <c r="N45" s="3">
        <f t="shared" si="10"/>
        <v>454.9</v>
      </c>
      <c r="O45" s="3">
        <f t="shared" si="10"/>
        <v>471.4</v>
      </c>
      <c r="P45" s="3">
        <f t="shared" si="10"/>
        <v>487.9</v>
      </c>
      <c r="Q45" s="3">
        <f t="shared" si="10"/>
        <v>504.4</v>
      </c>
      <c r="R45" s="3">
        <f t="shared" si="10"/>
        <v>520.9</v>
      </c>
      <c r="S45" s="3">
        <f t="shared" si="10"/>
        <v>537.5</v>
      </c>
      <c r="T45" s="3">
        <f t="shared" si="10"/>
        <v>554</v>
      </c>
      <c r="U45" s="3">
        <f t="shared" si="10"/>
        <v>570.5</v>
      </c>
      <c r="V45" s="3">
        <f t="shared" si="10"/>
        <v>587</v>
      </c>
      <c r="W45" s="3">
        <f t="shared" si="10"/>
        <v>603.5</v>
      </c>
      <c r="X45" s="3">
        <f t="shared" si="10"/>
        <v>620.1</v>
      </c>
      <c r="Y45" s="3">
        <f t="shared" si="10"/>
        <v>636.6</v>
      </c>
      <c r="Z45" s="3">
        <f t="shared" si="10"/>
        <v>653.1</v>
      </c>
      <c r="AA45" s="3">
        <f t="shared" si="10"/>
        <v>669.6</v>
      </c>
      <c r="AB45" s="3">
        <f t="shared" si="10"/>
        <v>735.7</v>
      </c>
      <c r="AC45" s="3">
        <f t="shared" si="10"/>
        <v>801.8</v>
      </c>
      <c r="AD45" s="3">
        <f t="shared" si="10"/>
        <v>818.3</v>
      </c>
      <c r="AE45" s="3">
        <f t="shared" si="10"/>
        <v>834.8</v>
      </c>
      <c r="AF45" s="3">
        <f t="shared" si="10"/>
        <v>851.3</v>
      </c>
      <c r="AG45" s="3">
        <f t="shared" si="10"/>
        <v>867.8</v>
      </c>
      <c r="AH45" s="3">
        <f t="shared" si="10"/>
        <v>884.4</v>
      </c>
      <c r="AI45" s="3">
        <f t="shared" si="10"/>
        <v>900.9</v>
      </c>
      <c r="AJ45" s="3">
        <f t="shared" si="10"/>
        <v>917.4</v>
      </c>
      <c r="AK45" s="3">
        <f t="shared" si="10"/>
        <v>933.9</v>
      </c>
      <c r="AL45" s="3">
        <f t="shared" si="10"/>
        <v>1000</v>
      </c>
    </row>
    <row r="46" spans="1:54" ht="21" customHeight="1" outlineLevel="1" thickTop="1" thickBot="1" x14ac:dyDescent="0.4">
      <c r="A46" s="5">
        <f t="shared" ref="A46:E55" si="11">A4</f>
        <v>0</v>
      </c>
      <c r="B46" s="5">
        <f t="shared" si="11"/>
        <v>1</v>
      </c>
      <c r="C46" s="5">
        <f t="shared" si="11"/>
        <v>1</v>
      </c>
      <c r="D46" s="5">
        <f t="shared" si="11"/>
        <v>0</v>
      </c>
      <c r="E46" s="6" t="str">
        <f t="shared" si="11"/>
        <v>*GeSe</v>
      </c>
      <c r="F46" s="14">
        <f t="shared" ref="F46:U55" ca="1" si="12">$A46*H.Ar + $B46*H.Se + $C46*H.Ge + $D46*H.Ga</f>
        <v>-40.54</v>
      </c>
      <c r="G46" s="14">
        <f t="shared" ca="1" si="12"/>
        <v>-38.769999999999996</v>
      </c>
      <c r="H46" s="14">
        <f t="shared" ca="1" si="12"/>
        <v>-37.17</v>
      </c>
      <c r="I46" s="14">
        <f t="shared" ca="1" si="12"/>
        <v>-35.74</v>
      </c>
      <c r="J46" s="14">
        <f t="shared" ca="1" si="12"/>
        <v>-34.450000000000003</v>
      </c>
      <c r="K46" s="14">
        <f t="shared" ca="1" si="12"/>
        <v>-30.616</v>
      </c>
      <c r="L46" s="14">
        <f t="shared" ca="1" si="12"/>
        <v>-29.927</v>
      </c>
      <c r="M46" s="14">
        <f t="shared" ca="1" si="12"/>
        <v>-29.364000000000001</v>
      </c>
      <c r="N46" s="14">
        <f t="shared" ca="1" si="12"/>
        <v>-28.939</v>
      </c>
      <c r="O46" s="14">
        <f t="shared" ca="1" si="12"/>
        <v>-28.67</v>
      </c>
      <c r="P46" s="14">
        <f t="shared" ca="1" si="12"/>
        <v>-28.556999999999999</v>
      </c>
      <c r="Q46" s="14">
        <f t="shared" ca="1" si="12"/>
        <v>-28.587999999999997</v>
      </c>
      <c r="R46" s="14">
        <f t="shared" ca="1" si="12"/>
        <v>-28.73</v>
      </c>
      <c r="S46" s="14">
        <f t="shared" ca="1" si="12"/>
        <v>-28.931999999999999</v>
      </c>
      <c r="T46" s="14">
        <f t="shared" ca="1" si="12"/>
        <v>-29.170999999999999</v>
      </c>
      <c r="U46" s="14">
        <f t="shared" ca="1" si="12"/>
        <v>-29.425999999999998</v>
      </c>
      <c r="V46" s="14">
        <f t="shared" ref="G46:AL54" ca="1" si="13">$A46*H.Ar + $B46*H.Se + $C46*H.Ge + $D46*H.Ga</f>
        <v>-29.698</v>
      </c>
      <c r="W46" s="14">
        <f t="shared" ca="1" si="13"/>
        <v>-29.965000000000003</v>
      </c>
      <c r="X46" s="14">
        <f t="shared" ca="1" si="13"/>
        <v>-30.243000000000002</v>
      </c>
      <c r="Y46" s="14">
        <f t="shared" ca="1" si="13"/>
        <v>-30.513000000000002</v>
      </c>
      <c r="Z46" s="14">
        <f t="shared" ca="1" si="13"/>
        <v>-30.783999999999999</v>
      </c>
      <c r="AA46" s="14">
        <f t="shared" ca="1" si="13"/>
        <v>-31.058</v>
      </c>
      <c r="AB46" s="14">
        <f t="shared" ca="1" si="13"/>
        <v>-32.152000000000001</v>
      </c>
      <c r="AC46" s="14">
        <f t="shared" ca="1" si="13"/>
        <v>-33.188000000000002</v>
      </c>
      <c r="AD46" s="14">
        <f t="shared" ca="1" si="13"/>
        <v>-33.451000000000001</v>
      </c>
      <c r="AE46" s="14">
        <f t="shared" ca="1" si="13"/>
        <v>-33.704000000000001</v>
      </c>
      <c r="AF46" s="14">
        <f t="shared" ca="1" si="13"/>
        <v>-33.956000000000003</v>
      </c>
      <c r="AG46" s="14">
        <f t="shared" ca="1" si="13"/>
        <v>-34.198</v>
      </c>
      <c r="AH46" s="14">
        <f t="shared" ca="1" si="13"/>
        <v>-34.448999999999998</v>
      </c>
      <c r="AI46" s="14">
        <f t="shared" ca="1" si="13"/>
        <v>-34.670999999999999</v>
      </c>
      <c r="AJ46" s="14">
        <f t="shared" ca="1" si="13"/>
        <v>-34.893999999999998</v>
      </c>
      <c r="AK46" s="14">
        <f t="shared" ca="1" si="13"/>
        <v>-35.117000000000004</v>
      </c>
      <c r="AL46" s="14">
        <f t="shared" ca="1" si="13"/>
        <v>-36.033999999999999</v>
      </c>
    </row>
    <row r="47" spans="1:54" ht="21" customHeight="1" outlineLevel="1" thickBot="1" x14ac:dyDescent="0.4">
      <c r="A47" s="5">
        <f t="shared" si="11"/>
        <v>0</v>
      </c>
      <c r="B47" s="5">
        <f t="shared" si="11"/>
        <v>0</v>
      </c>
      <c r="C47" s="5">
        <f t="shared" si="11"/>
        <v>0</v>
      </c>
      <c r="D47" s="5">
        <f t="shared" si="11"/>
        <v>1</v>
      </c>
      <c r="E47" s="6" t="str">
        <f t="shared" si="11"/>
        <v>*Ga[1]</v>
      </c>
      <c r="F47" s="14">
        <f t="shared" ca="1" si="12"/>
        <v>-67.12</v>
      </c>
      <c r="G47" s="14">
        <f t="shared" ca="1" si="13"/>
        <v>-63.52</v>
      </c>
      <c r="H47" s="14">
        <f t="shared" ca="1" si="13"/>
        <v>-60.12</v>
      </c>
      <c r="I47" s="14">
        <f t="shared" ca="1" si="13"/>
        <v>-56.76</v>
      </c>
      <c r="J47" s="14">
        <f t="shared" ca="1" si="13"/>
        <v>-53.4</v>
      </c>
      <c r="K47" s="14">
        <f t="shared" ca="1" si="13"/>
        <v>-41.04</v>
      </c>
      <c r="L47" s="14">
        <f t="shared" ca="1" si="13"/>
        <v>-38.450000000000003</v>
      </c>
      <c r="M47" s="14">
        <f t="shared" ca="1" si="13"/>
        <v>-36.08</v>
      </c>
      <c r="N47" s="14">
        <f t="shared" ca="1" si="13"/>
        <v>-33.93</v>
      </c>
      <c r="O47" s="14">
        <f t="shared" ca="1" si="13"/>
        <v>-31.94</v>
      </c>
      <c r="P47" s="14">
        <f t="shared" ca="1" si="13"/>
        <v>-30.07</v>
      </c>
      <c r="Q47" s="14">
        <f t="shared" ca="1" si="13"/>
        <v>-28.28</v>
      </c>
      <c r="R47" s="14">
        <f t="shared" ca="1" si="13"/>
        <v>-26.54</v>
      </c>
      <c r="S47" s="14">
        <f t="shared" ca="1" si="13"/>
        <v>-24.87</v>
      </c>
      <c r="T47" s="14">
        <f t="shared" ca="1" si="13"/>
        <v>-23.27</v>
      </c>
      <c r="U47" s="14">
        <f t="shared" ca="1" si="13"/>
        <v>-21.74</v>
      </c>
      <c r="V47" s="14">
        <f t="shared" ca="1" si="13"/>
        <v>-20.27</v>
      </c>
      <c r="W47" s="14">
        <f t="shared" ca="1" si="13"/>
        <v>-18.87</v>
      </c>
      <c r="X47" s="14">
        <f t="shared" ca="1" si="13"/>
        <v>-17.54</v>
      </c>
      <c r="Y47" s="14">
        <f t="shared" ca="1" si="13"/>
        <v>-16.260000000000002</v>
      </c>
      <c r="Z47" s="14">
        <f t="shared" ca="1" si="13"/>
        <v>-15.05</v>
      </c>
      <c r="AA47" s="14">
        <f t="shared" ca="1" si="13"/>
        <v>-13.91</v>
      </c>
      <c r="AB47" s="14">
        <f t="shared" ca="1" si="13"/>
        <v>-10.79</v>
      </c>
      <c r="AC47" s="14">
        <f t="shared" ca="1" si="13"/>
        <v>-9.1989999999999998</v>
      </c>
      <c r="AD47" s="14">
        <f t="shared" ca="1" si="13"/>
        <v>-8.8740000000000006</v>
      </c>
      <c r="AE47" s="14">
        <f t="shared" ca="1" si="13"/>
        <v>-8.5730000000000004</v>
      </c>
      <c r="AF47" s="14">
        <f t="shared" ca="1" si="13"/>
        <v>-8.2949999999999999</v>
      </c>
      <c r="AG47" s="14">
        <f t="shared" ca="1" si="13"/>
        <v>-8.0359999999999996</v>
      </c>
      <c r="AH47" s="14">
        <f t="shared" ca="1" si="13"/>
        <v>-7.8040000000000003</v>
      </c>
      <c r="AI47" s="14">
        <f t="shared" ca="1" si="13"/>
        <v>-7.8559999999999999</v>
      </c>
      <c r="AJ47" s="14">
        <f t="shared" ca="1" si="13"/>
        <v>-7.915</v>
      </c>
      <c r="AK47" s="14">
        <f t="shared" ca="1" si="13"/>
        <v>-7.9720000000000004</v>
      </c>
      <c r="AL47" s="14">
        <f t="shared" ca="1" si="13"/>
        <v>-8.1969999999999992</v>
      </c>
    </row>
    <row r="48" spans="1:54" ht="21" customHeight="1" outlineLevel="1" thickBot="1" x14ac:dyDescent="0.4">
      <c r="A48" s="5">
        <f t="shared" si="11"/>
        <v>0</v>
      </c>
      <c r="B48" s="5">
        <f t="shared" si="11"/>
        <v>1</v>
      </c>
      <c r="C48" s="5">
        <f t="shared" si="11"/>
        <v>0</v>
      </c>
      <c r="D48" s="5">
        <f t="shared" si="11"/>
        <v>0</v>
      </c>
      <c r="E48" s="6" t="str">
        <f t="shared" si="11"/>
        <v>*Se[m]</v>
      </c>
      <c r="F48" s="14">
        <f t="shared" ca="1" si="12"/>
        <v>-23.56</v>
      </c>
      <c r="G48" s="14">
        <f t="shared" ca="1" si="13"/>
        <v>-22.53</v>
      </c>
      <c r="H48" s="14">
        <f t="shared" ca="1" si="13"/>
        <v>-21.75</v>
      </c>
      <c r="I48" s="14">
        <f t="shared" ca="1" si="13"/>
        <v>-21.28</v>
      </c>
      <c r="J48" s="14">
        <f t="shared" ca="1" si="13"/>
        <v>-21.09</v>
      </c>
      <c r="K48" s="14">
        <f t="shared" ca="1" si="13"/>
        <v>-21.65</v>
      </c>
      <c r="L48" s="14">
        <f t="shared" ca="1" si="13"/>
        <v>-21.85</v>
      </c>
      <c r="M48" s="14">
        <f t="shared" ca="1" si="13"/>
        <v>-22.03</v>
      </c>
      <c r="N48" s="14">
        <f t="shared" ca="1" si="13"/>
        <v>-22.18</v>
      </c>
      <c r="O48" s="14">
        <f t="shared" ca="1" si="13"/>
        <v>-22.32</v>
      </c>
      <c r="P48" s="14">
        <f t="shared" ca="1" si="13"/>
        <v>-22.47</v>
      </c>
      <c r="Q48" s="14">
        <f t="shared" ca="1" si="13"/>
        <v>-22.65</v>
      </c>
      <c r="R48" s="14">
        <f t="shared" ca="1" si="13"/>
        <v>-22.86</v>
      </c>
      <c r="S48" s="14">
        <f t="shared" ca="1" si="13"/>
        <v>-23.08</v>
      </c>
      <c r="T48" s="14">
        <f t="shared" ca="1" si="13"/>
        <v>-23.31</v>
      </c>
      <c r="U48" s="14">
        <f t="shared" ca="1" si="13"/>
        <v>-23.54</v>
      </c>
      <c r="V48" s="14">
        <f t="shared" ca="1" si="13"/>
        <v>-23.78</v>
      </c>
      <c r="W48" s="14">
        <f t="shared" ca="1" si="13"/>
        <v>-24.01</v>
      </c>
      <c r="X48" s="14">
        <f t="shared" ca="1" si="13"/>
        <v>-24.25</v>
      </c>
      <c r="Y48" s="14">
        <f t="shared" ca="1" si="13"/>
        <v>-24.48</v>
      </c>
      <c r="Z48" s="14">
        <f t="shared" ca="1" si="13"/>
        <v>-24.71</v>
      </c>
      <c r="AA48" s="14">
        <f t="shared" ca="1" si="13"/>
        <v>-24.94</v>
      </c>
      <c r="AB48" s="14">
        <f t="shared" ca="1" si="13"/>
        <v>-25.82</v>
      </c>
      <c r="AC48" s="14">
        <f t="shared" ca="1" si="13"/>
        <v>-26.68</v>
      </c>
      <c r="AD48" s="14">
        <f t="shared" ca="1" si="13"/>
        <v>-26.9</v>
      </c>
      <c r="AE48" s="14">
        <f t="shared" ca="1" si="13"/>
        <v>-27.11</v>
      </c>
      <c r="AF48" s="14">
        <f t="shared" ca="1" si="13"/>
        <v>-27.32</v>
      </c>
      <c r="AG48" s="14">
        <f t="shared" ca="1" si="13"/>
        <v>-27.52</v>
      </c>
      <c r="AH48" s="14">
        <f t="shared" ca="1" si="13"/>
        <v>-27.73</v>
      </c>
      <c r="AI48" s="14">
        <f t="shared" ca="1" si="13"/>
        <v>-27.92</v>
      </c>
      <c r="AJ48" s="14">
        <f t="shared" ca="1" si="13"/>
        <v>-28.11</v>
      </c>
      <c r="AK48" s="14">
        <f t="shared" ca="1" si="13"/>
        <v>-28.3</v>
      </c>
      <c r="AL48" s="14">
        <f t="shared" ca="1" si="13"/>
        <v>-29.08</v>
      </c>
    </row>
    <row r="49" spans="1:38" ht="21" customHeight="1" outlineLevel="1" thickBot="1" x14ac:dyDescent="0.4">
      <c r="A49" s="5">
        <f t="shared" si="11"/>
        <v>0</v>
      </c>
      <c r="B49" s="5">
        <f t="shared" si="11"/>
        <v>2</v>
      </c>
      <c r="C49" s="5">
        <f t="shared" si="11"/>
        <v>1</v>
      </c>
      <c r="D49" s="5">
        <f t="shared" si="11"/>
        <v>0</v>
      </c>
      <c r="E49" s="6" t="str">
        <f t="shared" si="11"/>
        <v>*GeSe2</v>
      </c>
      <c r="F49" s="14">
        <f t="shared" ca="1" si="12"/>
        <v>-64.099999999999994</v>
      </c>
      <c r="G49" s="14">
        <f t="shared" ca="1" si="13"/>
        <v>-61.3</v>
      </c>
      <c r="H49" s="14">
        <f t="shared" ca="1" si="13"/>
        <v>-58.92</v>
      </c>
      <c r="I49" s="14">
        <f t="shared" ca="1" si="13"/>
        <v>-57.02</v>
      </c>
      <c r="J49" s="14">
        <f t="shared" ca="1" si="13"/>
        <v>-55.54</v>
      </c>
      <c r="K49" s="14">
        <f t="shared" ca="1" si="13"/>
        <v>-52.265999999999998</v>
      </c>
      <c r="L49" s="14">
        <f t="shared" ca="1" si="13"/>
        <v>-51.777000000000001</v>
      </c>
      <c r="M49" s="14">
        <f t="shared" ca="1" si="13"/>
        <v>-51.394000000000005</v>
      </c>
      <c r="N49" s="14">
        <f t="shared" ca="1" si="13"/>
        <v>-51.119</v>
      </c>
      <c r="O49" s="14">
        <f t="shared" ca="1" si="13"/>
        <v>-50.99</v>
      </c>
      <c r="P49" s="14">
        <f t="shared" ca="1" si="13"/>
        <v>-51.027000000000001</v>
      </c>
      <c r="Q49" s="14">
        <f t="shared" ca="1" si="13"/>
        <v>-51.238</v>
      </c>
      <c r="R49" s="14">
        <f t="shared" ca="1" si="13"/>
        <v>-51.589999999999996</v>
      </c>
      <c r="S49" s="14">
        <f t="shared" ca="1" si="13"/>
        <v>-52.012</v>
      </c>
      <c r="T49" s="14">
        <f t="shared" ca="1" si="13"/>
        <v>-52.480999999999995</v>
      </c>
      <c r="U49" s="14">
        <f t="shared" ca="1" si="13"/>
        <v>-52.966000000000001</v>
      </c>
      <c r="V49" s="14">
        <f t="shared" ca="1" si="13"/>
        <v>-53.478000000000002</v>
      </c>
      <c r="W49" s="14">
        <f t="shared" ca="1" si="13"/>
        <v>-53.975000000000001</v>
      </c>
      <c r="X49" s="14">
        <f t="shared" ca="1" si="13"/>
        <v>-54.493000000000002</v>
      </c>
      <c r="Y49" s="14">
        <f t="shared" ca="1" si="13"/>
        <v>-54.993000000000002</v>
      </c>
      <c r="Z49" s="14">
        <f t="shared" ca="1" si="13"/>
        <v>-55.494</v>
      </c>
      <c r="AA49" s="14">
        <f t="shared" ca="1" si="13"/>
        <v>-55.998000000000005</v>
      </c>
      <c r="AB49" s="14">
        <f t="shared" ca="1" si="13"/>
        <v>-57.972000000000001</v>
      </c>
      <c r="AC49" s="14">
        <f t="shared" ca="1" si="13"/>
        <v>-59.868000000000002</v>
      </c>
      <c r="AD49" s="14">
        <f t="shared" ca="1" si="13"/>
        <v>-60.350999999999999</v>
      </c>
      <c r="AE49" s="14">
        <f t="shared" ca="1" si="13"/>
        <v>-60.814</v>
      </c>
      <c r="AF49" s="14">
        <f t="shared" ca="1" si="13"/>
        <v>-61.276000000000003</v>
      </c>
      <c r="AG49" s="14">
        <f t="shared" ca="1" si="13"/>
        <v>-61.717999999999996</v>
      </c>
      <c r="AH49" s="14">
        <f t="shared" ca="1" si="13"/>
        <v>-62.179000000000002</v>
      </c>
      <c r="AI49" s="14">
        <f t="shared" ca="1" si="13"/>
        <v>-62.591000000000001</v>
      </c>
      <c r="AJ49" s="14">
        <f t="shared" ca="1" si="13"/>
        <v>-63.003999999999998</v>
      </c>
      <c r="AK49" s="14">
        <f t="shared" ca="1" si="13"/>
        <v>-63.417000000000002</v>
      </c>
      <c r="AL49" s="14">
        <f t="shared" ca="1" si="13"/>
        <v>-65.11399999999999</v>
      </c>
    </row>
    <row r="50" spans="1:38" ht="21" customHeight="1" outlineLevel="1" thickBot="1" x14ac:dyDescent="0.4">
      <c r="A50" s="5">
        <f t="shared" si="11"/>
        <v>0</v>
      </c>
      <c r="B50" s="5">
        <f t="shared" si="11"/>
        <v>3</v>
      </c>
      <c r="C50" s="5">
        <f t="shared" si="11"/>
        <v>0</v>
      </c>
      <c r="D50" s="5">
        <f t="shared" si="11"/>
        <v>2</v>
      </c>
      <c r="E50" s="6" t="str">
        <f t="shared" si="11"/>
        <v>Ga2Se3</v>
      </c>
      <c r="F50" s="14">
        <f t="shared" ca="1" si="12"/>
        <v>-204.92000000000002</v>
      </c>
      <c r="G50" s="14">
        <f t="shared" ca="1" si="13"/>
        <v>-194.63</v>
      </c>
      <c r="H50" s="14">
        <f t="shared" ca="1" si="13"/>
        <v>-185.49</v>
      </c>
      <c r="I50" s="14">
        <f t="shared" ca="1" si="13"/>
        <v>-177.36</v>
      </c>
      <c r="J50" s="14">
        <f t="shared" ca="1" si="13"/>
        <v>-170.07</v>
      </c>
      <c r="K50" s="14">
        <f t="shared" ca="1" si="13"/>
        <v>-147.02999999999997</v>
      </c>
      <c r="L50" s="14">
        <f t="shared" ca="1" si="13"/>
        <v>-142.45000000000002</v>
      </c>
      <c r="M50" s="14">
        <f t="shared" ca="1" si="13"/>
        <v>-138.25</v>
      </c>
      <c r="N50" s="14">
        <f t="shared" ca="1" si="13"/>
        <v>-134.39999999999998</v>
      </c>
      <c r="O50" s="14">
        <f t="shared" ca="1" si="13"/>
        <v>-130.84</v>
      </c>
      <c r="P50" s="14">
        <f t="shared" ca="1" si="13"/>
        <v>-127.55</v>
      </c>
      <c r="Q50" s="14">
        <f t="shared" ca="1" si="13"/>
        <v>-124.50999999999999</v>
      </c>
      <c r="R50" s="14">
        <f t="shared" ca="1" si="13"/>
        <v>-121.66</v>
      </c>
      <c r="S50" s="14">
        <f t="shared" ca="1" si="13"/>
        <v>-118.97999999999999</v>
      </c>
      <c r="T50" s="14">
        <f t="shared" ca="1" si="13"/>
        <v>-116.47</v>
      </c>
      <c r="U50" s="14">
        <f t="shared" ca="1" si="13"/>
        <v>-114.1</v>
      </c>
      <c r="V50" s="14">
        <f t="shared" ca="1" si="13"/>
        <v>-111.88</v>
      </c>
      <c r="W50" s="14">
        <f t="shared" ca="1" si="13"/>
        <v>-109.77000000000001</v>
      </c>
      <c r="X50" s="14">
        <f t="shared" ca="1" si="13"/>
        <v>-107.83</v>
      </c>
      <c r="Y50" s="14">
        <f t="shared" ca="1" si="13"/>
        <v>-105.96000000000001</v>
      </c>
      <c r="Z50" s="14">
        <f t="shared" ca="1" si="13"/>
        <v>-104.22999999999999</v>
      </c>
      <c r="AA50" s="14">
        <f t="shared" ca="1" si="13"/>
        <v>-102.64000000000001</v>
      </c>
      <c r="AB50" s="14">
        <f t="shared" ca="1" si="13"/>
        <v>-99.04</v>
      </c>
      <c r="AC50" s="14">
        <f t="shared" ca="1" si="13"/>
        <v>-98.437999999999988</v>
      </c>
      <c r="AD50" s="14">
        <f t="shared" ca="1" si="13"/>
        <v>-98.447999999999993</v>
      </c>
      <c r="AE50" s="14">
        <f t="shared" ca="1" si="13"/>
        <v>-98.475999999999999</v>
      </c>
      <c r="AF50" s="14">
        <f t="shared" ca="1" si="13"/>
        <v>-98.550000000000011</v>
      </c>
      <c r="AG50" s="14">
        <f t="shared" ca="1" si="13"/>
        <v>-98.632000000000005</v>
      </c>
      <c r="AH50" s="14">
        <f t="shared" ca="1" si="13"/>
        <v>-98.798000000000002</v>
      </c>
      <c r="AI50" s="14">
        <f t="shared" ca="1" si="13"/>
        <v>-99.472000000000008</v>
      </c>
      <c r="AJ50" s="14">
        <f t="shared" ca="1" si="13"/>
        <v>-100.16</v>
      </c>
      <c r="AK50" s="14">
        <f t="shared" ca="1" si="13"/>
        <v>-100.84400000000001</v>
      </c>
      <c r="AL50" s="14">
        <f t="shared" ca="1" si="13"/>
        <v>-103.63399999999999</v>
      </c>
    </row>
    <row r="51" spans="1:38" ht="21" customHeight="1" outlineLevel="1" thickBot="1" x14ac:dyDescent="0.4">
      <c r="A51" s="5">
        <f t="shared" si="11"/>
        <v>0</v>
      </c>
      <c r="B51" s="5">
        <f t="shared" si="11"/>
        <v>1</v>
      </c>
      <c r="C51" s="5">
        <f t="shared" si="11"/>
        <v>0</v>
      </c>
      <c r="D51" s="5">
        <f t="shared" si="11"/>
        <v>2</v>
      </c>
      <c r="E51" s="6" t="str">
        <f t="shared" si="11"/>
        <v>Ga2Se</v>
      </c>
      <c r="F51" s="14">
        <f t="shared" ca="1" si="12"/>
        <v>-157.80000000000001</v>
      </c>
      <c r="G51" s="14">
        <f t="shared" ca="1" si="13"/>
        <v>-149.57</v>
      </c>
      <c r="H51" s="14">
        <f t="shared" ca="1" si="13"/>
        <v>-141.99</v>
      </c>
      <c r="I51" s="14">
        <f t="shared" ca="1" si="13"/>
        <v>-134.80000000000001</v>
      </c>
      <c r="J51" s="14">
        <f t="shared" ca="1" si="13"/>
        <v>-127.89</v>
      </c>
      <c r="K51" s="14">
        <f t="shared" ca="1" si="13"/>
        <v>-103.72999999999999</v>
      </c>
      <c r="L51" s="14">
        <f t="shared" ca="1" si="13"/>
        <v>-98.75</v>
      </c>
      <c r="M51" s="14">
        <f t="shared" ca="1" si="13"/>
        <v>-94.19</v>
      </c>
      <c r="N51" s="14">
        <f t="shared" ca="1" si="13"/>
        <v>-90.039999999999992</v>
      </c>
      <c r="O51" s="14">
        <f t="shared" ca="1" si="13"/>
        <v>-86.2</v>
      </c>
      <c r="P51" s="14">
        <f t="shared" ca="1" si="13"/>
        <v>-82.61</v>
      </c>
      <c r="Q51" s="14">
        <f t="shared" ca="1" si="13"/>
        <v>-79.210000000000008</v>
      </c>
      <c r="R51" s="14">
        <f t="shared" ca="1" si="13"/>
        <v>-75.94</v>
      </c>
      <c r="S51" s="14">
        <f t="shared" ca="1" si="13"/>
        <v>-72.819999999999993</v>
      </c>
      <c r="T51" s="14">
        <f t="shared" ca="1" si="13"/>
        <v>-69.849999999999994</v>
      </c>
      <c r="U51" s="14">
        <f t="shared" ca="1" si="13"/>
        <v>-67.02</v>
      </c>
      <c r="V51" s="14">
        <f t="shared" ca="1" si="13"/>
        <v>-64.319999999999993</v>
      </c>
      <c r="W51" s="14">
        <f t="shared" ca="1" si="13"/>
        <v>-61.75</v>
      </c>
      <c r="X51" s="14">
        <f t="shared" ca="1" si="13"/>
        <v>-59.33</v>
      </c>
      <c r="Y51" s="14">
        <f t="shared" ca="1" si="13"/>
        <v>-57</v>
      </c>
      <c r="Z51" s="14">
        <f t="shared" ca="1" si="13"/>
        <v>-54.81</v>
      </c>
      <c r="AA51" s="14">
        <f t="shared" ca="1" si="13"/>
        <v>-52.760000000000005</v>
      </c>
      <c r="AB51" s="14">
        <f t="shared" ca="1" si="13"/>
        <v>-47.4</v>
      </c>
      <c r="AC51" s="14">
        <f t="shared" ca="1" si="13"/>
        <v>-45.078000000000003</v>
      </c>
      <c r="AD51" s="14">
        <f t="shared" ca="1" si="13"/>
        <v>-44.647999999999996</v>
      </c>
      <c r="AE51" s="14">
        <f t="shared" ca="1" si="13"/>
        <v>-44.256</v>
      </c>
      <c r="AF51" s="14">
        <f t="shared" ca="1" si="13"/>
        <v>-43.91</v>
      </c>
      <c r="AG51" s="14">
        <f t="shared" ca="1" si="13"/>
        <v>-43.591999999999999</v>
      </c>
      <c r="AH51" s="14">
        <f t="shared" ca="1" si="13"/>
        <v>-43.338000000000001</v>
      </c>
      <c r="AI51" s="14">
        <f t="shared" ca="1" si="13"/>
        <v>-43.632000000000005</v>
      </c>
      <c r="AJ51" s="14">
        <f t="shared" ca="1" si="13"/>
        <v>-43.94</v>
      </c>
      <c r="AK51" s="14">
        <f t="shared" ca="1" si="13"/>
        <v>-44.244</v>
      </c>
      <c r="AL51" s="14">
        <f t="shared" ca="1" si="13"/>
        <v>-45.473999999999997</v>
      </c>
    </row>
    <row r="52" spans="1:38" ht="21" customHeight="1" outlineLevel="1" thickBot="1" x14ac:dyDescent="0.4">
      <c r="A52" s="5">
        <f t="shared" si="11"/>
        <v>0</v>
      </c>
      <c r="B52" s="5">
        <f t="shared" si="11"/>
        <v>0</v>
      </c>
      <c r="C52" s="5">
        <f t="shared" si="11"/>
        <v>0</v>
      </c>
      <c r="D52" s="5">
        <f t="shared" si="11"/>
        <v>1</v>
      </c>
      <c r="E52" s="6" t="str">
        <f t="shared" si="11"/>
        <v>Ga</v>
      </c>
      <c r="F52" s="14">
        <f t="shared" ca="1" si="12"/>
        <v>-67.12</v>
      </c>
      <c r="G52" s="14">
        <f t="shared" ca="1" si="13"/>
        <v>-63.52</v>
      </c>
      <c r="H52" s="14">
        <f t="shared" ca="1" si="13"/>
        <v>-60.12</v>
      </c>
      <c r="I52" s="14">
        <f t="shared" ca="1" si="13"/>
        <v>-56.76</v>
      </c>
      <c r="J52" s="14">
        <f t="shared" ca="1" si="13"/>
        <v>-53.4</v>
      </c>
      <c r="K52" s="14">
        <f t="shared" ca="1" si="13"/>
        <v>-41.04</v>
      </c>
      <c r="L52" s="14">
        <f t="shared" ca="1" si="13"/>
        <v>-38.450000000000003</v>
      </c>
      <c r="M52" s="14">
        <f t="shared" ca="1" si="13"/>
        <v>-36.08</v>
      </c>
      <c r="N52" s="14">
        <f t="shared" ca="1" si="13"/>
        <v>-33.93</v>
      </c>
      <c r="O52" s="14">
        <f t="shared" ca="1" si="13"/>
        <v>-31.94</v>
      </c>
      <c r="P52" s="14">
        <f t="shared" ca="1" si="13"/>
        <v>-30.07</v>
      </c>
      <c r="Q52" s="14">
        <f t="shared" ca="1" si="13"/>
        <v>-28.28</v>
      </c>
      <c r="R52" s="14">
        <f t="shared" ca="1" si="13"/>
        <v>-26.54</v>
      </c>
      <c r="S52" s="14">
        <f t="shared" ca="1" si="13"/>
        <v>-24.87</v>
      </c>
      <c r="T52" s="14">
        <f t="shared" ca="1" si="13"/>
        <v>-23.27</v>
      </c>
      <c r="U52" s="14">
        <f t="shared" ca="1" si="13"/>
        <v>-21.74</v>
      </c>
      <c r="V52" s="14">
        <f t="shared" ca="1" si="13"/>
        <v>-20.27</v>
      </c>
      <c r="W52" s="14">
        <f t="shared" ca="1" si="13"/>
        <v>-18.87</v>
      </c>
      <c r="X52" s="14">
        <f t="shared" ca="1" si="13"/>
        <v>-17.54</v>
      </c>
      <c r="Y52" s="14">
        <f t="shared" ca="1" si="13"/>
        <v>-16.260000000000002</v>
      </c>
      <c r="Z52" s="14">
        <f t="shared" ca="1" si="13"/>
        <v>-15.05</v>
      </c>
      <c r="AA52" s="14">
        <f t="shared" ca="1" si="13"/>
        <v>-13.91</v>
      </c>
      <c r="AB52" s="14">
        <f t="shared" ca="1" si="13"/>
        <v>-10.79</v>
      </c>
      <c r="AC52" s="14">
        <f t="shared" ca="1" si="13"/>
        <v>-9.1989999999999998</v>
      </c>
      <c r="AD52" s="14">
        <f t="shared" ca="1" si="13"/>
        <v>-8.8740000000000006</v>
      </c>
      <c r="AE52" s="14">
        <f t="shared" ca="1" si="13"/>
        <v>-8.5730000000000004</v>
      </c>
      <c r="AF52" s="14">
        <f t="shared" ca="1" si="13"/>
        <v>-8.2949999999999999</v>
      </c>
      <c r="AG52" s="14">
        <f t="shared" ca="1" si="13"/>
        <v>-8.0359999999999996</v>
      </c>
      <c r="AH52" s="14">
        <f t="shared" ca="1" si="13"/>
        <v>-7.8040000000000003</v>
      </c>
      <c r="AI52" s="14">
        <f t="shared" ca="1" si="13"/>
        <v>-7.8559999999999999</v>
      </c>
      <c r="AJ52" s="14">
        <f t="shared" ca="1" si="13"/>
        <v>-7.915</v>
      </c>
      <c r="AK52" s="14">
        <f t="shared" ca="1" si="13"/>
        <v>-7.9720000000000004</v>
      </c>
      <c r="AL52" s="14">
        <f t="shared" ca="1" si="13"/>
        <v>-8.1969999999999992</v>
      </c>
    </row>
    <row r="53" spans="1:38" ht="21" customHeight="1" outlineLevel="1" thickBot="1" x14ac:dyDescent="0.4">
      <c r="A53" s="5">
        <f t="shared" si="11"/>
        <v>1</v>
      </c>
      <c r="B53" s="5">
        <f t="shared" si="11"/>
        <v>0</v>
      </c>
      <c r="C53" s="5">
        <f t="shared" si="11"/>
        <v>0</v>
      </c>
      <c r="D53" s="5">
        <f t="shared" si="11"/>
        <v>0</v>
      </c>
      <c r="E53" s="6" t="str">
        <f t="shared" si="11"/>
        <v>Ar</v>
      </c>
      <c r="F53" s="14">
        <f t="shared" ca="1" si="12"/>
        <v>-18.66</v>
      </c>
      <c r="G53" s="14">
        <f t="shared" ca="1" si="13"/>
        <v>-18.649999999999999</v>
      </c>
      <c r="H53" s="14">
        <f t="shared" ca="1" si="13"/>
        <v>-18.649999999999999</v>
      </c>
      <c r="I53" s="14">
        <f t="shared" ca="1" si="13"/>
        <v>-18.66</v>
      </c>
      <c r="J53" s="14">
        <f t="shared" ca="1" si="13"/>
        <v>-18.670000000000002</v>
      </c>
      <c r="K53" s="14">
        <f t="shared" ca="1" si="13"/>
        <v>-18.75</v>
      </c>
      <c r="L53" s="14">
        <f t="shared" ca="1" si="13"/>
        <v>-18.78</v>
      </c>
      <c r="M53" s="14">
        <f t="shared" ca="1" si="13"/>
        <v>-18.809999999999999</v>
      </c>
      <c r="N53" s="14">
        <f t="shared" ca="1" si="13"/>
        <v>-18.829999999999998</v>
      </c>
      <c r="O53" s="14">
        <f t="shared" ca="1" si="13"/>
        <v>-18.86</v>
      </c>
      <c r="P53" s="14">
        <f t="shared" ca="1" si="13"/>
        <v>-18.899999999999999</v>
      </c>
      <c r="Q53" s="14">
        <f t="shared" ca="1" si="13"/>
        <v>-18.93</v>
      </c>
      <c r="R53" s="14">
        <f t="shared" ca="1" si="13"/>
        <v>-18.96</v>
      </c>
      <c r="S53" s="14">
        <f t="shared" ca="1" si="13"/>
        <v>-18.989999999999998</v>
      </c>
      <c r="T53" s="14">
        <f t="shared" ca="1" si="13"/>
        <v>-19.03</v>
      </c>
      <c r="U53" s="14">
        <f t="shared" ca="1" si="13"/>
        <v>-19.059999999999999</v>
      </c>
      <c r="V53" s="14">
        <f t="shared" ca="1" si="13"/>
        <v>-19.100000000000001</v>
      </c>
      <c r="W53" s="14">
        <f t="shared" ca="1" si="13"/>
        <v>-19.13</v>
      </c>
      <c r="X53" s="14">
        <f t="shared" ca="1" si="13"/>
        <v>-19.170000000000002</v>
      </c>
      <c r="Y53" s="14">
        <f t="shared" ca="1" si="13"/>
        <v>-19.2</v>
      </c>
      <c r="Z53" s="14">
        <f t="shared" ca="1" si="13"/>
        <v>-19.23</v>
      </c>
      <c r="AA53" s="14">
        <f t="shared" ca="1" si="13"/>
        <v>-19.27</v>
      </c>
      <c r="AB53" s="14">
        <f t="shared" ca="1" si="13"/>
        <v>-19.38</v>
      </c>
      <c r="AC53" s="14">
        <f t="shared" ca="1" si="13"/>
        <v>-19.510000000000002</v>
      </c>
      <c r="AD53" s="14">
        <f t="shared" ca="1" si="13"/>
        <v>-19.55</v>
      </c>
      <c r="AE53" s="14">
        <f t="shared" ca="1" si="13"/>
        <v>-19.579999999999998</v>
      </c>
      <c r="AF53" s="14">
        <f t="shared" ca="1" si="13"/>
        <v>-19.61</v>
      </c>
      <c r="AG53" s="14">
        <f t="shared" ca="1" si="13"/>
        <v>-19.64</v>
      </c>
      <c r="AH53" s="14">
        <f t="shared" ca="1" si="13"/>
        <v>-19.670000000000002</v>
      </c>
      <c r="AI53" s="14">
        <f t="shared" ca="1" si="13"/>
        <v>-19.7</v>
      </c>
      <c r="AJ53" s="14">
        <f t="shared" ca="1" si="13"/>
        <v>-19.73</v>
      </c>
      <c r="AK53" s="14">
        <f t="shared" ca="1" si="13"/>
        <v>-19.760000000000002</v>
      </c>
      <c r="AL53" s="14">
        <f t="shared" ca="1" si="13"/>
        <v>-19.88</v>
      </c>
    </row>
    <row r="54" spans="1:38" ht="21" customHeight="1" outlineLevel="1" thickBot="1" x14ac:dyDescent="0.4">
      <c r="A54" s="5">
        <f t="shared" si="11"/>
        <v>0</v>
      </c>
      <c r="B54" s="5">
        <f t="shared" si="11"/>
        <v>2</v>
      </c>
      <c r="C54" s="5">
        <f t="shared" si="11"/>
        <v>1</v>
      </c>
      <c r="D54" s="5">
        <f t="shared" si="11"/>
        <v>0</v>
      </c>
      <c r="E54" s="6" t="str">
        <f t="shared" si="11"/>
        <v>(1)GeSe2</v>
      </c>
      <c r="F54" s="14">
        <f t="shared" ca="1" si="12"/>
        <v>-64.099999999999994</v>
      </c>
      <c r="G54" s="14">
        <f t="shared" ca="1" si="13"/>
        <v>-61.3</v>
      </c>
      <c r="H54" s="14">
        <f t="shared" ca="1" si="13"/>
        <v>-58.92</v>
      </c>
      <c r="I54" s="14">
        <f t="shared" ca="1" si="13"/>
        <v>-57.02</v>
      </c>
      <c r="J54" s="14">
        <f t="shared" ca="1" si="13"/>
        <v>-55.54</v>
      </c>
      <c r="K54" s="14">
        <f t="shared" ca="1" si="13"/>
        <v>-52.265999999999998</v>
      </c>
      <c r="L54" s="14">
        <f t="shared" ca="1" si="13"/>
        <v>-51.777000000000001</v>
      </c>
      <c r="M54" s="14">
        <f t="shared" ca="1" si="13"/>
        <v>-51.394000000000005</v>
      </c>
      <c r="N54" s="14">
        <f t="shared" ca="1" si="13"/>
        <v>-51.119</v>
      </c>
      <c r="O54" s="14">
        <f t="shared" ca="1" si="13"/>
        <v>-50.99</v>
      </c>
      <c r="P54" s="14">
        <f t="shared" ca="1" si="13"/>
        <v>-51.027000000000001</v>
      </c>
      <c r="Q54" s="14">
        <f t="shared" ca="1" si="13"/>
        <v>-51.238</v>
      </c>
      <c r="R54" s="14">
        <f t="shared" ca="1" si="13"/>
        <v>-51.589999999999996</v>
      </c>
      <c r="S54" s="14">
        <f t="shared" ca="1" si="13"/>
        <v>-52.012</v>
      </c>
      <c r="T54" s="14">
        <f t="shared" ca="1" si="13"/>
        <v>-52.480999999999995</v>
      </c>
      <c r="U54" s="14">
        <f t="shared" ref="G54:AL62" ca="1" si="14">$A54*H.Ar + $B54*H.Se + $C54*H.Ge + $D54*H.Ga</f>
        <v>-52.966000000000001</v>
      </c>
      <c r="V54" s="14">
        <f t="shared" ca="1" si="14"/>
        <v>-53.478000000000002</v>
      </c>
      <c r="W54" s="14">
        <f t="shared" ca="1" si="14"/>
        <v>-53.975000000000001</v>
      </c>
      <c r="X54" s="14">
        <f t="shared" ca="1" si="14"/>
        <v>-54.493000000000002</v>
      </c>
      <c r="Y54" s="14">
        <f t="shared" ca="1" si="14"/>
        <v>-54.993000000000002</v>
      </c>
      <c r="Z54" s="14">
        <f t="shared" ca="1" si="14"/>
        <v>-55.494</v>
      </c>
      <c r="AA54" s="14">
        <f t="shared" ca="1" si="14"/>
        <v>-55.998000000000005</v>
      </c>
      <c r="AB54" s="14">
        <f t="shared" ca="1" si="14"/>
        <v>-57.972000000000001</v>
      </c>
      <c r="AC54" s="14">
        <f t="shared" ca="1" si="14"/>
        <v>-59.868000000000002</v>
      </c>
      <c r="AD54" s="14">
        <f t="shared" ca="1" si="14"/>
        <v>-60.350999999999999</v>
      </c>
      <c r="AE54" s="14">
        <f t="shared" ca="1" si="14"/>
        <v>-60.814</v>
      </c>
      <c r="AF54" s="14">
        <f t="shared" ca="1" si="14"/>
        <v>-61.276000000000003</v>
      </c>
      <c r="AG54" s="14">
        <f t="shared" ca="1" si="14"/>
        <v>-61.717999999999996</v>
      </c>
      <c r="AH54" s="14">
        <f t="shared" ca="1" si="14"/>
        <v>-62.179000000000002</v>
      </c>
      <c r="AI54" s="14">
        <f t="shared" ca="1" si="14"/>
        <v>-62.591000000000001</v>
      </c>
      <c r="AJ54" s="14">
        <f t="shared" ca="1" si="14"/>
        <v>-63.003999999999998</v>
      </c>
      <c r="AK54" s="14">
        <f t="shared" ca="1" si="14"/>
        <v>-63.417000000000002</v>
      </c>
      <c r="AL54" s="14">
        <f t="shared" ca="1" si="14"/>
        <v>-65.11399999999999</v>
      </c>
    </row>
    <row r="55" spans="1:38" ht="21" customHeight="1" outlineLevel="1" thickBot="1" x14ac:dyDescent="0.4">
      <c r="A55" s="5">
        <f t="shared" si="11"/>
        <v>0</v>
      </c>
      <c r="B55" s="5">
        <f t="shared" si="11"/>
        <v>1</v>
      </c>
      <c r="C55" s="5">
        <f t="shared" si="11"/>
        <v>1</v>
      </c>
      <c r="D55" s="5">
        <f t="shared" si="11"/>
        <v>0</v>
      </c>
      <c r="E55" s="6" t="str">
        <f t="shared" si="11"/>
        <v>(1)GeSe</v>
      </c>
      <c r="F55" s="14">
        <f t="shared" ca="1" si="12"/>
        <v>-40.54</v>
      </c>
      <c r="G55" s="14">
        <f t="shared" ca="1" si="14"/>
        <v>-38.769999999999996</v>
      </c>
      <c r="H55" s="14">
        <f t="shared" ca="1" si="14"/>
        <v>-37.17</v>
      </c>
      <c r="I55" s="14">
        <f t="shared" ca="1" si="14"/>
        <v>-35.74</v>
      </c>
      <c r="J55" s="14">
        <f t="shared" ca="1" si="14"/>
        <v>-34.450000000000003</v>
      </c>
      <c r="K55" s="14">
        <f t="shared" ca="1" si="14"/>
        <v>-30.616</v>
      </c>
      <c r="L55" s="14">
        <f t="shared" ca="1" si="14"/>
        <v>-29.927</v>
      </c>
      <c r="M55" s="14">
        <f t="shared" ca="1" si="14"/>
        <v>-29.364000000000001</v>
      </c>
      <c r="N55" s="14">
        <f t="shared" ca="1" si="14"/>
        <v>-28.939</v>
      </c>
      <c r="O55" s="14">
        <f t="shared" ca="1" si="14"/>
        <v>-28.67</v>
      </c>
      <c r="P55" s="14">
        <f t="shared" ca="1" si="14"/>
        <v>-28.556999999999999</v>
      </c>
      <c r="Q55" s="14">
        <f t="shared" ca="1" si="14"/>
        <v>-28.587999999999997</v>
      </c>
      <c r="R55" s="14">
        <f t="shared" ca="1" si="14"/>
        <v>-28.73</v>
      </c>
      <c r="S55" s="14">
        <f t="shared" ca="1" si="14"/>
        <v>-28.931999999999999</v>
      </c>
      <c r="T55" s="14">
        <f t="shared" ca="1" si="14"/>
        <v>-29.170999999999999</v>
      </c>
      <c r="U55" s="14">
        <f t="shared" ca="1" si="14"/>
        <v>-29.425999999999998</v>
      </c>
      <c r="V55" s="14">
        <f t="shared" ca="1" si="14"/>
        <v>-29.698</v>
      </c>
      <c r="W55" s="14">
        <f t="shared" ca="1" si="14"/>
        <v>-29.965000000000003</v>
      </c>
      <c r="X55" s="14">
        <f t="shared" ca="1" si="14"/>
        <v>-30.243000000000002</v>
      </c>
      <c r="Y55" s="14">
        <f t="shared" ca="1" si="14"/>
        <v>-30.513000000000002</v>
      </c>
      <c r="Z55" s="14">
        <f t="shared" ca="1" si="14"/>
        <v>-30.783999999999999</v>
      </c>
      <c r="AA55" s="14">
        <f t="shared" ca="1" si="14"/>
        <v>-31.058</v>
      </c>
      <c r="AB55" s="14">
        <f t="shared" ca="1" si="14"/>
        <v>-32.152000000000001</v>
      </c>
      <c r="AC55" s="14">
        <f t="shared" ca="1" si="14"/>
        <v>-33.188000000000002</v>
      </c>
      <c r="AD55" s="14">
        <f t="shared" ca="1" si="14"/>
        <v>-33.451000000000001</v>
      </c>
      <c r="AE55" s="14">
        <f t="shared" ca="1" si="14"/>
        <v>-33.704000000000001</v>
      </c>
      <c r="AF55" s="14">
        <f t="shared" ca="1" si="14"/>
        <v>-33.956000000000003</v>
      </c>
      <c r="AG55" s="14">
        <f t="shared" ca="1" si="14"/>
        <v>-34.198</v>
      </c>
      <c r="AH55" s="14">
        <f t="shared" ca="1" si="14"/>
        <v>-34.448999999999998</v>
      </c>
      <c r="AI55" s="14">
        <f t="shared" ca="1" si="14"/>
        <v>-34.670999999999999</v>
      </c>
      <c r="AJ55" s="14">
        <f t="shared" ca="1" si="14"/>
        <v>-34.893999999999998</v>
      </c>
      <c r="AK55" s="14">
        <f t="shared" ca="1" si="14"/>
        <v>-35.117000000000004</v>
      </c>
      <c r="AL55" s="14">
        <f t="shared" ca="1" si="14"/>
        <v>-36.033999999999999</v>
      </c>
    </row>
    <row r="56" spans="1:38" ht="21" customHeight="1" outlineLevel="1" thickBot="1" x14ac:dyDescent="0.4">
      <c r="A56" s="5">
        <f t="shared" ref="A56:E65" si="15">A14</f>
        <v>0</v>
      </c>
      <c r="B56" s="5">
        <f t="shared" si="15"/>
        <v>3</v>
      </c>
      <c r="C56" s="5">
        <f t="shared" si="15"/>
        <v>0</v>
      </c>
      <c r="D56" s="5">
        <f t="shared" si="15"/>
        <v>2</v>
      </c>
      <c r="E56" s="6" t="str">
        <f t="shared" si="15"/>
        <v>(1)Ga2Se3</v>
      </c>
      <c r="F56" s="14">
        <f t="shared" ref="F56:U65" ca="1" si="16">$A56*H.Ar + $B56*H.Se + $C56*H.Ge + $D56*H.Ga</f>
        <v>-204.92000000000002</v>
      </c>
      <c r="G56" s="14">
        <f t="shared" ca="1" si="16"/>
        <v>-194.63</v>
      </c>
      <c r="H56" s="14">
        <f t="shared" ca="1" si="16"/>
        <v>-185.49</v>
      </c>
      <c r="I56" s="14">
        <f t="shared" ca="1" si="16"/>
        <v>-177.36</v>
      </c>
      <c r="J56" s="14">
        <f t="shared" ca="1" si="16"/>
        <v>-170.07</v>
      </c>
      <c r="K56" s="14">
        <f t="shared" ca="1" si="16"/>
        <v>-147.02999999999997</v>
      </c>
      <c r="L56" s="14">
        <f t="shared" ca="1" si="16"/>
        <v>-142.45000000000002</v>
      </c>
      <c r="M56" s="14">
        <f t="shared" ca="1" si="16"/>
        <v>-138.25</v>
      </c>
      <c r="N56" s="14">
        <f t="shared" ca="1" si="16"/>
        <v>-134.39999999999998</v>
      </c>
      <c r="O56" s="14">
        <f t="shared" ca="1" si="16"/>
        <v>-130.84</v>
      </c>
      <c r="P56" s="14">
        <f t="shared" ca="1" si="16"/>
        <v>-127.55</v>
      </c>
      <c r="Q56" s="14">
        <f t="shared" ca="1" si="16"/>
        <v>-124.50999999999999</v>
      </c>
      <c r="R56" s="14">
        <f t="shared" ca="1" si="16"/>
        <v>-121.66</v>
      </c>
      <c r="S56" s="14">
        <f t="shared" ca="1" si="16"/>
        <v>-118.97999999999999</v>
      </c>
      <c r="T56" s="14">
        <f t="shared" ca="1" si="16"/>
        <v>-116.47</v>
      </c>
      <c r="U56" s="14">
        <f t="shared" ca="1" si="16"/>
        <v>-114.1</v>
      </c>
      <c r="V56" s="14">
        <f t="shared" ca="1" si="14"/>
        <v>-111.88</v>
      </c>
      <c r="W56" s="14">
        <f t="shared" ca="1" si="14"/>
        <v>-109.77000000000001</v>
      </c>
      <c r="X56" s="14">
        <f t="shared" ca="1" si="14"/>
        <v>-107.83</v>
      </c>
      <c r="Y56" s="14">
        <f t="shared" ca="1" si="14"/>
        <v>-105.96000000000001</v>
      </c>
      <c r="Z56" s="14">
        <f t="shared" ca="1" si="14"/>
        <v>-104.22999999999999</v>
      </c>
      <c r="AA56" s="14">
        <f t="shared" ca="1" si="14"/>
        <v>-102.64000000000001</v>
      </c>
      <c r="AB56" s="14">
        <f t="shared" ca="1" si="14"/>
        <v>-99.04</v>
      </c>
      <c r="AC56" s="14">
        <f t="shared" ca="1" si="14"/>
        <v>-98.437999999999988</v>
      </c>
      <c r="AD56" s="14">
        <f t="shared" ca="1" si="14"/>
        <v>-98.447999999999993</v>
      </c>
      <c r="AE56" s="14">
        <f t="shared" ca="1" si="14"/>
        <v>-98.475999999999999</v>
      </c>
      <c r="AF56" s="14">
        <f t="shared" ca="1" si="14"/>
        <v>-98.550000000000011</v>
      </c>
      <c r="AG56" s="14">
        <f t="shared" ca="1" si="14"/>
        <v>-98.632000000000005</v>
      </c>
      <c r="AH56" s="14">
        <f t="shared" ca="1" si="14"/>
        <v>-98.798000000000002</v>
      </c>
      <c r="AI56" s="14">
        <f t="shared" ca="1" si="14"/>
        <v>-99.472000000000008</v>
      </c>
      <c r="AJ56" s="14">
        <f t="shared" ca="1" si="14"/>
        <v>-100.16</v>
      </c>
      <c r="AK56" s="14">
        <f t="shared" ca="1" si="14"/>
        <v>-100.84400000000001</v>
      </c>
      <c r="AL56" s="14">
        <f t="shared" ca="1" si="14"/>
        <v>-103.63399999999999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1</v>
      </c>
      <c r="C57" s="5">
        <f t="shared" si="15"/>
        <v>0</v>
      </c>
      <c r="D57" s="5">
        <f t="shared" si="15"/>
        <v>2</v>
      </c>
      <c r="E57" s="6" t="str">
        <f t="shared" si="15"/>
        <v>(1)Ga2Se</v>
      </c>
      <c r="F57" s="14">
        <f t="shared" ca="1" si="16"/>
        <v>-157.80000000000001</v>
      </c>
      <c r="G57" s="14">
        <f t="shared" ca="1" si="14"/>
        <v>-149.57</v>
      </c>
      <c r="H57" s="14">
        <f t="shared" ca="1" si="14"/>
        <v>-141.99</v>
      </c>
      <c r="I57" s="14">
        <f t="shared" ca="1" si="14"/>
        <v>-134.80000000000001</v>
      </c>
      <c r="J57" s="14">
        <f t="shared" ca="1" si="14"/>
        <v>-127.89</v>
      </c>
      <c r="K57" s="14">
        <f t="shared" ca="1" si="14"/>
        <v>-103.72999999999999</v>
      </c>
      <c r="L57" s="14">
        <f t="shared" ca="1" si="14"/>
        <v>-98.75</v>
      </c>
      <c r="M57" s="14">
        <f t="shared" ca="1" si="14"/>
        <v>-94.19</v>
      </c>
      <c r="N57" s="14">
        <f t="shared" ca="1" si="14"/>
        <v>-90.039999999999992</v>
      </c>
      <c r="O57" s="14">
        <f t="shared" ca="1" si="14"/>
        <v>-86.2</v>
      </c>
      <c r="P57" s="14">
        <f t="shared" ca="1" si="14"/>
        <v>-82.61</v>
      </c>
      <c r="Q57" s="14">
        <f t="shared" ca="1" si="14"/>
        <v>-79.210000000000008</v>
      </c>
      <c r="R57" s="14">
        <f t="shared" ca="1" si="14"/>
        <v>-75.94</v>
      </c>
      <c r="S57" s="14">
        <f t="shared" ca="1" si="14"/>
        <v>-72.819999999999993</v>
      </c>
      <c r="T57" s="14">
        <f t="shared" ca="1" si="14"/>
        <v>-69.849999999999994</v>
      </c>
      <c r="U57" s="14">
        <f t="shared" ca="1" si="14"/>
        <v>-67.02</v>
      </c>
      <c r="V57" s="14">
        <f t="shared" ca="1" si="14"/>
        <v>-64.319999999999993</v>
      </c>
      <c r="W57" s="14">
        <f t="shared" ca="1" si="14"/>
        <v>-61.75</v>
      </c>
      <c r="X57" s="14">
        <f t="shared" ca="1" si="14"/>
        <v>-59.33</v>
      </c>
      <c r="Y57" s="14">
        <f t="shared" ca="1" si="14"/>
        <v>-57</v>
      </c>
      <c r="Z57" s="14">
        <f t="shared" ca="1" si="14"/>
        <v>-54.81</v>
      </c>
      <c r="AA57" s="14">
        <f t="shared" ca="1" si="14"/>
        <v>-52.760000000000005</v>
      </c>
      <c r="AB57" s="14">
        <f t="shared" ca="1" si="14"/>
        <v>-47.4</v>
      </c>
      <c r="AC57" s="14">
        <f t="shared" ca="1" si="14"/>
        <v>-45.078000000000003</v>
      </c>
      <c r="AD57" s="14">
        <f t="shared" ca="1" si="14"/>
        <v>-44.647999999999996</v>
      </c>
      <c r="AE57" s="14">
        <f t="shared" ca="1" si="14"/>
        <v>-44.256</v>
      </c>
      <c r="AF57" s="14">
        <f t="shared" ca="1" si="14"/>
        <v>-43.91</v>
      </c>
      <c r="AG57" s="14">
        <f t="shared" ca="1" si="14"/>
        <v>-43.591999999999999</v>
      </c>
      <c r="AH57" s="14">
        <f t="shared" ca="1" si="14"/>
        <v>-43.338000000000001</v>
      </c>
      <c r="AI57" s="14">
        <f t="shared" ca="1" si="14"/>
        <v>-43.632000000000005</v>
      </c>
      <c r="AJ57" s="14">
        <f t="shared" ca="1" si="14"/>
        <v>-43.94</v>
      </c>
      <c r="AK57" s="14">
        <f t="shared" ca="1" si="14"/>
        <v>-44.244</v>
      </c>
      <c r="AL57" s="14">
        <f t="shared" ca="1" si="14"/>
        <v>-45.473999999999997</v>
      </c>
    </row>
    <row r="58" spans="1:38" ht="2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(1)Ge</v>
      </c>
      <c r="F58" s="14">
        <f t="shared" ca="1" si="16"/>
        <v>-16.98</v>
      </c>
      <c r="G58" s="14">
        <f t="shared" ca="1" si="14"/>
        <v>-16.239999999999998</v>
      </c>
      <c r="H58" s="14">
        <f t="shared" ca="1" si="14"/>
        <v>-15.42</v>
      </c>
      <c r="I58" s="14">
        <f t="shared" ca="1" si="14"/>
        <v>-14.46</v>
      </c>
      <c r="J58" s="14">
        <f t="shared" ca="1" si="14"/>
        <v>-13.36</v>
      </c>
      <c r="K58" s="14">
        <f t="shared" ca="1" si="14"/>
        <v>-8.9659999999999993</v>
      </c>
      <c r="L58" s="14">
        <f t="shared" ca="1" si="14"/>
        <v>-8.077</v>
      </c>
      <c r="M58" s="14">
        <f t="shared" ca="1" si="14"/>
        <v>-7.3339999999999996</v>
      </c>
      <c r="N58" s="14">
        <f t="shared" ca="1" si="14"/>
        <v>-6.7590000000000003</v>
      </c>
      <c r="O58" s="14">
        <f t="shared" ca="1" si="14"/>
        <v>-6.35</v>
      </c>
      <c r="P58" s="14">
        <f t="shared" ca="1" si="14"/>
        <v>-6.0869999999999997</v>
      </c>
      <c r="Q58" s="14">
        <f t="shared" ca="1" si="14"/>
        <v>-5.9379999999999997</v>
      </c>
      <c r="R58" s="14">
        <f t="shared" ca="1" si="14"/>
        <v>-5.87</v>
      </c>
      <c r="S58" s="14">
        <f t="shared" ca="1" si="14"/>
        <v>-5.8520000000000003</v>
      </c>
      <c r="T58" s="14">
        <f t="shared" ca="1" si="14"/>
        <v>-5.8609999999999998</v>
      </c>
      <c r="U58" s="14">
        <f t="shared" ca="1" si="14"/>
        <v>-5.8860000000000001</v>
      </c>
      <c r="V58" s="14">
        <f t="shared" ca="1" si="14"/>
        <v>-5.9180000000000001</v>
      </c>
      <c r="W58" s="14">
        <f t="shared" ca="1" si="14"/>
        <v>-5.9550000000000001</v>
      </c>
      <c r="X58" s="14">
        <f t="shared" ca="1" si="14"/>
        <v>-5.9930000000000003</v>
      </c>
      <c r="Y58" s="14">
        <f t="shared" ca="1" si="14"/>
        <v>-6.0330000000000004</v>
      </c>
      <c r="Z58" s="14">
        <f t="shared" ca="1" si="14"/>
        <v>-6.0739999999999998</v>
      </c>
      <c r="AA58" s="14">
        <f t="shared" ca="1" si="14"/>
        <v>-6.1180000000000003</v>
      </c>
      <c r="AB58" s="14">
        <f t="shared" ca="1" si="14"/>
        <v>-6.3319999999999999</v>
      </c>
      <c r="AC58" s="14">
        <f t="shared" ca="1" si="14"/>
        <v>-6.508</v>
      </c>
      <c r="AD58" s="14">
        <f t="shared" ca="1" si="14"/>
        <v>-6.5510000000000002</v>
      </c>
      <c r="AE58" s="14">
        <f t="shared" ca="1" si="14"/>
        <v>-6.5940000000000003</v>
      </c>
      <c r="AF58" s="14">
        <f t="shared" ca="1" si="14"/>
        <v>-6.6360000000000001</v>
      </c>
      <c r="AG58" s="14">
        <f t="shared" ca="1" si="14"/>
        <v>-6.6779999999999999</v>
      </c>
      <c r="AH58" s="14">
        <f t="shared" ca="1" si="14"/>
        <v>-6.7190000000000003</v>
      </c>
      <c r="AI58" s="14">
        <f t="shared" ca="1" si="14"/>
        <v>-6.7510000000000003</v>
      </c>
      <c r="AJ58" s="14">
        <f t="shared" ca="1" si="14"/>
        <v>-6.7839999999999998</v>
      </c>
      <c r="AK58" s="14">
        <f t="shared" ca="1" si="14"/>
        <v>-6.8170000000000002</v>
      </c>
      <c r="AL58" s="14">
        <f t="shared" ca="1" si="14"/>
        <v>-6.9539999999999997</v>
      </c>
    </row>
    <row r="59" spans="1:38" ht="21" customHeight="1" outlineLevel="1" thickBot="1" x14ac:dyDescent="0.4">
      <c r="A59" s="5">
        <f t="shared" si="15"/>
        <v>0</v>
      </c>
      <c r="B59" s="5">
        <f t="shared" si="15"/>
        <v>0</v>
      </c>
      <c r="C59" s="5">
        <f t="shared" si="15"/>
        <v>0</v>
      </c>
      <c r="D59" s="5">
        <f t="shared" si="15"/>
        <v>1</v>
      </c>
      <c r="E59" s="6" t="str">
        <f t="shared" si="15"/>
        <v>(1)Ga</v>
      </c>
      <c r="F59" s="14">
        <f t="shared" ca="1" si="16"/>
        <v>-67.12</v>
      </c>
      <c r="G59" s="14">
        <f t="shared" ca="1" si="14"/>
        <v>-63.52</v>
      </c>
      <c r="H59" s="14">
        <f t="shared" ca="1" si="14"/>
        <v>-60.12</v>
      </c>
      <c r="I59" s="14">
        <f t="shared" ca="1" si="14"/>
        <v>-56.76</v>
      </c>
      <c r="J59" s="14">
        <f t="shared" ca="1" si="14"/>
        <v>-53.4</v>
      </c>
      <c r="K59" s="14">
        <f t="shared" ca="1" si="14"/>
        <v>-41.04</v>
      </c>
      <c r="L59" s="14">
        <f t="shared" ca="1" si="14"/>
        <v>-38.450000000000003</v>
      </c>
      <c r="M59" s="14">
        <f t="shared" ca="1" si="14"/>
        <v>-36.08</v>
      </c>
      <c r="N59" s="14">
        <f t="shared" ca="1" si="14"/>
        <v>-33.93</v>
      </c>
      <c r="O59" s="14">
        <f t="shared" ca="1" si="14"/>
        <v>-31.94</v>
      </c>
      <c r="P59" s="14">
        <f t="shared" ca="1" si="14"/>
        <v>-30.07</v>
      </c>
      <c r="Q59" s="14">
        <f t="shared" ca="1" si="14"/>
        <v>-28.28</v>
      </c>
      <c r="R59" s="14">
        <f t="shared" ca="1" si="14"/>
        <v>-26.54</v>
      </c>
      <c r="S59" s="14">
        <f t="shared" ca="1" si="14"/>
        <v>-24.87</v>
      </c>
      <c r="T59" s="14">
        <f t="shared" ca="1" si="14"/>
        <v>-23.27</v>
      </c>
      <c r="U59" s="14">
        <f t="shared" ca="1" si="14"/>
        <v>-21.74</v>
      </c>
      <c r="V59" s="14">
        <f t="shared" ca="1" si="14"/>
        <v>-20.27</v>
      </c>
      <c r="W59" s="14">
        <f t="shared" ca="1" si="14"/>
        <v>-18.87</v>
      </c>
      <c r="X59" s="14">
        <f t="shared" ca="1" si="14"/>
        <v>-17.54</v>
      </c>
      <c r="Y59" s="14">
        <f t="shared" ca="1" si="14"/>
        <v>-16.260000000000002</v>
      </c>
      <c r="Z59" s="14">
        <f t="shared" ca="1" si="14"/>
        <v>-15.05</v>
      </c>
      <c r="AA59" s="14">
        <f t="shared" ca="1" si="14"/>
        <v>-13.91</v>
      </c>
      <c r="AB59" s="14">
        <f t="shared" ca="1" si="14"/>
        <v>-10.79</v>
      </c>
      <c r="AC59" s="14">
        <f t="shared" ca="1" si="14"/>
        <v>-9.1989999999999998</v>
      </c>
      <c r="AD59" s="14">
        <f t="shared" ca="1" si="14"/>
        <v>-8.8740000000000006</v>
      </c>
      <c r="AE59" s="14">
        <f t="shared" ca="1" si="14"/>
        <v>-8.5730000000000004</v>
      </c>
      <c r="AF59" s="14">
        <f t="shared" ca="1" si="14"/>
        <v>-8.2949999999999999</v>
      </c>
      <c r="AG59" s="14">
        <f t="shared" ca="1" si="14"/>
        <v>-8.0359999999999996</v>
      </c>
      <c r="AH59" s="14">
        <f t="shared" ca="1" si="14"/>
        <v>-7.8040000000000003</v>
      </c>
      <c r="AI59" s="14">
        <f t="shared" ca="1" si="14"/>
        <v>-7.8559999999999999</v>
      </c>
      <c r="AJ59" s="14">
        <f t="shared" ca="1" si="14"/>
        <v>-7.915</v>
      </c>
      <c r="AK59" s="14">
        <f t="shared" ca="1" si="14"/>
        <v>-7.9720000000000004</v>
      </c>
      <c r="AL59" s="14">
        <f t="shared" ca="1" si="14"/>
        <v>-8.1969999999999992</v>
      </c>
    </row>
    <row r="60" spans="1:38" ht="21" customHeight="1" outlineLevel="1" thickBot="1" x14ac:dyDescent="0.4">
      <c r="A60" s="5">
        <f t="shared" si="15"/>
        <v>0</v>
      </c>
      <c r="B60" s="5">
        <f t="shared" si="15"/>
        <v>1</v>
      </c>
      <c r="C60" s="5">
        <f t="shared" si="15"/>
        <v>0</v>
      </c>
      <c r="D60" s="5">
        <f t="shared" si="15"/>
        <v>0</v>
      </c>
      <c r="E60" s="6" t="str">
        <f t="shared" si="15"/>
        <v>(1)Se</v>
      </c>
      <c r="F60" s="14">
        <f t="shared" ca="1" si="16"/>
        <v>-23.56</v>
      </c>
      <c r="G60" s="14">
        <f t="shared" ca="1" si="14"/>
        <v>-22.53</v>
      </c>
      <c r="H60" s="14">
        <f t="shared" ca="1" si="14"/>
        <v>-21.75</v>
      </c>
      <c r="I60" s="14">
        <f t="shared" ca="1" si="14"/>
        <v>-21.28</v>
      </c>
      <c r="J60" s="14">
        <f t="shared" ca="1" si="14"/>
        <v>-21.09</v>
      </c>
      <c r="K60" s="14">
        <f t="shared" ca="1" si="14"/>
        <v>-21.65</v>
      </c>
      <c r="L60" s="14">
        <f t="shared" ca="1" si="14"/>
        <v>-21.85</v>
      </c>
      <c r="M60" s="14">
        <f t="shared" ca="1" si="14"/>
        <v>-22.03</v>
      </c>
      <c r="N60" s="14">
        <f t="shared" ca="1" si="14"/>
        <v>-22.18</v>
      </c>
      <c r="O60" s="14">
        <f t="shared" ca="1" si="14"/>
        <v>-22.32</v>
      </c>
      <c r="P60" s="14">
        <f t="shared" ca="1" si="14"/>
        <v>-22.47</v>
      </c>
      <c r="Q60" s="14">
        <f t="shared" ca="1" si="14"/>
        <v>-22.65</v>
      </c>
      <c r="R60" s="14">
        <f t="shared" ca="1" si="14"/>
        <v>-22.86</v>
      </c>
      <c r="S60" s="14">
        <f t="shared" ca="1" si="14"/>
        <v>-23.08</v>
      </c>
      <c r="T60" s="14">
        <f t="shared" ca="1" si="14"/>
        <v>-23.31</v>
      </c>
      <c r="U60" s="14">
        <f t="shared" ca="1" si="14"/>
        <v>-23.54</v>
      </c>
      <c r="V60" s="14">
        <f t="shared" ca="1" si="14"/>
        <v>-23.78</v>
      </c>
      <c r="W60" s="14">
        <f t="shared" ca="1" si="14"/>
        <v>-24.01</v>
      </c>
      <c r="X60" s="14">
        <f t="shared" ca="1" si="14"/>
        <v>-24.25</v>
      </c>
      <c r="Y60" s="14">
        <f t="shared" ca="1" si="14"/>
        <v>-24.48</v>
      </c>
      <c r="Z60" s="14">
        <f t="shared" ca="1" si="14"/>
        <v>-24.71</v>
      </c>
      <c r="AA60" s="14">
        <f t="shared" ca="1" si="14"/>
        <v>-24.94</v>
      </c>
      <c r="AB60" s="14">
        <f t="shared" ca="1" si="14"/>
        <v>-25.82</v>
      </c>
      <c r="AC60" s="14">
        <f t="shared" ca="1" si="14"/>
        <v>-26.68</v>
      </c>
      <c r="AD60" s="14">
        <f t="shared" ca="1" si="14"/>
        <v>-26.9</v>
      </c>
      <c r="AE60" s="14">
        <f t="shared" ca="1" si="14"/>
        <v>-27.11</v>
      </c>
      <c r="AF60" s="14">
        <f t="shared" ca="1" si="14"/>
        <v>-27.32</v>
      </c>
      <c r="AG60" s="14">
        <f t="shared" ca="1" si="14"/>
        <v>-27.52</v>
      </c>
      <c r="AH60" s="14">
        <f t="shared" ca="1" si="14"/>
        <v>-27.73</v>
      </c>
      <c r="AI60" s="14">
        <f t="shared" ca="1" si="14"/>
        <v>-27.92</v>
      </c>
      <c r="AJ60" s="14">
        <f t="shared" ca="1" si="14"/>
        <v>-28.11</v>
      </c>
      <c r="AK60" s="14">
        <f t="shared" ca="1" si="14"/>
        <v>-28.3</v>
      </c>
      <c r="AL60" s="14">
        <f t="shared" ca="1" si="14"/>
        <v>-29.08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1</v>
      </c>
      <c r="C61" s="5">
        <f t="shared" si="15"/>
        <v>0</v>
      </c>
      <c r="D61" s="5">
        <f t="shared" si="15"/>
        <v>0</v>
      </c>
      <c r="E61" s="6" t="str">
        <f t="shared" si="15"/>
        <v>(1)Se[a]</v>
      </c>
      <c r="F61" s="14">
        <f t="shared" ca="1" si="16"/>
        <v>-23.56</v>
      </c>
      <c r="G61" s="14">
        <f t="shared" ca="1" si="14"/>
        <v>-22.53</v>
      </c>
      <c r="H61" s="14">
        <f t="shared" ca="1" si="14"/>
        <v>-21.75</v>
      </c>
      <c r="I61" s="14">
        <f t="shared" ca="1" si="14"/>
        <v>-21.28</v>
      </c>
      <c r="J61" s="14">
        <f t="shared" ca="1" si="14"/>
        <v>-21.09</v>
      </c>
      <c r="K61" s="14">
        <f t="shared" ca="1" si="14"/>
        <v>-21.65</v>
      </c>
      <c r="L61" s="14">
        <f t="shared" ca="1" si="14"/>
        <v>-21.85</v>
      </c>
      <c r="M61" s="14">
        <f t="shared" ca="1" si="14"/>
        <v>-22.03</v>
      </c>
      <c r="N61" s="14">
        <f t="shared" ca="1" si="14"/>
        <v>-22.18</v>
      </c>
      <c r="O61" s="14">
        <f t="shared" ca="1" si="14"/>
        <v>-22.32</v>
      </c>
      <c r="P61" s="14">
        <f t="shared" ca="1" si="14"/>
        <v>-22.47</v>
      </c>
      <c r="Q61" s="14">
        <f t="shared" ca="1" si="14"/>
        <v>-22.65</v>
      </c>
      <c r="R61" s="14">
        <f t="shared" ca="1" si="14"/>
        <v>-22.86</v>
      </c>
      <c r="S61" s="14">
        <f t="shared" ca="1" si="14"/>
        <v>-23.08</v>
      </c>
      <c r="T61" s="14">
        <f t="shared" ca="1" si="14"/>
        <v>-23.31</v>
      </c>
      <c r="U61" s="14">
        <f t="shared" ca="1" si="14"/>
        <v>-23.54</v>
      </c>
      <c r="V61" s="14">
        <f t="shared" ca="1" si="14"/>
        <v>-23.78</v>
      </c>
      <c r="W61" s="14">
        <f t="shared" ca="1" si="14"/>
        <v>-24.01</v>
      </c>
      <c r="X61" s="14">
        <f t="shared" ca="1" si="14"/>
        <v>-24.25</v>
      </c>
      <c r="Y61" s="14">
        <f t="shared" ca="1" si="14"/>
        <v>-24.48</v>
      </c>
      <c r="Z61" s="14">
        <f t="shared" ca="1" si="14"/>
        <v>-24.71</v>
      </c>
      <c r="AA61" s="14">
        <f t="shared" ca="1" si="14"/>
        <v>-24.94</v>
      </c>
      <c r="AB61" s="14">
        <f t="shared" ca="1" si="14"/>
        <v>-25.82</v>
      </c>
      <c r="AC61" s="14">
        <f t="shared" ca="1" si="14"/>
        <v>-26.68</v>
      </c>
      <c r="AD61" s="14">
        <f t="shared" ca="1" si="14"/>
        <v>-26.9</v>
      </c>
      <c r="AE61" s="14">
        <f t="shared" ca="1" si="14"/>
        <v>-27.11</v>
      </c>
      <c r="AF61" s="14">
        <f t="shared" ca="1" si="14"/>
        <v>-27.32</v>
      </c>
      <c r="AG61" s="14">
        <f t="shared" ca="1" si="14"/>
        <v>-27.52</v>
      </c>
      <c r="AH61" s="14">
        <f t="shared" ca="1" si="14"/>
        <v>-27.73</v>
      </c>
      <c r="AI61" s="14">
        <f t="shared" ca="1" si="14"/>
        <v>-27.92</v>
      </c>
      <c r="AJ61" s="14">
        <f t="shared" ca="1" si="14"/>
        <v>-28.11</v>
      </c>
      <c r="AK61" s="14">
        <f t="shared" ca="1" si="14"/>
        <v>-28.3</v>
      </c>
      <c r="AL61" s="14">
        <f t="shared" ca="1" si="14"/>
        <v>-29.08</v>
      </c>
    </row>
    <row r="62" spans="1:38" ht="21" customHeight="1" outlineLevel="1" thickBot="1" x14ac:dyDescent="0.4">
      <c r="A62" s="5">
        <f t="shared" si="15"/>
        <v>0</v>
      </c>
      <c r="B62" s="5">
        <f t="shared" si="15"/>
        <v>1</v>
      </c>
      <c r="C62" s="5">
        <f t="shared" si="15"/>
        <v>0</v>
      </c>
      <c r="D62" s="5">
        <f t="shared" si="15"/>
        <v>0</v>
      </c>
      <c r="E62" s="6" t="str">
        <f t="shared" si="15"/>
        <v>(1)Se[m]</v>
      </c>
      <c r="F62" s="14">
        <f t="shared" ca="1" si="16"/>
        <v>-23.56</v>
      </c>
      <c r="G62" s="14">
        <f t="shared" ca="1" si="14"/>
        <v>-22.53</v>
      </c>
      <c r="H62" s="14">
        <f t="shared" ca="1" si="14"/>
        <v>-21.75</v>
      </c>
      <c r="I62" s="14">
        <f t="shared" ca="1" si="14"/>
        <v>-21.28</v>
      </c>
      <c r="J62" s="14">
        <f t="shared" ca="1" si="14"/>
        <v>-21.09</v>
      </c>
      <c r="K62" s="14">
        <f t="shared" ca="1" si="14"/>
        <v>-21.65</v>
      </c>
      <c r="L62" s="14">
        <f t="shared" ca="1" si="14"/>
        <v>-21.85</v>
      </c>
      <c r="M62" s="14">
        <f t="shared" ca="1" si="14"/>
        <v>-22.03</v>
      </c>
      <c r="N62" s="14">
        <f t="shared" ca="1" si="14"/>
        <v>-22.18</v>
      </c>
      <c r="O62" s="14">
        <f t="shared" ca="1" si="14"/>
        <v>-22.32</v>
      </c>
      <c r="P62" s="14">
        <f t="shared" ca="1" si="14"/>
        <v>-22.47</v>
      </c>
      <c r="Q62" s="14">
        <f t="shared" ca="1" si="14"/>
        <v>-22.65</v>
      </c>
      <c r="R62" s="14">
        <f t="shared" ca="1" si="14"/>
        <v>-22.86</v>
      </c>
      <c r="S62" s="14">
        <f t="shared" ca="1" si="14"/>
        <v>-23.08</v>
      </c>
      <c r="T62" s="14">
        <f t="shared" ca="1" si="14"/>
        <v>-23.31</v>
      </c>
      <c r="U62" s="14">
        <f t="shared" ca="1" si="14"/>
        <v>-23.54</v>
      </c>
      <c r="V62" s="14">
        <f t="shared" ca="1" si="14"/>
        <v>-23.78</v>
      </c>
      <c r="W62" s="14">
        <f t="shared" ca="1" si="14"/>
        <v>-24.01</v>
      </c>
      <c r="X62" s="14">
        <f t="shared" ca="1" si="14"/>
        <v>-24.25</v>
      </c>
      <c r="Y62" s="14">
        <f t="shared" ca="1" si="14"/>
        <v>-24.48</v>
      </c>
      <c r="Z62" s="14">
        <f t="shared" ca="1" si="14"/>
        <v>-24.71</v>
      </c>
      <c r="AA62" s="14">
        <f t="shared" ca="1" si="14"/>
        <v>-24.94</v>
      </c>
      <c r="AB62" s="14">
        <f t="shared" ca="1" si="14"/>
        <v>-25.82</v>
      </c>
      <c r="AC62" s="14">
        <f t="shared" ca="1" si="14"/>
        <v>-26.68</v>
      </c>
      <c r="AD62" s="14">
        <f t="shared" ca="1" si="14"/>
        <v>-26.9</v>
      </c>
      <c r="AE62" s="14">
        <f t="shared" ca="1" si="14"/>
        <v>-27.11</v>
      </c>
      <c r="AF62" s="14">
        <f t="shared" ca="1" si="14"/>
        <v>-27.32</v>
      </c>
      <c r="AG62" s="14">
        <f t="shared" ca="1" si="14"/>
        <v>-27.52</v>
      </c>
      <c r="AH62" s="14">
        <f t="shared" ca="1" si="14"/>
        <v>-27.73</v>
      </c>
      <c r="AI62" s="14">
        <f t="shared" ref="G62:AL71" ca="1" si="17">$A62*H.Ar + $B62*H.Se + $C62*H.Ge + $D62*H.Ga</f>
        <v>-27.92</v>
      </c>
      <c r="AJ62" s="14">
        <f t="shared" ca="1" si="17"/>
        <v>-28.11</v>
      </c>
      <c r="AK62" s="14">
        <f t="shared" ca="1" si="17"/>
        <v>-28.3</v>
      </c>
      <c r="AL62" s="14">
        <f t="shared" ca="1" si="17"/>
        <v>-29.08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1</v>
      </c>
      <c r="C63" s="5">
        <f t="shared" si="15"/>
        <v>0</v>
      </c>
      <c r="D63" s="5">
        <f t="shared" si="15"/>
        <v>0</v>
      </c>
      <c r="E63" s="6" t="str">
        <f t="shared" si="15"/>
        <v>(1)Se[r]</v>
      </c>
      <c r="F63" s="14">
        <f t="shared" ca="1" si="16"/>
        <v>-23.56</v>
      </c>
      <c r="G63" s="14">
        <f t="shared" ca="1" si="17"/>
        <v>-22.53</v>
      </c>
      <c r="H63" s="14">
        <f t="shared" ca="1" si="17"/>
        <v>-21.75</v>
      </c>
      <c r="I63" s="14">
        <f t="shared" ca="1" si="17"/>
        <v>-21.28</v>
      </c>
      <c r="J63" s="14">
        <f t="shared" ca="1" si="17"/>
        <v>-21.09</v>
      </c>
      <c r="K63" s="14">
        <f t="shared" ca="1" si="17"/>
        <v>-21.65</v>
      </c>
      <c r="L63" s="14">
        <f t="shared" ca="1" si="17"/>
        <v>-21.85</v>
      </c>
      <c r="M63" s="14">
        <f t="shared" ca="1" si="17"/>
        <v>-22.03</v>
      </c>
      <c r="N63" s="14">
        <f t="shared" ca="1" si="17"/>
        <v>-22.18</v>
      </c>
      <c r="O63" s="14">
        <f t="shared" ca="1" si="17"/>
        <v>-22.32</v>
      </c>
      <c r="P63" s="14">
        <f t="shared" ca="1" si="17"/>
        <v>-22.47</v>
      </c>
      <c r="Q63" s="14">
        <f t="shared" ca="1" si="17"/>
        <v>-22.65</v>
      </c>
      <c r="R63" s="14">
        <f t="shared" ca="1" si="17"/>
        <v>-22.86</v>
      </c>
      <c r="S63" s="14">
        <f t="shared" ca="1" si="17"/>
        <v>-23.08</v>
      </c>
      <c r="T63" s="14">
        <f t="shared" ca="1" si="17"/>
        <v>-23.31</v>
      </c>
      <c r="U63" s="14">
        <f t="shared" ca="1" si="17"/>
        <v>-23.54</v>
      </c>
      <c r="V63" s="14">
        <f t="shared" ca="1" si="17"/>
        <v>-23.78</v>
      </c>
      <c r="W63" s="14">
        <f t="shared" ca="1" si="17"/>
        <v>-24.01</v>
      </c>
      <c r="X63" s="14">
        <f t="shared" ca="1" si="17"/>
        <v>-24.25</v>
      </c>
      <c r="Y63" s="14">
        <f t="shared" ca="1" si="17"/>
        <v>-24.48</v>
      </c>
      <c r="Z63" s="14">
        <f t="shared" ca="1" si="17"/>
        <v>-24.71</v>
      </c>
      <c r="AA63" s="14">
        <f t="shared" ca="1" si="17"/>
        <v>-24.94</v>
      </c>
      <c r="AB63" s="14">
        <f t="shared" ca="1" si="17"/>
        <v>-25.82</v>
      </c>
      <c r="AC63" s="14">
        <f t="shared" ca="1" si="17"/>
        <v>-26.68</v>
      </c>
      <c r="AD63" s="14">
        <f t="shared" ca="1" si="17"/>
        <v>-26.9</v>
      </c>
      <c r="AE63" s="14">
        <f t="shared" ca="1" si="17"/>
        <v>-27.11</v>
      </c>
      <c r="AF63" s="14">
        <f t="shared" ca="1" si="17"/>
        <v>-27.32</v>
      </c>
      <c r="AG63" s="14">
        <f t="shared" ca="1" si="17"/>
        <v>-27.52</v>
      </c>
      <c r="AH63" s="14">
        <f t="shared" ca="1" si="17"/>
        <v>-27.73</v>
      </c>
      <c r="AI63" s="14">
        <f t="shared" ca="1" si="17"/>
        <v>-27.92</v>
      </c>
      <c r="AJ63" s="14">
        <f t="shared" ca="1" si="17"/>
        <v>-28.11</v>
      </c>
      <c r="AK63" s="14">
        <f t="shared" ca="1" si="17"/>
        <v>-28.3</v>
      </c>
      <c r="AL63" s="14">
        <f t="shared" ca="1" si="17"/>
        <v>-29.08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1</v>
      </c>
      <c r="D64" s="5">
        <f t="shared" si="15"/>
        <v>0</v>
      </c>
      <c r="E64" s="6" t="str">
        <f t="shared" si="15"/>
        <v>(1)Geic]</v>
      </c>
      <c r="F64" s="14">
        <f t="shared" ca="1" si="16"/>
        <v>-16.98</v>
      </c>
      <c r="G64" s="14">
        <f t="shared" ca="1" si="17"/>
        <v>-16.239999999999998</v>
      </c>
      <c r="H64" s="14">
        <f t="shared" ca="1" si="17"/>
        <v>-15.42</v>
      </c>
      <c r="I64" s="14">
        <f t="shared" ca="1" si="17"/>
        <v>-14.46</v>
      </c>
      <c r="J64" s="14">
        <f t="shared" ca="1" si="17"/>
        <v>-13.36</v>
      </c>
      <c r="K64" s="14">
        <f t="shared" ca="1" si="17"/>
        <v>-8.9659999999999993</v>
      </c>
      <c r="L64" s="14">
        <f t="shared" ca="1" si="17"/>
        <v>-8.077</v>
      </c>
      <c r="M64" s="14">
        <f t="shared" ca="1" si="17"/>
        <v>-7.3339999999999996</v>
      </c>
      <c r="N64" s="14">
        <f t="shared" ca="1" si="17"/>
        <v>-6.7590000000000003</v>
      </c>
      <c r="O64" s="14">
        <f t="shared" ca="1" si="17"/>
        <v>-6.35</v>
      </c>
      <c r="P64" s="14">
        <f t="shared" ca="1" si="17"/>
        <v>-6.0869999999999997</v>
      </c>
      <c r="Q64" s="14">
        <f t="shared" ca="1" si="17"/>
        <v>-5.9379999999999997</v>
      </c>
      <c r="R64" s="14">
        <f t="shared" ca="1" si="17"/>
        <v>-5.87</v>
      </c>
      <c r="S64" s="14">
        <f t="shared" ca="1" si="17"/>
        <v>-5.8520000000000003</v>
      </c>
      <c r="T64" s="14">
        <f t="shared" ca="1" si="17"/>
        <v>-5.8609999999999998</v>
      </c>
      <c r="U64" s="14">
        <f t="shared" ca="1" si="17"/>
        <v>-5.8860000000000001</v>
      </c>
      <c r="V64" s="14">
        <f t="shared" ca="1" si="17"/>
        <v>-5.9180000000000001</v>
      </c>
      <c r="W64" s="14">
        <f t="shared" ca="1" si="17"/>
        <v>-5.9550000000000001</v>
      </c>
      <c r="X64" s="14">
        <f t="shared" ca="1" si="17"/>
        <v>-5.9930000000000003</v>
      </c>
      <c r="Y64" s="14">
        <f t="shared" ca="1" si="17"/>
        <v>-6.0330000000000004</v>
      </c>
      <c r="Z64" s="14">
        <f t="shared" ca="1" si="17"/>
        <v>-6.0739999999999998</v>
      </c>
      <c r="AA64" s="14">
        <f t="shared" ca="1" si="17"/>
        <v>-6.1180000000000003</v>
      </c>
      <c r="AB64" s="14">
        <f t="shared" ca="1" si="17"/>
        <v>-6.3319999999999999</v>
      </c>
      <c r="AC64" s="14">
        <f t="shared" ca="1" si="17"/>
        <v>-6.508</v>
      </c>
      <c r="AD64" s="14">
        <f t="shared" ca="1" si="17"/>
        <v>-6.5510000000000002</v>
      </c>
      <c r="AE64" s="14">
        <f t="shared" ca="1" si="17"/>
        <v>-6.5940000000000003</v>
      </c>
      <c r="AF64" s="14">
        <f t="shared" ca="1" si="17"/>
        <v>-6.6360000000000001</v>
      </c>
      <c r="AG64" s="14">
        <f t="shared" ca="1" si="17"/>
        <v>-6.6779999999999999</v>
      </c>
      <c r="AH64" s="14">
        <f t="shared" ca="1" si="17"/>
        <v>-6.7190000000000003</v>
      </c>
      <c r="AI64" s="14">
        <f t="shared" ca="1" si="17"/>
        <v>-6.7510000000000003</v>
      </c>
      <c r="AJ64" s="14">
        <f t="shared" ca="1" si="17"/>
        <v>-6.7839999999999998</v>
      </c>
      <c r="AK64" s="14">
        <f t="shared" ca="1" si="17"/>
        <v>-6.8170000000000002</v>
      </c>
      <c r="AL64" s="14">
        <f t="shared" ca="1" si="17"/>
        <v>-6.9539999999999997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1</v>
      </c>
      <c r="E65" s="6" t="str">
        <f t="shared" si="15"/>
        <v>(3)Ga[1]</v>
      </c>
      <c r="F65" s="14">
        <f t="shared" ca="1" si="16"/>
        <v>-67.12</v>
      </c>
      <c r="G65" s="14">
        <f t="shared" ca="1" si="17"/>
        <v>-63.52</v>
      </c>
      <c r="H65" s="14">
        <f t="shared" ca="1" si="17"/>
        <v>-60.12</v>
      </c>
      <c r="I65" s="14">
        <f t="shared" ca="1" si="17"/>
        <v>-56.76</v>
      </c>
      <c r="J65" s="14">
        <f t="shared" ca="1" si="17"/>
        <v>-53.4</v>
      </c>
      <c r="K65" s="14">
        <f t="shared" ca="1" si="17"/>
        <v>-41.04</v>
      </c>
      <c r="L65" s="14">
        <f t="shared" ca="1" si="17"/>
        <v>-38.450000000000003</v>
      </c>
      <c r="M65" s="14">
        <f t="shared" ca="1" si="17"/>
        <v>-36.08</v>
      </c>
      <c r="N65" s="14">
        <f t="shared" ca="1" si="17"/>
        <v>-33.93</v>
      </c>
      <c r="O65" s="14">
        <f t="shared" ca="1" si="17"/>
        <v>-31.94</v>
      </c>
      <c r="P65" s="14">
        <f t="shared" ca="1" si="17"/>
        <v>-30.07</v>
      </c>
      <c r="Q65" s="14">
        <f t="shared" ca="1" si="17"/>
        <v>-28.28</v>
      </c>
      <c r="R65" s="14">
        <f t="shared" ca="1" si="17"/>
        <v>-26.54</v>
      </c>
      <c r="S65" s="14">
        <f t="shared" ca="1" si="17"/>
        <v>-24.87</v>
      </c>
      <c r="T65" s="14">
        <f t="shared" ca="1" si="17"/>
        <v>-23.27</v>
      </c>
      <c r="U65" s="14">
        <f t="shared" ca="1" si="17"/>
        <v>-21.74</v>
      </c>
      <c r="V65" s="14">
        <f t="shared" ca="1" si="17"/>
        <v>-20.27</v>
      </c>
      <c r="W65" s="14">
        <f t="shared" ca="1" si="17"/>
        <v>-18.87</v>
      </c>
      <c r="X65" s="14">
        <f t="shared" ca="1" si="17"/>
        <v>-17.54</v>
      </c>
      <c r="Y65" s="14">
        <f t="shared" ca="1" si="17"/>
        <v>-16.260000000000002</v>
      </c>
      <c r="Z65" s="14">
        <f t="shared" ca="1" si="17"/>
        <v>-15.05</v>
      </c>
      <c r="AA65" s="14">
        <f t="shared" ca="1" si="17"/>
        <v>-13.91</v>
      </c>
      <c r="AB65" s="14">
        <f t="shared" ca="1" si="17"/>
        <v>-10.79</v>
      </c>
      <c r="AC65" s="14">
        <f t="shared" ca="1" si="17"/>
        <v>-9.1989999999999998</v>
      </c>
      <c r="AD65" s="14">
        <f t="shared" ca="1" si="17"/>
        <v>-8.8740000000000006</v>
      </c>
      <c r="AE65" s="14">
        <f t="shared" ca="1" si="17"/>
        <v>-8.5730000000000004</v>
      </c>
      <c r="AF65" s="14">
        <f t="shared" ca="1" si="17"/>
        <v>-8.2949999999999999</v>
      </c>
      <c r="AG65" s="14">
        <f t="shared" ca="1" si="17"/>
        <v>-8.0359999999999996</v>
      </c>
      <c r="AH65" s="14">
        <f t="shared" ca="1" si="17"/>
        <v>-7.8040000000000003</v>
      </c>
      <c r="AI65" s="14">
        <f t="shared" ca="1" si="17"/>
        <v>-7.8559999999999999</v>
      </c>
      <c r="AJ65" s="14">
        <f t="shared" ca="1" si="17"/>
        <v>-7.915</v>
      </c>
      <c r="AK65" s="14">
        <f t="shared" ca="1" si="17"/>
        <v>-7.9720000000000004</v>
      </c>
      <c r="AL65" s="14">
        <f t="shared" ca="1" si="17"/>
        <v>-8.1969999999999992</v>
      </c>
    </row>
    <row r="66" spans="1:54" ht="21" customHeight="1" outlineLevel="1" thickBot="1" x14ac:dyDescent="0.4">
      <c r="A66" s="5">
        <f t="shared" ref="A66:E75" si="18">A24</f>
        <v>0</v>
      </c>
      <c r="B66" s="5">
        <f t="shared" si="18"/>
        <v>0</v>
      </c>
      <c r="C66" s="5">
        <f t="shared" si="18"/>
        <v>1</v>
      </c>
      <c r="D66" s="5">
        <f t="shared" si="18"/>
        <v>0</v>
      </c>
      <c r="E66" s="6" t="str">
        <f t="shared" si="18"/>
        <v>(3)Ge[1]</v>
      </c>
      <c r="F66" s="14">
        <f t="shared" ref="F66:U74" ca="1" si="19">$A66*H.Ar + $B66*H.Se + $C66*H.Ge + $D66*H.Ga</f>
        <v>-16.98</v>
      </c>
      <c r="G66" s="14">
        <f t="shared" ca="1" si="19"/>
        <v>-16.239999999999998</v>
      </c>
      <c r="H66" s="14">
        <f t="shared" ca="1" si="19"/>
        <v>-15.42</v>
      </c>
      <c r="I66" s="14">
        <f t="shared" ca="1" si="19"/>
        <v>-14.46</v>
      </c>
      <c r="J66" s="14">
        <f t="shared" ca="1" si="19"/>
        <v>-13.36</v>
      </c>
      <c r="K66" s="14">
        <f t="shared" ca="1" si="19"/>
        <v>-8.9659999999999993</v>
      </c>
      <c r="L66" s="14">
        <f t="shared" ca="1" si="19"/>
        <v>-8.077</v>
      </c>
      <c r="M66" s="14">
        <f t="shared" ca="1" si="19"/>
        <v>-7.3339999999999996</v>
      </c>
      <c r="N66" s="14">
        <f t="shared" ca="1" si="19"/>
        <v>-6.7590000000000003</v>
      </c>
      <c r="O66" s="14">
        <f t="shared" ca="1" si="19"/>
        <v>-6.35</v>
      </c>
      <c r="P66" s="14">
        <f t="shared" ca="1" si="19"/>
        <v>-6.0869999999999997</v>
      </c>
      <c r="Q66" s="14">
        <f t="shared" ca="1" si="19"/>
        <v>-5.9379999999999997</v>
      </c>
      <c r="R66" s="14">
        <f t="shared" ca="1" si="19"/>
        <v>-5.87</v>
      </c>
      <c r="S66" s="14">
        <f t="shared" ca="1" si="19"/>
        <v>-5.8520000000000003</v>
      </c>
      <c r="T66" s="14">
        <f t="shared" ca="1" si="19"/>
        <v>-5.8609999999999998</v>
      </c>
      <c r="U66" s="14">
        <f t="shared" ca="1" si="19"/>
        <v>-5.8860000000000001</v>
      </c>
      <c r="V66" s="14">
        <f t="shared" ca="1" si="17"/>
        <v>-5.9180000000000001</v>
      </c>
      <c r="W66" s="14">
        <f t="shared" ca="1" si="17"/>
        <v>-5.9550000000000001</v>
      </c>
      <c r="X66" s="14">
        <f t="shared" ca="1" si="17"/>
        <v>-5.9930000000000003</v>
      </c>
      <c r="Y66" s="14">
        <f t="shared" ca="1" si="17"/>
        <v>-6.0330000000000004</v>
      </c>
      <c r="Z66" s="14">
        <f t="shared" ca="1" si="17"/>
        <v>-6.0739999999999998</v>
      </c>
      <c r="AA66" s="14">
        <f t="shared" ca="1" si="17"/>
        <v>-6.1180000000000003</v>
      </c>
      <c r="AB66" s="14">
        <f t="shared" ca="1" si="17"/>
        <v>-6.3319999999999999</v>
      </c>
      <c r="AC66" s="14">
        <f t="shared" ca="1" si="17"/>
        <v>-6.508</v>
      </c>
      <c r="AD66" s="14">
        <f t="shared" ca="1" si="17"/>
        <v>-6.5510000000000002</v>
      </c>
      <c r="AE66" s="14">
        <f t="shared" ca="1" si="17"/>
        <v>-6.5940000000000003</v>
      </c>
      <c r="AF66" s="14">
        <f t="shared" ca="1" si="17"/>
        <v>-6.6360000000000001</v>
      </c>
      <c r="AG66" s="14">
        <f t="shared" ca="1" si="17"/>
        <v>-6.6779999999999999</v>
      </c>
      <c r="AH66" s="14">
        <f t="shared" ca="1" si="17"/>
        <v>-6.7190000000000003</v>
      </c>
      <c r="AI66" s="14">
        <f t="shared" ca="1" si="17"/>
        <v>-6.7510000000000003</v>
      </c>
      <c r="AJ66" s="14">
        <f t="shared" ca="1" si="17"/>
        <v>-6.7839999999999998</v>
      </c>
      <c r="AK66" s="14">
        <f t="shared" ca="1" si="17"/>
        <v>-6.8170000000000002</v>
      </c>
      <c r="AL66" s="14">
        <f t="shared" ca="1" si="17"/>
        <v>-6.9539999999999997</v>
      </c>
    </row>
    <row r="67" spans="1:54" ht="21" customHeight="1" outlineLevel="1" thickBot="1" x14ac:dyDescent="0.4">
      <c r="A67" s="5">
        <f t="shared" si="18"/>
        <v>1</v>
      </c>
      <c r="B67" s="5">
        <f t="shared" si="18"/>
        <v>0</v>
      </c>
      <c r="C67" s="5">
        <f t="shared" si="18"/>
        <v>0</v>
      </c>
      <c r="D67" s="5">
        <f t="shared" si="18"/>
        <v>0</v>
      </c>
      <c r="E67" s="6" t="str">
        <f t="shared" si="18"/>
        <v>H (Ar)</v>
      </c>
      <c r="F67" s="14">
        <f t="shared" ca="1" si="19"/>
        <v>-18.66</v>
      </c>
      <c r="G67" s="14">
        <f t="shared" ca="1" si="17"/>
        <v>-18.649999999999999</v>
      </c>
      <c r="H67" s="14">
        <f t="shared" ca="1" si="17"/>
        <v>-18.649999999999999</v>
      </c>
      <c r="I67" s="14">
        <f t="shared" ca="1" si="17"/>
        <v>-18.66</v>
      </c>
      <c r="J67" s="14">
        <f t="shared" ca="1" si="17"/>
        <v>-18.670000000000002</v>
      </c>
      <c r="K67" s="14">
        <f t="shared" ca="1" si="17"/>
        <v>-18.75</v>
      </c>
      <c r="L67" s="14">
        <f t="shared" ca="1" si="17"/>
        <v>-18.78</v>
      </c>
      <c r="M67" s="14">
        <f t="shared" ca="1" si="17"/>
        <v>-18.809999999999999</v>
      </c>
      <c r="N67" s="14">
        <f t="shared" ca="1" si="17"/>
        <v>-18.829999999999998</v>
      </c>
      <c r="O67" s="14">
        <f t="shared" ca="1" si="17"/>
        <v>-18.86</v>
      </c>
      <c r="P67" s="14">
        <f t="shared" ca="1" si="17"/>
        <v>-18.899999999999999</v>
      </c>
      <c r="Q67" s="14">
        <f t="shared" ca="1" si="17"/>
        <v>-18.93</v>
      </c>
      <c r="R67" s="14">
        <f t="shared" ca="1" si="17"/>
        <v>-18.96</v>
      </c>
      <c r="S67" s="14">
        <f t="shared" ca="1" si="17"/>
        <v>-18.989999999999998</v>
      </c>
      <c r="T67" s="14">
        <f t="shared" ca="1" si="17"/>
        <v>-19.03</v>
      </c>
      <c r="U67" s="14">
        <f t="shared" ca="1" si="17"/>
        <v>-19.059999999999999</v>
      </c>
      <c r="V67" s="14">
        <f t="shared" ca="1" si="17"/>
        <v>-19.100000000000001</v>
      </c>
      <c r="W67" s="14">
        <f t="shared" ca="1" si="17"/>
        <v>-19.13</v>
      </c>
      <c r="X67" s="14">
        <f t="shared" ca="1" si="17"/>
        <v>-19.170000000000002</v>
      </c>
      <c r="Y67" s="14">
        <f t="shared" ca="1" si="17"/>
        <v>-19.2</v>
      </c>
      <c r="Z67" s="14">
        <f t="shared" ca="1" si="17"/>
        <v>-19.23</v>
      </c>
      <c r="AA67" s="14">
        <f t="shared" ca="1" si="17"/>
        <v>-19.27</v>
      </c>
      <c r="AB67" s="14">
        <f t="shared" ca="1" si="17"/>
        <v>-19.38</v>
      </c>
      <c r="AC67" s="14">
        <f t="shared" ca="1" si="17"/>
        <v>-19.510000000000002</v>
      </c>
      <c r="AD67" s="14">
        <f t="shared" ca="1" si="17"/>
        <v>-19.55</v>
      </c>
      <c r="AE67" s="14">
        <f t="shared" ca="1" si="17"/>
        <v>-19.579999999999998</v>
      </c>
      <c r="AF67" s="14">
        <f t="shared" ca="1" si="17"/>
        <v>-19.61</v>
      </c>
      <c r="AG67" s="14">
        <f t="shared" ca="1" si="17"/>
        <v>-19.64</v>
      </c>
      <c r="AH67" s="14">
        <f t="shared" ca="1" si="17"/>
        <v>-19.670000000000002</v>
      </c>
      <c r="AI67" s="14">
        <f t="shared" ca="1" si="17"/>
        <v>-19.7</v>
      </c>
      <c r="AJ67" s="14">
        <f t="shared" ca="1" si="17"/>
        <v>-19.73</v>
      </c>
      <c r="AK67" s="14">
        <f t="shared" ca="1" si="17"/>
        <v>-19.760000000000002</v>
      </c>
      <c r="AL67" s="14">
        <f t="shared" ca="1" si="17"/>
        <v>-19.88</v>
      </c>
    </row>
    <row r="68" spans="1:54" ht="21" customHeight="1" outlineLevel="1" thickBot="1" x14ac:dyDescent="0.4">
      <c r="A68" s="5">
        <f t="shared" si="18"/>
        <v>0</v>
      </c>
      <c r="B68" s="5">
        <f t="shared" si="18"/>
        <v>0</v>
      </c>
      <c r="C68" s="5">
        <f t="shared" si="18"/>
        <v>0</v>
      </c>
      <c r="D68" s="5">
        <f t="shared" si="18"/>
        <v>1</v>
      </c>
      <c r="E68" s="6" t="str">
        <f t="shared" si="18"/>
        <v>H (Ga)</v>
      </c>
      <c r="F68" s="14">
        <f t="shared" ca="1" si="19"/>
        <v>-67.12</v>
      </c>
      <c r="G68" s="14">
        <f t="shared" ca="1" si="17"/>
        <v>-63.52</v>
      </c>
      <c r="H68" s="14">
        <f t="shared" ca="1" si="17"/>
        <v>-60.12</v>
      </c>
      <c r="I68" s="14">
        <f t="shared" ca="1" si="17"/>
        <v>-56.76</v>
      </c>
      <c r="J68" s="14">
        <f t="shared" ca="1" si="17"/>
        <v>-53.4</v>
      </c>
      <c r="K68" s="14">
        <f t="shared" ca="1" si="17"/>
        <v>-41.04</v>
      </c>
      <c r="L68" s="14">
        <f t="shared" ca="1" si="17"/>
        <v>-38.450000000000003</v>
      </c>
      <c r="M68" s="14">
        <f t="shared" ca="1" si="17"/>
        <v>-36.08</v>
      </c>
      <c r="N68" s="14">
        <f t="shared" ca="1" si="17"/>
        <v>-33.93</v>
      </c>
      <c r="O68" s="14">
        <f t="shared" ca="1" si="17"/>
        <v>-31.94</v>
      </c>
      <c r="P68" s="14">
        <f t="shared" ca="1" si="17"/>
        <v>-30.07</v>
      </c>
      <c r="Q68" s="14">
        <f t="shared" ca="1" si="17"/>
        <v>-28.28</v>
      </c>
      <c r="R68" s="14">
        <f t="shared" ca="1" si="17"/>
        <v>-26.54</v>
      </c>
      <c r="S68" s="14">
        <f t="shared" ca="1" si="17"/>
        <v>-24.87</v>
      </c>
      <c r="T68" s="14">
        <f t="shared" ca="1" si="17"/>
        <v>-23.27</v>
      </c>
      <c r="U68" s="14">
        <f t="shared" ca="1" si="17"/>
        <v>-21.74</v>
      </c>
      <c r="V68" s="14">
        <f t="shared" ca="1" si="17"/>
        <v>-20.27</v>
      </c>
      <c r="W68" s="14">
        <f t="shared" ca="1" si="17"/>
        <v>-18.87</v>
      </c>
      <c r="X68" s="14">
        <f t="shared" ca="1" si="17"/>
        <v>-17.54</v>
      </c>
      <c r="Y68" s="14">
        <f t="shared" ca="1" si="17"/>
        <v>-16.260000000000002</v>
      </c>
      <c r="Z68" s="14">
        <f t="shared" ca="1" si="17"/>
        <v>-15.05</v>
      </c>
      <c r="AA68" s="14">
        <f t="shared" ca="1" si="17"/>
        <v>-13.91</v>
      </c>
      <c r="AB68" s="14">
        <f t="shared" ca="1" si="17"/>
        <v>-10.79</v>
      </c>
      <c r="AC68" s="14">
        <f t="shared" ca="1" si="17"/>
        <v>-9.1989999999999998</v>
      </c>
      <c r="AD68" s="14">
        <f t="shared" ca="1" si="17"/>
        <v>-8.8740000000000006</v>
      </c>
      <c r="AE68" s="14">
        <f t="shared" ca="1" si="17"/>
        <v>-8.5730000000000004</v>
      </c>
      <c r="AF68" s="14">
        <f t="shared" ca="1" si="17"/>
        <v>-8.2949999999999999</v>
      </c>
      <c r="AG68" s="14">
        <f t="shared" ca="1" si="17"/>
        <v>-8.0359999999999996</v>
      </c>
      <c r="AH68" s="14">
        <f t="shared" ca="1" si="17"/>
        <v>-7.8040000000000003</v>
      </c>
      <c r="AI68" s="14">
        <f t="shared" ca="1" si="17"/>
        <v>-7.8559999999999999</v>
      </c>
      <c r="AJ68" s="14">
        <f t="shared" ca="1" si="17"/>
        <v>-7.915</v>
      </c>
      <c r="AK68" s="14">
        <f t="shared" ca="1" si="17"/>
        <v>-7.9720000000000004</v>
      </c>
      <c r="AL68" s="14">
        <f t="shared" ca="1" si="17"/>
        <v>-8.1969999999999992</v>
      </c>
    </row>
    <row r="69" spans="1:54" ht="21" customHeight="1" outlineLevel="1" thickBot="1" x14ac:dyDescent="0.4">
      <c r="A69" s="5">
        <f t="shared" si="18"/>
        <v>0</v>
      </c>
      <c r="B69" s="5">
        <f t="shared" si="18"/>
        <v>0</v>
      </c>
      <c r="C69" s="5">
        <f t="shared" si="18"/>
        <v>1</v>
      </c>
      <c r="D69" s="5">
        <f t="shared" si="18"/>
        <v>0</v>
      </c>
      <c r="E69" s="6" t="str">
        <f t="shared" si="18"/>
        <v>H (Ge)</v>
      </c>
      <c r="F69" s="14">
        <f t="shared" ca="1" si="19"/>
        <v>-16.98</v>
      </c>
      <c r="G69" s="14">
        <f t="shared" ca="1" si="17"/>
        <v>-16.239999999999998</v>
      </c>
      <c r="H69" s="14">
        <f t="shared" ca="1" si="17"/>
        <v>-15.42</v>
      </c>
      <c r="I69" s="14">
        <f t="shared" ca="1" si="17"/>
        <v>-14.46</v>
      </c>
      <c r="J69" s="14">
        <f t="shared" ca="1" si="17"/>
        <v>-13.36</v>
      </c>
      <c r="K69" s="14">
        <f t="shared" ca="1" si="17"/>
        <v>-8.9659999999999993</v>
      </c>
      <c r="L69" s="14">
        <f t="shared" ca="1" si="17"/>
        <v>-8.077</v>
      </c>
      <c r="M69" s="14">
        <f t="shared" ca="1" si="17"/>
        <v>-7.3339999999999996</v>
      </c>
      <c r="N69" s="14">
        <f t="shared" ca="1" si="17"/>
        <v>-6.7590000000000003</v>
      </c>
      <c r="O69" s="14">
        <f t="shared" ca="1" si="17"/>
        <v>-6.35</v>
      </c>
      <c r="P69" s="14">
        <f t="shared" ca="1" si="17"/>
        <v>-6.0869999999999997</v>
      </c>
      <c r="Q69" s="14">
        <f t="shared" ca="1" si="17"/>
        <v>-5.9379999999999997</v>
      </c>
      <c r="R69" s="14">
        <f t="shared" ca="1" si="17"/>
        <v>-5.87</v>
      </c>
      <c r="S69" s="14">
        <f t="shared" ca="1" si="17"/>
        <v>-5.8520000000000003</v>
      </c>
      <c r="T69" s="14">
        <f t="shared" ca="1" si="17"/>
        <v>-5.8609999999999998</v>
      </c>
      <c r="U69" s="14">
        <f t="shared" ca="1" si="17"/>
        <v>-5.8860000000000001</v>
      </c>
      <c r="V69" s="14">
        <f t="shared" ca="1" si="17"/>
        <v>-5.9180000000000001</v>
      </c>
      <c r="W69" s="14">
        <f t="shared" ca="1" si="17"/>
        <v>-5.9550000000000001</v>
      </c>
      <c r="X69" s="14">
        <f t="shared" ca="1" si="17"/>
        <v>-5.9930000000000003</v>
      </c>
      <c r="Y69" s="14">
        <f t="shared" ca="1" si="17"/>
        <v>-6.0330000000000004</v>
      </c>
      <c r="Z69" s="14">
        <f t="shared" ca="1" si="17"/>
        <v>-6.0739999999999998</v>
      </c>
      <c r="AA69" s="14">
        <f t="shared" ca="1" si="17"/>
        <v>-6.1180000000000003</v>
      </c>
      <c r="AB69" s="14">
        <f t="shared" ca="1" si="17"/>
        <v>-6.3319999999999999</v>
      </c>
      <c r="AC69" s="14">
        <f t="shared" ca="1" si="17"/>
        <v>-6.508</v>
      </c>
      <c r="AD69" s="14">
        <f t="shared" ca="1" si="17"/>
        <v>-6.5510000000000002</v>
      </c>
      <c r="AE69" s="14">
        <f t="shared" ca="1" si="17"/>
        <v>-6.5940000000000003</v>
      </c>
      <c r="AF69" s="14">
        <f t="shared" ca="1" si="17"/>
        <v>-6.6360000000000001</v>
      </c>
      <c r="AG69" s="14">
        <f t="shared" ca="1" si="17"/>
        <v>-6.6779999999999999</v>
      </c>
      <c r="AH69" s="14">
        <f t="shared" ca="1" si="17"/>
        <v>-6.7190000000000003</v>
      </c>
      <c r="AI69" s="14">
        <f t="shared" ca="1" si="17"/>
        <v>-6.7510000000000003</v>
      </c>
      <c r="AJ69" s="14">
        <f t="shared" ca="1" si="17"/>
        <v>-6.7839999999999998</v>
      </c>
      <c r="AK69" s="14">
        <f t="shared" ca="1" si="17"/>
        <v>-6.8170000000000002</v>
      </c>
      <c r="AL69" s="14">
        <f t="shared" ca="1" si="17"/>
        <v>-6.9539999999999997</v>
      </c>
    </row>
    <row r="70" spans="1:54" ht="21" customHeight="1" outlineLevel="1" thickBot="1" x14ac:dyDescent="0.4">
      <c r="A70" s="5">
        <f t="shared" si="18"/>
        <v>0</v>
      </c>
      <c r="B70" s="5">
        <f t="shared" si="18"/>
        <v>1</v>
      </c>
      <c r="C70" s="5">
        <f t="shared" si="18"/>
        <v>0</v>
      </c>
      <c r="D70" s="5">
        <f t="shared" si="18"/>
        <v>0</v>
      </c>
      <c r="E70" s="6" t="str">
        <f t="shared" si="18"/>
        <v>H (Se)</v>
      </c>
      <c r="F70" s="14">
        <f t="shared" ca="1" si="19"/>
        <v>-23.56</v>
      </c>
      <c r="G70" s="14">
        <f t="shared" ca="1" si="17"/>
        <v>-22.53</v>
      </c>
      <c r="H70" s="14">
        <f t="shared" ca="1" si="17"/>
        <v>-21.75</v>
      </c>
      <c r="I70" s="14">
        <f t="shared" ca="1" si="17"/>
        <v>-21.28</v>
      </c>
      <c r="J70" s="14">
        <f t="shared" ca="1" si="17"/>
        <v>-21.09</v>
      </c>
      <c r="K70" s="14">
        <f t="shared" ca="1" si="17"/>
        <v>-21.65</v>
      </c>
      <c r="L70" s="14">
        <f t="shared" ca="1" si="17"/>
        <v>-21.85</v>
      </c>
      <c r="M70" s="14">
        <f t="shared" ca="1" si="17"/>
        <v>-22.03</v>
      </c>
      <c r="N70" s="14">
        <f t="shared" ca="1" si="17"/>
        <v>-22.18</v>
      </c>
      <c r="O70" s="14">
        <f t="shared" ca="1" si="17"/>
        <v>-22.32</v>
      </c>
      <c r="P70" s="14">
        <f t="shared" ca="1" si="17"/>
        <v>-22.47</v>
      </c>
      <c r="Q70" s="14">
        <f t="shared" ca="1" si="17"/>
        <v>-22.65</v>
      </c>
      <c r="R70" s="14">
        <f t="shared" ca="1" si="17"/>
        <v>-22.86</v>
      </c>
      <c r="S70" s="14">
        <f t="shared" ca="1" si="17"/>
        <v>-23.08</v>
      </c>
      <c r="T70" s="14">
        <f t="shared" ca="1" si="17"/>
        <v>-23.31</v>
      </c>
      <c r="U70" s="14">
        <f t="shared" ca="1" si="17"/>
        <v>-23.54</v>
      </c>
      <c r="V70" s="14">
        <f t="shared" ca="1" si="17"/>
        <v>-23.78</v>
      </c>
      <c r="W70" s="14">
        <f t="shared" ca="1" si="17"/>
        <v>-24.01</v>
      </c>
      <c r="X70" s="14">
        <f t="shared" ca="1" si="17"/>
        <v>-24.25</v>
      </c>
      <c r="Y70" s="14">
        <f t="shared" ca="1" si="17"/>
        <v>-24.48</v>
      </c>
      <c r="Z70" s="14">
        <f t="shared" ca="1" si="17"/>
        <v>-24.71</v>
      </c>
      <c r="AA70" s="14">
        <f t="shared" ca="1" si="17"/>
        <v>-24.94</v>
      </c>
      <c r="AB70" s="14">
        <f t="shared" ca="1" si="17"/>
        <v>-25.82</v>
      </c>
      <c r="AC70" s="14">
        <f t="shared" ca="1" si="17"/>
        <v>-26.68</v>
      </c>
      <c r="AD70" s="14">
        <f t="shared" ca="1" si="17"/>
        <v>-26.9</v>
      </c>
      <c r="AE70" s="14">
        <f t="shared" ca="1" si="17"/>
        <v>-27.11</v>
      </c>
      <c r="AF70" s="14">
        <f t="shared" ca="1" si="17"/>
        <v>-27.32</v>
      </c>
      <c r="AG70" s="14">
        <f t="shared" ca="1" si="17"/>
        <v>-27.52</v>
      </c>
      <c r="AH70" s="14">
        <f t="shared" ca="1" si="17"/>
        <v>-27.73</v>
      </c>
      <c r="AI70" s="14">
        <f t="shared" ca="1" si="17"/>
        <v>-27.92</v>
      </c>
      <c r="AJ70" s="14">
        <f t="shared" ca="1" si="17"/>
        <v>-28.11</v>
      </c>
      <c r="AK70" s="14">
        <f t="shared" ca="1" si="17"/>
        <v>-28.3</v>
      </c>
      <c r="AL70" s="14">
        <f t="shared" ca="1" si="17"/>
        <v>-29.08</v>
      </c>
    </row>
    <row r="71" spans="1:54" ht="21" customHeight="1" outlineLevel="1" thickBot="1" x14ac:dyDescent="0.4">
      <c r="A71" s="5">
        <f t="shared" si="18"/>
        <v>0</v>
      </c>
      <c r="B71" s="5">
        <f t="shared" si="18"/>
        <v>0</v>
      </c>
      <c r="C71" s="5">
        <f t="shared" si="18"/>
        <v>0</v>
      </c>
      <c r="D71" s="5">
        <f t="shared" si="18"/>
        <v>0</v>
      </c>
      <c r="E71" s="6">
        <f t="shared" si="18"/>
        <v>0</v>
      </c>
      <c r="F71" s="14">
        <f t="shared" ca="1" si="19"/>
        <v>0</v>
      </c>
      <c r="G71" s="14">
        <f t="shared" ca="1" si="17"/>
        <v>0</v>
      </c>
      <c r="H71" s="14">
        <f t="shared" ca="1" si="17"/>
        <v>0</v>
      </c>
      <c r="I71" s="14">
        <f t="shared" ca="1" si="17"/>
        <v>0</v>
      </c>
      <c r="J71" s="14">
        <f t="shared" ca="1" si="17"/>
        <v>0</v>
      </c>
      <c r="K71" s="14">
        <f t="shared" ca="1" si="17"/>
        <v>0</v>
      </c>
      <c r="L71" s="14">
        <f t="shared" ca="1" si="17"/>
        <v>0</v>
      </c>
      <c r="M71" s="14">
        <f t="shared" ca="1" si="17"/>
        <v>0</v>
      </c>
      <c r="N71" s="14">
        <f t="shared" ca="1" si="17"/>
        <v>0</v>
      </c>
      <c r="O71" s="14">
        <f t="shared" ca="1" si="17"/>
        <v>0</v>
      </c>
      <c r="P71" s="14">
        <f t="shared" ca="1" si="17"/>
        <v>0</v>
      </c>
      <c r="Q71" s="14">
        <f t="shared" ref="G71:AL74" ca="1" si="20">$A71*H.Ar + $B71*H.Se + $C71*H.Ge + $D71*H.Ga</f>
        <v>0</v>
      </c>
      <c r="R71" s="14">
        <f t="shared" ca="1" si="20"/>
        <v>0</v>
      </c>
      <c r="S71" s="14">
        <f t="shared" ca="1" si="20"/>
        <v>0</v>
      </c>
      <c r="T71" s="14">
        <f t="shared" ca="1" si="20"/>
        <v>0</v>
      </c>
      <c r="U71" s="14">
        <f t="shared" ca="1" si="20"/>
        <v>0</v>
      </c>
      <c r="V71" s="14">
        <f t="shared" ca="1" si="20"/>
        <v>0</v>
      </c>
      <c r="W71" s="14">
        <f t="shared" ca="1" si="20"/>
        <v>0</v>
      </c>
      <c r="X71" s="14">
        <f t="shared" ca="1" si="20"/>
        <v>0</v>
      </c>
      <c r="Y71" s="14">
        <f t="shared" ca="1" si="20"/>
        <v>0</v>
      </c>
      <c r="Z71" s="14">
        <f t="shared" ca="1" si="20"/>
        <v>0</v>
      </c>
      <c r="AA71" s="14">
        <f t="shared" ca="1" si="20"/>
        <v>0</v>
      </c>
      <c r="AB71" s="14">
        <f t="shared" ca="1" si="20"/>
        <v>0</v>
      </c>
      <c r="AC71" s="14">
        <f t="shared" ca="1" si="20"/>
        <v>0</v>
      </c>
      <c r="AD71" s="14">
        <f t="shared" ca="1" si="20"/>
        <v>0</v>
      </c>
      <c r="AE71" s="14">
        <f t="shared" ca="1" si="20"/>
        <v>0</v>
      </c>
      <c r="AF71" s="14">
        <f t="shared" ca="1" si="20"/>
        <v>0</v>
      </c>
      <c r="AG71" s="14">
        <f t="shared" ca="1" si="20"/>
        <v>0</v>
      </c>
      <c r="AH71" s="14">
        <f t="shared" ca="1" si="20"/>
        <v>0</v>
      </c>
      <c r="AI71" s="14">
        <f t="shared" ca="1" si="20"/>
        <v>0</v>
      </c>
      <c r="AJ71" s="14">
        <f t="shared" ca="1" si="20"/>
        <v>0</v>
      </c>
      <c r="AK71" s="14">
        <f t="shared" ca="1" si="20"/>
        <v>0</v>
      </c>
      <c r="AL71" s="14">
        <f t="shared" ca="1" si="20"/>
        <v>0</v>
      </c>
    </row>
    <row r="72" spans="1:54" ht="21" customHeight="1" outlineLevel="1" thickBot="1" x14ac:dyDescent="0.4">
      <c r="A72" s="5">
        <f t="shared" si="18"/>
        <v>0</v>
      </c>
      <c r="B72" s="5">
        <f t="shared" si="18"/>
        <v>0</v>
      </c>
      <c r="C72" s="5">
        <f t="shared" si="18"/>
        <v>0</v>
      </c>
      <c r="D72" s="5">
        <f t="shared" si="18"/>
        <v>0</v>
      </c>
      <c r="E72" s="6">
        <f t="shared" si="18"/>
        <v>0</v>
      </c>
      <c r="F72" s="14">
        <f t="shared" ca="1" si="19"/>
        <v>0</v>
      </c>
      <c r="G72" s="14">
        <f t="shared" ca="1" si="20"/>
        <v>0</v>
      </c>
      <c r="H72" s="14">
        <f t="shared" ca="1" si="20"/>
        <v>0</v>
      </c>
      <c r="I72" s="14">
        <f t="shared" ca="1" si="20"/>
        <v>0</v>
      </c>
      <c r="J72" s="14">
        <f t="shared" ca="1" si="20"/>
        <v>0</v>
      </c>
      <c r="K72" s="14">
        <f t="shared" ca="1" si="20"/>
        <v>0</v>
      </c>
      <c r="L72" s="14">
        <f t="shared" ca="1" si="20"/>
        <v>0</v>
      </c>
      <c r="M72" s="14">
        <f t="shared" ca="1" si="20"/>
        <v>0</v>
      </c>
      <c r="N72" s="14">
        <f t="shared" ca="1" si="20"/>
        <v>0</v>
      </c>
      <c r="O72" s="14">
        <f t="shared" ca="1" si="20"/>
        <v>0</v>
      </c>
      <c r="P72" s="14">
        <f t="shared" ca="1" si="20"/>
        <v>0</v>
      </c>
      <c r="Q72" s="14">
        <f t="shared" ca="1" si="20"/>
        <v>0</v>
      </c>
      <c r="R72" s="14">
        <f t="shared" ca="1" si="20"/>
        <v>0</v>
      </c>
      <c r="S72" s="14">
        <f t="shared" ca="1" si="20"/>
        <v>0</v>
      </c>
      <c r="T72" s="14">
        <f t="shared" ca="1" si="20"/>
        <v>0</v>
      </c>
      <c r="U72" s="14">
        <f t="shared" ca="1" si="20"/>
        <v>0</v>
      </c>
      <c r="V72" s="14">
        <f t="shared" ca="1" si="20"/>
        <v>0</v>
      </c>
      <c r="W72" s="14">
        <f t="shared" ca="1" si="20"/>
        <v>0</v>
      </c>
      <c r="X72" s="14">
        <f t="shared" ca="1" si="20"/>
        <v>0</v>
      </c>
      <c r="Y72" s="14">
        <f t="shared" ca="1" si="20"/>
        <v>0</v>
      </c>
      <c r="Z72" s="14">
        <f t="shared" ca="1" si="20"/>
        <v>0</v>
      </c>
      <c r="AA72" s="14">
        <f t="shared" ca="1" si="20"/>
        <v>0</v>
      </c>
      <c r="AB72" s="14">
        <f t="shared" ca="1" si="20"/>
        <v>0</v>
      </c>
      <c r="AC72" s="14">
        <f t="shared" ca="1" si="20"/>
        <v>0</v>
      </c>
      <c r="AD72" s="14">
        <f t="shared" ca="1" si="20"/>
        <v>0</v>
      </c>
      <c r="AE72" s="14">
        <f t="shared" ca="1" si="20"/>
        <v>0</v>
      </c>
      <c r="AF72" s="14">
        <f t="shared" ca="1" si="20"/>
        <v>0</v>
      </c>
      <c r="AG72" s="14">
        <f t="shared" ca="1" si="20"/>
        <v>0</v>
      </c>
      <c r="AH72" s="14">
        <f t="shared" ca="1" si="20"/>
        <v>0</v>
      </c>
      <c r="AI72" s="14">
        <f t="shared" ca="1" si="20"/>
        <v>0</v>
      </c>
      <c r="AJ72" s="14">
        <f t="shared" ca="1" si="20"/>
        <v>0</v>
      </c>
      <c r="AK72" s="14">
        <f t="shared" ca="1" si="20"/>
        <v>0</v>
      </c>
      <c r="AL72" s="14">
        <f t="shared" ca="1" si="20"/>
        <v>0</v>
      </c>
    </row>
    <row r="73" spans="1:54" ht="21" customHeight="1" outlineLevel="1" thickBot="1" x14ac:dyDescent="0.4">
      <c r="A73" s="5">
        <f t="shared" si="18"/>
        <v>0</v>
      </c>
      <c r="B73" s="5">
        <f t="shared" si="18"/>
        <v>0</v>
      </c>
      <c r="C73" s="5">
        <f t="shared" si="18"/>
        <v>0</v>
      </c>
      <c r="D73" s="5">
        <f t="shared" si="18"/>
        <v>0</v>
      </c>
      <c r="E73" s="6">
        <f t="shared" si="18"/>
        <v>0</v>
      </c>
      <c r="F73" s="14">
        <f t="shared" ca="1" si="19"/>
        <v>0</v>
      </c>
      <c r="G73" s="14">
        <f t="shared" ca="1" si="20"/>
        <v>0</v>
      </c>
      <c r="H73" s="14">
        <f t="shared" ca="1" si="20"/>
        <v>0</v>
      </c>
      <c r="I73" s="14">
        <f t="shared" ca="1" si="20"/>
        <v>0</v>
      </c>
      <c r="J73" s="14">
        <f t="shared" ca="1" si="20"/>
        <v>0</v>
      </c>
      <c r="K73" s="14">
        <f t="shared" ca="1" si="20"/>
        <v>0</v>
      </c>
      <c r="L73" s="14">
        <f t="shared" ca="1" si="20"/>
        <v>0</v>
      </c>
      <c r="M73" s="14">
        <f t="shared" ca="1" si="20"/>
        <v>0</v>
      </c>
      <c r="N73" s="14">
        <f t="shared" ca="1" si="20"/>
        <v>0</v>
      </c>
      <c r="O73" s="14">
        <f t="shared" ca="1" si="20"/>
        <v>0</v>
      </c>
      <c r="P73" s="14">
        <f t="shared" ca="1" si="20"/>
        <v>0</v>
      </c>
      <c r="Q73" s="14">
        <f t="shared" ca="1" si="20"/>
        <v>0</v>
      </c>
      <c r="R73" s="14">
        <f t="shared" ca="1" si="20"/>
        <v>0</v>
      </c>
      <c r="S73" s="14">
        <f t="shared" ca="1" si="20"/>
        <v>0</v>
      </c>
      <c r="T73" s="14">
        <f t="shared" ca="1" si="20"/>
        <v>0</v>
      </c>
      <c r="U73" s="14">
        <f t="shared" ca="1" si="20"/>
        <v>0</v>
      </c>
      <c r="V73" s="14">
        <f t="shared" ca="1" si="20"/>
        <v>0</v>
      </c>
      <c r="W73" s="14">
        <f t="shared" ca="1" si="20"/>
        <v>0</v>
      </c>
      <c r="X73" s="14">
        <f t="shared" ca="1" si="20"/>
        <v>0</v>
      </c>
      <c r="Y73" s="14">
        <f t="shared" ca="1" si="20"/>
        <v>0</v>
      </c>
      <c r="Z73" s="14">
        <f t="shared" ca="1" si="20"/>
        <v>0</v>
      </c>
      <c r="AA73" s="14">
        <f t="shared" ca="1" si="20"/>
        <v>0</v>
      </c>
      <c r="AB73" s="14">
        <f t="shared" ca="1" si="20"/>
        <v>0</v>
      </c>
      <c r="AC73" s="14">
        <f t="shared" ca="1" si="20"/>
        <v>0</v>
      </c>
      <c r="AD73" s="14">
        <f t="shared" ca="1" si="20"/>
        <v>0</v>
      </c>
      <c r="AE73" s="14">
        <f t="shared" ca="1" si="20"/>
        <v>0</v>
      </c>
      <c r="AF73" s="14">
        <f t="shared" ca="1" si="20"/>
        <v>0</v>
      </c>
      <c r="AG73" s="14">
        <f t="shared" ca="1" si="20"/>
        <v>0</v>
      </c>
      <c r="AH73" s="14">
        <f t="shared" ca="1" si="20"/>
        <v>0</v>
      </c>
      <c r="AI73" s="14">
        <f t="shared" ca="1" si="20"/>
        <v>0</v>
      </c>
      <c r="AJ73" s="14">
        <f t="shared" ca="1" si="20"/>
        <v>0</v>
      </c>
      <c r="AK73" s="14">
        <f t="shared" ca="1" si="20"/>
        <v>0</v>
      </c>
      <c r="AL73" s="14">
        <f t="shared" ca="1" si="20"/>
        <v>0</v>
      </c>
    </row>
    <row r="74" spans="1:54" ht="21" customHeight="1" outlineLevel="1" thickBot="1" x14ac:dyDescent="0.4">
      <c r="A74" s="5">
        <f t="shared" si="18"/>
        <v>0</v>
      </c>
      <c r="B74" s="5">
        <f t="shared" si="18"/>
        <v>0</v>
      </c>
      <c r="C74" s="5">
        <f t="shared" si="18"/>
        <v>0</v>
      </c>
      <c r="D74" s="5">
        <f t="shared" si="18"/>
        <v>0</v>
      </c>
      <c r="E74" s="6">
        <f t="shared" si="18"/>
        <v>0</v>
      </c>
      <c r="F74" s="14">
        <f t="shared" ca="1" si="19"/>
        <v>0</v>
      </c>
      <c r="G74" s="14">
        <f t="shared" ca="1" si="20"/>
        <v>0</v>
      </c>
      <c r="H74" s="14">
        <f t="shared" ca="1" si="20"/>
        <v>0</v>
      </c>
      <c r="I74" s="14">
        <f t="shared" ca="1" si="20"/>
        <v>0</v>
      </c>
      <c r="J74" s="14">
        <f t="shared" ca="1" si="20"/>
        <v>0</v>
      </c>
      <c r="K74" s="14">
        <f t="shared" ca="1" si="20"/>
        <v>0</v>
      </c>
      <c r="L74" s="14">
        <f t="shared" ca="1" si="20"/>
        <v>0</v>
      </c>
      <c r="M74" s="14">
        <f t="shared" ca="1" si="20"/>
        <v>0</v>
      </c>
      <c r="N74" s="14">
        <f t="shared" ca="1" si="20"/>
        <v>0</v>
      </c>
      <c r="O74" s="14">
        <f t="shared" ca="1" si="20"/>
        <v>0</v>
      </c>
      <c r="P74" s="14">
        <f t="shared" ca="1" si="20"/>
        <v>0</v>
      </c>
      <c r="Q74" s="14">
        <f t="shared" ca="1" si="20"/>
        <v>0</v>
      </c>
      <c r="R74" s="14">
        <f t="shared" ca="1" si="20"/>
        <v>0</v>
      </c>
      <c r="S74" s="14">
        <f t="shared" ca="1" si="20"/>
        <v>0</v>
      </c>
      <c r="T74" s="14">
        <f t="shared" ca="1" si="20"/>
        <v>0</v>
      </c>
      <c r="U74" s="14">
        <f t="shared" ca="1" si="20"/>
        <v>0</v>
      </c>
      <c r="V74" s="14">
        <f t="shared" ca="1" si="20"/>
        <v>0</v>
      </c>
      <c r="W74" s="14">
        <f t="shared" ca="1" si="20"/>
        <v>0</v>
      </c>
      <c r="X74" s="14">
        <f t="shared" ca="1" si="20"/>
        <v>0</v>
      </c>
      <c r="Y74" s="14">
        <f t="shared" ca="1" si="20"/>
        <v>0</v>
      </c>
      <c r="Z74" s="14">
        <f t="shared" ca="1" si="20"/>
        <v>0</v>
      </c>
      <c r="AA74" s="14">
        <f t="shared" ca="1" si="20"/>
        <v>0</v>
      </c>
      <c r="AB74" s="14">
        <f t="shared" ca="1" si="20"/>
        <v>0</v>
      </c>
      <c r="AC74" s="14">
        <f t="shared" ca="1" si="20"/>
        <v>0</v>
      </c>
      <c r="AD74" s="14">
        <f t="shared" ca="1" si="20"/>
        <v>0</v>
      </c>
      <c r="AE74" s="14">
        <f t="shared" ca="1" si="20"/>
        <v>0</v>
      </c>
      <c r="AF74" s="14">
        <f t="shared" ca="1" si="20"/>
        <v>0</v>
      </c>
      <c r="AG74" s="14">
        <f t="shared" ca="1" si="20"/>
        <v>0</v>
      </c>
      <c r="AH74" s="14">
        <f t="shared" ca="1" si="20"/>
        <v>0</v>
      </c>
      <c r="AI74" s="14">
        <f t="shared" ca="1" si="20"/>
        <v>0</v>
      </c>
      <c r="AJ74" s="14">
        <f t="shared" ca="1" si="20"/>
        <v>0</v>
      </c>
      <c r="AK74" s="14">
        <f t="shared" ca="1" si="20"/>
        <v>0</v>
      </c>
      <c r="AL74" s="14">
        <f t="shared" ca="1" si="20"/>
        <v>0</v>
      </c>
    </row>
    <row r="75" spans="1:54" ht="21" customHeight="1" outlineLevel="1" thickBot="1" x14ac:dyDescent="0.4">
      <c r="A75" s="5">
        <f t="shared" si="18"/>
        <v>0</v>
      </c>
      <c r="B75" s="5">
        <f t="shared" si="18"/>
        <v>0</v>
      </c>
      <c r="C75" s="5">
        <f t="shared" si="18"/>
        <v>0</v>
      </c>
      <c r="D75" s="5">
        <f t="shared" si="18"/>
        <v>0</v>
      </c>
      <c r="E75" s="6">
        <f t="shared" si="18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A76" s="55"/>
      <c r="B76" s="55"/>
      <c r="C76" s="55"/>
      <c r="D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</row>
    <row r="77" spans="1:54" ht="21" customHeight="1" x14ac:dyDescent="0.35"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</row>
    <row r="78" spans="1:54" ht="21" customHeight="1" thickBot="1" x14ac:dyDescent="0.45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1">E45</f>
        <v>Temperature,К</v>
      </c>
      <c r="F79" s="3">
        <f t="shared" ref="F79:AL79" si="22">F3</f>
        <v>273.10000000000002</v>
      </c>
      <c r="G79" s="3">
        <f t="shared" si="22"/>
        <v>289.7</v>
      </c>
      <c r="H79" s="3">
        <f t="shared" si="22"/>
        <v>306.2</v>
      </c>
      <c r="I79" s="3">
        <f t="shared" si="22"/>
        <v>322.7</v>
      </c>
      <c r="J79" s="3">
        <f t="shared" si="22"/>
        <v>339.2</v>
      </c>
      <c r="K79" s="3">
        <f t="shared" si="22"/>
        <v>405.3</v>
      </c>
      <c r="L79" s="3">
        <f t="shared" si="22"/>
        <v>421.8</v>
      </c>
      <c r="M79" s="3">
        <f t="shared" si="22"/>
        <v>438.3</v>
      </c>
      <c r="N79" s="3">
        <f t="shared" si="22"/>
        <v>454.9</v>
      </c>
      <c r="O79" s="3">
        <f t="shared" si="22"/>
        <v>471.4</v>
      </c>
      <c r="P79" s="3">
        <f t="shared" si="22"/>
        <v>487.9</v>
      </c>
      <c r="Q79" s="3">
        <f t="shared" si="22"/>
        <v>504.4</v>
      </c>
      <c r="R79" s="3">
        <f t="shared" si="22"/>
        <v>520.9</v>
      </c>
      <c r="S79" s="3">
        <f t="shared" si="22"/>
        <v>537.5</v>
      </c>
      <c r="T79" s="3">
        <f t="shared" si="22"/>
        <v>554</v>
      </c>
      <c r="U79" s="3">
        <f t="shared" si="22"/>
        <v>570.5</v>
      </c>
      <c r="V79" s="3">
        <f t="shared" si="22"/>
        <v>587</v>
      </c>
      <c r="W79" s="3">
        <f t="shared" si="22"/>
        <v>603.5</v>
      </c>
      <c r="X79" s="3">
        <f t="shared" si="22"/>
        <v>620.1</v>
      </c>
      <c r="Y79" s="3">
        <f t="shared" si="22"/>
        <v>636.6</v>
      </c>
      <c r="Z79" s="3">
        <f t="shared" si="22"/>
        <v>653.1</v>
      </c>
      <c r="AA79" s="3">
        <f t="shared" si="22"/>
        <v>669.6</v>
      </c>
      <c r="AB79" s="3">
        <f t="shared" si="22"/>
        <v>735.7</v>
      </c>
      <c r="AC79" s="3">
        <f t="shared" si="22"/>
        <v>801.8</v>
      </c>
      <c r="AD79" s="3">
        <f t="shared" si="22"/>
        <v>818.3</v>
      </c>
      <c r="AE79" s="3">
        <f t="shared" si="22"/>
        <v>834.8</v>
      </c>
      <c r="AF79" s="3">
        <f t="shared" si="22"/>
        <v>851.3</v>
      </c>
      <c r="AG79" s="3">
        <f t="shared" si="22"/>
        <v>867.8</v>
      </c>
      <c r="AH79" s="3">
        <f t="shared" si="22"/>
        <v>884.4</v>
      </c>
      <c r="AI79" s="3">
        <f t="shared" si="22"/>
        <v>900.9</v>
      </c>
      <c r="AJ79" s="3">
        <f t="shared" si="22"/>
        <v>917.4</v>
      </c>
      <c r="AK79" s="3">
        <f t="shared" si="22"/>
        <v>933.9</v>
      </c>
      <c r="AL79" s="3">
        <f t="shared" si="22"/>
        <v>1000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3">B46</f>
        <v>1</v>
      </c>
      <c r="C80" s="5">
        <f t="shared" si="23"/>
        <v>1</v>
      </c>
      <c r="D80" s="5">
        <f t="shared" si="23"/>
        <v>0</v>
      </c>
      <c r="E80" s="6" t="str">
        <f t="shared" si="21"/>
        <v>*GeSe</v>
      </c>
      <c r="F80" s="14">
        <f t="shared" ref="F80:AL80" si="24">F4*$C$78</f>
        <v>1.0652499999999999E-8</v>
      </c>
      <c r="G80" s="14">
        <f t="shared" si="24"/>
        <v>1.9519999999999999E-8</v>
      </c>
      <c r="H80" s="14">
        <f t="shared" si="24"/>
        <v>3.0818571428571426E-8</v>
      </c>
      <c r="I80" s="14">
        <f t="shared" si="24"/>
        <v>5.435E-8</v>
      </c>
      <c r="J80" s="14">
        <f t="shared" si="24"/>
        <v>7.9635714285714279E-8</v>
      </c>
      <c r="K80" s="14">
        <f t="shared" si="24"/>
        <v>1.3212142857142856E-7</v>
      </c>
      <c r="L80" s="14">
        <f t="shared" si="24"/>
        <v>8.2142857142857143E-8</v>
      </c>
      <c r="M80" s="14">
        <f t="shared" si="24"/>
        <v>4.0264285714285716E-8</v>
      </c>
      <c r="N80" s="14">
        <f t="shared" si="24"/>
        <v>1.3208571428571427E-8</v>
      </c>
      <c r="O80" s="14">
        <f t="shared" si="24"/>
        <v>1.7039999999999997E-11</v>
      </c>
      <c r="P80" s="14">
        <f t="shared" si="24"/>
        <v>2.5427500000000001E-17</v>
      </c>
      <c r="Q80" s="14">
        <f t="shared" si="24"/>
        <v>1.9293214285714285E-24</v>
      </c>
      <c r="R80" s="14">
        <f t="shared" si="24"/>
        <v>5.0124999999999997E-32</v>
      </c>
      <c r="S80" s="14">
        <f t="shared" si="24"/>
        <v>0</v>
      </c>
      <c r="T80" s="14">
        <f t="shared" si="24"/>
        <v>0</v>
      </c>
      <c r="U80" s="14">
        <f t="shared" si="24"/>
        <v>0</v>
      </c>
      <c r="V80" s="14">
        <f t="shared" si="24"/>
        <v>0</v>
      </c>
      <c r="W80" s="14">
        <f t="shared" si="24"/>
        <v>0</v>
      </c>
      <c r="X80" s="14">
        <f t="shared" si="24"/>
        <v>0</v>
      </c>
      <c r="Y80" s="14">
        <f t="shared" si="24"/>
        <v>0</v>
      </c>
      <c r="Z80" s="14">
        <f t="shared" si="24"/>
        <v>0</v>
      </c>
      <c r="AA80" s="14">
        <f t="shared" si="24"/>
        <v>0</v>
      </c>
      <c r="AB80" s="14">
        <f t="shared" si="24"/>
        <v>0</v>
      </c>
      <c r="AC80" s="14">
        <f t="shared" si="24"/>
        <v>0</v>
      </c>
      <c r="AD80" s="14">
        <f t="shared" si="24"/>
        <v>0</v>
      </c>
      <c r="AE80" s="14">
        <f t="shared" si="24"/>
        <v>0</v>
      </c>
      <c r="AF80" s="14">
        <f t="shared" si="24"/>
        <v>0</v>
      </c>
      <c r="AG80" s="14">
        <f t="shared" si="24"/>
        <v>0</v>
      </c>
      <c r="AH80" s="14">
        <f t="shared" si="24"/>
        <v>0</v>
      </c>
      <c r="AI80" s="14">
        <f t="shared" si="24"/>
        <v>0</v>
      </c>
      <c r="AJ80" s="14">
        <f t="shared" si="24"/>
        <v>0</v>
      </c>
      <c r="AK80" s="14">
        <f t="shared" si="24"/>
        <v>0</v>
      </c>
      <c r="AL80" s="14">
        <f t="shared" si="24"/>
        <v>0</v>
      </c>
    </row>
    <row r="81" spans="1:38" ht="21" customHeight="1" outlineLevel="1" thickBot="1" x14ac:dyDescent="0.4">
      <c r="A81" s="5">
        <f t="shared" ref="A81:D96" si="25">A47</f>
        <v>0</v>
      </c>
      <c r="B81" s="5">
        <f t="shared" si="25"/>
        <v>0</v>
      </c>
      <c r="C81" s="5">
        <f t="shared" si="25"/>
        <v>0</v>
      </c>
      <c r="D81" s="5">
        <f t="shared" si="25"/>
        <v>1</v>
      </c>
      <c r="E81" s="6" t="str">
        <f t="shared" si="21"/>
        <v>*Ga[1]</v>
      </c>
      <c r="F81" s="14">
        <f t="shared" ref="F81:AL81" si="26">F5*$C$78</f>
        <v>0</v>
      </c>
      <c r="G81" s="14">
        <f t="shared" si="26"/>
        <v>0</v>
      </c>
      <c r="H81" s="14">
        <f t="shared" si="26"/>
        <v>0</v>
      </c>
      <c r="I81" s="14">
        <f t="shared" si="26"/>
        <v>0</v>
      </c>
      <c r="J81" s="14">
        <f t="shared" si="26"/>
        <v>0</v>
      </c>
      <c r="K81" s="14">
        <f t="shared" si="26"/>
        <v>0</v>
      </c>
      <c r="L81" s="14">
        <f t="shared" si="26"/>
        <v>0</v>
      </c>
      <c r="M81" s="14">
        <f t="shared" si="26"/>
        <v>0</v>
      </c>
      <c r="N81" s="14">
        <f t="shared" si="26"/>
        <v>0</v>
      </c>
      <c r="O81" s="14">
        <f t="shared" si="26"/>
        <v>0</v>
      </c>
      <c r="P81" s="14">
        <f t="shared" si="26"/>
        <v>0</v>
      </c>
      <c r="Q81" s="14">
        <f t="shared" si="26"/>
        <v>0</v>
      </c>
      <c r="R81" s="14">
        <f t="shared" si="26"/>
        <v>0</v>
      </c>
      <c r="S81" s="14">
        <f t="shared" si="26"/>
        <v>0</v>
      </c>
      <c r="T81" s="14">
        <f t="shared" si="26"/>
        <v>0</v>
      </c>
      <c r="U81" s="14">
        <f t="shared" si="26"/>
        <v>0</v>
      </c>
      <c r="V81" s="14">
        <f t="shared" si="26"/>
        <v>0</v>
      </c>
      <c r="W81" s="14">
        <f t="shared" si="26"/>
        <v>0</v>
      </c>
      <c r="X81" s="14">
        <f t="shared" si="26"/>
        <v>0</v>
      </c>
      <c r="Y81" s="14">
        <f t="shared" si="26"/>
        <v>0</v>
      </c>
      <c r="Z81" s="14">
        <f t="shared" si="26"/>
        <v>0</v>
      </c>
      <c r="AA81" s="14">
        <f t="shared" si="26"/>
        <v>0</v>
      </c>
      <c r="AB81" s="14">
        <f t="shared" si="26"/>
        <v>0</v>
      </c>
      <c r="AC81" s="14">
        <f t="shared" si="26"/>
        <v>2.1938928571428571E-27</v>
      </c>
      <c r="AD81" s="14">
        <f t="shared" si="26"/>
        <v>6.4503571428571428E-22</v>
      </c>
      <c r="AE81" s="14">
        <f t="shared" si="26"/>
        <v>7.7792857142857135E-17</v>
      </c>
      <c r="AF81" s="14">
        <f t="shared" si="26"/>
        <v>3.733928571428571E-12</v>
      </c>
      <c r="AG81" s="14">
        <f t="shared" si="26"/>
        <v>2.0672142857142857E-9</v>
      </c>
      <c r="AH81" s="14">
        <f t="shared" si="26"/>
        <v>6.7492857142857133E-7</v>
      </c>
      <c r="AI81" s="14">
        <f t="shared" si="26"/>
        <v>2.4099285714285714E-5</v>
      </c>
      <c r="AJ81" s="14">
        <f t="shared" si="26"/>
        <v>1.9751428571428567E-5</v>
      </c>
      <c r="AK81" s="14">
        <f t="shared" si="26"/>
        <v>1.5711428571428572E-5</v>
      </c>
      <c r="AL81" s="14">
        <f t="shared" si="26"/>
        <v>7.6042857142857134E-6</v>
      </c>
    </row>
    <row r="82" spans="1:38" ht="21" customHeight="1" outlineLevel="1" thickBot="1" x14ac:dyDescent="0.4">
      <c r="A82" s="5">
        <f t="shared" si="25"/>
        <v>0</v>
      </c>
      <c r="B82" s="5">
        <f t="shared" si="25"/>
        <v>1</v>
      </c>
      <c r="C82" s="5">
        <f t="shared" si="25"/>
        <v>0</v>
      </c>
      <c r="D82" s="5">
        <f t="shared" si="25"/>
        <v>0</v>
      </c>
      <c r="E82" s="6" t="str">
        <f t="shared" si="21"/>
        <v>*Se[m]</v>
      </c>
      <c r="F82" s="14">
        <f t="shared" ref="F82:AL82" si="27">F6*$C$78</f>
        <v>0</v>
      </c>
      <c r="G82" s="14">
        <f t="shared" si="27"/>
        <v>0</v>
      </c>
      <c r="H82" s="14">
        <f t="shared" si="27"/>
        <v>2.0968214285714285E-30</v>
      </c>
      <c r="I82" s="14">
        <f t="shared" si="27"/>
        <v>2.2418928571428567E-24</v>
      </c>
      <c r="J82" s="14">
        <f t="shared" si="27"/>
        <v>3.0874285714285711E-21</v>
      </c>
      <c r="K82" s="14">
        <f t="shared" si="27"/>
        <v>7.1467857142857138E-17</v>
      </c>
      <c r="L82" s="14">
        <f t="shared" si="27"/>
        <v>2.7719999999999997E-15</v>
      </c>
      <c r="M82" s="14">
        <f t="shared" si="27"/>
        <v>1.2700357142857142E-12</v>
      </c>
      <c r="N82" s="14">
        <f t="shared" si="27"/>
        <v>1.5771071428571429E-9</v>
      </c>
      <c r="O82" s="14">
        <f t="shared" si="27"/>
        <v>1.7945714285714287E-8</v>
      </c>
      <c r="P82" s="14">
        <f t="shared" si="27"/>
        <v>2.2355714285714285E-8</v>
      </c>
      <c r="Q82" s="14">
        <f t="shared" si="27"/>
        <v>3.666071428571428E-8</v>
      </c>
      <c r="R82" s="14">
        <f t="shared" si="27"/>
        <v>7.7271428571428565E-8</v>
      </c>
      <c r="S82" s="14">
        <f t="shared" si="27"/>
        <v>5.6910714285714279E-8</v>
      </c>
      <c r="T82" s="14">
        <f t="shared" si="27"/>
        <v>9.4149999999999993E-8</v>
      </c>
      <c r="U82" s="14">
        <f t="shared" si="27"/>
        <v>7.3567857142857147E-8</v>
      </c>
      <c r="V82" s="14">
        <f t="shared" si="27"/>
        <v>8.476071428571428E-8</v>
      </c>
      <c r="W82" s="14">
        <f t="shared" si="27"/>
        <v>8.4399999999999988E-8</v>
      </c>
      <c r="X82" s="14">
        <f t="shared" si="27"/>
        <v>8.2067857142857137E-8</v>
      </c>
      <c r="Y82" s="14">
        <f t="shared" si="27"/>
        <v>8.2803571428571418E-8</v>
      </c>
      <c r="Z82" s="14">
        <f t="shared" si="27"/>
        <v>8.3424999999999994E-8</v>
      </c>
      <c r="AA82" s="14">
        <f t="shared" si="27"/>
        <v>8.7471428571428563E-8</v>
      </c>
      <c r="AB82" s="14">
        <f t="shared" si="27"/>
        <v>1.1146785714285714E-7</v>
      </c>
      <c r="AC82" s="14">
        <f t="shared" si="27"/>
        <v>1.1626785714285714E-7</v>
      </c>
      <c r="AD82" s="14">
        <f t="shared" si="27"/>
        <v>1.1477142857142855E-7</v>
      </c>
      <c r="AE82" s="14">
        <f t="shared" si="27"/>
        <v>1.1304285714285712E-7</v>
      </c>
      <c r="AF82" s="14">
        <f t="shared" si="27"/>
        <v>1.1177857142857142E-7</v>
      </c>
      <c r="AG82" s="14">
        <f t="shared" si="27"/>
        <v>4.2882142857142856E-10</v>
      </c>
      <c r="AH82" s="14">
        <f t="shared" si="27"/>
        <v>5.6117857142857138E-29</v>
      </c>
      <c r="AI82" s="14">
        <f t="shared" si="27"/>
        <v>6.7474999999999998E-29</v>
      </c>
      <c r="AJ82" s="14">
        <f t="shared" si="27"/>
        <v>1.2735357142857141E-29</v>
      </c>
      <c r="AK82" s="14">
        <f t="shared" si="27"/>
        <v>8.345E-29</v>
      </c>
      <c r="AL82" s="14">
        <f t="shared" si="27"/>
        <v>1.4717857142857141E-22</v>
      </c>
    </row>
    <row r="83" spans="1:38" ht="21" customHeight="1" outlineLevel="1" thickBot="1" x14ac:dyDescent="0.4">
      <c r="A83" s="5">
        <f t="shared" si="25"/>
        <v>0</v>
      </c>
      <c r="B83" s="5">
        <f t="shared" si="25"/>
        <v>2</v>
      </c>
      <c r="C83" s="5">
        <f t="shared" si="25"/>
        <v>1</v>
      </c>
      <c r="D83" s="5">
        <f t="shared" si="25"/>
        <v>0</v>
      </c>
      <c r="E83" s="6" t="str">
        <f t="shared" si="21"/>
        <v>*GeSe2</v>
      </c>
      <c r="F83" s="14">
        <f t="shared" ref="F83:AL83" si="28">F7*$C$78</f>
        <v>5.1639285714285707E-9</v>
      </c>
      <c r="G83" s="14">
        <f t="shared" si="28"/>
        <v>8.9382142857142856E-10</v>
      </c>
      <c r="H83" s="14">
        <f t="shared" si="28"/>
        <v>4.1782142857142858E-12</v>
      </c>
      <c r="I83" s="14">
        <f t="shared" si="28"/>
        <v>4.3289285714285714E-17</v>
      </c>
      <c r="J83" s="14">
        <f t="shared" si="28"/>
        <v>8.3757142857142846E-26</v>
      </c>
      <c r="K83" s="14">
        <f t="shared" si="28"/>
        <v>0</v>
      </c>
      <c r="L83" s="14">
        <f t="shared" si="28"/>
        <v>0</v>
      </c>
      <c r="M83" s="14">
        <f t="shared" si="28"/>
        <v>0</v>
      </c>
      <c r="N83" s="14">
        <f t="shared" si="28"/>
        <v>0</v>
      </c>
      <c r="O83" s="14">
        <f t="shared" si="28"/>
        <v>0</v>
      </c>
      <c r="P83" s="14">
        <f t="shared" si="28"/>
        <v>0</v>
      </c>
      <c r="Q83" s="14">
        <f t="shared" si="28"/>
        <v>0</v>
      </c>
      <c r="R83" s="14">
        <f t="shared" si="28"/>
        <v>0</v>
      </c>
      <c r="S83" s="14">
        <f t="shared" si="28"/>
        <v>0</v>
      </c>
      <c r="T83" s="14">
        <f t="shared" si="28"/>
        <v>0</v>
      </c>
      <c r="U83" s="14">
        <f t="shared" si="28"/>
        <v>0</v>
      </c>
      <c r="V83" s="14">
        <f t="shared" si="28"/>
        <v>0</v>
      </c>
      <c r="W83" s="14">
        <f t="shared" si="28"/>
        <v>0</v>
      </c>
      <c r="X83" s="14">
        <f t="shared" si="28"/>
        <v>0</v>
      </c>
      <c r="Y83" s="14">
        <f t="shared" si="28"/>
        <v>0</v>
      </c>
      <c r="Z83" s="14">
        <f t="shared" si="28"/>
        <v>0</v>
      </c>
      <c r="AA83" s="14">
        <f t="shared" si="28"/>
        <v>0</v>
      </c>
      <c r="AB83" s="14">
        <f t="shared" si="28"/>
        <v>0</v>
      </c>
      <c r="AC83" s="14">
        <f t="shared" si="28"/>
        <v>0</v>
      </c>
      <c r="AD83" s="14">
        <f t="shared" si="28"/>
        <v>0</v>
      </c>
      <c r="AE83" s="14">
        <f t="shared" si="28"/>
        <v>0</v>
      </c>
      <c r="AF83" s="14">
        <f t="shared" si="28"/>
        <v>0</v>
      </c>
      <c r="AG83" s="14">
        <f t="shared" si="28"/>
        <v>0</v>
      </c>
      <c r="AH83" s="14">
        <f t="shared" si="28"/>
        <v>0</v>
      </c>
      <c r="AI83" s="14">
        <f t="shared" si="28"/>
        <v>0</v>
      </c>
      <c r="AJ83" s="14">
        <f t="shared" si="28"/>
        <v>0</v>
      </c>
      <c r="AK83" s="14">
        <f t="shared" si="28"/>
        <v>0</v>
      </c>
      <c r="AL83" s="14">
        <f t="shared" si="28"/>
        <v>0</v>
      </c>
    </row>
    <row r="84" spans="1:38" ht="21" customHeight="1" outlineLevel="1" thickBot="1" x14ac:dyDescent="0.4">
      <c r="A84" s="5">
        <f t="shared" si="25"/>
        <v>0</v>
      </c>
      <c r="B84" s="5">
        <f t="shared" si="25"/>
        <v>3</v>
      </c>
      <c r="C84" s="5">
        <f t="shared" si="25"/>
        <v>0</v>
      </c>
      <c r="D84" s="5">
        <f t="shared" si="25"/>
        <v>2</v>
      </c>
      <c r="E84" s="6" t="str">
        <f t="shared" si="21"/>
        <v>Ga2Se3</v>
      </c>
      <c r="F84" s="14">
        <f t="shared" ref="F84:AL84" si="29">F8*$C$78</f>
        <v>2.9614999999999995E-2</v>
      </c>
      <c r="G84" s="14">
        <f t="shared" si="29"/>
        <v>2.9264642857142854E-2</v>
      </c>
      <c r="H84" s="14">
        <f t="shared" si="29"/>
        <v>2.8417857142857144E-2</v>
      </c>
      <c r="I84" s="14">
        <f t="shared" si="29"/>
        <v>2.7003571428571425E-2</v>
      </c>
      <c r="J84" s="14">
        <f t="shared" si="29"/>
        <v>2.5447499999999998E-2</v>
      </c>
      <c r="K84" s="14">
        <f t="shared" si="29"/>
        <v>2.2976785714285713E-2</v>
      </c>
      <c r="L84" s="14">
        <f t="shared" si="29"/>
        <v>2.2609642857142856E-2</v>
      </c>
      <c r="M84" s="14">
        <f t="shared" si="29"/>
        <v>2.1982499999999999E-2</v>
      </c>
      <c r="N84" s="14">
        <f t="shared" si="29"/>
        <v>2.1013214285714284E-2</v>
      </c>
      <c r="O84" s="14">
        <f t="shared" si="29"/>
        <v>1.9786071428571427E-2</v>
      </c>
      <c r="P84" s="14">
        <f t="shared" si="29"/>
        <v>1.8537142857142856E-2</v>
      </c>
      <c r="Q84" s="14">
        <f t="shared" si="29"/>
        <v>1.7509285714285713E-2</v>
      </c>
      <c r="R84" s="14">
        <f t="shared" si="29"/>
        <v>1.6806428571428569E-2</v>
      </c>
      <c r="S84" s="14">
        <f t="shared" si="29"/>
        <v>1.6385357142857142E-2</v>
      </c>
      <c r="T84" s="14">
        <f t="shared" si="29"/>
        <v>1.6151071428571428E-2</v>
      </c>
      <c r="U84" s="14">
        <f t="shared" si="29"/>
        <v>1.6024642857142855E-2</v>
      </c>
      <c r="V84" s="14">
        <f t="shared" si="29"/>
        <v>1.5956071428571427E-2</v>
      </c>
      <c r="W84" s="14">
        <f t="shared" si="29"/>
        <v>1.5914999999999999E-2</v>
      </c>
      <c r="X84" s="14">
        <f t="shared" si="29"/>
        <v>1.5876071428571427E-2</v>
      </c>
      <c r="Y84" s="14">
        <f t="shared" si="29"/>
        <v>1.5791428571428571E-2</v>
      </c>
      <c r="Z84" s="14">
        <f t="shared" si="29"/>
        <v>1.5519285714285713E-2</v>
      </c>
      <c r="AA84" s="14">
        <f t="shared" si="29"/>
        <v>1.4652142857142855E-2</v>
      </c>
      <c r="AB84" s="14">
        <f t="shared" si="29"/>
        <v>1.6410357142857142E-3</v>
      </c>
      <c r="AC84" s="14">
        <f t="shared" si="29"/>
        <v>2.5999285714285713E-5</v>
      </c>
      <c r="AD84" s="14">
        <f t="shared" si="29"/>
        <v>9.2542857142857128E-6</v>
      </c>
      <c r="AE84" s="14">
        <f t="shared" si="29"/>
        <v>3.3104285714285712E-6</v>
      </c>
      <c r="AF84" s="14">
        <f t="shared" si="29"/>
        <v>1.1906785714285713E-6</v>
      </c>
      <c r="AG84" s="14">
        <f t="shared" si="29"/>
        <v>4.317142857142857E-7</v>
      </c>
      <c r="AH84" s="14">
        <f t="shared" si="29"/>
        <v>1.5560714285714285E-7</v>
      </c>
      <c r="AI84" s="14">
        <f t="shared" si="29"/>
        <v>3.4559285714285712E-8</v>
      </c>
      <c r="AJ84" s="14">
        <f t="shared" si="29"/>
        <v>7.7896428571428552E-9</v>
      </c>
      <c r="AK84" s="14">
        <f t="shared" si="29"/>
        <v>1.8107142857142856E-9</v>
      </c>
      <c r="AL84" s="14">
        <f t="shared" si="29"/>
        <v>7.2596428571428564E-12</v>
      </c>
    </row>
    <row r="85" spans="1:38" ht="21" customHeight="1" outlineLevel="1" thickBot="1" x14ac:dyDescent="0.4">
      <c r="A85" s="5">
        <f t="shared" si="25"/>
        <v>0</v>
      </c>
      <c r="B85" s="5">
        <f t="shared" si="25"/>
        <v>1</v>
      </c>
      <c r="C85" s="5">
        <f t="shared" si="25"/>
        <v>0</v>
      </c>
      <c r="D85" s="5">
        <f t="shared" si="25"/>
        <v>2</v>
      </c>
      <c r="E85" s="6" t="str">
        <f t="shared" si="21"/>
        <v>Ga2Se</v>
      </c>
      <c r="F85" s="14">
        <f t="shared" ref="F85:AL85" si="30">F9*$C$78</f>
        <v>0</v>
      </c>
      <c r="G85" s="14">
        <f t="shared" si="30"/>
        <v>0</v>
      </c>
      <c r="H85" s="14">
        <f t="shared" si="30"/>
        <v>0</v>
      </c>
      <c r="I85" s="14">
        <f t="shared" si="30"/>
        <v>0</v>
      </c>
      <c r="J85" s="14">
        <f t="shared" si="30"/>
        <v>0</v>
      </c>
      <c r="K85" s="14">
        <f t="shared" si="30"/>
        <v>0</v>
      </c>
      <c r="L85" s="14">
        <f t="shared" si="30"/>
        <v>0</v>
      </c>
      <c r="M85" s="14">
        <f t="shared" si="30"/>
        <v>0</v>
      </c>
      <c r="N85" s="14">
        <f t="shared" si="30"/>
        <v>2.6594642857142857E-34</v>
      </c>
      <c r="O85" s="14">
        <f t="shared" si="30"/>
        <v>3.2479642857142855E-32</v>
      </c>
      <c r="P85" s="14">
        <f t="shared" si="30"/>
        <v>2.9389285714285715E-30</v>
      </c>
      <c r="Q85" s="14">
        <f t="shared" si="30"/>
        <v>2.1131785714285712E-28</v>
      </c>
      <c r="R85" s="14">
        <f t="shared" si="30"/>
        <v>1.2502142857142856E-26</v>
      </c>
      <c r="S85" s="14">
        <f t="shared" si="30"/>
        <v>6.1421428571428567E-25</v>
      </c>
      <c r="T85" s="14">
        <f t="shared" si="30"/>
        <v>2.5096071428571428E-23</v>
      </c>
      <c r="U85" s="14">
        <f t="shared" si="30"/>
        <v>8.5599999999999982E-22</v>
      </c>
      <c r="V85" s="14">
        <f t="shared" si="30"/>
        <v>2.4559999999999999E-20</v>
      </c>
      <c r="W85" s="14">
        <f t="shared" si="30"/>
        <v>5.985357142857142E-19</v>
      </c>
      <c r="X85" s="14">
        <f t="shared" si="30"/>
        <v>1.2511785714285713E-17</v>
      </c>
      <c r="Y85" s="14">
        <f t="shared" si="30"/>
        <v>2.2612142857142852E-16</v>
      </c>
      <c r="Z85" s="14">
        <f t="shared" si="30"/>
        <v>3.5349285714285714E-15</v>
      </c>
      <c r="AA85" s="14">
        <f t="shared" si="30"/>
        <v>4.6839285714285708E-14</v>
      </c>
      <c r="AB85" s="14">
        <f t="shared" si="30"/>
        <v>6.7471428571428566E-11</v>
      </c>
      <c r="AC85" s="14">
        <f t="shared" si="30"/>
        <v>3.5519999999999993E-9</v>
      </c>
      <c r="AD85" s="14">
        <f t="shared" si="30"/>
        <v>8.0339285714285709E-9</v>
      </c>
      <c r="AE85" s="14">
        <f t="shared" si="30"/>
        <v>1.7138928571428569E-8</v>
      </c>
      <c r="AF85" s="14">
        <f t="shared" si="30"/>
        <v>3.4622142857142857E-8</v>
      </c>
      <c r="AG85" s="14">
        <f t="shared" si="30"/>
        <v>6.661428571428571E-8</v>
      </c>
      <c r="AH85" s="14">
        <f t="shared" si="30"/>
        <v>1.2060357142857143E-7</v>
      </c>
      <c r="AI85" s="14">
        <f t="shared" si="30"/>
        <v>1.2427857142857141E-7</v>
      </c>
      <c r="AJ85" s="14">
        <f t="shared" si="30"/>
        <v>1.25075E-7</v>
      </c>
      <c r="AK85" s="14">
        <f t="shared" si="30"/>
        <v>1.2474285714285714E-7</v>
      </c>
      <c r="AL85" s="14">
        <f t="shared" si="30"/>
        <v>1.1526071428571428E-7</v>
      </c>
    </row>
    <row r="86" spans="1:38" ht="21" customHeight="1" outlineLevel="1" thickBot="1" x14ac:dyDescent="0.4">
      <c r="A86" s="5">
        <f t="shared" si="25"/>
        <v>0</v>
      </c>
      <c r="B86" s="5">
        <f t="shared" si="25"/>
        <v>0</v>
      </c>
      <c r="C86" s="5">
        <f t="shared" si="25"/>
        <v>0</v>
      </c>
      <c r="D86" s="5">
        <f t="shared" si="25"/>
        <v>1</v>
      </c>
      <c r="E86" s="6" t="str">
        <f t="shared" si="21"/>
        <v>Ga</v>
      </c>
      <c r="F86" s="14">
        <f t="shared" ref="F86:AL86" si="31">F10*$C$78</f>
        <v>0</v>
      </c>
      <c r="G86" s="14">
        <f t="shared" si="31"/>
        <v>0</v>
      </c>
      <c r="H86" s="14">
        <f t="shared" si="31"/>
        <v>0</v>
      </c>
      <c r="I86" s="14">
        <f t="shared" si="31"/>
        <v>0</v>
      </c>
      <c r="J86" s="14">
        <f t="shared" si="31"/>
        <v>0</v>
      </c>
      <c r="K86" s="14">
        <f t="shared" si="31"/>
        <v>0</v>
      </c>
      <c r="L86" s="14">
        <f t="shared" si="31"/>
        <v>0</v>
      </c>
      <c r="M86" s="14">
        <f t="shared" si="31"/>
        <v>0</v>
      </c>
      <c r="N86" s="14">
        <f t="shared" si="31"/>
        <v>0</v>
      </c>
      <c r="O86" s="14">
        <f t="shared" si="31"/>
        <v>0</v>
      </c>
      <c r="P86" s="14">
        <f t="shared" si="31"/>
        <v>4.5057142857142852E-34</v>
      </c>
      <c r="Q86" s="14">
        <f t="shared" si="31"/>
        <v>2.5389642857142853E-32</v>
      </c>
      <c r="R86" s="14">
        <f t="shared" si="31"/>
        <v>1.1717499999999998E-30</v>
      </c>
      <c r="S86" s="14">
        <f t="shared" si="31"/>
        <v>4.4803571428571424E-29</v>
      </c>
      <c r="T86" s="14">
        <f t="shared" si="31"/>
        <v>1.4279999999999999E-27</v>
      </c>
      <c r="U86" s="14">
        <f t="shared" si="31"/>
        <v>3.8224999999999995E-26</v>
      </c>
      <c r="V86" s="14">
        <f t="shared" si="31"/>
        <v>8.6760714285714272E-25</v>
      </c>
      <c r="W86" s="14">
        <f t="shared" si="31"/>
        <v>1.6872499999999999E-23</v>
      </c>
      <c r="X86" s="14">
        <f t="shared" si="31"/>
        <v>2.8405357142857138E-22</v>
      </c>
      <c r="Y86" s="14">
        <f t="shared" si="31"/>
        <v>4.1764285714285712E-21</v>
      </c>
      <c r="Z86" s="14">
        <f t="shared" si="31"/>
        <v>5.3878571428571423E-20</v>
      </c>
      <c r="AA86" s="14">
        <f t="shared" si="31"/>
        <v>6.057857142857143E-19</v>
      </c>
      <c r="AB86" s="14">
        <f t="shared" si="31"/>
        <v>1.2908214285714284E-15</v>
      </c>
      <c r="AC86" s="14">
        <f t="shared" si="31"/>
        <v>2.9071785714285713E-13</v>
      </c>
      <c r="AD86" s="14">
        <f t="shared" si="31"/>
        <v>9.5467857142857128E-13</v>
      </c>
      <c r="AE86" s="14">
        <f t="shared" si="31"/>
        <v>2.9613928571428571E-12</v>
      </c>
      <c r="AF86" s="14">
        <f t="shared" si="31"/>
        <v>8.7078571428571423E-12</v>
      </c>
      <c r="AG86" s="14">
        <f t="shared" si="31"/>
        <v>2.4377857142857143E-11</v>
      </c>
      <c r="AH86" s="14">
        <f t="shared" si="31"/>
        <v>6.4646428571428565E-11</v>
      </c>
      <c r="AI86" s="14">
        <f t="shared" si="31"/>
        <v>1.2560357142857141E-10</v>
      </c>
      <c r="AJ86" s="14">
        <f t="shared" si="31"/>
        <v>2.3673571428571428E-10</v>
      </c>
      <c r="AK86" s="14">
        <f t="shared" si="31"/>
        <v>4.3607142857142851E-10</v>
      </c>
      <c r="AL86" s="14">
        <f t="shared" si="31"/>
        <v>4.0799999999999991E-9</v>
      </c>
    </row>
    <row r="87" spans="1:38" ht="21" customHeight="1" outlineLevel="1" thickBot="1" x14ac:dyDescent="0.4">
      <c r="A87" s="5">
        <f t="shared" si="25"/>
        <v>1</v>
      </c>
      <c r="B87" s="5">
        <f t="shared" si="25"/>
        <v>0</v>
      </c>
      <c r="C87" s="5">
        <f t="shared" si="25"/>
        <v>0</v>
      </c>
      <c r="D87" s="5">
        <f t="shared" si="25"/>
        <v>0</v>
      </c>
      <c r="E87" s="6" t="str">
        <f t="shared" si="21"/>
        <v>Ar</v>
      </c>
      <c r="F87" s="14">
        <f t="shared" ref="F87:AL87" si="32">F11*$C$78</f>
        <v>0.7142857142857143</v>
      </c>
      <c r="G87" s="14">
        <f t="shared" si="32"/>
        <v>0.7142857142857143</v>
      </c>
      <c r="H87" s="14">
        <f t="shared" si="32"/>
        <v>0.7142857142857143</v>
      </c>
      <c r="I87" s="14">
        <f t="shared" si="32"/>
        <v>0.7142857142857143</v>
      </c>
      <c r="J87" s="14">
        <f t="shared" si="32"/>
        <v>0.7142857142857143</v>
      </c>
      <c r="K87" s="14">
        <f t="shared" si="32"/>
        <v>0.7142857142857143</v>
      </c>
      <c r="L87" s="14">
        <f t="shared" si="32"/>
        <v>0.7142857142857143</v>
      </c>
      <c r="M87" s="14">
        <f t="shared" si="32"/>
        <v>0.7142857142857143</v>
      </c>
      <c r="N87" s="14">
        <f t="shared" si="32"/>
        <v>0.7142857142857143</v>
      </c>
      <c r="O87" s="14">
        <f t="shared" si="32"/>
        <v>0.7142857142857143</v>
      </c>
      <c r="P87" s="14">
        <f t="shared" si="32"/>
        <v>0.7142857142857143</v>
      </c>
      <c r="Q87" s="14">
        <f t="shared" si="32"/>
        <v>0.7142857142857143</v>
      </c>
      <c r="R87" s="14">
        <f t="shared" si="32"/>
        <v>0.7142857142857143</v>
      </c>
      <c r="S87" s="14">
        <f t="shared" si="32"/>
        <v>0.7142857142857143</v>
      </c>
      <c r="T87" s="14">
        <f t="shared" si="32"/>
        <v>0.7142857142857143</v>
      </c>
      <c r="U87" s="14">
        <f t="shared" si="32"/>
        <v>0.7142857142857143</v>
      </c>
      <c r="V87" s="14">
        <f t="shared" si="32"/>
        <v>0.7142857142857143</v>
      </c>
      <c r="W87" s="14">
        <f t="shared" si="32"/>
        <v>0.7142857142857143</v>
      </c>
      <c r="X87" s="14">
        <f t="shared" si="32"/>
        <v>0.7142857142857143</v>
      </c>
      <c r="Y87" s="14">
        <f t="shared" si="32"/>
        <v>0.7142857142857143</v>
      </c>
      <c r="Z87" s="14">
        <f t="shared" si="32"/>
        <v>0.7142857142857143</v>
      </c>
      <c r="AA87" s="14">
        <f t="shared" si="32"/>
        <v>0.7142857142857143</v>
      </c>
      <c r="AB87" s="14">
        <f t="shared" si="32"/>
        <v>0.7142857142857143</v>
      </c>
      <c r="AC87" s="14">
        <f t="shared" si="32"/>
        <v>0.7142857142857143</v>
      </c>
      <c r="AD87" s="14">
        <f t="shared" si="32"/>
        <v>0.7142857142857143</v>
      </c>
      <c r="AE87" s="14">
        <f t="shared" si="32"/>
        <v>0.7142857142857143</v>
      </c>
      <c r="AF87" s="14">
        <f t="shared" si="32"/>
        <v>0.7142857142857143</v>
      </c>
      <c r="AG87" s="14">
        <f t="shared" si="32"/>
        <v>0.7142857142857143</v>
      </c>
      <c r="AH87" s="14">
        <f t="shared" si="32"/>
        <v>0.7142857142857143</v>
      </c>
      <c r="AI87" s="14">
        <f t="shared" si="32"/>
        <v>0.7142857142857143</v>
      </c>
      <c r="AJ87" s="14">
        <f t="shared" si="32"/>
        <v>0.7142857142857143</v>
      </c>
      <c r="AK87" s="14">
        <f t="shared" si="32"/>
        <v>0.7142857142857143</v>
      </c>
      <c r="AL87" s="14">
        <f t="shared" si="32"/>
        <v>0.7142857142857143</v>
      </c>
    </row>
    <row r="88" spans="1:38" ht="21" customHeight="1" outlineLevel="1" thickBot="1" x14ac:dyDescent="0.4">
      <c r="A88" s="5">
        <f t="shared" si="25"/>
        <v>0</v>
      </c>
      <c r="B88" s="5">
        <f t="shared" si="25"/>
        <v>2</v>
      </c>
      <c r="C88" s="5">
        <f t="shared" si="25"/>
        <v>1</v>
      </c>
      <c r="D88" s="5">
        <f t="shared" si="25"/>
        <v>0</v>
      </c>
      <c r="E88" s="6" t="str">
        <f t="shared" si="21"/>
        <v>(1)GeSe2</v>
      </c>
      <c r="F88" s="14">
        <f t="shared" ref="F88:AL88" si="33">F12*$C$78</f>
        <v>0.49149999999999994</v>
      </c>
      <c r="G88" s="14">
        <f t="shared" si="33"/>
        <v>0.47085714285714286</v>
      </c>
      <c r="H88" s="14">
        <f t="shared" si="33"/>
        <v>0.41892857142857143</v>
      </c>
      <c r="I88" s="14">
        <f t="shared" si="33"/>
        <v>0.32494999999999996</v>
      </c>
      <c r="J88" s="14">
        <f t="shared" si="33"/>
        <v>0.20954642857142858</v>
      </c>
      <c r="K88" s="14">
        <f t="shared" si="33"/>
        <v>1.2607499999999999E-2</v>
      </c>
      <c r="L88" s="14">
        <f t="shared" si="33"/>
        <v>6.2007142857142851E-3</v>
      </c>
      <c r="M88" s="14">
        <f t="shared" si="33"/>
        <v>3.1314642857142856E-3</v>
      </c>
      <c r="N88" s="14">
        <f t="shared" si="33"/>
        <v>1.5840714285714286E-3</v>
      </c>
      <c r="O88" s="14">
        <f t="shared" si="33"/>
        <v>7.6639285714285709E-4</v>
      </c>
      <c r="P88" s="14">
        <f t="shared" si="33"/>
        <v>3.3847499999999997E-4</v>
      </c>
      <c r="Q88" s="14">
        <f t="shared" si="33"/>
        <v>1.3382499999999999E-4</v>
      </c>
      <c r="R88" s="14">
        <f t="shared" si="33"/>
        <v>4.8274999999999994E-5</v>
      </c>
      <c r="S88" s="14">
        <f t="shared" si="33"/>
        <v>1.6550714285714282E-5</v>
      </c>
      <c r="T88" s="14">
        <f t="shared" si="33"/>
        <v>5.603571428571428E-6</v>
      </c>
      <c r="U88" s="14">
        <f t="shared" si="33"/>
        <v>1.9207857142857139E-6</v>
      </c>
      <c r="V88" s="14">
        <f t="shared" si="33"/>
        <v>6.7542857142857137E-7</v>
      </c>
      <c r="W88" s="14">
        <f t="shared" si="33"/>
        <v>2.4502857142857143E-7</v>
      </c>
      <c r="X88" s="14">
        <f t="shared" si="33"/>
        <v>9.1864285714285715E-8</v>
      </c>
      <c r="Y88" s="14">
        <f t="shared" si="33"/>
        <v>3.5588571428571421E-8</v>
      </c>
      <c r="Z88" s="14">
        <f t="shared" si="33"/>
        <v>1.4238214285714285E-8</v>
      </c>
      <c r="AA88" s="14">
        <f t="shared" si="33"/>
        <v>5.8824999999999999E-9</v>
      </c>
      <c r="AB88" s="14">
        <f t="shared" si="33"/>
        <v>2.3197857142857142E-10</v>
      </c>
      <c r="AC88" s="14">
        <f t="shared" si="33"/>
        <v>1.2485714285714285E-11</v>
      </c>
      <c r="AD88" s="14">
        <f t="shared" si="33"/>
        <v>6.2896428571428571E-12</v>
      </c>
      <c r="AE88" s="14">
        <f t="shared" si="33"/>
        <v>3.2215714285714282E-12</v>
      </c>
      <c r="AF88" s="14">
        <f t="shared" si="33"/>
        <v>1.6763571428571426E-12</v>
      </c>
      <c r="AG88" s="14">
        <f t="shared" si="33"/>
        <v>8.8557142857142848E-13</v>
      </c>
      <c r="AH88" s="14">
        <f t="shared" si="33"/>
        <v>4.7517857142857135E-13</v>
      </c>
      <c r="AI88" s="14">
        <f t="shared" si="33"/>
        <v>2.6538571428571426E-13</v>
      </c>
      <c r="AJ88" s="14">
        <f t="shared" si="33"/>
        <v>1.4876785714285714E-13</v>
      </c>
      <c r="AK88" s="14">
        <f t="shared" si="33"/>
        <v>8.3967857142857127E-14</v>
      </c>
      <c r="AL88" s="14">
        <f t="shared" si="33"/>
        <v>9.29642857142857E-15</v>
      </c>
    </row>
    <row r="89" spans="1:38" ht="21" customHeight="1" outlineLevel="1" thickBot="1" x14ac:dyDescent="0.4">
      <c r="A89" s="5">
        <f t="shared" si="25"/>
        <v>0</v>
      </c>
      <c r="B89" s="5">
        <f t="shared" si="25"/>
        <v>1</v>
      </c>
      <c r="C89" s="5">
        <f t="shared" si="25"/>
        <v>1</v>
      </c>
      <c r="D89" s="5">
        <f t="shared" si="25"/>
        <v>0</v>
      </c>
      <c r="E89" s="6" t="str">
        <f t="shared" si="21"/>
        <v>(1)GeSe</v>
      </c>
      <c r="F89" s="14">
        <f t="shared" ref="F89:AL89" si="34">F13*$C$78</f>
        <v>0.50849999999999995</v>
      </c>
      <c r="G89" s="14">
        <f t="shared" si="34"/>
        <v>0.52910714285714289</v>
      </c>
      <c r="H89" s="14">
        <f t="shared" si="34"/>
        <v>0.58103571428571421</v>
      </c>
      <c r="I89" s="14">
        <f t="shared" si="34"/>
        <v>0.67499999999999993</v>
      </c>
      <c r="J89" s="14">
        <f t="shared" si="34"/>
        <v>0.79028571428571426</v>
      </c>
      <c r="K89" s="14">
        <f t="shared" si="34"/>
        <v>0.96853571428571417</v>
      </c>
      <c r="L89" s="14">
        <f t="shared" si="34"/>
        <v>0.94532142857142842</v>
      </c>
      <c r="M89" s="14">
        <f t="shared" si="34"/>
        <v>0.88707142857142851</v>
      </c>
      <c r="N89" s="14">
        <f t="shared" si="34"/>
        <v>0.78310714285714278</v>
      </c>
      <c r="O89" s="14">
        <f t="shared" si="34"/>
        <v>0.63417857142857137</v>
      </c>
      <c r="P89" s="14">
        <f t="shared" si="34"/>
        <v>0.46128571428571424</v>
      </c>
      <c r="Q89" s="14">
        <f t="shared" si="34"/>
        <v>0.30013928571428572</v>
      </c>
      <c r="R89" s="14">
        <f t="shared" si="34"/>
        <v>0.17844285714285713</v>
      </c>
      <c r="S89" s="14">
        <f t="shared" si="34"/>
        <v>0.10046785714285714</v>
      </c>
      <c r="T89" s="14">
        <f t="shared" si="34"/>
        <v>5.5342857142857138E-2</v>
      </c>
      <c r="U89" s="14">
        <f t="shared" si="34"/>
        <v>3.0473571428571426E-2</v>
      </c>
      <c r="V89" s="14">
        <f t="shared" si="34"/>
        <v>1.696642857142857E-2</v>
      </c>
      <c r="W89" s="14">
        <f t="shared" si="34"/>
        <v>9.6028571428571421E-3</v>
      </c>
      <c r="X89" s="14">
        <f t="shared" si="34"/>
        <v>5.5367857142857137E-3</v>
      </c>
      <c r="Y89" s="14">
        <f t="shared" si="34"/>
        <v>3.2532857142857138E-3</v>
      </c>
      <c r="Z89" s="14">
        <f t="shared" si="34"/>
        <v>1.9477499999999998E-3</v>
      </c>
      <c r="AA89" s="14">
        <f t="shared" si="34"/>
        <v>1.1882142857142857E-3</v>
      </c>
      <c r="AB89" s="14">
        <f t="shared" si="34"/>
        <v>1.9613214285714285E-4</v>
      </c>
      <c r="AC89" s="14">
        <f t="shared" si="34"/>
        <v>3.906428571428571E-5</v>
      </c>
      <c r="AD89" s="14">
        <f t="shared" si="34"/>
        <v>2.680178571428571E-5</v>
      </c>
      <c r="AE89" s="14">
        <f t="shared" si="34"/>
        <v>1.8568214285714284E-5</v>
      </c>
      <c r="AF89" s="14">
        <f t="shared" si="34"/>
        <v>1.2983928571428571E-5</v>
      </c>
      <c r="AG89" s="14">
        <f t="shared" si="34"/>
        <v>9.1596428571428575E-6</v>
      </c>
      <c r="AH89" s="14">
        <f t="shared" si="34"/>
        <v>6.5203571428571423E-6</v>
      </c>
      <c r="AI89" s="14">
        <f t="shared" si="34"/>
        <v>4.7353571428571425E-6</v>
      </c>
      <c r="AJ89" s="14">
        <f t="shared" si="34"/>
        <v>3.4502142857142852E-6</v>
      </c>
      <c r="AK89" s="14">
        <f t="shared" si="34"/>
        <v>2.5252857142857138E-6</v>
      </c>
      <c r="AL89" s="14">
        <f t="shared" si="34"/>
        <v>7.6421428571428559E-7</v>
      </c>
    </row>
    <row r="90" spans="1:38" ht="21" customHeight="1" outlineLevel="1" thickBot="1" x14ac:dyDescent="0.4">
      <c r="A90" s="5">
        <f t="shared" si="25"/>
        <v>0</v>
      </c>
      <c r="B90" s="5">
        <f t="shared" si="25"/>
        <v>3</v>
      </c>
      <c r="C90" s="5">
        <f t="shared" si="25"/>
        <v>0</v>
      </c>
      <c r="D90" s="5">
        <f t="shared" si="25"/>
        <v>2</v>
      </c>
      <c r="E90" s="6" t="str">
        <f t="shared" si="21"/>
        <v>(1)Ga2Se3</v>
      </c>
      <c r="F90" s="14">
        <f t="shared" ref="F90:AL90" si="35">F14*$C$78</f>
        <v>4.1814285714285714E-2</v>
      </c>
      <c r="G90" s="14">
        <f t="shared" si="35"/>
        <v>4.216428571428571E-2</v>
      </c>
      <c r="H90" s="14">
        <f t="shared" si="35"/>
        <v>4.3010714285714284E-2</v>
      </c>
      <c r="I90" s="14">
        <f t="shared" si="35"/>
        <v>4.4424999999999999E-2</v>
      </c>
      <c r="J90" s="14">
        <f t="shared" si="35"/>
        <v>4.5982142857142853E-2</v>
      </c>
      <c r="K90" s="14">
        <f t="shared" si="35"/>
        <v>4.8453571428571422E-2</v>
      </c>
      <c r="L90" s="14">
        <f t="shared" si="35"/>
        <v>4.8817857142857142E-2</v>
      </c>
      <c r="M90" s="14">
        <f t="shared" si="35"/>
        <v>4.9446428571428565E-2</v>
      </c>
      <c r="N90" s="14">
        <f t="shared" si="35"/>
        <v>5.041428571428571E-2</v>
      </c>
      <c r="O90" s="14">
        <f t="shared" si="35"/>
        <v>5.1642857142857143E-2</v>
      </c>
      <c r="P90" s="14">
        <f t="shared" si="35"/>
        <v>5.2892857142857137E-2</v>
      </c>
      <c r="Q90" s="14">
        <f t="shared" si="35"/>
        <v>5.3917857142857135E-2</v>
      </c>
      <c r="R90" s="14">
        <f t="shared" si="35"/>
        <v>5.4621428571428571E-2</v>
      </c>
      <c r="S90" s="14">
        <f t="shared" si="35"/>
        <v>5.5042857142857143E-2</v>
      </c>
      <c r="T90" s="14">
        <f t="shared" si="35"/>
        <v>5.5278571428571427E-2</v>
      </c>
      <c r="U90" s="14">
        <f t="shared" si="35"/>
        <v>5.5403571428571427E-2</v>
      </c>
      <c r="V90" s="14">
        <f t="shared" si="35"/>
        <v>5.5467857142857138E-2</v>
      </c>
      <c r="W90" s="14">
        <f t="shared" si="35"/>
        <v>5.5489285714285713E-2</v>
      </c>
      <c r="X90" s="14">
        <f t="shared" si="35"/>
        <v>5.5449999999999992E-2</v>
      </c>
      <c r="Y90" s="14">
        <f t="shared" si="35"/>
        <v>5.5224999999999996E-2</v>
      </c>
      <c r="Z90" s="14">
        <f t="shared" si="35"/>
        <v>5.4378571428571422E-2</v>
      </c>
      <c r="AA90" s="14">
        <f t="shared" si="35"/>
        <v>5.1589285714285706E-2</v>
      </c>
      <c r="AB90" s="14">
        <f t="shared" si="35"/>
        <v>6.2067857142857133E-3</v>
      </c>
      <c r="AC90" s="14">
        <f t="shared" si="35"/>
        <v>1.0030357142857142E-4</v>
      </c>
      <c r="AD90" s="14">
        <f t="shared" si="35"/>
        <v>3.5846428571428572E-5</v>
      </c>
      <c r="AE90" s="14">
        <f t="shared" si="35"/>
        <v>1.2878214285714286E-5</v>
      </c>
      <c r="AF90" s="14">
        <f t="shared" si="35"/>
        <v>4.6514285714285712E-6</v>
      </c>
      <c r="AG90" s="14">
        <f t="shared" si="35"/>
        <v>1.6930714285714284E-6</v>
      </c>
      <c r="AH90" s="14">
        <f t="shared" si="35"/>
        <v>6.1214285714285715E-7</v>
      </c>
      <c r="AI90" s="14">
        <f t="shared" si="35"/>
        <v>1.3496071428571428E-7</v>
      </c>
      <c r="AJ90" s="14">
        <f t="shared" si="35"/>
        <v>3.0226071428571429E-8</v>
      </c>
      <c r="AK90" s="14">
        <f t="shared" si="35"/>
        <v>6.9889285714285713E-9</v>
      </c>
      <c r="AL90" s="14">
        <f t="shared" si="35"/>
        <v>2.7636428571428572E-11</v>
      </c>
    </row>
    <row r="91" spans="1:38" ht="21" customHeight="1" outlineLevel="1" thickBot="1" x14ac:dyDescent="0.4">
      <c r="A91" s="5">
        <f t="shared" si="25"/>
        <v>0</v>
      </c>
      <c r="B91" s="5">
        <f t="shared" si="25"/>
        <v>1</v>
      </c>
      <c r="C91" s="5">
        <f t="shared" si="25"/>
        <v>0</v>
      </c>
      <c r="D91" s="5">
        <f t="shared" si="25"/>
        <v>2</v>
      </c>
      <c r="E91" s="6" t="str">
        <f t="shared" si="21"/>
        <v>(1)Ga2Se</v>
      </c>
      <c r="F91" s="14">
        <f t="shared" ref="F91:AL91" si="36">F15*$C$78</f>
        <v>2.7055714285714284E-28</v>
      </c>
      <c r="G91" s="14">
        <f t="shared" si="36"/>
        <v>1.0500714285714285E-26</v>
      </c>
      <c r="H91" s="14">
        <f t="shared" si="36"/>
        <v>3.556535714285714E-25</v>
      </c>
      <c r="I91" s="14">
        <f t="shared" si="36"/>
        <v>1.278142857142857E-23</v>
      </c>
      <c r="J91" s="14">
        <f t="shared" si="36"/>
        <v>5.0649999999999999E-22</v>
      </c>
      <c r="K91" s="14">
        <f t="shared" si="36"/>
        <v>4.6057142857142856E-16</v>
      </c>
      <c r="L91" s="14">
        <f t="shared" si="36"/>
        <v>8.1775000000000001E-15</v>
      </c>
      <c r="M91" s="14">
        <f t="shared" si="36"/>
        <v>1.1276071428571428E-13</v>
      </c>
      <c r="N91" s="14">
        <f t="shared" si="36"/>
        <v>1.2342857142857142E-12</v>
      </c>
      <c r="O91" s="14">
        <f t="shared" si="36"/>
        <v>1.1299642857142856E-11</v>
      </c>
      <c r="P91" s="14">
        <f t="shared" si="36"/>
        <v>9.1567857142857139E-11</v>
      </c>
      <c r="Q91" s="14">
        <f t="shared" si="36"/>
        <v>6.8060714285714281E-10</v>
      </c>
      <c r="R91" s="14">
        <f t="shared" si="36"/>
        <v>4.6896428571428564E-9</v>
      </c>
      <c r="S91" s="14">
        <f t="shared" si="36"/>
        <v>2.9893928571428569E-8</v>
      </c>
      <c r="T91" s="14">
        <f t="shared" si="36"/>
        <v>1.7567142857142855E-7</v>
      </c>
      <c r="U91" s="14">
        <f t="shared" si="36"/>
        <v>9.5142857142857135E-7</v>
      </c>
      <c r="V91" s="14">
        <f t="shared" si="36"/>
        <v>4.7610714285714281E-6</v>
      </c>
      <c r="W91" s="14">
        <f t="shared" si="36"/>
        <v>2.2099999999999998E-5</v>
      </c>
      <c r="X91" s="14">
        <f t="shared" si="36"/>
        <v>9.5539285714285707E-5</v>
      </c>
      <c r="Y91" s="14">
        <f t="shared" si="36"/>
        <v>3.8553571428571424E-4</v>
      </c>
      <c r="Z91" s="14">
        <f t="shared" si="36"/>
        <v>1.4461428571428572E-3</v>
      </c>
      <c r="AA91" s="14">
        <f t="shared" si="36"/>
        <v>4.9271428571428565E-3</v>
      </c>
      <c r="AB91" s="14">
        <f t="shared" si="36"/>
        <v>5.8067857142857136E-2</v>
      </c>
      <c r="AC91" s="14">
        <f t="shared" si="36"/>
        <v>5.0410714285714288E-2</v>
      </c>
      <c r="AD91" s="14">
        <f t="shared" si="36"/>
        <v>4.4967857142857136E-2</v>
      </c>
      <c r="AE91" s="14">
        <f t="shared" si="36"/>
        <v>3.9160714285714285E-2</v>
      </c>
      <c r="AF91" s="14">
        <f t="shared" si="36"/>
        <v>3.3346785714285711E-2</v>
      </c>
      <c r="AG91" s="14">
        <f t="shared" si="36"/>
        <v>2.7877142857142857E-2</v>
      </c>
      <c r="AH91" s="14">
        <f t="shared" si="36"/>
        <v>2.2550357142857139E-2</v>
      </c>
      <c r="AI91" s="14">
        <f t="shared" si="36"/>
        <v>1.0559285714285714E-2</v>
      </c>
      <c r="AJ91" s="14">
        <f t="shared" si="36"/>
        <v>4.9599999999999991E-3</v>
      </c>
      <c r="AK91" s="14">
        <f t="shared" si="36"/>
        <v>2.3688214285714285E-3</v>
      </c>
      <c r="AL91" s="14">
        <f t="shared" si="36"/>
        <v>1.4469285714285713E-4</v>
      </c>
    </row>
    <row r="92" spans="1:38" ht="21" customHeight="1" outlineLevel="1" thickBot="1" x14ac:dyDescent="0.4">
      <c r="A92" s="5">
        <f t="shared" si="25"/>
        <v>0</v>
      </c>
      <c r="B92" s="5">
        <f t="shared" si="25"/>
        <v>0</v>
      </c>
      <c r="C92" s="5">
        <f t="shared" si="25"/>
        <v>1</v>
      </c>
      <c r="D92" s="5">
        <f t="shared" si="25"/>
        <v>0</v>
      </c>
      <c r="E92" s="6" t="str">
        <f t="shared" si="21"/>
        <v>(1)Ge</v>
      </c>
      <c r="F92" s="14">
        <f t="shared" ref="F92:AL92" si="37">F16*$C$78</f>
        <v>1.8876428571428573E-6</v>
      </c>
      <c r="G92" s="14">
        <f t="shared" si="37"/>
        <v>4.0060714285714285E-6</v>
      </c>
      <c r="H92" s="14">
        <f t="shared" si="37"/>
        <v>9.5060714285714267E-6</v>
      </c>
      <c r="I92" s="14">
        <f t="shared" si="37"/>
        <v>2.729142857142857E-5</v>
      </c>
      <c r="J92" s="14">
        <f t="shared" si="37"/>
        <v>9.1021428571428557E-5</v>
      </c>
      <c r="K92" s="14">
        <f t="shared" si="37"/>
        <v>9.4264285714285717E-3</v>
      </c>
      <c r="L92" s="14">
        <f t="shared" si="37"/>
        <v>2.4243571428571427E-2</v>
      </c>
      <c r="M92" s="14">
        <f t="shared" si="37"/>
        <v>5.4892857142857139E-2</v>
      </c>
      <c r="N92" s="14">
        <f t="shared" si="37"/>
        <v>0.10766071428571429</v>
      </c>
      <c r="O92" s="14">
        <f t="shared" si="37"/>
        <v>0.18253214285714284</v>
      </c>
      <c r="P92" s="14">
        <f t="shared" si="37"/>
        <v>0.26919642857142856</v>
      </c>
      <c r="Q92" s="14">
        <f t="shared" si="37"/>
        <v>0.34986428571428568</v>
      </c>
      <c r="R92" s="14">
        <f t="shared" si="37"/>
        <v>0.41074999999999995</v>
      </c>
      <c r="S92" s="14">
        <f t="shared" si="37"/>
        <v>0.44974999999999993</v>
      </c>
      <c r="T92" s="14">
        <f t="shared" si="37"/>
        <v>0.47232142857142856</v>
      </c>
      <c r="U92" s="14">
        <f t="shared" si="37"/>
        <v>0.4847499999999999</v>
      </c>
      <c r="V92" s="14">
        <f t="shared" si="37"/>
        <v>0.49149999999999994</v>
      </c>
      <c r="W92" s="14">
        <f t="shared" si="37"/>
        <v>0.49521428571428572</v>
      </c>
      <c r="X92" s="14">
        <f t="shared" si="37"/>
        <v>0.49721428571428572</v>
      </c>
      <c r="Y92" s="14">
        <f t="shared" si="37"/>
        <v>0.49835714285714283</v>
      </c>
      <c r="Z92" s="14">
        <f t="shared" si="37"/>
        <v>0.49903571428571425</v>
      </c>
      <c r="AA92" s="14">
        <f t="shared" si="37"/>
        <v>0.49939285714285714</v>
      </c>
      <c r="AB92" s="14">
        <f t="shared" si="37"/>
        <v>0.49989285714285714</v>
      </c>
      <c r="AC92" s="14">
        <f t="shared" si="37"/>
        <v>0.49996428571428569</v>
      </c>
      <c r="AD92" s="14">
        <f t="shared" si="37"/>
        <v>0.5</v>
      </c>
      <c r="AE92" s="14">
        <f t="shared" si="37"/>
        <v>0.5</v>
      </c>
      <c r="AF92" s="14">
        <f t="shared" si="37"/>
        <v>0.5</v>
      </c>
      <c r="AG92" s="14">
        <f t="shared" si="37"/>
        <v>0.5</v>
      </c>
      <c r="AH92" s="14">
        <f t="shared" si="37"/>
        <v>0.49996428571428569</v>
      </c>
      <c r="AI92" s="14">
        <f t="shared" si="37"/>
        <v>0.49882142857142847</v>
      </c>
      <c r="AJ92" s="14">
        <f t="shared" si="37"/>
        <v>0.49789285714285714</v>
      </c>
      <c r="AK92" s="14">
        <f t="shared" si="37"/>
        <v>0.49710714285714286</v>
      </c>
      <c r="AL92" s="14">
        <f t="shared" si="37"/>
        <v>0.49425000000000002</v>
      </c>
    </row>
    <row r="93" spans="1:38" ht="21" customHeight="1" outlineLevel="1" thickBot="1" x14ac:dyDescent="0.4">
      <c r="A93" s="5">
        <f t="shared" si="25"/>
        <v>0</v>
      </c>
      <c r="B93" s="5">
        <f t="shared" si="25"/>
        <v>0</v>
      </c>
      <c r="C93" s="5">
        <f t="shared" si="25"/>
        <v>0</v>
      </c>
      <c r="D93" s="5">
        <f t="shared" si="25"/>
        <v>1</v>
      </c>
      <c r="E93" s="6" t="str">
        <f t="shared" si="21"/>
        <v>(1)Ga</v>
      </c>
      <c r="F93" s="14">
        <f t="shared" ref="F93:AL93" si="38">F17*$C$78</f>
        <v>9.9996428571428565E-28</v>
      </c>
      <c r="G93" s="14">
        <f t="shared" si="38"/>
        <v>3.7092857142857139E-26</v>
      </c>
      <c r="H93" s="14">
        <f t="shared" si="38"/>
        <v>1.1683214285714284E-24</v>
      </c>
      <c r="I93" s="14">
        <f t="shared" si="38"/>
        <v>3.664285714285714E-23</v>
      </c>
      <c r="J93" s="14">
        <f t="shared" si="38"/>
        <v>1.1771785714285713E-21</v>
      </c>
      <c r="K93" s="14">
        <f t="shared" si="38"/>
        <v>3.5842857142857143E-16</v>
      </c>
      <c r="L93" s="14">
        <f t="shared" si="38"/>
        <v>5.0871428571428566E-15</v>
      </c>
      <c r="M93" s="14">
        <f t="shared" si="38"/>
        <v>5.8560714285714277E-14</v>
      </c>
      <c r="N93" s="14">
        <f t="shared" si="38"/>
        <v>5.5849999999999999E-13</v>
      </c>
      <c r="O93" s="14">
        <f t="shared" si="38"/>
        <v>4.5914285714285713E-12</v>
      </c>
      <c r="P93" s="14">
        <f t="shared" si="38"/>
        <v>3.3793571428571426E-11</v>
      </c>
      <c r="Q93" s="14">
        <f t="shared" si="38"/>
        <v>2.2726428571428569E-10</v>
      </c>
      <c r="R93" s="14">
        <f t="shared" si="38"/>
        <v>1.4031785714285715E-9</v>
      </c>
      <c r="S93" s="14">
        <f t="shared" si="38"/>
        <v>7.9507142857142859E-9</v>
      </c>
      <c r="T93" s="14">
        <f t="shared" si="38"/>
        <v>4.1382142857142853E-8</v>
      </c>
      <c r="U93" s="14">
        <f t="shared" si="38"/>
        <v>1.9838928571428572E-7</v>
      </c>
      <c r="V93" s="14">
        <f t="shared" si="38"/>
        <v>8.7964285714285702E-7</v>
      </c>
      <c r="W93" s="14">
        <f t="shared" si="38"/>
        <v>3.6228571428571425E-6</v>
      </c>
      <c r="X93" s="14">
        <f t="shared" si="38"/>
        <v>1.3915714285714284E-5</v>
      </c>
      <c r="Y93" s="14">
        <f t="shared" si="38"/>
        <v>4.9985714285714279E-5</v>
      </c>
      <c r="Z93" s="14">
        <f t="shared" si="38"/>
        <v>1.6785357142857143E-4</v>
      </c>
      <c r="AA93" s="14">
        <f t="shared" si="38"/>
        <v>5.2167857142857137E-4</v>
      </c>
      <c r="AB93" s="14">
        <f t="shared" si="38"/>
        <v>1.1023214285714284E-2</v>
      </c>
      <c r="AC93" s="14">
        <f t="shared" si="38"/>
        <v>4.1782142857142851E-2</v>
      </c>
      <c r="AD93" s="14">
        <f t="shared" si="38"/>
        <v>5.2828571428571426E-2</v>
      </c>
      <c r="AE93" s="14">
        <f t="shared" si="38"/>
        <v>6.450714285714286E-2</v>
      </c>
      <c r="AF93" s="14">
        <f t="shared" si="38"/>
        <v>7.6149999999999995E-2</v>
      </c>
      <c r="AG93" s="14">
        <f t="shared" si="38"/>
        <v>8.7096428571428561E-2</v>
      </c>
      <c r="AH93" s="14">
        <f t="shared" si="38"/>
        <v>9.578571428571428E-2</v>
      </c>
      <c r="AI93" s="14">
        <f t="shared" si="38"/>
        <v>7.7460714285714286E-2</v>
      </c>
      <c r="AJ93" s="14">
        <f t="shared" si="38"/>
        <v>6.1585714285714278E-2</v>
      </c>
      <c r="AK93" s="14">
        <f t="shared" si="38"/>
        <v>4.8421428571428574E-2</v>
      </c>
      <c r="AL93" s="14">
        <f t="shared" si="38"/>
        <v>1.6424642857142856E-2</v>
      </c>
    </row>
    <row r="94" spans="1:38" ht="21" customHeight="1" outlineLevel="1" thickBot="1" x14ac:dyDescent="0.4">
      <c r="A94" s="5">
        <f t="shared" si="25"/>
        <v>0</v>
      </c>
      <c r="B94" s="5">
        <f t="shared" si="25"/>
        <v>1</v>
      </c>
      <c r="C94" s="5">
        <f t="shared" si="25"/>
        <v>0</v>
      </c>
      <c r="D94" s="5">
        <f t="shared" si="25"/>
        <v>0</v>
      </c>
      <c r="E94" s="6" t="str">
        <f t="shared" si="21"/>
        <v>(1)Se</v>
      </c>
      <c r="F94" s="14">
        <f t="shared" ref="F94:AL94" si="39">F18*$C$78</f>
        <v>1.0094642857142857E-8</v>
      </c>
      <c r="G94" s="14">
        <f t="shared" si="39"/>
        <v>2.8571785714285709E-8</v>
      </c>
      <c r="H94" s="14">
        <f t="shared" si="39"/>
        <v>6.5085714285714284E-8</v>
      </c>
      <c r="I94" s="14">
        <f t="shared" si="39"/>
        <v>1.1435714285714284E-7</v>
      </c>
      <c r="J94" s="14">
        <f t="shared" si="39"/>
        <v>1.5378571428571429E-7</v>
      </c>
      <c r="K94" s="14">
        <f t="shared" si="39"/>
        <v>1.1360714285714285E-7</v>
      </c>
      <c r="L94" s="14">
        <f t="shared" si="39"/>
        <v>9.8224999999999994E-8</v>
      </c>
      <c r="M94" s="14">
        <f t="shared" si="39"/>
        <v>8.8789285714285709E-8</v>
      </c>
      <c r="N94" s="14">
        <f t="shared" si="39"/>
        <v>8.4532142857142846E-8</v>
      </c>
      <c r="O94" s="14">
        <f t="shared" si="39"/>
        <v>8.2971428571428556E-8</v>
      </c>
      <c r="P94" s="14">
        <f t="shared" si="39"/>
        <v>8.0925000000000005E-8</v>
      </c>
      <c r="Q94" s="14">
        <f t="shared" si="39"/>
        <v>7.842857142857142E-8</v>
      </c>
      <c r="R94" s="14">
        <f t="shared" si="39"/>
        <v>7.3882142857142853E-8</v>
      </c>
      <c r="S94" s="14">
        <f t="shared" si="39"/>
        <v>6.6921428571428568E-8</v>
      </c>
      <c r="T94" s="14">
        <f t="shared" si="39"/>
        <v>5.9092857142857145E-8</v>
      </c>
      <c r="U94" s="14">
        <f t="shared" si="39"/>
        <v>5.1439285714285709E-8</v>
      </c>
      <c r="V94" s="14">
        <f t="shared" si="39"/>
        <v>4.4446428571428567E-8</v>
      </c>
      <c r="W94" s="14">
        <f t="shared" si="39"/>
        <v>3.8260714285714281E-8</v>
      </c>
      <c r="X94" s="14">
        <f t="shared" si="39"/>
        <v>3.2886071428571421E-8</v>
      </c>
      <c r="Y94" s="14">
        <f t="shared" si="39"/>
        <v>2.8259285714285709E-8</v>
      </c>
      <c r="Z94" s="14">
        <f t="shared" si="39"/>
        <v>2.4311071428571425E-8</v>
      </c>
      <c r="AA94" s="14">
        <f t="shared" si="39"/>
        <v>2.0993571428571425E-8</v>
      </c>
      <c r="AB94" s="14">
        <f t="shared" si="39"/>
        <v>1.2445E-8</v>
      </c>
      <c r="AC94" s="14">
        <f t="shared" si="39"/>
        <v>7.0367857142857143E-9</v>
      </c>
      <c r="AD94" s="14">
        <f t="shared" si="39"/>
        <v>6.1057142857142849E-9</v>
      </c>
      <c r="AE94" s="14">
        <f t="shared" si="39"/>
        <v>5.3024999999999998E-9</v>
      </c>
      <c r="AF94" s="14">
        <f t="shared" si="39"/>
        <v>4.6082142857142851E-9</v>
      </c>
      <c r="AG94" s="14">
        <f t="shared" si="39"/>
        <v>4.0067857142857138E-9</v>
      </c>
      <c r="AH94" s="14">
        <f t="shared" si="39"/>
        <v>3.4859285714285713E-9</v>
      </c>
      <c r="AI94" s="14">
        <f t="shared" si="39"/>
        <v>3.0468571428571427E-9</v>
      </c>
      <c r="AJ94" s="14">
        <f t="shared" si="39"/>
        <v>2.6548571428571428E-9</v>
      </c>
      <c r="AK94" s="14">
        <f t="shared" si="39"/>
        <v>2.3107857142857143E-9</v>
      </c>
      <c r="AL94" s="14">
        <f t="shared" si="39"/>
        <v>1.3285714285714285E-9</v>
      </c>
    </row>
    <row r="95" spans="1:38" ht="21" customHeight="1" outlineLevel="1" thickBot="1" x14ac:dyDescent="0.4">
      <c r="A95" s="5">
        <f t="shared" si="25"/>
        <v>0</v>
      </c>
      <c r="B95" s="5">
        <f t="shared" si="25"/>
        <v>1</v>
      </c>
      <c r="C95" s="5">
        <f t="shared" si="25"/>
        <v>0</v>
      </c>
      <c r="D95" s="5">
        <f t="shared" si="25"/>
        <v>0</v>
      </c>
      <c r="E95" s="6" t="str">
        <f t="shared" si="21"/>
        <v>(1)Se[a]</v>
      </c>
      <c r="F95" s="14">
        <f t="shared" ref="F95:AL95" si="40">F19*$C$78</f>
        <v>2.3267142857142854E-9</v>
      </c>
      <c r="G95" s="14">
        <f t="shared" si="40"/>
        <v>7.4632142857142856E-9</v>
      </c>
      <c r="H95" s="14">
        <f t="shared" si="40"/>
        <v>1.9024285714285712E-8</v>
      </c>
      <c r="I95" s="14">
        <f t="shared" si="40"/>
        <v>3.6999999999999994E-8</v>
      </c>
      <c r="J95" s="14">
        <f t="shared" si="40"/>
        <v>5.4560714285714274E-8</v>
      </c>
      <c r="K95" s="14">
        <f t="shared" si="40"/>
        <v>5.4224999999999998E-8</v>
      </c>
      <c r="L95" s="14">
        <f t="shared" si="40"/>
        <v>4.978571428571428E-8</v>
      </c>
      <c r="M95" s="14">
        <f t="shared" si="40"/>
        <v>4.7575000000000001E-8</v>
      </c>
      <c r="N95" s="14">
        <f t="shared" si="40"/>
        <v>4.7692857142857142E-8</v>
      </c>
      <c r="O95" s="14">
        <f t="shared" si="40"/>
        <v>4.9114285714285713E-8</v>
      </c>
      <c r="P95" s="14">
        <f t="shared" si="40"/>
        <v>5.0092857142857137E-8</v>
      </c>
      <c r="Q95" s="14">
        <f t="shared" si="40"/>
        <v>4.9110714285714282E-8</v>
      </c>
      <c r="R95" s="14">
        <f t="shared" si="40"/>
        <v>4.5867857142857137E-8</v>
      </c>
      <c r="S95" s="14">
        <f t="shared" si="40"/>
        <v>4.1171428571428572E-8</v>
      </c>
      <c r="T95" s="14">
        <f t="shared" si="40"/>
        <v>3.6017857142857145E-8</v>
      </c>
      <c r="U95" s="14">
        <f t="shared" si="40"/>
        <v>3.1050357142857144E-8</v>
      </c>
      <c r="V95" s="14">
        <f t="shared" si="40"/>
        <v>2.6564642857142853E-8</v>
      </c>
      <c r="W95" s="14">
        <f t="shared" si="40"/>
        <v>2.2641071428571427E-8</v>
      </c>
      <c r="X95" s="14">
        <f t="shared" si="40"/>
        <v>1.9265000000000001E-8</v>
      </c>
      <c r="Y95" s="14">
        <f t="shared" si="40"/>
        <v>1.63875E-8</v>
      </c>
      <c r="Z95" s="14">
        <f t="shared" si="40"/>
        <v>1.3955357142857144E-8</v>
      </c>
      <c r="AA95" s="14">
        <f t="shared" si="40"/>
        <v>1.192892857142857E-8</v>
      </c>
      <c r="AB95" s="14">
        <f t="shared" si="40"/>
        <v>6.7917857142857145E-9</v>
      </c>
      <c r="AC95" s="14">
        <f t="shared" si="40"/>
        <v>3.6917857142857144E-9</v>
      </c>
      <c r="AD95" s="14">
        <f t="shared" si="40"/>
        <v>3.1726428571428568E-9</v>
      </c>
      <c r="AE95" s="14">
        <f t="shared" si="40"/>
        <v>2.7289642857142854E-9</v>
      </c>
      <c r="AF95" s="14">
        <f t="shared" si="40"/>
        <v>2.3491428571428569E-9</v>
      </c>
      <c r="AG95" s="14">
        <f t="shared" si="40"/>
        <v>2.0233571428571426E-9</v>
      </c>
      <c r="AH95" s="14">
        <f t="shared" si="40"/>
        <v>1.7439285714285711E-9</v>
      </c>
      <c r="AI95" s="14">
        <f t="shared" si="40"/>
        <v>1.510142857142857E-9</v>
      </c>
      <c r="AJ95" s="14">
        <f t="shared" si="40"/>
        <v>1.30375E-9</v>
      </c>
      <c r="AK95" s="14">
        <f t="shared" si="40"/>
        <v>1.124392857142857E-9</v>
      </c>
      <c r="AL95" s="14">
        <f t="shared" si="40"/>
        <v>6.2342857142857134E-10</v>
      </c>
    </row>
    <row r="96" spans="1:38" ht="21" customHeight="1" outlineLevel="1" thickBot="1" x14ac:dyDescent="0.4">
      <c r="A96" s="5">
        <f t="shared" si="25"/>
        <v>0</v>
      </c>
      <c r="B96" s="5">
        <f t="shared" si="25"/>
        <v>1</v>
      </c>
      <c r="C96" s="5">
        <f t="shared" si="25"/>
        <v>0</v>
      </c>
      <c r="D96" s="5">
        <f t="shared" si="25"/>
        <v>0</v>
      </c>
      <c r="E96" s="6" t="str">
        <f t="shared" si="21"/>
        <v>(1)Se[m]</v>
      </c>
      <c r="F96" s="14">
        <f t="shared" ref="F96:AL96" si="41">F20*$C$78</f>
        <v>8.5017857142857135E-3</v>
      </c>
      <c r="G96" s="14">
        <f t="shared" si="41"/>
        <v>2.91375E-2</v>
      </c>
      <c r="H96" s="14">
        <f t="shared" si="41"/>
        <v>8.1082142857142853E-2</v>
      </c>
      <c r="I96" s="14">
        <f t="shared" si="41"/>
        <v>0.17510357142857141</v>
      </c>
      <c r="J96" s="14">
        <f t="shared" si="41"/>
        <v>0.29063571428571428</v>
      </c>
      <c r="K96" s="14">
        <f t="shared" si="41"/>
        <v>0.50624999999999987</v>
      </c>
      <c r="L96" s="14">
        <f t="shared" si="41"/>
        <v>0.54228571428571426</v>
      </c>
      <c r="M96" s="14">
        <f t="shared" si="41"/>
        <v>0.60664285714285715</v>
      </c>
      <c r="N96" s="14">
        <f t="shared" si="41"/>
        <v>0.71375</v>
      </c>
      <c r="O96" s="14">
        <f t="shared" si="41"/>
        <v>0.86428571428571421</v>
      </c>
      <c r="P96" s="14">
        <f t="shared" si="41"/>
        <v>1.0380714285714283</v>
      </c>
      <c r="Q96" s="14">
        <f t="shared" si="41"/>
        <v>1.1996071428571429</v>
      </c>
      <c r="R96" s="14">
        <f t="shared" si="41"/>
        <v>1.3214642857142855</v>
      </c>
      <c r="S96" s="14">
        <f t="shared" si="41"/>
        <v>1.3994999999999997</v>
      </c>
      <c r="T96" s="14">
        <f t="shared" si="41"/>
        <v>1.4446428571428571</v>
      </c>
      <c r="U96" s="14">
        <f t="shared" si="41"/>
        <v>1.4695357142857142</v>
      </c>
      <c r="V96" s="14">
        <f t="shared" si="41"/>
        <v>1.4830357142857142</v>
      </c>
      <c r="W96" s="14">
        <f t="shared" si="41"/>
        <v>1.4904285714285714</v>
      </c>
      <c r="X96" s="14">
        <f t="shared" si="41"/>
        <v>1.4946785714285713</v>
      </c>
      <c r="Y96" s="14">
        <f t="shared" si="41"/>
        <v>1.4976071428571427</v>
      </c>
      <c r="Z96" s="14">
        <f t="shared" si="41"/>
        <v>1.5011785714285713</v>
      </c>
      <c r="AA96" s="14">
        <f t="shared" si="41"/>
        <v>1.5094642857142857</v>
      </c>
      <c r="AB96" s="14">
        <f t="shared" si="41"/>
        <v>1.6324642857142855</v>
      </c>
      <c r="AC96" s="14">
        <f t="shared" si="41"/>
        <v>1.6634642857142856</v>
      </c>
      <c r="AD96" s="14">
        <f t="shared" si="41"/>
        <v>1.669142857142857</v>
      </c>
      <c r="AE96" s="14">
        <f t="shared" si="41"/>
        <v>1.6750714285714283</v>
      </c>
      <c r="AF96" s="14">
        <f t="shared" si="41"/>
        <v>1.680892857142857</v>
      </c>
      <c r="AG96" s="14">
        <f t="shared" si="41"/>
        <v>1.686392857142857</v>
      </c>
      <c r="AH96" s="14">
        <f t="shared" si="41"/>
        <v>1.6917142857142855</v>
      </c>
      <c r="AI96" s="14">
        <f t="shared" si="41"/>
        <v>1.7037142857142857</v>
      </c>
      <c r="AJ96" s="14">
        <f t="shared" si="41"/>
        <v>1.7093214285714284</v>
      </c>
      <c r="AK96" s="14">
        <f t="shared" si="41"/>
        <v>1.7119285714285712</v>
      </c>
      <c r="AL96" s="14">
        <f t="shared" si="41"/>
        <v>1.714142857142857</v>
      </c>
    </row>
    <row r="97" spans="1:54" ht="21" customHeight="1" outlineLevel="1" thickBot="1" x14ac:dyDescent="0.4">
      <c r="A97" s="5">
        <f t="shared" ref="A97:D109" si="42">A63</f>
        <v>0</v>
      </c>
      <c r="B97" s="5">
        <f t="shared" si="42"/>
        <v>1</v>
      </c>
      <c r="C97" s="5">
        <f t="shared" si="42"/>
        <v>0</v>
      </c>
      <c r="D97" s="5">
        <f t="shared" si="42"/>
        <v>0</v>
      </c>
      <c r="E97" s="6" t="str">
        <f t="shared" si="21"/>
        <v>(1)Se[r]</v>
      </c>
      <c r="F97" s="14">
        <f t="shared" ref="F97:AL97" si="43">F21*$C$78</f>
        <v>2.5811785714285712E-11</v>
      </c>
      <c r="G97" s="14">
        <f t="shared" si="43"/>
        <v>1.0934285714285712E-10</v>
      </c>
      <c r="H97" s="14">
        <f t="shared" si="43"/>
        <v>3.59E-10</v>
      </c>
      <c r="I97" s="14">
        <f t="shared" si="43"/>
        <v>8.8021428571428562E-10</v>
      </c>
      <c r="J97" s="14">
        <f t="shared" si="43"/>
        <v>1.6063571428571427E-9</v>
      </c>
      <c r="K97" s="14">
        <f t="shared" si="43"/>
        <v>3.2451785714285709E-9</v>
      </c>
      <c r="L97" s="14">
        <f t="shared" si="43"/>
        <v>3.4594642857142853E-9</v>
      </c>
      <c r="M97" s="14">
        <f t="shared" si="43"/>
        <v>3.8046428571428571E-9</v>
      </c>
      <c r="N97" s="14">
        <f t="shared" si="43"/>
        <v>4.3542857142857141E-9</v>
      </c>
      <c r="O97" s="14">
        <f t="shared" si="43"/>
        <v>5.0828571428571423E-9</v>
      </c>
      <c r="P97" s="14">
        <f t="shared" si="43"/>
        <v>5.8375000000000002E-9</v>
      </c>
      <c r="Q97" s="14">
        <f t="shared" si="43"/>
        <v>6.4057142857142859E-9</v>
      </c>
      <c r="R97" s="14">
        <f t="shared" si="43"/>
        <v>6.6599999999999997E-9</v>
      </c>
      <c r="S97" s="14">
        <f t="shared" si="43"/>
        <v>6.6214285714285707E-9</v>
      </c>
      <c r="T97" s="14">
        <f t="shared" si="43"/>
        <v>6.3864285714285714E-9</v>
      </c>
      <c r="U97" s="14">
        <f t="shared" si="43"/>
        <v>6.0446428571428568E-9</v>
      </c>
      <c r="V97" s="14">
        <f t="shared" si="43"/>
        <v>5.6553571428571421E-9</v>
      </c>
      <c r="W97" s="14">
        <f t="shared" si="43"/>
        <v>5.2514285714285715E-9</v>
      </c>
      <c r="X97" s="14">
        <f t="shared" si="43"/>
        <v>4.852142857142857E-9</v>
      </c>
      <c r="Y97" s="14">
        <f t="shared" si="43"/>
        <v>4.4678571428571422E-9</v>
      </c>
      <c r="Z97" s="14">
        <f t="shared" si="43"/>
        <v>4.1060714285714289E-9</v>
      </c>
      <c r="AA97" s="14">
        <f t="shared" si="43"/>
        <v>3.7778571428571423E-9</v>
      </c>
      <c r="AB97" s="14">
        <f t="shared" si="43"/>
        <v>2.8169642857142855E-9</v>
      </c>
      <c r="AC97" s="14">
        <f t="shared" si="43"/>
        <v>1.9414285714285711E-9</v>
      </c>
      <c r="AD97" s="14">
        <f t="shared" si="43"/>
        <v>1.7627857142857139E-9</v>
      </c>
      <c r="AE97" s="14">
        <f t="shared" si="43"/>
        <v>1.5996428571428572E-9</v>
      </c>
      <c r="AF97" s="14">
        <f t="shared" si="43"/>
        <v>1.4506071428571427E-9</v>
      </c>
      <c r="AG97" s="14">
        <f t="shared" si="43"/>
        <v>1.3143928571428571E-9</v>
      </c>
      <c r="AH97" s="14">
        <f t="shared" si="43"/>
        <v>1.1901785714285715E-9</v>
      </c>
      <c r="AI97" s="14">
        <f t="shared" si="43"/>
        <v>1.0814285714285712E-9</v>
      </c>
      <c r="AJ97" s="14">
        <f t="shared" si="43"/>
        <v>9.7846428571428567E-10</v>
      </c>
      <c r="AK97" s="14">
        <f t="shared" si="43"/>
        <v>8.8335714285714275E-10</v>
      </c>
      <c r="AL97" s="14">
        <f t="shared" si="43"/>
        <v>5.8203571428571427E-10</v>
      </c>
    </row>
    <row r="98" spans="1:54" ht="21" customHeight="1" outlineLevel="1" thickBot="1" x14ac:dyDescent="0.4">
      <c r="A98" s="5">
        <f t="shared" si="42"/>
        <v>0</v>
      </c>
      <c r="B98" s="5">
        <f t="shared" si="42"/>
        <v>0</v>
      </c>
      <c r="C98" s="5">
        <f t="shared" si="42"/>
        <v>1</v>
      </c>
      <c r="D98" s="5">
        <f t="shared" si="42"/>
        <v>0</v>
      </c>
      <c r="E98" s="6" t="str">
        <f t="shared" si="21"/>
        <v>(1)Geic]</v>
      </c>
      <c r="F98" s="14">
        <f t="shared" ref="F98:AL98" si="44">F22*$C$78</f>
        <v>1.8876428571428573E-6</v>
      </c>
      <c r="G98" s="14">
        <f t="shared" si="44"/>
        <v>4.0060714285714285E-6</v>
      </c>
      <c r="H98" s="14">
        <f t="shared" si="44"/>
        <v>9.5060714285714267E-6</v>
      </c>
      <c r="I98" s="14">
        <f t="shared" si="44"/>
        <v>2.729142857142857E-5</v>
      </c>
      <c r="J98" s="14">
        <f t="shared" si="44"/>
        <v>9.1021428571428557E-5</v>
      </c>
      <c r="K98" s="14">
        <f t="shared" si="44"/>
        <v>9.4264285714285717E-3</v>
      </c>
      <c r="L98" s="14">
        <f t="shared" si="44"/>
        <v>2.4243571428571427E-2</v>
      </c>
      <c r="M98" s="14">
        <f t="shared" si="44"/>
        <v>5.4892857142857139E-2</v>
      </c>
      <c r="N98" s="14">
        <f t="shared" si="44"/>
        <v>0.10766071428571429</v>
      </c>
      <c r="O98" s="14">
        <f t="shared" si="44"/>
        <v>0.18253214285714284</v>
      </c>
      <c r="P98" s="14">
        <f t="shared" si="44"/>
        <v>0.26919642857142856</v>
      </c>
      <c r="Q98" s="14">
        <f t="shared" si="44"/>
        <v>0.34986428571428568</v>
      </c>
      <c r="R98" s="14">
        <f t="shared" si="44"/>
        <v>0.41074999999999995</v>
      </c>
      <c r="S98" s="14">
        <f t="shared" si="44"/>
        <v>0.44974999999999993</v>
      </c>
      <c r="T98" s="14">
        <f t="shared" si="44"/>
        <v>0.47232142857142856</v>
      </c>
      <c r="U98" s="14">
        <f t="shared" si="44"/>
        <v>0.4847499999999999</v>
      </c>
      <c r="V98" s="14">
        <f t="shared" si="44"/>
        <v>0.49149999999999994</v>
      </c>
      <c r="W98" s="14">
        <f t="shared" si="44"/>
        <v>0.49521428571428572</v>
      </c>
      <c r="X98" s="14">
        <f t="shared" si="44"/>
        <v>0.49721428571428572</v>
      </c>
      <c r="Y98" s="14">
        <f t="shared" si="44"/>
        <v>0.49835714285714283</v>
      </c>
      <c r="Z98" s="14">
        <f t="shared" si="44"/>
        <v>0.49903571428571425</v>
      </c>
      <c r="AA98" s="14">
        <f t="shared" si="44"/>
        <v>0.49939285714285714</v>
      </c>
      <c r="AB98" s="14">
        <f t="shared" si="44"/>
        <v>0.49989285714285714</v>
      </c>
      <c r="AC98" s="14">
        <f t="shared" si="44"/>
        <v>0.49996428571428569</v>
      </c>
      <c r="AD98" s="14">
        <f t="shared" si="44"/>
        <v>0.5</v>
      </c>
      <c r="AE98" s="14">
        <f t="shared" si="44"/>
        <v>0.5</v>
      </c>
      <c r="AF98" s="14">
        <f t="shared" si="44"/>
        <v>0.5</v>
      </c>
      <c r="AG98" s="14">
        <f t="shared" si="44"/>
        <v>0.5</v>
      </c>
      <c r="AH98" s="14">
        <f t="shared" si="44"/>
        <v>0.49996428571428569</v>
      </c>
      <c r="AI98" s="14">
        <f t="shared" si="44"/>
        <v>0.49882142857142847</v>
      </c>
      <c r="AJ98" s="14">
        <f t="shared" si="44"/>
        <v>0.49789285714285714</v>
      </c>
      <c r="AK98" s="14">
        <f t="shared" si="44"/>
        <v>0.49710714285714286</v>
      </c>
      <c r="AL98" s="14">
        <f t="shared" si="44"/>
        <v>0.49425000000000002</v>
      </c>
    </row>
    <row r="99" spans="1:54" ht="21" customHeight="1" outlineLevel="1" thickBot="1" x14ac:dyDescent="0.4">
      <c r="A99" s="5">
        <f t="shared" si="42"/>
        <v>0</v>
      </c>
      <c r="B99" s="5">
        <f t="shared" si="42"/>
        <v>0</v>
      </c>
      <c r="C99" s="5">
        <f t="shared" si="42"/>
        <v>0</v>
      </c>
      <c r="D99" s="5">
        <f t="shared" si="42"/>
        <v>1</v>
      </c>
      <c r="E99" s="6" t="str">
        <f t="shared" si="21"/>
        <v>(3)Ga[1]</v>
      </c>
      <c r="F99" s="14">
        <f t="shared" ref="F99:AL99" si="45">F23*$C$78</f>
        <v>0</v>
      </c>
      <c r="G99" s="14">
        <f t="shared" si="45"/>
        <v>0</v>
      </c>
      <c r="H99" s="14">
        <f t="shared" si="45"/>
        <v>0</v>
      </c>
      <c r="I99" s="14">
        <f t="shared" si="45"/>
        <v>0</v>
      </c>
      <c r="J99" s="14">
        <f t="shared" si="45"/>
        <v>0</v>
      </c>
      <c r="K99" s="14">
        <f t="shared" si="45"/>
        <v>0</v>
      </c>
      <c r="L99" s="14">
        <f t="shared" si="45"/>
        <v>0</v>
      </c>
      <c r="M99" s="14">
        <f t="shared" si="45"/>
        <v>0</v>
      </c>
      <c r="N99" s="14">
        <f t="shared" si="45"/>
        <v>0</v>
      </c>
      <c r="O99" s="14">
        <f t="shared" si="45"/>
        <v>0</v>
      </c>
      <c r="P99" s="14">
        <f t="shared" si="45"/>
        <v>0</v>
      </c>
      <c r="Q99" s="14">
        <f t="shared" si="45"/>
        <v>0</v>
      </c>
      <c r="R99" s="14">
        <f t="shared" si="45"/>
        <v>0</v>
      </c>
      <c r="S99" s="14">
        <f t="shared" si="45"/>
        <v>0</v>
      </c>
      <c r="T99" s="14">
        <f t="shared" si="45"/>
        <v>0</v>
      </c>
      <c r="U99" s="14">
        <f t="shared" si="45"/>
        <v>0</v>
      </c>
      <c r="V99" s="14">
        <f t="shared" si="45"/>
        <v>0</v>
      </c>
      <c r="W99" s="14">
        <f t="shared" si="45"/>
        <v>0</v>
      </c>
      <c r="X99" s="14">
        <f t="shared" si="45"/>
        <v>0</v>
      </c>
      <c r="Y99" s="14">
        <f t="shared" si="45"/>
        <v>0</v>
      </c>
      <c r="Z99" s="14">
        <f t="shared" si="45"/>
        <v>0</v>
      </c>
      <c r="AA99" s="14">
        <f t="shared" si="45"/>
        <v>0</v>
      </c>
      <c r="AB99" s="14">
        <f t="shared" si="45"/>
        <v>0</v>
      </c>
      <c r="AC99" s="14">
        <f t="shared" si="45"/>
        <v>5.0924999999999997E-22</v>
      </c>
      <c r="AD99" s="14">
        <f t="shared" si="45"/>
        <v>1.7283214285714286E-17</v>
      </c>
      <c r="AE99" s="14">
        <f t="shared" si="45"/>
        <v>3.0975357142857138E-13</v>
      </c>
      <c r="AF99" s="14">
        <f t="shared" si="45"/>
        <v>2.8282142857142854E-9</v>
      </c>
      <c r="AG99" s="14">
        <f t="shared" si="45"/>
        <v>5.1067857142857148E-7</v>
      </c>
      <c r="AH99" s="14">
        <f t="shared" si="45"/>
        <v>1.9680714285714284E-3</v>
      </c>
      <c r="AI99" s="14">
        <f t="shared" si="45"/>
        <v>4.425357142857142E-2</v>
      </c>
      <c r="AJ99" s="14">
        <f t="shared" si="45"/>
        <v>7.1332142857142858E-2</v>
      </c>
      <c r="AK99" s="14">
        <f t="shared" si="45"/>
        <v>8.9682142857142849E-2</v>
      </c>
      <c r="AL99" s="14">
        <f t="shared" si="45"/>
        <v>0.1261357142857143</v>
      </c>
    </row>
    <row r="100" spans="1:54" ht="21" customHeight="1" outlineLevel="1" thickBot="1" x14ac:dyDescent="0.4">
      <c r="A100" s="5">
        <f t="shared" si="42"/>
        <v>0</v>
      </c>
      <c r="B100" s="5">
        <f t="shared" si="42"/>
        <v>0</v>
      </c>
      <c r="C100" s="5">
        <f t="shared" si="42"/>
        <v>1</v>
      </c>
      <c r="D100" s="5">
        <f t="shared" si="42"/>
        <v>0</v>
      </c>
      <c r="E100" s="6" t="str">
        <f t="shared" si="21"/>
        <v>(3)Ge[1]</v>
      </c>
      <c r="F100" s="14">
        <f t="shared" ref="F100:AL100" si="46">F24*$C$78</f>
        <v>0</v>
      </c>
      <c r="G100" s="14">
        <f t="shared" si="46"/>
        <v>0</v>
      </c>
      <c r="H100" s="14">
        <f t="shared" si="46"/>
        <v>0</v>
      </c>
      <c r="I100" s="14">
        <f t="shared" si="46"/>
        <v>0</v>
      </c>
      <c r="J100" s="14">
        <f t="shared" si="46"/>
        <v>0</v>
      </c>
      <c r="K100" s="14">
        <f t="shared" si="46"/>
        <v>0</v>
      </c>
      <c r="L100" s="14">
        <f t="shared" si="46"/>
        <v>0</v>
      </c>
      <c r="M100" s="14">
        <f t="shared" si="46"/>
        <v>0</v>
      </c>
      <c r="N100" s="14">
        <f t="shared" si="46"/>
        <v>0</v>
      </c>
      <c r="O100" s="14">
        <f t="shared" si="46"/>
        <v>0</v>
      </c>
      <c r="P100" s="14">
        <f t="shared" si="46"/>
        <v>0</v>
      </c>
      <c r="Q100" s="14">
        <f t="shared" si="46"/>
        <v>0</v>
      </c>
      <c r="R100" s="14">
        <f t="shared" si="46"/>
        <v>0</v>
      </c>
      <c r="S100" s="14">
        <f t="shared" si="46"/>
        <v>0</v>
      </c>
      <c r="T100" s="14">
        <f t="shared" si="46"/>
        <v>0</v>
      </c>
      <c r="U100" s="14">
        <f t="shared" si="46"/>
        <v>0</v>
      </c>
      <c r="V100" s="14">
        <f t="shared" si="46"/>
        <v>0</v>
      </c>
      <c r="W100" s="14">
        <f t="shared" si="46"/>
        <v>0</v>
      </c>
      <c r="X100" s="14">
        <f t="shared" si="46"/>
        <v>0</v>
      </c>
      <c r="Y100" s="14">
        <f t="shared" si="46"/>
        <v>0</v>
      </c>
      <c r="Z100" s="14">
        <f t="shared" si="46"/>
        <v>0</v>
      </c>
      <c r="AA100" s="14">
        <f t="shared" si="46"/>
        <v>0</v>
      </c>
      <c r="AB100" s="14">
        <f t="shared" si="46"/>
        <v>0</v>
      </c>
      <c r="AC100" s="14">
        <f t="shared" si="46"/>
        <v>8.0174999999999996E-23</v>
      </c>
      <c r="AD100" s="14">
        <f t="shared" si="46"/>
        <v>2.0643928571428571E-18</v>
      </c>
      <c r="AE100" s="14">
        <f t="shared" si="46"/>
        <v>2.8653214285714286E-14</v>
      </c>
      <c r="AF100" s="14">
        <f t="shared" si="46"/>
        <v>2.0655714285714285E-10</v>
      </c>
      <c r="AG100" s="14">
        <f t="shared" si="46"/>
        <v>2.9956785714285715E-8</v>
      </c>
      <c r="AH100" s="14">
        <f t="shared" si="46"/>
        <v>9.502142857142856E-5</v>
      </c>
      <c r="AI100" s="14">
        <f t="shared" si="46"/>
        <v>2.3514999999999999E-3</v>
      </c>
      <c r="AJ100" s="14">
        <f t="shared" si="46"/>
        <v>4.1824999999999996E-3</v>
      </c>
      <c r="AK100" s="14">
        <f t="shared" si="46"/>
        <v>5.781428571428571E-3</v>
      </c>
      <c r="AL100" s="14">
        <f t="shared" si="46"/>
        <v>1.1506071428571428E-2</v>
      </c>
    </row>
    <row r="101" spans="1:54" ht="21" customHeight="1" outlineLevel="1" thickBot="1" x14ac:dyDescent="0.4">
      <c r="A101" s="5">
        <f t="shared" si="42"/>
        <v>1</v>
      </c>
      <c r="B101" s="5">
        <f t="shared" si="42"/>
        <v>0</v>
      </c>
      <c r="C101" s="5">
        <f t="shared" si="42"/>
        <v>0</v>
      </c>
      <c r="D101" s="5">
        <f t="shared" si="42"/>
        <v>0</v>
      </c>
      <c r="E101" s="6" t="str">
        <f t="shared" si="21"/>
        <v>H (Ar)</v>
      </c>
      <c r="F101" s="14">
        <f t="shared" ref="F101:AL101" si="47">F25*$C$78</f>
        <v>-66.642857142857139</v>
      </c>
      <c r="G101" s="14">
        <f t="shared" si="47"/>
        <v>-66.607142857142847</v>
      </c>
      <c r="H101" s="14">
        <f t="shared" si="47"/>
        <v>-66.607142857142847</v>
      </c>
      <c r="I101" s="14">
        <f t="shared" si="47"/>
        <v>-66.642857142857139</v>
      </c>
      <c r="J101" s="14">
        <f t="shared" si="47"/>
        <v>-66.678571428571431</v>
      </c>
      <c r="K101" s="14">
        <f t="shared" si="47"/>
        <v>-66.964285714285708</v>
      </c>
      <c r="L101" s="14">
        <f t="shared" si="47"/>
        <v>-67.071428571428569</v>
      </c>
      <c r="M101" s="14">
        <f t="shared" si="47"/>
        <v>-67.178571428571416</v>
      </c>
      <c r="N101" s="14">
        <f t="shared" si="47"/>
        <v>-67.249999999999986</v>
      </c>
      <c r="O101" s="14">
        <f t="shared" si="47"/>
        <v>-67.357142857142847</v>
      </c>
      <c r="P101" s="14">
        <f t="shared" si="47"/>
        <v>-67.499999999999986</v>
      </c>
      <c r="Q101" s="14">
        <f t="shared" si="47"/>
        <v>-67.607142857142847</v>
      </c>
      <c r="R101" s="14">
        <f t="shared" si="47"/>
        <v>-67.714285714285708</v>
      </c>
      <c r="S101" s="14">
        <f t="shared" si="47"/>
        <v>-67.821428571428555</v>
      </c>
      <c r="T101" s="14">
        <f t="shared" si="47"/>
        <v>-67.964285714285708</v>
      </c>
      <c r="U101" s="14">
        <f t="shared" si="47"/>
        <v>-68.071428571428555</v>
      </c>
      <c r="V101" s="14">
        <f t="shared" si="47"/>
        <v>-68.214285714285708</v>
      </c>
      <c r="W101" s="14">
        <f t="shared" si="47"/>
        <v>-68.321428571428569</v>
      </c>
      <c r="X101" s="14">
        <f t="shared" si="47"/>
        <v>-68.464285714285722</v>
      </c>
      <c r="Y101" s="14">
        <f t="shared" si="47"/>
        <v>-68.571428571428569</v>
      </c>
      <c r="Z101" s="14">
        <f t="shared" si="47"/>
        <v>-68.678571428571431</v>
      </c>
      <c r="AA101" s="14">
        <f t="shared" si="47"/>
        <v>-68.821428571428569</v>
      </c>
      <c r="AB101" s="14">
        <f t="shared" si="47"/>
        <v>-69.214285714285708</v>
      </c>
      <c r="AC101" s="14">
        <f t="shared" si="47"/>
        <v>-69.678571428571431</v>
      </c>
      <c r="AD101" s="14">
        <f t="shared" si="47"/>
        <v>-69.821428571428569</v>
      </c>
      <c r="AE101" s="14">
        <f t="shared" si="47"/>
        <v>-69.928571428571416</v>
      </c>
      <c r="AF101" s="14">
        <f t="shared" si="47"/>
        <v>-70.035714285714278</v>
      </c>
      <c r="AG101" s="14">
        <f t="shared" si="47"/>
        <v>-70.142857142857139</v>
      </c>
      <c r="AH101" s="14">
        <f t="shared" si="47"/>
        <v>-70.25</v>
      </c>
      <c r="AI101" s="14">
        <f t="shared" si="47"/>
        <v>-70.357142857142847</v>
      </c>
      <c r="AJ101" s="14">
        <f t="shared" si="47"/>
        <v>-70.464285714285708</v>
      </c>
      <c r="AK101" s="14">
        <f t="shared" si="47"/>
        <v>-70.571428571428569</v>
      </c>
      <c r="AL101" s="14">
        <f t="shared" si="47"/>
        <v>-70.999999999999986</v>
      </c>
    </row>
    <row r="102" spans="1:54" ht="21" customHeight="1" outlineLevel="1" thickBot="1" x14ac:dyDescent="0.4">
      <c r="A102" s="5">
        <f t="shared" si="42"/>
        <v>0</v>
      </c>
      <c r="B102" s="5">
        <f t="shared" si="42"/>
        <v>0</v>
      </c>
      <c r="C102" s="5">
        <f t="shared" si="42"/>
        <v>0</v>
      </c>
      <c r="D102" s="5">
        <f t="shared" si="42"/>
        <v>1</v>
      </c>
      <c r="E102" s="6" t="str">
        <f t="shared" si="21"/>
        <v>H (Ga)</v>
      </c>
      <c r="F102" s="14">
        <f t="shared" ref="F102:AL102" si="48">F26*$C$78</f>
        <v>-239.71428571428572</v>
      </c>
      <c r="G102" s="14">
        <f t="shared" si="48"/>
        <v>-226.85714285714286</v>
      </c>
      <c r="H102" s="14">
        <f t="shared" si="48"/>
        <v>-214.71428571428569</v>
      </c>
      <c r="I102" s="14">
        <f t="shared" si="48"/>
        <v>-202.71428571428569</v>
      </c>
      <c r="J102" s="14">
        <f t="shared" si="48"/>
        <v>-190.71428571428569</v>
      </c>
      <c r="K102" s="14">
        <f t="shared" si="48"/>
        <v>-146.57142857142856</v>
      </c>
      <c r="L102" s="14">
        <f t="shared" si="48"/>
        <v>-137.32142857142858</v>
      </c>
      <c r="M102" s="14">
        <f t="shared" si="48"/>
        <v>-128.85714285714283</v>
      </c>
      <c r="N102" s="14">
        <f t="shared" si="48"/>
        <v>-121.17857142857142</v>
      </c>
      <c r="O102" s="14">
        <f t="shared" si="48"/>
        <v>-114.07142857142857</v>
      </c>
      <c r="P102" s="14">
        <f t="shared" si="48"/>
        <v>-107.39285714285714</v>
      </c>
      <c r="Q102" s="14">
        <f t="shared" si="48"/>
        <v>-101</v>
      </c>
      <c r="R102" s="14">
        <f t="shared" si="48"/>
        <v>-94.785714285714278</v>
      </c>
      <c r="S102" s="14">
        <f t="shared" si="48"/>
        <v>-88.821428571428569</v>
      </c>
      <c r="T102" s="14">
        <f t="shared" si="48"/>
        <v>-83.107142857142847</v>
      </c>
      <c r="U102" s="14">
        <f t="shared" si="48"/>
        <v>-77.642857142857139</v>
      </c>
      <c r="V102" s="14">
        <f t="shared" si="48"/>
        <v>-72.392857142857139</v>
      </c>
      <c r="W102" s="14">
        <f t="shared" si="48"/>
        <v>-67.392857142857139</v>
      </c>
      <c r="X102" s="14">
        <f t="shared" si="48"/>
        <v>-62.642857142857139</v>
      </c>
      <c r="Y102" s="14">
        <f t="shared" si="48"/>
        <v>-58.071428571428569</v>
      </c>
      <c r="Z102" s="14">
        <f t="shared" si="48"/>
        <v>-53.75</v>
      </c>
      <c r="AA102" s="14">
        <f t="shared" si="48"/>
        <v>-49.678571428571423</v>
      </c>
      <c r="AB102" s="14">
        <f t="shared" si="48"/>
        <v>-38.535714285714278</v>
      </c>
      <c r="AC102" s="14">
        <f t="shared" si="48"/>
        <v>-32.853571428571428</v>
      </c>
      <c r="AD102" s="14">
        <f t="shared" si="48"/>
        <v>-31.692857142857143</v>
      </c>
      <c r="AE102" s="14">
        <f t="shared" si="48"/>
        <v>-30.617857142857144</v>
      </c>
      <c r="AF102" s="14">
        <f t="shared" si="48"/>
        <v>-29.624999999999996</v>
      </c>
      <c r="AG102" s="14">
        <f t="shared" si="48"/>
        <v>-28.699999999999996</v>
      </c>
      <c r="AH102" s="14">
        <f t="shared" si="48"/>
        <v>-27.87142857142857</v>
      </c>
      <c r="AI102" s="14">
        <f t="shared" si="48"/>
        <v>-28.057142857142853</v>
      </c>
      <c r="AJ102" s="14">
        <f t="shared" si="48"/>
        <v>-28.267857142857142</v>
      </c>
      <c r="AK102" s="14">
        <f t="shared" si="48"/>
        <v>-28.471428571428572</v>
      </c>
      <c r="AL102" s="14">
        <f t="shared" si="48"/>
        <v>-29.274999999999995</v>
      </c>
    </row>
    <row r="103" spans="1:54" ht="21" customHeight="1" outlineLevel="1" thickBot="1" x14ac:dyDescent="0.4">
      <c r="A103" s="5">
        <f t="shared" si="42"/>
        <v>0</v>
      </c>
      <c r="B103" s="5">
        <f t="shared" si="42"/>
        <v>0</v>
      </c>
      <c r="C103" s="5">
        <f t="shared" si="42"/>
        <v>1</v>
      </c>
      <c r="D103" s="5">
        <f t="shared" si="42"/>
        <v>0</v>
      </c>
      <c r="E103" s="6" t="str">
        <f t="shared" si="21"/>
        <v>H (Ge)</v>
      </c>
      <c r="F103" s="14">
        <f t="shared" ref="F103:AL103" si="49">F27*$C$78</f>
        <v>-60.642857142857139</v>
      </c>
      <c r="G103" s="14">
        <f t="shared" si="49"/>
        <v>-57.999999999999993</v>
      </c>
      <c r="H103" s="14">
        <f t="shared" si="49"/>
        <v>-55.071428571428569</v>
      </c>
      <c r="I103" s="14">
        <f t="shared" si="49"/>
        <v>-51.642857142857139</v>
      </c>
      <c r="J103" s="14">
        <f t="shared" si="49"/>
        <v>-47.714285714285708</v>
      </c>
      <c r="K103" s="14">
        <f t="shared" si="49"/>
        <v>-32.021428571428565</v>
      </c>
      <c r="L103" s="14">
        <f t="shared" si="49"/>
        <v>-28.846428571428568</v>
      </c>
      <c r="M103" s="14">
        <f t="shared" si="49"/>
        <v>-26.19285714285714</v>
      </c>
      <c r="N103" s="14">
        <f t="shared" si="49"/>
        <v>-24.139285714285712</v>
      </c>
      <c r="O103" s="14">
        <f t="shared" si="49"/>
        <v>-22.678571428571427</v>
      </c>
      <c r="P103" s="14">
        <f t="shared" si="49"/>
        <v>-21.73928571428571</v>
      </c>
      <c r="Q103" s="14">
        <f t="shared" si="49"/>
        <v>-21.207142857142856</v>
      </c>
      <c r="R103" s="14">
        <f t="shared" si="49"/>
        <v>-20.964285714285712</v>
      </c>
      <c r="S103" s="14">
        <f t="shared" si="49"/>
        <v>-20.9</v>
      </c>
      <c r="T103" s="14">
        <f t="shared" si="49"/>
        <v>-20.932142857142853</v>
      </c>
      <c r="U103" s="14">
        <f t="shared" si="49"/>
        <v>-21.021428571428569</v>
      </c>
      <c r="V103" s="14">
        <f t="shared" si="49"/>
        <v>-21.135714285714286</v>
      </c>
      <c r="W103" s="14">
        <f t="shared" si="49"/>
        <v>-21.267857142857142</v>
      </c>
      <c r="X103" s="14">
        <f t="shared" si="49"/>
        <v>-21.403571428571428</v>
      </c>
      <c r="Y103" s="14">
        <f t="shared" si="49"/>
        <v>-21.546428571428571</v>
      </c>
      <c r="Z103" s="14">
        <f t="shared" si="49"/>
        <v>-21.69285714285714</v>
      </c>
      <c r="AA103" s="14">
        <f t="shared" si="49"/>
        <v>-21.849999999999998</v>
      </c>
      <c r="AB103" s="14">
        <f t="shared" si="49"/>
        <v>-22.614285714285714</v>
      </c>
      <c r="AC103" s="14">
        <f t="shared" si="49"/>
        <v>-23.24285714285714</v>
      </c>
      <c r="AD103" s="14">
        <f t="shared" si="49"/>
        <v>-23.396428571428569</v>
      </c>
      <c r="AE103" s="14">
        <f t="shared" si="49"/>
        <v>-23.55</v>
      </c>
      <c r="AF103" s="14">
        <f t="shared" si="49"/>
        <v>-23.7</v>
      </c>
      <c r="AG103" s="14">
        <f t="shared" si="49"/>
        <v>-23.849999999999998</v>
      </c>
      <c r="AH103" s="14">
        <f t="shared" si="49"/>
        <v>-23.99642857142857</v>
      </c>
      <c r="AI103" s="14">
        <f t="shared" si="49"/>
        <v>-24.110714285714284</v>
      </c>
      <c r="AJ103" s="14">
        <f t="shared" si="49"/>
        <v>-24.228571428571428</v>
      </c>
      <c r="AK103" s="14">
        <f t="shared" si="49"/>
        <v>-24.346428571428572</v>
      </c>
      <c r="AL103" s="14">
        <f t="shared" si="49"/>
        <v>-24.835714285714282</v>
      </c>
    </row>
    <row r="104" spans="1:54" ht="21" customHeight="1" outlineLevel="1" thickBot="1" x14ac:dyDescent="0.4">
      <c r="A104" s="5">
        <f t="shared" si="42"/>
        <v>0</v>
      </c>
      <c r="B104" s="5">
        <f t="shared" si="42"/>
        <v>1</v>
      </c>
      <c r="C104" s="5">
        <f t="shared" si="42"/>
        <v>0</v>
      </c>
      <c r="D104" s="5">
        <f t="shared" si="42"/>
        <v>0</v>
      </c>
      <c r="E104" s="6" t="str">
        <f t="shared" si="21"/>
        <v>H (Se)</v>
      </c>
      <c r="F104" s="14">
        <f t="shared" ref="F104:AL104" si="50">F28*$C$78</f>
        <v>-84.142857142857139</v>
      </c>
      <c r="G104" s="14">
        <f t="shared" si="50"/>
        <v>-80.464285714285708</v>
      </c>
      <c r="H104" s="14">
        <f t="shared" si="50"/>
        <v>-77.678571428571416</v>
      </c>
      <c r="I104" s="14">
        <f t="shared" si="50"/>
        <v>-76</v>
      </c>
      <c r="J104" s="14">
        <f t="shared" si="50"/>
        <v>-75.321428571428569</v>
      </c>
      <c r="K104" s="14">
        <f t="shared" si="50"/>
        <v>-77.321428571428555</v>
      </c>
      <c r="L104" s="14">
        <f t="shared" si="50"/>
        <v>-78.035714285714292</v>
      </c>
      <c r="M104" s="14">
        <f t="shared" si="50"/>
        <v>-78.678571428571431</v>
      </c>
      <c r="N104" s="14">
        <f t="shared" si="50"/>
        <v>-79.214285714285708</v>
      </c>
      <c r="O104" s="14">
        <f t="shared" si="50"/>
        <v>-79.714285714285708</v>
      </c>
      <c r="P104" s="14">
        <f t="shared" si="50"/>
        <v>-80.249999999999986</v>
      </c>
      <c r="Q104" s="14">
        <f t="shared" si="50"/>
        <v>-80.892857142857139</v>
      </c>
      <c r="R104" s="14">
        <f t="shared" si="50"/>
        <v>-81.642857142857139</v>
      </c>
      <c r="S104" s="14">
        <f t="shared" si="50"/>
        <v>-82.428571428571416</v>
      </c>
      <c r="T104" s="14">
        <f t="shared" si="50"/>
        <v>-83.249999999999986</v>
      </c>
      <c r="U104" s="14">
        <f t="shared" si="50"/>
        <v>-84.071428571428569</v>
      </c>
      <c r="V104" s="14">
        <f t="shared" si="50"/>
        <v>-84.928571428571431</v>
      </c>
      <c r="W104" s="14">
        <f t="shared" si="50"/>
        <v>-85.75</v>
      </c>
      <c r="X104" s="14">
        <f t="shared" si="50"/>
        <v>-86.607142857142847</v>
      </c>
      <c r="Y104" s="14">
        <f t="shared" si="50"/>
        <v>-87.428571428571431</v>
      </c>
      <c r="Z104" s="14">
        <f t="shared" si="50"/>
        <v>-88.25</v>
      </c>
      <c r="AA104" s="14">
        <f t="shared" si="50"/>
        <v>-89.071428571428569</v>
      </c>
      <c r="AB104" s="14">
        <f t="shared" si="50"/>
        <v>-92.214285714285708</v>
      </c>
      <c r="AC104" s="14">
        <f t="shared" si="50"/>
        <v>-95.285714285714278</v>
      </c>
      <c r="AD104" s="14">
        <f t="shared" si="50"/>
        <v>-96.071428571428555</v>
      </c>
      <c r="AE104" s="14">
        <f t="shared" si="50"/>
        <v>-96.821428571428569</v>
      </c>
      <c r="AF104" s="14">
        <f t="shared" si="50"/>
        <v>-97.571428571428569</v>
      </c>
      <c r="AG104" s="14">
        <f t="shared" si="50"/>
        <v>-98.285714285714278</v>
      </c>
      <c r="AH104" s="14">
        <f t="shared" si="50"/>
        <v>-99.035714285714278</v>
      </c>
      <c r="AI104" s="14">
        <f t="shared" si="50"/>
        <v>-99.714285714285708</v>
      </c>
      <c r="AJ104" s="14">
        <f t="shared" si="50"/>
        <v>-100.39285714285714</v>
      </c>
      <c r="AK104" s="14">
        <f t="shared" si="50"/>
        <v>-101.07142857142857</v>
      </c>
      <c r="AL104" s="14">
        <f t="shared" si="50"/>
        <v>-103.85714285714285</v>
      </c>
    </row>
    <row r="105" spans="1:54" ht="21" customHeight="1" outlineLevel="1" thickBot="1" x14ac:dyDescent="0.4">
      <c r="A105" s="5">
        <f t="shared" si="42"/>
        <v>0</v>
      </c>
      <c r="B105" s="5">
        <f t="shared" si="42"/>
        <v>0</v>
      </c>
      <c r="C105" s="5">
        <f t="shared" si="42"/>
        <v>0</v>
      </c>
      <c r="D105" s="5">
        <f t="shared" si="42"/>
        <v>0</v>
      </c>
      <c r="E105" s="6">
        <f t="shared" si="21"/>
        <v>0</v>
      </c>
      <c r="F105" s="14">
        <f t="shared" ref="F105:AL105" si="51">F29*$C$78</f>
        <v>0</v>
      </c>
      <c r="G105" s="14">
        <f t="shared" si="51"/>
        <v>0</v>
      </c>
      <c r="H105" s="14">
        <f t="shared" si="51"/>
        <v>0</v>
      </c>
      <c r="I105" s="14">
        <f t="shared" si="51"/>
        <v>0</v>
      </c>
      <c r="J105" s="14">
        <f t="shared" si="51"/>
        <v>0</v>
      </c>
      <c r="K105" s="14">
        <f t="shared" si="51"/>
        <v>0</v>
      </c>
      <c r="L105" s="14">
        <f t="shared" si="51"/>
        <v>0</v>
      </c>
      <c r="M105" s="14">
        <f t="shared" si="51"/>
        <v>0</v>
      </c>
      <c r="N105" s="14">
        <f t="shared" si="51"/>
        <v>0</v>
      </c>
      <c r="O105" s="14">
        <f t="shared" si="51"/>
        <v>0</v>
      </c>
      <c r="P105" s="14">
        <f t="shared" si="51"/>
        <v>0</v>
      </c>
      <c r="Q105" s="14">
        <f t="shared" si="51"/>
        <v>0</v>
      </c>
      <c r="R105" s="14">
        <f t="shared" si="51"/>
        <v>0</v>
      </c>
      <c r="S105" s="14">
        <f t="shared" si="51"/>
        <v>0</v>
      </c>
      <c r="T105" s="14">
        <f t="shared" si="51"/>
        <v>0</v>
      </c>
      <c r="U105" s="14">
        <f t="shared" si="51"/>
        <v>0</v>
      </c>
      <c r="V105" s="14">
        <f t="shared" si="51"/>
        <v>0</v>
      </c>
      <c r="W105" s="14">
        <f t="shared" si="51"/>
        <v>0</v>
      </c>
      <c r="X105" s="14">
        <f t="shared" si="51"/>
        <v>0</v>
      </c>
      <c r="Y105" s="14">
        <f t="shared" si="51"/>
        <v>0</v>
      </c>
      <c r="Z105" s="14">
        <f t="shared" si="51"/>
        <v>0</v>
      </c>
      <c r="AA105" s="14">
        <f t="shared" si="51"/>
        <v>0</v>
      </c>
      <c r="AB105" s="14">
        <f t="shared" si="51"/>
        <v>0</v>
      </c>
      <c r="AC105" s="14">
        <f t="shared" si="51"/>
        <v>0</v>
      </c>
      <c r="AD105" s="14">
        <f t="shared" si="51"/>
        <v>0</v>
      </c>
      <c r="AE105" s="14">
        <f t="shared" si="51"/>
        <v>0</v>
      </c>
      <c r="AF105" s="14">
        <f t="shared" si="51"/>
        <v>0</v>
      </c>
      <c r="AG105" s="14">
        <f t="shared" si="51"/>
        <v>0</v>
      </c>
      <c r="AH105" s="14">
        <f t="shared" si="51"/>
        <v>0</v>
      </c>
      <c r="AI105" s="14">
        <f t="shared" si="51"/>
        <v>0</v>
      </c>
      <c r="AJ105" s="14">
        <f t="shared" si="51"/>
        <v>0</v>
      </c>
      <c r="AK105" s="14">
        <f t="shared" si="51"/>
        <v>0</v>
      </c>
      <c r="AL105" s="14">
        <f t="shared" si="51"/>
        <v>0</v>
      </c>
    </row>
    <row r="106" spans="1:54" ht="21" customHeight="1" outlineLevel="1" thickBot="1" x14ac:dyDescent="0.4">
      <c r="A106" s="5">
        <f t="shared" si="42"/>
        <v>0</v>
      </c>
      <c r="B106" s="5">
        <f t="shared" si="42"/>
        <v>0</v>
      </c>
      <c r="C106" s="5">
        <f t="shared" si="42"/>
        <v>0</v>
      </c>
      <c r="D106" s="5">
        <f t="shared" si="42"/>
        <v>0</v>
      </c>
      <c r="E106" s="6">
        <f t="shared" si="21"/>
        <v>0</v>
      </c>
      <c r="F106" s="14">
        <f t="shared" ref="F106:AL106" si="52">F30*$C$78</f>
        <v>0</v>
      </c>
      <c r="G106" s="14">
        <f t="shared" si="52"/>
        <v>0</v>
      </c>
      <c r="H106" s="14">
        <f t="shared" si="52"/>
        <v>0</v>
      </c>
      <c r="I106" s="14">
        <f t="shared" si="52"/>
        <v>0</v>
      </c>
      <c r="J106" s="14">
        <f t="shared" si="52"/>
        <v>0</v>
      </c>
      <c r="K106" s="14">
        <f t="shared" si="52"/>
        <v>0</v>
      </c>
      <c r="L106" s="14">
        <f t="shared" si="52"/>
        <v>0</v>
      </c>
      <c r="M106" s="14">
        <f t="shared" si="52"/>
        <v>0</v>
      </c>
      <c r="N106" s="14">
        <f t="shared" si="52"/>
        <v>0</v>
      </c>
      <c r="O106" s="14">
        <f t="shared" si="52"/>
        <v>0</v>
      </c>
      <c r="P106" s="14">
        <f t="shared" si="52"/>
        <v>0</v>
      </c>
      <c r="Q106" s="14">
        <f t="shared" si="52"/>
        <v>0</v>
      </c>
      <c r="R106" s="14">
        <f t="shared" si="52"/>
        <v>0</v>
      </c>
      <c r="S106" s="14">
        <f t="shared" si="52"/>
        <v>0</v>
      </c>
      <c r="T106" s="14">
        <f t="shared" si="52"/>
        <v>0</v>
      </c>
      <c r="U106" s="14">
        <f t="shared" si="52"/>
        <v>0</v>
      </c>
      <c r="V106" s="14">
        <f t="shared" si="52"/>
        <v>0</v>
      </c>
      <c r="W106" s="14">
        <f t="shared" si="52"/>
        <v>0</v>
      </c>
      <c r="X106" s="14">
        <f t="shared" si="52"/>
        <v>0</v>
      </c>
      <c r="Y106" s="14">
        <f t="shared" si="52"/>
        <v>0</v>
      </c>
      <c r="Z106" s="14">
        <f t="shared" si="52"/>
        <v>0</v>
      </c>
      <c r="AA106" s="14">
        <f t="shared" si="52"/>
        <v>0</v>
      </c>
      <c r="AB106" s="14">
        <f t="shared" si="52"/>
        <v>0</v>
      </c>
      <c r="AC106" s="14">
        <f t="shared" si="52"/>
        <v>0</v>
      </c>
      <c r="AD106" s="14">
        <f t="shared" si="52"/>
        <v>0</v>
      </c>
      <c r="AE106" s="14">
        <f t="shared" si="52"/>
        <v>0</v>
      </c>
      <c r="AF106" s="14">
        <f t="shared" si="52"/>
        <v>0</v>
      </c>
      <c r="AG106" s="14">
        <f t="shared" si="52"/>
        <v>0</v>
      </c>
      <c r="AH106" s="14">
        <f t="shared" si="52"/>
        <v>0</v>
      </c>
      <c r="AI106" s="14">
        <f t="shared" si="52"/>
        <v>0</v>
      </c>
      <c r="AJ106" s="14">
        <f t="shared" si="52"/>
        <v>0</v>
      </c>
      <c r="AK106" s="14">
        <f t="shared" si="52"/>
        <v>0</v>
      </c>
      <c r="AL106" s="14">
        <f t="shared" si="52"/>
        <v>0</v>
      </c>
    </row>
    <row r="107" spans="1:54" ht="21" customHeight="1" outlineLevel="1" thickBot="1" x14ac:dyDescent="0.4">
      <c r="A107" s="5">
        <f t="shared" si="42"/>
        <v>0</v>
      </c>
      <c r="B107" s="5">
        <f t="shared" si="42"/>
        <v>0</v>
      </c>
      <c r="C107" s="5">
        <f t="shared" si="42"/>
        <v>0</v>
      </c>
      <c r="D107" s="5">
        <f t="shared" si="42"/>
        <v>0</v>
      </c>
      <c r="E107" s="6">
        <f t="shared" si="21"/>
        <v>0</v>
      </c>
      <c r="F107" s="14">
        <f t="shared" ref="F107:AL107" si="53">F31*$C$78</f>
        <v>0</v>
      </c>
      <c r="G107" s="14">
        <f t="shared" si="53"/>
        <v>0</v>
      </c>
      <c r="H107" s="14">
        <f t="shared" si="53"/>
        <v>0</v>
      </c>
      <c r="I107" s="14">
        <f t="shared" si="53"/>
        <v>0</v>
      </c>
      <c r="J107" s="14">
        <f t="shared" si="53"/>
        <v>0</v>
      </c>
      <c r="K107" s="14">
        <f t="shared" si="53"/>
        <v>0</v>
      </c>
      <c r="L107" s="14">
        <f t="shared" si="53"/>
        <v>0</v>
      </c>
      <c r="M107" s="14">
        <f t="shared" si="53"/>
        <v>0</v>
      </c>
      <c r="N107" s="14">
        <f t="shared" si="53"/>
        <v>0</v>
      </c>
      <c r="O107" s="14">
        <f t="shared" si="53"/>
        <v>0</v>
      </c>
      <c r="P107" s="14">
        <f t="shared" si="53"/>
        <v>0</v>
      </c>
      <c r="Q107" s="14">
        <f t="shared" si="53"/>
        <v>0</v>
      </c>
      <c r="R107" s="14">
        <f t="shared" si="53"/>
        <v>0</v>
      </c>
      <c r="S107" s="14">
        <f t="shared" si="53"/>
        <v>0</v>
      </c>
      <c r="T107" s="14">
        <f t="shared" si="53"/>
        <v>0</v>
      </c>
      <c r="U107" s="14">
        <f t="shared" si="53"/>
        <v>0</v>
      </c>
      <c r="V107" s="14">
        <f t="shared" si="53"/>
        <v>0</v>
      </c>
      <c r="W107" s="14">
        <f t="shared" si="53"/>
        <v>0</v>
      </c>
      <c r="X107" s="14">
        <f t="shared" si="53"/>
        <v>0</v>
      </c>
      <c r="Y107" s="14">
        <f t="shared" si="53"/>
        <v>0</v>
      </c>
      <c r="Z107" s="14">
        <f t="shared" si="53"/>
        <v>0</v>
      </c>
      <c r="AA107" s="14">
        <f t="shared" si="53"/>
        <v>0</v>
      </c>
      <c r="AB107" s="14">
        <f t="shared" si="53"/>
        <v>0</v>
      </c>
      <c r="AC107" s="14">
        <f t="shared" si="53"/>
        <v>0</v>
      </c>
      <c r="AD107" s="14">
        <f t="shared" si="53"/>
        <v>0</v>
      </c>
      <c r="AE107" s="14">
        <f t="shared" si="53"/>
        <v>0</v>
      </c>
      <c r="AF107" s="14">
        <f t="shared" si="53"/>
        <v>0</v>
      </c>
      <c r="AG107" s="14">
        <f t="shared" si="53"/>
        <v>0</v>
      </c>
      <c r="AH107" s="14">
        <f t="shared" si="53"/>
        <v>0</v>
      </c>
      <c r="AI107" s="14">
        <f t="shared" si="53"/>
        <v>0</v>
      </c>
      <c r="AJ107" s="14">
        <f t="shared" si="53"/>
        <v>0</v>
      </c>
      <c r="AK107" s="14">
        <f t="shared" si="53"/>
        <v>0</v>
      </c>
      <c r="AL107" s="14">
        <f t="shared" si="53"/>
        <v>0</v>
      </c>
    </row>
    <row r="108" spans="1:54" ht="21" customHeight="1" outlineLevel="1" thickBot="1" x14ac:dyDescent="0.4">
      <c r="A108" s="5">
        <f t="shared" si="42"/>
        <v>0</v>
      </c>
      <c r="B108" s="5">
        <f t="shared" si="42"/>
        <v>0</v>
      </c>
      <c r="C108" s="5">
        <f t="shared" si="42"/>
        <v>0</v>
      </c>
      <c r="D108" s="5">
        <f t="shared" si="42"/>
        <v>0</v>
      </c>
      <c r="E108" s="6">
        <f t="shared" si="21"/>
        <v>0</v>
      </c>
      <c r="F108" s="14">
        <f t="shared" ref="F108:AL108" si="54">F32*$C$78</f>
        <v>0</v>
      </c>
      <c r="G108" s="14">
        <f t="shared" si="54"/>
        <v>0</v>
      </c>
      <c r="H108" s="14">
        <f t="shared" si="54"/>
        <v>0</v>
      </c>
      <c r="I108" s="14">
        <f t="shared" si="54"/>
        <v>0</v>
      </c>
      <c r="J108" s="14">
        <f t="shared" si="54"/>
        <v>0</v>
      </c>
      <c r="K108" s="14">
        <f t="shared" si="54"/>
        <v>0</v>
      </c>
      <c r="L108" s="14">
        <f t="shared" si="54"/>
        <v>0</v>
      </c>
      <c r="M108" s="14">
        <f t="shared" si="54"/>
        <v>0</v>
      </c>
      <c r="N108" s="14">
        <f t="shared" si="54"/>
        <v>0</v>
      </c>
      <c r="O108" s="14">
        <f t="shared" si="54"/>
        <v>0</v>
      </c>
      <c r="P108" s="14">
        <f t="shared" si="54"/>
        <v>0</v>
      </c>
      <c r="Q108" s="14">
        <f t="shared" si="54"/>
        <v>0</v>
      </c>
      <c r="R108" s="14">
        <f t="shared" si="54"/>
        <v>0</v>
      </c>
      <c r="S108" s="14">
        <f t="shared" si="54"/>
        <v>0</v>
      </c>
      <c r="T108" s="14">
        <f t="shared" si="54"/>
        <v>0</v>
      </c>
      <c r="U108" s="14">
        <f t="shared" si="54"/>
        <v>0</v>
      </c>
      <c r="V108" s="14">
        <f t="shared" si="54"/>
        <v>0</v>
      </c>
      <c r="W108" s="14">
        <f t="shared" si="54"/>
        <v>0</v>
      </c>
      <c r="X108" s="14">
        <f t="shared" si="54"/>
        <v>0</v>
      </c>
      <c r="Y108" s="14">
        <f t="shared" si="54"/>
        <v>0</v>
      </c>
      <c r="Z108" s="14">
        <f t="shared" si="54"/>
        <v>0</v>
      </c>
      <c r="AA108" s="14">
        <f t="shared" si="54"/>
        <v>0</v>
      </c>
      <c r="AB108" s="14">
        <f t="shared" si="54"/>
        <v>0</v>
      </c>
      <c r="AC108" s="14">
        <f t="shared" si="54"/>
        <v>0</v>
      </c>
      <c r="AD108" s="14">
        <f t="shared" si="54"/>
        <v>0</v>
      </c>
      <c r="AE108" s="14">
        <f t="shared" si="54"/>
        <v>0</v>
      </c>
      <c r="AF108" s="14">
        <f t="shared" si="54"/>
        <v>0</v>
      </c>
      <c r="AG108" s="14">
        <f t="shared" si="54"/>
        <v>0</v>
      </c>
      <c r="AH108" s="14">
        <f t="shared" si="54"/>
        <v>0</v>
      </c>
      <c r="AI108" s="14">
        <f t="shared" si="54"/>
        <v>0</v>
      </c>
      <c r="AJ108" s="14">
        <f t="shared" si="54"/>
        <v>0</v>
      </c>
      <c r="AK108" s="14">
        <f t="shared" si="54"/>
        <v>0</v>
      </c>
      <c r="AL108" s="14">
        <f t="shared" si="54"/>
        <v>0</v>
      </c>
    </row>
    <row r="109" spans="1:54" ht="21" customHeight="1" outlineLevel="1" thickBot="1" x14ac:dyDescent="0.4">
      <c r="A109" s="5">
        <f t="shared" si="42"/>
        <v>0</v>
      </c>
      <c r="B109" s="5">
        <f t="shared" si="42"/>
        <v>0</v>
      </c>
      <c r="C109" s="5">
        <f t="shared" si="42"/>
        <v>0</v>
      </c>
      <c r="D109" s="5">
        <f t="shared" si="42"/>
        <v>0</v>
      </c>
      <c r="E109" s="6">
        <f t="shared" si="21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</row>
    <row r="111" spans="1:54" ht="21" customHeight="1" x14ac:dyDescent="0.35"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5">F3</f>
        <v>273.10000000000002</v>
      </c>
      <c r="G113" s="4">
        <f t="shared" si="55"/>
        <v>289.7</v>
      </c>
      <c r="H113" s="4">
        <f t="shared" si="55"/>
        <v>306.2</v>
      </c>
      <c r="I113" s="4">
        <f t="shared" si="55"/>
        <v>322.7</v>
      </c>
      <c r="J113" s="4">
        <f t="shared" si="55"/>
        <v>339.2</v>
      </c>
      <c r="K113" s="4">
        <f t="shared" si="55"/>
        <v>405.3</v>
      </c>
      <c r="L113" s="4">
        <f t="shared" si="55"/>
        <v>421.8</v>
      </c>
      <c r="M113" s="4">
        <f t="shared" si="55"/>
        <v>438.3</v>
      </c>
      <c r="N113" s="4">
        <f t="shared" si="55"/>
        <v>454.9</v>
      </c>
      <c r="O113" s="4">
        <f t="shared" si="55"/>
        <v>471.4</v>
      </c>
      <c r="P113" s="4">
        <f t="shared" si="55"/>
        <v>487.9</v>
      </c>
      <c r="Q113" s="4">
        <f t="shared" si="55"/>
        <v>504.4</v>
      </c>
      <c r="R113" s="4">
        <f t="shared" si="55"/>
        <v>520.9</v>
      </c>
      <c r="S113" s="4">
        <f t="shared" si="55"/>
        <v>537.5</v>
      </c>
      <c r="T113" s="4">
        <f t="shared" si="55"/>
        <v>554</v>
      </c>
      <c r="U113" s="4">
        <f t="shared" si="55"/>
        <v>570.5</v>
      </c>
      <c r="V113" s="4">
        <f t="shared" si="55"/>
        <v>587</v>
      </c>
      <c r="W113" s="4">
        <f t="shared" si="55"/>
        <v>603.5</v>
      </c>
      <c r="X113" s="4">
        <f t="shared" si="55"/>
        <v>620.1</v>
      </c>
      <c r="Y113" s="4">
        <f t="shared" si="55"/>
        <v>636.6</v>
      </c>
      <c r="Z113" s="4">
        <f t="shared" si="55"/>
        <v>653.1</v>
      </c>
      <c r="AA113" s="4">
        <f t="shared" si="55"/>
        <v>669.6</v>
      </c>
      <c r="AB113" s="4">
        <f t="shared" si="55"/>
        <v>735.7</v>
      </c>
      <c r="AC113" s="4">
        <f t="shared" si="55"/>
        <v>801.8</v>
      </c>
      <c r="AD113" s="4">
        <f t="shared" si="55"/>
        <v>818.3</v>
      </c>
      <c r="AE113" s="4">
        <f t="shared" si="55"/>
        <v>834.8</v>
      </c>
      <c r="AF113" s="4">
        <f t="shared" si="55"/>
        <v>851.3</v>
      </c>
      <c r="AG113" s="4">
        <f t="shared" si="55"/>
        <v>867.8</v>
      </c>
      <c r="AH113" s="4">
        <f t="shared" si="55"/>
        <v>884.4</v>
      </c>
      <c r="AI113" s="4">
        <f t="shared" si="55"/>
        <v>900.9</v>
      </c>
      <c r="AJ113" s="4">
        <f t="shared" si="55"/>
        <v>917.4</v>
      </c>
      <c r="AK113" s="4">
        <f t="shared" si="55"/>
        <v>933.9</v>
      </c>
      <c r="AL113" s="4">
        <f t="shared" si="55"/>
        <v>1000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MIN(MIN(F114:AL116),MIN(F41:AL41))</f>
        <v>-482.04501535714286</v>
      </c>
      <c r="C114" s="24">
        <f>COUNTA(E114:E121)+1</f>
        <v>7</v>
      </c>
      <c r="E114" s="17" t="s">
        <v>35</v>
      </c>
      <c r="F114" s="52">
        <f ca="1">F$113*$B$2*SUMPRODUCT(F$88:F$98,F$54:F$64)/1000</f>
        <v>-138.25933621916215</v>
      </c>
      <c r="G114" s="52">
        <f t="shared" ref="G114:AL114" ca="1" si="56">G$113*$B$2*SUMPRODUCT(G$88:G$98,G$54:G$64)/1000</f>
        <v>-140.28345403313827</v>
      </c>
      <c r="H114" s="52">
        <f t="shared" ca="1" si="56"/>
        <v>-142.62706086943717</v>
      </c>
      <c r="I114" s="52">
        <f t="shared" ca="1" si="56"/>
        <v>-145.58270951348359</v>
      </c>
      <c r="J114" s="52">
        <f t="shared" ca="1" si="56"/>
        <v>-148.9549166075719</v>
      </c>
      <c r="K114" s="52">
        <f t="shared" ca="1" si="56"/>
        <v>-163.65796285442946</v>
      </c>
      <c r="L114" s="52">
        <f t="shared" ca="1" si="56"/>
        <v>-167.65961923392808</v>
      </c>
      <c r="M114" s="52">
        <f t="shared" ca="1" si="56"/>
        <v>-172.06080777583637</v>
      </c>
      <c r="N114" s="52">
        <f t="shared" ca="1" si="56"/>
        <v>-177.03020804486849</v>
      </c>
      <c r="O114" s="52">
        <f t="shared" ca="1" si="56"/>
        <v>-182.5954597127739</v>
      </c>
      <c r="P114" s="52">
        <f t="shared" ca="1" si="56"/>
        <v>-188.79362828712445</v>
      </c>
      <c r="Q114" s="52">
        <f t="shared" ca="1" si="56"/>
        <v>-195.54439707765377</v>
      </c>
      <c r="R114" s="52">
        <f t="shared" ca="1" si="56"/>
        <v>-202.71474068398356</v>
      </c>
      <c r="S114" s="52">
        <f t="shared" ca="1" si="56"/>
        <v>-210.13861587612112</v>
      </c>
      <c r="T114" s="52">
        <f t="shared" ca="1" si="56"/>
        <v>-217.7098632496205</v>
      </c>
      <c r="U114" s="52">
        <f t="shared" ca="1" si="56"/>
        <v>-225.39690642683649</v>
      </c>
      <c r="V114" s="52">
        <f t="shared" ca="1" si="56"/>
        <v>-233.26374175175252</v>
      </c>
      <c r="W114" s="52">
        <f t="shared" ca="1" si="56"/>
        <v>-241.17280794127376</v>
      </c>
      <c r="X114" s="52">
        <f t="shared" ca="1" si="56"/>
        <v>-249.32576592846698</v>
      </c>
      <c r="Y114" s="52">
        <f t="shared" ca="1" si="56"/>
        <v>-257.49597303351482</v>
      </c>
      <c r="Z114" s="52">
        <f t="shared" ca="1" si="56"/>
        <v>-265.8953744740831</v>
      </c>
      <c r="AA114" s="52">
        <f t="shared" ca="1" si="56"/>
        <v>-274.78323727860652</v>
      </c>
      <c r="AB114" s="52">
        <f t="shared" ca="1" si="56"/>
        <v>-317.91923673329478</v>
      </c>
      <c r="AC114" s="52">
        <f t="shared" ca="1" si="56"/>
        <v>-357.03928653904933</v>
      </c>
      <c r="AD114" s="52">
        <f t="shared" ca="1" si="56"/>
        <v>-366.93941464348023</v>
      </c>
      <c r="AE114" s="52">
        <f t="shared" ca="1" si="56"/>
        <v>-376.846072638929</v>
      </c>
      <c r="AF114" s="52">
        <f t="shared" ca="1" si="56"/>
        <v>-386.85408888476098</v>
      </c>
      <c r="AG114" s="52">
        <f t="shared" ca="1" si="56"/>
        <v>-396.86542065946702</v>
      </c>
      <c r="AH114" s="52">
        <f t="shared" ca="1" si="56"/>
        <v>-407.04318115256251</v>
      </c>
      <c r="AI114" s="52">
        <f t="shared" ca="1" si="56"/>
        <v>-414.76745649540379</v>
      </c>
      <c r="AJ114" s="52">
        <f t="shared" ca="1" si="56"/>
        <v>-423.41450278074808</v>
      </c>
      <c r="AK114" s="52">
        <f t="shared" ca="1" si="56"/>
        <v>-432.63018951556705</v>
      </c>
      <c r="AL114" s="52">
        <f t="shared" ca="1" si="56"/>
        <v>-472.7836176019282</v>
      </c>
    </row>
    <row r="115" spans="1:38" ht="21" customHeight="1" outlineLevel="1" thickBot="1" x14ac:dyDescent="0.4">
      <c r="A115" s="22">
        <f>$A$114</f>
        <v>700</v>
      </c>
      <c r="B115" s="51">
        <f ca="1">MAX(MAX(F114:AL116),MAX(F41:AL41))</f>
        <v>0</v>
      </c>
      <c r="C115" s="25">
        <f xml:space="preserve"> COUNTIF(F113:AL113,"&lt;&gt;"&amp;0)</f>
        <v>33</v>
      </c>
      <c r="E115" s="17" t="s">
        <v>37</v>
      </c>
      <c r="F115" s="14">
        <f ca="1">F$113*$B$2*SUMPRODUCT(F$99:F$100,F$65:F$66)/1000</f>
        <v>0</v>
      </c>
      <c r="G115" s="14">
        <f t="shared" ref="G115:AL115" ca="1" si="57">G$113*$B$2*SUMPRODUCT(G$99:G$100,G$65:G$66)/1000</f>
        <v>0</v>
      </c>
      <c r="H115" s="14">
        <f t="shared" ca="1" si="57"/>
        <v>0</v>
      </c>
      <c r="I115" s="14">
        <f t="shared" ca="1" si="57"/>
        <v>0</v>
      </c>
      <c r="J115" s="14">
        <f t="shared" ca="1" si="57"/>
        <v>0</v>
      </c>
      <c r="K115" s="14">
        <f t="shared" ca="1" si="57"/>
        <v>0</v>
      </c>
      <c r="L115" s="14">
        <f t="shared" ca="1" si="57"/>
        <v>0</v>
      </c>
      <c r="M115" s="14">
        <f t="shared" ca="1" si="57"/>
        <v>0</v>
      </c>
      <c r="N115" s="14">
        <f t="shared" ca="1" si="57"/>
        <v>0</v>
      </c>
      <c r="O115" s="14">
        <f t="shared" ca="1" si="57"/>
        <v>0</v>
      </c>
      <c r="P115" s="14">
        <f t="shared" ca="1" si="57"/>
        <v>0</v>
      </c>
      <c r="Q115" s="14">
        <f t="shared" ca="1" si="57"/>
        <v>0</v>
      </c>
      <c r="R115" s="14">
        <f t="shared" ca="1" si="57"/>
        <v>0</v>
      </c>
      <c r="S115" s="14">
        <f t="shared" ca="1" si="57"/>
        <v>0</v>
      </c>
      <c r="T115" s="14">
        <f t="shared" ca="1" si="57"/>
        <v>0</v>
      </c>
      <c r="U115" s="14">
        <f t="shared" ca="1" si="57"/>
        <v>0</v>
      </c>
      <c r="V115" s="14">
        <f t="shared" ca="1" si="57"/>
        <v>0</v>
      </c>
      <c r="W115" s="14">
        <f t="shared" ca="1" si="57"/>
        <v>0</v>
      </c>
      <c r="X115" s="14">
        <f t="shared" ca="1" si="57"/>
        <v>0</v>
      </c>
      <c r="Y115" s="14">
        <f t="shared" ca="1" si="57"/>
        <v>0</v>
      </c>
      <c r="Z115" s="14">
        <f t="shared" ca="1" si="57"/>
        <v>0</v>
      </c>
      <c r="AA115" s="14">
        <f t="shared" ca="1" si="57"/>
        <v>0</v>
      </c>
      <c r="AB115" s="14">
        <f t="shared" ca="1" si="57"/>
        <v>0</v>
      </c>
      <c r="AC115" s="14">
        <f t="shared" ca="1" si="57"/>
        <v>-3.4708607412758862E-20</v>
      </c>
      <c r="AD115" s="14">
        <f t="shared" ca="1" si="57"/>
        <v>-1.1355133014573897E-15</v>
      </c>
      <c r="AE115" s="14">
        <f t="shared" ca="1" si="57"/>
        <v>-1.9743216113992303E-11</v>
      </c>
      <c r="AF115" s="14">
        <f t="shared" ca="1" si="57"/>
        <v>-1.7575537705058117E-7</v>
      </c>
      <c r="AG115" s="14">
        <f t="shared" ca="1" si="57"/>
        <v>-3.1053772332817487E-5</v>
      </c>
      <c r="AH115" s="14">
        <f t="shared" ca="1" si="57"/>
        <v>-0.11763348799203781</v>
      </c>
      <c r="AI115" s="14">
        <f t="shared" ca="1" si="57"/>
        <v>-2.7230412222024829</v>
      </c>
      <c r="AJ115" s="14">
        <f t="shared" ca="1" si="57"/>
        <v>-4.5229951659575507</v>
      </c>
      <c r="AK115" s="14">
        <f t="shared" ca="1" si="57"/>
        <v>-5.8575234687240929</v>
      </c>
      <c r="AL115" s="14">
        <f t="shared" ca="1" si="57"/>
        <v>-9.2619179081539276</v>
      </c>
    </row>
    <row r="116" spans="1:38" ht="21" customHeight="1" outlineLevel="1" thickBot="1" x14ac:dyDescent="0.4">
      <c r="E116" s="17" t="s">
        <v>14</v>
      </c>
      <c r="F116" s="14">
        <f ca="1">F$113*$B$2*SUMPRODUCT(F$83:F$85,F$49:F$51)/1000</f>
        <v>-13.780150021182845</v>
      </c>
      <c r="G116" s="14">
        <f t="shared" ref="G116:AL116" ca="1" si="58">G$113*$B$2*SUMPRODUCT(G$83:G$85,G$49:G$51)/1000</f>
        <v>-13.719479910013501</v>
      </c>
      <c r="H116" s="14">
        <f t="shared" ca="1" si="58"/>
        <v>-13.420019657028917</v>
      </c>
      <c r="I116" s="14">
        <f t="shared" ca="1" si="58"/>
        <v>-12.850262219715306</v>
      </c>
      <c r="J116" s="14">
        <f t="shared" ca="1" si="58"/>
        <v>-12.205759711700876</v>
      </c>
      <c r="K116" s="14">
        <f t="shared" ca="1" si="58"/>
        <v>-11.384343010479316</v>
      </c>
      <c r="L116" s="14">
        <f t="shared" ca="1" si="58"/>
        <v>-11.295328576592365</v>
      </c>
      <c r="M116" s="14">
        <f t="shared" ca="1" si="58"/>
        <v>-11.075155435931345</v>
      </c>
      <c r="N116" s="14">
        <f t="shared" ca="1" si="58"/>
        <v>-10.681785004024798</v>
      </c>
      <c r="O116" s="14">
        <f t="shared" ca="1" si="58"/>
        <v>-10.14672345141866</v>
      </c>
      <c r="P116" s="14">
        <f t="shared" ca="1" si="58"/>
        <v>-9.5915813718371989</v>
      </c>
      <c r="Q116" s="14">
        <f t="shared" ca="1" si="58"/>
        <v>-9.1428980735247798</v>
      </c>
      <c r="R116" s="14">
        <f t="shared" ca="1" si="58"/>
        <v>-8.8555133327458044</v>
      </c>
      <c r="S116" s="14">
        <f t="shared" ca="1" si="58"/>
        <v>-8.7125339362070093</v>
      </c>
      <c r="T116" s="14">
        <f t="shared" ca="1" si="58"/>
        <v>-8.6648553223124036</v>
      </c>
      <c r="U116" s="14">
        <f t="shared" ca="1" si="58"/>
        <v>-8.672928977111436</v>
      </c>
      <c r="V116" s="14">
        <f t="shared" ca="1" si="58"/>
        <v>-8.712698153134907</v>
      </c>
      <c r="W116" s="14">
        <f t="shared" ca="1" si="58"/>
        <v>-8.766045474232163</v>
      </c>
      <c r="X116" s="14">
        <f t="shared" ca="1" si="58"/>
        <v>-8.8263372659871226</v>
      </c>
      <c r="Y116" s="14">
        <f t="shared" ca="1" si="58"/>
        <v>-8.8565818740510522</v>
      </c>
      <c r="Z116" s="14">
        <f t="shared" ca="1" si="58"/>
        <v>-8.7837564986522931</v>
      </c>
      <c r="AA116" s="14">
        <f t="shared" ca="1" si="58"/>
        <v>-8.3727740302004339</v>
      </c>
      <c r="AB116" s="14">
        <f t="shared" ca="1" si="58"/>
        <v>-0.99418124664108398</v>
      </c>
      <c r="AC116" s="14">
        <f t="shared" ca="1" si="58"/>
        <v>-1.7062927963174535E-2</v>
      </c>
      <c r="AD116" s="14">
        <f t="shared" ca="1" si="58"/>
        <v>-6.2011101265737993E-3</v>
      </c>
      <c r="AE116" s="14">
        <f t="shared" ca="1" si="58"/>
        <v>-2.2679971290620023E-3</v>
      </c>
      <c r="AF116" s="14">
        <f t="shared" ca="1" si="58"/>
        <v>-8.4131853743693444E-4</v>
      </c>
      <c r="AG116" s="14">
        <f t="shared" ca="1" si="58"/>
        <v>-3.2818675877928556E-4</v>
      </c>
      <c r="AH116" s="14">
        <f t="shared" ca="1" si="58"/>
        <v>-1.514817653685323E-4</v>
      </c>
      <c r="AI116" s="14">
        <f t="shared" ca="1" si="58"/>
        <v>-6.6367650121287367E-5</v>
      </c>
      <c r="AJ116" s="14">
        <f t="shared" ca="1" si="58"/>
        <v>-4.7871631901840948E-5</v>
      </c>
      <c r="AK116" s="14">
        <f t="shared" ca="1" si="58"/>
        <v>-4.427337200441796E-5</v>
      </c>
      <c r="AL116" s="14">
        <f t="shared" ca="1" si="58"/>
        <v>-4.3585590670203575E-5</v>
      </c>
    </row>
    <row r="117" spans="1:38" ht="21" customHeight="1" outlineLevel="1" thickBot="1" x14ac:dyDescent="0.4">
      <c r="E117" s="17" t="s">
        <v>36</v>
      </c>
      <c r="F117" s="14">
        <f ca="1">F116+F114</f>
        <v>-152.03948624034498</v>
      </c>
      <c r="G117" s="14">
        <f t="shared" ref="G117:AL117" ca="1" si="59">G116+G114</f>
        <v>-154.00293394315176</v>
      </c>
      <c r="H117" s="14">
        <f t="shared" ca="1" si="59"/>
        <v>-156.04708052646609</v>
      </c>
      <c r="I117" s="14">
        <f t="shared" ca="1" si="59"/>
        <v>-158.43297173319891</v>
      </c>
      <c r="J117" s="14">
        <f t="shared" ca="1" si="59"/>
        <v>-161.16067631927277</v>
      </c>
      <c r="K117" s="14">
        <f t="shared" ca="1" si="59"/>
        <v>-175.04230586490877</v>
      </c>
      <c r="L117" s="14">
        <f t="shared" ca="1" si="59"/>
        <v>-178.95494781052045</v>
      </c>
      <c r="M117" s="14">
        <f t="shared" ca="1" si="59"/>
        <v>-183.13596321176772</v>
      </c>
      <c r="N117" s="14">
        <f t="shared" ca="1" si="59"/>
        <v>-187.71199304889328</v>
      </c>
      <c r="O117" s="14">
        <f t="shared" ca="1" si="59"/>
        <v>-192.74218316419257</v>
      </c>
      <c r="P117" s="14">
        <f t="shared" ca="1" si="59"/>
        <v>-198.38520965896166</v>
      </c>
      <c r="Q117" s="14">
        <f t="shared" ca="1" si="59"/>
        <v>-204.68729515117855</v>
      </c>
      <c r="R117" s="14">
        <f t="shared" ca="1" si="59"/>
        <v>-211.57025401672936</v>
      </c>
      <c r="S117" s="14">
        <f t="shared" ca="1" si="59"/>
        <v>-218.85114981232812</v>
      </c>
      <c r="T117" s="14">
        <f t="shared" ca="1" si="59"/>
        <v>-226.3747185719329</v>
      </c>
      <c r="U117" s="14">
        <f t="shared" ca="1" si="59"/>
        <v>-234.06983540394793</v>
      </c>
      <c r="V117" s="14">
        <f t="shared" ca="1" si="59"/>
        <v>-241.97643990488743</v>
      </c>
      <c r="W117" s="14">
        <f t="shared" ca="1" si="59"/>
        <v>-249.93885341550592</v>
      </c>
      <c r="X117" s="14">
        <f t="shared" ca="1" si="59"/>
        <v>-258.15210319445413</v>
      </c>
      <c r="Y117" s="14">
        <f t="shared" ca="1" si="59"/>
        <v>-266.35255490756589</v>
      </c>
      <c r="Z117" s="14">
        <f t="shared" ca="1" si="59"/>
        <v>-274.67913097273538</v>
      </c>
      <c r="AA117" s="14">
        <f t="shared" ca="1" si="59"/>
        <v>-283.15601130880697</v>
      </c>
      <c r="AB117" s="14">
        <f t="shared" ca="1" si="59"/>
        <v>-318.91341797993584</v>
      </c>
      <c r="AC117" s="14">
        <f t="shared" ca="1" si="59"/>
        <v>-357.05634946701252</v>
      </c>
      <c r="AD117" s="14">
        <f t="shared" ca="1" si="59"/>
        <v>-366.94561575360683</v>
      </c>
      <c r="AE117" s="14">
        <f t="shared" ca="1" si="59"/>
        <v>-376.84834063605808</v>
      </c>
      <c r="AF117" s="14">
        <f t="shared" ca="1" si="59"/>
        <v>-386.85493020329841</v>
      </c>
      <c r="AG117" s="14">
        <f t="shared" ca="1" si="59"/>
        <v>-396.86574884622581</v>
      </c>
      <c r="AH117" s="14">
        <f t="shared" ca="1" si="59"/>
        <v>-407.0433326343279</v>
      </c>
      <c r="AI117" s="14">
        <f t="shared" ca="1" si="59"/>
        <v>-414.7675228630539</v>
      </c>
      <c r="AJ117" s="14">
        <f t="shared" ca="1" si="59"/>
        <v>-423.41455065238</v>
      </c>
      <c r="AK117" s="14">
        <f t="shared" ca="1" si="59"/>
        <v>-432.63023378893905</v>
      </c>
      <c r="AL117" s="14">
        <f t="shared" ca="1" si="59"/>
        <v>-472.78366118751887</v>
      </c>
    </row>
    <row r="118" spans="1:38" ht="21" customHeight="1" outlineLevel="1" thickBot="1" x14ac:dyDescent="0.4">
      <c r="E118" s="17" t="s">
        <v>38</v>
      </c>
      <c r="F118" s="14">
        <f ca="1">F116+F115</f>
        <v>-13.780150021182845</v>
      </c>
      <c r="G118" s="14">
        <f t="shared" ref="G118:AL118" ca="1" si="60">G116+G115</f>
        <v>-13.719479910013501</v>
      </c>
      <c r="H118" s="14">
        <f t="shared" ca="1" si="60"/>
        <v>-13.420019657028917</v>
      </c>
      <c r="I118" s="14">
        <f t="shared" ca="1" si="60"/>
        <v>-12.850262219715306</v>
      </c>
      <c r="J118" s="14">
        <f t="shared" ca="1" si="60"/>
        <v>-12.205759711700876</v>
      </c>
      <c r="K118" s="14">
        <f t="shared" ca="1" si="60"/>
        <v>-11.384343010479316</v>
      </c>
      <c r="L118" s="14">
        <f t="shared" ca="1" si="60"/>
        <v>-11.295328576592365</v>
      </c>
      <c r="M118" s="14">
        <f t="shared" ca="1" si="60"/>
        <v>-11.075155435931345</v>
      </c>
      <c r="N118" s="14">
        <f t="shared" ca="1" si="60"/>
        <v>-10.681785004024798</v>
      </c>
      <c r="O118" s="14">
        <f t="shared" ca="1" si="60"/>
        <v>-10.14672345141866</v>
      </c>
      <c r="P118" s="14">
        <f t="shared" ca="1" si="60"/>
        <v>-9.5915813718371989</v>
      </c>
      <c r="Q118" s="14">
        <f t="shared" ca="1" si="60"/>
        <v>-9.1428980735247798</v>
      </c>
      <c r="R118" s="14">
        <f t="shared" ca="1" si="60"/>
        <v>-8.8555133327458044</v>
      </c>
      <c r="S118" s="14">
        <f t="shared" ca="1" si="60"/>
        <v>-8.7125339362070093</v>
      </c>
      <c r="T118" s="14">
        <f t="shared" ca="1" si="60"/>
        <v>-8.6648553223124036</v>
      </c>
      <c r="U118" s="14">
        <f t="shared" ca="1" si="60"/>
        <v>-8.672928977111436</v>
      </c>
      <c r="V118" s="14">
        <f t="shared" ca="1" si="60"/>
        <v>-8.712698153134907</v>
      </c>
      <c r="W118" s="14">
        <f t="shared" ca="1" si="60"/>
        <v>-8.766045474232163</v>
      </c>
      <c r="X118" s="14">
        <f t="shared" ca="1" si="60"/>
        <v>-8.8263372659871226</v>
      </c>
      <c r="Y118" s="14">
        <f t="shared" ca="1" si="60"/>
        <v>-8.8565818740510522</v>
      </c>
      <c r="Z118" s="14">
        <f t="shared" ca="1" si="60"/>
        <v>-8.7837564986522931</v>
      </c>
      <c r="AA118" s="14">
        <f t="shared" ca="1" si="60"/>
        <v>-8.3727740302004339</v>
      </c>
      <c r="AB118" s="14">
        <f t="shared" ca="1" si="60"/>
        <v>-0.99418124664108398</v>
      </c>
      <c r="AC118" s="14">
        <f t="shared" ca="1" si="60"/>
        <v>-1.7062927963174535E-2</v>
      </c>
      <c r="AD118" s="14">
        <f t="shared" ca="1" si="60"/>
        <v>-6.2011101265749347E-3</v>
      </c>
      <c r="AE118" s="14">
        <f t="shared" ca="1" si="60"/>
        <v>-2.2679971488052185E-3</v>
      </c>
      <c r="AF118" s="14">
        <f t="shared" ca="1" si="60"/>
        <v>-8.41494292813985E-4</v>
      </c>
      <c r="AG118" s="14">
        <f t="shared" ca="1" si="60"/>
        <v>-3.5924053111210306E-4</v>
      </c>
      <c r="AH118" s="14">
        <f t="shared" ca="1" si="60"/>
        <v>-0.11778496975740634</v>
      </c>
      <c r="AI118" s="14">
        <f t="shared" ca="1" si="60"/>
        <v>-2.7231075898526043</v>
      </c>
      <c r="AJ118" s="14">
        <f t="shared" ca="1" si="60"/>
        <v>-4.5230430375894528</v>
      </c>
      <c r="AK118" s="14">
        <f t="shared" ca="1" si="60"/>
        <v>-5.857567742096097</v>
      </c>
      <c r="AL118" s="14">
        <f t="shared" ca="1" si="60"/>
        <v>-9.2619614937445984</v>
      </c>
    </row>
    <row r="119" spans="1:38" ht="21" customHeight="1" outlineLevel="1" x14ac:dyDescent="0.35">
      <c r="E119" s="119" t="s">
        <v>72</v>
      </c>
      <c r="F119" s="120">
        <f ca="1">F114+F115+F116</f>
        <v>-152.03948624034498</v>
      </c>
      <c r="G119" s="120">
        <f t="shared" ref="G119:AL119" ca="1" si="61">G114+G115+G116</f>
        <v>-154.00293394315176</v>
      </c>
      <c r="H119" s="120">
        <f t="shared" ca="1" si="61"/>
        <v>-156.04708052646609</v>
      </c>
      <c r="I119" s="120">
        <f t="shared" ca="1" si="61"/>
        <v>-158.43297173319891</v>
      </c>
      <c r="J119" s="120">
        <f t="shared" ca="1" si="61"/>
        <v>-161.16067631927277</v>
      </c>
      <c r="K119" s="120">
        <f t="shared" ca="1" si="61"/>
        <v>-175.04230586490877</v>
      </c>
      <c r="L119" s="120">
        <f t="shared" ca="1" si="61"/>
        <v>-178.95494781052045</v>
      </c>
      <c r="M119" s="120">
        <f t="shared" ca="1" si="61"/>
        <v>-183.13596321176772</v>
      </c>
      <c r="N119" s="120">
        <f t="shared" ca="1" si="61"/>
        <v>-187.71199304889328</v>
      </c>
      <c r="O119" s="120">
        <f t="shared" ca="1" si="61"/>
        <v>-192.74218316419257</v>
      </c>
      <c r="P119" s="120">
        <f t="shared" ca="1" si="61"/>
        <v>-198.38520965896166</v>
      </c>
      <c r="Q119" s="120">
        <f t="shared" ca="1" si="61"/>
        <v>-204.68729515117855</v>
      </c>
      <c r="R119" s="120">
        <f t="shared" ca="1" si="61"/>
        <v>-211.57025401672936</v>
      </c>
      <c r="S119" s="120">
        <f t="shared" ca="1" si="61"/>
        <v>-218.85114981232812</v>
      </c>
      <c r="T119" s="120">
        <f t="shared" ca="1" si="61"/>
        <v>-226.3747185719329</v>
      </c>
      <c r="U119" s="120">
        <f t="shared" ca="1" si="61"/>
        <v>-234.06983540394793</v>
      </c>
      <c r="V119" s="120">
        <f t="shared" ca="1" si="61"/>
        <v>-241.97643990488743</v>
      </c>
      <c r="W119" s="120">
        <f t="shared" ca="1" si="61"/>
        <v>-249.93885341550592</v>
      </c>
      <c r="X119" s="120">
        <f t="shared" ca="1" si="61"/>
        <v>-258.15210319445413</v>
      </c>
      <c r="Y119" s="120">
        <f t="shared" ca="1" si="61"/>
        <v>-266.35255490756589</v>
      </c>
      <c r="Z119" s="120">
        <f t="shared" ca="1" si="61"/>
        <v>-274.67913097273538</v>
      </c>
      <c r="AA119" s="120">
        <f t="shared" ca="1" si="61"/>
        <v>-283.15601130880697</v>
      </c>
      <c r="AB119" s="120">
        <f t="shared" ca="1" si="61"/>
        <v>-318.91341797993584</v>
      </c>
      <c r="AC119" s="120">
        <f t="shared" ca="1" si="61"/>
        <v>-357.05634946701252</v>
      </c>
      <c r="AD119" s="120">
        <f t="shared" ca="1" si="61"/>
        <v>-366.94561575360683</v>
      </c>
      <c r="AE119" s="120">
        <f t="shared" ca="1" si="61"/>
        <v>-376.84834063607781</v>
      </c>
      <c r="AF119" s="120">
        <f t="shared" ca="1" si="61"/>
        <v>-386.85493037905377</v>
      </c>
      <c r="AG119" s="120">
        <f t="shared" ca="1" si="61"/>
        <v>-396.86577989999813</v>
      </c>
      <c r="AH119" s="120">
        <f t="shared" ca="1" si="61"/>
        <v>-407.16096612231996</v>
      </c>
      <c r="AI119" s="120">
        <f t="shared" ca="1" si="61"/>
        <v>-417.49056408525638</v>
      </c>
      <c r="AJ119" s="120">
        <f t="shared" ca="1" si="61"/>
        <v>-427.93754581833753</v>
      </c>
      <c r="AK119" s="120">
        <f t="shared" ca="1" si="61"/>
        <v>-438.48775725766313</v>
      </c>
      <c r="AL119" s="120">
        <f t="shared" ca="1" si="61"/>
        <v>-482.04557909567279</v>
      </c>
    </row>
    <row r="120" spans="1:38" ht="21" customHeight="1" outlineLevel="1" thickBot="1" x14ac:dyDescent="0.4"/>
    <row r="121" spans="1:38" ht="21" customHeight="1" outlineLevel="1" thickBot="1" x14ac:dyDescent="0.4">
      <c r="E121" s="18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421.8</v>
      </c>
      <c r="M122" s="4">
        <f ca="1"/>
        <v>438.3</v>
      </c>
      <c r="N122" s="4">
        <f ca="1"/>
        <v>454.9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62">
        <f ca="1"/>
        <v>570.5</v>
      </c>
      <c r="V122" s="63">
        <f ca="1"/>
        <v>587</v>
      </c>
      <c r="W122" s="65">
        <f ca="1"/>
        <v>603.5</v>
      </c>
      <c r="X122" s="59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735.7</v>
      </c>
      <c r="AC122" s="4">
        <f ca="1"/>
        <v>801.8</v>
      </c>
      <c r="AD122" s="4">
        <f ca="1"/>
        <v>818.3</v>
      </c>
      <c r="AE122" s="4">
        <f ca="1"/>
        <v>834.8</v>
      </c>
      <c r="AF122" s="4">
        <f ca="1"/>
        <v>851.3</v>
      </c>
      <c r="AG122" s="4">
        <f ca="1"/>
        <v>867.8</v>
      </c>
      <c r="AH122" s="4">
        <f ca="1"/>
        <v>884.4</v>
      </c>
      <c r="AI122" s="4">
        <f ca="1"/>
        <v>900.9</v>
      </c>
      <c r="AJ122" s="4">
        <f ca="1"/>
        <v>917.4</v>
      </c>
      <c r="AK122" s="4">
        <f ca="1"/>
        <v>933.9</v>
      </c>
      <c r="AL122" s="4">
        <f ca="1"/>
        <v>1000</v>
      </c>
    </row>
    <row r="123" spans="1:38" ht="21" customHeight="1" outlineLevel="1" thickTop="1" thickBot="1" x14ac:dyDescent="0.4">
      <c r="E123" s="17" t="str">
        <f ca="1"/>
        <v xml:space="preserve">Раствор 1(тв): </v>
      </c>
      <c r="F123" s="55">
        <f ca="1"/>
        <v>-138.25933621916215</v>
      </c>
      <c r="G123" s="55">
        <f ca="1"/>
        <v>-140.28345403313827</v>
      </c>
      <c r="H123" s="55">
        <f ca="1"/>
        <v>-142.62706086943717</v>
      </c>
      <c r="I123" s="55">
        <f ca="1"/>
        <v>-145.58270951348359</v>
      </c>
      <c r="J123" s="55">
        <f ca="1"/>
        <v>-148.9549166075719</v>
      </c>
      <c r="K123" s="55">
        <f ca="1"/>
        <v>-163.65796285442946</v>
      </c>
      <c r="L123" s="55">
        <f ca="1"/>
        <v>-167.65961923392808</v>
      </c>
      <c r="M123" s="55">
        <f ca="1"/>
        <v>-172.06080777583637</v>
      </c>
      <c r="N123" s="55">
        <f ca="1"/>
        <v>-177.03020804486849</v>
      </c>
      <c r="O123" s="55">
        <f ca="1"/>
        <v>-182.5954597127739</v>
      </c>
      <c r="P123" s="55">
        <f ca="1"/>
        <v>-188.79362828712445</v>
      </c>
      <c r="Q123" s="55">
        <f ca="1"/>
        <v>-195.54439707765377</v>
      </c>
      <c r="R123" s="55">
        <f ca="1"/>
        <v>-202.71474068398356</v>
      </c>
      <c r="S123" s="55">
        <f ca="1"/>
        <v>-210.13861587612112</v>
      </c>
      <c r="T123" s="55">
        <f ca="1"/>
        <v>-217.7098632496205</v>
      </c>
      <c r="U123" s="55">
        <f ca="1"/>
        <v>-225.39690642683649</v>
      </c>
      <c r="V123" s="55">
        <f ca="1"/>
        <v>-233.26374175175252</v>
      </c>
      <c r="W123" s="55">
        <f ca="1"/>
        <v>-241.17280794127376</v>
      </c>
      <c r="X123" s="55">
        <f ca="1"/>
        <v>-249.32576592846698</v>
      </c>
      <c r="Y123" s="55">
        <f ca="1"/>
        <v>-257.49597303351482</v>
      </c>
      <c r="Z123" s="55">
        <f ca="1"/>
        <v>-265.8953744740831</v>
      </c>
      <c r="AA123" s="55">
        <f ca="1"/>
        <v>-274.78323727860652</v>
      </c>
      <c r="AB123" s="55">
        <f ca="1"/>
        <v>-317.91923673329478</v>
      </c>
      <c r="AC123" s="55">
        <f ca="1"/>
        <v>-357.03928653904933</v>
      </c>
      <c r="AD123" s="55">
        <f ca="1"/>
        <v>-366.93941464348023</v>
      </c>
      <c r="AE123" s="55">
        <f ca="1"/>
        <v>-376.846072638929</v>
      </c>
      <c r="AF123" s="55">
        <f ca="1"/>
        <v>-386.85408888476098</v>
      </c>
      <c r="AG123" s="55">
        <f ca="1"/>
        <v>-396.86542065946702</v>
      </c>
      <c r="AH123" s="55">
        <f ca="1"/>
        <v>-407.04318115256251</v>
      </c>
      <c r="AI123" s="55">
        <f ca="1"/>
        <v>-414.76745649540379</v>
      </c>
      <c r="AJ123" s="55">
        <f ca="1"/>
        <v>-423.41450278074808</v>
      </c>
      <c r="AK123" s="55">
        <f ca="1"/>
        <v>-432.63018951556705</v>
      </c>
      <c r="AL123" s="55">
        <f ca="1"/>
        <v>-472.7836176019282</v>
      </c>
    </row>
    <row r="124" spans="1:38" ht="21" customHeight="1" outlineLevel="1" thickBot="1" x14ac:dyDescent="0.4">
      <c r="E124" s="17" t="str">
        <f ca="1"/>
        <v xml:space="preserve">Раствор 3 (жид): </v>
      </c>
      <c r="F124" s="55">
        <f ca="1"/>
        <v>0</v>
      </c>
      <c r="G124" s="55">
        <f ca="1"/>
        <v>0</v>
      </c>
      <c r="H124" s="55">
        <f ca="1"/>
        <v>0</v>
      </c>
      <c r="I124" s="55">
        <f ca="1"/>
        <v>0</v>
      </c>
      <c r="J124" s="55">
        <f ca="1"/>
        <v>0</v>
      </c>
      <c r="K124" s="55">
        <f ca="1"/>
        <v>0</v>
      </c>
      <c r="L124" s="55">
        <f ca="1"/>
        <v>0</v>
      </c>
      <c r="M124" s="55">
        <f ca="1"/>
        <v>0</v>
      </c>
      <c r="N124" s="55">
        <f ca="1"/>
        <v>0</v>
      </c>
      <c r="O124" s="55">
        <f ca="1"/>
        <v>0</v>
      </c>
      <c r="P124" s="55">
        <f ca="1"/>
        <v>0</v>
      </c>
      <c r="Q124" s="55">
        <f ca="1"/>
        <v>0</v>
      </c>
      <c r="R124" s="55">
        <f ca="1"/>
        <v>0</v>
      </c>
      <c r="S124" s="55">
        <f ca="1"/>
        <v>0</v>
      </c>
      <c r="T124" s="55">
        <f ca="1"/>
        <v>0</v>
      </c>
      <c r="U124" s="55">
        <f ca="1"/>
        <v>0</v>
      </c>
      <c r="V124" s="55">
        <f ca="1"/>
        <v>0</v>
      </c>
      <c r="W124" s="55">
        <f ca="1"/>
        <v>0</v>
      </c>
      <c r="X124" s="55">
        <f ca="1"/>
        <v>0</v>
      </c>
      <c r="Y124" s="55">
        <f ca="1"/>
        <v>0</v>
      </c>
      <c r="Z124" s="55">
        <f ca="1"/>
        <v>0</v>
      </c>
      <c r="AA124" s="55">
        <f ca="1"/>
        <v>0</v>
      </c>
      <c r="AB124" s="55">
        <f ca="1"/>
        <v>0</v>
      </c>
      <c r="AC124" s="55">
        <f ca="1"/>
        <v>-3.4708607412758862E-20</v>
      </c>
      <c r="AD124" s="55">
        <f ca="1"/>
        <v>-1.1355133014573897E-15</v>
      </c>
      <c r="AE124" s="55">
        <f ca="1"/>
        <v>-1.9743216113992303E-11</v>
      </c>
      <c r="AF124" s="55">
        <f ca="1"/>
        <v>-1.7575537705058117E-7</v>
      </c>
      <c r="AG124" s="55">
        <f ca="1"/>
        <v>-3.1053772332817487E-5</v>
      </c>
      <c r="AH124" s="55">
        <f ca="1"/>
        <v>-0.11763348799203781</v>
      </c>
      <c r="AI124" s="55">
        <f ca="1"/>
        <v>-2.7230412222024829</v>
      </c>
      <c r="AJ124" s="55">
        <f ca="1"/>
        <v>-4.5229951659575507</v>
      </c>
      <c r="AK124" s="55">
        <f ca="1"/>
        <v>-5.8575234687240929</v>
      </c>
      <c r="AL124" s="55">
        <f ca="1"/>
        <v>-9.2619179081539276</v>
      </c>
    </row>
    <row r="125" spans="1:38" ht="21" customHeight="1" outlineLevel="1" thickBot="1" x14ac:dyDescent="0.4">
      <c r="E125" s="17" t="str">
        <f ca="1"/>
        <v xml:space="preserve">Газовая без Ar: </v>
      </c>
      <c r="F125" s="55">
        <f ca="1"/>
        <v>-13.780150021182845</v>
      </c>
      <c r="G125" s="55">
        <f ca="1"/>
        <v>-13.719479910013501</v>
      </c>
      <c r="H125" s="55">
        <f ca="1"/>
        <v>-13.420019657028917</v>
      </c>
      <c r="I125" s="55">
        <f ca="1"/>
        <v>-12.850262219715306</v>
      </c>
      <c r="J125" s="55">
        <f ca="1"/>
        <v>-12.205759711700876</v>
      </c>
      <c r="K125" s="55">
        <f ca="1"/>
        <v>-11.384343010479316</v>
      </c>
      <c r="L125" s="55">
        <f ca="1"/>
        <v>-11.295328576592365</v>
      </c>
      <c r="M125" s="55">
        <f ca="1"/>
        <v>-11.075155435931345</v>
      </c>
      <c r="N125" s="55">
        <f ca="1"/>
        <v>-10.681785004024798</v>
      </c>
      <c r="O125" s="55">
        <f ca="1"/>
        <v>-10.14672345141866</v>
      </c>
      <c r="P125" s="55">
        <f ca="1"/>
        <v>-9.5915813718371989</v>
      </c>
      <c r="Q125" s="55">
        <f ca="1"/>
        <v>-9.1428980735247798</v>
      </c>
      <c r="R125" s="55">
        <f ca="1"/>
        <v>-8.8555133327458044</v>
      </c>
      <c r="S125" s="55">
        <f ca="1"/>
        <v>-8.7125339362070093</v>
      </c>
      <c r="T125" s="55">
        <f ca="1"/>
        <v>-8.6648553223124036</v>
      </c>
      <c r="U125" s="55">
        <f ca="1"/>
        <v>-8.672928977111436</v>
      </c>
      <c r="V125" s="55">
        <f ca="1"/>
        <v>-8.712698153134907</v>
      </c>
      <c r="W125" s="55">
        <f ca="1"/>
        <v>-8.766045474232163</v>
      </c>
      <c r="X125" s="55">
        <f ca="1"/>
        <v>-8.8263372659871226</v>
      </c>
      <c r="Y125" s="55">
        <f ca="1"/>
        <v>-8.8565818740510522</v>
      </c>
      <c r="Z125" s="55">
        <f ca="1"/>
        <v>-8.7837564986522931</v>
      </c>
      <c r="AA125" s="55">
        <f ca="1"/>
        <v>-8.3727740302004339</v>
      </c>
      <c r="AB125" s="55">
        <f ca="1"/>
        <v>-0.99418124664108398</v>
      </c>
      <c r="AC125" s="55">
        <f ca="1"/>
        <v>-1.7062927963174535E-2</v>
      </c>
      <c r="AD125" s="55">
        <f ca="1"/>
        <v>-6.2011101265737993E-3</v>
      </c>
      <c r="AE125" s="55">
        <f ca="1"/>
        <v>-2.2679971290620023E-3</v>
      </c>
      <c r="AF125" s="55">
        <f ca="1"/>
        <v>-8.4131853743693444E-4</v>
      </c>
      <c r="AG125" s="55">
        <f ca="1"/>
        <v>-3.2818675877928556E-4</v>
      </c>
      <c r="AH125" s="55">
        <f ca="1"/>
        <v>-1.514817653685323E-4</v>
      </c>
      <c r="AI125" s="55">
        <f ca="1"/>
        <v>-6.6367650121287367E-5</v>
      </c>
      <c r="AJ125" s="55">
        <f ca="1"/>
        <v>-4.7871631901840948E-5</v>
      </c>
      <c r="AK125" s="55">
        <f ca="1"/>
        <v>-4.427337200441796E-5</v>
      </c>
      <c r="AL125" s="55">
        <f ca="1"/>
        <v>-4.3585590670203575E-5</v>
      </c>
    </row>
    <row r="126" spans="1:38" ht="21" customHeight="1" outlineLevel="1" thickBot="1" x14ac:dyDescent="0.4">
      <c r="E126" s="17" t="str">
        <f ca="1"/>
        <v xml:space="preserve">Раствор 1 + газовая без Ar: </v>
      </c>
      <c r="F126" s="55">
        <f ca="1"/>
        <v>-152.03948624034498</v>
      </c>
      <c r="G126" s="55">
        <f ca="1"/>
        <v>-154.00293394315176</v>
      </c>
      <c r="H126" s="55">
        <f ca="1"/>
        <v>-156.04708052646609</v>
      </c>
      <c r="I126" s="55">
        <f ca="1"/>
        <v>-158.43297173319891</v>
      </c>
      <c r="J126" s="55">
        <f ca="1"/>
        <v>-161.16067631927277</v>
      </c>
      <c r="K126" s="55">
        <f ca="1"/>
        <v>-175.04230586490877</v>
      </c>
      <c r="L126" s="55">
        <f ca="1"/>
        <v>-178.95494781052045</v>
      </c>
      <c r="M126" s="55">
        <f ca="1"/>
        <v>-183.13596321176772</v>
      </c>
      <c r="N126" s="55">
        <f ca="1"/>
        <v>-187.71199304889328</v>
      </c>
      <c r="O126" s="55">
        <f ca="1"/>
        <v>-192.74218316419257</v>
      </c>
      <c r="P126" s="55">
        <f ca="1"/>
        <v>-198.38520965896166</v>
      </c>
      <c r="Q126" s="55">
        <f ca="1"/>
        <v>-204.68729515117855</v>
      </c>
      <c r="R126" s="55">
        <f ca="1"/>
        <v>-211.57025401672936</v>
      </c>
      <c r="S126" s="55">
        <f ca="1"/>
        <v>-218.85114981232812</v>
      </c>
      <c r="T126" s="55">
        <f ca="1"/>
        <v>-226.3747185719329</v>
      </c>
      <c r="U126" s="55">
        <f ca="1"/>
        <v>-234.06983540394793</v>
      </c>
      <c r="V126" s="55">
        <f ca="1"/>
        <v>-241.97643990488743</v>
      </c>
      <c r="W126" s="55">
        <f ca="1"/>
        <v>-249.93885341550592</v>
      </c>
      <c r="X126" s="55">
        <f ca="1"/>
        <v>-258.15210319445413</v>
      </c>
      <c r="Y126" s="55">
        <f ca="1"/>
        <v>-266.35255490756589</v>
      </c>
      <c r="Z126" s="55">
        <f ca="1"/>
        <v>-274.67913097273538</v>
      </c>
      <c r="AA126" s="55">
        <f ca="1"/>
        <v>-283.15601130880697</v>
      </c>
      <c r="AB126" s="55">
        <f ca="1"/>
        <v>-318.91341797993584</v>
      </c>
      <c r="AC126" s="55">
        <f ca="1"/>
        <v>-357.05634946701252</v>
      </c>
      <c r="AD126" s="55">
        <f ca="1"/>
        <v>-366.94561575360683</v>
      </c>
      <c r="AE126" s="55">
        <f ca="1"/>
        <v>-376.84834063605808</v>
      </c>
      <c r="AF126" s="55">
        <f ca="1"/>
        <v>-386.85493020329841</v>
      </c>
      <c r="AG126" s="55">
        <f ca="1"/>
        <v>-396.86574884622581</v>
      </c>
      <c r="AH126" s="55">
        <f ca="1"/>
        <v>-407.0433326343279</v>
      </c>
      <c r="AI126" s="55">
        <f ca="1"/>
        <v>-414.7675228630539</v>
      </c>
      <c r="AJ126" s="55">
        <f ca="1"/>
        <v>-423.41455065238</v>
      </c>
      <c r="AK126" s="55">
        <f ca="1"/>
        <v>-432.63023378893905</v>
      </c>
      <c r="AL126" s="55">
        <f ca="1"/>
        <v>-472.78366118751887</v>
      </c>
    </row>
    <row r="127" spans="1:38" ht="21" customHeight="1" outlineLevel="1" thickBot="1" x14ac:dyDescent="0.4">
      <c r="E127" s="17" t="str">
        <f ca="1"/>
        <v xml:space="preserve">Раствор 3 + газовая без Ar: </v>
      </c>
      <c r="F127" s="55">
        <f ca="1"/>
        <v>-13.780150021182845</v>
      </c>
      <c r="G127" s="55">
        <f ca="1"/>
        <v>-13.719479910013501</v>
      </c>
      <c r="H127" s="55">
        <f ca="1"/>
        <v>-13.420019657028917</v>
      </c>
      <c r="I127" s="55">
        <f ca="1"/>
        <v>-12.850262219715306</v>
      </c>
      <c r="J127" s="55">
        <f ca="1"/>
        <v>-12.205759711700876</v>
      </c>
      <c r="K127" s="55">
        <f ca="1"/>
        <v>-11.384343010479316</v>
      </c>
      <c r="L127" s="55">
        <f ca="1"/>
        <v>-11.295328576592365</v>
      </c>
      <c r="M127" s="55">
        <f ca="1"/>
        <v>-11.075155435931345</v>
      </c>
      <c r="N127" s="55">
        <f ca="1"/>
        <v>-10.681785004024798</v>
      </c>
      <c r="O127" s="55">
        <f ca="1"/>
        <v>-10.14672345141866</v>
      </c>
      <c r="P127" s="55">
        <f ca="1"/>
        <v>-9.5915813718371989</v>
      </c>
      <c r="Q127" s="55">
        <f ca="1"/>
        <v>-9.1428980735247798</v>
      </c>
      <c r="R127" s="55">
        <f ca="1"/>
        <v>-8.8555133327458044</v>
      </c>
      <c r="S127" s="55">
        <f ca="1"/>
        <v>-8.7125339362070093</v>
      </c>
      <c r="T127" s="55">
        <f ca="1"/>
        <v>-8.6648553223124036</v>
      </c>
      <c r="U127" s="55">
        <f ca="1"/>
        <v>-8.672928977111436</v>
      </c>
      <c r="V127" s="55">
        <f ca="1"/>
        <v>-8.712698153134907</v>
      </c>
      <c r="W127" s="55">
        <f ca="1"/>
        <v>-8.766045474232163</v>
      </c>
      <c r="X127" s="55">
        <f ca="1"/>
        <v>-8.8263372659871226</v>
      </c>
      <c r="Y127" s="55">
        <f ca="1"/>
        <v>-8.8565818740510522</v>
      </c>
      <c r="Z127" s="55">
        <f ca="1"/>
        <v>-8.7837564986522931</v>
      </c>
      <c r="AA127" s="55">
        <f ca="1"/>
        <v>-8.3727740302004339</v>
      </c>
      <c r="AB127" s="55">
        <f ca="1"/>
        <v>-0.99418124664108398</v>
      </c>
      <c r="AC127" s="55">
        <f ca="1"/>
        <v>-1.7062927963174535E-2</v>
      </c>
      <c r="AD127" s="55">
        <f ca="1"/>
        <v>-6.2011101265749347E-3</v>
      </c>
      <c r="AE127" s="55">
        <f ca="1"/>
        <v>-2.2679971488052185E-3</v>
      </c>
      <c r="AF127" s="55">
        <f ca="1"/>
        <v>-8.41494292813985E-4</v>
      </c>
      <c r="AG127" s="55">
        <f ca="1"/>
        <v>-3.5924053111210306E-4</v>
      </c>
      <c r="AH127" s="55">
        <f ca="1"/>
        <v>-0.11778496975740634</v>
      </c>
      <c r="AI127" s="55">
        <f ca="1"/>
        <v>-2.7231075898526043</v>
      </c>
      <c r="AJ127" s="55">
        <f ca="1"/>
        <v>-4.5230430375894528</v>
      </c>
      <c r="AK127" s="55">
        <f ca="1"/>
        <v>-5.857567742096097</v>
      </c>
      <c r="AL127" s="55">
        <f ca="1"/>
        <v>-9.2619614937445984</v>
      </c>
    </row>
    <row r="128" spans="1:38" ht="21" customHeight="1" outlineLevel="1" thickBot="1" x14ac:dyDescent="0.4">
      <c r="E128" s="17" t="str">
        <f ca="1"/>
        <v>P1+P2 + газ без Ar</v>
      </c>
      <c r="F128" s="55">
        <f ca="1"/>
        <v>-152.03948624034498</v>
      </c>
      <c r="G128" s="55">
        <f ca="1"/>
        <v>-154.00293394315176</v>
      </c>
      <c r="H128" s="55">
        <f ca="1"/>
        <v>-156.04708052646609</v>
      </c>
      <c r="I128" s="55">
        <f ca="1"/>
        <v>-158.43297173319891</v>
      </c>
      <c r="J128" s="55">
        <f ca="1"/>
        <v>-161.16067631927277</v>
      </c>
      <c r="K128" s="55">
        <f ca="1"/>
        <v>-175.04230586490877</v>
      </c>
      <c r="L128" s="55">
        <f ca="1"/>
        <v>-178.95494781052045</v>
      </c>
      <c r="M128" s="55">
        <f ca="1"/>
        <v>-183.13596321176772</v>
      </c>
      <c r="N128" s="55">
        <f ca="1"/>
        <v>-187.71199304889328</v>
      </c>
      <c r="O128" s="55">
        <f ca="1"/>
        <v>-192.74218316419257</v>
      </c>
      <c r="P128" s="55">
        <f ca="1"/>
        <v>-198.38520965896166</v>
      </c>
      <c r="Q128" s="55">
        <f ca="1"/>
        <v>-204.68729515117855</v>
      </c>
      <c r="R128" s="55">
        <f ca="1"/>
        <v>-211.57025401672936</v>
      </c>
      <c r="S128" s="55">
        <f ca="1"/>
        <v>-218.85114981232812</v>
      </c>
      <c r="T128" s="55">
        <f ca="1"/>
        <v>-226.3747185719329</v>
      </c>
      <c r="U128" s="55">
        <f ca="1"/>
        <v>-234.06983540394793</v>
      </c>
      <c r="V128" s="55">
        <f ca="1"/>
        <v>-241.97643990488743</v>
      </c>
      <c r="W128" s="55">
        <f ca="1"/>
        <v>-249.93885341550592</v>
      </c>
      <c r="X128" s="55">
        <f ca="1"/>
        <v>-258.15210319445413</v>
      </c>
      <c r="Y128" s="55">
        <f ca="1"/>
        <v>-266.35255490756589</v>
      </c>
      <c r="Z128" s="55">
        <f ca="1"/>
        <v>-274.67913097273538</v>
      </c>
      <c r="AA128" s="55">
        <f ca="1"/>
        <v>-283.15601130880697</v>
      </c>
      <c r="AB128" s="55">
        <f ca="1"/>
        <v>-318.91341797993584</v>
      </c>
      <c r="AC128" s="55">
        <f ca="1"/>
        <v>-357.05634946701252</v>
      </c>
      <c r="AD128" s="55">
        <f ca="1"/>
        <v>-366.94561575360683</v>
      </c>
      <c r="AE128" s="55">
        <f ca="1"/>
        <v>-376.84834063607781</v>
      </c>
      <c r="AF128" s="55">
        <f ca="1"/>
        <v>-386.85493037905377</v>
      </c>
      <c r="AG128" s="55">
        <f ca="1"/>
        <v>-396.86577989999813</v>
      </c>
      <c r="AH128" s="55">
        <f ca="1"/>
        <v>-407.16096612231996</v>
      </c>
      <c r="AI128" s="55">
        <f ca="1"/>
        <v>-417.49056408525638</v>
      </c>
      <c r="AJ128" s="55">
        <f ca="1"/>
        <v>-427.93754581833753</v>
      </c>
      <c r="AK128" s="55">
        <f ca="1"/>
        <v>-438.48775725766313</v>
      </c>
      <c r="AL128" s="55">
        <f ca="1"/>
        <v>-482.04557909567279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13:B113"/>
    <mergeCell ref="A1:BB1"/>
  </mergeCells>
  <conditionalFormatting sqref="A4:D33">
    <cfRule type="cellIs" dxfId="12" priority="66" operator="equal">
      <formula>0</formula>
    </cfRule>
  </conditionalFormatting>
  <conditionalFormatting sqref="A80:D109">
    <cfRule type="cellIs" dxfId="11" priority="64" operator="equal">
      <formula>0</formula>
    </cfRule>
  </conditionalFormatting>
  <conditionalFormatting sqref="F32:AL32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AK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4:AK4">
    <cfRule type="colorScale" priority="24">
      <colorScale>
        <cfvo type="min"/>
        <cfvo type="max"/>
        <color rgb="FFFFEF9C"/>
        <color rgb="FF63BE7B"/>
      </colorScale>
    </cfRule>
  </conditionalFormatting>
  <conditionalFormatting sqref="F5:AK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AK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AK8">
    <cfRule type="colorScale" priority="19">
      <colorScale>
        <cfvo type="min"/>
        <cfvo type="max"/>
        <color rgb="FFFFEF9C"/>
        <color rgb="FF63BE7B"/>
      </colorScale>
    </cfRule>
    <cfRule type="colorScale" priority="26">
      <colorScale>
        <cfvo type="min"/>
        <cfvo type="max"/>
        <color rgb="FFFFEF9C"/>
        <color rgb="FF63BE7B"/>
      </colorScale>
    </cfRule>
  </conditionalFormatting>
  <conditionalFormatting sqref="F9:AK9">
    <cfRule type="colorScale" priority="18">
      <colorScale>
        <cfvo type="min"/>
        <cfvo type="max"/>
        <color rgb="FFFFEF9C"/>
        <color rgb="FF63BE7B"/>
      </colorScale>
    </cfRule>
    <cfRule type="colorScale" priority="27">
      <colorScale>
        <cfvo type="min"/>
        <cfvo type="max"/>
        <color rgb="FFFFEF9C"/>
        <color rgb="FF63BE7B"/>
      </colorScale>
    </cfRule>
  </conditionalFormatting>
  <conditionalFormatting sqref="F10:AK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AK11">
    <cfRule type="colorScale" priority="16">
      <colorScale>
        <cfvo type="min"/>
        <cfvo type="max"/>
        <color rgb="FFFFEF9C"/>
        <color rgb="FF63BE7B"/>
      </colorScale>
    </cfRule>
    <cfRule type="colorScale" priority="29">
      <colorScale>
        <cfvo type="min"/>
        <cfvo type="max"/>
        <color rgb="FFFFEF9C"/>
        <color rgb="FF63BE7B"/>
      </colorScale>
    </cfRule>
  </conditionalFormatting>
  <conditionalFormatting sqref="F12:AK12">
    <cfRule type="colorScale" priority="15">
      <colorScale>
        <cfvo type="min"/>
        <cfvo type="max"/>
        <color rgb="FFFFEF9C"/>
        <color rgb="FF63BE7B"/>
      </colorScale>
    </cfRule>
    <cfRule type="colorScale" priority="30">
      <colorScale>
        <cfvo type="min"/>
        <cfvo type="max"/>
        <color rgb="FFFFEF9C"/>
        <color rgb="FF63BE7B"/>
      </colorScale>
    </cfRule>
  </conditionalFormatting>
  <conditionalFormatting sqref="F13:AK13">
    <cfRule type="colorScale" priority="14">
      <colorScale>
        <cfvo type="min"/>
        <cfvo type="max"/>
        <color rgb="FFFFEF9C"/>
        <color rgb="FF63BE7B"/>
      </colorScale>
    </cfRule>
    <cfRule type="colorScale" priority="31">
      <colorScale>
        <cfvo type="min"/>
        <cfvo type="max"/>
        <color rgb="FFFFEF9C"/>
        <color rgb="FF63BE7B"/>
      </colorScale>
    </cfRule>
  </conditionalFormatting>
  <conditionalFormatting sqref="F14:AK14">
    <cfRule type="colorScale" priority="13">
      <colorScale>
        <cfvo type="min"/>
        <cfvo type="max"/>
        <color rgb="FFFFEF9C"/>
        <color rgb="FF63BE7B"/>
      </colorScale>
    </cfRule>
    <cfRule type="colorScale" priority="32">
      <colorScale>
        <cfvo type="min"/>
        <cfvo type="max"/>
        <color rgb="FFFFEF9C"/>
        <color rgb="FF63BE7B"/>
      </colorScale>
    </cfRule>
  </conditionalFormatting>
  <conditionalFormatting sqref="F15:AK15">
    <cfRule type="colorScale" priority="12">
      <colorScale>
        <cfvo type="min"/>
        <cfvo type="max"/>
        <color rgb="FFFFEF9C"/>
        <color rgb="FF63BE7B"/>
      </colorScale>
    </cfRule>
    <cfRule type="colorScale" priority="33">
      <colorScale>
        <cfvo type="min"/>
        <cfvo type="max"/>
        <color rgb="FFFFEF9C"/>
        <color rgb="FF63BE7B"/>
      </colorScale>
    </cfRule>
  </conditionalFormatting>
  <conditionalFormatting sqref="F16:AK16">
    <cfRule type="colorScale" priority="11">
      <colorScale>
        <cfvo type="min"/>
        <cfvo type="max"/>
        <color rgb="FFFFEF9C"/>
        <color rgb="FF63BE7B"/>
      </colorScale>
    </cfRule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AK17">
    <cfRule type="colorScale" priority="10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AK18">
    <cfRule type="colorScale" priority="9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AK19">
    <cfRule type="colorScale" priority="8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10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BB136"/>
  <sheetViews>
    <sheetView topLeftCell="A100" zoomScale="85" zoomScaleNormal="85" zoomScaleSheetLayoutView="25" workbookViewId="0">
      <selection activeCell="AY118" sqref="AY118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89" t="s">
        <v>0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/>
      <c r="F3" s="3">
        <v>273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735.7</v>
      </c>
      <c r="N3" s="3">
        <v>801.8</v>
      </c>
      <c r="O3" s="3">
        <v>867.8</v>
      </c>
      <c r="P3" s="3">
        <v>933.9</v>
      </c>
      <c r="Q3" s="3">
        <v>1000</v>
      </c>
      <c r="R3" s="3"/>
      <c r="S3" s="3"/>
      <c r="T3" s="3"/>
      <c r="U3" s="3"/>
      <c r="V3" s="3"/>
      <c r="W3" s="3"/>
      <c r="X3" s="3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1</v>
      </c>
      <c r="C4" s="44">
        <f t="shared" si="0"/>
        <v>0</v>
      </c>
      <c r="D4" s="44">
        <f t="shared" si="0"/>
        <v>0</v>
      </c>
      <c r="E4" s="6" t="s">
        <v>82</v>
      </c>
      <c r="F4" s="49">
        <v>2.2783E-8</v>
      </c>
      <c r="G4" s="49">
        <v>2.3207999999999998E-8</v>
      </c>
      <c r="H4" s="49">
        <v>3.0831E-8</v>
      </c>
      <c r="I4" s="49">
        <v>1.9866000000000001E-8</v>
      </c>
      <c r="J4" s="49">
        <v>2.0292999999999998E-8</v>
      </c>
      <c r="K4" s="49">
        <v>2.1535000000000001E-8</v>
      </c>
      <c r="L4" s="49">
        <v>2.3738000000000001E-8</v>
      </c>
      <c r="M4" s="49">
        <v>2.6975999999999999E-8</v>
      </c>
      <c r="N4" s="49">
        <v>2.6417999999999999E-8</v>
      </c>
      <c r="O4" s="49">
        <v>2.7024000000000001E-8</v>
      </c>
      <c r="P4" s="49">
        <v>2.0041999999999998E-8</v>
      </c>
      <c r="Q4" s="49">
        <v>1.3179E-8</v>
      </c>
      <c r="R4" s="49"/>
      <c r="S4" s="49"/>
      <c r="T4" s="49"/>
      <c r="U4" s="49"/>
      <c r="V4" s="49"/>
      <c r="W4" s="49"/>
      <c r="X4" s="49"/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3</v>
      </c>
      <c r="C5" s="44">
        <f t="shared" si="0"/>
        <v>0</v>
      </c>
      <c r="D5" s="44">
        <f t="shared" si="0"/>
        <v>0</v>
      </c>
      <c r="E5" s="6" t="s">
        <v>83</v>
      </c>
      <c r="F5" s="49">
        <v>2.7272000000000002E-25</v>
      </c>
      <c r="G5" s="49">
        <v>4.1284999999999998E-19</v>
      </c>
      <c r="H5" s="49">
        <v>4.7391E-15</v>
      </c>
      <c r="I5" s="49">
        <v>3.3814000000000001E-12</v>
      </c>
      <c r="J5" s="49">
        <v>4.3065999999999999E-10</v>
      </c>
      <c r="K5" s="49">
        <v>1.7616E-8</v>
      </c>
      <c r="L5" s="49">
        <v>3.2985000000000001E-7</v>
      </c>
      <c r="M5" s="49">
        <v>3.5267999999999998E-6</v>
      </c>
      <c r="N5" s="49">
        <v>2.4674000000000001E-5</v>
      </c>
      <c r="O5" s="49">
        <v>1.2306E-4</v>
      </c>
      <c r="P5" s="49">
        <v>4.5855000000000001E-4</v>
      </c>
      <c r="Q5" s="49">
        <v>1.2537E-3</v>
      </c>
      <c r="R5" s="49"/>
      <c r="S5" s="49"/>
      <c r="T5" s="49"/>
      <c r="U5" s="49"/>
      <c r="V5" s="49"/>
      <c r="W5" s="49"/>
      <c r="X5" s="49"/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4</v>
      </c>
      <c r="C6" s="44">
        <f t="shared" si="0"/>
        <v>0</v>
      </c>
      <c r="D6" s="44">
        <f t="shared" si="0"/>
        <v>0</v>
      </c>
      <c r="E6" s="6" t="s">
        <v>81</v>
      </c>
      <c r="F6" s="49">
        <v>2.8659000000000002E-23</v>
      </c>
      <c r="G6" s="49">
        <v>1.0815E-17</v>
      </c>
      <c r="H6" s="49">
        <v>4.5678000000000001E-14</v>
      </c>
      <c r="I6" s="49">
        <v>1.5258999999999999E-11</v>
      </c>
      <c r="J6" s="49">
        <v>1.0687E-9</v>
      </c>
      <c r="K6" s="49">
        <v>2.6931000000000001E-8</v>
      </c>
      <c r="L6" s="49">
        <v>3.3792E-7</v>
      </c>
      <c r="M6" s="49">
        <v>2.5795E-6</v>
      </c>
      <c r="N6" s="49">
        <v>1.3482000000000001E-5</v>
      </c>
      <c r="O6" s="49">
        <v>5.1613999999999997E-5</v>
      </c>
      <c r="P6" s="49">
        <v>1.4820999999999999E-4</v>
      </c>
      <c r="Q6" s="49">
        <v>3.0273000000000002E-4</v>
      </c>
      <c r="R6" s="49"/>
      <c r="S6" s="49"/>
      <c r="T6" s="49"/>
      <c r="U6" s="49"/>
      <c r="V6" s="49"/>
      <c r="W6" s="49"/>
      <c r="X6" s="49"/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5</v>
      </c>
      <c r="C7" s="44">
        <f t="shared" si="0"/>
        <v>0</v>
      </c>
      <c r="D7" s="44">
        <f t="shared" si="0"/>
        <v>0</v>
      </c>
      <c r="E7" s="6" t="s">
        <v>84</v>
      </c>
      <c r="F7" s="49">
        <v>8.2633000000000005E-20</v>
      </c>
      <c r="G7" s="49">
        <v>1.0203E-14</v>
      </c>
      <c r="H7" s="49">
        <v>1.9244000000000002E-11</v>
      </c>
      <c r="I7" s="49">
        <v>3.4791000000000001E-9</v>
      </c>
      <c r="J7" s="49">
        <v>1.4992000000000001E-7</v>
      </c>
      <c r="K7" s="49">
        <v>2.5457999999999998E-6</v>
      </c>
      <c r="L7" s="49">
        <v>2.3031999999999999E-5</v>
      </c>
      <c r="M7" s="49">
        <v>1.3339E-4</v>
      </c>
      <c r="N7" s="49">
        <v>5.4830999999999999E-4</v>
      </c>
      <c r="O7" s="49">
        <v>1.6838000000000001E-3</v>
      </c>
      <c r="P7" s="49">
        <v>3.8706999999999999E-3</v>
      </c>
      <c r="Q7" s="49">
        <v>6.1057000000000004E-3</v>
      </c>
      <c r="R7" s="49"/>
      <c r="S7" s="49"/>
      <c r="T7" s="49"/>
      <c r="U7" s="49"/>
      <c r="V7" s="49"/>
      <c r="W7" s="49"/>
      <c r="X7" s="49"/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6</v>
      </c>
      <c r="C8" s="44">
        <f t="shared" si="0"/>
        <v>0</v>
      </c>
      <c r="D8" s="44">
        <f t="shared" si="0"/>
        <v>0</v>
      </c>
      <c r="E8" s="6" t="s">
        <v>85</v>
      </c>
      <c r="F8" s="49">
        <v>3.1684999999999997E-17</v>
      </c>
      <c r="G8" s="49">
        <v>5.6344999999999999E-13</v>
      </c>
      <c r="H8" s="49">
        <v>2.7175000000000002E-10</v>
      </c>
      <c r="I8" s="49">
        <v>1.7757000000000001E-8</v>
      </c>
      <c r="J8" s="49">
        <v>3.4676999999999997E-7</v>
      </c>
      <c r="K8" s="49">
        <v>3.1225000000000002E-6</v>
      </c>
      <c r="L8" s="49">
        <v>1.6796E-5</v>
      </c>
      <c r="M8" s="49">
        <v>6.2982000000000001E-5</v>
      </c>
      <c r="N8" s="49">
        <v>1.7830999999999999E-4</v>
      </c>
      <c r="O8" s="49">
        <v>3.9241999999999999E-4</v>
      </c>
      <c r="P8" s="49">
        <v>6.5547999999999995E-4</v>
      </c>
      <c r="Q8" s="49">
        <v>7.3410000000000001E-4</v>
      </c>
      <c r="R8" s="49"/>
      <c r="S8" s="49"/>
      <c r="T8" s="49"/>
      <c r="U8" s="49"/>
      <c r="V8" s="49"/>
      <c r="W8" s="49"/>
      <c r="X8" s="49"/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7</v>
      </c>
      <c r="C9" s="44">
        <f t="shared" si="0"/>
        <v>0</v>
      </c>
      <c r="D9" s="44">
        <f t="shared" si="0"/>
        <v>0</v>
      </c>
      <c r="E9" s="6" t="s">
        <v>88</v>
      </c>
      <c r="F9" s="49">
        <v>2.7152E-18</v>
      </c>
      <c r="G9" s="49">
        <v>8.4466000000000006E-14</v>
      </c>
      <c r="H9" s="49">
        <v>5.5912000000000002E-11</v>
      </c>
      <c r="I9" s="49">
        <v>4.4193000000000002E-9</v>
      </c>
      <c r="J9" s="49">
        <v>9.7182000000000003E-8</v>
      </c>
      <c r="K9" s="49">
        <v>9.4422000000000002E-7</v>
      </c>
      <c r="L9" s="49">
        <v>5.3391000000000003E-6</v>
      </c>
      <c r="M9" s="49">
        <v>2.0684999999999999E-5</v>
      </c>
      <c r="N9" s="49">
        <v>5.9579E-5</v>
      </c>
      <c r="O9" s="49">
        <v>1.3079000000000001E-4</v>
      </c>
      <c r="P9" s="49">
        <v>2.1085E-4</v>
      </c>
      <c r="Q9" s="49">
        <v>2.1446E-4</v>
      </c>
      <c r="R9" s="49"/>
      <c r="S9" s="49"/>
      <c r="T9" s="49"/>
      <c r="U9" s="49"/>
      <c r="V9" s="49"/>
      <c r="W9" s="49"/>
      <c r="X9" s="49"/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8</v>
      </c>
      <c r="C10" s="44">
        <f t="shared" si="0"/>
        <v>0</v>
      </c>
      <c r="D10" s="44">
        <f t="shared" si="0"/>
        <v>0</v>
      </c>
      <c r="E10" s="6" t="s">
        <v>86</v>
      </c>
      <c r="F10" s="49">
        <v>4.8741E-20</v>
      </c>
      <c r="G10" s="49">
        <v>2.3718E-15</v>
      </c>
      <c r="H10" s="49">
        <v>2.0001999999999999E-12</v>
      </c>
      <c r="I10" s="49">
        <v>1.8133000000000001E-10</v>
      </c>
      <c r="J10" s="49">
        <v>4.3148999999999996E-9</v>
      </c>
      <c r="K10" s="49">
        <v>4.3858000000000001E-8</v>
      </c>
      <c r="L10" s="49">
        <v>2.5432000000000002E-7</v>
      </c>
      <c r="M10" s="49">
        <v>9.9755999999999994E-7</v>
      </c>
      <c r="N10" s="49">
        <v>2.8744E-6</v>
      </c>
      <c r="O10" s="49">
        <v>6.2053999999999999E-6</v>
      </c>
      <c r="P10" s="49">
        <v>9.5367999999999999E-6</v>
      </c>
      <c r="Q10" s="49">
        <v>8.7167999999999993E-6</v>
      </c>
      <c r="R10" s="49"/>
      <c r="S10" s="49"/>
      <c r="T10" s="49"/>
      <c r="U10" s="49"/>
      <c r="V10" s="49"/>
      <c r="W10" s="49"/>
      <c r="X10" s="49"/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2</v>
      </c>
      <c r="C11" s="44">
        <f t="shared" si="0"/>
        <v>0</v>
      </c>
      <c r="D11" s="44">
        <f t="shared" si="0"/>
        <v>0</v>
      </c>
      <c r="E11" s="6" t="s">
        <v>87</v>
      </c>
      <c r="F11" s="49">
        <v>3.8015999999999999E-20</v>
      </c>
      <c r="G11" s="49">
        <v>4.4898999999999999E-15</v>
      </c>
      <c r="H11" s="49">
        <v>1.0202999999999999E-11</v>
      </c>
      <c r="I11" s="49">
        <v>2.4183999999999998E-9</v>
      </c>
      <c r="J11" s="49">
        <v>1.4000999999999999E-7</v>
      </c>
      <c r="K11" s="49">
        <v>3.1868000000000001E-6</v>
      </c>
      <c r="L11" s="49">
        <v>3.8056000000000003E-5</v>
      </c>
      <c r="M11" s="49">
        <v>2.8582E-4</v>
      </c>
      <c r="N11" s="49">
        <v>1.5125E-3</v>
      </c>
      <c r="O11" s="49">
        <v>6.0857999999999997E-3</v>
      </c>
      <c r="P11" s="49">
        <v>1.9578000000000002E-2</v>
      </c>
      <c r="Q11" s="49">
        <v>5.0479999999999997E-2</v>
      </c>
      <c r="R11" s="49"/>
      <c r="S11" s="49"/>
      <c r="T11" s="49"/>
      <c r="U11" s="49"/>
      <c r="V11" s="49"/>
      <c r="W11" s="49"/>
      <c r="X11" s="49"/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1</v>
      </c>
      <c r="C12" s="44">
        <f t="shared" si="0"/>
        <v>0</v>
      </c>
      <c r="D12" s="44">
        <f t="shared" si="0"/>
        <v>0</v>
      </c>
      <c r="E12" s="6" t="s">
        <v>2</v>
      </c>
      <c r="F12" s="49">
        <v>0</v>
      </c>
      <c r="G12" s="49">
        <v>5.7083999999999999E-31</v>
      </c>
      <c r="H12" s="49">
        <v>3.8902999999999999E-25</v>
      </c>
      <c r="I12" s="49">
        <v>5.8614000000000001E-21</v>
      </c>
      <c r="J12" s="49">
        <v>8.0426999999999996E-18</v>
      </c>
      <c r="K12" s="49">
        <v>2.2259000000000001E-15</v>
      </c>
      <c r="L12" s="49">
        <v>2.0128999999999999E-13</v>
      </c>
      <c r="M12" s="49">
        <v>8.0862E-12</v>
      </c>
      <c r="N12" s="49">
        <v>1.7658E-10</v>
      </c>
      <c r="O12" s="49">
        <v>2.4185999999999999E-9</v>
      </c>
      <c r="P12" s="49">
        <v>2.3157E-8</v>
      </c>
      <c r="Q12" s="49">
        <v>1.6509E-7</v>
      </c>
      <c r="R12" s="49"/>
      <c r="S12" s="49"/>
      <c r="T12" s="49"/>
      <c r="U12" s="49"/>
      <c r="V12" s="49"/>
      <c r="W12" s="49"/>
      <c r="X12" s="49"/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2</v>
      </c>
      <c r="E13" s="6" t="s">
        <v>71</v>
      </c>
      <c r="F13" s="49">
        <v>5.0018E-12</v>
      </c>
      <c r="G13" s="49">
        <v>5.1719999999999999E-9</v>
      </c>
      <c r="H13" s="49">
        <v>4.7672E-7</v>
      </c>
      <c r="I13" s="49">
        <v>1.1173E-5</v>
      </c>
      <c r="J13" s="49">
        <v>1.1153E-4</v>
      </c>
      <c r="K13" s="49">
        <v>6.1563000000000004E-4</v>
      </c>
      <c r="L13" s="49">
        <v>2.1047000000000001E-3</v>
      </c>
      <c r="M13" s="49">
        <v>4.7291E-3</v>
      </c>
      <c r="N13" s="49">
        <v>7.7929999999999996E-3</v>
      </c>
      <c r="O13" s="49">
        <v>1.0592000000000001E-2</v>
      </c>
      <c r="P13" s="49">
        <v>1.2978999999999999E-2</v>
      </c>
      <c r="Q13" s="49">
        <v>1.4978E-2</v>
      </c>
      <c r="R13" s="49"/>
      <c r="S13" s="49"/>
      <c r="T13" s="49"/>
      <c r="U13" s="49"/>
      <c r="V13" s="49"/>
      <c r="W13" s="49"/>
      <c r="X13" s="49"/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>
        <v>0.2</v>
      </c>
      <c r="R14" s="49"/>
      <c r="S14" s="49"/>
      <c r="T14" s="49"/>
      <c r="U14" s="49"/>
      <c r="V14" s="49"/>
      <c r="W14" s="49"/>
      <c r="X14" s="49"/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1</v>
      </c>
      <c r="E15" s="6" t="s">
        <v>78</v>
      </c>
      <c r="F15" s="49">
        <v>0.04</v>
      </c>
      <c r="G15" s="49">
        <v>0.04</v>
      </c>
      <c r="H15" s="49">
        <v>3.9999E-2</v>
      </c>
      <c r="I15" s="49">
        <v>3.9978E-2</v>
      </c>
      <c r="J15" s="49">
        <v>3.9777E-2</v>
      </c>
      <c r="K15" s="49">
        <v>3.8768999999999998E-2</v>
      </c>
      <c r="L15" s="49">
        <v>3.5791000000000003E-2</v>
      </c>
      <c r="M15" s="49">
        <v>3.0542E-2</v>
      </c>
      <c r="N15" s="49">
        <v>2.4414000000000002E-2</v>
      </c>
      <c r="O15" s="49">
        <v>1.8815999999999999E-2</v>
      </c>
      <c r="P15" s="49">
        <v>1.4041E-2</v>
      </c>
      <c r="Q15" s="49">
        <v>1.0044000000000001E-2</v>
      </c>
      <c r="R15" s="49"/>
      <c r="S15" s="49"/>
      <c r="T15" s="49"/>
      <c r="U15" s="49"/>
      <c r="V15" s="49"/>
      <c r="W15" s="49"/>
      <c r="X15" s="49"/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6" t="s">
        <v>79</v>
      </c>
      <c r="F16" s="49">
        <v>0.28000000000000003</v>
      </c>
      <c r="G16" s="49">
        <v>0.28000000000000003</v>
      </c>
      <c r="H16" s="49">
        <v>0.28000000000000003</v>
      </c>
      <c r="I16" s="49">
        <v>0.28000000000000003</v>
      </c>
      <c r="J16" s="49">
        <v>0.28000000000000003</v>
      </c>
      <c r="K16" s="49">
        <v>0.28000000000000003</v>
      </c>
      <c r="L16" s="49">
        <v>0.28000000000000003</v>
      </c>
      <c r="M16" s="49">
        <v>0.28000000000000003</v>
      </c>
      <c r="N16" s="49">
        <v>0.28000000000000003</v>
      </c>
      <c r="O16" s="49">
        <v>0.28000000000000003</v>
      </c>
      <c r="P16" s="49">
        <v>0.28000000000000003</v>
      </c>
      <c r="Q16" s="49">
        <v>0.28000000000000003</v>
      </c>
      <c r="R16" s="49"/>
      <c r="S16" s="49"/>
      <c r="T16" s="49"/>
      <c r="U16" s="49"/>
      <c r="V16" s="49"/>
      <c r="W16" s="49"/>
      <c r="X16" s="49"/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0</v>
      </c>
      <c r="B17" s="44">
        <f t="shared" si="0"/>
        <v>1</v>
      </c>
      <c r="C17" s="44">
        <f t="shared" si="0"/>
        <v>0</v>
      </c>
      <c r="D17" s="44">
        <f t="shared" si="0"/>
        <v>0</v>
      </c>
      <c r="E17" s="6" t="s">
        <v>80</v>
      </c>
      <c r="F17" s="49">
        <v>0.48</v>
      </c>
      <c r="G17" s="49">
        <v>0.48</v>
      </c>
      <c r="H17" s="49">
        <v>0.48</v>
      </c>
      <c r="I17" s="49">
        <v>0.47999000000000003</v>
      </c>
      <c r="J17" s="49">
        <v>0.47987999999999997</v>
      </c>
      <c r="K17" s="49">
        <v>0.47933999999999999</v>
      </c>
      <c r="L17" s="49">
        <v>0.47755999999999998</v>
      </c>
      <c r="M17" s="49">
        <v>0.47348000000000001</v>
      </c>
      <c r="N17" s="49">
        <v>0.46479999999999999</v>
      </c>
      <c r="O17" s="49">
        <v>0.44491999999999998</v>
      </c>
      <c r="P17" s="49">
        <v>0.40106000000000003</v>
      </c>
      <c r="Q17" s="49">
        <v>0.32258999999999999</v>
      </c>
      <c r="R17" s="49"/>
      <c r="S17" s="49"/>
      <c r="T17" s="49"/>
      <c r="U17" s="49"/>
      <c r="V17" s="49"/>
      <c r="W17" s="49"/>
      <c r="X17" s="49"/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1</v>
      </c>
      <c r="B18" s="44">
        <f t="shared" si="0"/>
        <v>0</v>
      </c>
      <c r="C18" s="44">
        <f t="shared" si="0"/>
        <v>0</v>
      </c>
      <c r="D18" s="44">
        <f t="shared" si="0"/>
        <v>0</v>
      </c>
      <c r="E18" s="6" t="s">
        <v>28</v>
      </c>
      <c r="F18" s="49">
        <v>-18.62</v>
      </c>
      <c r="G18" s="49">
        <v>-18.63</v>
      </c>
      <c r="H18" s="49">
        <v>-18.72</v>
      </c>
      <c r="I18" s="49">
        <v>-18.84</v>
      </c>
      <c r="J18" s="49">
        <v>-18.97</v>
      </c>
      <c r="K18" s="49">
        <v>-19.11</v>
      </c>
      <c r="L18" s="49">
        <v>-19.260000000000002</v>
      </c>
      <c r="M18" s="49">
        <v>-19.41</v>
      </c>
      <c r="N18" s="49">
        <v>-19.559999999999999</v>
      </c>
      <c r="O18" s="49">
        <v>-19.73</v>
      </c>
      <c r="P18" s="49">
        <v>-19.940000000000001</v>
      </c>
      <c r="Q18" s="49">
        <v>-20.2</v>
      </c>
      <c r="R18" s="49"/>
      <c r="S18" s="49"/>
      <c r="T18" s="49"/>
      <c r="U18" s="49"/>
      <c r="V18" s="49"/>
      <c r="W18" s="49"/>
      <c r="X18" s="49"/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0</v>
      </c>
      <c r="D19" s="44">
        <f t="shared" si="0"/>
        <v>1</v>
      </c>
      <c r="E19" s="6" t="s">
        <v>5</v>
      </c>
      <c r="F19" s="49">
        <v>-7.6630000000000003</v>
      </c>
      <c r="G19" s="49">
        <v>-8.1549999999999994</v>
      </c>
      <c r="H19" s="49">
        <v>-8.5950000000000006</v>
      </c>
      <c r="I19" s="49">
        <v>-8.9879999999999995</v>
      </c>
      <c r="J19" s="49">
        <v>-9.3450000000000006</v>
      </c>
      <c r="K19" s="49">
        <v>-9.6869999999999994</v>
      </c>
      <c r="L19" s="49">
        <v>-10.050000000000001</v>
      </c>
      <c r="M19" s="49">
        <v>-10.47</v>
      </c>
      <c r="N19" s="49">
        <v>-10.92</v>
      </c>
      <c r="O19" s="49">
        <v>-11.37</v>
      </c>
      <c r="P19" s="49">
        <v>-11.81</v>
      </c>
      <c r="Q19" s="49">
        <v>-12.22</v>
      </c>
      <c r="R19" s="49"/>
      <c r="S19" s="49"/>
      <c r="T19" s="49"/>
      <c r="U19" s="49"/>
      <c r="V19" s="49"/>
      <c r="W19" s="49"/>
      <c r="X19" s="49"/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0</v>
      </c>
      <c r="C20" s="44">
        <f t="shared" si="1"/>
        <v>1</v>
      </c>
      <c r="D20" s="44">
        <f t="shared" si="1"/>
        <v>0</v>
      </c>
      <c r="E20" s="6" t="s">
        <v>6</v>
      </c>
      <c r="F20" s="49">
        <v>7.5119999999999996</v>
      </c>
      <c r="G20" s="49">
        <v>4.4539999999999997</v>
      </c>
      <c r="H20" s="49">
        <v>2.2879999999999998</v>
      </c>
      <c r="I20" s="49">
        <v>0.65210000000000001</v>
      </c>
      <c r="J20" s="49">
        <v>-0.63829999999999998</v>
      </c>
      <c r="K20" s="49">
        <v>-1.6890000000000001</v>
      </c>
      <c r="L20" s="49">
        <v>-2.5640000000000001</v>
      </c>
      <c r="M20" s="49">
        <v>-3.3050000000000002</v>
      </c>
      <c r="N20" s="49">
        <v>-3.9390000000000001</v>
      </c>
      <c r="O20" s="49">
        <v>-4.4790000000000001</v>
      </c>
      <c r="P20" s="49">
        <v>-4.9219999999999997</v>
      </c>
      <c r="Q20" s="49">
        <v>-5.2549999999999999</v>
      </c>
      <c r="R20" s="49"/>
      <c r="S20" s="49"/>
      <c r="T20" s="49"/>
      <c r="U20" s="49"/>
      <c r="V20" s="49"/>
      <c r="W20" s="49"/>
      <c r="X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1</v>
      </c>
      <c r="C21" s="44">
        <f t="shared" si="1"/>
        <v>0</v>
      </c>
      <c r="D21" s="44">
        <f t="shared" si="1"/>
        <v>0</v>
      </c>
      <c r="E21" s="48" t="s">
        <v>7</v>
      </c>
      <c r="F21" s="49">
        <v>-4.7</v>
      </c>
      <c r="G21" s="49">
        <v>-5.0519999999999996</v>
      </c>
      <c r="H21" s="49">
        <v>-5.4409999999999998</v>
      </c>
      <c r="I21" s="49">
        <v>-5.8239999999999998</v>
      </c>
      <c r="J21" s="49">
        <v>-6.1890000000000001</v>
      </c>
      <c r="K21" s="49">
        <v>-6.53</v>
      </c>
      <c r="L21" s="49">
        <v>-6.8470000000000004</v>
      </c>
      <c r="M21" s="49">
        <v>-7.1420000000000003</v>
      </c>
      <c r="N21" s="49">
        <v>-7.42</v>
      </c>
      <c r="O21" s="49">
        <v>-7.6909999999999998</v>
      </c>
      <c r="P21" s="49">
        <v>-7.9740000000000002</v>
      </c>
      <c r="Q21" s="49">
        <v>-8.298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 t="shared" ref="D34:D37" si="3">MATCH(C34,$E$4:$E$33)</f>
        <v>15</v>
      </c>
      <c r="E34" s="11" t="str">
        <f ca="1">OFFSET($E$3:$AL$3,$D34,0)</f>
        <v>H (Ar)</v>
      </c>
      <c r="F34" s="14">
        <f t="shared" ref="F34:AL37" ca="1" si="4">OFFSET($E$3:$AL$3,$D34,0)</f>
        <v>-18.62</v>
      </c>
      <c r="G34" s="14">
        <f t="shared" ca="1" si="4"/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-19.260000000000002</v>
      </c>
      <c r="M34" s="14">
        <f t="shared" ca="1" si="4"/>
        <v>-19.41</v>
      </c>
      <c r="N34" s="14">
        <f t="shared" ca="1" si="4"/>
        <v>-19.559999999999999</v>
      </c>
      <c r="O34" s="14">
        <f t="shared" ca="1" si="4"/>
        <v>-19.73</v>
      </c>
      <c r="P34" s="14">
        <f t="shared" ca="1" si="4"/>
        <v>-19.940000000000001</v>
      </c>
      <c r="Q34" s="14">
        <f t="shared" ca="1" si="4"/>
        <v>-20.2</v>
      </c>
      <c r="R34" s="14">
        <f t="shared" ca="1" si="4"/>
        <v>0</v>
      </c>
      <c r="S34" s="14">
        <f t="shared" ca="1" si="4"/>
        <v>0</v>
      </c>
      <c r="T34" s="14">
        <f t="shared" ca="1" si="4"/>
        <v>0</v>
      </c>
      <c r="U34" s="14">
        <f t="shared" ca="1" si="4"/>
        <v>0</v>
      </c>
      <c r="V34" s="14">
        <f t="shared" ca="1" si="4"/>
        <v>0</v>
      </c>
      <c r="W34" s="14">
        <f t="shared" ca="1" si="4"/>
        <v>0</v>
      </c>
      <c r="X34" s="14">
        <f t="shared" ca="1" si="4"/>
        <v>0</v>
      </c>
      <c r="Y34" s="14">
        <f t="shared" ca="1" si="4"/>
        <v>0</v>
      </c>
      <c r="Z34" s="14">
        <f t="shared" ca="1" si="4"/>
        <v>0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si="3"/>
        <v>16</v>
      </c>
      <c r="E35" s="11" t="str">
        <f t="shared" ref="E35:E37" ca="1" si="5">OFFSET($E$3:$AL$3,$D35,0)</f>
        <v>H (Ga)</v>
      </c>
      <c r="F35" s="14">
        <f t="shared" ca="1" si="4"/>
        <v>-7.6630000000000003</v>
      </c>
      <c r="G35" s="14">
        <f t="shared" ca="1" si="4"/>
        <v>-8.1549999999999994</v>
      </c>
      <c r="H35" s="14">
        <f t="shared" ca="1" si="4"/>
        <v>-8.5950000000000006</v>
      </c>
      <c r="I35" s="14">
        <f t="shared" ca="1" si="4"/>
        <v>-8.9879999999999995</v>
      </c>
      <c r="J35" s="14">
        <f t="shared" ca="1" si="4"/>
        <v>-9.3450000000000006</v>
      </c>
      <c r="K35" s="14">
        <f t="shared" ca="1" si="4"/>
        <v>-9.6869999999999994</v>
      </c>
      <c r="L35" s="14">
        <f t="shared" ca="1" si="4"/>
        <v>-10.050000000000001</v>
      </c>
      <c r="M35" s="14">
        <f t="shared" ca="1" si="4"/>
        <v>-10.47</v>
      </c>
      <c r="N35" s="14">
        <f t="shared" ca="1" si="4"/>
        <v>-10.92</v>
      </c>
      <c r="O35" s="14">
        <f t="shared" ca="1" si="4"/>
        <v>-11.37</v>
      </c>
      <c r="P35" s="14">
        <f t="shared" ca="1" si="4"/>
        <v>-11.81</v>
      </c>
      <c r="Q35" s="14">
        <f t="shared" ca="1" si="4"/>
        <v>-12.22</v>
      </c>
      <c r="R35" s="14">
        <f t="shared" ca="1" si="4"/>
        <v>0</v>
      </c>
      <c r="S35" s="14">
        <f t="shared" ca="1" si="4"/>
        <v>0</v>
      </c>
      <c r="T35" s="14">
        <f t="shared" ca="1" si="4"/>
        <v>0</v>
      </c>
      <c r="U35" s="14">
        <f t="shared" ca="1" si="4"/>
        <v>0</v>
      </c>
      <c r="V35" s="14">
        <f t="shared" ca="1" si="4"/>
        <v>0</v>
      </c>
      <c r="W35" s="14">
        <f t="shared" ca="1" si="4"/>
        <v>0</v>
      </c>
      <c r="X35" s="14">
        <f t="shared" ca="1" si="4"/>
        <v>0</v>
      </c>
      <c r="Y35" s="14">
        <f t="shared" ca="1" si="4"/>
        <v>0</v>
      </c>
      <c r="Z35" s="14">
        <f t="shared" ca="1" si="4"/>
        <v>0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3"/>
        <v>17</v>
      </c>
      <c r="E36" s="11" t="str">
        <f t="shared" ca="1" si="5"/>
        <v>H (Ge)</v>
      </c>
      <c r="F36" s="14">
        <f t="shared" ca="1" si="4"/>
        <v>7.5119999999999996</v>
      </c>
      <c r="G36" s="14">
        <f t="shared" ca="1" si="4"/>
        <v>4.4539999999999997</v>
      </c>
      <c r="H36" s="14">
        <f t="shared" ca="1" si="4"/>
        <v>2.2879999999999998</v>
      </c>
      <c r="I36" s="14">
        <f t="shared" ca="1" si="4"/>
        <v>0.65210000000000001</v>
      </c>
      <c r="J36" s="14">
        <f t="shared" ca="1" si="4"/>
        <v>-0.63829999999999998</v>
      </c>
      <c r="K36" s="14">
        <f t="shared" ca="1" si="4"/>
        <v>-1.6890000000000001</v>
      </c>
      <c r="L36" s="14">
        <f t="shared" ca="1" si="4"/>
        <v>-2.5640000000000001</v>
      </c>
      <c r="M36" s="14">
        <f t="shared" ca="1" si="4"/>
        <v>-3.3050000000000002</v>
      </c>
      <c r="N36" s="14">
        <f t="shared" ca="1" si="4"/>
        <v>-3.9390000000000001</v>
      </c>
      <c r="O36" s="14">
        <f t="shared" ca="1" si="4"/>
        <v>-4.4790000000000001</v>
      </c>
      <c r="P36" s="14">
        <f t="shared" ca="1" si="4"/>
        <v>-4.9219999999999997</v>
      </c>
      <c r="Q36" s="14">
        <f t="shared" ca="1" si="4"/>
        <v>-5.2549999999999999</v>
      </c>
      <c r="R36" s="14">
        <f t="shared" ca="1" si="4"/>
        <v>0</v>
      </c>
      <c r="S36" s="14">
        <f t="shared" ca="1" si="4"/>
        <v>0</v>
      </c>
      <c r="T36" s="14">
        <f t="shared" ca="1" si="4"/>
        <v>0</v>
      </c>
      <c r="U36" s="14">
        <f t="shared" ca="1" si="4"/>
        <v>0</v>
      </c>
      <c r="V36" s="14">
        <f t="shared" ca="1" si="4"/>
        <v>0</v>
      </c>
      <c r="W36" s="14">
        <f t="shared" ca="1" si="4"/>
        <v>0</v>
      </c>
      <c r="X36" s="14">
        <f t="shared" ca="1" si="4"/>
        <v>0</v>
      </c>
      <c r="Y36" s="14">
        <f t="shared" ca="1" si="4"/>
        <v>0</v>
      </c>
      <c r="Z36" s="14">
        <f t="shared" ca="1" si="4"/>
        <v>0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3"/>
        <v>18</v>
      </c>
      <c r="E37" s="11" t="str">
        <f t="shared" ca="1" si="5"/>
        <v>H (Se)</v>
      </c>
      <c r="F37" s="14">
        <f t="shared" ca="1" si="4"/>
        <v>-4.7</v>
      </c>
      <c r="G37" s="14">
        <f t="shared" ca="1" si="4"/>
        <v>-5.0519999999999996</v>
      </c>
      <c r="H37" s="14">
        <f t="shared" ca="1" si="4"/>
        <v>-5.4409999999999998</v>
      </c>
      <c r="I37" s="14">
        <f t="shared" ca="1" si="4"/>
        <v>-5.8239999999999998</v>
      </c>
      <c r="J37" s="14">
        <f t="shared" ca="1" si="4"/>
        <v>-6.1890000000000001</v>
      </c>
      <c r="K37" s="14">
        <f t="shared" ca="1" si="4"/>
        <v>-6.53</v>
      </c>
      <c r="L37" s="14">
        <f t="shared" ca="1" si="4"/>
        <v>-6.8470000000000004</v>
      </c>
      <c r="M37" s="14">
        <f t="shared" ca="1" si="4"/>
        <v>-7.1420000000000003</v>
      </c>
      <c r="N37" s="14">
        <f t="shared" ca="1" si="4"/>
        <v>-7.42</v>
      </c>
      <c r="O37" s="14">
        <f t="shared" ca="1" si="4"/>
        <v>-7.6909999999999998</v>
      </c>
      <c r="P37" s="14">
        <f t="shared" ca="1" si="4"/>
        <v>-7.9740000000000002</v>
      </c>
      <c r="Q37" s="14">
        <f t="shared" ca="1" si="4"/>
        <v>-8.298</v>
      </c>
      <c r="R37" s="14">
        <f t="shared" ca="1" si="4"/>
        <v>0</v>
      </c>
      <c r="S37" s="14">
        <f t="shared" ca="1" si="4"/>
        <v>0</v>
      </c>
      <c r="T37" s="14">
        <f t="shared" ca="1" si="4"/>
        <v>0</v>
      </c>
      <c r="U37" s="14">
        <f t="shared" ca="1" si="4"/>
        <v>0</v>
      </c>
      <c r="V37" s="14">
        <f t="shared" ca="1" si="4"/>
        <v>0</v>
      </c>
      <c r="W37" s="14">
        <f t="shared" ca="1" si="4"/>
        <v>0</v>
      </c>
      <c r="X37" s="14">
        <f t="shared" ca="1" si="4"/>
        <v>0</v>
      </c>
      <c r="Y37" s="14">
        <f t="shared" ca="1" si="4"/>
        <v>0</v>
      </c>
      <c r="Z37" s="14">
        <f t="shared" ca="1" si="4"/>
        <v>0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</v>
      </c>
      <c r="G40" s="8">
        <f t="shared" ref="G40:AL40" si="6">G3</f>
        <v>339.2</v>
      </c>
      <c r="H40" s="8">
        <f t="shared" si="6"/>
        <v>405.3</v>
      </c>
      <c r="I40" s="8">
        <f t="shared" si="6"/>
        <v>471.4</v>
      </c>
      <c r="J40" s="8">
        <f t="shared" si="6"/>
        <v>537.5</v>
      </c>
      <c r="K40" s="8">
        <f t="shared" si="6"/>
        <v>603.5</v>
      </c>
      <c r="L40" s="8">
        <f t="shared" si="6"/>
        <v>669.6</v>
      </c>
      <c r="M40" s="8">
        <f t="shared" si="6"/>
        <v>735.7</v>
      </c>
      <c r="N40" s="8">
        <f t="shared" si="6"/>
        <v>801.8</v>
      </c>
      <c r="O40" s="8">
        <f t="shared" si="6"/>
        <v>867.8</v>
      </c>
      <c r="P40" s="8">
        <f t="shared" si="6"/>
        <v>933.9</v>
      </c>
      <c r="Q40" s="8">
        <f t="shared" si="6"/>
        <v>1000</v>
      </c>
      <c r="R40" s="8">
        <f t="shared" si="6"/>
        <v>0</v>
      </c>
      <c r="S40" s="8">
        <f t="shared" si="6"/>
        <v>0</v>
      </c>
      <c r="T40" s="8">
        <f t="shared" si="6"/>
        <v>0</v>
      </c>
      <c r="U40" s="8">
        <f t="shared" si="6"/>
        <v>0</v>
      </c>
      <c r="V40" s="8">
        <f t="shared" si="6"/>
        <v>0</v>
      </c>
      <c r="W40" s="8">
        <f t="shared" si="6"/>
        <v>0</v>
      </c>
      <c r="X40" s="8">
        <f t="shared" si="6"/>
        <v>0</v>
      </c>
      <c r="Y40" s="8">
        <f t="shared" si="6"/>
        <v>0</v>
      </c>
      <c r="Z40" s="8">
        <f t="shared" si="6"/>
        <v>0</v>
      </c>
      <c r="AA40" s="8">
        <f t="shared" si="6"/>
        <v>0</v>
      </c>
      <c r="AB40" s="8">
        <f t="shared" si="6"/>
        <v>0</v>
      </c>
      <c r="AC40" s="8">
        <f t="shared" si="6"/>
        <v>0</v>
      </c>
      <c r="AD40" s="8">
        <f t="shared" si="6"/>
        <v>0</v>
      </c>
      <c r="AE40" s="8">
        <f t="shared" si="6"/>
        <v>0</v>
      </c>
      <c r="AF40" s="8">
        <f t="shared" si="6"/>
        <v>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7">($B$41*H.Ge+$C$41*H.Ga+$D$41*H.Se)*F$40*$B$2/1000</f>
        <v>-3.7222436745000009</v>
      </c>
      <c r="G41" s="10">
        <f t="shared" ca="1" si="7"/>
        <v>-15.149326874057142</v>
      </c>
      <c r="H41" s="10">
        <f t="shared" ca="1" si="7"/>
        <v>-27.859652068050003</v>
      </c>
      <c r="I41" s="10">
        <f t="shared" ca="1" si="7"/>
        <v>-41.608545519270002</v>
      </c>
      <c r="J41" s="10">
        <f t="shared" ca="1" si="7"/>
        <v>-56.234041349732145</v>
      </c>
      <c r="K41" s="10">
        <f t="shared" ca="1" si="7"/>
        <v>-71.589680128928578</v>
      </c>
      <c r="L41" s="10">
        <f t="shared" ca="1" si="7"/>
        <v>-87.616389864342864</v>
      </c>
      <c r="M41" s="10">
        <f t="shared" ca="1" si="7"/>
        <v>-104.25864092055002</v>
      </c>
      <c r="N41" s="10">
        <f t="shared" ca="1" si="7"/>
        <v>-121.45816777589998</v>
      </c>
      <c r="O41" s="10">
        <f t="shared" ca="1" si="7"/>
        <v>-139.16812119235715</v>
      </c>
      <c r="P41" s="10">
        <f t="shared" ca="1" si="7"/>
        <v>-157.46353204937142</v>
      </c>
      <c r="Q41" s="10">
        <f t="shared" ca="1" si="7"/>
        <v>-176.48238921428572</v>
      </c>
      <c r="R41" s="10">
        <f t="shared" ca="1" si="7"/>
        <v>0</v>
      </c>
      <c r="S41" s="10">
        <f t="shared" ca="1" si="7"/>
        <v>0</v>
      </c>
      <c r="T41" s="10">
        <f t="shared" ca="1" si="7"/>
        <v>0</v>
      </c>
      <c r="U41" s="10">
        <f t="shared" ca="1" si="7"/>
        <v>0</v>
      </c>
      <c r="V41" s="10">
        <f t="shared" ca="1" si="7"/>
        <v>0</v>
      </c>
      <c r="W41" s="10">
        <f t="shared" ca="1" si="7"/>
        <v>0</v>
      </c>
      <c r="X41" s="10">
        <f t="shared" ca="1" si="7"/>
        <v>0</v>
      </c>
      <c r="Y41" s="10">
        <f t="shared" ca="1" si="7"/>
        <v>0</v>
      </c>
      <c r="Z41" s="10">
        <f t="shared" ca="1" si="7"/>
        <v>0</v>
      </c>
      <c r="AA41" s="10">
        <f t="shared" ca="1" si="7"/>
        <v>0</v>
      </c>
      <c r="AB41" s="10">
        <f t="shared" ca="1" si="7"/>
        <v>0</v>
      </c>
      <c r="AC41" s="10">
        <f t="shared" ca="1" si="7"/>
        <v>0</v>
      </c>
      <c r="AD41" s="10">
        <f t="shared" ca="1" si="7"/>
        <v>0</v>
      </c>
      <c r="AE41" s="10">
        <f t="shared" ca="1" si="7"/>
        <v>0</v>
      </c>
      <c r="AF41" s="10">
        <f t="shared" ca="1" si="7"/>
        <v>0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4">
        <f t="shared" ca="1" si="7"/>
        <v>0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thickBot="1" x14ac:dyDescent="0.45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AL45" si="8">E3</f>
        <v>0</v>
      </c>
      <c r="F45" s="3">
        <f t="shared" si="8"/>
        <v>273</v>
      </c>
      <c r="G45" s="3">
        <f t="shared" si="8"/>
        <v>339.2</v>
      </c>
      <c r="H45" s="3">
        <f t="shared" si="8"/>
        <v>405.3</v>
      </c>
      <c r="I45" s="3">
        <f t="shared" si="8"/>
        <v>471.4</v>
      </c>
      <c r="J45" s="3">
        <f t="shared" si="8"/>
        <v>537.5</v>
      </c>
      <c r="K45" s="3">
        <f t="shared" si="8"/>
        <v>603.5</v>
      </c>
      <c r="L45" s="3">
        <f t="shared" si="8"/>
        <v>669.6</v>
      </c>
      <c r="M45" s="3">
        <f t="shared" si="8"/>
        <v>735.7</v>
      </c>
      <c r="N45" s="3">
        <f t="shared" si="8"/>
        <v>801.8</v>
      </c>
      <c r="O45" s="3">
        <f t="shared" si="8"/>
        <v>867.8</v>
      </c>
      <c r="P45" s="3">
        <f t="shared" si="8"/>
        <v>933.9</v>
      </c>
      <c r="Q45" s="3">
        <f t="shared" si="8"/>
        <v>1000</v>
      </c>
      <c r="R45" s="3">
        <f t="shared" si="8"/>
        <v>0</v>
      </c>
      <c r="S45" s="3">
        <f t="shared" si="8"/>
        <v>0</v>
      </c>
      <c r="T45" s="3">
        <f t="shared" si="8"/>
        <v>0</v>
      </c>
      <c r="U45" s="3">
        <f t="shared" si="8"/>
        <v>0</v>
      </c>
      <c r="V45" s="3">
        <f t="shared" si="8"/>
        <v>0</v>
      </c>
      <c r="W45" s="3">
        <f t="shared" si="8"/>
        <v>0</v>
      </c>
      <c r="X45" s="3">
        <f t="shared" si="8"/>
        <v>0</v>
      </c>
      <c r="Y45" s="3">
        <f t="shared" si="8"/>
        <v>0</v>
      </c>
      <c r="Z45" s="3">
        <f t="shared" si="8"/>
        <v>0</v>
      </c>
      <c r="AA45" s="3">
        <f t="shared" si="8"/>
        <v>0</v>
      </c>
      <c r="AB45" s="3">
        <f t="shared" si="8"/>
        <v>0</v>
      </c>
      <c r="AC45" s="3">
        <f t="shared" si="8"/>
        <v>0</v>
      </c>
      <c r="AD45" s="3">
        <f t="shared" si="8"/>
        <v>0</v>
      </c>
      <c r="AE45" s="3">
        <f t="shared" si="8"/>
        <v>0</v>
      </c>
      <c r="AF45" s="3">
        <f t="shared" si="8"/>
        <v>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customHeight="1" outlineLevel="1" thickTop="1" thickBot="1" x14ac:dyDescent="0.4">
      <c r="A46" s="5">
        <f t="shared" ref="A46:E55" si="9">A4</f>
        <v>0</v>
      </c>
      <c r="B46" s="5">
        <f t="shared" si="9"/>
        <v>1</v>
      </c>
      <c r="C46" s="5">
        <f t="shared" si="9"/>
        <v>0</v>
      </c>
      <c r="D46" s="5">
        <f t="shared" si="9"/>
        <v>0</v>
      </c>
      <c r="E46" s="6" t="str">
        <f t="shared" si="9"/>
        <v>*Se[l]</v>
      </c>
      <c r="F46" s="14">
        <f t="shared" ref="F46:U55" ca="1" si="10">$A46*H.Ar + $B46*H.Se + $C46*H.Ge + $D46*H.Ga</f>
        <v>-4.7</v>
      </c>
      <c r="G46" s="14">
        <f t="shared" ca="1" si="10"/>
        <v>-5.0519999999999996</v>
      </c>
      <c r="H46" s="14">
        <f t="shared" ca="1" si="10"/>
        <v>-5.4409999999999998</v>
      </c>
      <c r="I46" s="14">
        <f t="shared" ca="1" si="10"/>
        <v>-5.8239999999999998</v>
      </c>
      <c r="J46" s="14">
        <f t="shared" ca="1" si="10"/>
        <v>-6.1890000000000001</v>
      </c>
      <c r="K46" s="14">
        <f t="shared" ca="1" si="10"/>
        <v>-6.53</v>
      </c>
      <c r="L46" s="14">
        <f t="shared" ca="1" si="10"/>
        <v>-6.8470000000000004</v>
      </c>
      <c r="M46" s="14">
        <f t="shared" ca="1" si="10"/>
        <v>-7.1420000000000003</v>
      </c>
      <c r="N46" s="14">
        <f t="shared" ca="1" si="10"/>
        <v>-7.42</v>
      </c>
      <c r="O46" s="14">
        <f t="shared" ca="1" si="10"/>
        <v>-7.6909999999999998</v>
      </c>
      <c r="P46" s="14">
        <f t="shared" ca="1" si="10"/>
        <v>-7.9740000000000002</v>
      </c>
      <c r="Q46" s="14">
        <f t="shared" ca="1" si="10"/>
        <v>-8.298</v>
      </c>
      <c r="R46" s="14">
        <f t="shared" ca="1" si="10"/>
        <v>0</v>
      </c>
      <c r="S46" s="14">
        <f t="shared" ca="1" si="10"/>
        <v>0</v>
      </c>
      <c r="T46" s="14">
        <f t="shared" ca="1" si="10"/>
        <v>0</v>
      </c>
      <c r="U46" s="14">
        <f t="shared" ca="1" si="10"/>
        <v>0</v>
      </c>
      <c r="V46" s="14">
        <f t="shared" ref="V46:AL46" ca="1" si="11">$A46*H.Ar + $B46*H.Se + $C46*H.Ge + $D46*H.Ga</f>
        <v>0</v>
      </c>
      <c r="W46" s="14">
        <f t="shared" ca="1" si="11"/>
        <v>0</v>
      </c>
      <c r="X46" s="14">
        <f t="shared" ca="1" si="11"/>
        <v>0</v>
      </c>
      <c r="Y46" s="14">
        <f t="shared" ca="1" si="11"/>
        <v>0</v>
      </c>
      <c r="Z46" s="14">
        <f t="shared" ca="1" si="11"/>
        <v>0</v>
      </c>
      <c r="AA46" s="14">
        <f t="shared" ca="1" si="11"/>
        <v>0</v>
      </c>
      <c r="AB46" s="14">
        <f t="shared" ca="1" si="11"/>
        <v>0</v>
      </c>
      <c r="AC46" s="14">
        <f t="shared" ca="1" si="11"/>
        <v>0</v>
      </c>
      <c r="AD46" s="14">
        <f t="shared" ca="1" si="11"/>
        <v>0</v>
      </c>
      <c r="AE46" s="14">
        <f t="shared" ca="1" si="11"/>
        <v>0</v>
      </c>
      <c r="AF46" s="14">
        <f t="shared" ca="1" si="11"/>
        <v>0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customHeight="1" outlineLevel="1" thickBot="1" x14ac:dyDescent="0.4">
      <c r="A47" s="5">
        <f t="shared" si="9"/>
        <v>0</v>
      </c>
      <c r="B47" s="5">
        <f t="shared" si="9"/>
        <v>3</v>
      </c>
      <c r="C47" s="5">
        <f t="shared" si="9"/>
        <v>0</v>
      </c>
      <c r="D47" s="5">
        <f t="shared" si="9"/>
        <v>0</v>
      </c>
      <c r="E47" s="6" t="str">
        <f t="shared" si="9"/>
        <v>Se3</v>
      </c>
      <c r="F47" s="14">
        <f t="shared" ca="1" si="10"/>
        <v>-14.100000000000001</v>
      </c>
      <c r="G47" s="14">
        <f t="shared" ref="G47:AL54" ca="1" si="12">$A47*H.Ar + $B47*H.Se + $C47*H.Ge + $D47*H.Ga</f>
        <v>-15.155999999999999</v>
      </c>
      <c r="H47" s="14">
        <f t="shared" ca="1" si="12"/>
        <v>-16.323</v>
      </c>
      <c r="I47" s="14">
        <f t="shared" ca="1" si="12"/>
        <v>-17.472000000000001</v>
      </c>
      <c r="J47" s="14">
        <f t="shared" ca="1" si="12"/>
        <v>-18.567</v>
      </c>
      <c r="K47" s="14">
        <f t="shared" ca="1" si="12"/>
        <v>-19.59</v>
      </c>
      <c r="L47" s="14">
        <f t="shared" ca="1" si="12"/>
        <v>-20.541</v>
      </c>
      <c r="M47" s="14">
        <f t="shared" ca="1" si="12"/>
        <v>-21.426000000000002</v>
      </c>
      <c r="N47" s="14">
        <f t="shared" ca="1" si="12"/>
        <v>-22.259999999999998</v>
      </c>
      <c r="O47" s="14">
        <f t="shared" ca="1" si="12"/>
        <v>-23.073</v>
      </c>
      <c r="P47" s="14">
        <f t="shared" ca="1" si="12"/>
        <v>-23.922000000000001</v>
      </c>
      <c r="Q47" s="14">
        <f t="shared" ca="1" si="12"/>
        <v>-24.893999999999998</v>
      </c>
      <c r="R47" s="14">
        <f t="shared" ca="1" si="12"/>
        <v>0</v>
      </c>
      <c r="S47" s="14">
        <f t="shared" ca="1" si="12"/>
        <v>0</v>
      </c>
      <c r="T47" s="14">
        <f t="shared" ca="1" si="12"/>
        <v>0</v>
      </c>
      <c r="U47" s="14">
        <f t="shared" ca="1" si="12"/>
        <v>0</v>
      </c>
      <c r="V47" s="14">
        <f t="shared" ca="1" si="12"/>
        <v>0</v>
      </c>
      <c r="W47" s="14">
        <f t="shared" ca="1" si="12"/>
        <v>0</v>
      </c>
      <c r="X47" s="14">
        <f t="shared" ca="1" si="12"/>
        <v>0</v>
      </c>
      <c r="Y47" s="14">
        <f t="shared" ca="1" si="12"/>
        <v>0</v>
      </c>
      <c r="Z47" s="14">
        <f t="shared" ca="1" si="12"/>
        <v>0</v>
      </c>
      <c r="AA47" s="14">
        <f t="shared" ca="1" si="12"/>
        <v>0</v>
      </c>
      <c r="AB47" s="14">
        <f t="shared" ca="1" si="12"/>
        <v>0</v>
      </c>
      <c r="AC47" s="14">
        <f t="shared" ca="1" si="12"/>
        <v>0</v>
      </c>
      <c r="AD47" s="14">
        <f t="shared" ca="1" si="12"/>
        <v>0</v>
      </c>
      <c r="AE47" s="14">
        <f t="shared" ca="1" si="12"/>
        <v>0</v>
      </c>
      <c r="AF47" s="14">
        <f t="shared" ca="1" si="12"/>
        <v>0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customHeight="1" outlineLevel="1" thickBot="1" x14ac:dyDescent="0.4">
      <c r="A48" s="5">
        <f t="shared" si="9"/>
        <v>0</v>
      </c>
      <c r="B48" s="5">
        <f t="shared" si="9"/>
        <v>4</v>
      </c>
      <c r="C48" s="5">
        <f t="shared" si="9"/>
        <v>0</v>
      </c>
      <c r="D48" s="5">
        <f t="shared" si="9"/>
        <v>0</v>
      </c>
      <c r="E48" s="6" t="str">
        <f t="shared" si="9"/>
        <v>Se4</v>
      </c>
      <c r="F48" s="14">
        <f t="shared" ca="1" si="10"/>
        <v>-18.8</v>
      </c>
      <c r="G48" s="14">
        <f t="shared" ca="1" si="12"/>
        <v>-20.207999999999998</v>
      </c>
      <c r="H48" s="14">
        <f t="shared" ca="1" si="12"/>
        <v>-21.763999999999999</v>
      </c>
      <c r="I48" s="14">
        <f t="shared" ca="1" si="12"/>
        <v>-23.295999999999999</v>
      </c>
      <c r="J48" s="14">
        <f t="shared" ca="1" si="12"/>
        <v>-24.756</v>
      </c>
      <c r="K48" s="14">
        <f t="shared" ca="1" si="12"/>
        <v>-26.12</v>
      </c>
      <c r="L48" s="14">
        <f t="shared" ca="1" si="12"/>
        <v>-27.388000000000002</v>
      </c>
      <c r="M48" s="14">
        <f t="shared" ca="1" si="12"/>
        <v>-28.568000000000001</v>
      </c>
      <c r="N48" s="14">
        <f t="shared" ca="1" si="12"/>
        <v>-29.68</v>
      </c>
      <c r="O48" s="14">
        <f t="shared" ca="1" si="12"/>
        <v>-30.763999999999999</v>
      </c>
      <c r="P48" s="14">
        <f t="shared" ca="1" si="12"/>
        <v>-31.896000000000001</v>
      </c>
      <c r="Q48" s="14">
        <f t="shared" ca="1" si="12"/>
        <v>-33.192</v>
      </c>
      <c r="R48" s="14">
        <f t="shared" ca="1" si="12"/>
        <v>0</v>
      </c>
      <c r="S48" s="14">
        <f t="shared" ca="1" si="12"/>
        <v>0</v>
      </c>
      <c r="T48" s="14">
        <f t="shared" ca="1" si="12"/>
        <v>0</v>
      </c>
      <c r="U48" s="14">
        <f t="shared" ca="1" si="12"/>
        <v>0</v>
      </c>
      <c r="V48" s="14">
        <f t="shared" ca="1" si="12"/>
        <v>0</v>
      </c>
      <c r="W48" s="14">
        <f t="shared" ca="1" si="12"/>
        <v>0</v>
      </c>
      <c r="X48" s="14">
        <f t="shared" ca="1" si="12"/>
        <v>0</v>
      </c>
      <c r="Y48" s="14">
        <f t="shared" ca="1" si="12"/>
        <v>0</v>
      </c>
      <c r="Z48" s="14">
        <f t="shared" ca="1" si="12"/>
        <v>0</v>
      </c>
      <c r="AA48" s="14">
        <f t="shared" ca="1" si="12"/>
        <v>0</v>
      </c>
      <c r="AB48" s="14">
        <f t="shared" ca="1" si="12"/>
        <v>0</v>
      </c>
      <c r="AC48" s="14">
        <f t="shared" ca="1" si="12"/>
        <v>0</v>
      </c>
      <c r="AD48" s="14">
        <f t="shared" ca="1" si="12"/>
        <v>0</v>
      </c>
      <c r="AE48" s="14">
        <f t="shared" ca="1" si="12"/>
        <v>0</v>
      </c>
      <c r="AF48" s="14">
        <f t="shared" ca="1" si="12"/>
        <v>0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customHeight="1" outlineLevel="1" thickBot="1" x14ac:dyDescent="0.4">
      <c r="A49" s="5">
        <f t="shared" si="9"/>
        <v>0</v>
      </c>
      <c r="B49" s="5">
        <f t="shared" si="9"/>
        <v>5</v>
      </c>
      <c r="C49" s="5">
        <f t="shared" si="9"/>
        <v>0</v>
      </c>
      <c r="D49" s="5">
        <f t="shared" si="9"/>
        <v>0</v>
      </c>
      <c r="E49" s="6" t="str">
        <f t="shared" si="9"/>
        <v>Se5</v>
      </c>
      <c r="F49" s="14">
        <f t="shared" ca="1" si="10"/>
        <v>-23.5</v>
      </c>
      <c r="G49" s="14">
        <f t="shared" ca="1" si="12"/>
        <v>-25.259999999999998</v>
      </c>
      <c r="H49" s="14">
        <f t="shared" ca="1" si="12"/>
        <v>-27.204999999999998</v>
      </c>
      <c r="I49" s="14">
        <f t="shared" ca="1" si="12"/>
        <v>-29.119999999999997</v>
      </c>
      <c r="J49" s="14">
        <f t="shared" ca="1" si="12"/>
        <v>-30.945</v>
      </c>
      <c r="K49" s="14">
        <f t="shared" ca="1" si="12"/>
        <v>-32.65</v>
      </c>
      <c r="L49" s="14">
        <f t="shared" ca="1" si="12"/>
        <v>-34.234999999999999</v>
      </c>
      <c r="M49" s="14">
        <f t="shared" ca="1" si="12"/>
        <v>-35.71</v>
      </c>
      <c r="N49" s="14">
        <f t="shared" ca="1" si="12"/>
        <v>-37.1</v>
      </c>
      <c r="O49" s="14">
        <f t="shared" ca="1" si="12"/>
        <v>-38.454999999999998</v>
      </c>
      <c r="P49" s="14">
        <f t="shared" ca="1" si="12"/>
        <v>-39.870000000000005</v>
      </c>
      <c r="Q49" s="14">
        <f t="shared" ca="1" si="12"/>
        <v>-41.49</v>
      </c>
      <c r="R49" s="14">
        <f t="shared" ca="1" si="12"/>
        <v>0</v>
      </c>
      <c r="S49" s="14">
        <f t="shared" ca="1" si="12"/>
        <v>0</v>
      </c>
      <c r="T49" s="14">
        <f t="shared" ca="1" si="12"/>
        <v>0</v>
      </c>
      <c r="U49" s="14">
        <f t="shared" ca="1" si="12"/>
        <v>0</v>
      </c>
      <c r="V49" s="14">
        <f t="shared" ca="1" si="12"/>
        <v>0</v>
      </c>
      <c r="W49" s="14">
        <f t="shared" ca="1" si="12"/>
        <v>0</v>
      </c>
      <c r="X49" s="14">
        <f t="shared" ca="1" si="12"/>
        <v>0</v>
      </c>
      <c r="Y49" s="14">
        <f t="shared" ca="1" si="12"/>
        <v>0</v>
      </c>
      <c r="Z49" s="14">
        <f t="shared" ca="1" si="12"/>
        <v>0</v>
      </c>
      <c r="AA49" s="14">
        <f t="shared" ca="1" si="12"/>
        <v>0</v>
      </c>
      <c r="AB49" s="14">
        <f t="shared" ca="1" si="12"/>
        <v>0</v>
      </c>
      <c r="AC49" s="14">
        <f t="shared" ca="1" si="12"/>
        <v>0</v>
      </c>
      <c r="AD49" s="14">
        <f t="shared" ca="1" si="12"/>
        <v>0</v>
      </c>
      <c r="AE49" s="14">
        <f t="shared" ca="1" si="12"/>
        <v>0</v>
      </c>
      <c r="AF49" s="14">
        <f t="shared" ca="1" si="12"/>
        <v>0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customHeight="1" outlineLevel="1" thickBot="1" x14ac:dyDescent="0.4">
      <c r="A50" s="5">
        <f t="shared" si="9"/>
        <v>0</v>
      </c>
      <c r="B50" s="5">
        <f t="shared" si="9"/>
        <v>6</v>
      </c>
      <c r="C50" s="5">
        <f t="shared" si="9"/>
        <v>0</v>
      </c>
      <c r="D50" s="5">
        <f t="shared" si="9"/>
        <v>0</v>
      </c>
      <c r="E50" s="6" t="str">
        <f t="shared" si="9"/>
        <v>Se6</v>
      </c>
      <c r="F50" s="14">
        <f t="shared" ca="1" si="10"/>
        <v>-28.200000000000003</v>
      </c>
      <c r="G50" s="14">
        <f t="shared" ca="1" si="12"/>
        <v>-30.311999999999998</v>
      </c>
      <c r="H50" s="14">
        <f t="shared" ca="1" si="12"/>
        <v>-32.646000000000001</v>
      </c>
      <c r="I50" s="14">
        <f t="shared" ca="1" si="12"/>
        <v>-34.944000000000003</v>
      </c>
      <c r="J50" s="14">
        <f t="shared" ca="1" si="12"/>
        <v>-37.134</v>
      </c>
      <c r="K50" s="14">
        <f t="shared" ca="1" si="12"/>
        <v>-39.18</v>
      </c>
      <c r="L50" s="14">
        <f t="shared" ca="1" si="12"/>
        <v>-41.082000000000001</v>
      </c>
      <c r="M50" s="14">
        <f t="shared" ca="1" si="12"/>
        <v>-42.852000000000004</v>
      </c>
      <c r="N50" s="14">
        <f t="shared" ca="1" si="12"/>
        <v>-44.519999999999996</v>
      </c>
      <c r="O50" s="14">
        <f t="shared" ca="1" si="12"/>
        <v>-46.146000000000001</v>
      </c>
      <c r="P50" s="14">
        <f t="shared" ca="1" si="12"/>
        <v>-47.844000000000001</v>
      </c>
      <c r="Q50" s="14">
        <f t="shared" ca="1" si="12"/>
        <v>-49.787999999999997</v>
      </c>
      <c r="R50" s="14">
        <f t="shared" ca="1" si="12"/>
        <v>0</v>
      </c>
      <c r="S50" s="14">
        <f t="shared" ca="1" si="12"/>
        <v>0</v>
      </c>
      <c r="T50" s="14">
        <f t="shared" ca="1" si="12"/>
        <v>0</v>
      </c>
      <c r="U50" s="14">
        <f t="shared" ca="1" si="12"/>
        <v>0</v>
      </c>
      <c r="V50" s="14">
        <f t="shared" ca="1" si="12"/>
        <v>0</v>
      </c>
      <c r="W50" s="14">
        <f t="shared" ca="1" si="12"/>
        <v>0</v>
      </c>
      <c r="X50" s="14">
        <f t="shared" ca="1" si="12"/>
        <v>0</v>
      </c>
      <c r="Y50" s="14">
        <f t="shared" ca="1" si="12"/>
        <v>0</v>
      </c>
      <c r="Z50" s="14">
        <f t="shared" ca="1" si="12"/>
        <v>0</v>
      </c>
      <c r="AA50" s="14">
        <f t="shared" ca="1" si="12"/>
        <v>0</v>
      </c>
      <c r="AB50" s="14">
        <f t="shared" ca="1" si="12"/>
        <v>0</v>
      </c>
      <c r="AC50" s="14">
        <f t="shared" ca="1" si="12"/>
        <v>0</v>
      </c>
      <c r="AD50" s="14">
        <f t="shared" ca="1" si="12"/>
        <v>0</v>
      </c>
      <c r="AE50" s="14">
        <f t="shared" ca="1" si="12"/>
        <v>0</v>
      </c>
      <c r="AF50" s="14">
        <f t="shared" ca="1" si="12"/>
        <v>0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customHeight="1" outlineLevel="1" thickBot="1" x14ac:dyDescent="0.4">
      <c r="A51" s="5">
        <f t="shared" si="9"/>
        <v>0</v>
      </c>
      <c r="B51" s="5">
        <f t="shared" si="9"/>
        <v>7</v>
      </c>
      <c r="C51" s="5">
        <f t="shared" si="9"/>
        <v>0</v>
      </c>
      <c r="D51" s="5">
        <f t="shared" si="9"/>
        <v>0</v>
      </c>
      <c r="E51" s="6" t="str">
        <f t="shared" si="9"/>
        <v>Se7</v>
      </c>
      <c r="F51" s="14">
        <f t="shared" ca="1" si="10"/>
        <v>-32.9</v>
      </c>
      <c r="G51" s="14">
        <f t="shared" ca="1" si="12"/>
        <v>-35.363999999999997</v>
      </c>
      <c r="H51" s="14">
        <f t="shared" ca="1" si="12"/>
        <v>-38.086999999999996</v>
      </c>
      <c r="I51" s="14">
        <f t="shared" ca="1" si="12"/>
        <v>-40.768000000000001</v>
      </c>
      <c r="J51" s="14">
        <f t="shared" ca="1" si="12"/>
        <v>-43.323</v>
      </c>
      <c r="K51" s="14">
        <f t="shared" ca="1" si="12"/>
        <v>-45.71</v>
      </c>
      <c r="L51" s="14">
        <f t="shared" ca="1" si="12"/>
        <v>-47.929000000000002</v>
      </c>
      <c r="M51" s="14">
        <f t="shared" ca="1" si="12"/>
        <v>-49.994</v>
      </c>
      <c r="N51" s="14">
        <f t="shared" ca="1" si="12"/>
        <v>-51.94</v>
      </c>
      <c r="O51" s="14">
        <f t="shared" ca="1" si="12"/>
        <v>-53.836999999999996</v>
      </c>
      <c r="P51" s="14">
        <f t="shared" ca="1" si="12"/>
        <v>-55.817999999999998</v>
      </c>
      <c r="Q51" s="14">
        <f t="shared" ca="1" si="12"/>
        <v>-58.085999999999999</v>
      </c>
      <c r="R51" s="14">
        <f t="shared" ca="1" si="12"/>
        <v>0</v>
      </c>
      <c r="S51" s="14">
        <f t="shared" ca="1" si="12"/>
        <v>0</v>
      </c>
      <c r="T51" s="14">
        <f t="shared" ca="1" si="12"/>
        <v>0</v>
      </c>
      <c r="U51" s="14">
        <f t="shared" ca="1" si="12"/>
        <v>0</v>
      </c>
      <c r="V51" s="14">
        <f t="shared" ca="1" si="12"/>
        <v>0</v>
      </c>
      <c r="W51" s="14">
        <f t="shared" ca="1" si="12"/>
        <v>0</v>
      </c>
      <c r="X51" s="14">
        <f t="shared" ca="1" si="12"/>
        <v>0</v>
      </c>
      <c r="Y51" s="14">
        <f t="shared" ca="1" si="12"/>
        <v>0</v>
      </c>
      <c r="Z51" s="14">
        <f t="shared" ca="1" si="12"/>
        <v>0</v>
      </c>
      <c r="AA51" s="14">
        <f t="shared" ca="1" si="12"/>
        <v>0</v>
      </c>
      <c r="AB51" s="14">
        <f t="shared" ca="1" si="12"/>
        <v>0</v>
      </c>
      <c r="AC51" s="14">
        <f t="shared" ca="1" si="12"/>
        <v>0</v>
      </c>
      <c r="AD51" s="14">
        <f t="shared" ca="1" si="12"/>
        <v>0</v>
      </c>
      <c r="AE51" s="14">
        <f t="shared" ca="1" si="12"/>
        <v>0</v>
      </c>
      <c r="AF51" s="14">
        <f t="shared" ca="1" si="12"/>
        <v>0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customHeight="1" outlineLevel="1" thickBot="1" x14ac:dyDescent="0.4">
      <c r="A52" s="5">
        <f t="shared" si="9"/>
        <v>0</v>
      </c>
      <c r="B52" s="5">
        <f t="shared" si="9"/>
        <v>8</v>
      </c>
      <c r="C52" s="5">
        <f t="shared" si="9"/>
        <v>0</v>
      </c>
      <c r="D52" s="5">
        <f t="shared" si="9"/>
        <v>0</v>
      </c>
      <c r="E52" s="6" t="str">
        <f t="shared" si="9"/>
        <v>Se8</v>
      </c>
      <c r="F52" s="14">
        <f t="shared" ca="1" si="10"/>
        <v>-37.6</v>
      </c>
      <c r="G52" s="14">
        <f t="shared" ca="1" si="12"/>
        <v>-40.415999999999997</v>
      </c>
      <c r="H52" s="14">
        <f t="shared" ca="1" si="12"/>
        <v>-43.527999999999999</v>
      </c>
      <c r="I52" s="14">
        <f t="shared" ca="1" si="12"/>
        <v>-46.591999999999999</v>
      </c>
      <c r="J52" s="14">
        <f t="shared" ca="1" si="12"/>
        <v>-49.512</v>
      </c>
      <c r="K52" s="14">
        <f t="shared" ca="1" si="12"/>
        <v>-52.24</v>
      </c>
      <c r="L52" s="14">
        <f t="shared" ca="1" si="12"/>
        <v>-54.776000000000003</v>
      </c>
      <c r="M52" s="14">
        <f t="shared" ca="1" si="12"/>
        <v>-57.136000000000003</v>
      </c>
      <c r="N52" s="14">
        <f t="shared" ca="1" si="12"/>
        <v>-59.36</v>
      </c>
      <c r="O52" s="14">
        <f t="shared" ca="1" si="12"/>
        <v>-61.527999999999999</v>
      </c>
      <c r="P52" s="14">
        <f t="shared" ca="1" si="12"/>
        <v>-63.792000000000002</v>
      </c>
      <c r="Q52" s="14">
        <f t="shared" ca="1" si="12"/>
        <v>-66.384</v>
      </c>
      <c r="R52" s="14">
        <f t="shared" ca="1" si="12"/>
        <v>0</v>
      </c>
      <c r="S52" s="14">
        <f t="shared" ca="1" si="12"/>
        <v>0</v>
      </c>
      <c r="T52" s="14">
        <f t="shared" ca="1" si="12"/>
        <v>0</v>
      </c>
      <c r="U52" s="14">
        <f t="shared" ca="1" si="12"/>
        <v>0</v>
      </c>
      <c r="V52" s="14">
        <f t="shared" ca="1" si="12"/>
        <v>0</v>
      </c>
      <c r="W52" s="14">
        <f t="shared" ca="1" si="12"/>
        <v>0</v>
      </c>
      <c r="X52" s="14">
        <f t="shared" ca="1" si="12"/>
        <v>0</v>
      </c>
      <c r="Y52" s="14">
        <f t="shared" ca="1" si="12"/>
        <v>0</v>
      </c>
      <c r="Z52" s="14">
        <f t="shared" ca="1" si="12"/>
        <v>0</v>
      </c>
      <c r="AA52" s="14">
        <f t="shared" ca="1" si="12"/>
        <v>0</v>
      </c>
      <c r="AB52" s="14">
        <f t="shared" ca="1" si="12"/>
        <v>0</v>
      </c>
      <c r="AC52" s="14">
        <f t="shared" ca="1" si="12"/>
        <v>0</v>
      </c>
      <c r="AD52" s="14">
        <f t="shared" ca="1" si="12"/>
        <v>0</v>
      </c>
      <c r="AE52" s="14">
        <f t="shared" ca="1" si="12"/>
        <v>0</v>
      </c>
      <c r="AF52" s="14">
        <f t="shared" ca="1" si="12"/>
        <v>0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customHeight="1" outlineLevel="1" thickBot="1" x14ac:dyDescent="0.4">
      <c r="A53" s="5">
        <f t="shared" si="9"/>
        <v>0</v>
      </c>
      <c r="B53" s="5">
        <f t="shared" si="9"/>
        <v>2</v>
      </c>
      <c r="C53" s="5">
        <f t="shared" si="9"/>
        <v>0</v>
      </c>
      <c r="D53" s="5">
        <f t="shared" si="9"/>
        <v>0</v>
      </c>
      <c r="E53" s="6" t="str">
        <f t="shared" si="9"/>
        <v>Se2</v>
      </c>
      <c r="F53" s="14">
        <f t="shared" ca="1" si="10"/>
        <v>-9.4</v>
      </c>
      <c r="G53" s="14">
        <f t="shared" ca="1" si="12"/>
        <v>-10.103999999999999</v>
      </c>
      <c r="H53" s="14">
        <f t="shared" ca="1" si="12"/>
        <v>-10.882</v>
      </c>
      <c r="I53" s="14">
        <f t="shared" ca="1" si="12"/>
        <v>-11.648</v>
      </c>
      <c r="J53" s="14">
        <f t="shared" ca="1" si="12"/>
        <v>-12.378</v>
      </c>
      <c r="K53" s="14">
        <f t="shared" ca="1" si="12"/>
        <v>-13.06</v>
      </c>
      <c r="L53" s="14">
        <f t="shared" ca="1" si="12"/>
        <v>-13.694000000000001</v>
      </c>
      <c r="M53" s="14">
        <f t="shared" ca="1" si="12"/>
        <v>-14.284000000000001</v>
      </c>
      <c r="N53" s="14">
        <f t="shared" ca="1" si="12"/>
        <v>-14.84</v>
      </c>
      <c r="O53" s="14">
        <f t="shared" ca="1" si="12"/>
        <v>-15.382</v>
      </c>
      <c r="P53" s="14">
        <f t="shared" ca="1" si="12"/>
        <v>-15.948</v>
      </c>
      <c r="Q53" s="14">
        <f t="shared" ca="1" si="12"/>
        <v>-16.596</v>
      </c>
      <c r="R53" s="14">
        <f t="shared" ca="1" si="12"/>
        <v>0</v>
      </c>
      <c r="S53" s="14">
        <f t="shared" ca="1" si="12"/>
        <v>0</v>
      </c>
      <c r="T53" s="14">
        <f t="shared" ca="1" si="12"/>
        <v>0</v>
      </c>
      <c r="U53" s="14">
        <f t="shared" ca="1" si="12"/>
        <v>0</v>
      </c>
      <c r="V53" s="14">
        <f t="shared" ca="1" si="12"/>
        <v>0</v>
      </c>
      <c r="W53" s="14">
        <f t="shared" ca="1" si="12"/>
        <v>0</v>
      </c>
      <c r="X53" s="14">
        <f t="shared" ca="1" si="12"/>
        <v>0</v>
      </c>
      <c r="Y53" s="14">
        <f t="shared" ca="1" si="12"/>
        <v>0</v>
      </c>
      <c r="Z53" s="14">
        <f t="shared" ca="1" si="12"/>
        <v>0</v>
      </c>
      <c r="AA53" s="14">
        <f t="shared" ca="1" si="12"/>
        <v>0</v>
      </c>
      <c r="AB53" s="14">
        <f t="shared" ca="1" si="12"/>
        <v>0</v>
      </c>
      <c r="AC53" s="14">
        <f t="shared" ca="1" si="12"/>
        <v>0</v>
      </c>
      <c r="AD53" s="14">
        <f t="shared" ca="1" si="12"/>
        <v>0</v>
      </c>
      <c r="AE53" s="14">
        <f t="shared" ca="1" si="12"/>
        <v>0</v>
      </c>
      <c r="AF53" s="14">
        <f t="shared" ca="1" si="12"/>
        <v>0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customHeight="1" outlineLevel="1" thickBot="1" x14ac:dyDescent="0.4">
      <c r="A54" s="5">
        <f t="shared" si="9"/>
        <v>0</v>
      </c>
      <c r="B54" s="5">
        <f t="shared" si="9"/>
        <v>1</v>
      </c>
      <c r="C54" s="5">
        <f t="shared" si="9"/>
        <v>0</v>
      </c>
      <c r="D54" s="5">
        <f t="shared" si="9"/>
        <v>0</v>
      </c>
      <c r="E54" s="6" t="str">
        <f t="shared" si="9"/>
        <v>Se</v>
      </c>
      <c r="F54" s="14">
        <f t="shared" ca="1" si="10"/>
        <v>-4.7</v>
      </c>
      <c r="G54" s="14">
        <f t="shared" ca="1" si="12"/>
        <v>-5.0519999999999996</v>
      </c>
      <c r="H54" s="14">
        <f t="shared" ca="1" si="12"/>
        <v>-5.4409999999999998</v>
      </c>
      <c r="I54" s="14">
        <f t="shared" ca="1" si="12"/>
        <v>-5.8239999999999998</v>
      </c>
      <c r="J54" s="14">
        <f t="shared" ca="1" si="12"/>
        <v>-6.1890000000000001</v>
      </c>
      <c r="K54" s="14">
        <f t="shared" ca="1" si="12"/>
        <v>-6.53</v>
      </c>
      <c r="L54" s="14">
        <f t="shared" ca="1" si="12"/>
        <v>-6.8470000000000004</v>
      </c>
      <c r="M54" s="14">
        <f t="shared" ca="1" si="12"/>
        <v>-7.1420000000000003</v>
      </c>
      <c r="N54" s="14">
        <f t="shared" ca="1" si="12"/>
        <v>-7.42</v>
      </c>
      <c r="O54" s="14">
        <f t="shared" ca="1" si="12"/>
        <v>-7.6909999999999998</v>
      </c>
      <c r="P54" s="14">
        <f t="shared" ca="1" si="12"/>
        <v>-7.9740000000000002</v>
      </c>
      <c r="Q54" s="14">
        <f t="shared" ca="1" si="12"/>
        <v>-8.298</v>
      </c>
      <c r="R54" s="14">
        <f t="shared" ca="1" si="12"/>
        <v>0</v>
      </c>
      <c r="S54" s="14">
        <f t="shared" ca="1" si="12"/>
        <v>0</v>
      </c>
      <c r="T54" s="14">
        <f t="shared" ca="1" si="12"/>
        <v>0</v>
      </c>
      <c r="U54" s="14">
        <f t="shared" ref="U54:AL54" ca="1" si="13">$A54*H.Ar + $B54*H.Se + $C54*H.Ge + $D54*H.Ga</f>
        <v>0</v>
      </c>
      <c r="V54" s="14">
        <f t="shared" ca="1" si="13"/>
        <v>0</v>
      </c>
      <c r="W54" s="14">
        <f t="shared" ca="1" si="13"/>
        <v>0</v>
      </c>
      <c r="X54" s="14">
        <f t="shared" ca="1" si="13"/>
        <v>0</v>
      </c>
      <c r="Y54" s="14">
        <f t="shared" ca="1" si="13"/>
        <v>0</v>
      </c>
      <c r="Z54" s="14">
        <f t="shared" ca="1" si="13"/>
        <v>0</v>
      </c>
      <c r="AA54" s="14">
        <f t="shared" ca="1" si="13"/>
        <v>0</v>
      </c>
      <c r="AB54" s="14">
        <f t="shared" ca="1" si="13"/>
        <v>0</v>
      </c>
      <c r="AC54" s="14">
        <f t="shared" ca="1" si="13"/>
        <v>0</v>
      </c>
      <c r="AD54" s="14">
        <f t="shared" ca="1" si="13"/>
        <v>0</v>
      </c>
      <c r="AE54" s="14">
        <f t="shared" ca="1" si="13"/>
        <v>0</v>
      </c>
      <c r="AF54" s="14">
        <f t="shared" ca="1" si="13"/>
        <v>0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customHeight="1" outlineLevel="1" thickBot="1" x14ac:dyDescent="0.4">
      <c r="A55" s="5">
        <f t="shared" si="9"/>
        <v>0</v>
      </c>
      <c r="B55" s="5">
        <f t="shared" si="9"/>
        <v>1</v>
      </c>
      <c r="C55" s="5">
        <f t="shared" si="9"/>
        <v>0</v>
      </c>
      <c r="D55" s="5">
        <f t="shared" si="9"/>
        <v>2</v>
      </c>
      <c r="E55" s="6" t="str">
        <f t="shared" si="9"/>
        <v>Ga2Se</v>
      </c>
      <c r="F55" s="14">
        <f t="shared" ca="1" si="10"/>
        <v>-20.026</v>
      </c>
      <c r="G55" s="14">
        <f t="shared" ref="G55:AL62" ca="1" si="14">$A55*H.Ar + $B55*H.Se + $C55*H.Ge + $D55*H.Ga</f>
        <v>-21.361999999999998</v>
      </c>
      <c r="H55" s="14">
        <f t="shared" ca="1" si="14"/>
        <v>-22.631</v>
      </c>
      <c r="I55" s="14">
        <f t="shared" ca="1" si="14"/>
        <v>-23.799999999999997</v>
      </c>
      <c r="J55" s="14">
        <f t="shared" ca="1" si="14"/>
        <v>-24.879000000000001</v>
      </c>
      <c r="K55" s="14">
        <f t="shared" ca="1" si="14"/>
        <v>-25.904</v>
      </c>
      <c r="L55" s="14">
        <f t="shared" ca="1" si="14"/>
        <v>-26.947000000000003</v>
      </c>
      <c r="M55" s="14">
        <f t="shared" ca="1" si="14"/>
        <v>-28.082000000000001</v>
      </c>
      <c r="N55" s="14">
        <f t="shared" ca="1" si="14"/>
        <v>-29.259999999999998</v>
      </c>
      <c r="O55" s="14">
        <f t="shared" ca="1" si="14"/>
        <v>-30.430999999999997</v>
      </c>
      <c r="P55" s="14">
        <f t="shared" ca="1" si="14"/>
        <v>-31.594000000000001</v>
      </c>
      <c r="Q55" s="14">
        <f t="shared" ca="1" si="14"/>
        <v>-32.738</v>
      </c>
      <c r="R55" s="14">
        <f t="shared" ca="1" si="14"/>
        <v>0</v>
      </c>
      <c r="S55" s="14">
        <f t="shared" ca="1" si="14"/>
        <v>0</v>
      </c>
      <c r="T55" s="14">
        <f t="shared" ca="1" si="14"/>
        <v>0</v>
      </c>
      <c r="U55" s="14">
        <f t="shared" ca="1" si="14"/>
        <v>0</v>
      </c>
      <c r="V55" s="14">
        <f t="shared" ca="1" si="14"/>
        <v>0</v>
      </c>
      <c r="W55" s="14">
        <f t="shared" ca="1" si="14"/>
        <v>0</v>
      </c>
      <c r="X55" s="14">
        <f t="shared" ca="1" si="14"/>
        <v>0</v>
      </c>
      <c r="Y55" s="14">
        <f t="shared" ca="1" si="14"/>
        <v>0</v>
      </c>
      <c r="Z55" s="14">
        <f t="shared" ca="1" si="14"/>
        <v>0</v>
      </c>
      <c r="AA55" s="14">
        <f t="shared" ca="1" si="14"/>
        <v>0</v>
      </c>
      <c r="AB55" s="14">
        <f t="shared" ca="1" si="14"/>
        <v>0</v>
      </c>
      <c r="AC55" s="14">
        <f t="shared" ca="1" si="14"/>
        <v>0</v>
      </c>
      <c r="AD55" s="14">
        <f t="shared" ca="1" si="14"/>
        <v>0</v>
      </c>
      <c r="AE55" s="14">
        <f t="shared" ca="1" si="14"/>
        <v>0</v>
      </c>
      <c r="AF55" s="14">
        <f t="shared" ca="1" si="14"/>
        <v>0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customHeight="1" outlineLevel="1" thickBot="1" x14ac:dyDescent="0.4">
      <c r="A56" s="5">
        <f t="shared" ref="A56:E65" si="15">A14</f>
        <v>1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 t="str">
        <f t="shared" si="15"/>
        <v>Ar</v>
      </c>
      <c r="F56" s="14">
        <f t="shared" ref="F56:U65" ca="1" si="16">$A56*H.Ar + $B56*H.Se + $C56*H.Ge + $D56*H.Ga</f>
        <v>-18.62</v>
      </c>
      <c r="G56" s="14">
        <f t="shared" ca="1" si="16"/>
        <v>-18.63</v>
      </c>
      <c r="H56" s="14">
        <f t="shared" ca="1" si="16"/>
        <v>-18.72</v>
      </c>
      <c r="I56" s="14">
        <f t="shared" ca="1" si="16"/>
        <v>-18.84</v>
      </c>
      <c r="J56" s="14">
        <f t="shared" ca="1" si="16"/>
        <v>-18.97</v>
      </c>
      <c r="K56" s="14">
        <f t="shared" ca="1" si="16"/>
        <v>-19.11</v>
      </c>
      <c r="L56" s="14">
        <f t="shared" ca="1" si="16"/>
        <v>-19.260000000000002</v>
      </c>
      <c r="M56" s="14">
        <f t="shared" ca="1" si="16"/>
        <v>-19.41</v>
      </c>
      <c r="N56" s="14">
        <f t="shared" ca="1" si="16"/>
        <v>-19.559999999999999</v>
      </c>
      <c r="O56" s="14">
        <f t="shared" ca="1" si="16"/>
        <v>-19.73</v>
      </c>
      <c r="P56" s="14">
        <f t="shared" ca="1" si="16"/>
        <v>-19.940000000000001</v>
      </c>
      <c r="Q56" s="14">
        <f t="shared" ca="1" si="16"/>
        <v>-20.2</v>
      </c>
      <c r="R56" s="14">
        <f t="shared" ca="1" si="16"/>
        <v>0</v>
      </c>
      <c r="S56" s="14">
        <f t="shared" ca="1" si="16"/>
        <v>0</v>
      </c>
      <c r="T56" s="14">
        <f t="shared" ca="1" si="16"/>
        <v>0</v>
      </c>
      <c r="U56" s="14">
        <f t="shared" ca="1" si="16"/>
        <v>0</v>
      </c>
      <c r="V56" s="14">
        <f t="shared" ca="1" si="14"/>
        <v>0</v>
      </c>
      <c r="W56" s="14">
        <f t="shared" ca="1" si="14"/>
        <v>0</v>
      </c>
      <c r="X56" s="14">
        <f t="shared" ca="1" si="14"/>
        <v>0</v>
      </c>
      <c r="Y56" s="14">
        <f t="shared" ca="1" si="14"/>
        <v>0</v>
      </c>
      <c r="Z56" s="14">
        <f t="shared" ca="1" si="14"/>
        <v>0</v>
      </c>
      <c r="AA56" s="14">
        <f t="shared" ca="1" si="14"/>
        <v>0</v>
      </c>
      <c r="AB56" s="14">
        <f t="shared" ca="1" si="14"/>
        <v>0</v>
      </c>
      <c r="AC56" s="14">
        <f t="shared" ca="1" si="14"/>
        <v>0</v>
      </c>
      <c r="AD56" s="14">
        <f t="shared" ca="1" si="14"/>
        <v>0</v>
      </c>
      <c r="AE56" s="14">
        <f t="shared" ca="1" si="14"/>
        <v>0</v>
      </c>
      <c r="AF56" s="14">
        <f t="shared" ca="1" si="14"/>
        <v>0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1</v>
      </c>
      <c r="E57" s="6" t="str">
        <f t="shared" si="15"/>
        <v>(l)Ga[l]</v>
      </c>
      <c r="F57" s="14">
        <f t="shared" ca="1" si="16"/>
        <v>-7.6630000000000003</v>
      </c>
      <c r="G57" s="14">
        <f t="shared" ca="1" si="14"/>
        <v>-8.1549999999999994</v>
      </c>
      <c r="H57" s="14">
        <f t="shared" ca="1" si="14"/>
        <v>-8.5950000000000006</v>
      </c>
      <c r="I57" s="14">
        <f t="shared" ca="1" si="14"/>
        <v>-8.9879999999999995</v>
      </c>
      <c r="J57" s="14">
        <f t="shared" ca="1" si="14"/>
        <v>-9.3450000000000006</v>
      </c>
      <c r="K57" s="14">
        <f t="shared" ca="1" si="14"/>
        <v>-9.6869999999999994</v>
      </c>
      <c r="L57" s="14">
        <f t="shared" ca="1" si="14"/>
        <v>-10.050000000000001</v>
      </c>
      <c r="M57" s="14">
        <f t="shared" ca="1" si="14"/>
        <v>-10.47</v>
      </c>
      <c r="N57" s="14">
        <f t="shared" ca="1" si="14"/>
        <v>-10.92</v>
      </c>
      <c r="O57" s="14">
        <f t="shared" ca="1" si="14"/>
        <v>-11.37</v>
      </c>
      <c r="P57" s="14">
        <f t="shared" ca="1" si="14"/>
        <v>-11.81</v>
      </c>
      <c r="Q57" s="14">
        <f t="shared" ca="1" si="14"/>
        <v>-12.22</v>
      </c>
      <c r="R57" s="14">
        <f t="shared" ca="1" si="14"/>
        <v>0</v>
      </c>
      <c r="S57" s="14">
        <f t="shared" ca="1" si="14"/>
        <v>0</v>
      </c>
      <c r="T57" s="14">
        <f t="shared" ca="1" si="14"/>
        <v>0</v>
      </c>
      <c r="U57" s="14">
        <f t="shared" ca="1" si="14"/>
        <v>0</v>
      </c>
      <c r="V57" s="14">
        <f t="shared" ca="1" si="14"/>
        <v>0</v>
      </c>
      <c r="W57" s="14">
        <f t="shared" ca="1" si="14"/>
        <v>0</v>
      </c>
      <c r="X57" s="14">
        <f t="shared" ca="1" si="14"/>
        <v>0</v>
      </c>
      <c r="Y57" s="14">
        <f t="shared" ca="1" si="14"/>
        <v>0</v>
      </c>
      <c r="Z57" s="14">
        <f t="shared" ca="1" si="14"/>
        <v>0</v>
      </c>
      <c r="AA57" s="14">
        <f t="shared" ca="1" si="14"/>
        <v>0</v>
      </c>
      <c r="AB57" s="14">
        <f t="shared" ca="1" si="14"/>
        <v>0</v>
      </c>
      <c r="AC57" s="14">
        <f t="shared" ca="1" si="14"/>
        <v>0</v>
      </c>
      <c r="AD57" s="14">
        <f t="shared" ca="1" si="14"/>
        <v>0</v>
      </c>
      <c r="AE57" s="14">
        <f t="shared" ca="1" si="14"/>
        <v>0</v>
      </c>
      <c r="AF57" s="14">
        <f t="shared" ca="1" si="14"/>
        <v>0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(l)Ge[l]</v>
      </c>
      <c r="F58" s="14">
        <f t="shared" ca="1" si="16"/>
        <v>7.5119999999999996</v>
      </c>
      <c r="G58" s="14">
        <f t="shared" ca="1" si="14"/>
        <v>4.4539999999999997</v>
      </c>
      <c r="H58" s="14">
        <f t="shared" ca="1" si="14"/>
        <v>2.2879999999999998</v>
      </c>
      <c r="I58" s="14">
        <f t="shared" ca="1" si="14"/>
        <v>0.65210000000000001</v>
      </c>
      <c r="J58" s="14">
        <f t="shared" ca="1" si="14"/>
        <v>-0.63829999999999998</v>
      </c>
      <c r="K58" s="14">
        <f t="shared" ca="1" si="14"/>
        <v>-1.6890000000000001</v>
      </c>
      <c r="L58" s="14">
        <f t="shared" ca="1" si="14"/>
        <v>-2.5640000000000001</v>
      </c>
      <c r="M58" s="14">
        <f t="shared" ca="1" si="14"/>
        <v>-3.3050000000000002</v>
      </c>
      <c r="N58" s="14">
        <f t="shared" ca="1" si="14"/>
        <v>-3.9390000000000001</v>
      </c>
      <c r="O58" s="14">
        <f t="shared" ca="1" si="14"/>
        <v>-4.4790000000000001</v>
      </c>
      <c r="P58" s="14">
        <f t="shared" ca="1" si="14"/>
        <v>-4.9219999999999997</v>
      </c>
      <c r="Q58" s="14">
        <f t="shared" ca="1" si="14"/>
        <v>-5.2549999999999999</v>
      </c>
      <c r="R58" s="14">
        <f t="shared" ca="1" si="14"/>
        <v>0</v>
      </c>
      <c r="S58" s="14">
        <f t="shared" ca="1" si="14"/>
        <v>0</v>
      </c>
      <c r="T58" s="14">
        <f t="shared" ca="1" si="14"/>
        <v>0</v>
      </c>
      <c r="U58" s="14">
        <f t="shared" ca="1" si="14"/>
        <v>0</v>
      </c>
      <c r="V58" s="14">
        <f t="shared" ca="1" si="14"/>
        <v>0</v>
      </c>
      <c r="W58" s="14">
        <f t="shared" ca="1" si="14"/>
        <v>0</v>
      </c>
      <c r="X58" s="14">
        <f t="shared" ca="1" si="14"/>
        <v>0</v>
      </c>
      <c r="Y58" s="14">
        <f t="shared" ca="1" si="14"/>
        <v>0</v>
      </c>
      <c r="Z58" s="14">
        <f t="shared" ca="1" si="14"/>
        <v>0</v>
      </c>
      <c r="AA58" s="14">
        <f t="shared" ca="1" si="14"/>
        <v>0</v>
      </c>
      <c r="AB58" s="14">
        <f t="shared" ca="1" si="14"/>
        <v>0</v>
      </c>
      <c r="AC58" s="14">
        <f t="shared" ca="1" si="14"/>
        <v>0</v>
      </c>
      <c r="AD58" s="14">
        <f t="shared" ca="1" si="14"/>
        <v>0</v>
      </c>
      <c r="AE58" s="14">
        <f t="shared" ca="1" si="14"/>
        <v>0</v>
      </c>
      <c r="AF58" s="14">
        <f t="shared" ca="1" si="14"/>
        <v>0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customHeight="1" outlineLevel="1" thickBot="1" x14ac:dyDescent="0.4">
      <c r="A59" s="5">
        <f t="shared" si="15"/>
        <v>0</v>
      </c>
      <c r="B59" s="5">
        <f t="shared" si="15"/>
        <v>1</v>
      </c>
      <c r="C59" s="5">
        <f t="shared" si="15"/>
        <v>0</v>
      </c>
      <c r="D59" s="5">
        <f t="shared" si="15"/>
        <v>0</v>
      </c>
      <c r="E59" s="6" t="str">
        <f t="shared" si="15"/>
        <v>(l)Se[l]</v>
      </c>
      <c r="F59" s="14">
        <f t="shared" ca="1" si="16"/>
        <v>-4.7</v>
      </c>
      <c r="G59" s="14">
        <f t="shared" ca="1" si="14"/>
        <v>-5.0519999999999996</v>
      </c>
      <c r="H59" s="14">
        <f t="shared" ca="1" si="14"/>
        <v>-5.4409999999999998</v>
      </c>
      <c r="I59" s="14">
        <f t="shared" ca="1" si="14"/>
        <v>-5.8239999999999998</v>
      </c>
      <c r="J59" s="14">
        <f t="shared" ca="1" si="14"/>
        <v>-6.1890000000000001</v>
      </c>
      <c r="K59" s="14">
        <f t="shared" ca="1" si="14"/>
        <v>-6.53</v>
      </c>
      <c r="L59" s="14">
        <f t="shared" ca="1" si="14"/>
        <v>-6.8470000000000004</v>
      </c>
      <c r="M59" s="14">
        <f t="shared" ca="1" si="14"/>
        <v>-7.1420000000000003</v>
      </c>
      <c r="N59" s="14">
        <f t="shared" ca="1" si="14"/>
        <v>-7.42</v>
      </c>
      <c r="O59" s="14">
        <f t="shared" ca="1" si="14"/>
        <v>-7.6909999999999998</v>
      </c>
      <c r="P59" s="14">
        <f t="shared" ca="1" si="14"/>
        <v>-7.9740000000000002</v>
      </c>
      <c r="Q59" s="14">
        <f t="shared" ca="1" si="14"/>
        <v>-8.298</v>
      </c>
      <c r="R59" s="14">
        <f t="shared" ca="1" si="14"/>
        <v>0</v>
      </c>
      <c r="S59" s="14">
        <f t="shared" ca="1" si="14"/>
        <v>0</v>
      </c>
      <c r="T59" s="14">
        <f t="shared" ca="1" si="14"/>
        <v>0</v>
      </c>
      <c r="U59" s="14">
        <f t="shared" ca="1" si="14"/>
        <v>0</v>
      </c>
      <c r="V59" s="14">
        <f t="shared" ca="1" si="14"/>
        <v>0</v>
      </c>
      <c r="W59" s="14">
        <f t="shared" ca="1" si="14"/>
        <v>0</v>
      </c>
      <c r="X59" s="14">
        <f t="shared" ca="1" si="14"/>
        <v>0</v>
      </c>
      <c r="Y59" s="14">
        <f t="shared" ca="1" si="14"/>
        <v>0</v>
      </c>
      <c r="Z59" s="14">
        <f t="shared" ca="1" si="14"/>
        <v>0</v>
      </c>
      <c r="AA59" s="14">
        <f t="shared" ca="1" si="14"/>
        <v>0</v>
      </c>
      <c r="AB59" s="14">
        <f t="shared" ca="1" si="14"/>
        <v>0</v>
      </c>
      <c r="AC59" s="14">
        <f t="shared" ca="1" si="14"/>
        <v>0</v>
      </c>
      <c r="AD59" s="14">
        <f t="shared" ca="1" si="14"/>
        <v>0</v>
      </c>
      <c r="AE59" s="14">
        <f t="shared" ca="1" si="14"/>
        <v>0</v>
      </c>
      <c r="AF59" s="14">
        <f t="shared" ca="1" si="14"/>
        <v>0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customHeight="1" outlineLevel="1" thickBot="1" x14ac:dyDescent="0.4">
      <c r="A60" s="5">
        <f t="shared" si="15"/>
        <v>1</v>
      </c>
      <c r="B60" s="5">
        <f t="shared" si="15"/>
        <v>0</v>
      </c>
      <c r="C60" s="5">
        <f t="shared" si="15"/>
        <v>0</v>
      </c>
      <c r="D60" s="5">
        <f t="shared" si="15"/>
        <v>0</v>
      </c>
      <c r="E60" s="6" t="str">
        <f t="shared" si="15"/>
        <v>H (Ar)</v>
      </c>
      <c r="F60" s="14">
        <f t="shared" ca="1" si="16"/>
        <v>-18.62</v>
      </c>
      <c r="G60" s="14">
        <f t="shared" ca="1" si="14"/>
        <v>-18.63</v>
      </c>
      <c r="H60" s="14">
        <f t="shared" ca="1" si="14"/>
        <v>-18.72</v>
      </c>
      <c r="I60" s="14">
        <f t="shared" ca="1" si="14"/>
        <v>-18.84</v>
      </c>
      <c r="J60" s="14">
        <f t="shared" ca="1" si="14"/>
        <v>-18.97</v>
      </c>
      <c r="K60" s="14">
        <f t="shared" ca="1" si="14"/>
        <v>-19.11</v>
      </c>
      <c r="L60" s="14">
        <f t="shared" ca="1" si="14"/>
        <v>-19.260000000000002</v>
      </c>
      <c r="M60" s="14">
        <f t="shared" ca="1" si="14"/>
        <v>-19.41</v>
      </c>
      <c r="N60" s="14">
        <f t="shared" ca="1" si="14"/>
        <v>-19.559999999999999</v>
      </c>
      <c r="O60" s="14">
        <f t="shared" ca="1" si="14"/>
        <v>-19.73</v>
      </c>
      <c r="P60" s="14">
        <f t="shared" ca="1" si="14"/>
        <v>-19.940000000000001</v>
      </c>
      <c r="Q60" s="14">
        <f t="shared" ca="1" si="14"/>
        <v>-20.2</v>
      </c>
      <c r="R60" s="14">
        <f t="shared" ca="1" si="14"/>
        <v>0</v>
      </c>
      <c r="S60" s="14">
        <f t="shared" ca="1" si="14"/>
        <v>0</v>
      </c>
      <c r="T60" s="14">
        <f t="shared" ca="1" si="14"/>
        <v>0</v>
      </c>
      <c r="U60" s="14">
        <f t="shared" ca="1" si="14"/>
        <v>0</v>
      </c>
      <c r="V60" s="14">
        <f t="shared" ca="1" si="14"/>
        <v>0</v>
      </c>
      <c r="W60" s="14">
        <f t="shared" ca="1" si="14"/>
        <v>0</v>
      </c>
      <c r="X60" s="14">
        <f t="shared" ca="1" si="14"/>
        <v>0</v>
      </c>
      <c r="Y60" s="14">
        <f t="shared" ca="1" si="14"/>
        <v>0</v>
      </c>
      <c r="Z60" s="14">
        <f t="shared" ca="1" si="14"/>
        <v>0</v>
      </c>
      <c r="AA60" s="14">
        <f t="shared" ca="1" si="14"/>
        <v>0</v>
      </c>
      <c r="AB60" s="14">
        <f t="shared" ca="1" si="14"/>
        <v>0</v>
      </c>
      <c r="AC60" s="14">
        <f t="shared" ca="1" si="14"/>
        <v>0</v>
      </c>
      <c r="AD60" s="14">
        <f t="shared" ca="1" si="14"/>
        <v>0</v>
      </c>
      <c r="AE60" s="14">
        <f t="shared" ca="1" si="14"/>
        <v>0</v>
      </c>
      <c r="AF60" s="14">
        <f t="shared" ca="1" si="14"/>
        <v>0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0</v>
      </c>
      <c r="D61" s="5">
        <f t="shared" si="15"/>
        <v>1</v>
      </c>
      <c r="E61" s="6" t="str">
        <f t="shared" si="15"/>
        <v>H (Ga)</v>
      </c>
      <c r="F61" s="14">
        <f t="shared" ca="1" si="16"/>
        <v>-7.6630000000000003</v>
      </c>
      <c r="G61" s="14">
        <f t="shared" ca="1" si="14"/>
        <v>-8.1549999999999994</v>
      </c>
      <c r="H61" s="14">
        <f t="shared" ca="1" si="14"/>
        <v>-8.5950000000000006</v>
      </c>
      <c r="I61" s="14">
        <f t="shared" ca="1" si="14"/>
        <v>-8.9879999999999995</v>
      </c>
      <c r="J61" s="14">
        <f t="shared" ca="1" si="14"/>
        <v>-9.3450000000000006</v>
      </c>
      <c r="K61" s="14">
        <f t="shared" ca="1" si="14"/>
        <v>-9.6869999999999994</v>
      </c>
      <c r="L61" s="14">
        <f t="shared" ca="1" si="14"/>
        <v>-10.050000000000001</v>
      </c>
      <c r="M61" s="14">
        <f t="shared" ca="1" si="14"/>
        <v>-10.47</v>
      </c>
      <c r="N61" s="14">
        <f t="shared" ca="1" si="14"/>
        <v>-10.92</v>
      </c>
      <c r="O61" s="14">
        <f t="shared" ca="1" si="14"/>
        <v>-11.37</v>
      </c>
      <c r="P61" s="14">
        <f t="shared" ca="1" si="14"/>
        <v>-11.81</v>
      </c>
      <c r="Q61" s="14">
        <f t="shared" ca="1" si="14"/>
        <v>-12.22</v>
      </c>
      <c r="R61" s="14">
        <f t="shared" ca="1" si="14"/>
        <v>0</v>
      </c>
      <c r="S61" s="14">
        <f t="shared" ca="1" si="14"/>
        <v>0</v>
      </c>
      <c r="T61" s="14">
        <f t="shared" ca="1" si="14"/>
        <v>0</v>
      </c>
      <c r="U61" s="14">
        <f t="shared" ca="1" si="14"/>
        <v>0</v>
      </c>
      <c r="V61" s="14">
        <f t="shared" ca="1" si="14"/>
        <v>0</v>
      </c>
      <c r="W61" s="14">
        <f t="shared" ca="1" si="14"/>
        <v>0</v>
      </c>
      <c r="X61" s="14">
        <f t="shared" ca="1" si="14"/>
        <v>0</v>
      </c>
      <c r="Y61" s="14">
        <f t="shared" ca="1" si="14"/>
        <v>0</v>
      </c>
      <c r="Z61" s="14">
        <f t="shared" ca="1" si="14"/>
        <v>0</v>
      </c>
      <c r="AA61" s="14">
        <f t="shared" ca="1" si="14"/>
        <v>0</v>
      </c>
      <c r="AB61" s="14">
        <f t="shared" ca="1" si="14"/>
        <v>0</v>
      </c>
      <c r="AC61" s="14">
        <f t="shared" ca="1" si="14"/>
        <v>0</v>
      </c>
      <c r="AD61" s="14">
        <f t="shared" ca="1" si="14"/>
        <v>0</v>
      </c>
      <c r="AE61" s="14">
        <f t="shared" ca="1" si="14"/>
        <v>0</v>
      </c>
      <c r="AF61" s="14">
        <f t="shared" ca="1" si="14"/>
        <v>0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customHeight="1" outlineLevel="1" thickBot="1" x14ac:dyDescent="0.4">
      <c r="A62" s="5">
        <f t="shared" si="15"/>
        <v>0</v>
      </c>
      <c r="B62" s="5">
        <f t="shared" si="15"/>
        <v>0</v>
      </c>
      <c r="C62" s="5">
        <f t="shared" si="15"/>
        <v>1</v>
      </c>
      <c r="D62" s="5">
        <f t="shared" si="15"/>
        <v>0</v>
      </c>
      <c r="E62" s="6" t="str">
        <f t="shared" si="15"/>
        <v>H (Ge)</v>
      </c>
      <c r="F62" s="14">
        <f t="shared" ca="1" si="16"/>
        <v>7.5119999999999996</v>
      </c>
      <c r="G62" s="14">
        <f t="shared" ca="1" si="14"/>
        <v>4.4539999999999997</v>
      </c>
      <c r="H62" s="14">
        <f t="shared" ca="1" si="14"/>
        <v>2.2879999999999998</v>
      </c>
      <c r="I62" s="14">
        <f t="shared" ca="1" si="14"/>
        <v>0.65210000000000001</v>
      </c>
      <c r="J62" s="14">
        <f t="shared" ca="1" si="14"/>
        <v>-0.63829999999999998</v>
      </c>
      <c r="K62" s="14">
        <f t="shared" ca="1" si="14"/>
        <v>-1.6890000000000001</v>
      </c>
      <c r="L62" s="14">
        <f t="shared" ca="1" si="14"/>
        <v>-2.5640000000000001</v>
      </c>
      <c r="M62" s="14">
        <f t="shared" ca="1" si="14"/>
        <v>-3.3050000000000002</v>
      </c>
      <c r="N62" s="14">
        <f t="shared" ca="1" si="14"/>
        <v>-3.9390000000000001</v>
      </c>
      <c r="O62" s="14">
        <f t="shared" ca="1" si="14"/>
        <v>-4.4790000000000001</v>
      </c>
      <c r="P62" s="14">
        <f t="shared" ca="1" si="14"/>
        <v>-4.9219999999999997</v>
      </c>
      <c r="Q62" s="14">
        <f t="shared" ca="1" si="14"/>
        <v>-5.2549999999999999</v>
      </c>
      <c r="R62" s="14">
        <f t="shared" ca="1" si="14"/>
        <v>0</v>
      </c>
      <c r="S62" s="14">
        <f t="shared" ca="1" si="14"/>
        <v>0</v>
      </c>
      <c r="T62" s="14">
        <f t="shared" ca="1" si="14"/>
        <v>0</v>
      </c>
      <c r="U62" s="14">
        <f t="shared" ca="1" si="14"/>
        <v>0</v>
      </c>
      <c r="V62" s="14">
        <f t="shared" ca="1" si="14"/>
        <v>0</v>
      </c>
      <c r="W62" s="14">
        <f t="shared" ca="1" si="14"/>
        <v>0</v>
      </c>
      <c r="X62" s="14">
        <f t="shared" ca="1" si="14"/>
        <v>0</v>
      </c>
      <c r="Y62" s="14">
        <f t="shared" ca="1" si="14"/>
        <v>0</v>
      </c>
      <c r="Z62" s="14">
        <f t="shared" ca="1" si="14"/>
        <v>0</v>
      </c>
      <c r="AA62" s="14">
        <f t="shared" ca="1" si="14"/>
        <v>0</v>
      </c>
      <c r="AB62" s="14">
        <f t="shared" ca="1" si="14"/>
        <v>0</v>
      </c>
      <c r="AC62" s="14">
        <f t="shared" ca="1" si="14"/>
        <v>0</v>
      </c>
      <c r="AD62" s="14">
        <f t="shared" ca="1" si="14"/>
        <v>0</v>
      </c>
      <c r="AE62" s="14">
        <f t="shared" ca="1" si="14"/>
        <v>0</v>
      </c>
      <c r="AF62" s="14">
        <f t="shared" ca="1" si="14"/>
        <v>0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customHeight="1" outlineLevel="1" thickBot="1" x14ac:dyDescent="0.4">
      <c r="A63" s="5">
        <f t="shared" si="15"/>
        <v>0</v>
      </c>
      <c r="B63" s="5">
        <f t="shared" si="15"/>
        <v>1</v>
      </c>
      <c r="C63" s="5">
        <f t="shared" si="15"/>
        <v>0</v>
      </c>
      <c r="D63" s="5">
        <f t="shared" si="15"/>
        <v>0</v>
      </c>
      <c r="E63" s="6" t="str">
        <f t="shared" si="15"/>
        <v>H (Se)</v>
      </c>
      <c r="F63" s="14">
        <f t="shared" ca="1" si="16"/>
        <v>-4.7</v>
      </c>
      <c r="G63" s="14">
        <f t="shared" ref="G63:AL71" ca="1" si="18">$A63*H.Ar + $B63*H.Se + $C63*H.Ge + $D63*H.Ga</f>
        <v>-5.0519999999999996</v>
      </c>
      <c r="H63" s="14">
        <f t="shared" ca="1" si="18"/>
        <v>-5.4409999999999998</v>
      </c>
      <c r="I63" s="14">
        <f t="shared" ca="1" si="18"/>
        <v>-5.8239999999999998</v>
      </c>
      <c r="J63" s="14">
        <f t="shared" ca="1" si="18"/>
        <v>-6.1890000000000001</v>
      </c>
      <c r="K63" s="14">
        <f t="shared" ca="1" si="18"/>
        <v>-6.53</v>
      </c>
      <c r="L63" s="14">
        <f t="shared" ca="1" si="18"/>
        <v>-6.8470000000000004</v>
      </c>
      <c r="M63" s="14">
        <f t="shared" ca="1" si="18"/>
        <v>-7.1420000000000003</v>
      </c>
      <c r="N63" s="14">
        <f t="shared" ca="1" si="18"/>
        <v>-7.42</v>
      </c>
      <c r="O63" s="14">
        <f t="shared" ca="1" si="18"/>
        <v>-7.6909999999999998</v>
      </c>
      <c r="P63" s="14">
        <f t="shared" ca="1" si="18"/>
        <v>-7.9740000000000002</v>
      </c>
      <c r="Q63" s="14">
        <f t="shared" ca="1" si="18"/>
        <v>-8.298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customHeight="1" outlineLevel="1" x14ac:dyDescent="0.35">
      <c r="U76" s="55"/>
      <c r="V76" s="55"/>
      <c r="W76" s="55"/>
    </row>
    <row r="77" spans="1:54" ht="21" customHeight="1" x14ac:dyDescent="0.35">
      <c r="U77" s="55"/>
      <c r="V77" s="55"/>
      <c r="W77" s="55"/>
    </row>
    <row r="78" spans="1:54" ht="21" customHeight="1" thickBot="1" x14ac:dyDescent="0.45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3">E45</f>
        <v>0</v>
      </c>
      <c r="F79" s="3">
        <f t="shared" ref="F79:AL79" si="24">F3</f>
        <v>273</v>
      </c>
      <c r="G79" s="3">
        <f t="shared" si="24"/>
        <v>339.2</v>
      </c>
      <c r="H79" s="3">
        <f t="shared" si="24"/>
        <v>405.3</v>
      </c>
      <c r="I79" s="3">
        <f t="shared" si="24"/>
        <v>471.4</v>
      </c>
      <c r="J79" s="3">
        <f t="shared" si="24"/>
        <v>537.5</v>
      </c>
      <c r="K79" s="3">
        <f t="shared" si="24"/>
        <v>603.5</v>
      </c>
      <c r="L79" s="3">
        <f t="shared" si="24"/>
        <v>669.6</v>
      </c>
      <c r="M79" s="3">
        <f t="shared" si="24"/>
        <v>735.7</v>
      </c>
      <c r="N79" s="3">
        <f t="shared" si="24"/>
        <v>801.8</v>
      </c>
      <c r="O79" s="3">
        <f t="shared" si="24"/>
        <v>867.8</v>
      </c>
      <c r="P79" s="3">
        <f t="shared" si="24"/>
        <v>933.9</v>
      </c>
      <c r="Q79" s="3">
        <f t="shared" si="24"/>
        <v>1000</v>
      </c>
      <c r="R79" s="3">
        <f t="shared" si="24"/>
        <v>0</v>
      </c>
      <c r="S79" s="3">
        <f t="shared" si="24"/>
        <v>0</v>
      </c>
      <c r="T79" s="3">
        <f t="shared" si="24"/>
        <v>0</v>
      </c>
      <c r="U79" s="3">
        <f t="shared" si="24"/>
        <v>0</v>
      </c>
      <c r="V79" s="3">
        <f t="shared" si="24"/>
        <v>0</v>
      </c>
      <c r="W79" s="3">
        <f t="shared" si="24"/>
        <v>0</v>
      </c>
      <c r="X79" s="3">
        <f t="shared" si="24"/>
        <v>0</v>
      </c>
      <c r="Y79" s="3">
        <f t="shared" si="24"/>
        <v>0</v>
      </c>
      <c r="Z79" s="3">
        <f t="shared" si="24"/>
        <v>0</v>
      </c>
      <c r="AA79" s="3">
        <f t="shared" si="24"/>
        <v>0</v>
      </c>
      <c r="AB79" s="3">
        <f t="shared" si="24"/>
        <v>0</v>
      </c>
      <c r="AC79" s="3">
        <f t="shared" si="24"/>
        <v>0</v>
      </c>
      <c r="AD79" s="3">
        <f t="shared" si="24"/>
        <v>0</v>
      </c>
      <c r="AE79" s="3">
        <f t="shared" si="24"/>
        <v>0</v>
      </c>
      <c r="AF79" s="3">
        <f t="shared" si="24"/>
        <v>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customHeight="1" outlineLevel="1" thickTop="1" thickBot="1" x14ac:dyDescent="0.4">
      <c r="A80" s="5">
        <f>A46</f>
        <v>0</v>
      </c>
      <c r="B80" s="5">
        <f t="shared" ref="B80:D80" si="25">B46</f>
        <v>1</v>
      </c>
      <c r="C80" s="5">
        <f t="shared" si="25"/>
        <v>0</v>
      </c>
      <c r="D80" s="5">
        <f t="shared" si="25"/>
        <v>0</v>
      </c>
      <c r="E80" s="6" t="str">
        <f t="shared" si="23"/>
        <v>*Se[l]</v>
      </c>
      <c r="F80" s="14">
        <f t="shared" ref="F80:AL80" si="26">F4*$C$78</f>
        <v>8.1367857142857138E-8</v>
      </c>
      <c r="G80" s="14">
        <f t="shared" si="26"/>
        <v>8.2885714285714272E-8</v>
      </c>
      <c r="H80" s="14">
        <f t="shared" si="26"/>
        <v>1.1011071428571428E-7</v>
      </c>
      <c r="I80" s="14">
        <f t="shared" si="26"/>
        <v>7.0949999999999997E-8</v>
      </c>
      <c r="J80" s="14">
        <f t="shared" si="26"/>
        <v>7.2474999999999992E-8</v>
      </c>
      <c r="K80" s="14">
        <f t="shared" si="26"/>
        <v>7.6910714285714286E-8</v>
      </c>
      <c r="L80" s="14">
        <f t="shared" si="26"/>
        <v>8.4778571428571421E-8</v>
      </c>
      <c r="M80" s="14">
        <f t="shared" si="26"/>
        <v>9.6342857142857138E-8</v>
      </c>
      <c r="N80" s="14">
        <f t="shared" si="26"/>
        <v>9.4349999999999995E-8</v>
      </c>
      <c r="O80" s="14">
        <f t="shared" si="26"/>
        <v>9.6514285714285707E-8</v>
      </c>
      <c r="P80" s="14">
        <f t="shared" si="26"/>
        <v>7.1578571428571421E-8</v>
      </c>
      <c r="Q80" s="14">
        <f t="shared" si="26"/>
        <v>4.7067857142857142E-8</v>
      </c>
      <c r="R80" s="14">
        <f t="shared" si="26"/>
        <v>0</v>
      </c>
      <c r="S80" s="14">
        <f t="shared" si="26"/>
        <v>0</v>
      </c>
      <c r="T80" s="14">
        <f t="shared" si="26"/>
        <v>0</v>
      </c>
      <c r="U80" s="14">
        <f t="shared" si="26"/>
        <v>0</v>
      </c>
      <c r="V80" s="14">
        <f t="shared" si="26"/>
        <v>0</v>
      </c>
      <c r="W80" s="14">
        <f t="shared" si="26"/>
        <v>0</v>
      </c>
      <c r="X80" s="14">
        <f t="shared" si="26"/>
        <v>0</v>
      </c>
      <c r="Y80" s="14">
        <f t="shared" si="26"/>
        <v>0</v>
      </c>
      <c r="Z80" s="14">
        <f t="shared" si="26"/>
        <v>0</v>
      </c>
      <c r="AA80" s="14">
        <f t="shared" si="26"/>
        <v>0</v>
      </c>
      <c r="AB80" s="14">
        <f t="shared" si="26"/>
        <v>0</v>
      </c>
      <c r="AC80" s="14">
        <f t="shared" si="26"/>
        <v>0</v>
      </c>
      <c r="AD80" s="14">
        <f t="shared" si="26"/>
        <v>0</v>
      </c>
      <c r="AE80" s="14">
        <f t="shared" si="26"/>
        <v>0</v>
      </c>
      <c r="AF80" s="14">
        <f t="shared" si="26"/>
        <v>0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customHeight="1" outlineLevel="1" thickBot="1" x14ac:dyDescent="0.4">
      <c r="A81" s="5">
        <f t="shared" ref="A81:D96" si="27">A47</f>
        <v>0</v>
      </c>
      <c r="B81" s="5">
        <f t="shared" si="27"/>
        <v>3</v>
      </c>
      <c r="C81" s="5">
        <f t="shared" si="27"/>
        <v>0</v>
      </c>
      <c r="D81" s="5">
        <f t="shared" si="27"/>
        <v>0</v>
      </c>
      <c r="E81" s="6" t="str">
        <f t="shared" si="23"/>
        <v>Se3</v>
      </c>
      <c r="F81" s="14">
        <f t="shared" ref="F81:AL81" si="28">F5*$C$78</f>
        <v>9.74E-25</v>
      </c>
      <c r="G81" s="14">
        <f t="shared" si="28"/>
        <v>1.4744642857142855E-18</v>
      </c>
      <c r="H81" s="14">
        <f t="shared" si="28"/>
        <v>1.6925357142857141E-14</v>
      </c>
      <c r="I81" s="14">
        <f t="shared" si="28"/>
        <v>1.2076428571428571E-11</v>
      </c>
      <c r="J81" s="14">
        <f t="shared" si="28"/>
        <v>1.5380714285714285E-9</v>
      </c>
      <c r="K81" s="14">
        <f t="shared" si="28"/>
        <v>6.291428571428571E-8</v>
      </c>
      <c r="L81" s="14">
        <f t="shared" si="28"/>
        <v>1.1780357142857143E-6</v>
      </c>
      <c r="M81" s="14">
        <f t="shared" si="28"/>
        <v>1.2595714285714285E-5</v>
      </c>
      <c r="N81" s="14">
        <f t="shared" si="28"/>
        <v>8.8121428571428568E-5</v>
      </c>
      <c r="O81" s="14">
        <f t="shared" si="28"/>
        <v>4.395E-4</v>
      </c>
      <c r="P81" s="14">
        <f t="shared" si="28"/>
        <v>1.6376785714285714E-3</v>
      </c>
      <c r="Q81" s="14">
        <f t="shared" si="28"/>
        <v>4.4774999999999997E-3</v>
      </c>
      <c r="R81" s="14">
        <f t="shared" si="28"/>
        <v>0</v>
      </c>
      <c r="S81" s="14">
        <f t="shared" si="28"/>
        <v>0</v>
      </c>
      <c r="T81" s="14">
        <f t="shared" si="28"/>
        <v>0</v>
      </c>
      <c r="U81" s="14">
        <f t="shared" si="28"/>
        <v>0</v>
      </c>
      <c r="V81" s="14">
        <f t="shared" si="28"/>
        <v>0</v>
      </c>
      <c r="W81" s="14">
        <f t="shared" si="28"/>
        <v>0</v>
      </c>
      <c r="X81" s="14">
        <f t="shared" si="28"/>
        <v>0</v>
      </c>
      <c r="Y81" s="14">
        <f t="shared" si="28"/>
        <v>0</v>
      </c>
      <c r="Z81" s="14">
        <f t="shared" si="28"/>
        <v>0</v>
      </c>
      <c r="AA81" s="14">
        <f t="shared" si="28"/>
        <v>0</v>
      </c>
      <c r="AB81" s="14">
        <f t="shared" si="28"/>
        <v>0</v>
      </c>
      <c r="AC81" s="14">
        <f t="shared" si="28"/>
        <v>0</v>
      </c>
      <c r="AD81" s="14">
        <f t="shared" si="28"/>
        <v>0</v>
      </c>
      <c r="AE81" s="14">
        <f t="shared" si="28"/>
        <v>0</v>
      </c>
      <c r="AF81" s="14">
        <f t="shared" si="28"/>
        <v>0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customHeight="1" outlineLevel="1" thickBot="1" x14ac:dyDescent="0.4">
      <c r="A82" s="5">
        <f t="shared" si="27"/>
        <v>0</v>
      </c>
      <c r="B82" s="5">
        <f t="shared" si="27"/>
        <v>4</v>
      </c>
      <c r="C82" s="5">
        <f t="shared" si="27"/>
        <v>0</v>
      </c>
      <c r="D82" s="5">
        <f t="shared" si="27"/>
        <v>0</v>
      </c>
      <c r="E82" s="6" t="str">
        <f t="shared" si="23"/>
        <v>Se4</v>
      </c>
      <c r="F82" s="14">
        <f t="shared" ref="F82:AL82" si="29">F6*$C$78</f>
        <v>1.0235357142857143E-22</v>
      </c>
      <c r="G82" s="14">
        <f t="shared" si="29"/>
        <v>3.8624999999999999E-17</v>
      </c>
      <c r="H82" s="14">
        <f t="shared" si="29"/>
        <v>1.6313571428571429E-13</v>
      </c>
      <c r="I82" s="14">
        <f t="shared" si="29"/>
        <v>5.449642857142856E-11</v>
      </c>
      <c r="J82" s="14">
        <f t="shared" si="29"/>
        <v>3.8167857142857143E-9</v>
      </c>
      <c r="K82" s="14">
        <f t="shared" si="29"/>
        <v>9.6182142857142861E-8</v>
      </c>
      <c r="L82" s="14">
        <f t="shared" si="29"/>
        <v>1.2068571428571427E-6</v>
      </c>
      <c r="M82" s="14">
        <f t="shared" si="29"/>
        <v>9.2125000000000003E-6</v>
      </c>
      <c r="N82" s="14">
        <f t="shared" si="29"/>
        <v>4.8149999999999998E-5</v>
      </c>
      <c r="O82" s="14">
        <f t="shared" si="29"/>
        <v>1.8433571428571425E-4</v>
      </c>
      <c r="P82" s="14">
        <f t="shared" si="29"/>
        <v>5.2932142857142848E-4</v>
      </c>
      <c r="Q82" s="14">
        <f t="shared" si="29"/>
        <v>1.0811785714285715E-3</v>
      </c>
      <c r="R82" s="14">
        <f t="shared" si="29"/>
        <v>0</v>
      </c>
      <c r="S82" s="14">
        <f t="shared" si="29"/>
        <v>0</v>
      </c>
      <c r="T82" s="14">
        <f t="shared" si="29"/>
        <v>0</v>
      </c>
      <c r="U82" s="14">
        <f t="shared" si="29"/>
        <v>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customHeight="1" outlineLevel="1" thickBot="1" x14ac:dyDescent="0.4">
      <c r="A83" s="5">
        <f t="shared" si="27"/>
        <v>0</v>
      </c>
      <c r="B83" s="5">
        <f t="shared" si="27"/>
        <v>5</v>
      </c>
      <c r="C83" s="5">
        <f t="shared" si="27"/>
        <v>0</v>
      </c>
      <c r="D83" s="5">
        <f t="shared" si="27"/>
        <v>0</v>
      </c>
      <c r="E83" s="6" t="str">
        <f t="shared" si="23"/>
        <v>Se5</v>
      </c>
      <c r="F83" s="14">
        <f t="shared" ref="F83:AL83" si="30">F7*$C$78</f>
        <v>2.9511785714285716E-19</v>
      </c>
      <c r="G83" s="14">
        <f t="shared" si="30"/>
        <v>3.6439285714285709E-14</v>
      </c>
      <c r="H83" s="14">
        <f t="shared" si="30"/>
        <v>6.8728571428571426E-11</v>
      </c>
      <c r="I83" s="14">
        <f t="shared" si="30"/>
        <v>1.2425357142857142E-8</v>
      </c>
      <c r="J83" s="14">
        <f t="shared" si="30"/>
        <v>5.3542857142857144E-7</v>
      </c>
      <c r="K83" s="14">
        <f t="shared" si="30"/>
        <v>9.0921428571428552E-6</v>
      </c>
      <c r="L83" s="14">
        <f t="shared" si="30"/>
        <v>8.2257142857142845E-5</v>
      </c>
      <c r="M83" s="14">
        <f t="shared" si="30"/>
        <v>4.7639285714285709E-4</v>
      </c>
      <c r="N83" s="14">
        <f t="shared" si="30"/>
        <v>1.9582499999999999E-3</v>
      </c>
      <c r="O83" s="14">
        <f t="shared" si="30"/>
        <v>6.013571428571428E-3</v>
      </c>
      <c r="P83" s="14">
        <f t="shared" si="30"/>
        <v>1.382392857142857E-2</v>
      </c>
      <c r="Q83" s="14">
        <f t="shared" si="30"/>
        <v>2.1806071428571428E-2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0</v>
      </c>
      <c r="V83" s="14">
        <f t="shared" si="30"/>
        <v>0</v>
      </c>
      <c r="W83" s="14">
        <f t="shared" si="30"/>
        <v>0</v>
      </c>
      <c r="X83" s="14">
        <f t="shared" si="30"/>
        <v>0</v>
      </c>
      <c r="Y83" s="14">
        <f t="shared" si="30"/>
        <v>0</v>
      </c>
      <c r="Z83" s="14">
        <f t="shared" si="30"/>
        <v>0</v>
      </c>
      <c r="AA83" s="14">
        <f t="shared" si="30"/>
        <v>0</v>
      </c>
      <c r="AB83" s="14">
        <f t="shared" si="30"/>
        <v>0</v>
      </c>
      <c r="AC83" s="14">
        <f t="shared" si="30"/>
        <v>0</v>
      </c>
      <c r="AD83" s="14">
        <f t="shared" si="30"/>
        <v>0</v>
      </c>
      <c r="AE83" s="14">
        <f t="shared" si="30"/>
        <v>0</v>
      </c>
      <c r="AF83" s="14">
        <f t="shared" si="30"/>
        <v>0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customHeight="1" outlineLevel="1" thickBot="1" x14ac:dyDescent="0.4">
      <c r="A84" s="5">
        <f t="shared" si="27"/>
        <v>0</v>
      </c>
      <c r="B84" s="5">
        <f t="shared" si="27"/>
        <v>6</v>
      </c>
      <c r="C84" s="5">
        <f t="shared" si="27"/>
        <v>0</v>
      </c>
      <c r="D84" s="5">
        <f t="shared" si="27"/>
        <v>0</v>
      </c>
      <c r="E84" s="6" t="str">
        <f t="shared" si="23"/>
        <v>Se6</v>
      </c>
      <c r="F84" s="14">
        <f t="shared" ref="F84:AL84" si="31">F8*$C$78</f>
        <v>1.1316071428571428E-16</v>
      </c>
      <c r="G84" s="14">
        <f t="shared" si="31"/>
        <v>2.0123214285714283E-12</v>
      </c>
      <c r="H84" s="14">
        <f t="shared" si="31"/>
        <v>9.7053571428571432E-10</v>
      </c>
      <c r="I84" s="14">
        <f t="shared" si="31"/>
        <v>6.3417857142857139E-8</v>
      </c>
      <c r="J84" s="14">
        <f t="shared" si="31"/>
        <v>1.2384642857142855E-6</v>
      </c>
      <c r="K84" s="14">
        <f t="shared" si="31"/>
        <v>1.1151785714285715E-5</v>
      </c>
      <c r="L84" s="14">
        <f t="shared" si="31"/>
        <v>5.9985714285714278E-5</v>
      </c>
      <c r="M84" s="14">
        <f t="shared" si="31"/>
        <v>2.2493571428571426E-4</v>
      </c>
      <c r="N84" s="14">
        <f t="shared" si="31"/>
        <v>6.3682142857142854E-4</v>
      </c>
      <c r="O84" s="14">
        <f t="shared" si="31"/>
        <v>1.4014999999999998E-3</v>
      </c>
      <c r="P84" s="14">
        <f t="shared" si="31"/>
        <v>2.3409999999999998E-3</v>
      </c>
      <c r="Q84" s="14">
        <f t="shared" si="31"/>
        <v>2.6217857142857141E-3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0</v>
      </c>
      <c r="V84" s="14">
        <f t="shared" si="31"/>
        <v>0</v>
      </c>
      <c r="W84" s="14">
        <f t="shared" si="31"/>
        <v>0</v>
      </c>
      <c r="X84" s="14">
        <f t="shared" si="31"/>
        <v>0</v>
      </c>
      <c r="Y84" s="14">
        <f t="shared" si="31"/>
        <v>0</v>
      </c>
      <c r="Z84" s="14">
        <f t="shared" si="31"/>
        <v>0</v>
      </c>
      <c r="AA84" s="14">
        <f t="shared" si="31"/>
        <v>0</v>
      </c>
      <c r="AB84" s="14">
        <f t="shared" si="31"/>
        <v>0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customHeight="1" outlineLevel="1" thickBot="1" x14ac:dyDescent="0.4">
      <c r="A85" s="5">
        <f t="shared" si="27"/>
        <v>0</v>
      </c>
      <c r="B85" s="5">
        <f t="shared" si="27"/>
        <v>7</v>
      </c>
      <c r="C85" s="5">
        <f t="shared" si="27"/>
        <v>0</v>
      </c>
      <c r="D85" s="5">
        <f t="shared" si="27"/>
        <v>0</v>
      </c>
      <c r="E85" s="6" t="str">
        <f t="shared" si="23"/>
        <v>Se7</v>
      </c>
      <c r="F85" s="14">
        <f t="shared" ref="F85:AL85" si="32">F9*$C$78</f>
        <v>9.6971428571428564E-18</v>
      </c>
      <c r="G85" s="14">
        <f t="shared" si="32"/>
        <v>3.0166428571428574E-13</v>
      </c>
      <c r="H85" s="14">
        <f t="shared" si="32"/>
        <v>1.9968571428571429E-10</v>
      </c>
      <c r="I85" s="14">
        <f t="shared" si="32"/>
        <v>1.5783214285714287E-8</v>
      </c>
      <c r="J85" s="14">
        <f t="shared" si="32"/>
        <v>3.4707857142857142E-7</v>
      </c>
      <c r="K85" s="14">
        <f t="shared" si="32"/>
        <v>3.3722142857142857E-6</v>
      </c>
      <c r="L85" s="14">
        <f t="shared" si="32"/>
        <v>1.9068214285714286E-5</v>
      </c>
      <c r="M85" s="14">
        <f t="shared" si="32"/>
        <v>7.3874999999999993E-5</v>
      </c>
      <c r="N85" s="14">
        <f t="shared" si="32"/>
        <v>2.1278214285714285E-4</v>
      </c>
      <c r="O85" s="14">
        <f t="shared" si="32"/>
        <v>4.6710714285714286E-4</v>
      </c>
      <c r="P85" s="14">
        <f t="shared" si="32"/>
        <v>7.5303571428571422E-4</v>
      </c>
      <c r="Q85" s="14">
        <f t="shared" si="32"/>
        <v>7.6592857142857137E-4</v>
      </c>
      <c r="R85" s="14">
        <f t="shared" si="32"/>
        <v>0</v>
      </c>
      <c r="S85" s="14">
        <f t="shared" si="32"/>
        <v>0</v>
      </c>
      <c r="T85" s="14">
        <f t="shared" si="32"/>
        <v>0</v>
      </c>
      <c r="U85" s="14">
        <f t="shared" si="32"/>
        <v>0</v>
      </c>
      <c r="V85" s="14">
        <f t="shared" si="32"/>
        <v>0</v>
      </c>
      <c r="W85" s="14">
        <f t="shared" si="32"/>
        <v>0</v>
      </c>
      <c r="X85" s="14">
        <f t="shared" si="32"/>
        <v>0</v>
      </c>
      <c r="Y85" s="14">
        <f t="shared" si="32"/>
        <v>0</v>
      </c>
      <c r="Z85" s="14">
        <f t="shared" si="32"/>
        <v>0</v>
      </c>
      <c r="AA85" s="14">
        <f t="shared" si="32"/>
        <v>0</v>
      </c>
      <c r="AB85" s="14">
        <f t="shared" si="32"/>
        <v>0</v>
      </c>
      <c r="AC85" s="14">
        <f t="shared" si="32"/>
        <v>0</v>
      </c>
      <c r="AD85" s="14">
        <f t="shared" si="32"/>
        <v>0</v>
      </c>
      <c r="AE85" s="14">
        <f t="shared" si="32"/>
        <v>0</v>
      </c>
      <c r="AF85" s="14">
        <f t="shared" si="32"/>
        <v>0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customHeight="1" outlineLevel="1" thickBot="1" x14ac:dyDescent="0.4">
      <c r="A86" s="5">
        <f t="shared" si="27"/>
        <v>0</v>
      </c>
      <c r="B86" s="5">
        <f t="shared" si="27"/>
        <v>8</v>
      </c>
      <c r="C86" s="5">
        <f t="shared" si="27"/>
        <v>0</v>
      </c>
      <c r="D86" s="5">
        <f t="shared" si="27"/>
        <v>0</v>
      </c>
      <c r="E86" s="6" t="str">
        <f t="shared" si="23"/>
        <v>Se8</v>
      </c>
      <c r="F86" s="14">
        <f t="shared" ref="F86:AL86" si="33">F10*$C$78</f>
        <v>1.7407499999999998E-19</v>
      </c>
      <c r="G86" s="14">
        <f t="shared" si="33"/>
        <v>8.4707142857142859E-15</v>
      </c>
      <c r="H86" s="14">
        <f t="shared" si="33"/>
        <v>7.1435714285714275E-12</v>
      </c>
      <c r="I86" s="14">
        <f t="shared" si="33"/>
        <v>6.4760714285714282E-10</v>
      </c>
      <c r="J86" s="14">
        <f t="shared" si="33"/>
        <v>1.5410357142857141E-8</v>
      </c>
      <c r="K86" s="14">
        <f t="shared" si="33"/>
        <v>1.5663571428571427E-7</v>
      </c>
      <c r="L86" s="14">
        <f t="shared" si="33"/>
        <v>9.0828571428571428E-7</v>
      </c>
      <c r="M86" s="14">
        <f t="shared" si="33"/>
        <v>3.5627142857142854E-6</v>
      </c>
      <c r="N86" s="14">
        <f t="shared" si="33"/>
        <v>1.0265714285714285E-5</v>
      </c>
      <c r="O86" s="14">
        <f t="shared" si="33"/>
        <v>2.2162142857142855E-5</v>
      </c>
      <c r="P86" s="14">
        <f t="shared" si="33"/>
        <v>3.4059999999999996E-5</v>
      </c>
      <c r="Q86" s="14">
        <f t="shared" si="33"/>
        <v>3.1131428571428567E-5</v>
      </c>
      <c r="R86" s="14">
        <f t="shared" si="33"/>
        <v>0</v>
      </c>
      <c r="S86" s="14">
        <f t="shared" si="33"/>
        <v>0</v>
      </c>
      <c r="T86" s="14">
        <f t="shared" si="33"/>
        <v>0</v>
      </c>
      <c r="U86" s="14">
        <f t="shared" si="33"/>
        <v>0</v>
      </c>
      <c r="V86" s="14">
        <f t="shared" si="33"/>
        <v>0</v>
      </c>
      <c r="W86" s="14">
        <f t="shared" si="33"/>
        <v>0</v>
      </c>
      <c r="X86" s="14">
        <f t="shared" si="33"/>
        <v>0</v>
      </c>
      <c r="Y86" s="14">
        <f t="shared" si="33"/>
        <v>0</v>
      </c>
      <c r="Z86" s="14">
        <f t="shared" si="33"/>
        <v>0</v>
      </c>
      <c r="AA86" s="14">
        <f t="shared" si="33"/>
        <v>0</v>
      </c>
      <c r="AB86" s="14">
        <f t="shared" si="33"/>
        <v>0</v>
      </c>
      <c r="AC86" s="14">
        <f t="shared" si="33"/>
        <v>0</v>
      </c>
      <c r="AD86" s="14">
        <f t="shared" si="33"/>
        <v>0</v>
      </c>
      <c r="AE86" s="14">
        <f t="shared" si="33"/>
        <v>0</v>
      </c>
      <c r="AF86" s="14">
        <f t="shared" si="33"/>
        <v>0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customHeight="1" outlineLevel="1" thickBot="1" x14ac:dyDescent="0.4">
      <c r="A87" s="5">
        <f t="shared" si="27"/>
        <v>0</v>
      </c>
      <c r="B87" s="5">
        <f t="shared" si="27"/>
        <v>2</v>
      </c>
      <c r="C87" s="5">
        <f t="shared" si="27"/>
        <v>0</v>
      </c>
      <c r="D87" s="5">
        <f t="shared" si="27"/>
        <v>0</v>
      </c>
      <c r="E87" s="6" t="str">
        <f t="shared" si="23"/>
        <v>Se2</v>
      </c>
      <c r="F87" s="14">
        <f t="shared" ref="F87:AL87" si="34">F11*$C$78</f>
        <v>1.3577142857142856E-19</v>
      </c>
      <c r="G87" s="14">
        <f t="shared" si="34"/>
        <v>1.6035357142857141E-14</v>
      </c>
      <c r="H87" s="14">
        <f t="shared" si="34"/>
        <v>3.643928571428571E-11</v>
      </c>
      <c r="I87" s="14">
        <f t="shared" si="34"/>
        <v>8.6371428571428567E-9</v>
      </c>
      <c r="J87" s="14">
        <f t="shared" si="34"/>
        <v>5.0003571428571421E-7</v>
      </c>
      <c r="K87" s="14">
        <f t="shared" si="34"/>
        <v>1.1381428571428571E-5</v>
      </c>
      <c r="L87" s="14">
        <f t="shared" si="34"/>
        <v>1.3591428571428573E-4</v>
      </c>
      <c r="M87" s="14">
        <f t="shared" si="34"/>
        <v>1.0207857142857143E-3</v>
      </c>
      <c r="N87" s="14">
        <f t="shared" si="34"/>
        <v>5.401785714285714E-3</v>
      </c>
      <c r="O87" s="14">
        <f t="shared" si="34"/>
        <v>2.1734999999999997E-2</v>
      </c>
      <c r="P87" s="14">
        <f t="shared" si="34"/>
        <v>6.9921428571428579E-2</v>
      </c>
      <c r="Q87" s="14">
        <f t="shared" si="34"/>
        <v>0.18028571428571427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customHeight="1" outlineLevel="1" thickBot="1" x14ac:dyDescent="0.4">
      <c r="A88" s="5">
        <f t="shared" si="27"/>
        <v>0</v>
      </c>
      <c r="B88" s="5">
        <f t="shared" si="27"/>
        <v>1</v>
      </c>
      <c r="C88" s="5">
        <f t="shared" si="27"/>
        <v>0</v>
      </c>
      <c r="D88" s="5">
        <f t="shared" si="27"/>
        <v>0</v>
      </c>
      <c r="E88" s="6" t="str">
        <f t="shared" si="23"/>
        <v>Se</v>
      </c>
      <c r="F88" s="14">
        <f t="shared" ref="F88:AL88" si="35">F12*$C$78</f>
        <v>0</v>
      </c>
      <c r="G88" s="14">
        <f t="shared" si="35"/>
        <v>2.0387142857142855E-30</v>
      </c>
      <c r="H88" s="14">
        <f t="shared" si="35"/>
        <v>1.389392857142857E-24</v>
      </c>
      <c r="I88" s="14">
        <f t="shared" si="35"/>
        <v>2.0933571428571427E-20</v>
      </c>
      <c r="J88" s="14">
        <f t="shared" si="35"/>
        <v>2.8723928571428567E-17</v>
      </c>
      <c r="K88" s="14">
        <f t="shared" si="35"/>
        <v>7.9496428571428576E-15</v>
      </c>
      <c r="L88" s="14">
        <f t="shared" si="35"/>
        <v>7.1889285714285707E-13</v>
      </c>
      <c r="M88" s="14">
        <f t="shared" si="35"/>
        <v>2.8879285714285712E-11</v>
      </c>
      <c r="N88" s="14">
        <f t="shared" si="35"/>
        <v>6.3064285714285708E-10</v>
      </c>
      <c r="O88" s="14">
        <f t="shared" si="35"/>
        <v>8.6378571428571425E-9</v>
      </c>
      <c r="P88" s="14">
        <f t="shared" si="35"/>
        <v>8.2703571428571423E-8</v>
      </c>
      <c r="Q88" s="14">
        <f t="shared" si="35"/>
        <v>5.8960714285714282E-7</v>
      </c>
      <c r="R88" s="14">
        <f t="shared" si="35"/>
        <v>0</v>
      </c>
      <c r="S88" s="14">
        <f t="shared" si="35"/>
        <v>0</v>
      </c>
      <c r="T88" s="14">
        <f t="shared" si="35"/>
        <v>0</v>
      </c>
      <c r="U88" s="14">
        <f t="shared" si="35"/>
        <v>0</v>
      </c>
      <c r="V88" s="14">
        <f t="shared" si="35"/>
        <v>0</v>
      </c>
      <c r="W88" s="14">
        <f t="shared" si="35"/>
        <v>0</v>
      </c>
      <c r="X88" s="14">
        <f t="shared" si="35"/>
        <v>0</v>
      </c>
      <c r="Y88" s="14">
        <f t="shared" si="35"/>
        <v>0</v>
      </c>
      <c r="Z88" s="14">
        <f t="shared" si="35"/>
        <v>0</v>
      </c>
      <c r="AA88" s="14">
        <f t="shared" si="35"/>
        <v>0</v>
      </c>
      <c r="AB88" s="14">
        <f t="shared" si="35"/>
        <v>0</v>
      </c>
      <c r="AC88" s="14">
        <f t="shared" si="35"/>
        <v>0</v>
      </c>
      <c r="AD88" s="14">
        <f t="shared" si="35"/>
        <v>0</v>
      </c>
      <c r="AE88" s="14">
        <f t="shared" si="35"/>
        <v>0</v>
      </c>
      <c r="AF88" s="14">
        <f t="shared" si="35"/>
        <v>0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customHeight="1" outlineLevel="1" thickBot="1" x14ac:dyDescent="0.4">
      <c r="A89" s="5">
        <f t="shared" si="27"/>
        <v>0</v>
      </c>
      <c r="B89" s="5">
        <f t="shared" si="27"/>
        <v>1</v>
      </c>
      <c r="C89" s="5">
        <f t="shared" si="27"/>
        <v>0</v>
      </c>
      <c r="D89" s="5">
        <f t="shared" si="27"/>
        <v>2</v>
      </c>
      <c r="E89" s="6" t="str">
        <f t="shared" si="23"/>
        <v>Ga2Se</v>
      </c>
      <c r="F89" s="14">
        <f t="shared" ref="F89:AL89" si="36">F13*$C$78</f>
        <v>1.7863571428571426E-11</v>
      </c>
      <c r="G89" s="14">
        <f t="shared" si="36"/>
        <v>1.8471428571428571E-8</v>
      </c>
      <c r="H89" s="14">
        <f t="shared" si="36"/>
        <v>1.7025714285714285E-6</v>
      </c>
      <c r="I89" s="14">
        <f t="shared" si="36"/>
        <v>3.9903571428571427E-5</v>
      </c>
      <c r="J89" s="14">
        <f t="shared" si="36"/>
        <v>3.9832142857142855E-4</v>
      </c>
      <c r="K89" s="14">
        <f t="shared" si="36"/>
        <v>2.1986785714285715E-3</v>
      </c>
      <c r="L89" s="14">
        <f t="shared" si="36"/>
        <v>7.5167857142857146E-3</v>
      </c>
      <c r="M89" s="14">
        <f t="shared" si="36"/>
        <v>1.6889642857142857E-2</v>
      </c>
      <c r="N89" s="14">
        <f t="shared" si="36"/>
        <v>2.7832142857142854E-2</v>
      </c>
      <c r="O89" s="14">
        <f t="shared" si="36"/>
        <v>3.7828571428571427E-2</v>
      </c>
      <c r="P89" s="14">
        <f t="shared" si="36"/>
        <v>4.6353571428571425E-2</v>
      </c>
      <c r="Q89" s="14">
        <f t="shared" si="36"/>
        <v>5.3492857142857141E-2</v>
      </c>
      <c r="R89" s="14">
        <f t="shared" si="36"/>
        <v>0</v>
      </c>
      <c r="S89" s="14">
        <f t="shared" si="36"/>
        <v>0</v>
      </c>
      <c r="T89" s="14">
        <f t="shared" si="36"/>
        <v>0</v>
      </c>
      <c r="U89" s="14">
        <f t="shared" si="36"/>
        <v>0</v>
      </c>
      <c r="V89" s="14">
        <f t="shared" si="36"/>
        <v>0</v>
      </c>
      <c r="W89" s="14">
        <f t="shared" si="36"/>
        <v>0</v>
      </c>
      <c r="X89" s="14">
        <f t="shared" si="36"/>
        <v>0</v>
      </c>
      <c r="Y89" s="14">
        <f t="shared" si="36"/>
        <v>0</v>
      </c>
      <c r="Z89" s="14">
        <f t="shared" si="36"/>
        <v>0</v>
      </c>
      <c r="AA89" s="14">
        <f t="shared" si="36"/>
        <v>0</v>
      </c>
      <c r="AB89" s="14">
        <f t="shared" si="36"/>
        <v>0</v>
      </c>
      <c r="AC89" s="14">
        <f t="shared" si="36"/>
        <v>0</v>
      </c>
      <c r="AD89" s="14">
        <f t="shared" si="36"/>
        <v>0</v>
      </c>
      <c r="AE89" s="14">
        <f t="shared" si="36"/>
        <v>0</v>
      </c>
      <c r="AF89" s="14">
        <f t="shared" si="36"/>
        <v>0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customHeight="1" outlineLevel="1" thickBot="1" x14ac:dyDescent="0.4">
      <c r="A90" s="5">
        <f t="shared" si="27"/>
        <v>1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 t="str">
        <f t="shared" si="23"/>
        <v>Ar</v>
      </c>
      <c r="F90" s="14">
        <f t="shared" ref="F90:AL90" si="37">F14*$C$78</f>
        <v>0.7142857142857143</v>
      </c>
      <c r="G90" s="14">
        <f t="shared" si="37"/>
        <v>0.7142857142857143</v>
      </c>
      <c r="H90" s="14">
        <f t="shared" si="37"/>
        <v>0.7142857142857143</v>
      </c>
      <c r="I90" s="14">
        <f t="shared" si="37"/>
        <v>0.7142857142857143</v>
      </c>
      <c r="J90" s="14">
        <f t="shared" si="37"/>
        <v>0.7142857142857143</v>
      </c>
      <c r="K90" s="14">
        <f t="shared" si="37"/>
        <v>0.7142857142857143</v>
      </c>
      <c r="L90" s="14">
        <f t="shared" si="37"/>
        <v>0.7142857142857143</v>
      </c>
      <c r="M90" s="14">
        <f t="shared" si="37"/>
        <v>0.7142857142857143</v>
      </c>
      <c r="N90" s="14">
        <f t="shared" si="37"/>
        <v>0.7142857142857143</v>
      </c>
      <c r="O90" s="14">
        <f t="shared" si="37"/>
        <v>0.7142857142857143</v>
      </c>
      <c r="P90" s="14">
        <f t="shared" si="37"/>
        <v>0.7142857142857143</v>
      </c>
      <c r="Q90" s="14">
        <f t="shared" si="37"/>
        <v>0.7142857142857143</v>
      </c>
      <c r="R90" s="14">
        <f t="shared" si="37"/>
        <v>0</v>
      </c>
      <c r="S90" s="14">
        <f t="shared" si="37"/>
        <v>0</v>
      </c>
      <c r="T90" s="14">
        <f t="shared" si="37"/>
        <v>0</v>
      </c>
      <c r="U90" s="14">
        <f t="shared" si="37"/>
        <v>0</v>
      </c>
      <c r="V90" s="14">
        <f t="shared" si="37"/>
        <v>0</v>
      </c>
      <c r="W90" s="14">
        <f t="shared" si="37"/>
        <v>0</v>
      </c>
      <c r="X90" s="14">
        <f t="shared" si="37"/>
        <v>0</v>
      </c>
      <c r="Y90" s="14">
        <f t="shared" si="37"/>
        <v>0</v>
      </c>
      <c r="Z90" s="14">
        <f t="shared" si="37"/>
        <v>0</v>
      </c>
      <c r="AA90" s="14">
        <f t="shared" si="37"/>
        <v>0</v>
      </c>
      <c r="AB90" s="14">
        <f t="shared" si="37"/>
        <v>0</v>
      </c>
      <c r="AC90" s="14">
        <f t="shared" si="37"/>
        <v>0</v>
      </c>
      <c r="AD90" s="14">
        <f t="shared" si="37"/>
        <v>0</v>
      </c>
      <c r="AE90" s="14">
        <f t="shared" si="37"/>
        <v>0</v>
      </c>
      <c r="AF90" s="14">
        <f t="shared" si="37"/>
        <v>0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1</v>
      </c>
      <c r="E91" s="6" t="str">
        <f t="shared" si="23"/>
        <v>(l)Ga[l]</v>
      </c>
      <c r="F91" s="14">
        <f t="shared" ref="F91:AL91" si="38">F15*$C$78</f>
        <v>0.14285714285714285</v>
      </c>
      <c r="G91" s="14">
        <f t="shared" si="38"/>
        <v>0.14285714285714285</v>
      </c>
      <c r="H91" s="14">
        <f t="shared" si="38"/>
        <v>0.14285357142857141</v>
      </c>
      <c r="I91" s="14">
        <f t="shared" si="38"/>
        <v>0.14277857142857142</v>
      </c>
      <c r="J91" s="14">
        <f t="shared" si="38"/>
        <v>0.14206071428571426</v>
      </c>
      <c r="K91" s="14">
        <f t="shared" si="38"/>
        <v>0.13846071428571427</v>
      </c>
      <c r="L91" s="14">
        <f t="shared" si="38"/>
        <v>0.12782499999999999</v>
      </c>
      <c r="M91" s="14">
        <f t="shared" si="38"/>
        <v>0.10907857142857141</v>
      </c>
      <c r="N91" s="14">
        <f t="shared" si="38"/>
        <v>8.7192857142857141E-2</v>
      </c>
      <c r="O91" s="14">
        <f t="shared" si="38"/>
        <v>6.7199999999999996E-2</v>
      </c>
      <c r="P91" s="14">
        <f t="shared" si="38"/>
        <v>5.0146428571428564E-2</v>
      </c>
      <c r="Q91" s="14">
        <f t="shared" si="38"/>
        <v>3.5871428571428575E-2</v>
      </c>
      <c r="R91" s="14">
        <f t="shared" si="38"/>
        <v>0</v>
      </c>
      <c r="S91" s="14">
        <f t="shared" si="38"/>
        <v>0</v>
      </c>
      <c r="T91" s="14">
        <f t="shared" si="38"/>
        <v>0</v>
      </c>
      <c r="U91" s="14">
        <f t="shared" si="38"/>
        <v>0</v>
      </c>
      <c r="V91" s="14">
        <f t="shared" si="38"/>
        <v>0</v>
      </c>
      <c r="W91" s="14">
        <f t="shared" si="38"/>
        <v>0</v>
      </c>
      <c r="X91" s="14">
        <f t="shared" si="38"/>
        <v>0</v>
      </c>
      <c r="Y91" s="14">
        <f t="shared" si="38"/>
        <v>0</v>
      </c>
      <c r="Z91" s="14">
        <f t="shared" si="38"/>
        <v>0</v>
      </c>
      <c r="AA91" s="14">
        <f t="shared" si="38"/>
        <v>0</v>
      </c>
      <c r="AB91" s="14">
        <f t="shared" si="38"/>
        <v>0</v>
      </c>
      <c r="AC91" s="14">
        <f t="shared" si="38"/>
        <v>0</v>
      </c>
      <c r="AD91" s="14">
        <f t="shared" si="38"/>
        <v>0</v>
      </c>
      <c r="AE91" s="14">
        <f t="shared" si="38"/>
        <v>0</v>
      </c>
      <c r="AF91" s="14">
        <f t="shared" si="38"/>
        <v>0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1</v>
      </c>
      <c r="D92" s="5">
        <f t="shared" si="27"/>
        <v>0</v>
      </c>
      <c r="E92" s="6" t="str">
        <f t="shared" si="23"/>
        <v>(l)Ge[l]</v>
      </c>
      <c r="F92" s="14">
        <f t="shared" ref="F92:AL92" si="39">F16*$C$78</f>
        <v>1</v>
      </c>
      <c r="G92" s="14">
        <f t="shared" si="39"/>
        <v>1</v>
      </c>
      <c r="H92" s="14">
        <f t="shared" si="39"/>
        <v>1</v>
      </c>
      <c r="I92" s="14">
        <f t="shared" si="39"/>
        <v>1</v>
      </c>
      <c r="J92" s="14">
        <f t="shared" si="39"/>
        <v>1</v>
      </c>
      <c r="K92" s="14">
        <f t="shared" si="39"/>
        <v>1</v>
      </c>
      <c r="L92" s="14">
        <f t="shared" si="39"/>
        <v>1</v>
      </c>
      <c r="M92" s="14">
        <f t="shared" si="39"/>
        <v>1</v>
      </c>
      <c r="N92" s="14">
        <f t="shared" si="39"/>
        <v>1</v>
      </c>
      <c r="O92" s="14">
        <f t="shared" si="39"/>
        <v>1</v>
      </c>
      <c r="P92" s="14">
        <f t="shared" si="39"/>
        <v>1</v>
      </c>
      <c r="Q92" s="14">
        <f t="shared" si="39"/>
        <v>1</v>
      </c>
      <c r="R92" s="14">
        <f t="shared" si="39"/>
        <v>0</v>
      </c>
      <c r="S92" s="14">
        <f t="shared" si="39"/>
        <v>0</v>
      </c>
      <c r="T92" s="14">
        <f t="shared" si="39"/>
        <v>0</v>
      </c>
      <c r="U92" s="14">
        <f t="shared" si="39"/>
        <v>0</v>
      </c>
      <c r="V92" s="14">
        <f t="shared" si="39"/>
        <v>0</v>
      </c>
      <c r="W92" s="14">
        <f t="shared" si="39"/>
        <v>0</v>
      </c>
      <c r="X92" s="14">
        <f t="shared" si="39"/>
        <v>0</v>
      </c>
      <c r="Y92" s="14">
        <f t="shared" si="39"/>
        <v>0</v>
      </c>
      <c r="Z92" s="14">
        <f t="shared" si="39"/>
        <v>0</v>
      </c>
      <c r="AA92" s="14">
        <f t="shared" si="39"/>
        <v>0</v>
      </c>
      <c r="AB92" s="14">
        <f t="shared" si="39"/>
        <v>0</v>
      </c>
      <c r="AC92" s="14">
        <f t="shared" si="39"/>
        <v>0</v>
      </c>
      <c r="AD92" s="14">
        <f t="shared" si="39"/>
        <v>0</v>
      </c>
      <c r="AE92" s="14">
        <f t="shared" si="39"/>
        <v>0</v>
      </c>
      <c r="AF92" s="14">
        <f t="shared" si="39"/>
        <v>0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customHeight="1" outlineLevel="1" thickBot="1" x14ac:dyDescent="0.4">
      <c r="A93" s="5">
        <f t="shared" si="27"/>
        <v>0</v>
      </c>
      <c r="B93" s="5">
        <f t="shared" si="27"/>
        <v>1</v>
      </c>
      <c r="C93" s="5">
        <f t="shared" si="27"/>
        <v>0</v>
      </c>
      <c r="D93" s="5">
        <f t="shared" si="27"/>
        <v>0</v>
      </c>
      <c r="E93" s="6" t="str">
        <f t="shared" si="23"/>
        <v>(l)Se[l]</v>
      </c>
      <c r="F93" s="14">
        <f t="shared" ref="F93:AL93" si="40">F17*$C$78</f>
        <v>1.7142857142857142</v>
      </c>
      <c r="G93" s="14">
        <f t="shared" si="40"/>
        <v>1.7142857142857142</v>
      </c>
      <c r="H93" s="14">
        <f t="shared" si="40"/>
        <v>1.7142857142857142</v>
      </c>
      <c r="I93" s="14">
        <f t="shared" si="40"/>
        <v>1.7142500000000001</v>
      </c>
      <c r="J93" s="14">
        <f t="shared" si="40"/>
        <v>1.7138571428571427</v>
      </c>
      <c r="K93" s="14">
        <f t="shared" si="40"/>
        <v>1.7119285714285712</v>
      </c>
      <c r="L93" s="14">
        <f t="shared" si="40"/>
        <v>1.7055714285714283</v>
      </c>
      <c r="M93" s="14">
        <f t="shared" si="40"/>
        <v>1.6909999999999998</v>
      </c>
      <c r="N93" s="14">
        <f t="shared" si="40"/>
        <v>1.66</v>
      </c>
      <c r="O93" s="14">
        <f t="shared" si="40"/>
        <v>1.5889999999999997</v>
      </c>
      <c r="P93" s="14">
        <f t="shared" si="40"/>
        <v>1.4323571428571429</v>
      </c>
      <c r="Q93" s="14">
        <f t="shared" si="40"/>
        <v>1.1521071428571428</v>
      </c>
      <c r="R93" s="14">
        <f t="shared" si="40"/>
        <v>0</v>
      </c>
      <c r="S93" s="14">
        <f t="shared" si="40"/>
        <v>0</v>
      </c>
      <c r="T93" s="14">
        <f t="shared" si="40"/>
        <v>0</v>
      </c>
      <c r="U93" s="14">
        <f t="shared" si="40"/>
        <v>0</v>
      </c>
      <c r="V93" s="14">
        <f t="shared" si="40"/>
        <v>0</v>
      </c>
      <c r="W93" s="14">
        <f t="shared" si="40"/>
        <v>0</v>
      </c>
      <c r="X93" s="14">
        <f t="shared" si="40"/>
        <v>0</v>
      </c>
      <c r="Y93" s="14">
        <f t="shared" si="40"/>
        <v>0</v>
      </c>
      <c r="Z93" s="14">
        <f t="shared" si="40"/>
        <v>0</v>
      </c>
      <c r="AA93" s="14">
        <f t="shared" si="40"/>
        <v>0</v>
      </c>
      <c r="AB93" s="14">
        <f t="shared" si="40"/>
        <v>0</v>
      </c>
      <c r="AC93" s="14">
        <f t="shared" si="40"/>
        <v>0</v>
      </c>
      <c r="AD93" s="14">
        <f t="shared" si="40"/>
        <v>0</v>
      </c>
      <c r="AE93" s="14">
        <f t="shared" si="40"/>
        <v>0</v>
      </c>
      <c r="AF93" s="14">
        <f t="shared" si="40"/>
        <v>0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customHeight="1" outlineLevel="1" thickBot="1" x14ac:dyDescent="0.4">
      <c r="A94" s="5">
        <f t="shared" si="27"/>
        <v>1</v>
      </c>
      <c r="B94" s="5">
        <f t="shared" si="27"/>
        <v>0</v>
      </c>
      <c r="C94" s="5">
        <f t="shared" si="27"/>
        <v>0</v>
      </c>
      <c r="D94" s="5">
        <f t="shared" si="27"/>
        <v>0</v>
      </c>
      <c r="E94" s="6" t="str">
        <f t="shared" si="23"/>
        <v>H (Ar)</v>
      </c>
      <c r="F94" s="14">
        <f t="shared" ref="F94:AL94" si="41">F18*$C$78</f>
        <v>-66.5</v>
      </c>
      <c r="G94" s="14">
        <f t="shared" si="41"/>
        <v>-66.535714285714278</v>
      </c>
      <c r="H94" s="14">
        <f t="shared" si="41"/>
        <v>-66.857142857142847</v>
      </c>
      <c r="I94" s="14">
        <f t="shared" si="41"/>
        <v>-67.285714285714278</v>
      </c>
      <c r="J94" s="14">
        <f t="shared" si="41"/>
        <v>-67.749999999999986</v>
      </c>
      <c r="K94" s="14">
        <f t="shared" si="41"/>
        <v>-68.25</v>
      </c>
      <c r="L94" s="14">
        <f t="shared" si="41"/>
        <v>-68.785714285714292</v>
      </c>
      <c r="M94" s="14">
        <f t="shared" si="41"/>
        <v>-69.321428571428569</v>
      </c>
      <c r="N94" s="14">
        <f t="shared" si="41"/>
        <v>-69.857142857142847</v>
      </c>
      <c r="O94" s="14">
        <f t="shared" si="41"/>
        <v>-70.464285714285708</v>
      </c>
      <c r="P94" s="14">
        <f t="shared" si="41"/>
        <v>-71.214285714285708</v>
      </c>
      <c r="Q94" s="14">
        <f t="shared" si="41"/>
        <v>-72.142857142857139</v>
      </c>
      <c r="R94" s="14">
        <f t="shared" si="41"/>
        <v>0</v>
      </c>
      <c r="S94" s="14">
        <f t="shared" si="41"/>
        <v>0</v>
      </c>
      <c r="T94" s="14">
        <f t="shared" si="41"/>
        <v>0</v>
      </c>
      <c r="U94" s="14">
        <f t="shared" si="41"/>
        <v>0</v>
      </c>
      <c r="V94" s="14">
        <f t="shared" si="41"/>
        <v>0</v>
      </c>
      <c r="W94" s="14">
        <f t="shared" si="41"/>
        <v>0</v>
      </c>
      <c r="X94" s="14">
        <f t="shared" si="41"/>
        <v>0</v>
      </c>
      <c r="Y94" s="14">
        <f t="shared" si="41"/>
        <v>0</v>
      </c>
      <c r="Z94" s="14">
        <f t="shared" si="41"/>
        <v>0</v>
      </c>
      <c r="AA94" s="14">
        <f t="shared" si="41"/>
        <v>0</v>
      </c>
      <c r="AB94" s="14">
        <f t="shared" si="41"/>
        <v>0</v>
      </c>
      <c r="AC94" s="14">
        <f t="shared" si="41"/>
        <v>0</v>
      </c>
      <c r="AD94" s="14">
        <f t="shared" si="41"/>
        <v>0</v>
      </c>
      <c r="AE94" s="14">
        <f t="shared" si="41"/>
        <v>0</v>
      </c>
      <c r="AF94" s="14">
        <f t="shared" si="41"/>
        <v>0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0</v>
      </c>
      <c r="D95" s="5">
        <f t="shared" si="27"/>
        <v>1</v>
      </c>
      <c r="E95" s="6" t="str">
        <f t="shared" si="23"/>
        <v>H (Ga)</v>
      </c>
      <c r="F95" s="14">
        <f t="shared" ref="F95:AL95" si="42">F19*$C$78</f>
        <v>-27.36785714285714</v>
      </c>
      <c r="G95" s="14">
        <f t="shared" si="42"/>
        <v>-29.124999999999996</v>
      </c>
      <c r="H95" s="14">
        <f t="shared" si="42"/>
        <v>-30.696428571428573</v>
      </c>
      <c r="I95" s="14">
        <f t="shared" si="42"/>
        <v>-32.099999999999994</v>
      </c>
      <c r="J95" s="14">
        <f t="shared" si="42"/>
        <v>-33.375</v>
      </c>
      <c r="K95" s="14">
        <f t="shared" si="42"/>
        <v>-34.596428571428568</v>
      </c>
      <c r="L95" s="14">
        <f t="shared" si="42"/>
        <v>-35.892857142857146</v>
      </c>
      <c r="M95" s="14">
        <f t="shared" si="42"/>
        <v>-37.392857142857146</v>
      </c>
      <c r="N95" s="14">
        <f t="shared" si="42"/>
        <v>-39</v>
      </c>
      <c r="O95" s="14">
        <f t="shared" si="42"/>
        <v>-40.607142857142854</v>
      </c>
      <c r="P95" s="14">
        <f t="shared" si="42"/>
        <v>-42.178571428571431</v>
      </c>
      <c r="Q95" s="14">
        <f t="shared" si="42"/>
        <v>-43.642857142857139</v>
      </c>
      <c r="R95" s="14">
        <f t="shared" si="42"/>
        <v>0</v>
      </c>
      <c r="S95" s="14">
        <f t="shared" si="42"/>
        <v>0</v>
      </c>
      <c r="T95" s="14">
        <f t="shared" si="42"/>
        <v>0</v>
      </c>
      <c r="U95" s="14">
        <f t="shared" si="42"/>
        <v>0</v>
      </c>
      <c r="V95" s="14">
        <f t="shared" si="42"/>
        <v>0</v>
      </c>
      <c r="W95" s="14">
        <f t="shared" si="42"/>
        <v>0</v>
      </c>
      <c r="X95" s="14">
        <f t="shared" si="42"/>
        <v>0</v>
      </c>
      <c r="Y95" s="14">
        <f t="shared" si="42"/>
        <v>0</v>
      </c>
      <c r="Z95" s="14">
        <f t="shared" si="42"/>
        <v>0</v>
      </c>
      <c r="AA95" s="14">
        <f t="shared" si="42"/>
        <v>0</v>
      </c>
      <c r="AB95" s="14">
        <f t="shared" si="42"/>
        <v>0</v>
      </c>
      <c r="AC95" s="14">
        <f t="shared" si="42"/>
        <v>0</v>
      </c>
      <c r="AD95" s="14">
        <f t="shared" si="42"/>
        <v>0</v>
      </c>
      <c r="AE95" s="14">
        <f t="shared" si="42"/>
        <v>0</v>
      </c>
      <c r="AF95" s="14">
        <f t="shared" si="42"/>
        <v>0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customHeight="1" outlineLevel="1" thickBot="1" x14ac:dyDescent="0.4">
      <c r="A96" s="5">
        <f t="shared" si="27"/>
        <v>0</v>
      </c>
      <c r="B96" s="5">
        <f t="shared" si="27"/>
        <v>0</v>
      </c>
      <c r="C96" s="5">
        <f t="shared" si="27"/>
        <v>1</v>
      </c>
      <c r="D96" s="5">
        <f t="shared" si="27"/>
        <v>0</v>
      </c>
      <c r="E96" s="6" t="str">
        <f t="shared" si="23"/>
        <v>H (Ge)</v>
      </c>
      <c r="F96" s="14">
        <f t="shared" ref="F96:AL96" si="43">F20*$C$78</f>
        <v>26.828571428571426</v>
      </c>
      <c r="G96" s="14">
        <f t="shared" si="43"/>
        <v>15.907142857142855</v>
      </c>
      <c r="H96" s="14">
        <f t="shared" si="43"/>
        <v>8.1714285714285708</v>
      </c>
      <c r="I96" s="14">
        <f t="shared" si="43"/>
        <v>2.3289285714285715</v>
      </c>
      <c r="J96" s="14">
        <f t="shared" si="43"/>
        <v>-2.2796428571428571</v>
      </c>
      <c r="K96" s="14">
        <f t="shared" si="43"/>
        <v>-6.0321428571428566</v>
      </c>
      <c r="L96" s="14">
        <f t="shared" si="43"/>
        <v>-9.1571428571428566</v>
      </c>
      <c r="M96" s="14">
        <f t="shared" si="43"/>
        <v>-11.803571428571429</v>
      </c>
      <c r="N96" s="14">
        <f t="shared" si="43"/>
        <v>-14.067857142857141</v>
      </c>
      <c r="O96" s="14">
        <f t="shared" si="43"/>
        <v>-15.99642857142857</v>
      </c>
      <c r="P96" s="14">
        <f t="shared" si="43"/>
        <v>-17.578571428571426</v>
      </c>
      <c r="Q96" s="14">
        <f t="shared" si="43"/>
        <v>-18.767857142857142</v>
      </c>
      <c r="R96" s="14">
        <f t="shared" si="43"/>
        <v>0</v>
      </c>
      <c r="S96" s="14">
        <f t="shared" si="43"/>
        <v>0</v>
      </c>
      <c r="T96" s="14">
        <f t="shared" si="43"/>
        <v>0</v>
      </c>
      <c r="U96" s="14">
        <f t="shared" si="43"/>
        <v>0</v>
      </c>
      <c r="V96" s="14">
        <f t="shared" si="43"/>
        <v>0</v>
      </c>
      <c r="W96" s="14">
        <f t="shared" si="43"/>
        <v>0</v>
      </c>
      <c r="X96" s="14">
        <f t="shared" si="43"/>
        <v>0</v>
      </c>
      <c r="Y96" s="14">
        <f t="shared" si="43"/>
        <v>0</v>
      </c>
      <c r="Z96" s="14">
        <f t="shared" si="43"/>
        <v>0</v>
      </c>
      <c r="AA96" s="14">
        <f t="shared" si="43"/>
        <v>0</v>
      </c>
      <c r="AB96" s="14">
        <f t="shared" si="43"/>
        <v>0</v>
      </c>
      <c r="AC96" s="14">
        <f t="shared" si="43"/>
        <v>0</v>
      </c>
      <c r="AD96" s="14">
        <f t="shared" si="43"/>
        <v>0</v>
      </c>
      <c r="AE96" s="14">
        <f t="shared" si="43"/>
        <v>0</v>
      </c>
      <c r="AF96" s="14">
        <f t="shared" si="43"/>
        <v>0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customHeight="1" outlineLevel="1" thickBot="1" x14ac:dyDescent="0.4">
      <c r="A97" s="5">
        <f t="shared" ref="A97:D109" si="44">A63</f>
        <v>0</v>
      </c>
      <c r="B97" s="5">
        <f t="shared" si="44"/>
        <v>1</v>
      </c>
      <c r="C97" s="5">
        <f t="shared" si="44"/>
        <v>0</v>
      </c>
      <c r="D97" s="5">
        <f t="shared" si="44"/>
        <v>0</v>
      </c>
      <c r="E97" s="6" t="str">
        <f t="shared" si="23"/>
        <v>H (Se)</v>
      </c>
      <c r="F97" s="14">
        <f t="shared" ref="F97:AL97" si="45">F21*$C$78</f>
        <v>-16.785714285714285</v>
      </c>
      <c r="G97" s="14">
        <f t="shared" si="45"/>
        <v>-18.042857142857141</v>
      </c>
      <c r="H97" s="14">
        <f t="shared" si="45"/>
        <v>-19.432142857142857</v>
      </c>
      <c r="I97" s="14">
        <f t="shared" si="45"/>
        <v>-20.799999999999997</v>
      </c>
      <c r="J97" s="14">
        <f t="shared" si="45"/>
        <v>-22.103571428571428</v>
      </c>
      <c r="K97" s="14">
        <f t="shared" si="45"/>
        <v>-23.321428571428569</v>
      </c>
      <c r="L97" s="14">
        <f t="shared" si="45"/>
        <v>-24.453571428571429</v>
      </c>
      <c r="M97" s="14">
        <f t="shared" si="45"/>
        <v>-25.507142857142856</v>
      </c>
      <c r="N97" s="14">
        <f t="shared" si="45"/>
        <v>-26.499999999999996</v>
      </c>
      <c r="O97" s="14">
        <f t="shared" si="45"/>
        <v>-27.467857142857142</v>
      </c>
      <c r="P97" s="14">
        <f t="shared" si="45"/>
        <v>-28.478571428571428</v>
      </c>
      <c r="Q97" s="14">
        <f t="shared" si="45"/>
        <v>-29.635714285714283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customHeight="1" outlineLevel="1" x14ac:dyDescent="0.35">
      <c r="U110" s="55"/>
      <c r="V110" s="55"/>
      <c r="W110" s="55"/>
    </row>
    <row r="111" spans="1:54" ht="21" customHeight="1" x14ac:dyDescent="0.35">
      <c r="U111" s="55"/>
      <c r="V111" s="55"/>
      <c r="W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7">F3</f>
        <v>273</v>
      </c>
      <c r="G113" s="4">
        <f t="shared" si="57"/>
        <v>339.2</v>
      </c>
      <c r="H113" s="4">
        <f t="shared" si="57"/>
        <v>405.3</v>
      </c>
      <c r="I113" s="4">
        <f t="shared" si="57"/>
        <v>471.4</v>
      </c>
      <c r="J113" s="4">
        <f t="shared" si="57"/>
        <v>537.5</v>
      </c>
      <c r="K113" s="4">
        <f t="shared" si="57"/>
        <v>603.5</v>
      </c>
      <c r="L113" s="4">
        <f t="shared" si="57"/>
        <v>669.6</v>
      </c>
      <c r="M113" s="4">
        <f t="shared" si="57"/>
        <v>735.7</v>
      </c>
      <c r="N113" s="4">
        <f t="shared" si="57"/>
        <v>801.8</v>
      </c>
      <c r="O113" s="4">
        <f t="shared" si="57"/>
        <v>867.8</v>
      </c>
      <c r="P113" s="4">
        <f t="shared" si="57"/>
        <v>933.9</v>
      </c>
      <c r="Q113" s="4">
        <f t="shared" si="57"/>
        <v>1000</v>
      </c>
      <c r="R113" s="4">
        <f t="shared" si="57"/>
        <v>0</v>
      </c>
      <c r="S113" s="4">
        <f t="shared" si="57"/>
        <v>0</v>
      </c>
      <c r="T113" s="4">
        <f t="shared" si="57"/>
        <v>0</v>
      </c>
      <c r="U113" s="4">
        <f t="shared" si="57"/>
        <v>0</v>
      </c>
      <c r="V113" s="4">
        <f t="shared" si="57"/>
        <v>0</v>
      </c>
      <c r="W113" s="4">
        <f t="shared" si="57"/>
        <v>0</v>
      </c>
      <c r="X113" s="4">
        <f t="shared" si="57"/>
        <v>0</v>
      </c>
      <c r="Y113" s="4">
        <f t="shared" si="57"/>
        <v>0</v>
      </c>
      <c r="Z113" s="4">
        <f t="shared" si="57"/>
        <v>0</v>
      </c>
      <c r="AA113" s="4">
        <f t="shared" si="57"/>
        <v>0</v>
      </c>
      <c r="AB113" s="4">
        <f t="shared" si="57"/>
        <v>0</v>
      </c>
      <c r="AC113" s="4">
        <f t="shared" si="57"/>
        <v>0</v>
      </c>
      <c r="AD113" s="4">
        <f t="shared" si="57"/>
        <v>0</v>
      </c>
      <c r="AE113" s="4">
        <f t="shared" si="57"/>
        <v>0</v>
      </c>
      <c r="AF113" s="4">
        <f t="shared" si="57"/>
        <v>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-176.48343385067943</v>
      </c>
      <c r="C114" s="24">
        <f>COUNTA(E114:E121)+1</f>
        <v>6</v>
      </c>
      <c r="E114" s="17" t="s">
        <v>13</v>
      </c>
      <c r="F114" s="52">
        <f ca="1">F$113*$B$2*SUMPRODUCT(F$91:F$93,F$57:F$59)/1000</f>
        <v>-3.7222436745000009</v>
      </c>
      <c r="G114" s="52">
        <f t="shared" ref="G114:AL114" ca="1" si="58">G$113*$B$2*SUMPRODUCT(G$91:G$93,G$57:G$59)/1000</f>
        <v>-15.149326874057143</v>
      </c>
      <c r="H114" s="52">
        <f t="shared" ca="1" si="58"/>
        <v>-27.859548625172945</v>
      </c>
      <c r="I114" s="52">
        <f t="shared" ca="1" si="58"/>
        <v>-41.60496235323474</v>
      </c>
      <c r="J114" s="52">
        <f t="shared" ca="1" si="58"/>
        <v>-56.188926113662831</v>
      </c>
      <c r="K114" s="52">
        <f t="shared" ca="1" si="58"/>
        <v>-71.298746303134024</v>
      </c>
      <c r="L114" s="52">
        <f t="shared" ca="1" si="58"/>
        <v>-86.443119656182162</v>
      </c>
      <c r="M114" s="52">
        <f t="shared" ca="1" si="58"/>
        <v>-101.07800697505387</v>
      </c>
      <c r="N114" s="52">
        <f t="shared" ca="1" si="58"/>
        <v>-114.7205760806706</v>
      </c>
      <c r="O114" s="52">
        <f t="shared" ca="1" si="58"/>
        <v>-126.00885718375527</v>
      </c>
      <c r="P114" s="52">
        <f t="shared" ca="1" si="58"/>
        <v>-131.50533983610111</v>
      </c>
      <c r="Q114" s="52">
        <f t="shared" ca="1" si="58"/>
        <v>-126.82550784910714</v>
      </c>
      <c r="R114" s="52">
        <f t="shared" ca="1" si="58"/>
        <v>0</v>
      </c>
      <c r="S114" s="52">
        <f t="shared" ca="1" si="58"/>
        <v>0</v>
      </c>
      <c r="T114" s="52">
        <f t="shared" ca="1" si="58"/>
        <v>0</v>
      </c>
      <c r="U114" s="52">
        <f t="shared" ca="1" si="58"/>
        <v>0</v>
      </c>
      <c r="V114" s="52">
        <f t="shared" ca="1" si="58"/>
        <v>0</v>
      </c>
      <c r="W114" s="52">
        <f t="shared" ca="1" si="58"/>
        <v>0</v>
      </c>
      <c r="X114" s="52">
        <f t="shared" ca="1" si="58"/>
        <v>0</v>
      </c>
      <c r="Y114" s="52">
        <f t="shared" ca="1" si="58"/>
        <v>0</v>
      </c>
      <c r="Z114" s="52">
        <f t="shared" ca="1" si="58"/>
        <v>0</v>
      </c>
      <c r="AA114" s="52">
        <f t="shared" ca="1" si="58"/>
        <v>0</v>
      </c>
      <c r="AB114" s="52">
        <f t="shared" ca="1" si="58"/>
        <v>0</v>
      </c>
      <c r="AC114" s="52">
        <f t="shared" ca="1" si="58"/>
        <v>0</v>
      </c>
      <c r="AD114" s="52">
        <f t="shared" ca="1" si="58"/>
        <v>0</v>
      </c>
      <c r="AE114" s="52">
        <f t="shared" ca="1" si="58"/>
        <v>0</v>
      </c>
      <c r="AF114" s="52">
        <f t="shared" ca="1" si="58"/>
        <v>0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12</v>
      </c>
      <c r="E115" s="17" t="s">
        <v>14</v>
      </c>
      <c r="F115" s="14">
        <f ca="1">F$113*$B$2*SUMPRODUCT(F$81:F$89,F$47:F$55)/1000</f>
        <v>-8.1201783230074353E-10</v>
      </c>
      <c r="G115" s="14">
        <f t="shared" ref="G115:AL115" ca="1" si="59">G$113*$B$2*SUMPRODUCT(G$81:G$89,G$47:G$55)/1000</f>
        <v>-1.1130503635325961E-6</v>
      </c>
      <c r="H115" s="14">
        <f t="shared" ca="1" si="59"/>
        <v>-1.2998508075172759E-4</v>
      </c>
      <c r="I115" s="14">
        <f t="shared" ca="1" si="59"/>
        <v>-3.7354706177456978E-3</v>
      </c>
      <c r="J115" s="14">
        <f t="shared" ca="1" si="59"/>
        <v>-4.4665896915799939E-2</v>
      </c>
      <c r="K115" s="14">
        <f t="shared" ca="1" si="59"/>
        <v>-0.29104783777748572</v>
      </c>
      <c r="L115" s="14">
        <f t="shared" ca="1" si="59"/>
        <v>-1.1731455844481815</v>
      </c>
      <c r="M115" s="14">
        <f t="shared" ca="1" si="59"/>
        <v>-3.1805635904815328</v>
      </c>
      <c r="N115" s="14">
        <f t="shared" ca="1" si="59"/>
        <v>-6.7371338486652519</v>
      </c>
      <c r="O115" s="14">
        <f t="shared" ca="1" si="59"/>
        <v>-13.158854077200516</v>
      </c>
      <c r="P115" s="14">
        <f t="shared" ca="1" si="59"/>
        <v>-25.958337386043304</v>
      </c>
      <c r="Q115" s="14">
        <f t="shared" ca="1" si="59"/>
        <v>-49.657926001572292</v>
      </c>
      <c r="R115" s="14">
        <f t="shared" ca="1" si="59"/>
        <v>0</v>
      </c>
      <c r="S115" s="14">
        <f t="shared" ca="1" si="59"/>
        <v>0</v>
      </c>
      <c r="T115" s="14">
        <f t="shared" ca="1" si="59"/>
        <v>0</v>
      </c>
      <c r="U115" s="14">
        <f t="shared" ca="1" si="59"/>
        <v>0</v>
      </c>
      <c r="V115" s="14">
        <f t="shared" ca="1" si="59"/>
        <v>0</v>
      </c>
      <c r="W115" s="14">
        <f t="shared" ca="1" si="59"/>
        <v>0</v>
      </c>
      <c r="X115" s="14">
        <f t="shared" ca="1" si="59"/>
        <v>0</v>
      </c>
      <c r="Y115" s="14">
        <f t="shared" ca="1" si="59"/>
        <v>0</v>
      </c>
      <c r="Z115" s="14">
        <f t="shared" ca="1" si="59"/>
        <v>0</v>
      </c>
      <c r="AA115" s="14">
        <f t="shared" ca="1" si="59"/>
        <v>0</v>
      </c>
      <c r="AB115" s="14">
        <f t="shared" ca="1" si="59"/>
        <v>0</v>
      </c>
      <c r="AC115" s="14">
        <f t="shared" ca="1" si="59"/>
        <v>0</v>
      </c>
      <c r="AD115" s="14">
        <f t="shared" ca="1" si="59"/>
        <v>0</v>
      </c>
      <c r="AE115" s="14">
        <f t="shared" ca="1" si="59"/>
        <v>0</v>
      </c>
      <c r="AF115" s="14">
        <f t="shared" ca="1" si="59"/>
        <v>0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ca="1">F115+F89*F55</f>
        <v>-1.1697537137293148E-9</v>
      </c>
      <c r="G116" s="14">
        <f t="shared" ref="G116:AL116" ca="1" si="60">G115+G89*G55</f>
        <v>-1.5076370206754533E-6</v>
      </c>
      <c r="H116" s="14">
        <f t="shared" ca="1" si="60"/>
        <v>-1.685159747517276E-4</v>
      </c>
      <c r="I116" s="14">
        <f t="shared" ca="1" si="60"/>
        <v>-4.6851756177456972E-3</v>
      </c>
      <c r="J116" s="14">
        <f t="shared" ca="1" si="60"/>
        <v>-5.4575735737228515E-2</v>
      </c>
      <c r="K116" s="14">
        <f t="shared" ca="1" si="60"/>
        <v>-0.34800240749177141</v>
      </c>
      <c r="L116" s="14">
        <f t="shared" ca="1" si="60"/>
        <v>-1.3757004090910387</v>
      </c>
      <c r="M116" s="14">
        <f t="shared" ca="1" si="60"/>
        <v>-3.6548585411958188</v>
      </c>
      <c r="N116" s="14">
        <f t="shared" ca="1" si="60"/>
        <v>-7.5515023486652515</v>
      </c>
      <c r="O116" s="14">
        <f t="shared" ca="1" si="60"/>
        <v>-14.310015334343372</v>
      </c>
      <c r="P116" s="14">
        <f t="shared" ca="1" si="60"/>
        <v>-27.42283212175759</v>
      </c>
      <c r="Q116" s="14">
        <f t="shared" ca="1" si="60"/>
        <v>-51.409175158715151</v>
      </c>
      <c r="R116" s="14">
        <f t="shared" ca="1" si="60"/>
        <v>0</v>
      </c>
      <c r="S116" s="14">
        <f t="shared" ca="1" si="60"/>
        <v>0</v>
      </c>
      <c r="T116" s="14">
        <f t="shared" ca="1" si="60"/>
        <v>0</v>
      </c>
      <c r="U116" s="14">
        <f t="shared" ca="1" si="60"/>
        <v>0</v>
      </c>
      <c r="V116" s="14">
        <f t="shared" ca="1" si="60"/>
        <v>0</v>
      </c>
      <c r="W116" s="14">
        <f t="shared" ca="1" si="60"/>
        <v>0</v>
      </c>
      <c r="X116" s="14">
        <f t="shared" ca="1" si="60"/>
        <v>0</v>
      </c>
      <c r="Y116" s="14">
        <f t="shared" ca="1" si="60"/>
        <v>0</v>
      </c>
      <c r="Z116" s="14">
        <f t="shared" ca="1" si="60"/>
        <v>0</v>
      </c>
      <c r="AA116" s="14">
        <f t="shared" ca="1" si="60"/>
        <v>0</v>
      </c>
      <c r="AB116" s="14">
        <f t="shared" ca="1" si="60"/>
        <v>0</v>
      </c>
      <c r="AC116" s="14">
        <f t="shared" ca="1" si="60"/>
        <v>0</v>
      </c>
      <c r="AD116" s="14">
        <f t="shared" ca="1" si="60"/>
        <v>0</v>
      </c>
      <c r="AE116" s="14">
        <f t="shared" ca="1" si="60"/>
        <v>0</v>
      </c>
      <c r="AF116" s="14">
        <f t="shared" ca="1" si="60"/>
        <v>0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16</v>
      </c>
      <c r="F117" s="14">
        <f ca="1">F115+F114</f>
        <v>-3.7222436753120189</v>
      </c>
      <c r="G117" s="14">
        <f t="shared" ref="G117:AL117" ca="1" si="61">G115+G114</f>
        <v>-15.149327987107506</v>
      </c>
      <c r="H117" s="14">
        <f t="shared" ca="1" si="61"/>
        <v>-27.859678610253695</v>
      </c>
      <c r="I117" s="14">
        <f t="shared" ca="1" si="61"/>
        <v>-41.608697823852488</v>
      </c>
      <c r="J117" s="14">
        <f t="shared" ca="1" si="61"/>
        <v>-56.233592010578633</v>
      </c>
      <c r="K117" s="14">
        <f t="shared" ca="1" si="61"/>
        <v>-71.589794140911508</v>
      </c>
      <c r="L117" s="14">
        <f t="shared" ca="1" si="61"/>
        <v>-87.616265240630341</v>
      </c>
      <c r="M117" s="14">
        <f t="shared" ca="1" si="61"/>
        <v>-104.25857056553539</v>
      </c>
      <c r="N117" s="14">
        <f t="shared" ca="1" si="61"/>
        <v>-121.45770992933585</v>
      </c>
      <c r="O117" s="14">
        <f t="shared" ca="1" si="61"/>
        <v>-139.1677112609558</v>
      </c>
      <c r="P117" s="14">
        <f t="shared" ca="1" si="61"/>
        <v>-157.46367722214441</v>
      </c>
      <c r="Q117" s="14">
        <f t="shared" ca="1" si="61"/>
        <v>-176.48343385067943</v>
      </c>
      <c r="R117" s="14">
        <f t="shared" ca="1" si="61"/>
        <v>0</v>
      </c>
      <c r="S117" s="14">
        <f t="shared" ca="1" si="61"/>
        <v>0</v>
      </c>
      <c r="T117" s="14">
        <f t="shared" ca="1" si="61"/>
        <v>0</v>
      </c>
      <c r="U117" s="14">
        <f t="shared" ca="1" si="61"/>
        <v>0</v>
      </c>
      <c r="V117" s="14">
        <f t="shared" ca="1" si="61"/>
        <v>0</v>
      </c>
      <c r="W117" s="14">
        <f t="shared" ca="1" si="61"/>
        <v>0</v>
      </c>
      <c r="X117" s="14">
        <f t="shared" ca="1" si="61"/>
        <v>0</v>
      </c>
      <c r="Y117" s="14">
        <f t="shared" ca="1" si="61"/>
        <v>0</v>
      </c>
      <c r="Z117" s="14">
        <f t="shared" ca="1" si="61"/>
        <v>0</v>
      </c>
      <c r="AA117" s="14">
        <f t="shared" ca="1" si="61"/>
        <v>0</v>
      </c>
      <c r="AB117" s="14">
        <f t="shared" ca="1" si="61"/>
        <v>0</v>
      </c>
      <c r="AC117" s="14">
        <f t="shared" ca="1" si="61"/>
        <v>0</v>
      </c>
      <c r="AD117" s="14">
        <f t="shared" ca="1" si="61"/>
        <v>0</v>
      </c>
      <c r="AE117" s="14">
        <f t="shared" ca="1" si="61"/>
        <v>0</v>
      </c>
      <c r="AF117" s="14">
        <f t="shared" ca="1" si="61"/>
        <v>0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 t="s">
        <v>17</v>
      </c>
      <c r="F118" s="14">
        <f ca="1">F116+F114</f>
        <v>-3.7222436756697546</v>
      </c>
      <c r="G118" s="14">
        <f t="shared" ref="G118:AL118" ca="1" si="62">G116+G114</f>
        <v>-15.149328381694165</v>
      </c>
      <c r="H118" s="14">
        <f t="shared" ca="1" si="62"/>
        <v>-27.859717141147698</v>
      </c>
      <c r="I118" s="14">
        <f t="shared" ca="1" si="62"/>
        <v>-41.609647528852484</v>
      </c>
      <c r="J118" s="14">
        <f t="shared" ca="1" si="62"/>
        <v>-56.243501849400062</v>
      </c>
      <c r="K118" s="14">
        <f t="shared" ca="1" si="62"/>
        <v>-71.646748710625801</v>
      </c>
      <c r="L118" s="14">
        <f t="shared" ca="1" si="62"/>
        <v>-87.818820065273201</v>
      </c>
      <c r="M118" s="14">
        <f t="shared" ca="1" si="62"/>
        <v>-104.73286551624969</v>
      </c>
      <c r="N118" s="14">
        <f t="shared" ca="1" si="62"/>
        <v>-122.27207842933585</v>
      </c>
      <c r="O118" s="14">
        <f t="shared" ca="1" si="62"/>
        <v>-140.31887251809863</v>
      </c>
      <c r="P118" s="14">
        <f t="shared" ca="1" si="62"/>
        <v>-158.92817195785869</v>
      </c>
      <c r="Q118" s="14">
        <f t="shared" ca="1" si="62"/>
        <v>-178.2346830078223</v>
      </c>
      <c r="R118" s="14">
        <f t="shared" ca="1" si="62"/>
        <v>0</v>
      </c>
      <c r="S118" s="14">
        <f t="shared" ca="1" si="62"/>
        <v>0</v>
      </c>
      <c r="T118" s="14">
        <f t="shared" ca="1" si="62"/>
        <v>0</v>
      </c>
      <c r="U118" s="14">
        <f t="shared" ca="1" si="62"/>
        <v>0</v>
      </c>
      <c r="V118" s="14">
        <f t="shared" ca="1" si="62"/>
        <v>0</v>
      </c>
      <c r="W118" s="14">
        <f t="shared" ca="1" si="62"/>
        <v>0</v>
      </c>
      <c r="X118" s="14">
        <f t="shared" ca="1" si="62"/>
        <v>0</v>
      </c>
      <c r="Y118" s="14">
        <f t="shared" ca="1" si="62"/>
        <v>0</v>
      </c>
      <c r="Z118" s="14">
        <f t="shared" ca="1" si="62"/>
        <v>0</v>
      </c>
      <c r="AA118" s="14">
        <f t="shared" ca="1" si="62"/>
        <v>0</v>
      </c>
      <c r="AB118" s="14">
        <f t="shared" ca="1" si="62"/>
        <v>0</v>
      </c>
      <c r="AC118" s="14">
        <f t="shared" ca="1" si="62"/>
        <v>0</v>
      </c>
      <c r="AD118" s="14">
        <f t="shared" ca="1" si="62"/>
        <v>0</v>
      </c>
      <c r="AE118" s="14">
        <f t="shared" ca="1" si="62"/>
        <v>0</v>
      </c>
      <c r="AF118" s="14">
        <f t="shared" ca="1" si="62"/>
        <v>0</v>
      </c>
      <c r="AG118" s="14">
        <f t="shared" ca="1" si="62"/>
        <v>0</v>
      </c>
      <c r="AH118" s="14">
        <f t="shared" ca="1" si="62"/>
        <v>0</v>
      </c>
      <c r="AI118" s="14">
        <f t="shared" ca="1" si="62"/>
        <v>0</v>
      </c>
      <c r="AJ118" s="14">
        <f t="shared" ca="1" si="62"/>
        <v>0</v>
      </c>
      <c r="AK118" s="14">
        <f t="shared" ca="1" si="62"/>
        <v>0</v>
      </c>
      <c r="AL118" s="14">
        <f t="shared" ca="1" si="62"/>
        <v>0</v>
      </c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62" t="e">
        <f ca="1"/>
        <v>#N/A</v>
      </c>
      <c r="V122" s="63" t="e">
        <f ca="1"/>
        <v>#N/A</v>
      </c>
      <c r="W122" s="65" t="e">
        <f ca="1"/>
        <v>#N/A</v>
      </c>
      <c r="X122" s="59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Раствор (жид): </v>
      </c>
      <c r="F123" s="55">
        <f ca="1"/>
        <v>-3.7222436745000009</v>
      </c>
      <c r="G123" s="55">
        <f ca="1"/>
        <v>-15.149326874057143</v>
      </c>
      <c r="H123" s="55">
        <f ca="1"/>
        <v>-27.859548625172945</v>
      </c>
      <c r="I123" s="55">
        <f ca="1"/>
        <v>-41.60496235323474</v>
      </c>
      <c r="J123" s="55">
        <f ca="1"/>
        <v>-56.188926113662831</v>
      </c>
      <c r="K123" s="55">
        <f ca="1"/>
        <v>-71.298746303134024</v>
      </c>
      <c r="L123" s="55">
        <f ca="1"/>
        <v>-86.443119656182162</v>
      </c>
      <c r="M123" s="55">
        <f ca="1"/>
        <v>-101.07800697505387</v>
      </c>
      <c r="N123" s="55">
        <f ca="1"/>
        <v>-114.7205760806706</v>
      </c>
      <c r="O123" s="55">
        <f ca="1"/>
        <v>-126.00885718375527</v>
      </c>
      <c r="P123" s="55">
        <f ca="1"/>
        <v>-131.50533983610111</v>
      </c>
      <c r="Q123" s="55">
        <f ca="1"/>
        <v>-126.82550784910714</v>
      </c>
      <c r="R123" s="55" t="e">
        <f ca="1"/>
        <v>#N/A</v>
      </c>
      <c r="S123" s="55" t="e">
        <f ca="1"/>
        <v>#N/A</v>
      </c>
      <c r="T123" s="55" t="e">
        <f ca="1"/>
        <v>#N/A</v>
      </c>
      <c r="U123" s="55" t="e">
        <f ca="1"/>
        <v>#N/A</v>
      </c>
      <c r="V123" s="55" t="e">
        <f ca="1"/>
        <v>#N/A</v>
      </c>
      <c r="W123" s="55" t="e">
        <f ca="1"/>
        <v>#N/A</v>
      </c>
      <c r="X123" s="55" t="e">
        <f ca="1"/>
        <v>#N/A</v>
      </c>
      <c r="Y123" s="55" t="e">
        <f ca="1"/>
        <v>#N/A</v>
      </c>
      <c r="Z123" s="55" t="e">
        <f ca="1"/>
        <v>#N/A</v>
      </c>
      <c r="AA123" s="55" t="e">
        <f ca="1"/>
        <v>#N/A</v>
      </c>
      <c r="AB123" s="55" t="e">
        <f ca="1"/>
        <v>#N/A</v>
      </c>
      <c r="AC123" s="55" t="e">
        <f ca="1"/>
        <v>#N/A</v>
      </c>
      <c r="AD123" s="55" t="e">
        <f ca="1"/>
        <v>#N/A</v>
      </c>
      <c r="AE123" s="55" t="e">
        <f ca="1"/>
        <v>#N/A</v>
      </c>
      <c r="AF123" s="55" t="e">
        <f ca="1"/>
        <v>#N/A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-8.1201783230074353E-10</v>
      </c>
      <c r="G124" s="55">
        <f ca="1"/>
        <v>-1.1130503635325961E-6</v>
      </c>
      <c r="H124" s="55">
        <f ca="1"/>
        <v>-1.2998508075172759E-4</v>
      </c>
      <c r="I124" s="55">
        <f ca="1"/>
        <v>-3.7354706177456978E-3</v>
      </c>
      <c r="J124" s="55">
        <f ca="1"/>
        <v>-4.4665896915799939E-2</v>
      </c>
      <c r="K124" s="55">
        <f ca="1"/>
        <v>-0.29104783777748572</v>
      </c>
      <c r="L124" s="55">
        <f ca="1"/>
        <v>-1.1731455844481815</v>
      </c>
      <c r="M124" s="55">
        <f ca="1"/>
        <v>-3.1805635904815328</v>
      </c>
      <c r="N124" s="55">
        <f ca="1"/>
        <v>-6.7371338486652519</v>
      </c>
      <c r="O124" s="55">
        <f ca="1"/>
        <v>-13.158854077200516</v>
      </c>
      <c r="P124" s="55">
        <f ca="1"/>
        <v>-25.958337386043304</v>
      </c>
      <c r="Q124" s="55">
        <f ca="1"/>
        <v>-49.657926001572292</v>
      </c>
      <c r="R124" s="55" t="e">
        <f ca="1"/>
        <v>#N/A</v>
      </c>
      <c r="S124" s="55" t="e">
        <f ca="1"/>
        <v>#N/A</v>
      </c>
      <c r="T124" s="55" t="e">
        <f ca="1"/>
        <v>#N/A</v>
      </c>
      <c r="U124" s="55" t="e">
        <f ca="1"/>
        <v>#N/A</v>
      </c>
      <c r="V124" s="55" t="e">
        <f ca="1"/>
        <v>#N/A</v>
      </c>
      <c r="W124" s="55" t="e">
        <f ca="1"/>
        <v>#N/A</v>
      </c>
      <c r="X124" s="55" t="e">
        <f ca="1"/>
        <v>#N/A</v>
      </c>
      <c r="Y124" s="55" t="e">
        <f ca="1"/>
        <v>#N/A</v>
      </c>
      <c r="Z124" s="55" t="e">
        <f ca="1"/>
        <v>#N/A</v>
      </c>
      <c r="AA124" s="55" t="e">
        <f ca="1"/>
        <v>#N/A</v>
      </c>
      <c r="AB124" s="55" t="e">
        <f ca="1"/>
        <v>#N/A</v>
      </c>
      <c r="AC124" s="55" t="e">
        <f ca="1"/>
        <v>#N/A</v>
      </c>
      <c r="AD124" s="55" t="e">
        <f ca="1"/>
        <v>#N/A</v>
      </c>
      <c r="AE124" s="55" t="e">
        <f ca="1"/>
        <v>#N/A</v>
      </c>
      <c r="AF124" s="55" t="e">
        <f ca="1"/>
        <v>#N/A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-1.1697537137293148E-9</v>
      </c>
      <c r="G125" s="55">
        <f ca="1"/>
        <v>-1.5076370206754533E-6</v>
      </c>
      <c r="H125" s="55">
        <f ca="1"/>
        <v>-1.685159747517276E-4</v>
      </c>
      <c r="I125" s="55">
        <f ca="1"/>
        <v>-4.6851756177456972E-3</v>
      </c>
      <c r="J125" s="55">
        <f ca="1"/>
        <v>-5.4575735737228515E-2</v>
      </c>
      <c r="K125" s="55">
        <f ca="1"/>
        <v>-0.34800240749177141</v>
      </c>
      <c r="L125" s="55">
        <f ca="1"/>
        <v>-1.3757004090910387</v>
      </c>
      <c r="M125" s="55">
        <f ca="1"/>
        <v>-3.6548585411958188</v>
      </c>
      <c r="N125" s="55">
        <f ca="1"/>
        <v>-7.5515023486652515</v>
      </c>
      <c r="O125" s="55">
        <f ca="1"/>
        <v>-14.310015334343372</v>
      </c>
      <c r="P125" s="55">
        <f ca="1"/>
        <v>-27.42283212175759</v>
      </c>
      <c r="Q125" s="55">
        <f ca="1"/>
        <v>-51.409175158715151</v>
      </c>
      <c r="R125" s="55" t="e">
        <f ca="1"/>
        <v>#N/A</v>
      </c>
      <c r="S125" s="55" t="e">
        <f ca="1"/>
        <v>#N/A</v>
      </c>
      <c r="T125" s="55" t="e">
        <f ca="1"/>
        <v>#N/A</v>
      </c>
      <c r="U125" s="55" t="e">
        <f ca="1"/>
        <v>#N/A</v>
      </c>
      <c r="V125" s="55" t="e">
        <f ca="1"/>
        <v>#N/A</v>
      </c>
      <c r="W125" s="55" t="e">
        <f ca="1"/>
        <v>#N/A</v>
      </c>
      <c r="X125" s="55" t="e">
        <f ca="1"/>
        <v>#N/A</v>
      </c>
      <c r="Y125" s="55" t="e">
        <f ca="1"/>
        <v>#N/A</v>
      </c>
      <c r="Z125" s="55" t="e">
        <f ca="1"/>
        <v>#N/A</v>
      </c>
      <c r="AA125" s="55" t="e">
        <f ca="1"/>
        <v>#N/A</v>
      </c>
      <c r="AB125" s="55" t="e">
        <f ca="1"/>
        <v>#N/A</v>
      </c>
      <c r="AC125" s="55" t="e">
        <f ca="1"/>
        <v>#N/A</v>
      </c>
      <c r="AD125" s="55" t="e">
        <f ca="1"/>
        <v>#N/A</v>
      </c>
      <c r="AE125" s="55" t="e">
        <f ca="1"/>
        <v>#N/A</v>
      </c>
      <c r="AF125" s="55" t="e">
        <f ca="1"/>
        <v>#N/A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 xml:space="preserve">Раствор + газовая без Ar: </v>
      </c>
      <c r="F126" s="55">
        <f ca="1"/>
        <v>-3.7222436753120189</v>
      </c>
      <c r="G126" s="55">
        <f ca="1"/>
        <v>-15.149327987107506</v>
      </c>
      <c r="H126" s="55">
        <f ca="1"/>
        <v>-27.859678610253695</v>
      </c>
      <c r="I126" s="55">
        <f ca="1"/>
        <v>-41.608697823852488</v>
      </c>
      <c r="J126" s="55">
        <f ca="1"/>
        <v>-56.233592010578633</v>
      </c>
      <c r="K126" s="55">
        <f ca="1"/>
        <v>-71.589794140911508</v>
      </c>
      <c r="L126" s="55">
        <f ca="1"/>
        <v>-87.616265240630341</v>
      </c>
      <c r="M126" s="55">
        <f ca="1"/>
        <v>-104.25857056553539</v>
      </c>
      <c r="N126" s="55">
        <f ca="1"/>
        <v>-121.45770992933585</v>
      </c>
      <c r="O126" s="55">
        <f ca="1"/>
        <v>-139.1677112609558</v>
      </c>
      <c r="P126" s="55">
        <f ca="1"/>
        <v>-157.46367722214441</v>
      </c>
      <c r="Q126" s="55">
        <f ca="1"/>
        <v>-176.48343385067943</v>
      </c>
      <c r="R126" s="55" t="e">
        <f ca="1"/>
        <v>#N/A</v>
      </c>
      <c r="S126" s="55" t="e">
        <f ca="1"/>
        <v>#N/A</v>
      </c>
      <c r="T126" s="55" t="e">
        <f ca="1"/>
        <v>#N/A</v>
      </c>
      <c r="U126" s="55" t="e">
        <f ca="1"/>
        <v>#N/A</v>
      </c>
      <c r="V126" s="55" t="e">
        <f ca="1"/>
        <v>#N/A</v>
      </c>
      <c r="W126" s="55" t="e">
        <f ca="1"/>
        <v>#N/A</v>
      </c>
      <c r="X126" s="55" t="e">
        <f ca="1"/>
        <v>#N/A</v>
      </c>
      <c r="Y126" s="55" t="e">
        <f ca="1"/>
        <v>#N/A</v>
      </c>
      <c r="Z126" s="55" t="e">
        <f ca="1"/>
        <v>#N/A</v>
      </c>
      <c r="AA126" s="55" t="e">
        <f ca="1"/>
        <v>#N/A</v>
      </c>
      <c r="AB126" s="55" t="e">
        <f ca="1"/>
        <v>#N/A</v>
      </c>
      <c r="AC126" s="55" t="e">
        <f ca="1"/>
        <v>#N/A</v>
      </c>
      <c r="AD126" s="55" t="e">
        <f ca="1"/>
        <v>#N/A</v>
      </c>
      <c r="AE126" s="55" t="e">
        <f ca="1"/>
        <v>#N/A</v>
      </c>
      <c r="AF126" s="55" t="e">
        <f ca="1"/>
        <v>#N/A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str">
        <f ca="1"/>
        <v xml:space="preserve">Раствор + газовая: </v>
      </c>
      <c r="F127" s="55">
        <f ca="1"/>
        <v>-3.7222436756697546</v>
      </c>
      <c r="G127" s="55">
        <f ca="1"/>
        <v>-15.149328381694165</v>
      </c>
      <c r="H127" s="55">
        <f ca="1"/>
        <v>-27.859717141147698</v>
      </c>
      <c r="I127" s="55">
        <f ca="1"/>
        <v>-41.609647528852484</v>
      </c>
      <c r="J127" s="55">
        <f ca="1"/>
        <v>-56.243501849400062</v>
      </c>
      <c r="K127" s="55">
        <f ca="1"/>
        <v>-71.646748710625801</v>
      </c>
      <c r="L127" s="55">
        <f ca="1"/>
        <v>-87.818820065273201</v>
      </c>
      <c r="M127" s="55">
        <f ca="1"/>
        <v>-104.73286551624969</v>
      </c>
      <c r="N127" s="55">
        <f ca="1"/>
        <v>-122.27207842933585</v>
      </c>
      <c r="O127" s="55">
        <f ca="1"/>
        <v>-140.31887251809863</v>
      </c>
      <c r="P127" s="55">
        <f ca="1"/>
        <v>-158.92817195785869</v>
      </c>
      <c r="Q127" s="55">
        <f ca="1"/>
        <v>-178.2346830078223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9" priority="49" operator="equal">
      <formula>0</formula>
    </cfRule>
  </conditionalFormatting>
  <conditionalFormatting sqref="A80:D109">
    <cfRule type="cellIs" dxfId="8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9467FA4-E0FB-4D01-8E75-9A948969D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FLUID!F29:AK29</xm:f>
              <xm:sqref>AL29</xm:sqref>
            </x14:sparkline>
            <x14:sparkline>
              <xm:f>FLUID!F30:AK30</xm:f>
              <xm:sqref>AL30</xm:sqref>
            </x14:sparkline>
            <x14:sparkline>
              <xm:f>FLUID!F31:AK31</xm:f>
              <xm:sqref>AL31</xm:sqref>
            </x14:sparkline>
            <x14:sparkline>
              <xm:f>FLUID!F32:AK32</xm:f>
              <xm:sqref>AL32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BB136"/>
  <sheetViews>
    <sheetView topLeftCell="A78" zoomScale="85" zoomScaleNormal="85" zoomScaleSheetLayoutView="25" workbookViewId="0">
      <selection activeCell="AY124" sqref="AY124"/>
    </sheetView>
  </sheetViews>
  <sheetFormatPr defaultRowHeight="21" customHeight="1" outlineLevelRow="1" x14ac:dyDescent="0.35"/>
  <cols>
    <col min="1" max="4" width="5.6328125" style="55" customWidth="1"/>
    <col min="5" max="5" width="11.6328125" style="55" customWidth="1"/>
    <col min="6" max="6" width="8.90625" style="55" customWidth="1"/>
    <col min="7" max="20" width="8.6328125" style="55" hidden="1" customWidth="1"/>
    <col min="21" max="21" width="8.6328125" style="28" hidden="1" customWidth="1"/>
    <col min="22" max="22" width="8.6328125" style="29" hidden="1" customWidth="1"/>
    <col min="23" max="23" width="8.6328125" style="64" hidden="1" customWidth="1"/>
    <col min="24" max="37" width="8.6328125" style="55" hidden="1" customWidth="1"/>
    <col min="38" max="38" width="3" style="55" customWidth="1"/>
    <col min="39" max="16384" width="8.7265625" style="55"/>
  </cols>
  <sheetData>
    <row r="1" spans="1:54" ht="29.25" customHeight="1" thickBot="1" x14ac:dyDescent="0.4">
      <c r="A1" s="190" t="s">
        <v>26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90"/>
      <c r="AO1" s="190"/>
      <c r="AP1" s="190"/>
      <c r="AQ1" s="190"/>
      <c r="AR1" s="190"/>
      <c r="AS1" s="190"/>
      <c r="AT1" s="190"/>
      <c r="AU1" s="190"/>
      <c r="AV1" s="190"/>
      <c r="AW1" s="190"/>
      <c r="AX1" s="190"/>
      <c r="AY1" s="190"/>
      <c r="AZ1" s="190"/>
      <c r="BA1" s="190"/>
      <c r="BB1" s="190"/>
    </row>
    <row r="2" spans="1:54" ht="21" customHeight="1" thickBot="1" x14ac:dyDescent="0.45">
      <c r="A2" s="82">
        <f>Values!B1</f>
        <v>700</v>
      </c>
      <c r="B2" s="83">
        <v>8.3145000000000007</v>
      </c>
      <c r="C2" s="72"/>
      <c r="D2" s="72"/>
      <c r="E2" s="71" t="s">
        <v>20</v>
      </c>
      <c r="F2" s="72"/>
      <c r="G2" s="71"/>
      <c r="H2" s="71"/>
      <c r="I2" s="71"/>
      <c r="J2" s="71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5"/>
      <c r="W2" s="76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7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  <c r="BA2" s="81"/>
      <c r="BB2" s="84"/>
    </row>
    <row r="3" spans="1:54" ht="21" customHeight="1" outlineLevel="1" thickTop="1" thickBot="1" x14ac:dyDescent="0.4">
      <c r="A3" s="42" t="s">
        <v>1</v>
      </c>
      <c r="B3" s="42" t="s">
        <v>2</v>
      </c>
      <c r="C3" s="42" t="s">
        <v>3</v>
      </c>
      <c r="D3" s="43" t="s">
        <v>4</v>
      </c>
      <c r="E3" s="3" t="s">
        <v>69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3">
        <v>603.5</v>
      </c>
      <c r="U3" s="3">
        <v>669.6</v>
      </c>
      <c r="V3" s="3">
        <v>735.7</v>
      </c>
      <c r="W3" s="3">
        <v>752.2</v>
      </c>
      <c r="X3" s="3">
        <v>768.7</v>
      </c>
      <c r="Y3" s="4">
        <v>785.2</v>
      </c>
      <c r="Z3" s="4">
        <v>801.8</v>
      </c>
      <c r="AA3" s="4">
        <v>818.3</v>
      </c>
      <c r="AB3" s="4">
        <v>834.8</v>
      </c>
      <c r="AC3" s="4">
        <v>851.3</v>
      </c>
      <c r="AD3" s="4">
        <v>867.8</v>
      </c>
      <c r="AE3" s="4">
        <v>933.9</v>
      </c>
      <c r="AF3" s="4">
        <v>1000</v>
      </c>
      <c r="AG3" s="4"/>
      <c r="AH3" s="4"/>
      <c r="AI3" s="4"/>
      <c r="AJ3" s="4"/>
      <c r="AK3" s="4"/>
      <c r="AL3" s="20"/>
      <c r="AM3" s="28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6">
        <f>$A$2</f>
        <v>700</v>
      </c>
      <c r="BB3" s="27">
        <v>0</v>
      </c>
    </row>
    <row r="4" spans="1:54" ht="21" customHeight="1" outlineLevel="1" thickTop="1" thickBot="1" x14ac:dyDescent="0.4">
      <c r="A4" s="44">
        <f>IF( ISNUMBER( FIND(A$3,$E4,1)),   IF( ISNUMBER( VALUE(MID($E4,FIND(A$3,$E4,1)+2,1)) ), VALUE( MID($E4,FIND(A$3,$E4,1)+2,1) ),1),0)</f>
        <v>0</v>
      </c>
      <c r="B4" s="44">
        <f t="shared" ref="B4:D19" si="0">IF( ISNUMBER( FIND(B$3,$E4,1)),   IF( ISNUMBER( VALUE(MID($E4,FIND(B$3,$E4,1)+2,1)) ), VALUE( MID($E4,FIND(B$3,$E4,1)+2,1) ),1),0)</f>
        <v>0</v>
      </c>
      <c r="C4" s="44">
        <f t="shared" si="0"/>
        <v>1</v>
      </c>
      <c r="D4" s="44">
        <f t="shared" si="0"/>
        <v>0</v>
      </c>
      <c r="E4" s="6" t="s">
        <v>90</v>
      </c>
      <c r="F4" s="49">
        <v>0</v>
      </c>
      <c r="G4" s="49">
        <v>0</v>
      </c>
      <c r="H4" s="49">
        <v>0</v>
      </c>
      <c r="I4" s="49">
        <v>0</v>
      </c>
      <c r="J4" s="49">
        <v>0</v>
      </c>
      <c r="K4" s="49">
        <v>0</v>
      </c>
      <c r="L4" s="49">
        <v>0</v>
      </c>
      <c r="M4" s="49">
        <v>0</v>
      </c>
      <c r="N4" s="49">
        <v>0</v>
      </c>
      <c r="O4" s="49">
        <v>0</v>
      </c>
      <c r="P4" s="49">
        <v>0</v>
      </c>
      <c r="Q4" s="49">
        <v>0</v>
      </c>
      <c r="R4" s="49">
        <v>0</v>
      </c>
      <c r="S4" s="49">
        <v>0</v>
      </c>
      <c r="T4" s="49">
        <v>6.6855000000000004E-18</v>
      </c>
      <c r="U4" s="49">
        <v>1.762E-13</v>
      </c>
      <c r="V4" s="49">
        <v>5.8739999999999998E-14</v>
      </c>
      <c r="W4" s="49">
        <v>4.9521000000000001E-21</v>
      </c>
      <c r="X4" s="49">
        <v>3.5675999999999999E-28</v>
      </c>
      <c r="Y4" s="55">
        <v>0</v>
      </c>
      <c r="Z4" s="55">
        <v>5.1645000000000003E-20</v>
      </c>
      <c r="AA4" s="55">
        <v>2.3851000000000001E-13</v>
      </c>
      <c r="AB4" s="55">
        <v>1.8062000000000001E-17</v>
      </c>
      <c r="AC4" s="55">
        <v>8.5727999999999997E-20</v>
      </c>
      <c r="AD4" s="55">
        <v>6.7719000000000002E-20</v>
      </c>
      <c r="AE4" s="55">
        <v>2.1051999999999999E-14</v>
      </c>
      <c r="AF4" s="55">
        <v>4.6006999999999996E-9</v>
      </c>
      <c r="AM4" s="28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31">
        <f>$A$2</f>
        <v>700</v>
      </c>
      <c r="BB4" s="56">
        <v>1</v>
      </c>
    </row>
    <row r="5" spans="1:54" ht="21" customHeight="1" outlineLevel="1" thickBot="1" x14ac:dyDescent="0.4">
      <c r="A5" s="44">
        <f t="shared" ref="A5:D27" si="1">IF( ISNUMBER( FIND(A$3,$E5,1)),   IF( ISNUMBER( VALUE(MID($E5,FIND(A$3,$E5,1)+2,1)) ), VALUE( MID($E5,FIND(A$3,$E5,1)+2,1) ),1),0)</f>
        <v>0</v>
      </c>
      <c r="B5" s="44">
        <f t="shared" si="0"/>
        <v>0</v>
      </c>
      <c r="C5" s="44">
        <f t="shared" si="0"/>
        <v>1</v>
      </c>
      <c r="D5" s="44">
        <f t="shared" si="0"/>
        <v>0</v>
      </c>
      <c r="E5" s="6" t="s">
        <v>77</v>
      </c>
      <c r="F5" s="49">
        <v>0</v>
      </c>
      <c r="G5" s="49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1.6387999999999999E-33</v>
      </c>
      <c r="N5" s="49">
        <v>5.0901000000000002E-26</v>
      </c>
      <c r="O5" s="49">
        <v>1.5335000000000001E-11</v>
      </c>
      <c r="P5" s="49">
        <v>4.4230000000000001E-10</v>
      </c>
      <c r="Q5" s="49">
        <v>1.8701E-8</v>
      </c>
      <c r="R5" s="49">
        <v>0.14000000000000001</v>
      </c>
      <c r="S5" s="49">
        <v>0.14000000000000001</v>
      </c>
      <c r="T5" s="49">
        <v>0.14000000000000001</v>
      </c>
      <c r="U5" s="49">
        <v>0.14000000000000001</v>
      </c>
      <c r="V5" s="49">
        <v>0.14000000000000001</v>
      </c>
      <c r="W5" s="49">
        <v>0.14000000000000001</v>
      </c>
      <c r="X5" s="49">
        <v>0.14000000000000001</v>
      </c>
      <c r="Y5" s="55">
        <v>0.14000000000000001</v>
      </c>
      <c r="Z5" s="55">
        <v>0.13650999999999999</v>
      </c>
      <c r="AA5" s="55">
        <v>0.13588</v>
      </c>
      <c r="AB5" s="55">
        <v>0.13528000000000001</v>
      </c>
      <c r="AC5" s="55">
        <v>0.13461999999999999</v>
      </c>
      <c r="AD5" s="55">
        <v>0.13389000000000001</v>
      </c>
      <c r="AE5" s="55">
        <v>0.12989000000000001</v>
      </c>
      <c r="AF5" s="55">
        <v>0.12297</v>
      </c>
      <c r="AM5" s="28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30"/>
    </row>
    <row r="6" spans="1:54" ht="21" customHeight="1" outlineLevel="1" thickBot="1" x14ac:dyDescent="0.4">
      <c r="A6" s="44">
        <f t="shared" si="1"/>
        <v>0</v>
      </c>
      <c r="B6" s="44">
        <f t="shared" si="0"/>
        <v>1</v>
      </c>
      <c r="C6" s="44">
        <f t="shared" si="0"/>
        <v>1</v>
      </c>
      <c r="D6" s="44">
        <f t="shared" si="0"/>
        <v>0</v>
      </c>
      <c r="E6" s="6" t="s">
        <v>41</v>
      </c>
      <c r="F6" s="49">
        <v>0.14000000000000001</v>
      </c>
      <c r="G6" s="49">
        <v>0.14000000000000001</v>
      </c>
      <c r="H6" s="49">
        <v>0.14000000000000001</v>
      </c>
      <c r="I6" s="49">
        <v>0.14000000000000001</v>
      </c>
      <c r="J6" s="49">
        <v>0.14000000000000001</v>
      </c>
      <c r="K6" s="49">
        <v>0.28000000000000003</v>
      </c>
      <c r="L6" s="49">
        <v>0.28000000000000003</v>
      </c>
      <c r="M6" s="49">
        <v>0.28000000000000003</v>
      </c>
      <c r="N6" s="49">
        <v>0.28000000000000003</v>
      </c>
      <c r="O6" s="49">
        <v>0.28000000000000003</v>
      </c>
      <c r="P6" s="49">
        <v>0.28000000000000003</v>
      </c>
      <c r="Q6" s="49">
        <v>0.28000000000000003</v>
      </c>
      <c r="R6" s="49">
        <v>2.0335E-7</v>
      </c>
      <c r="S6" s="49">
        <v>1.9375E-9</v>
      </c>
      <c r="T6" s="49">
        <v>2.8928000000000001E-13</v>
      </c>
      <c r="U6" s="49">
        <v>5.8773E-21</v>
      </c>
      <c r="V6" s="49">
        <v>0</v>
      </c>
      <c r="W6" s="49">
        <v>0</v>
      </c>
      <c r="X6" s="49">
        <v>0</v>
      </c>
      <c r="Y6" s="55">
        <v>0</v>
      </c>
      <c r="Z6" s="55">
        <v>0</v>
      </c>
      <c r="AA6" s="55">
        <v>0</v>
      </c>
      <c r="AB6" s="55">
        <v>0</v>
      </c>
      <c r="AC6" s="55">
        <v>0</v>
      </c>
      <c r="AD6" s="55">
        <v>0</v>
      </c>
      <c r="AE6" s="55">
        <v>0</v>
      </c>
      <c r="AF6" s="55">
        <v>0</v>
      </c>
      <c r="AM6" s="28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30"/>
    </row>
    <row r="7" spans="1:54" ht="21" customHeight="1" outlineLevel="1" thickBot="1" x14ac:dyDescent="0.4">
      <c r="A7" s="44">
        <f t="shared" si="1"/>
        <v>0</v>
      </c>
      <c r="B7" s="44">
        <f t="shared" si="0"/>
        <v>0</v>
      </c>
      <c r="C7" s="44">
        <f t="shared" si="0"/>
        <v>0</v>
      </c>
      <c r="D7" s="44">
        <f t="shared" si="0"/>
        <v>1</v>
      </c>
      <c r="E7" s="6" t="s">
        <v>53</v>
      </c>
      <c r="F7" s="49">
        <v>0</v>
      </c>
      <c r="G7" s="49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</v>
      </c>
      <c r="R7" s="49">
        <v>0</v>
      </c>
      <c r="S7" s="49">
        <v>0</v>
      </c>
      <c r="T7" s="49">
        <v>0</v>
      </c>
      <c r="U7" s="49">
        <v>3.8944000000000003E-36</v>
      </c>
      <c r="V7" s="49">
        <v>1.0914999999999999E-20</v>
      </c>
      <c r="W7" s="49">
        <v>2.7170000000000003E-20</v>
      </c>
      <c r="X7" s="49">
        <v>2.7481999999999999E-17</v>
      </c>
      <c r="Y7" s="55">
        <v>2.1655999999999999E-17</v>
      </c>
      <c r="Z7" s="55">
        <v>4.1360000000000001E-8</v>
      </c>
      <c r="AA7" s="55">
        <v>3.4271999999999999E-7</v>
      </c>
      <c r="AB7" s="55">
        <v>2.5522999999999999E-7</v>
      </c>
      <c r="AC7" s="55">
        <v>1.8946E-7</v>
      </c>
      <c r="AD7" s="55">
        <v>1.6390000000000001E-7</v>
      </c>
      <c r="AE7" s="55">
        <v>5.6700999999999999E-8</v>
      </c>
      <c r="AF7" s="55">
        <v>1.6385000000000001E-8</v>
      </c>
      <c r="AM7" s="28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30"/>
    </row>
    <row r="8" spans="1:54" ht="21" customHeight="1" outlineLevel="1" thickBot="1" x14ac:dyDescent="0.4">
      <c r="A8" s="44">
        <f t="shared" si="1"/>
        <v>0</v>
      </c>
      <c r="B8" s="44">
        <f t="shared" si="0"/>
        <v>1</v>
      </c>
      <c r="C8" s="44">
        <f t="shared" si="0"/>
        <v>0</v>
      </c>
      <c r="D8" s="44">
        <f t="shared" si="0"/>
        <v>2</v>
      </c>
      <c r="E8" s="6" t="s">
        <v>93</v>
      </c>
      <c r="F8" s="49">
        <v>0</v>
      </c>
      <c r="G8" s="49">
        <v>0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0</v>
      </c>
      <c r="N8" s="49">
        <v>0</v>
      </c>
      <c r="O8" s="49">
        <v>0</v>
      </c>
      <c r="P8" s="49">
        <v>0</v>
      </c>
      <c r="Q8" s="49">
        <v>0</v>
      </c>
      <c r="R8" s="49">
        <v>0</v>
      </c>
      <c r="S8" s="49">
        <v>0</v>
      </c>
      <c r="T8" s="49">
        <v>0</v>
      </c>
      <c r="U8" s="49">
        <v>3.1006E-29</v>
      </c>
      <c r="V8" s="49">
        <v>4.1882000000000003E-12</v>
      </c>
      <c r="W8" s="49">
        <v>4.2325999999999999E-7</v>
      </c>
      <c r="X8" s="49">
        <v>1.2243E-2</v>
      </c>
      <c r="Y8" s="55">
        <v>1.7151E-2</v>
      </c>
      <c r="Z8" s="55">
        <v>2.6225000000000002E-8</v>
      </c>
      <c r="AA8" s="55">
        <v>6.3299000000000001E-13</v>
      </c>
      <c r="AB8" s="55">
        <v>5.1691999999999997E-25</v>
      </c>
      <c r="AC8" s="55">
        <v>0</v>
      </c>
      <c r="AD8" s="55">
        <v>0</v>
      </c>
      <c r="AE8" s="55">
        <v>0</v>
      </c>
      <c r="AF8" s="55">
        <v>0</v>
      </c>
      <c r="AM8" s="28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30"/>
    </row>
    <row r="9" spans="1:54" ht="21" customHeight="1" outlineLevel="1" thickBot="1" x14ac:dyDescent="0.4">
      <c r="A9" s="44">
        <f t="shared" si="1"/>
        <v>0</v>
      </c>
      <c r="B9" s="44">
        <f t="shared" si="0"/>
        <v>0</v>
      </c>
      <c r="C9" s="44">
        <f t="shared" si="0"/>
        <v>1</v>
      </c>
      <c r="D9" s="44">
        <f t="shared" si="0"/>
        <v>0</v>
      </c>
      <c r="E9" s="6" t="s">
        <v>76</v>
      </c>
      <c r="F9" s="49">
        <v>0</v>
      </c>
      <c r="G9" s="49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1.6387999999999999E-33</v>
      </c>
      <c r="N9" s="49">
        <v>5.0901000000000002E-26</v>
      </c>
      <c r="O9" s="49">
        <v>1.5335000000000001E-11</v>
      </c>
      <c r="P9" s="49">
        <v>4.4230000000000001E-10</v>
      </c>
      <c r="Q9" s="49">
        <v>1.8701E-8</v>
      </c>
      <c r="R9" s="49">
        <v>0.14000000000000001</v>
      </c>
      <c r="S9" s="49">
        <v>0.14000000000000001</v>
      </c>
      <c r="T9" s="49">
        <v>0.14000000000000001</v>
      </c>
      <c r="U9" s="49">
        <v>0.14000000000000001</v>
      </c>
      <c r="V9" s="49">
        <v>0.14000000000000001</v>
      </c>
      <c r="W9" s="49">
        <v>0.14000000000000001</v>
      </c>
      <c r="X9" s="49">
        <v>0.14000000000000001</v>
      </c>
      <c r="Y9" s="55">
        <v>0.14000000000000001</v>
      </c>
      <c r="Z9" s="55">
        <v>0.13650999999999999</v>
      </c>
      <c r="AA9" s="55">
        <v>0.13588</v>
      </c>
      <c r="AB9" s="55">
        <v>0.13528000000000001</v>
      </c>
      <c r="AC9" s="55">
        <v>0.13461999999999999</v>
      </c>
      <c r="AD9" s="55">
        <v>0.13389000000000001</v>
      </c>
      <c r="AE9" s="55">
        <v>0.12989000000000001</v>
      </c>
      <c r="AF9" s="55">
        <v>0.12297</v>
      </c>
      <c r="AM9" s="28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30"/>
    </row>
    <row r="10" spans="1:54" ht="21" customHeight="1" outlineLevel="1" thickBot="1" x14ac:dyDescent="0.4">
      <c r="A10" s="44">
        <f t="shared" si="1"/>
        <v>0</v>
      </c>
      <c r="B10" s="44">
        <f t="shared" si="0"/>
        <v>1</v>
      </c>
      <c r="C10" s="44">
        <f t="shared" si="0"/>
        <v>0</v>
      </c>
      <c r="D10" s="44">
        <f t="shared" si="0"/>
        <v>0</v>
      </c>
      <c r="E10" s="6" t="s">
        <v>42</v>
      </c>
      <c r="F10" s="49">
        <v>1.5275E-21</v>
      </c>
      <c r="G10" s="49">
        <v>1.3022000000000001E-17</v>
      </c>
      <c r="H10" s="49">
        <v>4.1226999999999998E-12</v>
      </c>
      <c r="I10" s="49">
        <v>1.4575E-9</v>
      </c>
      <c r="J10" s="49">
        <v>3.051E-7</v>
      </c>
      <c r="K10" s="49">
        <v>0.14000000000000001</v>
      </c>
      <c r="L10" s="49">
        <v>0.14000000000000001</v>
      </c>
      <c r="M10" s="49">
        <v>0.14000000000000001</v>
      </c>
      <c r="N10" s="49">
        <v>0.14000000000000001</v>
      </c>
      <c r="O10" s="49">
        <v>0.14000000000000001</v>
      </c>
      <c r="P10" s="49">
        <v>0.14000000000000001</v>
      </c>
      <c r="Q10" s="49">
        <v>0.14000000000000001</v>
      </c>
      <c r="R10" s="49">
        <v>0.42</v>
      </c>
      <c r="S10" s="49">
        <v>0.42</v>
      </c>
      <c r="T10" s="49">
        <v>0.42</v>
      </c>
      <c r="U10" s="49">
        <v>0.42</v>
      </c>
      <c r="V10" s="49">
        <v>0.42</v>
      </c>
      <c r="W10" s="49">
        <v>0.42</v>
      </c>
      <c r="X10" s="49">
        <v>0.44449</v>
      </c>
      <c r="Y10" s="55">
        <v>0.45429999999999998</v>
      </c>
      <c r="Z10" s="55">
        <v>0.47771999999999998</v>
      </c>
      <c r="AA10" s="55">
        <v>0.47964000000000001</v>
      </c>
      <c r="AB10" s="55">
        <v>0.47993999999999998</v>
      </c>
      <c r="AC10" s="55">
        <v>0.47999000000000003</v>
      </c>
      <c r="AD10" s="55">
        <v>0.48</v>
      </c>
      <c r="AE10" s="55">
        <v>0.48</v>
      </c>
      <c r="AF10" s="55">
        <v>0.48</v>
      </c>
      <c r="AM10" s="28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30"/>
    </row>
    <row r="11" spans="1:54" ht="21" customHeight="1" outlineLevel="1" thickBot="1" x14ac:dyDescent="0.4">
      <c r="A11" s="44">
        <f t="shared" si="1"/>
        <v>0</v>
      </c>
      <c r="B11" s="44">
        <f t="shared" si="0"/>
        <v>2</v>
      </c>
      <c r="C11" s="44">
        <f t="shared" si="0"/>
        <v>1</v>
      </c>
      <c r="D11" s="44">
        <f t="shared" si="0"/>
        <v>0</v>
      </c>
      <c r="E11" s="6" t="s">
        <v>75</v>
      </c>
      <c r="F11" s="49">
        <v>0.14000000000000001</v>
      </c>
      <c r="G11" s="49">
        <v>0.14000000000000001</v>
      </c>
      <c r="H11" s="49">
        <v>0.14000000000000001</v>
      </c>
      <c r="I11" s="49">
        <v>0.14000000000000001</v>
      </c>
      <c r="J11" s="49">
        <v>0.14000000000000001</v>
      </c>
      <c r="K11" s="49">
        <v>3.2209999999999999E-9</v>
      </c>
      <c r="L11" s="49">
        <v>1.9975999999999999E-10</v>
      </c>
      <c r="M11" s="49">
        <v>9.6340999999999999E-12</v>
      </c>
      <c r="N11" s="49">
        <v>1.4116999999999999E-13</v>
      </c>
      <c r="O11" s="49">
        <v>2.8361000000000002E-26</v>
      </c>
      <c r="P11" s="49">
        <v>0</v>
      </c>
      <c r="Q11" s="49">
        <v>0</v>
      </c>
      <c r="R11" s="49">
        <v>0</v>
      </c>
      <c r="S11" s="49">
        <v>0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  <c r="Y11" s="55">
        <v>0</v>
      </c>
      <c r="Z11" s="55">
        <v>0</v>
      </c>
      <c r="AA11" s="55">
        <v>0</v>
      </c>
      <c r="AB11" s="55">
        <v>0</v>
      </c>
      <c r="AC11" s="55">
        <v>0</v>
      </c>
      <c r="AD11" s="55">
        <v>0</v>
      </c>
      <c r="AE11" s="55">
        <v>0</v>
      </c>
      <c r="AF11" s="55">
        <v>0</v>
      </c>
      <c r="AM11" s="28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30"/>
    </row>
    <row r="12" spans="1:54" ht="21" customHeight="1" outlineLevel="1" thickBot="1" x14ac:dyDescent="0.4">
      <c r="A12" s="44">
        <f t="shared" si="1"/>
        <v>0</v>
      </c>
      <c r="B12" s="44">
        <f t="shared" si="0"/>
        <v>3</v>
      </c>
      <c r="C12" s="44">
        <f t="shared" si="0"/>
        <v>0</v>
      </c>
      <c r="D12" s="44">
        <f t="shared" si="0"/>
        <v>2</v>
      </c>
      <c r="E12" s="6" t="s">
        <v>70</v>
      </c>
      <c r="F12" s="49">
        <v>0.02</v>
      </c>
      <c r="G12" s="49">
        <v>0.02</v>
      </c>
      <c r="H12" s="49">
        <v>0.02</v>
      </c>
      <c r="I12" s="49">
        <v>0.02</v>
      </c>
      <c r="J12" s="49">
        <v>0.02</v>
      </c>
      <c r="K12" s="49">
        <v>0.02</v>
      </c>
      <c r="L12" s="49">
        <v>0.02</v>
      </c>
      <c r="M12" s="49">
        <v>0.02</v>
      </c>
      <c r="N12" s="49">
        <v>0.02</v>
      </c>
      <c r="O12" s="49">
        <v>0.02</v>
      </c>
      <c r="P12" s="49">
        <v>0.02</v>
      </c>
      <c r="Q12" s="49">
        <v>0.02</v>
      </c>
      <c r="R12" s="49">
        <v>0.02</v>
      </c>
      <c r="S12" s="49">
        <v>0.02</v>
      </c>
      <c r="T12" s="49">
        <v>0.02</v>
      </c>
      <c r="U12" s="49">
        <v>0.02</v>
      </c>
      <c r="V12" s="49">
        <v>0.02</v>
      </c>
      <c r="W12" s="49">
        <v>0.02</v>
      </c>
      <c r="X12" s="49">
        <v>7.7565999999999998E-3</v>
      </c>
      <c r="Y12" s="55">
        <v>2.8487E-3</v>
      </c>
      <c r="Z12" s="55">
        <v>7.5883000000000005E-4</v>
      </c>
      <c r="AA12" s="55">
        <v>1.1998999999999999E-4</v>
      </c>
      <c r="AB12" s="55">
        <v>2.0021E-5</v>
      </c>
      <c r="AC12" s="55">
        <v>3.5053000000000001E-6</v>
      </c>
      <c r="AD12" s="55">
        <v>6.4165000000000003E-7</v>
      </c>
      <c r="AE12" s="55">
        <v>1.0583E-9</v>
      </c>
      <c r="AF12" s="55">
        <v>2.8184000000000002E-12</v>
      </c>
      <c r="AM12" s="28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30"/>
    </row>
    <row r="13" spans="1:54" ht="21" customHeight="1" outlineLevel="1" thickBot="1" x14ac:dyDescent="0.4">
      <c r="A13" s="44">
        <f t="shared" si="1"/>
        <v>0</v>
      </c>
      <c r="B13" s="44">
        <f t="shared" si="0"/>
        <v>1</v>
      </c>
      <c r="C13" s="44">
        <f t="shared" si="0"/>
        <v>0</v>
      </c>
      <c r="D13" s="44">
        <f t="shared" si="0"/>
        <v>2</v>
      </c>
      <c r="E13" s="6" t="s">
        <v>71</v>
      </c>
      <c r="F13" s="49">
        <v>0</v>
      </c>
      <c r="G13" s="49">
        <v>0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M13" s="49">
        <v>0</v>
      </c>
      <c r="N13" s="49">
        <v>0</v>
      </c>
      <c r="O13" s="49">
        <v>6.6809999999999997E-33</v>
      </c>
      <c r="P13" s="49">
        <v>7.8149999999999998E-31</v>
      </c>
      <c r="Q13" s="49">
        <v>6.8396999999999999E-29</v>
      </c>
      <c r="R13" s="49">
        <v>4.6017E-27</v>
      </c>
      <c r="S13" s="49">
        <v>2.4372999999999999E-25</v>
      </c>
      <c r="T13" s="49">
        <v>2.5777E-19</v>
      </c>
      <c r="U13" s="49">
        <v>2.2115999999999999E-14</v>
      </c>
      <c r="V13" s="49">
        <v>2.9888000000000001E-10</v>
      </c>
      <c r="W13" s="49">
        <v>2.5529000000000001E-9</v>
      </c>
      <c r="X13" s="49">
        <v>7.7960999999999996E-9</v>
      </c>
      <c r="Y13" s="55">
        <v>2.0885999999999999E-8</v>
      </c>
      <c r="Z13" s="55">
        <v>3.7773999999999998E-8</v>
      </c>
      <c r="AA13" s="55">
        <v>3.7906000000000002E-8</v>
      </c>
      <c r="AB13" s="55">
        <v>3.7667000000000002E-8</v>
      </c>
      <c r="AC13" s="55">
        <v>3.6985999999999998E-8</v>
      </c>
      <c r="AD13" s="55">
        <v>3.5881000000000002E-8</v>
      </c>
      <c r="AE13" s="55">
        <v>2.8110999999999999E-8</v>
      </c>
      <c r="AF13" s="55">
        <v>1.7782E-8</v>
      </c>
      <c r="AM13" s="28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BB13" s="30"/>
    </row>
    <row r="14" spans="1:54" ht="21" customHeight="1" outlineLevel="1" thickBot="1" x14ac:dyDescent="0.4">
      <c r="A14" s="44">
        <f t="shared" si="1"/>
        <v>1</v>
      </c>
      <c r="B14" s="44">
        <f t="shared" si="0"/>
        <v>0</v>
      </c>
      <c r="C14" s="44">
        <f t="shared" si="0"/>
        <v>0</v>
      </c>
      <c r="D14" s="44">
        <f t="shared" si="0"/>
        <v>0</v>
      </c>
      <c r="E14" s="6" t="s">
        <v>1</v>
      </c>
      <c r="F14" s="49">
        <v>0.2</v>
      </c>
      <c r="G14" s="49">
        <v>0.2</v>
      </c>
      <c r="H14" s="49">
        <v>0.2</v>
      </c>
      <c r="I14" s="49">
        <v>0.2</v>
      </c>
      <c r="J14" s="49">
        <v>0.2</v>
      </c>
      <c r="K14" s="49">
        <v>0.2</v>
      </c>
      <c r="L14" s="49">
        <v>0.2</v>
      </c>
      <c r="M14" s="49">
        <v>0.2</v>
      </c>
      <c r="N14" s="49">
        <v>0.2</v>
      </c>
      <c r="O14" s="49">
        <v>0.2</v>
      </c>
      <c r="P14" s="49">
        <v>0.2</v>
      </c>
      <c r="Q14" s="49">
        <v>0.2</v>
      </c>
      <c r="R14" s="49">
        <v>0.2</v>
      </c>
      <c r="S14" s="49">
        <v>0.2</v>
      </c>
      <c r="T14" s="49">
        <v>0.2</v>
      </c>
      <c r="U14" s="49">
        <v>0.2</v>
      </c>
      <c r="V14" s="49">
        <v>0.2</v>
      </c>
      <c r="W14" s="49">
        <v>0.2</v>
      </c>
      <c r="X14" s="49">
        <v>0.2</v>
      </c>
      <c r="Y14" s="55">
        <v>0.2</v>
      </c>
      <c r="Z14" s="55">
        <v>0.2</v>
      </c>
      <c r="AA14" s="55">
        <v>0.2</v>
      </c>
      <c r="AB14" s="55">
        <v>0.2</v>
      </c>
      <c r="AC14" s="55">
        <v>0.2</v>
      </c>
      <c r="AD14" s="55">
        <v>0.2</v>
      </c>
      <c r="AE14" s="55">
        <v>0.2</v>
      </c>
      <c r="AF14" s="55">
        <v>0.2</v>
      </c>
      <c r="AM14" s="28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BB14" s="30"/>
    </row>
    <row r="15" spans="1:54" ht="21" customHeight="1" outlineLevel="1" thickBot="1" x14ac:dyDescent="0.4">
      <c r="A15" s="44">
        <f t="shared" si="1"/>
        <v>0</v>
      </c>
      <c r="B15" s="44">
        <f t="shared" si="0"/>
        <v>0</v>
      </c>
      <c r="C15" s="44">
        <f t="shared" si="0"/>
        <v>0</v>
      </c>
      <c r="D15" s="44">
        <f t="shared" si="0"/>
        <v>1</v>
      </c>
      <c r="E15" s="6" t="s">
        <v>91</v>
      </c>
      <c r="F15" s="49">
        <v>0</v>
      </c>
      <c r="G15" s="49">
        <v>0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</v>
      </c>
      <c r="R15" s="49">
        <v>0</v>
      </c>
      <c r="S15" s="49">
        <v>0</v>
      </c>
      <c r="T15" s="49">
        <v>3.6238000000000002E-20</v>
      </c>
      <c r="U15" s="49">
        <v>7.0432999999999999E-14</v>
      </c>
      <c r="V15" s="49">
        <v>2.9604999999999998E-10</v>
      </c>
      <c r="W15" s="49">
        <v>1.039E-10</v>
      </c>
      <c r="X15" s="49">
        <v>1.5157999999999999E-8</v>
      </c>
      <c r="Y15" s="55">
        <v>2.1476E-7</v>
      </c>
      <c r="Z15" s="55">
        <v>3.8482000000000002E-2</v>
      </c>
      <c r="AA15" s="55">
        <v>3.9759999999999997E-2</v>
      </c>
      <c r="AB15" s="55">
        <v>3.9960000000000002E-2</v>
      </c>
      <c r="AC15" s="55">
        <v>3.9993000000000001E-2</v>
      </c>
      <c r="AD15" s="55">
        <v>3.9997999999999999E-2</v>
      </c>
      <c r="AE15" s="55">
        <v>0.04</v>
      </c>
      <c r="AF15" s="55">
        <v>0.04</v>
      </c>
      <c r="AM15" s="28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30"/>
    </row>
    <row r="16" spans="1:54" ht="21" customHeight="1" outlineLevel="1" thickBot="1" x14ac:dyDescent="0.4">
      <c r="A16" s="44">
        <f t="shared" si="1"/>
        <v>0</v>
      </c>
      <c r="B16" s="44">
        <f t="shared" si="0"/>
        <v>0</v>
      </c>
      <c r="C16" s="44">
        <f t="shared" si="0"/>
        <v>1</v>
      </c>
      <c r="D16" s="44">
        <f t="shared" si="0"/>
        <v>0</v>
      </c>
      <c r="E16" s="6" t="s">
        <v>92</v>
      </c>
      <c r="F16" s="49">
        <v>0</v>
      </c>
      <c r="G16" s="49">
        <v>0</v>
      </c>
      <c r="H16" s="49">
        <v>0</v>
      </c>
      <c r="I16" s="49">
        <v>0</v>
      </c>
      <c r="J16" s="49">
        <v>0</v>
      </c>
      <c r="K16" s="49">
        <v>0</v>
      </c>
      <c r="L16" s="49">
        <v>0</v>
      </c>
      <c r="M16" s="49">
        <v>0</v>
      </c>
      <c r="N16" s="49">
        <v>0</v>
      </c>
      <c r="O16" s="49">
        <v>7.4125999999999999E-36</v>
      </c>
      <c r="P16" s="49">
        <v>0</v>
      </c>
      <c r="Q16" s="49">
        <v>0</v>
      </c>
      <c r="R16" s="49">
        <v>0</v>
      </c>
      <c r="S16" s="49">
        <v>0</v>
      </c>
      <c r="T16" s="49">
        <v>2.0193000000000001E-16</v>
      </c>
      <c r="U16" s="49">
        <v>4.0033000000000001E-12</v>
      </c>
      <c r="V16" s="49">
        <v>3.3269000000000002E-10</v>
      </c>
      <c r="W16" s="49">
        <v>4.7667000000000002E-11</v>
      </c>
      <c r="X16" s="49">
        <v>4.5630999999999997E-9</v>
      </c>
      <c r="Y16" s="55">
        <v>4.5578E-8</v>
      </c>
      <c r="Z16" s="55">
        <v>6.9871999999999998E-3</v>
      </c>
      <c r="AA16" s="55">
        <v>8.2457999999999993E-3</v>
      </c>
      <c r="AB16" s="55">
        <v>9.4445999999999992E-3</v>
      </c>
      <c r="AC16" s="55">
        <v>1.0753E-2</v>
      </c>
      <c r="AD16" s="55">
        <v>1.2215999999999999E-2</v>
      </c>
      <c r="AE16" s="55">
        <v>2.0229E-2</v>
      </c>
      <c r="AF16" s="55">
        <v>3.4062000000000002E-2</v>
      </c>
      <c r="AM16" s="28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30"/>
    </row>
    <row r="17" spans="1:54" ht="21" customHeight="1" outlineLevel="1" thickBot="1" x14ac:dyDescent="0.4">
      <c r="A17" s="44">
        <f t="shared" si="1"/>
        <v>1</v>
      </c>
      <c r="B17" s="44">
        <f t="shared" si="0"/>
        <v>0</v>
      </c>
      <c r="C17" s="44">
        <f t="shared" si="0"/>
        <v>0</v>
      </c>
      <c r="D17" s="44">
        <f t="shared" si="0"/>
        <v>0</v>
      </c>
      <c r="E17" s="6" t="s">
        <v>28</v>
      </c>
      <c r="F17" s="49">
        <v>-18.72</v>
      </c>
      <c r="G17" s="49">
        <v>-18.71</v>
      </c>
      <c r="H17" s="49">
        <v>-18.71</v>
      </c>
      <c r="I17" s="49">
        <v>-18.71</v>
      </c>
      <c r="J17" s="49">
        <v>-18.73</v>
      </c>
      <c r="K17" s="49">
        <v>-18.739999999999998</v>
      </c>
      <c r="L17" s="49">
        <v>-18.760000000000002</v>
      </c>
      <c r="M17" s="49">
        <v>-18.79</v>
      </c>
      <c r="N17" s="49">
        <v>-18.809999999999999</v>
      </c>
      <c r="O17" s="49">
        <v>-18.93</v>
      </c>
      <c r="P17" s="49">
        <v>-18.97</v>
      </c>
      <c r="Q17" s="49">
        <v>-19</v>
      </c>
      <c r="R17" s="49">
        <v>-19.03</v>
      </c>
      <c r="S17" s="49">
        <v>-19.07</v>
      </c>
      <c r="T17" s="49">
        <v>-19.2</v>
      </c>
      <c r="U17" s="49">
        <v>-19.34</v>
      </c>
      <c r="V17" s="49">
        <v>-19.48</v>
      </c>
      <c r="W17" s="49">
        <v>-19.510000000000002</v>
      </c>
      <c r="X17" s="49">
        <v>-19.489999999999998</v>
      </c>
      <c r="Y17" s="55">
        <v>-19.5</v>
      </c>
      <c r="Z17" s="55">
        <v>-19.52</v>
      </c>
      <c r="AA17" s="55">
        <v>-19.55</v>
      </c>
      <c r="AB17" s="55">
        <v>-19.579999999999998</v>
      </c>
      <c r="AC17" s="55">
        <v>-19.61</v>
      </c>
      <c r="AD17" s="55">
        <v>-19.64</v>
      </c>
      <c r="AE17" s="55">
        <v>-19.760000000000002</v>
      </c>
      <c r="AF17" s="55">
        <v>-19.88</v>
      </c>
      <c r="AM17" s="28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30"/>
    </row>
    <row r="18" spans="1:54" ht="21" customHeight="1" outlineLevel="1" thickBot="1" x14ac:dyDescent="0.4">
      <c r="A18" s="44">
        <f t="shared" si="1"/>
        <v>0</v>
      </c>
      <c r="B18" s="44">
        <f t="shared" si="0"/>
        <v>0</v>
      </c>
      <c r="C18" s="44">
        <f t="shared" si="0"/>
        <v>0</v>
      </c>
      <c r="D18" s="44">
        <f t="shared" si="0"/>
        <v>1</v>
      </c>
      <c r="E18" s="6" t="s">
        <v>5</v>
      </c>
      <c r="F18" s="49">
        <v>-66.760000000000005</v>
      </c>
      <c r="G18" s="49">
        <v>-63.28</v>
      </c>
      <c r="H18" s="49">
        <v>-60.18</v>
      </c>
      <c r="I18" s="49">
        <v>-57.4</v>
      </c>
      <c r="J18" s="49">
        <v>-54.91</v>
      </c>
      <c r="K18" s="49">
        <v>-51.53</v>
      </c>
      <c r="L18" s="49">
        <v>-48.17</v>
      </c>
      <c r="M18" s="49">
        <v>-45.06</v>
      </c>
      <c r="N18" s="49">
        <v>-42.19</v>
      </c>
      <c r="O18" s="49">
        <v>-32.53</v>
      </c>
      <c r="P18" s="49">
        <v>-30.48</v>
      </c>
      <c r="Q18" s="49">
        <v>-28.55</v>
      </c>
      <c r="R18" s="49">
        <v>-26.74</v>
      </c>
      <c r="S18" s="49">
        <v>-25.02</v>
      </c>
      <c r="T18" s="49">
        <v>-18.96</v>
      </c>
      <c r="U18" s="49">
        <v>-13.95</v>
      </c>
      <c r="V18" s="49">
        <v>-9.7059999999999995</v>
      </c>
      <c r="W18" s="49">
        <v>-8.7420000000000009</v>
      </c>
      <c r="X18" s="49">
        <v>-8.2560000000000002</v>
      </c>
      <c r="Y18" s="55">
        <v>-7.8470000000000004</v>
      </c>
      <c r="Z18" s="55">
        <v>-7.6349999999999998</v>
      </c>
      <c r="AA18" s="55">
        <v>-7.7149999999999999</v>
      </c>
      <c r="AB18" s="55">
        <v>-7.7960000000000003</v>
      </c>
      <c r="AC18" s="55">
        <v>-7.8789999999999996</v>
      </c>
      <c r="AD18" s="55">
        <v>-7.9630000000000001</v>
      </c>
      <c r="AE18" s="55">
        <v>-8.3190000000000008</v>
      </c>
      <c r="AF18" s="55">
        <v>-8.7249999999999996</v>
      </c>
      <c r="AM18" s="28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30"/>
    </row>
    <row r="19" spans="1:54" ht="21" customHeight="1" outlineLevel="1" thickBot="1" x14ac:dyDescent="0.4">
      <c r="A19" s="44">
        <f t="shared" si="1"/>
        <v>0</v>
      </c>
      <c r="B19" s="44">
        <f t="shared" si="0"/>
        <v>0</v>
      </c>
      <c r="C19" s="44">
        <f t="shared" si="0"/>
        <v>1</v>
      </c>
      <c r="D19" s="44">
        <f t="shared" si="0"/>
        <v>0</v>
      </c>
      <c r="E19" s="6" t="s">
        <v>6</v>
      </c>
      <c r="F19" s="49">
        <v>-16.29</v>
      </c>
      <c r="G19" s="49">
        <v>-15.65</v>
      </c>
      <c r="H19" s="49">
        <v>-15.09</v>
      </c>
      <c r="I19" s="49">
        <v>-14.59</v>
      </c>
      <c r="J19" s="49">
        <v>-14.16</v>
      </c>
      <c r="K19" s="49">
        <v>-13.03</v>
      </c>
      <c r="L19" s="49">
        <v>-11.8</v>
      </c>
      <c r="M19" s="49">
        <v>-10.67</v>
      </c>
      <c r="N19" s="49">
        <v>-9.6150000000000002</v>
      </c>
      <c r="O19" s="49">
        <v>-6.04</v>
      </c>
      <c r="P19" s="49">
        <v>-5.2759999999999998</v>
      </c>
      <c r="Q19" s="49">
        <v>-4.5529999999999999</v>
      </c>
      <c r="R19" s="49">
        <v>-4.1150000000000002</v>
      </c>
      <c r="S19" s="49">
        <v>-4.1550000000000002</v>
      </c>
      <c r="T19" s="49">
        <v>-4.3170000000000002</v>
      </c>
      <c r="U19" s="49">
        <v>-4.4809999999999999</v>
      </c>
      <c r="V19" s="49">
        <v>-4.6429999999999998</v>
      </c>
      <c r="W19" s="49">
        <v>-4.6829999999999998</v>
      </c>
      <c r="X19" s="49">
        <v>-4.7220000000000004</v>
      </c>
      <c r="Y19" s="55">
        <v>-4.7619999999999996</v>
      </c>
      <c r="Z19" s="55">
        <v>-4.8010000000000002</v>
      </c>
      <c r="AA19" s="55">
        <v>-4.84</v>
      </c>
      <c r="AB19" s="55">
        <v>-4.8780000000000001</v>
      </c>
      <c r="AC19" s="55">
        <v>-4.9169999999999998</v>
      </c>
      <c r="AD19" s="55">
        <v>-4.9550000000000001</v>
      </c>
      <c r="AE19" s="55">
        <v>-5.1040000000000001</v>
      </c>
      <c r="AF19" s="55">
        <v>-5.2489999999999997</v>
      </c>
      <c r="AM19" s="28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30"/>
    </row>
    <row r="20" spans="1:54" ht="21" customHeight="1" outlineLevel="1" thickBot="1" x14ac:dyDescent="0.4">
      <c r="A20" s="44">
        <f t="shared" si="1"/>
        <v>0</v>
      </c>
      <c r="B20" s="44">
        <f t="shared" si="1"/>
        <v>1</v>
      </c>
      <c r="C20" s="44">
        <f t="shared" si="1"/>
        <v>0</v>
      </c>
      <c r="D20" s="44">
        <f t="shared" si="1"/>
        <v>0</v>
      </c>
      <c r="E20" s="48" t="s">
        <v>7</v>
      </c>
      <c r="F20" s="49">
        <v>-23.52</v>
      </c>
      <c r="G20" s="49">
        <v>-22.41</v>
      </c>
      <c r="H20" s="49">
        <v>-21.42</v>
      </c>
      <c r="I20" s="49">
        <v>-20.54</v>
      </c>
      <c r="J20" s="49">
        <v>-19.760000000000002</v>
      </c>
      <c r="K20" s="49">
        <v>-19.79</v>
      </c>
      <c r="L20" s="49">
        <v>-20.03</v>
      </c>
      <c r="M20" s="49">
        <v>-20.28</v>
      </c>
      <c r="N20" s="49">
        <v>-20.52</v>
      </c>
      <c r="O20" s="49">
        <v>-21.52</v>
      </c>
      <c r="P20" s="49">
        <v>-21.77</v>
      </c>
      <c r="Q20" s="49">
        <v>-22.02</v>
      </c>
      <c r="R20" s="49">
        <v>-22.27</v>
      </c>
      <c r="S20" s="49">
        <v>-22.51</v>
      </c>
      <c r="T20" s="49">
        <v>-23.48</v>
      </c>
      <c r="U20" s="49">
        <v>-24.41</v>
      </c>
      <c r="V20" s="49">
        <v>-25.31</v>
      </c>
      <c r="W20" s="49">
        <v>-25.53</v>
      </c>
      <c r="X20" s="49">
        <v>-25.75</v>
      </c>
      <c r="Y20" s="49">
        <v>-25.96</v>
      </c>
      <c r="Z20" s="49">
        <v>-26.18</v>
      </c>
      <c r="AA20" s="49">
        <v>-26.39</v>
      </c>
      <c r="AB20" s="49">
        <v>-26.6</v>
      </c>
      <c r="AC20" s="49">
        <v>-26.81</v>
      </c>
      <c r="AD20" s="49">
        <v>-27.02</v>
      </c>
      <c r="AE20" s="49">
        <v>-27.83</v>
      </c>
      <c r="AF20" s="49">
        <v>-28.62</v>
      </c>
      <c r="AG20" s="49"/>
      <c r="AH20" s="49"/>
      <c r="AI20" s="49"/>
      <c r="AJ20" s="49"/>
      <c r="AK20" s="49"/>
      <c r="AL20" s="49"/>
      <c r="AM20" s="28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30"/>
    </row>
    <row r="21" spans="1:54" ht="21" customHeight="1" outlineLevel="1" thickBot="1" x14ac:dyDescent="0.4">
      <c r="A21" s="44">
        <f t="shared" si="1"/>
        <v>0</v>
      </c>
      <c r="B21" s="44">
        <f t="shared" si="1"/>
        <v>0</v>
      </c>
      <c r="C21" s="44">
        <f t="shared" si="1"/>
        <v>0</v>
      </c>
      <c r="D21" s="44">
        <f t="shared" si="1"/>
        <v>0</v>
      </c>
      <c r="E21" s="48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28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30"/>
    </row>
    <row r="22" spans="1:54" ht="21" customHeight="1" outlineLevel="1" thickBot="1" x14ac:dyDescent="0.4">
      <c r="A22" s="44">
        <f t="shared" si="1"/>
        <v>0</v>
      </c>
      <c r="B22" s="44">
        <f t="shared" si="1"/>
        <v>0</v>
      </c>
      <c r="C22" s="44">
        <f t="shared" si="1"/>
        <v>0</v>
      </c>
      <c r="D22" s="44">
        <f t="shared" si="1"/>
        <v>0</v>
      </c>
      <c r="E22" s="48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28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30"/>
    </row>
    <row r="23" spans="1:54" ht="21" customHeight="1" outlineLevel="1" thickBot="1" x14ac:dyDescent="0.4">
      <c r="A23" s="44">
        <f t="shared" si="1"/>
        <v>0</v>
      </c>
      <c r="B23" s="44">
        <f t="shared" si="1"/>
        <v>0</v>
      </c>
      <c r="C23" s="44">
        <f t="shared" si="1"/>
        <v>0</v>
      </c>
      <c r="D23" s="44">
        <f t="shared" si="1"/>
        <v>0</v>
      </c>
      <c r="E23" s="41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28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30"/>
    </row>
    <row r="24" spans="1:54" ht="21" customHeight="1" outlineLevel="1" thickBot="1" x14ac:dyDescent="0.4">
      <c r="A24" s="44">
        <f t="shared" si="1"/>
        <v>0</v>
      </c>
      <c r="B24" s="44">
        <f t="shared" si="1"/>
        <v>0</v>
      </c>
      <c r="C24" s="44">
        <f t="shared" si="1"/>
        <v>0</v>
      </c>
      <c r="D24" s="44">
        <f t="shared" si="1"/>
        <v>0</v>
      </c>
      <c r="E24" s="41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28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30"/>
    </row>
    <row r="25" spans="1:54" ht="21" customHeight="1" outlineLevel="1" thickBot="1" x14ac:dyDescent="0.4">
      <c r="A25" s="44">
        <f t="shared" si="1"/>
        <v>0</v>
      </c>
      <c r="B25" s="44">
        <f t="shared" si="1"/>
        <v>0</v>
      </c>
      <c r="C25" s="44">
        <f t="shared" si="1"/>
        <v>0</v>
      </c>
      <c r="D25" s="44">
        <f t="shared" si="1"/>
        <v>0</v>
      </c>
      <c r="E25" s="41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28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30"/>
    </row>
    <row r="26" spans="1:54" ht="21" customHeight="1" outlineLevel="1" thickBot="1" x14ac:dyDescent="0.4">
      <c r="A26" s="44">
        <f t="shared" si="1"/>
        <v>0</v>
      </c>
      <c r="B26" s="44">
        <f t="shared" si="1"/>
        <v>0</v>
      </c>
      <c r="C26" s="44">
        <f t="shared" si="1"/>
        <v>0</v>
      </c>
      <c r="D26" s="44">
        <f t="shared" si="1"/>
        <v>0</v>
      </c>
      <c r="E26" s="41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28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30"/>
    </row>
    <row r="27" spans="1:54" ht="21" customHeight="1" outlineLevel="1" thickBot="1" x14ac:dyDescent="0.4">
      <c r="A27" s="44">
        <f t="shared" si="1"/>
        <v>0</v>
      </c>
      <c r="B27" s="44">
        <f t="shared" si="1"/>
        <v>0</v>
      </c>
      <c r="C27" s="44">
        <f t="shared" si="1"/>
        <v>0</v>
      </c>
      <c r="D27" s="44">
        <f t="shared" si="1"/>
        <v>0</v>
      </c>
      <c r="E27" s="41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28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30"/>
    </row>
    <row r="28" spans="1:54" ht="21" customHeight="1" outlineLevel="1" thickBot="1" x14ac:dyDescent="0.4">
      <c r="A28" s="44">
        <f t="shared" ref="A28:D33" si="2">IF( ISNUMBER( FIND(A$3,$E28,1)),   IF( ISNUMBER( VALUE(MID($E28,FIND(A$3,$E28,1)+2,1)) ), VALUE( MID($E28,FIND(A$3,$E28,1)+2,1) ),1),0)</f>
        <v>0</v>
      </c>
      <c r="B28" s="44">
        <f t="shared" si="2"/>
        <v>0</v>
      </c>
      <c r="C28" s="44">
        <f t="shared" si="2"/>
        <v>0</v>
      </c>
      <c r="D28" s="44">
        <f t="shared" si="2"/>
        <v>0</v>
      </c>
      <c r="E28" s="41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28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30"/>
    </row>
    <row r="29" spans="1:54" ht="21" customHeight="1" outlineLevel="1" thickBot="1" x14ac:dyDescent="0.4">
      <c r="A29" s="44">
        <f t="shared" si="2"/>
        <v>0</v>
      </c>
      <c r="B29" s="44">
        <f t="shared" si="2"/>
        <v>0</v>
      </c>
      <c r="C29" s="44">
        <f t="shared" si="2"/>
        <v>0</v>
      </c>
      <c r="D29" s="44">
        <f t="shared" si="2"/>
        <v>0</v>
      </c>
      <c r="E29" s="41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28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30"/>
    </row>
    <row r="30" spans="1:54" ht="21" customHeight="1" outlineLevel="1" thickBot="1" x14ac:dyDescent="0.4">
      <c r="A30" s="44">
        <f t="shared" si="2"/>
        <v>0</v>
      </c>
      <c r="B30" s="44">
        <f t="shared" si="2"/>
        <v>0</v>
      </c>
      <c r="C30" s="44">
        <f t="shared" si="2"/>
        <v>0</v>
      </c>
      <c r="D30" s="44">
        <f t="shared" si="2"/>
        <v>0</v>
      </c>
      <c r="E30" s="41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28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30"/>
    </row>
    <row r="31" spans="1:54" ht="21" customHeight="1" outlineLevel="1" thickBot="1" x14ac:dyDescent="0.4">
      <c r="A31" s="44">
        <f t="shared" si="2"/>
        <v>0</v>
      </c>
      <c r="B31" s="44">
        <f t="shared" si="2"/>
        <v>0</v>
      </c>
      <c r="C31" s="44">
        <f t="shared" si="2"/>
        <v>0</v>
      </c>
      <c r="D31" s="44">
        <f t="shared" si="2"/>
        <v>0</v>
      </c>
      <c r="E31" s="41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28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30"/>
    </row>
    <row r="32" spans="1:54" ht="21" customHeight="1" outlineLevel="1" thickBot="1" x14ac:dyDescent="0.4">
      <c r="A32" s="44">
        <f t="shared" si="2"/>
        <v>0</v>
      </c>
      <c r="B32" s="44">
        <f t="shared" si="2"/>
        <v>0</v>
      </c>
      <c r="C32" s="44">
        <f t="shared" si="2"/>
        <v>0</v>
      </c>
      <c r="D32" s="44">
        <f t="shared" si="2"/>
        <v>0</v>
      </c>
      <c r="E32" s="41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28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30"/>
    </row>
    <row r="33" spans="1:54" ht="21" customHeight="1" outlineLevel="1" thickBot="1" x14ac:dyDescent="0.4">
      <c r="A33" s="44">
        <f t="shared" si="2"/>
        <v>0</v>
      </c>
      <c r="B33" s="44">
        <f t="shared" si="2"/>
        <v>0</v>
      </c>
      <c r="C33" s="44">
        <f t="shared" si="2"/>
        <v>0</v>
      </c>
      <c r="D33" s="44">
        <f t="shared" si="2"/>
        <v>0</v>
      </c>
      <c r="E33" s="41">
        <v>1</v>
      </c>
      <c r="U33" s="55"/>
      <c r="V33" s="55"/>
      <c r="W33" s="55"/>
      <c r="AM33" s="28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30"/>
    </row>
    <row r="34" spans="1:54" ht="21" customHeight="1" outlineLevel="1" x14ac:dyDescent="0.35">
      <c r="C34" s="11" t="s">
        <v>28</v>
      </c>
      <c r="D34" s="47">
        <f>MATCH(C34,$E$4:$E$33)</f>
        <v>14</v>
      </c>
      <c r="E34" s="11" t="str">
        <f ca="1">OFFSET($E$3:$AL$3,$D34,0)</f>
        <v>H (Ar)</v>
      </c>
      <c r="F34" s="14">
        <f t="shared" ref="F34:AL37" ca="1" si="3">OFFSET($E$3:$AL$3,$D34,0)</f>
        <v>-18.72</v>
      </c>
      <c r="G34" s="14">
        <f t="shared" ca="1" si="3"/>
        <v>-18.71</v>
      </c>
      <c r="H34" s="14">
        <f t="shared" ca="1" si="3"/>
        <v>-18.71</v>
      </c>
      <c r="I34" s="14">
        <f t="shared" ca="1" si="3"/>
        <v>-18.71</v>
      </c>
      <c r="J34" s="14">
        <f t="shared" ca="1" si="3"/>
        <v>-18.73</v>
      </c>
      <c r="K34" s="14">
        <f t="shared" ca="1" si="3"/>
        <v>-18.739999999999998</v>
      </c>
      <c r="L34" s="14">
        <f t="shared" ca="1" si="3"/>
        <v>-18.760000000000002</v>
      </c>
      <c r="M34" s="14">
        <f t="shared" ca="1" si="3"/>
        <v>-18.79</v>
      </c>
      <c r="N34" s="14">
        <f t="shared" ca="1" si="3"/>
        <v>-18.809999999999999</v>
      </c>
      <c r="O34" s="14">
        <f t="shared" ca="1" si="3"/>
        <v>-18.93</v>
      </c>
      <c r="P34" s="14">
        <f t="shared" ca="1" si="3"/>
        <v>-18.97</v>
      </c>
      <c r="Q34" s="14">
        <f t="shared" ca="1" si="3"/>
        <v>-19</v>
      </c>
      <c r="R34" s="14">
        <f t="shared" ca="1" si="3"/>
        <v>-19.03</v>
      </c>
      <c r="S34" s="14">
        <f t="shared" ca="1" si="3"/>
        <v>-19.07</v>
      </c>
      <c r="T34" s="14">
        <f t="shared" ca="1" si="3"/>
        <v>-19.2</v>
      </c>
      <c r="U34" s="14">
        <f t="shared" ca="1" si="3"/>
        <v>-19.34</v>
      </c>
      <c r="V34" s="14">
        <f t="shared" ca="1" si="3"/>
        <v>-19.48</v>
      </c>
      <c r="W34" s="14">
        <f t="shared" ca="1" si="3"/>
        <v>-19.510000000000002</v>
      </c>
      <c r="X34" s="14">
        <f t="shared" ca="1" si="3"/>
        <v>-19.489999999999998</v>
      </c>
      <c r="Y34" s="14">
        <f t="shared" ca="1" si="3"/>
        <v>-19.5</v>
      </c>
      <c r="Z34" s="14">
        <f t="shared" ca="1" si="3"/>
        <v>-19.52</v>
      </c>
      <c r="AA34" s="14">
        <f t="shared" ca="1" si="3"/>
        <v>-19.55</v>
      </c>
      <c r="AB34" s="14">
        <f t="shared" ca="1" si="3"/>
        <v>-19.579999999999998</v>
      </c>
      <c r="AC34" s="14">
        <f t="shared" ca="1" si="3"/>
        <v>-19.61</v>
      </c>
      <c r="AD34" s="14">
        <f t="shared" ca="1" si="3"/>
        <v>-19.64</v>
      </c>
      <c r="AE34" s="14">
        <f t="shared" ca="1" si="3"/>
        <v>-19.760000000000002</v>
      </c>
      <c r="AF34" s="14">
        <f t="shared" ca="1" si="3"/>
        <v>-19.88</v>
      </c>
      <c r="AG34" s="14">
        <f t="shared" ca="1" si="3"/>
        <v>0</v>
      </c>
      <c r="AH34" s="14">
        <f t="shared" ca="1" si="3"/>
        <v>0</v>
      </c>
      <c r="AI34" s="14">
        <f t="shared" ca="1" si="3"/>
        <v>0</v>
      </c>
      <c r="AJ34" s="14">
        <f t="shared" ca="1" si="3"/>
        <v>0</v>
      </c>
      <c r="AK34" s="14">
        <f t="shared" ca="1" si="3"/>
        <v>0</v>
      </c>
      <c r="AL34" s="14">
        <f t="shared" ca="1" si="3"/>
        <v>0</v>
      </c>
      <c r="AM34" s="28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30"/>
    </row>
    <row r="35" spans="1:54" ht="21" customHeight="1" outlineLevel="1" x14ac:dyDescent="0.35">
      <c r="C35" s="11" t="s">
        <v>5</v>
      </c>
      <c r="D35" s="47">
        <f t="shared" ref="D35:D37" si="4">MATCH(C35,$E$4:$E$33)</f>
        <v>15</v>
      </c>
      <c r="E35" s="11" t="str">
        <f t="shared" ref="E35:E37" ca="1" si="5">OFFSET($E$3:$AL$3,$D35,0)</f>
        <v>H (Ga)</v>
      </c>
      <c r="F35" s="14">
        <f t="shared" ca="1" si="3"/>
        <v>-66.760000000000005</v>
      </c>
      <c r="G35" s="14">
        <f t="shared" ca="1" si="3"/>
        <v>-63.28</v>
      </c>
      <c r="H35" s="14">
        <f t="shared" ca="1" si="3"/>
        <v>-60.18</v>
      </c>
      <c r="I35" s="14">
        <f t="shared" ca="1" si="3"/>
        <v>-57.4</v>
      </c>
      <c r="J35" s="14">
        <f t="shared" ca="1" si="3"/>
        <v>-54.91</v>
      </c>
      <c r="K35" s="14">
        <f t="shared" ca="1" si="3"/>
        <v>-51.53</v>
      </c>
      <c r="L35" s="14">
        <f t="shared" ca="1" si="3"/>
        <v>-48.17</v>
      </c>
      <c r="M35" s="14">
        <f t="shared" ca="1" si="3"/>
        <v>-45.06</v>
      </c>
      <c r="N35" s="14">
        <f t="shared" ca="1" si="3"/>
        <v>-42.19</v>
      </c>
      <c r="O35" s="14">
        <f t="shared" ca="1" si="3"/>
        <v>-32.53</v>
      </c>
      <c r="P35" s="14">
        <f t="shared" ca="1" si="3"/>
        <v>-30.48</v>
      </c>
      <c r="Q35" s="14">
        <f t="shared" ca="1" si="3"/>
        <v>-28.55</v>
      </c>
      <c r="R35" s="14">
        <f t="shared" ca="1" si="3"/>
        <v>-26.74</v>
      </c>
      <c r="S35" s="14">
        <f t="shared" ca="1" si="3"/>
        <v>-25.02</v>
      </c>
      <c r="T35" s="14">
        <f t="shared" ca="1" si="3"/>
        <v>-18.96</v>
      </c>
      <c r="U35" s="14">
        <f t="shared" ca="1" si="3"/>
        <v>-13.95</v>
      </c>
      <c r="V35" s="14">
        <f t="shared" ca="1" si="3"/>
        <v>-9.7059999999999995</v>
      </c>
      <c r="W35" s="14">
        <f t="shared" ca="1" si="3"/>
        <v>-8.7420000000000009</v>
      </c>
      <c r="X35" s="14">
        <f t="shared" ca="1" si="3"/>
        <v>-8.2560000000000002</v>
      </c>
      <c r="Y35" s="14">
        <f t="shared" ca="1" si="3"/>
        <v>-7.8470000000000004</v>
      </c>
      <c r="Z35" s="14">
        <f t="shared" ca="1" si="3"/>
        <v>-7.6349999999999998</v>
      </c>
      <c r="AA35" s="14">
        <f t="shared" ca="1" si="3"/>
        <v>-7.7149999999999999</v>
      </c>
      <c r="AB35" s="14">
        <f t="shared" ca="1" si="3"/>
        <v>-7.7960000000000003</v>
      </c>
      <c r="AC35" s="14">
        <f t="shared" ca="1" si="3"/>
        <v>-7.8789999999999996</v>
      </c>
      <c r="AD35" s="14">
        <f t="shared" ca="1" si="3"/>
        <v>-7.9630000000000001</v>
      </c>
      <c r="AE35" s="14">
        <f t="shared" ca="1" si="3"/>
        <v>-8.3190000000000008</v>
      </c>
      <c r="AF35" s="14">
        <f t="shared" ca="1" si="3"/>
        <v>-8.7249999999999996</v>
      </c>
      <c r="AG35" s="14">
        <f t="shared" ca="1" si="3"/>
        <v>0</v>
      </c>
      <c r="AH35" s="14">
        <f t="shared" ca="1" si="3"/>
        <v>0</v>
      </c>
      <c r="AI35" s="14">
        <f t="shared" ca="1" si="3"/>
        <v>0</v>
      </c>
      <c r="AJ35" s="14">
        <f t="shared" ca="1" si="3"/>
        <v>0</v>
      </c>
      <c r="AK35" s="14">
        <f t="shared" ca="1" si="3"/>
        <v>0</v>
      </c>
      <c r="AL35" s="14">
        <f t="shared" ca="1" si="3"/>
        <v>0</v>
      </c>
      <c r="AM35" s="28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30"/>
    </row>
    <row r="36" spans="1:54" ht="21" customHeight="1" outlineLevel="1" x14ac:dyDescent="0.35">
      <c r="C36" s="11" t="s">
        <v>6</v>
      </c>
      <c r="D36" s="47">
        <f t="shared" si="4"/>
        <v>16</v>
      </c>
      <c r="E36" s="11" t="str">
        <f t="shared" ca="1" si="5"/>
        <v>H (Ge)</v>
      </c>
      <c r="F36" s="14">
        <f t="shared" ca="1" si="3"/>
        <v>-16.29</v>
      </c>
      <c r="G36" s="14">
        <f t="shared" ca="1" si="3"/>
        <v>-15.65</v>
      </c>
      <c r="H36" s="14">
        <f t="shared" ca="1" si="3"/>
        <v>-15.09</v>
      </c>
      <c r="I36" s="14">
        <f t="shared" ca="1" si="3"/>
        <v>-14.59</v>
      </c>
      <c r="J36" s="14">
        <f t="shared" ca="1" si="3"/>
        <v>-14.16</v>
      </c>
      <c r="K36" s="14">
        <f t="shared" ca="1" si="3"/>
        <v>-13.03</v>
      </c>
      <c r="L36" s="14">
        <f t="shared" ca="1" si="3"/>
        <v>-11.8</v>
      </c>
      <c r="M36" s="14">
        <f t="shared" ca="1" si="3"/>
        <v>-10.67</v>
      </c>
      <c r="N36" s="14">
        <f t="shared" ca="1" si="3"/>
        <v>-9.6150000000000002</v>
      </c>
      <c r="O36" s="14">
        <f t="shared" ca="1" si="3"/>
        <v>-6.04</v>
      </c>
      <c r="P36" s="14">
        <f t="shared" ca="1" si="3"/>
        <v>-5.2759999999999998</v>
      </c>
      <c r="Q36" s="14">
        <f t="shared" ca="1" si="3"/>
        <v>-4.5529999999999999</v>
      </c>
      <c r="R36" s="14">
        <f t="shared" ca="1" si="3"/>
        <v>-4.1150000000000002</v>
      </c>
      <c r="S36" s="14">
        <f t="shared" ca="1" si="3"/>
        <v>-4.1550000000000002</v>
      </c>
      <c r="T36" s="14">
        <f t="shared" ca="1" si="3"/>
        <v>-4.3170000000000002</v>
      </c>
      <c r="U36" s="14">
        <f t="shared" ca="1" si="3"/>
        <v>-4.4809999999999999</v>
      </c>
      <c r="V36" s="14">
        <f t="shared" ca="1" si="3"/>
        <v>-4.6429999999999998</v>
      </c>
      <c r="W36" s="14">
        <f t="shared" ca="1" si="3"/>
        <v>-4.6829999999999998</v>
      </c>
      <c r="X36" s="14">
        <f t="shared" ca="1" si="3"/>
        <v>-4.7220000000000004</v>
      </c>
      <c r="Y36" s="14">
        <f t="shared" ca="1" si="3"/>
        <v>-4.7619999999999996</v>
      </c>
      <c r="Z36" s="14">
        <f t="shared" ca="1" si="3"/>
        <v>-4.8010000000000002</v>
      </c>
      <c r="AA36" s="14">
        <f t="shared" ca="1" si="3"/>
        <v>-4.84</v>
      </c>
      <c r="AB36" s="14">
        <f t="shared" ca="1" si="3"/>
        <v>-4.8780000000000001</v>
      </c>
      <c r="AC36" s="14">
        <f t="shared" ca="1" si="3"/>
        <v>-4.9169999999999998</v>
      </c>
      <c r="AD36" s="14">
        <f t="shared" ca="1" si="3"/>
        <v>-4.9550000000000001</v>
      </c>
      <c r="AE36" s="14">
        <f t="shared" ca="1" si="3"/>
        <v>-5.1040000000000001</v>
      </c>
      <c r="AF36" s="14">
        <f t="shared" ca="1" si="3"/>
        <v>-5.2489999999999997</v>
      </c>
      <c r="AG36" s="14">
        <f t="shared" ca="1" si="3"/>
        <v>0</v>
      </c>
      <c r="AH36" s="14">
        <f t="shared" ca="1" si="3"/>
        <v>0</v>
      </c>
      <c r="AI36" s="14">
        <f t="shared" ca="1" si="3"/>
        <v>0</v>
      </c>
      <c r="AJ36" s="14">
        <f t="shared" ca="1" si="3"/>
        <v>0</v>
      </c>
      <c r="AK36" s="14">
        <f t="shared" ca="1" si="3"/>
        <v>0</v>
      </c>
      <c r="AL36" s="14">
        <f t="shared" ca="1" si="3"/>
        <v>0</v>
      </c>
      <c r="AM36" s="28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30"/>
    </row>
    <row r="37" spans="1:54" ht="21" customHeight="1" outlineLevel="1" thickBot="1" x14ac:dyDescent="0.4">
      <c r="C37" s="11" t="s">
        <v>7</v>
      </c>
      <c r="D37" s="47">
        <f t="shared" si="4"/>
        <v>17</v>
      </c>
      <c r="E37" s="11" t="str">
        <f t="shared" ca="1" si="5"/>
        <v>H (Se)</v>
      </c>
      <c r="F37" s="14">
        <f t="shared" ca="1" si="3"/>
        <v>-23.52</v>
      </c>
      <c r="G37" s="14">
        <f t="shared" ca="1" si="3"/>
        <v>-22.41</v>
      </c>
      <c r="H37" s="14">
        <f t="shared" ca="1" si="3"/>
        <v>-21.42</v>
      </c>
      <c r="I37" s="14">
        <f t="shared" ca="1" si="3"/>
        <v>-20.54</v>
      </c>
      <c r="J37" s="14">
        <f t="shared" ca="1" si="3"/>
        <v>-19.760000000000002</v>
      </c>
      <c r="K37" s="14">
        <f t="shared" ca="1" si="3"/>
        <v>-19.79</v>
      </c>
      <c r="L37" s="14">
        <f t="shared" ca="1" si="3"/>
        <v>-20.03</v>
      </c>
      <c r="M37" s="14">
        <f t="shared" ca="1" si="3"/>
        <v>-20.28</v>
      </c>
      <c r="N37" s="14">
        <f t="shared" ca="1" si="3"/>
        <v>-20.52</v>
      </c>
      <c r="O37" s="14">
        <f t="shared" ca="1" si="3"/>
        <v>-21.52</v>
      </c>
      <c r="P37" s="14">
        <f t="shared" ca="1" si="3"/>
        <v>-21.77</v>
      </c>
      <c r="Q37" s="14">
        <f t="shared" ca="1" si="3"/>
        <v>-22.02</v>
      </c>
      <c r="R37" s="14">
        <f t="shared" ca="1" si="3"/>
        <v>-22.27</v>
      </c>
      <c r="S37" s="14">
        <f t="shared" ca="1" si="3"/>
        <v>-22.51</v>
      </c>
      <c r="T37" s="14">
        <f t="shared" ca="1" si="3"/>
        <v>-23.48</v>
      </c>
      <c r="U37" s="14">
        <f t="shared" ca="1" si="3"/>
        <v>-24.41</v>
      </c>
      <c r="V37" s="14">
        <f t="shared" ca="1" si="3"/>
        <v>-25.31</v>
      </c>
      <c r="W37" s="14">
        <f t="shared" ca="1" si="3"/>
        <v>-25.53</v>
      </c>
      <c r="X37" s="14">
        <f t="shared" ca="1" si="3"/>
        <v>-25.75</v>
      </c>
      <c r="Y37" s="14">
        <f t="shared" ca="1" si="3"/>
        <v>-25.96</v>
      </c>
      <c r="Z37" s="14">
        <f t="shared" ca="1" si="3"/>
        <v>-26.18</v>
      </c>
      <c r="AA37" s="14">
        <f t="shared" ca="1" si="3"/>
        <v>-26.39</v>
      </c>
      <c r="AB37" s="14">
        <f t="shared" ca="1" si="3"/>
        <v>-26.6</v>
      </c>
      <c r="AC37" s="14">
        <f t="shared" ca="1" si="3"/>
        <v>-26.81</v>
      </c>
      <c r="AD37" s="14">
        <f t="shared" ca="1" si="3"/>
        <v>-27.02</v>
      </c>
      <c r="AE37" s="14">
        <f t="shared" ca="1" si="3"/>
        <v>-27.83</v>
      </c>
      <c r="AF37" s="14">
        <f t="shared" ca="1" si="3"/>
        <v>-28.62</v>
      </c>
      <c r="AG37" s="14">
        <f t="shared" ca="1" si="3"/>
        <v>0</v>
      </c>
      <c r="AH37" s="14">
        <f t="shared" ca="1" si="3"/>
        <v>0</v>
      </c>
      <c r="AI37" s="14">
        <f t="shared" ca="1" si="3"/>
        <v>0</v>
      </c>
      <c r="AJ37" s="14">
        <f t="shared" ca="1" si="3"/>
        <v>0</v>
      </c>
      <c r="AK37" s="14">
        <f t="shared" ca="1" si="3"/>
        <v>0</v>
      </c>
      <c r="AL37" s="14">
        <f t="shared" ca="1" si="3"/>
        <v>0</v>
      </c>
      <c r="AM37" s="31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3"/>
    </row>
    <row r="38" spans="1:54" ht="21" customHeight="1" thickBot="1" x14ac:dyDescent="0.4">
      <c r="U38" s="55"/>
      <c r="V38" s="55"/>
      <c r="W38" s="55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21" customHeight="1" thickTop="1" thickBot="1" x14ac:dyDescent="0.45">
      <c r="A39" s="78" t="s">
        <v>8</v>
      </c>
      <c r="B39" s="79"/>
      <c r="C39" s="79"/>
      <c r="D39" s="80"/>
      <c r="E39" s="71" t="s">
        <v>21</v>
      </c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</row>
    <row r="40" spans="1:54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AL40" si="6">G3</f>
        <v>289.7</v>
      </c>
      <c r="H40" s="8">
        <f t="shared" si="6"/>
        <v>306.2</v>
      </c>
      <c r="I40" s="8">
        <f t="shared" si="6"/>
        <v>322.7</v>
      </c>
      <c r="J40" s="8">
        <f t="shared" si="6"/>
        <v>339.2</v>
      </c>
      <c r="K40" s="8">
        <f t="shared" si="6"/>
        <v>355.7</v>
      </c>
      <c r="L40" s="8">
        <f t="shared" si="6"/>
        <v>372.3</v>
      </c>
      <c r="M40" s="8">
        <f t="shared" si="6"/>
        <v>388.8</v>
      </c>
      <c r="N40" s="8">
        <f t="shared" si="6"/>
        <v>405.3</v>
      </c>
      <c r="O40" s="8">
        <f t="shared" si="6"/>
        <v>471.4</v>
      </c>
      <c r="P40" s="8">
        <f t="shared" si="6"/>
        <v>487.9</v>
      </c>
      <c r="Q40" s="8">
        <f t="shared" si="6"/>
        <v>504.4</v>
      </c>
      <c r="R40" s="8">
        <f t="shared" si="6"/>
        <v>520.9</v>
      </c>
      <c r="S40" s="8">
        <f t="shared" si="6"/>
        <v>537.5</v>
      </c>
      <c r="T40" s="8">
        <f t="shared" si="6"/>
        <v>603.5</v>
      </c>
      <c r="U40" s="8">
        <f t="shared" si="6"/>
        <v>669.6</v>
      </c>
      <c r="V40" s="8">
        <f t="shared" si="6"/>
        <v>735.7</v>
      </c>
      <c r="W40" s="8">
        <f t="shared" si="6"/>
        <v>752.2</v>
      </c>
      <c r="X40" s="8">
        <f t="shared" si="6"/>
        <v>768.7</v>
      </c>
      <c r="Y40" s="8">
        <f t="shared" si="6"/>
        <v>785.2</v>
      </c>
      <c r="Z40" s="8">
        <f t="shared" si="6"/>
        <v>801.8</v>
      </c>
      <c r="AA40" s="8">
        <f t="shared" si="6"/>
        <v>818.3</v>
      </c>
      <c r="AB40" s="8">
        <f t="shared" si="6"/>
        <v>834.8</v>
      </c>
      <c r="AC40" s="8">
        <f t="shared" si="6"/>
        <v>851.3</v>
      </c>
      <c r="AD40" s="8">
        <f t="shared" si="6"/>
        <v>867.8</v>
      </c>
      <c r="AE40" s="8">
        <f t="shared" si="6"/>
        <v>933.9</v>
      </c>
      <c r="AF40" s="8">
        <f t="shared" si="6"/>
        <v>1000</v>
      </c>
      <c r="AG40" s="8">
        <f t="shared" si="6"/>
        <v>0</v>
      </c>
      <c r="AH40" s="8">
        <f t="shared" si="6"/>
        <v>0</v>
      </c>
      <c r="AI40" s="8">
        <f t="shared" si="6"/>
        <v>0</v>
      </c>
      <c r="AJ40" s="8">
        <f t="shared" si="6"/>
        <v>0</v>
      </c>
      <c r="AK40" s="8">
        <f t="shared" si="6"/>
        <v>0</v>
      </c>
      <c r="AL40" s="8">
        <f t="shared" si="6"/>
        <v>0</v>
      </c>
    </row>
    <row r="41" spans="1:54" ht="21" customHeight="1" outlineLevel="1" thickTop="1" x14ac:dyDescent="0.35">
      <c r="A41" s="9">
        <f>Values!D3/Values!$E$3</f>
        <v>0.7142857142857143</v>
      </c>
      <c r="B41" s="9">
        <f>Values!E3/Values!$E$3</f>
        <v>1</v>
      </c>
      <c r="C41" s="9">
        <f>Values!F3/Values!$E$3</f>
        <v>0.14285714285714285</v>
      </c>
      <c r="D41" s="9">
        <f>Values!G3/Values!$E$3</f>
        <v>1.7142857142857142</v>
      </c>
      <c r="E41" s="9">
        <f>SUM(A41:D41)</f>
        <v>3.5714285714285712</v>
      </c>
      <c r="F41" s="10">
        <f t="shared" ref="F41:AL41" ca="1" si="7">($B$41*H.Ge+$C$41*H.Ga+$D$41*H.Se)*F$40*$B$2/1000</f>
        <v>-150.19965250692857</v>
      </c>
      <c r="G41" s="10">
        <f t="shared" ca="1" si="7"/>
        <v>-152.00684709107145</v>
      </c>
      <c r="H41" s="10">
        <f t="shared" ca="1" si="7"/>
        <v>-153.7905389592857</v>
      </c>
      <c r="I41" s="10">
        <f t="shared" ca="1" si="7"/>
        <v>-155.62300368449999</v>
      </c>
      <c r="J41" s="10">
        <f t="shared" ca="1" si="7"/>
        <v>-157.59312802285712</v>
      </c>
      <c r="K41" s="10">
        <f t="shared" ca="1" si="7"/>
        <v>-160.64119284042857</v>
      </c>
      <c r="L41" s="10">
        <f t="shared" ca="1" si="7"/>
        <v>-164.11837019078575</v>
      </c>
      <c r="M41" s="10">
        <f t="shared" ca="1" si="7"/>
        <v>-167.68822333371429</v>
      </c>
      <c r="N41" s="10">
        <f t="shared" ca="1" si="7"/>
        <v>-171.25422626925001</v>
      </c>
      <c r="O41" s="10">
        <f t="shared" ca="1" si="7"/>
        <v>-186.48208395214283</v>
      </c>
      <c r="P41" s="10">
        <f t="shared" ca="1" si="7"/>
        <v>-190.46062066380003</v>
      </c>
      <c r="Q41" s="10">
        <f t="shared" ca="1" si="7"/>
        <v>-194.51061076311427</v>
      </c>
      <c r="R41" s="10">
        <f t="shared" ca="1" si="7"/>
        <v>-199.7127535991786</v>
      </c>
      <c r="S41" s="10">
        <f t="shared" ca="1" si="7"/>
        <v>-206.99652997767859</v>
      </c>
      <c r="T41" s="10">
        <f t="shared" ca="1" si="7"/>
        <v>-237.22656605775003</v>
      </c>
      <c r="U41" s="10">
        <f t="shared" ca="1" si="7"/>
        <v>-269.01386012005719</v>
      </c>
      <c r="V41" s="10">
        <f t="shared" ca="1" si="7"/>
        <v>-302.28967536164998</v>
      </c>
      <c r="W41" s="10">
        <f t="shared" ca="1" si="7"/>
        <v>-310.81690623895719</v>
      </c>
      <c r="X41" s="10">
        <f t="shared" ca="1" si="7"/>
        <v>-319.8508532723572</v>
      </c>
      <c r="Y41" s="10">
        <f t="shared" ca="1" si="7"/>
        <v>-328.94635587505724</v>
      </c>
      <c r="Z41" s="10">
        <f t="shared" ca="1" si="7"/>
        <v>-338.47298929602852</v>
      </c>
      <c r="AA41" s="10">
        <f t="shared" ca="1" si="7"/>
        <v>-348.23077828875</v>
      </c>
      <c r="AB41" s="10">
        <f t="shared" ca="1" si="7"/>
        <v>-358.09523067617147</v>
      </c>
      <c r="AC41" s="10">
        <f t="shared" ca="1" si="7"/>
        <v>-368.08116111561429</v>
      </c>
      <c r="AD41" s="10">
        <f t="shared" ca="1" si="7"/>
        <v>-378.1736373589714</v>
      </c>
      <c r="AE41" s="10">
        <f t="shared" ca="1" si="7"/>
        <v>-419.31298861155</v>
      </c>
      <c r="AF41" s="10">
        <f t="shared" ca="1" si="7"/>
        <v>-461.93936657142854</v>
      </c>
      <c r="AG41" s="10">
        <f t="shared" ca="1" si="7"/>
        <v>0</v>
      </c>
      <c r="AH41" s="10">
        <f t="shared" ca="1" si="7"/>
        <v>0</v>
      </c>
      <c r="AI41" s="10">
        <f t="shared" ca="1" si="7"/>
        <v>0</v>
      </c>
      <c r="AJ41" s="10">
        <f t="shared" ca="1" si="7"/>
        <v>0</v>
      </c>
      <c r="AK41" s="10">
        <f t="shared" ca="1" si="7"/>
        <v>0</v>
      </c>
      <c r="AL41" s="10">
        <f t="shared" ca="1" si="7"/>
        <v>0</v>
      </c>
    </row>
    <row r="42" spans="1:54" ht="176.25" customHeight="1" outlineLevel="1" x14ac:dyDescent="0.35">
      <c r="U42" s="55"/>
      <c r="V42" s="55"/>
      <c r="W42" s="55"/>
    </row>
    <row r="43" spans="1:54" ht="21" customHeight="1" x14ac:dyDescent="0.35">
      <c r="U43" s="55"/>
      <c r="V43" s="55"/>
      <c r="W43" s="55"/>
    </row>
    <row r="44" spans="1:54" ht="21" customHeight="1" x14ac:dyDescent="0.4">
      <c r="A44" s="72"/>
      <c r="B44" s="72"/>
      <c r="C44" s="72"/>
      <c r="D44" s="72"/>
      <c r="E44" s="71" t="s">
        <v>22</v>
      </c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</row>
    <row r="45" spans="1:54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AL45" si="8">E3</f>
        <v>Temperature,К</v>
      </c>
      <c r="F45" s="3">
        <f t="shared" si="8"/>
        <v>273.10000000000002</v>
      </c>
      <c r="G45" s="3">
        <f t="shared" si="8"/>
        <v>289.7</v>
      </c>
      <c r="H45" s="3">
        <f t="shared" si="8"/>
        <v>306.2</v>
      </c>
      <c r="I45" s="3">
        <f t="shared" si="8"/>
        <v>322.7</v>
      </c>
      <c r="J45" s="3">
        <f t="shared" si="8"/>
        <v>339.2</v>
      </c>
      <c r="K45" s="3">
        <f t="shared" si="8"/>
        <v>355.7</v>
      </c>
      <c r="L45" s="3">
        <f t="shared" si="8"/>
        <v>372.3</v>
      </c>
      <c r="M45" s="3">
        <f t="shared" si="8"/>
        <v>388.8</v>
      </c>
      <c r="N45" s="3">
        <f t="shared" si="8"/>
        <v>405.3</v>
      </c>
      <c r="O45" s="3">
        <f t="shared" si="8"/>
        <v>471.4</v>
      </c>
      <c r="P45" s="3">
        <f t="shared" si="8"/>
        <v>487.9</v>
      </c>
      <c r="Q45" s="3">
        <f t="shared" si="8"/>
        <v>504.4</v>
      </c>
      <c r="R45" s="3">
        <f t="shared" si="8"/>
        <v>520.9</v>
      </c>
      <c r="S45" s="3">
        <f t="shared" si="8"/>
        <v>537.5</v>
      </c>
      <c r="T45" s="3">
        <f t="shared" si="8"/>
        <v>603.5</v>
      </c>
      <c r="U45" s="3">
        <f t="shared" si="8"/>
        <v>669.6</v>
      </c>
      <c r="V45" s="3">
        <f t="shared" si="8"/>
        <v>735.7</v>
      </c>
      <c r="W45" s="3">
        <f t="shared" si="8"/>
        <v>752.2</v>
      </c>
      <c r="X45" s="3">
        <f t="shared" si="8"/>
        <v>768.7</v>
      </c>
      <c r="Y45" s="3">
        <f t="shared" si="8"/>
        <v>785.2</v>
      </c>
      <c r="Z45" s="3">
        <f t="shared" si="8"/>
        <v>801.8</v>
      </c>
      <c r="AA45" s="3">
        <f t="shared" si="8"/>
        <v>818.3</v>
      </c>
      <c r="AB45" s="3">
        <f t="shared" si="8"/>
        <v>834.8</v>
      </c>
      <c r="AC45" s="3">
        <f t="shared" si="8"/>
        <v>851.3</v>
      </c>
      <c r="AD45" s="3">
        <f t="shared" si="8"/>
        <v>867.8</v>
      </c>
      <c r="AE45" s="3">
        <f t="shared" si="8"/>
        <v>933.9</v>
      </c>
      <c r="AF45" s="3">
        <f t="shared" si="8"/>
        <v>1000</v>
      </c>
      <c r="AG45" s="3">
        <f t="shared" si="8"/>
        <v>0</v>
      </c>
      <c r="AH45" s="3">
        <f t="shared" si="8"/>
        <v>0</v>
      </c>
      <c r="AI45" s="3">
        <f t="shared" si="8"/>
        <v>0</v>
      </c>
      <c r="AJ45" s="3">
        <f t="shared" si="8"/>
        <v>0</v>
      </c>
      <c r="AK45" s="3">
        <f t="shared" si="8"/>
        <v>0</v>
      </c>
      <c r="AL45" s="3">
        <f t="shared" si="8"/>
        <v>0</v>
      </c>
    </row>
    <row r="46" spans="1:54" ht="21" hidden="1" customHeight="1" outlineLevel="1" thickTop="1" thickBot="1" x14ac:dyDescent="0.4">
      <c r="A46" s="5">
        <f t="shared" ref="A46:E55" si="9">A4</f>
        <v>0</v>
      </c>
      <c r="B46" s="5">
        <f t="shared" si="9"/>
        <v>0</v>
      </c>
      <c r="C46" s="5">
        <f t="shared" si="9"/>
        <v>1</v>
      </c>
      <c r="D46" s="5">
        <f t="shared" si="9"/>
        <v>0</v>
      </c>
      <c r="E46" s="6" t="str">
        <f t="shared" si="9"/>
        <v>*Ge[1]</v>
      </c>
      <c r="F46" s="14">
        <f t="shared" ref="F46:U55" ca="1" si="10">$A46*H.Ar + $B46*H.Se + $C46*H.Ge + $D46*H.Ga</f>
        <v>-16.29</v>
      </c>
      <c r="G46" s="14">
        <f t="shared" ca="1" si="10"/>
        <v>-15.65</v>
      </c>
      <c r="H46" s="14">
        <f t="shared" ca="1" si="10"/>
        <v>-15.09</v>
      </c>
      <c r="I46" s="14">
        <f t="shared" ca="1" si="10"/>
        <v>-14.59</v>
      </c>
      <c r="J46" s="14">
        <f t="shared" ca="1" si="10"/>
        <v>-14.16</v>
      </c>
      <c r="K46" s="14">
        <f t="shared" ca="1" si="10"/>
        <v>-13.03</v>
      </c>
      <c r="L46" s="14">
        <f t="shared" ca="1" si="10"/>
        <v>-11.8</v>
      </c>
      <c r="M46" s="14">
        <f t="shared" ca="1" si="10"/>
        <v>-10.67</v>
      </c>
      <c r="N46" s="14">
        <f t="shared" ca="1" si="10"/>
        <v>-9.6150000000000002</v>
      </c>
      <c r="O46" s="14">
        <f t="shared" ca="1" si="10"/>
        <v>-6.04</v>
      </c>
      <c r="P46" s="14">
        <f t="shared" ca="1" si="10"/>
        <v>-5.2759999999999998</v>
      </c>
      <c r="Q46" s="14">
        <f t="shared" ca="1" si="10"/>
        <v>-4.5529999999999999</v>
      </c>
      <c r="R46" s="14">
        <f t="shared" ca="1" si="10"/>
        <v>-4.1150000000000002</v>
      </c>
      <c r="S46" s="14">
        <f t="shared" ca="1" si="10"/>
        <v>-4.1550000000000002</v>
      </c>
      <c r="T46" s="14">
        <f t="shared" ca="1" si="10"/>
        <v>-4.3170000000000002</v>
      </c>
      <c r="U46" s="14">
        <f t="shared" ca="1" si="10"/>
        <v>-4.4809999999999999</v>
      </c>
      <c r="V46" s="14">
        <f t="shared" ref="V46:AL46" ca="1" si="11">$A46*H.Ar + $B46*H.Se + $C46*H.Ge + $D46*H.Ga</f>
        <v>-4.6429999999999998</v>
      </c>
      <c r="W46" s="14">
        <f t="shared" ca="1" si="11"/>
        <v>-4.6829999999999998</v>
      </c>
      <c r="X46" s="14">
        <f t="shared" ca="1" si="11"/>
        <v>-4.7220000000000004</v>
      </c>
      <c r="Y46" s="14">
        <f t="shared" ca="1" si="11"/>
        <v>-4.7619999999999996</v>
      </c>
      <c r="Z46" s="14">
        <f t="shared" ca="1" si="11"/>
        <v>-4.8010000000000002</v>
      </c>
      <c r="AA46" s="14">
        <f t="shared" ca="1" si="11"/>
        <v>-4.84</v>
      </c>
      <c r="AB46" s="14">
        <f t="shared" ca="1" si="11"/>
        <v>-4.8780000000000001</v>
      </c>
      <c r="AC46" s="14">
        <f t="shared" ca="1" si="11"/>
        <v>-4.9169999999999998</v>
      </c>
      <c r="AD46" s="14">
        <f t="shared" ca="1" si="11"/>
        <v>-4.9550000000000001</v>
      </c>
      <c r="AE46" s="14">
        <f t="shared" ca="1" si="11"/>
        <v>-5.1040000000000001</v>
      </c>
      <c r="AF46" s="14">
        <f t="shared" ca="1" si="11"/>
        <v>-5.2489999999999997</v>
      </c>
      <c r="AG46" s="14">
        <f t="shared" ca="1" si="11"/>
        <v>0</v>
      </c>
      <c r="AH46" s="14">
        <f t="shared" ca="1" si="11"/>
        <v>0</v>
      </c>
      <c r="AI46" s="14">
        <f t="shared" ca="1" si="11"/>
        <v>0</v>
      </c>
      <c r="AJ46" s="14">
        <f t="shared" ca="1" si="11"/>
        <v>0</v>
      </c>
      <c r="AK46" s="14">
        <f t="shared" ca="1" si="11"/>
        <v>0</v>
      </c>
      <c r="AL46" s="14">
        <f t="shared" ca="1" si="11"/>
        <v>0</v>
      </c>
    </row>
    <row r="47" spans="1:54" ht="21" hidden="1" customHeight="1" outlineLevel="1" thickBot="1" x14ac:dyDescent="0.4">
      <c r="A47" s="5">
        <f t="shared" si="9"/>
        <v>0</v>
      </c>
      <c r="B47" s="5">
        <f t="shared" si="9"/>
        <v>0</v>
      </c>
      <c r="C47" s="5">
        <f t="shared" si="9"/>
        <v>1</v>
      </c>
      <c r="D47" s="5">
        <f t="shared" si="9"/>
        <v>0</v>
      </c>
      <c r="E47" s="6" t="str">
        <f t="shared" si="9"/>
        <v>*Ge</v>
      </c>
      <c r="F47" s="14">
        <f t="shared" ca="1" si="10"/>
        <v>-16.29</v>
      </c>
      <c r="G47" s="14">
        <f t="shared" ref="G47:AL54" ca="1" si="12">$A47*H.Ar + $B47*H.Se + $C47*H.Ge + $D47*H.Ga</f>
        <v>-15.65</v>
      </c>
      <c r="H47" s="14">
        <f t="shared" ca="1" si="12"/>
        <v>-15.09</v>
      </c>
      <c r="I47" s="14">
        <f t="shared" ca="1" si="12"/>
        <v>-14.59</v>
      </c>
      <c r="J47" s="14">
        <f t="shared" ca="1" si="12"/>
        <v>-14.16</v>
      </c>
      <c r="K47" s="14">
        <f t="shared" ca="1" si="12"/>
        <v>-13.03</v>
      </c>
      <c r="L47" s="14">
        <f t="shared" ca="1" si="12"/>
        <v>-11.8</v>
      </c>
      <c r="M47" s="14">
        <f t="shared" ca="1" si="12"/>
        <v>-10.67</v>
      </c>
      <c r="N47" s="14">
        <f t="shared" ca="1" si="12"/>
        <v>-9.6150000000000002</v>
      </c>
      <c r="O47" s="14">
        <f t="shared" ca="1" si="12"/>
        <v>-6.04</v>
      </c>
      <c r="P47" s="14">
        <f t="shared" ca="1" si="12"/>
        <v>-5.2759999999999998</v>
      </c>
      <c r="Q47" s="14">
        <f t="shared" ca="1" si="12"/>
        <v>-4.5529999999999999</v>
      </c>
      <c r="R47" s="14">
        <f t="shared" ca="1" si="12"/>
        <v>-4.1150000000000002</v>
      </c>
      <c r="S47" s="14">
        <f t="shared" ca="1" si="12"/>
        <v>-4.1550000000000002</v>
      </c>
      <c r="T47" s="14">
        <f t="shared" ca="1" si="12"/>
        <v>-4.3170000000000002</v>
      </c>
      <c r="U47" s="14">
        <f t="shared" ca="1" si="12"/>
        <v>-4.4809999999999999</v>
      </c>
      <c r="V47" s="14">
        <f t="shared" ca="1" si="12"/>
        <v>-4.6429999999999998</v>
      </c>
      <c r="W47" s="14">
        <f t="shared" ca="1" si="12"/>
        <v>-4.6829999999999998</v>
      </c>
      <c r="X47" s="14">
        <f t="shared" ca="1" si="12"/>
        <v>-4.7220000000000004</v>
      </c>
      <c r="Y47" s="14">
        <f t="shared" ca="1" si="12"/>
        <v>-4.7619999999999996</v>
      </c>
      <c r="Z47" s="14">
        <f t="shared" ca="1" si="12"/>
        <v>-4.8010000000000002</v>
      </c>
      <c r="AA47" s="14">
        <f t="shared" ca="1" si="12"/>
        <v>-4.84</v>
      </c>
      <c r="AB47" s="14">
        <f t="shared" ca="1" si="12"/>
        <v>-4.8780000000000001</v>
      </c>
      <c r="AC47" s="14">
        <f t="shared" ca="1" si="12"/>
        <v>-4.9169999999999998</v>
      </c>
      <c r="AD47" s="14">
        <f t="shared" ca="1" si="12"/>
        <v>-4.9550000000000001</v>
      </c>
      <c r="AE47" s="14">
        <f t="shared" ca="1" si="12"/>
        <v>-5.1040000000000001</v>
      </c>
      <c r="AF47" s="14">
        <f t="shared" ca="1" si="12"/>
        <v>-5.2489999999999997</v>
      </c>
      <c r="AG47" s="14">
        <f t="shared" ca="1" si="12"/>
        <v>0</v>
      </c>
      <c r="AH47" s="14">
        <f t="shared" ca="1" si="12"/>
        <v>0</v>
      </c>
      <c r="AI47" s="14">
        <f t="shared" ca="1" si="12"/>
        <v>0</v>
      </c>
      <c r="AJ47" s="14">
        <f t="shared" ca="1" si="12"/>
        <v>0</v>
      </c>
      <c r="AK47" s="14">
        <f t="shared" ca="1" si="12"/>
        <v>0</v>
      </c>
      <c r="AL47" s="14">
        <f t="shared" ca="1" si="12"/>
        <v>0</v>
      </c>
    </row>
    <row r="48" spans="1:54" ht="21" hidden="1" customHeight="1" outlineLevel="1" thickBot="1" x14ac:dyDescent="0.4">
      <c r="A48" s="5">
        <f t="shared" si="9"/>
        <v>0</v>
      </c>
      <c r="B48" s="5">
        <f t="shared" si="9"/>
        <v>1</v>
      </c>
      <c r="C48" s="5">
        <f t="shared" si="9"/>
        <v>1</v>
      </c>
      <c r="D48" s="5">
        <f t="shared" si="9"/>
        <v>0</v>
      </c>
      <c r="E48" s="6" t="str">
        <f t="shared" si="9"/>
        <v>*GeSe</v>
      </c>
      <c r="F48" s="14">
        <f t="shared" ca="1" si="10"/>
        <v>-39.81</v>
      </c>
      <c r="G48" s="14">
        <f t="shared" ca="1" si="12"/>
        <v>-38.06</v>
      </c>
      <c r="H48" s="14">
        <f t="shared" ca="1" si="12"/>
        <v>-36.510000000000005</v>
      </c>
      <c r="I48" s="14">
        <f t="shared" ca="1" si="12"/>
        <v>-35.129999999999995</v>
      </c>
      <c r="J48" s="14">
        <f t="shared" ca="1" si="12"/>
        <v>-33.92</v>
      </c>
      <c r="K48" s="14">
        <f t="shared" ca="1" si="12"/>
        <v>-32.82</v>
      </c>
      <c r="L48" s="14">
        <f t="shared" ca="1" si="12"/>
        <v>-31.830000000000002</v>
      </c>
      <c r="M48" s="14">
        <f t="shared" ca="1" si="12"/>
        <v>-30.950000000000003</v>
      </c>
      <c r="N48" s="14">
        <f t="shared" ca="1" si="12"/>
        <v>-30.134999999999998</v>
      </c>
      <c r="O48" s="14">
        <f t="shared" ca="1" si="12"/>
        <v>-27.56</v>
      </c>
      <c r="P48" s="14">
        <f t="shared" ca="1" si="12"/>
        <v>-27.045999999999999</v>
      </c>
      <c r="Q48" s="14">
        <f t="shared" ca="1" si="12"/>
        <v>-26.573</v>
      </c>
      <c r="R48" s="14">
        <f t="shared" ca="1" si="12"/>
        <v>-26.384999999999998</v>
      </c>
      <c r="S48" s="14">
        <f t="shared" ca="1" si="12"/>
        <v>-26.665000000000003</v>
      </c>
      <c r="T48" s="14">
        <f t="shared" ca="1" si="12"/>
        <v>-27.797000000000001</v>
      </c>
      <c r="U48" s="14">
        <f t="shared" ca="1" si="12"/>
        <v>-28.890999999999998</v>
      </c>
      <c r="V48" s="14">
        <f t="shared" ca="1" si="12"/>
        <v>-29.952999999999999</v>
      </c>
      <c r="W48" s="14">
        <f t="shared" ca="1" si="12"/>
        <v>-30.213000000000001</v>
      </c>
      <c r="X48" s="14">
        <f t="shared" ca="1" si="12"/>
        <v>-30.472000000000001</v>
      </c>
      <c r="Y48" s="14">
        <f t="shared" ca="1" si="12"/>
        <v>-30.722000000000001</v>
      </c>
      <c r="Z48" s="14">
        <f t="shared" ca="1" si="12"/>
        <v>-30.981000000000002</v>
      </c>
      <c r="AA48" s="14">
        <f t="shared" ca="1" si="12"/>
        <v>-31.23</v>
      </c>
      <c r="AB48" s="14">
        <f t="shared" ca="1" si="12"/>
        <v>-31.478000000000002</v>
      </c>
      <c r="AC48" s="14">
        <f t="shared" ca="1" si="12"/>
        <v>-31.726999999999997</v>
      </c>
      <c r="AD48" s="14">
        <f t="shared" ca="1" si="12"/>
        <v>-31.975000000000001</v>
      </c>
      <c r="AE48" s="14">
        <f t="shared" ca="1" si="12"/>
        <v>-32.933999999999997</v>
      </c>
      <c r="AF48" s="14">
        <f t="shared" ca="1" si="12"/>
        <v>-33.869</v>
      </c>
      <c r="AG48" s="14">
        <f t="shared" ca="1" si="12"/>
        <v>0</v>
      </c>
      <c r="AH48" s="14">
        <f t="shared" ca="1" si="12"/>
        <v>0</v>
      </c>
      <c r="AI48" s="14">
        <f t="shared" ca="1" si="12"/>
        <v>0</v>
      </c>
      <c r="AJ48" s="14">
        <f t="shared" ca="1" si="12"/>
        <v>0</v>
      </c>
      <c r="AK48" s="14">
        <f t="shared" ca="1" si="12"/>
        <v>0</v>
      </c>
      <c r="AL48" s="14">
        <f t="shared" ca="1" si="12"/>
        <v>0</v>
      </c>
    </row>
    <row r="49" spans="1:38" ht="21" hidden="1" customHeight="1" outlineLevel="1" thickBot="1" x14ac:dyDescent="0.4">
      <c r="A49" s="5">
        <f t="shared" si="9"/>
        <v>0</v>
      </c>
      <c r="B49" s="5">
        <f t="shared" si="9"/>
        <v>0</v>
      </c>
      <c r="C49" s="5">
        <f t="shared" si="9"/>
        <v>0</v>
      </c>
      <c r="D49" s="5">
        <f t="shared" si="9"/>
        <v>1</v>
      </c>
      <c r="E49" s="6" t="str">
        <f t="shared" si="9"/>
        <v>*Ga[1]</v>
      </c>
      <c r="F49" s="14">
        <f t="shared" ca="1" si="10"/>
        <v>-66.760000000000005</v>
      </c>
      <c r="G49" s="14">
        <f t="shared" ca="1" si="12"/>
        <v>-63.28</v>
      </c>
      <c r="H49" s="14">
        <f t="shared" ca="1" si="12"/>
        <v>-60.18</v>
      </c>
      <c r="I49" s="14">
        <f t="shared" ca="1" si="12"/>
        <v>-57.4</v>
      </c>
      <c r="J49" s="14">
        <f t="shared" ca="1" si="12"/>
        <v>-54.91</v>
      </c>
      <c r="K49" s="14">
        <f t="shared" ca="1" si="12"/>
        <v>-51.53</v>
      </c>
      <c r="L49" s="14">
        <f t="shared" ca="1" si="12"/>
        <v>-48.17</v>
      </c>
      <c r="M49" s="14">
        <f t="shared" ca="1" si="12"/>
        <v>-45.06</v>
      </c>
      <c r="N49" s="14">
        <f t="shared" ca="1" si="12"/>
        <v>-42.19</v>
      </c>
      <c r="O49" s="14">
        <f t="shared" ca="1" si="12"/>
        <v>-32.53</v>
      </c>
      <c r="P49" s="14">
        <f t="shared" ca="1" si="12"/>
        <v>-30.48</v>
      </c>
      <c r="Q49" s="14">
        <f t="shared" ca="1" si="12"/>
        <v>-28.55</v>
      </c>
      <c r="R49" s="14">
        <f t="shared" ca="1" si="12"/>
        <v>-26.74</v>
      </c>
      <c r="S49" s="14">
        <f t="shared" ca="1" si="12"/>
        <v>-25.02</v>
      </c>
      <c r="T49" s="14">
        <f t="shared" ca="1" si="12"/>
        <v>-18.96</v>
      </c>
      <c r="U49" s="14">
        <f t="shared" ca="1" si="12"/>
        <v>-13.95</v>
      </c>
      <c r="V49" s="14">
        <f t="shared" ca="1" si="12"/>
        <v>-9.7059999999999995</v>
      </c>
      <c r="W49" s="14">
        <f t="shared" ca="1" si="12"/>
        <v>-8.7420000000000009</v>
      </c>
      <c r="X49" s="14">
        <f t="shared" ca="1" si="12"/>
        <v>-8.2560000000000002</v>
      </c>
      <c r="Y49" s="14">
        <f t="shared" ca="1" si="12"/>
        <v>-7.8470000000000004</v>
      </c>
      <c r="Z49" s="14">
        <f t="shared" ca="1" si="12"/>
        <v>-7.6349999999999998</v>
      </c>
      <c r="AA49" s="14">
        <f t="shared" ca="1" si="12"/>
        <v>-7.7149999999999999</v>
      </c>
      <c r="AB49" s="14">
        <f t="shared" ca="1" si="12"/>
        <v>-7.7960000000000003</v>
      </c>
      <c r="AC49" s="14">
        <f t="shared" ca="1" si="12"/>
        <v>-7.8789999999999996</v>
      </c>
      <c r="AD49" s="14">
        <f t="shared" ca="1" si="12"/>
        <v>-7.9630000000000001</v>
      </c>
      <c r="AE49" s="14">
        <f t="shared" ca="1" si="12"/>
        <v>-8.3190000000000008</v>
      </c>
      <c r="AF49" s="14">
        <f t="shared" ca="1" si="12"/>
        <v>-8.7249999999999996</v>
      </c>
      <c r="AG49" s="14">
        <f t="shared" ca="1" si="12"/>
        <v>0</v>
      </c>
      <c r="AH49" s="14">
        <f t="shared" ca="1" si="12"/>
        <v>0</v>
      </c>
      <c r="AI49" s="14">
        <f t="shared" ca="1" si="12"/>
        <v>0</v>
      </c>
      <c r="AJ49" s="14">
        <f t="shared" ca="1" si="12"/>
        <v>0</v>
      </c>
      <c r="AK49" s="14">
        <f t="shared" ca="1" si="12"/>
        <v>0</v>
      </c>
      <c r="AL49" s="14">
        <f t="shared" ca="1" si="12"/>
        <v>0</v>
      </c>
    </row>
    <row r="50" spans="1:38" ht="21" hidden="1" customHeight="1" outlineLevel="1" thickBot="1" x14ac:dyDescent="0.4">
      <c r="A50" s="5">
        <f t="shared" si="9"/>
        <v>0</v>
      </c>
      <c r="B50" s="5">
        <f t="shared" si="9"/>
        <v>1</v>
      </c>
      <c r="C50" s="5">
        <f t="shared" si="9"/>
        <v>0</v>
      </c>
      <c r="D50" s="5">
        <f t="shared" si="9"/>
        <v>2</v>
      </c>
      <c r="E50" s="6" t="str">
        <f t="shared" si="9"/>
        <v>*Ga2Se</v>
      </c>
      <c r="F50" s="14">
        <f t="shared" ca="1" si="10"/>
        <v>-157.04000000000002</v>
      </c>
      <c r="G50" s="14">
        <f t="shared" ca="1" si="12"/>
        <v>-148.97</v>
      </c>
      <c r="H50" s="14">
        <f t="shared" ca="1" si="12"/>
        <v>-141.78</v>
      </c>
      <c r="I50" s="14">
        <f t="shared" ca="1" si="12"/>
        <v>-135.34</v>
      </c>
      <c r="J50" s="14">
        <f t="shared" ca="1" si="12"/>
        <v>-129.57999999999998</v>
      </c>
      <c r="K50" s="14">
        <f t="shared" ca="1" si="12"/>
        <v>-122.85</v>
      </c>
      <c r="L50" s="14">
        <f t="shared" ca="1" si="12"/>
        <v>-116.37</v>
      </c>
      <c r="M50" s="14">
        <f t="shared" ca="1" si="12"/>
        <v>-110.4</v>
      </c>
      <c r="N50" s="14">
        <f t="shared" ca="1" si="12"/>
        <v>-104.89999999999999</v>
      </c>
      <c r="O50" s="14">
        <f t="shared" ca="1" si="12"/>
        <v>-86.58</v>
      </c>
      <c r="P50" s="14">
        <f t="shared" ca="1" si="12"/>
        <v>-82.73</v>
      </c>
      <c r="Q50" s="14">
        <f t="shared" ca="1" si="12"/>
        <v>-79.12</v>
      </c>
      <c r="R50" s="14">
        <f t="shared" ca="1" si="12"/>
        <v>-75.75</v>
      </c>
      <c r="S50" s="14">
        <f t="shared" ca="1" si="12"/>
        <v>-72.55</v>
      </c>
      <c r="T50" s="14">
        <f t="shared" ca="1" si="12"/>
        <v>-61.400000000000006</v>
      </c>
      <c r="U50" s="14">
        <f t="shared" ca="1" si="12"/>
        <v>-52.31</v>
      </c>
      <c r="V50" s="14">
        <f t="shared" ca="1" si="12"/>
        <v>-44.721999999999994</v>
      </c>
      <c r="W50" s="14">
        <f t="shared" ca="1" si="12"/>
        <v>-43.014000000000003</v>
      </c>
      <c r="X50" s="14">
        <f t="shared" ca="1" si="12"/>
        <v>-42.262</v>
      </c>
      <c r="Y50" s="14">
        <f t="shared" ca="1" si="12"/>
        <v>-41.654000000000003</v>
      </c>
      <c r="Z50" s="14">
        <f t="shared" ca="1" si="12"/>
        <v>-41.45</v>
      </c>
      <c r="AA50" s="14">
        <f t="shared" ca="1" si="12"/>
        <v>-41.82</v>
      </c>
      <c r="AB50" s="14">
        <f t="shared" ca="1" si="12"/>
        <v>-42.192</v>
      </c>
      <c r="AC50" s="14">
        <f t="shared" ca="1" si="12"/>
        <v>-42.567999999999998</v>
      </c>
      <c r="AD50" s="14">
        <f t="shared" ca="1" si="12"/>
        <v>-42.945999999999998</v>
      </c>
      <c r="AE50" s="14">
        <f t="shared" ca="1" si="12"/>
        <v>-44.468000000000004</v>
      </c>
      <c r="AF50" s="14">
        <f t="shared" ca="1" si="12"/>
        <v>-46.07</v>
      </c>
      <c r="AG50" s="14">
        <f t="shared" ca="1" si="12"/>
        <v>0</v>
      </c>
      <c r="AH50" s="14">
        <f t="shared" ca="1" si="12"/>
        <v>0</v>
      </c>
      <c r="AI50" s="14">
        <f t="shared" ca="1" si="12"/>
        <v>0</v>
      </c>
      <c r="AJ50" s="14">
        <f t="shared" ca="1" si="12"/>
        <v>0</v>
      </c>
      <c r="AK50" s="14">
        <f t="shared" ca="1" si="12"/>
        <v>0</v>
      </c>
      <c r="AL50" s="14">
        <f t="shared" ca="1" si="12"/>
        <v>0</v>
      </c>
    </row>
    <row r="51" spans="1:38" ht="21" hidden="1" customHeight="1" outlineLevel="1" thickBot="1" x14ac:dyDescent="0.4">
      <c r="A51" s="5">
        <f t="shared" si="9"/>
        <v>0</v>
      </c>
      <c r="B51" s="5">
        <f t="shared" si="9"/>
        <v>0</v>
      </c>
      <c r="C51" s="5">
        <f t="shared" si="9"/>
        <v>1</v>
      </c>
      <c r="D51" s="5">
        <f t="shared" si="9"/>
        <v>0</v>
      </c>
      <c r="E51" s="6" t="str">
        <f t="shared" si="9"/>
        <v>*Ge[c]</v>
      </c>
      <c r="F51" s="14">
        <f t="shared" ca="1" si="10"/>
        <v>-16.29</v>
      </c>
      <c r="G51" s="14">
        <f t="shared" ca="1" si="12"/>
        <v>-15.65</v>
      </c>
      <c r="H51" s="14">
        <f t="shared" ca="1" si="12"/>
        <v>-15.09</v>
      </c>
      <c r="I51" s="14">
        <f t="shared" ca="1" si="12"/>
        <v>-14.59</v>
      </c>
      <c r="J51" s="14">
        <f t="shared" ca="1" si="12"/>
        <v>-14.16</v>
      </c>
      <c r="K51" s="14">
        <f t="shared" ca="1" si="12"/>
        <v>-13.03</v>
      </c>
      <c r="L51" s="14">
        <f t="shared" ca="1" si="12"/>
        <v>-11.8</v>
      </c>
      <c r="M51" s="14">
        <f t="shared" ca="1" si="12"/>
        <v>-10.67</v>
      </c>
      <c r="N51" s="14">
        <f t="shared" ca="1" si="12"/>
        <v>-9.6150000000000002</v>
      </c>
      <c r="O51" s="14">
        <f t="shared" ca="1" si="12"/>
        <v>-6.04</v>
      </c>
      <c r="P51" s="14">
        <f t="shared" ca="1" si="12"/>
        <v>-5.2759999999999998</v>
      </c>
      <c r="Q51" s="14">
        <f t="shared" ca="1" si="12"/>
        <v>-4.5529999999999999</v>
      </c>
      <c r="R51" s="14">
        <f t="shared" ca="1" si="12"/>
        <v>-4.1150000000000002</v>
      </c>
      <c r="S51" s="14">
        <f t="shared" ca="1" si="12"/>
        <v>-4.1550000000000002</v>
      </c>
      <c r="T51" s="14">
        <f t="shared" ca="1" si="12"/>
        <v>-4.3170000000000002</v>
      </c>
      <c r="U51" s="14">
        <f t="shared" ca="1" si="12"/>
        <v>-4.4809999999999999</v>
      </c>
      <c r="V51" s="14">
        <f t="shared" ca="1" si="12"/>
        <v>-4.6429999999999998</v>
      </c>
      <c r="W51" s="14">
        <f t="shared" ca="1" si="12"/>
        <v>-4.6829999999999998</v>
      </c>
      <c r="X51" s="14">
        <f t="shared" ca="1" si="12"/>
        <v>-4.7220000000000004</v>
      </c>
      <c r="Y51" s="14">
        <f t="shared" ca="1" si="12"/>
        <v>-4.7619999999999996</v>
      </c>
      <c r="Z51" s="14">
        <f t="shared" ca="1" si="12"/>
        <v>-4.8010000000000002</v>
      </c>
      <c r="AA51" s="14">
        <f t="shared" ca="1" si="12"/>
        <v>-4.84</v>
      </c>
      <c r="AB51" s="14">
        <f t="shared" ca="1" si="12"/>
        <v>-4.8780000000000001</v>
      </c>
      <c r="AC51" s="14">
        <f t="shared" ca="1" si="12"/>
        <v>-4.9169999999999998</v>
      </c>
      <c r="AD51" s="14">
        <f t="shared" ca="1" si="12"/>
        <v>-4.9550000000000001</v>
      </c>
      <c r="AE51" s="14">
        <f t="shared" ca="1" si="12"/>
        <v>-5.1040000000000001</v>
      </c>
      <c r="AF51" s="14">
        <f t="shared" ca="1" si="12"/>
        <v>-5.2489999999999997</v>
      </c>
      <c r="AG51" s="14">
        <f t="shared" ca="1" si="12"/>
        <v>0</v>
      </c>
      <c r="AH51" s="14">
        <f t="shared" ca="1" si="12"/>
        <v>0</v>
      </c>
      <c r="AI51" s="14">
        <f t="shared" ca="1" si="12"/>
        <v>0</v>
      </c>
      <c r="AJ51" s="14">
        <f t="shared" ca="1" si="12"/>
        <v>0</v>
      </c>
      <c r="AK51" s="14">
        <f t="shared" ca="1" si="12"/>
        <v>0</v>
      </c>
      <c r="AL51" s="14">
        <f t="shared" ca="1" si="12"/>
        <v>0</v>
      </c>
    </row>
    <row r="52" spans="1:38" ht="21" hidden="1" customHeight="1" outlineLevel="1" thickBot="1" x14ac:dyDescent="0.4">
      <c r="A52" s="5">
        <f t="shared" si="9"/>
        <v>0</v>
      </c>
      <c r="B52" s="5">
        <f t="shared" si="9"/>
        <v>1</v>
      </c>
      <c r="C52" s="5">
        <f t="shared" si="9"/>
        <v>0</v>
      </c>
      <c r="D52" s="5">
        <f t="shared" si="9"/>
        <v>0</v>
      </c>
      <c r="E52" s="6" t="str">
        <f t="shared" si="9"/>
        <v>*Se[m]</v>
      </c>
      <c r="F52" s="14">
        <f t="shared" ca="1" si="10"/>
        <v>-23.52</v>
      </c>
      <c r="G52" s="14">
        <f t="shared" ca="1" si="12"/>
        <v>-22.41</v>
      </c>
      <c r="H52" s="14">
        <f t="shared" ca="1" si="12"/>
        <v>-21.42</v>
      </c>
      <c r="I52" s="14">
        <f t="shared" ca="1" si="12"/>
        <v>-20.54</v>
      </c>
      <c r="J52" s="14">
        <f t="shared" ca="1" si="12"/>
        <v>-19.760000000000002</v>
      </c>
      <c r="K52" s="14">
        <f t="shared" ca="1" si="12"/>
        <v>-19.79</v>
      </c>
      <c r="L52" s="14">
        <f t="shared" ca="1" si="12"/>
        <v>-20.03</v>
      </c>
      <c r="M52" s="14">
        <f t="shared" ca="1" si="12"/>
        <v>-20.28</v>
      </c>
      <c r="N52" s="14">
        <f t="shared" ca="1" si="12"/>
        <v>-20.52</v>
      </c>
      <c r="O52" s="14">
        <f t="shared" ca="1" si="12"/>
        <v>-21.52</v>
      </c>
      <c r="P52" s="14">
        <f t="shared" ca="1" si="12"/>
        <v>-21.77</v>
      </c>
      <c r="Q52" s="14">
        <f t="shared" ca="1" si="12"/>
        <v>-22.02</v>
      </c>
      <c r="R52" s="14">
        <f t="shared" ca="1" si="12"/>
        <v>-22.27</v>
      </c>
      <c r="S52" s="14">
        <f t="shared" ca="1" si="12"/>
        <v>-22.51</v>
      </c>
      <c r="T52" s="14">
        <f t="shared" ca="1" si="12"/>
        <v>-23.48</v>
      </c>
      <c r="U52" s="14">
        <f t="shared" ca="1" si="12"/>
        <v>-24.41</v>
      </c>
      <c r="V52" s="14">
        <f t="shared" ca="1" si="12"/>
        <v>-25.31</v>
      </c>
      <c r="W52" s="14">
        <f t="shared" ca="1" si="12"/>
        <v>-25.53</v>
      </c>
      <c r="X52" s="14">
        <f t="shared" ca="1" si="12"/>
        <v>-25.75</v>
      </c>
      <c r="Y52" s="14">
        <f t="shared" ca="1" si="12"/>
        <v>-25.96</v>
      </c>
      <c r="Z52" s="14">
        <f t="shared" ca="1" si="12"/>
        <v>-26.18</v>
      </c>
      <c r="AA52" s="14">
        <f t="shared" ca="1" si="12"/>
        <v>-26.39</v>
      </c>
      <c r="AB52" s="14">
        <f t="shared" ca="1" si="12"/>
        <v>-26.6</v>
      </c>
      <c r="AC52" s="14">
        <f t="shared" ca="1" si="12"/>
        <v>-26.81</v>
      </c>
      <c r="AD52" s="14">
        <f t="shared" ca="1" si="12"/>
        <v>-27.02</v>
      </c>
      <c r="AE52" s="14">
        <f t="shared" ca="1" si="12"/>
        <v>-27.83</v>
      </c>
      <c r="AF52" s="14">
        <f t="shared" ca="1" si="12"/>
        <v>-28.62</v>
      </c>
      <c r="AG52" s="14">
        <f t="shared" ca="1" si="12"/>
        <v>0</v>
      </c>
      <c r="AH52" s="14">
        <f t="shared" ca="1" si="12"/>
        <v>0</v>
      </c>
      <c r="AI52" s="14">
        <f t="shared" ca="1" si="12"/>
        <v>0</v>
      </c>
      <c r="AJ52" s="14">
        <f t="shared" ca="1" si="12"/>
        <v>0</v>
      </c>
      <c r="AK52" s="14">
        <f t="shared" ca="1" si="12"/>
        <v>0</v>
      </c>
      <c r="AL52" s="14">
        <f t="shared" ca="1" si="12"/>
        <v>0</v>
      </c>
    </row>
    <row r="53" spans="1:38" ht="21" hidden="1" customHeight="1" outlineLevel="1" thickBot="1" x14ac:dyDescent="0.4">
      <c r="A53" s="5">
        <f t="shared" si="9"/>
        <v>0</v>
      </c>
      <c r="B53" s="5">
        <f t="shared" si="9"/>
        <v>2</v>
      </c>
      <c r="C53" s="5">
        <f t="shared" si="9"/>
        <v>1</v>
      </c>
      <c r="D53" s="5">
        <f t="shared" si="9"/>
        <v>0</v>
      </c>
      <c r="E53" s="6" t="str">
        <f t="shared" si="9"/>
        <v>*GeSe2</v>
      </c>
      <c r="F53" s="14">
        <f t="shared" ca="1" si="10"/>
        <v>-63.33</v>
      </c>
      <c r="G53" s="14">
        <f t="shared" ca="1" si="12"/>
        <v>-60.47</v>
      </c>
      <c r="H53" s="14">
        <f t="shared" ca="1" si="12"/>
        <v>-57.930000000000007</v>
      </c>
      <c r="I53" s="14">
        <f t="shared" ca="1" si="12"/>
        <v>-55.67</v>
      </c>
      <c r="J53" s="14">
        <f t="shared" ca="1" si="12"/>
        <v>-53.680000000000007</v>
      </c>
      <c r="K53" s="14">
        <f t="shared" ca="1" si="12"/>
        <v>-52.61</v>
      </c>
      <c r="L53" s="14">
        <f t="shared" ca="1" si="12"/>
        <v>-51.86</v>
      </c>
      <c r="M53" s="14">
        <f t="shared" ca="1" si="12"/>
        <v>-51.230000000000004</v>
      </c>
      <c r="N53" s="14">
        <f t="shared" ca="1" si="12"/>
        <v>-50.655000000000001</v>
      </c>
      <c r="O53" s="14">
        <f t="shared" ca="1" si="12"/>
        <v>-49.08</v>
      </c>
      <c r="P53" s="14">
        <f t="shared" ca="1" si="12"/>
        <v>-48.816000000000003</v>
      </c>
      <c r="Q53" s="14">
        <f t="shared" ca="1" si="12"/>
        <v>-48.592999999999996</v>
      </c>
      <c r="R53" s="14">
        <f t="shared" ca="1" si="12"/>
        <v>-48.655000000000001</v>
      </c>
      <c r="S53" s="14">
        <f t="shared" ca="1" si="12"/>
        <v>-49.175000000000004</v>
      </c>
      <c r="T53" s="14">
        <f t="shared" ca="1" si="12"/>
        <v>-51.277000000000001</v>
      </c>
      <c r="U53" s="14">
        <f t="shared" ca="1" si="12"/>
        <v>-53.301000000000002</v>
      </c>
      <c r="V53" s="14">
        <f t="shared" ca="1" si="12"/>
        <v>-55.262999999999998</v>
      </c>
      <c r="W53" s="14">
        <f t="shared" ca="1" si="12"/>
        <v>-55.743000000000002</v>
      </c>
      <c r="X53" s="14">
        <f t="shared" ca="1" si="12"/>
        <v>-56.222000000000001</v>
      </c>
      <c r="Y53" s="14">
        <f t="shared" ca="1" si="12"/>
        <v>-56.682000000000002</v>
      </c>
      <c r="Z53" s="14">
        <f t="shared" ca="1" si="12"/>
        <v>-57.161000000000001</v>
      </c>
      <c r="AA53" s="14">
        <f t="shared" ca="1" si="12"/>
        <v>-57.620000000000005</v>
      </c>
      <c r="AB53" s="14">
        <f t="shared" ca="1" si="12"/>
        <v>-58.078000000000003</v>
      </c>
      <c r="AC53" s="14">
        <f t="shared" ca="1" si="12"/>
        <v>-58.536999999999999</v>
      </c>
      <c r="AD53" s="14">
        <f t="shared" ca="1" si="12"/>
        <v>-58.994999999999997</v>
      </c>
      <c r="AE53" s="14">
        <f t="shared" ca="1" si="12"/>
        <v>-60.763999999999996</v>
      </c>
      <c r="AF53" s="14">
        <f t="shared" ca="1" si="12"/>
        <v>-62.489000000000004</v>
      </c>
      <c r="AG53" s="14">
        <f t="shared" ca="1" si="12"/>
        <v>0</v>
      </c>
      <c r="AH53" s="14">
        <f t="shared" ca="1" si="12"/>
        <v>0</v>
      </c>
      <c r="AI53" s="14">
        <f t="shared" ca="1" si="12"/>
        <v>0</v>
      </c>
      <c r="AJ53" s="14">
        <f t="shared" ca="1" si="12"/>
        <v>0</v>
      </c>
      <c r="AK53" s="14">
        <f t="shared" ca="1" si="12"/>
        <v>0</v>
      </c>
      <c r="AL53" s="14">
        <f t="shared" ca="1" si="12"/>
        <v>0</v>
      </c>
    </row>
    <row r="54" spans="1:38" ht="21" hidden="1" customHeight="1" outlineLevel="1" thickBot="1" x14ac:dyDescent="0.4">
      <c r="A54" s="5">
        <f t="shared" si="9"/>
        <v>0</v>
      </c>
      <c r="B54" s="5">
        <f t="shared" si="9"/>
        <v>3</v>
      </c>
      <c r="C54" s="5">
        <f t="shared" si="9"/>
        <v>0</v>
      </c>
      <c r="D54" s="5">
        <f t="shared" si="9"/>
        <v>2</v>
      </c>
      <c r="E54" s="6" t="str">
        <f t="shared" si="9"/>
        <v>Ga2Se3</v>
      </c>
      <c r="F54" s="14">
        <f t="shared" ca="1" si="10"/>
        <v>-204.08</v>
      </c>
      <c r="G54" s="14">
        <f t="shared" ca="1" si="12"/>
        <v>-193.79000000000002</v>
      </c>
      <c r="H54" s="14">
        <f t="shared" ca="1" si="12"/>
        <v>-184.62</v>
      </c>
      <c r="I54" s="14">
        <f t="shared" ca="1" si="12"/>
        <v>-176.42</v>
      </c>
      <c r="J54" s="14">
        <f t="shared" ca="1" si="12"/>
        <v>-169.1</v>
      </c>
      <c r="K54" s="14">
        <f t="shared" ca="1" si="12"/>
        <v>-162.43</v>
      </c>
      <c r="L54" s="14">
        <f t="shared" ca="1" si="12"/>
        <v>-156.43</v>
      </c>
      <c r="M54" s="14">
        <f t="shared" ca="1" si="12"/>
        <v>-150.96</v>
      </c>
      <c r="N54" s="14">
        <f t="shared" ca="1" si="12"/>
        <v>-145.94</v>
      </c>
      <c r="O54" s="14">
        <f t="shared" ca="1" si="12"/>
        <v>-129.62</v>
      </c>
      <c r="P54" s="14">
        <f t="shared" ca="1" si="12"/>
        <v>-126.27000000000001</v>
      </c>
      <c r="Q54" s="14">
        <f t="shared" ca="1" si="12"/>
        <v>-123.16</v>
      </c>
      <c r="R54" s="14">
        <f t="shared" ca="1" si="12"/>
        <v>-120.28999999999999</v>
      </c>
      <c r="S54" s="14">
        <f t="shared" ca="1" si="12"/>
        <v>-117.57</v>
      </c>
      <c r="T54" s="14">
        <f t="shared" ca="1" si="12"/>
        <v>-108.36</v>
      </c>
      <c r="U54" s="14">
        <f t="shared" ref="U54:AL54" ca="1" si="13">$A54*H.Ar + $B54*H.Se + $C54*H.Ge + $D54*H.Ga</f>
        <v>-101.13</v>
      </c>
      <c r="V54" s="14">
        <f t="shared" ca="1" si="13"/>
        <v>-95.341999999999985</v>
      </c>
      <c r="W54" s="14">
        <f t="shared" ca="1" si="13"/>
        <v>-94.074000000000012</v>
      </c>
      <c r="X54" s="14">
        <f t="shared" ca="1" si="13"/>
        <v>-93.762</v>
      </c>
      <c r="Y54" s="14">
        <f t="shared" ca="1" si="13"/>
        <v>-93.573999999999998</v>
      </c>
      <c r="Z54" s="14">
        <f t="shared" ca="1" si="13"/>
        <v>-93.809999999999988</v>
      </c>
      <c r="AA54" s="14">
        <f t="shared" ca="1" si="13"/>
        <v>-94.6</v>
      </c>
      <c r="AB54" s="14">
        <f t="shared" ca="1" si="13"/>
        <v>-95.39200000000001</v>
      </c>
      <c r="AC54" s="14">
        <f t="shared" ca="1" si="13"/>
        <v>-96.187999999999988</v>
      </c>
      <c r="AD54" s="14">
        <f t="shared" ca="1" si="13"/>
        <v>-96.986000000000004</v>
      </c>
      <c r="AE54" s="14">
        <f t="shared" ca="1" si="13"/>
        <v>-100.128</v>
      </c>
      <c r="AF54" s="14">
        <f t="shared" ca="1" si="13"/>
        <v>-103.31</v>
      </c>
      <c r="AG54" s="14">
        <f t="shared" ca="1" si="13"/>
        <v>0</v>
      </c>
      <c r="AH54" s="14">
        <f t="shared" ca="1" si="13"/>
        <v>0</v>
      </c>
      <c r="AI54" s="14">
        <f t="shared" ca="1" si="13"/>
        <v>0</v>
      </c>
      <c r="AJ54" s="14">
        <f t="shared" ca="1" si="13"/>
        <v>0</v>
      </c>
      <c r="AK54" s="14">
        <f t="shared" ca="1" si="13"/>
        <v>0</v>
      </c>
      <c r="AL54" s="14">
        <f t="shared" ca="1" si="13"/>
        <v>0</v>
      </c>
    </row>
    <row r="55" spans="1:38" ht="21" hidden="1" customHeight="1" outlineLevel="1" thickBot="1" x14ac:dyDescent="0.4">
      <c r="A55" s="5">
        <f t="shared" si="9"/>
        <v>0</v>
      </c>
      <c r="B55" s="5">
        <f t="shared" si="9"/>
        <v>1</v>
      </c>
      <c r="C55" s="5">
        <f t="shared" si="9"/>
        <v>0</v>
      </c>
      <c r="D55" s="5">
        <f t="shared" si="9"/>
        <v>2</v>
      </c>
      <c r="E55" s="6" t="str">
        <f t="shared" si="9"/>
        <v>Ga2Se</v>
      </c>
      <c r="F55" s="14">
        <f t="shared" ca="1" si="10"/>
        <v>-157.04000000000002</v>
      </c>
      <c r="G55" s="14">
        <f t="shared" ref="G55:AL62" ca="1" si="14">$A55*H.Ar + $B55*H.Se + $C55*H.Ge + $D55*H.Ga</f>
        <v>-148.97</v>
      </c>
      <c r="H55" s="14">
        <f t="shared" ca="1" si="14"/>
        <v>-141.78</v>
      </c>
      <c r="I55" s="14">
        <f t="shared" ca="1" si="14"/>
        <v>-135.34</v>
      </c>
      <c r="J55" s="14">
        <f t="shared" ca="1" si="14"/>
        <v>-129.57999999999998</v>
      </c>
      <c r="K55" s="14">
        <f t="shared" ca="1" si="14"/>
        <v>-122.85</v>
      </c>
      <c r="L55" s="14">
        <f t="shared" ca="1" si="14"/>
        <v>-116.37</v>
      </c>
      <c r="M55" s="14">
        <f t="shared" ca="1" si="14"/>
        <v>-110.4</v>
      </c>
      <c r="N55" s="14">
        <f t="shared" ca="1" si="14"/>
        <v>-104.89999999999999</v>
      </c>
      <c r="O55" s="14">
        <f t="shared" ca="1" si="14"/>
        <v>-86.58</v>
      </c>
      <c r="P55" s="14">
        <f t="shared" ca="1" si="14"/>
        <v>-82.73</v>
      </c>
      <c r="Q55" s="14">
        <f t="shared" ca="1" si="14"/>
        <v>-79.12</v>
      </c>
      <c r="R55" s="14">
        <f t="shared" ca="1" si="14"/>
        <v>-75.75</v>
      </c>
      <c r="S55" s="14">
        <f t="shared" ca="1" si="14"/>
        <v>-72.55</v>
      </c>
      <c r="T55" s="14">
        <f t="shared" ca="1" si="14"/>
        <v>-61.400000000000006</v>
      </c>
      <c r="U55" s="14">
        <f t="shared" ca="1" si="14"/>
        <v>-52.31</v>
      </c>
      <c r="V55" s="14">
        <f t="shared" ca="1" si="14"/>
        <v>-44.721999999999994</v>
      </c>
      <c r="W55" s="14">
        <f t="shared" ca="1" si="14"/>
        <v>-43.014000000000003</v>
      </c>
      <c r="X55" s="14">
        <f t="shared" ca="1" si="14"/>
        <v>-42.262</v>
      </c>
      <c r="Y55" s="14">
        <f t="shared" ca="1" si="14"/>
        <v>-41.654000000000003</v>
      </c>
      <c r="Z55" s="14">
        <f t="shared" ca="1" si="14"/>
        <v>-41.45</v>
      </c>
      <c r="AA55" s="14">
        <f t="shared" ca="1" si="14"/>
        <v>-41.82</v>
      </c>
      <c r="AB55" s="14">
        <f t="shared" ca="1" si="14"/>
        <v>-42.192</v>
      </c>
      <c r="AC55" s="14">
        <f t="shared" ca="1" si="14"/>
        <v>-42.567999999999998</v>
      </c>
      <c r="AD55" s="14">
        <f t="shared" ca="1" si="14"/>
        <v>-42.945999999999998</v>
      </c>
      <c r="AE55" s="14">
        <f t="shared" ca="1" si="14"/>
        <v>-44.468000000000004</v>
      </c>
      <c r="AF55" s="14">
        <f t="shared" ca="1" si="14"/>
        <v>-46.07</v>
      </c>
      <c r="AG55" s="14">
        <f t="shared" ca="1" si="14"/>
        <v>0</v>
      </c>
      <c r="AH55" s="14">
        <f t="shared" ca="1" si="14"/>
        <v>0</v>
      </c>
      <c r="AI55" s="14">
        <f t="shared" ca="1" si="14"/>
        <v>0</v>
      </c>
      <c r="AJ55" s="14">
        <f t="shared" ca="1" si="14"/>
        <v>0</v>
      </c>
      <c r="AK55" s="14">
        <f t="shared" ca="1" si="14"/>
        <v>0</v>
      </c>
      <c r="AL55" s="14">
        <f t="shared" ca="1" si="14"/>
        <v>0</v>
      </c>
    </row>
    <row r="56" spans="1:38" ht="21" hidden="1" customHeight="1" outlineLevel="1" thickBot="1" x14ac:dyDescent="0.4">
      <c r="A56" s="5">
        <f t="shared" ref="A56:E65" si="15">A14</f>
        <v>1</v>
      </c>
      <c r="B56" s="5">
        <f t="shared" si="15"/>
        <v>0</v>
      </c>
      <c r="C56" s="5">
        <f t="shared" si="15"/>
        <v>0</v>
      </c>
      <c r="D56" s="5">
        <f t="shared" si="15"/>
        <v>0</v>
      </c>
      <c r="E56" s="6" t="str">
        <f t="shared" si="15"/>
        <v>Ar</v>
      </c>
      <c r="F56" s="14">
        <f t="shared" ref="F56:U65" ca="1" si="16">$A56*H.Ar + $B56*H.Se + $C56*H.Ge + $D56*H.Ga</f>
        <v>-18.72</v>
      </c>
      <c r="G56" s="14">
        <f t="shared" ca="1" si="16"/>
        <v>-18.71</v>
      </c>
      <c r="H56" s="14">
        <f t="shared" ca="1" si="16"/>
        <v>-18.71</v>
      </c>
      <c r="I56" s="14">
        <f t="shared" ca="1" si="16"/>
        <v>-18.71</v>
      </c>
      <c r="J56" s="14">
        <f t="shared" ca="1" si="16"/>
        <v>-18.73</v>
      </c>
      <c r="K56" s="14">
        <f t="shared" ca="1" si="16"/>
        <v>-18.739999999999998</v>
      </c>
      <c r="L56" s="14">
        <f t="shared" ca="1" si="16"/>
        <v>-18.760000000000002</v>
      </c>
      <c r="M56" s="14">
        <f t="shared" ca="1" si="16"/>
        <v>-18.79</v>
      </c>
      <c r="N56" s="14">
        <f t="shared" ca="1" si="16"/>
        <v>-18.809999999999999</v>
      </c>
      <c r="O56" s="14">
        <f t="shared" ca="1" si="16"/>
        <v>-18.93</v>
      </c>
      <c r="P56" s="14">
        <f t="shared" ca="1" si="16"/>
        <v>-18.97</v>
      </c>
      <c r="Q56" s="14">
        <f t="shared" ca="1" si="16"/>
        <v>-19</v>
      </c>
      <c r="R56" s="14">
        <f t="shared" ca="1" si="16"/>
        <v>-19.03</v>
      </c>
      <c r="S56" s="14">
        <f t="shared" ca="1" si="16"/>
        <v>-19.07</v>
      </c>
      <c r="T56" s="14">
        <f t="shared" ca="1" si="16"/>
        <v>-19.2</v>
      </c>
      <c r="U56" s="14">
        <f t="shared" ca="1" si="16"/>
        <v>-19.34</v>
      </c>
      <c r="V56" s="14">
        <f t="shared" ca="1" si="14"/>
        <v>-19.48</v>
      </c>
      <c r="W56" s="14">
        <f t="shared" ca="1" si="14"/>
        <v>-19.510000000000002</v>
      </c>
      <c r="X56" s="14">
        <f t="shared" ca="1" si="14"/>
        <v>-19.489999999999998</v>
      </c>
      <c r="Y56" s="14">
        <f t="shared" ca="1" si="14"/>
        <v>-19.5</v>
      </c>
      <c r="Z56" s="14">
        <f t="shared" ca="1" si="14"/>
        <v>-19.52</v>
      </c>
      <c r="AA56" s="14">
        <f t="shared" ca="1" si="14"/>
        <v>-19.55</v>
      </c>
      <c r="AB56" s="14">
        <f t="shared" ca="1" si="14"/>
        <v>-19.579999999999998</v>
      </c>
      <c r="AC56" s="14">
        <f t="shared" ca="1" si="14"/>
        <v>-19.61</v>
      </c>
      <c r="AD56" s="14">
        <f t="shared" ca="1" si="14"/>
        <v>-19.64</v>
      </c>
      <c r="AE56" s="14">
        <f t="shared" ca="1" si="14"/>
        <v>-19.760000000000002</v>
      </c>
      <c r="AF56" s="14">
        <f t="shared" ca="1" si="14"/>
        <v>-19.88</v>
      </c>
      <c r="AG56" s="14">
        <f t="shared" ca="1" si="14"/>
        <v>0</v>
      </c>
      <c r="AH56" s="14">
        <f t="shared" ca="1" si="14"/>
        <v>0</v>
      </c>
      <c r="AI56" s="14">
        <f t="shared" ca="1" si="14"/>
        <v>0</v>
      </c>
      <c r="AJ56" s="14">
        <f t="shared" ca="1" si="14"/>
        <v>0</v>
      </c>
      <c r="AK56" s="14">
        <f t="shared" ca="1" si="14"/>
        <v>0</v>
      </c>
      <c r="AL56" s="14">
        <f t="shared" ca="1" si="14"/>
        <v>0</v>
      </c>
    </row>
    <row r="57" spans="1:38" ht="21" hidden="1" customHeight="1" outlineLevel="1" thickBot="1" x14ac:dyDescent="0.4">
      <c r="A57" s="5">
        <f t="shared" si="15"/>
        <v>0</v>
      </c>
      <c r="B57" s="5">
        <f t="shared" si="15"/>
        <v>0</v>
      </c>
      <c r="C57" s="5">
        <f t="shared" si="15"/>
        <v>0</v>
      </c>
      <c r="D57" s="5">
        <f t="shared" si="15"/>
        <v>1</v>
      </c>
      <c r="E57" s="6" t="str">
        <f t="shared" si="15"/>
        <v>(1)Ga[1]</v>
      </c>
      <c r="F57" s="14">
        <f t="shared" ca="1" si="16"/>
        <v>-66.760000000000005</v>
      </c>
      <c r="G57" s="14">
        <f t="shared" ca="1" si="14"/>
        <v>-63.28</v>
      </c>
      <c r="H57" s="14">
        <f t="shared" ca="1" si="14"/>
        <v>-60.18</v>
      </c>
      <c r="I57" s="14">
        <f t="shared" ca="1" si="14"/>
        <v>-57.4</v>
      </c>
      <c r="J57" s="14">
        <f t="shared" ca="1" si="14"/>
        <v>-54.91</v>
      </c>
      <c r="K57" s="14">
        <f t="shared" ca="1" si="14"/>
        <v>-51.53</v>
      </c>
      <c r="L57" s="14">
        <f t="shared" ca="1" si="14"/>
        <v>-48.17</v>
      </c>
      <c r="M57" s="14">
        <f t="shared" ca="1" si="14"/>
        <v>-45.06</v>
      </c>
      <c r="N57" s="14">
        <f t="shared" ca="1" si="14"/>
        <v>-42.19</v>
      </c>
      <c r="O57" s="14">
        <f t="shared" ca="1" si="14"/>
        <v>-32.53</v>
      </c>
      <c r="P57" s="14">
        <f t="shared" ca="1" si="14"/>
        <v>-30.48</v>
      </c>
      <c r="Q57" s="14">
        <f t="shared" ca="1" si="14"/>
        <v>-28.55</v>
      </c>
      <c r="R57" s="14">
        <f t="shared" ca="1" si="14"/>
        <v>-26.74</v>
      </c>
      <c r="S57" s="14">
        <f t="shared" ca="1" si="14"/>
        <v>-25.02</v>
      </c>
      <c r="T57" s="14">
        <f t="shared" ca="1" si="14"/>
        <v>-18.96</v>
      </c>
      <c r="U57" s="14">
        <f t="shared" ca="1" si="14"/>
        <v>-13.95</v>
      </c>
      <c r="V57" s="14">
        <f t="shared" ca="1" si="14"/>
        <v>-9.7059999999999995</v>
      </c>
      <c r="W57" s="14">
        <f t="shared" ca="1" si="14"/>
        <v>-8.7420000000000009</v>
      </c>
      <c r="X57" s="14">
        <f t="shared" ca="1" si="14"/>
        <v>-8.2560000000000002</v>
      </c>
      <c r="Y57" s="14">
        <f t="shared" ca="1" si="14"/>
        <v>-7.8470000000000004</v>
      </c>
      <c r="Z57" s="14">
        <f t="shared" ca="1" si="14"/>
        <v>-7.6349999999999998</v>
      </c>
      <c r="AA57" s="14">
        <f t="shared" ca="1" si="14"/>
        <v>-7.7149999999999999</v>
      </c>
      <c r="AB57" s="14">
        <f t="shared" ca="1" si="14"/>
        <v>-7.7960000000000003</v>
      </c>
      <c r="AC57" s="14">
        <f t="shared" ca="1" si="14"/>
        <v>-7.8789999999999996</v>
      </c>
      <c r="AD57" s="14">
        <f t="shared" ca="1" si="14"/>
        <v>-7.9630000000000001</v>
      </c>
      <c r="AE57" s="14">
        <f t="shared" ca="1" si="14"/>
        <v>-8.3190000000000008</v>
      </c>
      <c r="AF57" s="14">
        <f t="shared" ca="1" si="14"/>
        <v>-8.7249999999999996</v>
      </c>
      <c r="AG57" s="14">
        <f t="shared" ca="1" si="14"/>
        <v>0</v>
      </c>
      <c r="AH57" s="14">
        <f t="shared" ca="1" si="14"/>
        <v>0</v>
      </c>
      <c r="AI57" s="14">
        <f t="shared" ca="1" si="14"/>
        <v>0</v>
      </c>
      <c r="AJ57" s="14">
        <f t="shared" ca="1" si="14"/>
        <v>0</v>
      </c>
      <c r="AK57" s="14">
        <f t="shared" ca="1" si="14"/>
        <v>0</v>
      </c>
      <c r="AL57" s="14">
        <f t="shared" ca="1" si="14"/>
        <v>0</v>
      </c>
    </row>
    <row r="58" spans="1:38" ht="21" hidden="1" customHeight="1" outlineLevel="1" thickBot="1" x14ac:dyDescent="0.4">
      <c r="A58" s="5">
        <f t="shared" si="15"/>
        <v>0</v>
      </c>
      <c r="B58" s="5">
        <f t="shared" si="15"/>
        <v>0</v>
      </c>
      <c r="C58" s="5">
        <f t="shared" si="15"/>
        <v>1</v>
      </c>
      <c r="D58" s="5">
        <f t="shared" si="15"/>
        <v>0</v>
      </c>
      <c r="E58" s="6" t="str">
        <f t="shared" si="15"/>
        <v>(1)Ge[1]</v>
      </c>
      <c r="F58" s="14">
        <f t="shared" ca="1" si="16"/>
        <v>-16.29</v>
      </c>
      <c r="G58" s="14">
        <f t="shared" ca="1" si="14"/>
        <v>-15.65</v>
      </c>
      <c r="H58" s="14">
        <f t="shared" ca="1" si="14"/>
        <v>-15.09</v>
      </c>
      <c r="I58" s="14">
        <f t="shared" ca="1" si="14"/>
        <v>-14.59</v>
      </c>
      <c r="J58" s="14">
        <f t="shared" ca="1" si="14"/>
        <v>-14.16</v>
      </c>
      <c r="K58" s="14">
        <f t="shared" ca="1" si="14"/>
        <v>-13.03</v>
      </c>
      <c r="L58" s="14">
        <f t="shared" ca="1" si="14"/>
        <v>-11.8</v>
      </c>
      <c r="M58" s="14">
        <f t="shared" ca="1" si="14"/>
        <v>-10.67</v>
      </c>
      <c r="N58" s="14">
        <f t="shared" ca="1" si="14"/>
        <v>-9.6150000000000002</v>
      </c>
      <c r="O58" s="14">
        <f t="shared" ca="1" si="14"/>
        <v>-6.04</v>
      </c>
      <c r="P58" s="14">
        <f t="shared" ca="1" si="14"/>
        <v>-5.2759999999999998</v>
      </c>
      <c r="Q58" s="14">
        <f t="shared" ca="1" si="14"/>
        <v>-4.5529999999999999</v>
      </c>
      <c r="R58" s="14">
        <f t="shared" ca="1" si="14"/>
        <v>-4.1150000000000002</v>
      </c>
      <c r="S58" s="14">
        <f t="shared" ca="1" si="14"/>
        <v>-4.1550000000000002</v>
      </c>
      <c r="T58" s="14">
        <f t="shared" ca="1" si="14"/>
        <v>-4.3170000000000002</v>
      </c>
      <c r="U58" s="14">
        <f t="shared" ca="1" si="14"/>
        <v>-4.4809999999999999</v>
      </c>
      <c r="V58" s="14">
        <f t="shared" ca="1" si="14"/>
        <v>-4.6429999999999998</v>
      </c>
      <c r="W58" s="14">
        <f t="shared" ca="1" si="14"/>
        <v>-4.6829999999999998</v>
      </c>
      <c r="X58" s="14">
        <f t="shared" ca="1" si="14"/>
        <v>-4.7220000000000004</v>
      </c>
      <c r="Y58" s="14">
        <f t="shared" ca="1" si="14"/>
        <v>-4.7619999999999996</v>
      </c>
      <c r="Z58" s="14">
        <f t="shared" ca="1" si="14"/>
        <v>-4.8010000000000002</v>
      </c>
      <c r="AA58" s="14">
        <f t="shared" ca="1" si="14"/>
        <v>-4.84</v>
      </c>
      <c r="AB58" s="14">
        <f t="shared" ca="1" si="14"/>
        <v>-4.8780000000000001</v>
      </c>
      <c r="AC58" s="14">
        <f t="shared" ca="1" si="14"/>
        <v>-4.9169999999999998</v>
      </c>
      <c r="AD58" s="14">
        <f t="shared" ca="1" si="14"/>
        <v>-4.9550000000000001</v>
      </c>
      <c r="AE58" s="14">
        <f t="shared" ca="1" si="14"/>
        <v>-5.1040000000000001</v>
      </c>
      <c r="AF58" s="14">
        <f t="shared" ca="1" si="14"/>
        <v>-5.2489999999999997</v>
      </c>
      <c r="AG58" s="14">
        <f t="shared" ca="1" si="14"/>
        <v>0</v>
      </c>
      <c r="AH58" s="14">
        <f t="shared" ca="1" si="14"/>
        <v>0</v>
      </c>
      <c r="AI58" s="14">
        <f t="shared" ca="1" si="14"/>
        <v>0</v>
      </c>
      <c r="AJ58" s="14">
        <f t="shared" ca="1" si="14"/>
        <v>0</v>
      </c>
      <c r="AK58" s="14">
        <f t="shared" ca="1" si="14"/>
        <v>0</v>
      </c>
      <c r="AL58" s="14">
        <f t="shared" ca="1" si="14"/>
        <v>0</v>
      </c>
    </row>
    <row r="59" spans="1:38" ht="21" hidden="1" customHeight="1" outlineLevel="1" thickBot="1" x14ac:dyDescent="0.4">
      <c r="A59" s="5">
        <f t="shared" si="15"/>
        <v>1</v>
      </c>
      <c r="B59" s="5">
        <f t="shared" si="15"/>
        <v>0</v>
      </c>
      <c r="C59" s="5">
        <f t="shared" si="15"/>
        <v>0</v>
      </c>
      <c r="D59" s="5">
        <f t="shared" si="15"/>
        <v>0</v>
      </c>
      <c r="E59" s="6" t="str">
        <f t="shared" si="15"/>
        <v>H (Ar)</v>
      </c>
      <c r="F59" s="14">
        <f t="shared" ca="1" si="16"/>
        <v>-18.72</v>
      </c>
      <c r="G59" s="14">
        <f t="shared" ca="1" si="14"/>
        <v>-18.71</v>
      </c>
      <c r="H59" s="14">
        <f t="shared" ca="1" si="14"/>
        <v>-18.71</v>
      </c>
      <c r="I59" s="14">
        <f t="shared" ca="1" si="14"/>
        <v>-18.71</v>
      </c>
      <c r="J59" s="14">
        <f t="shared" ca="1" si="14"/>
        <v>-18.73</v>
      </c>
      <c r="K59" s="14">
        <f t="shared" ca="1" si="14"/>
        <v>-18.739999999999998</v>
      </c>
      <c r="L59" s="14">
        <f t="shared" ca="1" si="14"/>
        <v>-18.760000000000002</v>
      </c>
      <c r="M59" s="14">
        <f t="shared" ca="1" si="14"/>
        <v>-18.79</v>
      </c>
      <c r="N59" s="14">
        <f t="shared" ca="1" si="14"/>
        <v>-18.809999999999999</v>
      </c>
      <c r="O59" s="14">
        <f t="shared" ca="1" si="14"/>
        <v>-18.93</v>
      </c>
      <c r="P59" s="14">
        <f t="shared" ca="1" si="14"/>
        <v>-18.97</v>
      </c>
      <c r="Q59" s="14">
        <f t="shared" ca="1" si="14"/>
        <v>-19</v>
      </c>
      <c r="R59" s="14">
        <f t="shared" ca="1" si="14"/>
        <v>-19.03</v>
      </c>
      <c r="S59" s="14">
        <f t="shared" ca="1" si="14"/>
        <v>-19.07</v>
      </c>
      <c r="T59" s="14">
        <f t="shared" ca="1" si="14"/>
        <v>-19.2</v>
      </c>
      <c r="U59" s="14">
        <f t="shared" ca="1" si="14"/>
        <v>-19.34</v>
      </c>
      <c r="V59" s="14">
        <f t="shared" ca="1" si="14"/>
        <v>-19.48</v>
      </c>
      <c r="W59" s="14">
        <f t="shared" ca="1" si="14"/>
        <v>-19.510000000000002</v>
      </c>
      <c r="X59" s="14">
        <f t="shared" ca="1" si="14"/>
        <v>-19.489999999999998</v>
      </c>
      <c r="Y59" s="14">
        <f t="shared" ca="1" si="14"/>
        <v>-19.5</v>
      </c>
      <c r="Z59" s="14">
        <f t="shared" ca="1" si="14"/>
        <v>-19.52</v>
      </c>
      <c r="AA59" s="14">
        <f t="shared" ca="1" si="14"/>
        <v>-19.55</v>
      </c>
      <c r="AB59" s="14">
        <f t="shared" ca="1" si="14"/>
        <v>-19.579999999999998</v>
      </c>
      <c r="AC59" s="14">
        <f t="shared" ca="1" si="14"/>
        <v>-19.61</v>
      </c>
      <c r="AD59" s="14">
        <f t="shared" ca="1" si="14"/>
        <v>-19.64</v>
      </c>
      <c r="AE59" s="14">
        <f t="shared" ca="1" si="14"/>
        <v>-19.760000000000002</v>
      </c>
      <c r="AF59" s="14">
        <f t="shared" ca="1" si="14"/>
        <v>-19.88</v>
      </c>
      <c r="AG59" s="14">
        <f t="shared" ca="1" si="14"/>
        <v>0</v>
      </c>
      <c r="AH59" s="14">
        <f t="shared" ca="1" si="14"/>
        <v>0</v>
      </c>
      <c r="AI59" s="14">
        <f t="shared" ca="1" si="14"/>
        <v>0</v>
      </c>
      <c r="AJ59" s="14">
        <f t="shared" ca="1" si="14"/>
        <v>0</v>
      </c>
      <c r="AK59" s="14">
        <f t="shared" ca="1" si="14"/>
        <v>0</v>
      </c>
      <c r="AL59" s="14">
        <f t="shared" ca="1" si="14"/>
        <v>0</v>
      </c>
    </row>
    <row r="60" spans="1:38" ht="21" hidden="1" customHeight="1" outlineLevel="1" thickBot="1" x14ac:dyDescent="0.4">
      <c r="A60" s="5">
        <f t="shared" si="15"/>
        <v>0</v>
      </c>
      <c r="B60" s="5">
        <f t="shared" si="15"/>
        <v>0</v>
      </c>
      <c r="C60" s="5">
        <f t="shared" si="15"/>
        <v>0</v>
      </c>
      <c r="D60" s="5">
        <f t="shared" si="15"/>
        <v>1</v>
      </c>
      <c r="E60" s="6" t="str">
        <f t="shared" si="15"/>
        <v>H (Ga)</v>
      </c>
      <c r="F60" s="14">
        <f t="shared" ca="1" si="16"/>
        <v>-66.760000000000005</v>
      </c>
      <c r="G60" s="14">
        <f t="shared" ca="1" si="14"/>
        <v>-63.28</v>
      </c>
      <c r="H60" s="14">
        <f t="shared" ca="1" si="14"/>
        <v>-60.18</v>
      </c>
      <c r="I60" s="14">
        <f t="shared" ca="1" si="14"/>
        <v>-57.4</v>
      </c>
      <c r="J60" s="14">
        <f t="shared" ca="1" si="14"/>
        <v>-54.91</v>
      </c>
      <c r="K60" s="14">
        <f t="shared" ca="1" si="14"/>
        <v>-51.53</v>
      </c>
      <c r="L60" s="14">
        <f t="shared" ca="1" si="14"/>
        <v>-48.17</v>
      </c>
      <c r="M60" s="14">
        <f t="shared" ca="1" si="14"/>
        <v>-45.06</v>
      </c>
      <c r="N60" s="14">
        <f t="shared" ca="1" si="14"/>
        <v>-42.19</v>
      </c>
      <c r="O60" s="14">
        <f t="shared" ca="1" si="14"/>
        <v>-32.53</v>
      </c>
      <c r="P60" s="14">
        <f t="shared" ca="1" si="14"/>
        <v>-30.48</v>
      </c>
      <c r="Q60" s="14">
        <f t="shared" ca="1" si="14"/>
        <v>-28.55</v>
      </c>
      <c r="R60" s="14">
        <f t="shared" ca="1" si="14"/>
        <v>-26.74</v>
      </c>
      <c r="S60" s="14">
        <f t="shared" ca="1" si="14"/>
        <v>-25.02</v>
      </c>
      <c r="T60" s="14">
        <f t="shared" ca="1" si="14"/>
        <v>-18.96</v>
      </c>
      <c r="U60" s="14">
        <f t="shared" ca="1" si="14"/>
        <v>-13.95</v>
      </c>
      <c r="V60" s="14">
        <f t="shared" ca="1" si="14"/>
        <v>-9.7059999999999995</v>
      </c>
      <c r="W60" s="14">
        <f t="shared" ca="1" si="14"/>
        <v>-8.7420000000000009</v>
      </c>
      <c r="X60" s="14">
        <f t="shared" ca="1" si="14"/>
        <v>-8.2560000000000002</v>
      </c>
      <c r="Y60" s="14">
        <f t="shared" ca="1" si="14"/>
        <v>-7.8470000000000004</v>
      </c>
      <c r="Z60" s="14">
        <f t="shared" ca="1" si="14"/>
        <v>-7.6349999999999998</v>
      </c>
      <c r="AA60" s="14">
        <f t="shared" ca="1" si="14"/>
        <v>-7.7149999999999999</v>
      </c>
      <c r="AB60" s="14">
        <f t="shared" ca="1" si="14"/>
        <v>-7.7960000000000003</v>
      </c>
      <c r="AC60" s="14">
        <f t="shared" ca="1" si="14"/>
        <v>-7.8789999999999996</v>
      </c>
      <c r="AD60" s="14">
        <f t="shared" ca="1" si="14"/>
        <v>-7.9630000000000001</v>
      </c>
      <c r="AE60" s="14">
        <f t="shared" ca="1" si="14"/>
        <v>-8.3190000000000008</v>
      </c>
      <c r="AF60" s="14">
        <f t="shared" ca="1" si="14"/>
        <v>-8.7249999999999996</v>
      </c>
      <c r="AG60" s="14">
        <f t="shared" ca="1" si="14"/>
        <v>0</v>
      </c>
      <c r="AH60" s="14">
        <f t="shared" ca="1" si="14"/>
        <v>0</v>
      </c>
      <c r="AI60" s="14">
        <f t="shared" ca="1" si="14"/>
        <v>0</v>
      </c>
      <c r="AJ60" s="14">
        <f t="shared" ca="1" si="14"/>
        <v>0</v>
      </c>
      <c r="AK60" s="14">
        <f t="shared" ca="1" si="14"/>
        <v>0</v>
      </c>
      <c r="AL60" s="14">
        <f t="shared" ca="1" si="14"/>
        <v>0</v>
      </c>
    </row>
    <row r="61" spans="1:38" ht="21" hidden="1" customHeight="1" outlineLevel="1" thickBot="1" x14ac:dyDescent="0.4">
      <c r="A61" s="5">
        <f t="shared" si="15"/>
        <v>0</v>
      </c>
      <c r="B61" s="5">
        <f t="shared" si="15"/>
        <v>0</v>
      </c>
      <c r="C61" s="5">
        <f t="shared" si="15"/>
        <v>1</v>
      </c>
      <c r="D61" s="5">
        <f t="shared" si="15"/>
        <v>0</v>
      </c>
      <c r="E61" s="6" t="str">
        <f t="shared" si="15"/>
        <v>H (Ge)</v>
      </c>
      <c r="F61" s="14">
        <f t="shared" ca="1" si="16"/>
        <v>-16.29</v>
      </c>
      <c r="G61" s="14">
        <f t="shared" ca="1" si="14"/>
        <v>-15.65</v>
      </c>
      <c r="H61" s="14">
        <f t="shared" ca="1" si="14"/>
        <v>-15.09</v>
      </c>
      <c r="I61" s="14">
        <f t="shared" ca="1" si="14"/>
        <v>-14.59</v>
      </c>
      <c r="J61" s="14">
        <f t="shared" ca="1" si="14"/>
        <v>-14.16</v>
      </c>
      <c r="K61" s="14">
        <f t="shared" ca="1" si="14"/>
        <v>-13.03</v>
      </c>
      <c r="L61" s="14">
        <f t="shared" ca="1" si="14"/>
        <v>-11.8</v>
      </c>
      <c r="M61" s="14">
        <f t="shared" ca="1" si="14"/>
        <v>-10.67</v>
      </c>
      <c r="N61" s="14">
        <f t="shared" ca="1" si="14"/>
        <v>-9.6150000000000002</v>
      </c>
      <c r="O61" s="14">
        <f t="shared" ca="1" si="14"/>
        <v>-6.04</v>
      </c>
      <c r="P61" s="14">
        <f t="shared" ca="1" si="14"/>
        <v>-5.2759999999999998</v>
      </c>
      <c r="Q61" s="14">
        <f t="shared" ca="1" si="14"/>
        <v>-4.5529999999999999</v>
      </c>
      <c r="R61" s="14">
        <f t="shared" ca="1" si="14"/>
        <v>-4.1150000000000002</v>
      </c>
      <c r="S61" s="14">
        <f t="shared" ca="1" si="14"/>
        <v>-4.1550000000000002</v>
      </c>
      <c r="T61" s="14">
        <f t="shared" ca="1" si="14"/>
        <v>-4.3170000000000002</v>
      </c>
      <c r="U61" s="14">
        <f t="shared" ca="1" si="14"/>
        <v>-4.4809999999999999</v>
      </c>
      <c r="V61" s="14">
        <f t="shared" ca="1" si="14"/>
        <v>-4.6429999999999998</v>
      </c>
      <c r="W61" s="14">
        <f t="shared" ca="1" si="14"/>
        <v>-4.6829999999999998</v>
      </c>
      <c r="X61" s="14">
        <f t="shared" ca="1" si="14"/>
        <v>-4.7220000000000004</v>
      </c>
      <c r="Y61" s="14">
        <f t="shared" ca="1" si="14"/>
        <v>-4.7619999999999996</v>
      </c>
      <c r="Z61" s="14">
        <f t="shared" ca="1" si="14"/>
        <v>-4.8010000000000002</v>
      </c>
      <c r="AA61" s="14">
        <f t="shared" ca="1" si="14"/>
        <v>-4.84</v>
      </c>
      <c r="AB61" s="14">
        <f t="shared" ca="1" si="14"/>
        <v>-4.8780000000000001</v>
      </c>
      <c r="AC61" s="14">
        <f t="shared" ca="1" si="14"/>
        <v>-4.9169999999999998</v>
      </c>
      <c r="AD61" s="14">
        <f t="shared" ca="1" si="14"/>
        <v>-4.9550000000000001</v>
      </c>
      <c r="AE61" s="14">
        <f t="shared" ca="1" si="14"/>
        <v>-5.1040000000000001</v>
      </c>
      <c r="AF61" s="14">
        <f t="shared" ca="1" si="14"/>
        <v>-5.2489999999999997</v>
      </c>
      <c r="AG61" s="14">
        <f t="shared" ca="1" si="14"/>
        <v>0</v>
      </c>
      <c r="AH61" s="14">
        <f t="shared" ca="1" si="14"/>
        <v>0</v>
      </c>
      <c r="AI61" s="14">
        <f t="shared" ca="1" si="14"/>
        <v>0</v>
      </c>
      <c r="AJ61" s="14">
        <f t="shared" ca="1" si="14"/>
        <v>0</v>
      </c>
      <c r="AK61" s="14">
        <f t="shared" ca="1" si="14"/>
        <v>0</v>
      </c>
      <c r="AL61" s="14">
        <f t="shared" ca="1" si="14"/>
        <v>0</v>
      </c>
    </row>
    <row r="62" spans="1:38" ht="21" hidden="1" customHeight="1" outlineLevel="1" thickBot="1" x14ac:dyDescent="0.4">
      <c r="A62" s="5">
        <f t="shared" si="15"/>
        <v>0</v>
      </c>
      <c r="B62" s="5">
        <f t="shared" si="15"/>
        <v>1</v>
      </c>
      <c r="C62" s="5">
        <f t="shared" si="15"/>
        <v>0</v>
      </c>
      <c r="D62" s="5">
        <f t="shared" si="15"/>
        <v>0</v>
      </c>
      <c r="E62" s="6" t="str">
        <f t="shared" si="15"/>
        <v>H (Se)</v>
      </c>
      <c r="F62" s="14">
        <f t="shared" ca="1" si="16"/>
        <v>-23.52</v>
      </c>
      <c r="G62" s="14">
        <f t="shared" ca="1" si="14"/>
        <v>-22.41</v>
      </c>
      <c r="H62" s="14">
        <f t="shared" ca="1" si="14"/>
        <v>-21.42</v>
      </c>
      <c r="I62" s="14">
        <f t="shared" ca="1" si="14"/>
        <v>-20.54</v>
      </c>
      <c r="J62" s="14">
        <f t="shared" ca="1" si="14"/>
        <v>-19.760000000000002</v>
      </c>
      <c r="K62" s="14">
        <f t="shared" ca="1" si="14"/>
        <v>-19.79</v>
      </c>
      <c r="L62" s="14">
        <f t="shared" ca="1" si="14"/>
        <v>-20.03</v>
      </c>
      <c r="M62" s="14">
        <f t="shared" ca="1" si="14"/>
        <v>-20.28</v>
      </c>
      <c r="N62" s="14">
        <f t="shared" ca="1" si="14"/>
        <v>-20.52</v>
      </c>
      <c r="O62" s="14">
        <f t="shared" ca="1" si="14"/>
        <v>-21.52</v>
      </c>
      <c r="P62" s="14">
        <f t="shared" ca="1" si="14"/>
        <v>-21.77</v>
      </c>
      <c r="Q62" s="14">
        <f t="shared" ca="1" si="14"/>
        <v>-22.02</v>
      </c>
      <c r="R62" s="14">
        <f t="shared" ca="1" si="14"/>
        <v>-22.27</v>
      </c>
      <c r="S62" s="14">
        <f t="shared" ca="1" si="14"/>
        <v>-22.51</v>
      </c>
      <c r="T62" s="14">
        <f t="shared" ca="1" si="14"/>
        <v>-23.48</v>
      </c>
      <c r="U62" s="14">
        <f t="shared" ca="1" si="14"/>
        <v>-24.41</v>
      </c>
      <c r="V62" s="14">
        <f t="shared" ca="1" si="14"/>
        <v>-25.31</v>
      </c>
      <c r="W62" s="14">
        <f t="shared" ca="1" si="14"/>
        <v>-25.53</v>
      </c>
      <c r="X62" s="14">
        <f t="shared" ca="1" si="14"/>
        <v>-25.75</v>
      </c>
      <c r="Y62" s="14">
        <f t="shared" ca="1" si="14"/>
        <v>-25.96</v>
      </c>
      <c r="Z62" s="14">
        <f t="shared" ca="1" si="14"/>
        <v>-26.18</v>
      </c>
      <c r="AA62" s="14">
        <f t="shared" ca="1" si="14"/>
        <v>-26.39</v>
      </c>
      <c r="AB62" s="14">
        <f t="shared" ca="1" si="14"/>
        <v>-26.6</v>
      </c>
      <c r="AC62" s="14">
        <f t="shared" ca="1" si="14"/>
        <v>-26.81</v>
      </c>
      <c r="AD62" s="14">
        <f t="shared" ca="1" si="14"/>
        <v>-27.02</v>
      </c>
      <c r="AE62" s="14">
        <f t="shared" ca="1" si="14"/>
        <v>-27.83</v>
      </c>
      <c r="AF62" s="14">
        <f t="shared" ca="1" si="14"/>
        <v>-28.62</v>
      </c>
      <c r="AG62" s="14">
        <f t="shared" ca="1" si="14"/>
        <v>0</v>
      </c>
      <c r="AH62" s="14">
        <f t="shared" ca="1" si="14"/>
        <v>0</v>
      </c>
      <c r="AI62" s="14">
        <f t="shared" ref="AI62:AL62" ca="1" si="17">$A62*H.Ar + $B62*H.Se + $C62*H.Ge + $D62*H.Ga</f>
        <v>0</v>
      </c>
      <c r="AJ62" s="14">
        <f t="shared" ca="1" si="17"/>
        <v>0</v>
      </c>
      <c r="AK62" s="14">
        <f t="shared" ca="1" si="17"/>
        <v>0</v>
      </c>
      <c r="AL62" s="14">
        <f t="shared" ca="1" si="17"/>
        <v>0</v>
      </c>
    </row>
    <row r="63" spans="1:38" ht="21" hidden="1" customHeight="1" outlineLevel="1" thickBot="1" x14ac:dyDescent="0.4">
      <c r="A63" s="5">
        <f t="shared" si="15"/>
        <v>0</v>
      </c>
      <c r="B63" s="5">
        <f t="shared" si="15"/>
        <v>0</v>
      </c>
      <c r="C63" s="5">
        <f t="shared" si="15"/>
        <v>0</v>
      </c>
      <c r="D63" s="5">
        <f t="shared" si="15"/>
        <v>0</v>
      </c>
      <c r="E63" s="6">
        <f t="shared" si="15"/>
        <v>0</v>
      </c>
      <c r="F63" s="14">
        <f t="shared" ca="1" si="16"/>
        <v>0</v>
      </c>
      <c r="G63" s="14">
        <f t="shared" ref="G63:AL71" ca="1" si="18">$A63*H.Ar + $B63*H.Se + $C63*H.Ge + $D63*H.Ga</f>
        <v>0</v>
      </c>
      <c r="H63" s="14">
        <f t="shared" ca="1" si="18"/>
        <v>0</v>
      </c>
      <c r="I63" s="14">
        <f t="shared" ca="1" si="18"/>
        <v>0</v>
      </c>
      <c r="J63" s="14">
        <f t="shared" ca="1" si="18"/>
        <v>0</v>
      </c>
      <c r="K63" s="14">
        <f t="shared" ca="1" si="18"/>
        <v>0</v>
      </c>
      <c r="L63" s="14">
        <f t="shared" ca="1" si="18"/>
        <v>0</v>
      </c>
      <c r="M63" s="14">
        <f t="shared" ca="1" si="18"/>
        <v>0</v>
      </c>
      <c r="N63" s="14">
        <f t="shared" ca="1" si="18"/>
        <v>0</v>
      </c>
      <c r="O63" s="14">
        <f t="shared" ca="1" si="18"/>
        <v>0</v>
      </c>
      <c r="P63" s="14">
        <f t="shared" ca="1" si="18"/>
        <v>0</v>
      </c>
      <c r="Q63" s="14">
        <f t="shared" ca="1" si="18"/>
        <v>0</v>
      </c>
      <c r="R63" s="14">
        <f t="shared" ca="1" si="18"/>
        <v>0</v>
      </c>
      <c r="S63" s="14">
        <f t="shared" ca="1" si="18"/>
        <v>0</v>
      </c>
      <c r="T63" s="14">
        <f t="shared" ca="1" si="18"/>
        <v>0</v>
      </c>
      <c r="U63" s="14">
        <f t="shared" ca="1" si="18"/>
        <v>0</v>
      </c>
      <c r="V63" s="14">
        <f t="shared" ca="1" si="18"/>
        <v>0</v>
      </c>
      <c r="W63" s="14">
        <f t="shared" ca="1" si="18"/>
        <v>0</v>
      </c>
      <c r="X63" s="14">
        <f t="shared" ca="1" si="18"/>
        <v>0</v>
      </c>
      <c r="Y63" s="14">
        <f t="shared" ca="1" si="18"/>
        <v>0</v>
      </c>
      <c r="Z63" s="14">
        <f t="shared" ca="1" si="18"/>
        <v>0</v>
      </c>
      <c r="AA63" s="14">
        <f t="shared" ca="1" si="18"/>
        <v>0</v>
      </c>
      <c r="AB63" s="14">
        <f t="shared" ca="1" si="18"/>
        <v>0</v>
      </c>
      <c r="AC63" s="14">
        <f t="shared" ca="1" si="18"/>
        <v>0</v>
      </c>
      <c r="AD63" s="14">
        <f t="shared" ca="1" si="18"/>
        <v>0</v>
      </c>
      <c r="AE63" s="14">
        <f t="shared" ca="1" si="18"/>
        <v>0</v>
      </c>
      <c r="AF63" s="14">
        <f t="shared" ca="1" si="18"/>
        <v>0</v>
      </c>
      <c r="AG63" s="14">
        <f t="shared" ca="1" si="18"/>
        <v>0</v>
      </c>
      <c r="AH63" s="14">
        <f t="shared" ca="1" si="18"/>
        <v>0</v>
      </c>
      <c r="AI63" s="14">
        <f t="shared" ca="1" si="18"/>
        <v>0</v>
      </c>
      <c r="AJ63" s="14">
        <f t="shared" ca="1" si="18"/>
        <v>0</v>
      </c>
      <c r="AK63" s="14">
        <f t="shared" ca="1" si="18"/>
        <v>0</v>
      </c>
      <c r="AL63" s="14">
        <f t="shared" ca="1" si="18"/>
        <v>0</v>
      </c>
    </row>
    <row r="64" spans="1:38" ht="21" hidden="1" customHeight="1" outlineLevel="1" thickBot="1" x14ac:dyDescent="0.4">
      <c r="A64" s="5">
        <f t="shared" si="15"/>
        <v>0</v>
      </c>
      <c r="B64" s="5">
        <f t="shared" si="15"/>
        <v>0</v>
      </c>
      <c r="C64" s="5">
        <f t="shared" si="15"/>
        <v>0</v>
      </c>
      <c r="D64" s="5">
        <f t="shared" si="15"/>
        <v>0</v>
      </c>
      <c r="E64" s="6">
        <f t="shared" si="15"/>
        <v>0</v>
      </c>
      <c r="F64" s="14">
        <f t="shared" ca="1" si="16"/>
        <v>0</v>
      </c>
      <c r="G64" s="14">
        <f t="shared" ca="1" si="18"/>
        <v>0</v>
      </c>
      <c r="H64" s="14">
        <f t="shared" ca="1" si="18"/>
        <v>0</v>
      </c>
      <c r="I64" s="14">
        <f t="shared" ca="1" si="18"/>
        <v>0</v>
      </c>
      <c r="J64" s="14">
        <f t="shared" ca="1" si="18"/>
        <v>0</v>
      </c>
      <c r="K64" s="14">
        <f t="shared" ca="1" si="18"/>
        <v>0</v>
      </c>
      <c r="L64" s="14">
        <f t="shared" ca="1" si="18"/>
        <v>0</v>
      </c>
      <c r="M64" s="14">
        <f t="shared" ca="1" si="18"/>
        <v>0</v>
      </c>
      <c r="N64" s="14">
        <f t="shared" ca="1" si="18"/>
        <v>0</v>
      </c>
      <c r="O64" s="14">
        <f t="shared" ca="1" si="18"/>
        <v>0</v>
      </c>
      <c r="P64" s="14">
        <f t="shared" ca="1" si="18"/>
        <v>0</v>
      </c>
      <c r="Q64" s="14">
        <f t="shared" ca="1" si="18"/>
        <v>0</v>
      </c>
      <c r="R64" s="14">
        <f t="shared" ca="1" si="18"/>
        <v>0</v>
      </c>
      <c r="S64" s="14">
        <f t="shared" ca="1" si="18"/>
        <v>0</v>
      </c>
      <c r="T64" s="14">
        <f t="shared" ca="1" si="18"/>
        <v>0</v>
      </c>
      <c r="U64" s="14">
        <f t="shared" ca="1" si="18"/>
        <v>0</v>
      </c>
      <c r="V64" s="14">
        <f t="shared" ca="1" si="18"/>
        <v>0</v>
      </c>
      <c r="W64" s="14">
        <f t="shared" ca="1" si="18"/>
        <v>0</v>
      </c>
      <c r="X64" s="14">
        <f t="shared" ca="1" si="18"/>
        <v>0</v>
      </c>
      <c r="Y64" s="14">
        <f t="shared" ca="1" si="18"/>
        <v>0</v>
      </c>
      <c r="Z64" s="14">
        <f t="shared" ca="1" si="18"/>
        <v>0</v>
      </c>
      <c r="AA64" s="14">
        <f t="shared" ca="1" si="18"/>
        <v>0</v>
      </c>
      <c r="AB64" s="14">
        <f t="shared" ca="1" si="18"/>
        <v>0</v>
      </c>
      <c r="AC64" s="14">
        <f t="shared" ca="1" si="18"/>
        <v>0</v>
      </c>
      <c r="AD64" s="14">
        <f t="shared" ca="1" si="18"/>
        <v>0</v>
      </c>
      <c r="AE64" s="14">
        <f t="shared" ca="1" si="18"/>
        <v>0</v>
      </c>
      <c r="AF64" s="14">
        <f t="shared" ca="1" si="18"/>
        <v>0</v>
      </c>
      <c r="AG64" s="14">
        <f t="shared" ca="1" si="18"/>
        <v>0</v>
      </c>
      <c r="AH64" s="14">
        <f t="shared" ca="1" si="18"/>
        <v>0</v>
      </c>
      <c r="AI64" s="14">
        <f t="shared" ca="1" si="18"/>
        <v>0</v>
      </c>
      <c r="AJ64" s="14">
        <f t="shared" ca="1" si="18"/>
        <v>0</v>
      </c>
      <c r="AK64" s="14">
        <f t="shared" ca="1" si="18"/>
        <v>0</v>
      </c>
      <c r="AL64" s="14">
        <f t="shared" ca="1" si="18"/>
        <v>0</v>
      </c>
    </row>
    <row r="65" spans="1:54" ht="21" hidden="1" customHeight="1" outlineLevel="1" thickBot="1" x14ac:dyDescent="0.4">
      <c r="A65" s="5">
        <f t="shared" si="15"/>
        <v>0</v>
      </c>
      <c r="B65" s="5">
        <f t="shared" si="15"/>
        <v>0</v>
      </c>
      <c r="C65" s="5">
        <f t="shared" si="15"/>
        <v>0</v>
      </c>
      <c r="D65" s="5">
        <f t="shared" si="15"/>
        <v>0</v>
      </c>
      <c r="E65" s="6">
        <f t="shared" si="15"/>
        <v>0</v>
      </c>
      <c r="F65" s="14">
        <f t="shared" ca="1" si="16"/>
        <v>0</v>
      </c>
      <c r="G65" s="14">
        <f t="shared" ca="1" si="18"/>
        <v>0</v>
      </c>
      <c r="H65" s="14">
        <f t="shared" ca="1" si="18"/>
        <v>0</v>
      </c>
      <c r="I65" s="14">
        <f t="shared" ca="1" si="18"/>
        <v>0</v>
      </c>
      <c r="J65" s="14">
        <f t="shared" ca="1" si="18"/>
        <v>0</v>
      </c>
      <c r="K65" s="14">
        <f t="shared" ca="1" si="18"/>
        <v>0</v>
      </c>
      <c r="L65" s="14">
        <f t="shared" ca="1" si="18"/>
        <v>0</v>
      </c>
      <c r="M65" s="14">
        <f t="shared" ca="1" si="18"/>
        <v>0</v>
      </c>
      <c r="N65" s="14">
        <f t="shared" ca="1" si="18"/>
        <v>0</v>
      </c>
      <c r="O65" s="14">
        <f t="shared" ca="1" si="18"/>
        <v>0</v>
      </c>
      <c r="P65" s="14">
        <f t="shared" ca="1" si="18"/>
        <v>0</v>
      </c>
      <c r="Q65" s="14">
        <f t="shared" ca="1" si="18"/>
        <v>0</v>
      </c>
      <c r="R65" s="14">
        <f t="shared" ca="1" si="18"/>
        <v>0</v>
      </c>
      <c r="S65" s="14">
        <f t="shared" ca="1" si="18"/>
        <v>0</v>
      </c>
      <c r="T65" s="14">
        <f t="shared" ca="1" si="18"/>
        <v>0</v>
      </c>
      <c r="U65" s="14">
        <f t="shared" ca="1" si="18"/>
        <v>0</v>
      </c>
      <c r="V65" s="14">
        <f t="shared" ca="1" si="18"/>
        <v>0</v>
      </c>
      <c r="W65" s="14">
        <f t="shared" ca="1" si="18"/>
        <v>0</v>
      </c>
      <c r="X65" s="14">
        <f t="shared" ca="1" si="18"/>
        <v>0</v>
      </c>
      <c r="Y65" s="14">
        <f t="shared" ca="1" si="18"/>
        <v>0</v>
      </c>
      <c r="Z65" s="14">
        <f t="shared" ca="1" si="18"/>
        <v>0</v>
      </c>
      <c r="AA65" s="14">
        <f t="shared" ca="1" si="18"/>
        <v>0</v>
      </c>
      <c r="AB65" s="14">
        <f t="shared" ca="1" si="18"/>
        <v>0</v>
      </c>
      <c r="AC65" s="14">
        <f t="shared" ca="1" si="18"/>
        <v>0</v>
      </c>
      <c r="AD65" s="14">
        <f t="shared" ca="1" si="18"/>
        <v>0</v>
      </c>
      <c r="AE65" s="14">
        <f t="shared" ca="1" si="18"/>
        <v>0</v>
      </c>
      <c r="AF65" s="14">
        <f t="shared" ca="1" si="18"/>
        <v>0</v>
      </c>
      <c r="AG65" s="14">
        <f t="shared" ca="1" si="18"/>
        <v>0</v>
      </c>
      <c r="AH65" s="14">
        <f t="shared" ca="1" si="18"/>
        <v>0</v>
      </c>
      <c r="AI65" s="14">
        <f t="shared" ca="1" si="18"/>
        <v>0</v>
      </c>
      <c r="AJ65" s="14">
        <f t="shared" ca="1" si="18"/>
        <v>0</v>
      </c>
      <c r="AK65" s="14">
        <f t="shared" ca="1" si="18"/>
        <v>0</v>
      </c>
      <c r="AL65" s="14">
        <f t="shared" ca="1" si="18"/>
        <v>0</v>
      </c>
    </row>
    <row r="66" spans="1:54" ht="21" hidden="1" customHeight="1" outlineLevel="1" thickBot="1" x14ac:dyDescent="0.4">
      <c r="A66" s="5">
        <f t="shared" ref="A66:E75" si="19">A24</f>
        <v>0</v>
      </c>
      <c r="B66" s="5">
        <f t="shared" si="19"/>
        <v>0</v>
      </c>
      <c r="C66" s="5">
        <f t="shared" si="19"/>
        <v>0</v>
      </c>
      <c r="D66" s="5">
        <f t="shared" si="19"/>
        <v>0</v>
      </c>
      <c r="E66" s="6">
        <f t="shared" si="19"/>
        <v>0</v>
      </c>
      <c r="F66" s="14">
        <f t="shared" ref="F66:U74" ca="1" si="20">$A66*H.Ar + $B66*H.Se + $C66*H.Ge + $D66*H.Ga</f>
        <v>0</v>
      </c>
      <c r="G66" s="14">
        <f t="shared" ca="1" si="20"/>
        <v>0</v>
      </c>
      <c r="H66" s="14">
        <f t="shared" ca="1" si="20"/>
        <v>0</v>
      </c>
      <c r="I66" s="14">
        <f t="shared" ca="1" si="20"/>
        <v>0</v>
      </c>
      <c r="J66" s="14">
        <f t="shared" ca="1" si="20"/>
        <v>0</v>
      </c>
      <c r="K66" s="14">
        <f t="shared" ca="1" si="20"/>
        <v>0</v>
      </c>
      <c r="L66" s="14">
        <f t="shared" ca="1" si="20"/>
        <v>0</v>
      </c>
      <c r="M66" s="14">
        <f t="shared" ca="1" si="20"/>
        <v>0</v>
      </c>
      <c r="N66" s="14">
        <f t="shared" ca="1" si="20"/>
        <v>0</v>
      </c>
      <c r="O66" s="14">
        <f t="shared" ca="1" si="20"/>
        <v>0</v>
      </c>
      <c r="P66" s="14">
        <f t="shared" ca="1" si="20"/>
        <v>0</v>
      </c>
      <c r="Q66" s="14">
        <f t="shared" ca="1" si="20"/>
        <v>0</v>
      </c>
      <c r="R66" s="14">
        <f t="shared" ca="1" si="20"/>
        <v>0</v>
      </c>
      <c r="S66" s="14">
        <f t="shared" ca="1" si="20"/>
        <v>0</v>
      </c>
      <c r="T66" s="14">
        <f t="shared" ca="1" si="20"/>
        <v>0</v>
      </c>
      <c r="U66" s="14">
        <f t="shared" ca="1" si="20"/>
        <v>0</v>
      </c>
      <c r="V66" s="14">
        <f t="shared" ca="1" si="18"/>
        <v>0</v>
      </c>
      <c r="W66" s="14">
        <f t="shared" ca="1" si="18"/>
        <v>0</v>
      </c>
      <c r="X66" s="14">
        <f t="shared" ca="1" si="18"/>
        <v>0</v>
      </c>
      <c r="Y66" s="14">
        <f t="shared" ca="1" si="18"/>
        <v>0</v>
      </c>
      <c r="Z66" s="14">
        <f t="shared" ca="1" si="18"/>
        <v>0</v>
      </c>
      <c r="AA66" s="14">
        <f t="shared" ca="1" si="18"/>
        <v>0</v>
      </c>
      <c r="AB66" s="14">
        <f t="shared" ca="1" si="18"/>
        <v>0</v>
      </c>
      <c r="AC66" s="14">
        <f t="shared" ca="1" si="18"/>
        <v>0</v>
      </c>
      <c r="AD66" s="14">
        <f t="shared" ca="1" si="18"/>
        <v>0</v>
      </c>
      <c r="AE66" s="14">
        <f t="shared" ca="1" si="18"/>
        <v>0</v>
      </c>
      <c r="AF66" s="14">
        <f t="shared" ca="1" si="18"/>
        <v>0</v>
      </c>
      <c r="AG66" s="14">
        <f t="shared" ca="1" si="18"/>
        <v>0</v>
      </c>
      <c r="AH66" s="14">
        <f t="shared" ca="1" si="18"/>
        <v>0</v>
      </c>
      <c r="AI66" s="14">
        <f t="shared" ca="1" si="18"/>
        <v>0</v>
      </c>
      <c r="AJ66" s="14">
        <f t="shared" ca="1" si="18"/>
        <v>0</v>
      </c>
      <c r="AK66" s="14">
        <f t="shared" ca="1" si="18"/>
        <v>0</v>
      </c>
      <c r="AL66" s="14">
        <f t="shared" ca="1" si="18"/>
        <v>0</v>
      </c>
    </row>
    <row r="67" spans="1:54" ht="21" hidden="1" customHeight="1" outlineLevel="1" thickBot="1" x14ac:dyDescent="0.4">
      <c r="A67" s="5">
        <f t="shared" si="19"/>
        <v>0</v>
      </c>
      <c r="B67" s="5">
        <f t="shared" si="19"/>
        <v>0</v>
      </c>
      <c r="C67" s="5">
        <f t="shared" si="19"/>
        <v>0</v>
      </c>
      <c r="D67" s="5">
        <f t="shared" si="19"/>
        <v>0</v>
      </c>
      <c r="E67" s="6">
        <f t="shared" si="19"/>
        <v>0</v>
      </c>
      <c r="F67" s="14">
        <f t="shared" ca="1" si="20"/>
        <v>0</v>
      </c>
      <c r="G67" s="14">
        <f t="shared" ca="1" si="18"/>
        <v>0</v>
      </c>
      <c r="H67" s="14">
        <f t="shared" ca="1" si="18"/>
        <v>0</v>
      </c>
      <c r="I67" s="14">
        <f t="shared" ca="1" si="18"/>
        <v>0</v>
      </c>
      <c r="J67" s="14">
        <f t="shared" ca="1" si="18"/>
        <v>0</v>
      </c>
      <c r="K67" s="14">
        <f t="shared" ca="1" si="18"/>
        <v>0</v>
      </c>
      <c r="L67" s="14">
        <f t="shared" ca="1" si="18"/>
        <v>0</v>
      </c>
      <c r="M67" s="14">
        <f t="shared" ca="1" si="18"/>
        <v>0</v>
      </c>
      <c r="N67" s="14">
        <f t="shared" ca="1" si="18"/>
        <v>0</v>
      </c>
      <c r="O67" s="14">
        <f t="shared" ca="1" si="18"/>
        <v>0</v>
      </c>
      <c r="P67" s="14">
        <f t="shared" ca="1" si="18"/>
        <v>0</v>
      </c>
      <c r="Q67" s="14">
        <f t="shared" ca="1" si="18"/>
        <v>0</v>
      </c>
      <c r="R67" s="14">
        <f t="shared" ca="1" si="18"/>
        <v>0</v>
      </c>
      <c r="S67" s="14">
        <f t="shared" ca="1" si="18"/>
        <v>0</v>
      </c>
      <c r="T67" s="14">
        <f t="shared" ca="1" si="18"/>
        <v>0</v>
      </c>
      <c r="U67" s="14">
        <f t="shared" ca="1" si="18"/>
        <v>0</v>
      </c>
      <c r="V67" s="14">
        <f t="shared" ca="1" si="18"/>
        <v>0</v>
      </c>
      <c r="W67" s="14">
        <f t="shared" ca="1" si="18"/>
        <v>0</v>
      </c>
      <c r="X67" s="14">
        <f t="shared" ca="1" si="18"/>
        <v>0</v>
      </c>
      <c r="Y67" s="14">
        <f t="shared" ca="1" si="18"/>
        <v>0</v>
      </c>
      <c r="Z67" s="14">
        <f t="shared" ca="1" si="18"/>
        <v>0</v>
      </c>
      <c r="AA67" s="14">
        <f t="shared" ca="1" si="18"/>
        <v>0</v>
      </c>
      <c r="AB67" s="14">
        <f t="shared" ca="1" si="18"/>
        <v>0</v>
      </c>
      <c r="AC67" s="14">
        <f t="shared" ca="1" si="18"/>
        <v>0</v>
      </c>
      <c r="AD67" s="14">
        <f t="shared" ca="1" si="18"/>
        <v>0</v>
      </c>
      <c r="AE67" s="14">
        <f t="shared" ca="1" si="18"/>
        <v>0</v>
      </c>
      <c r="AF67" s="14">
        <f t="shared" ca="1" si="18"/>
        <v>0</v>
      </c>
      <c r="AG67" s="14">
        <f t="shared" ca="1" si="18"/>
        <v>0</v>
      </c>
      <c r="AH67" s="14">
        <f t="shared" ca="1" si="18"/>
        <v>0</v>
      </c>
      <c r="AI67" s="14">
        <f t="shared" ca="1" si="18"/>
        <v>0</v>
      </c>
      <c r="AJ67" s="14">
        <f t="shared" ca="1" si="18"/>
        <v>0</v>
      </c>
      <c r="AK67" s="14">
        <f t="shared" ca="1" si="18"/>
        <v>0</v>
      </c>
      <c r="AL67" s="14">
        <f t="shared" ca="1" si="18"/>
        <v>0</v>
      </c>
    </row>
    <row r="68" spans="1:54" ht="21" hidden="1" customHeight="1" outlineLevel="1" thickBot="1" x14ac:dyDescent="0.4">
      <c r="A68" s="5">
        <f t="shared" si="19"/>
        <v>0</v>
      </c>
      <c r="B68" s="5">
        <f t="shared" si="19"/>
        <v>0</v>
      </c>
      <c r="C68" s="5">
        <f t="shared" si="19"/>
        <v>0</v>
      </c>
      <c r="D68" s="5">
        <f t="shared" si="19"/>
        <v>0</v>
      </c>
      <c r="E68" s="6">
        <f t="shared" si="19"/>
        <v>0</v>
      </c>
      <c r="F68" s="14">
        <f t="shared" ca="1" si="20"/>
        <v>0</v>
      </c>
      <c r="G68" s="14">
        <f t="shared" ca="1" si="18"/>
        <v>0</v>
      </c>
      <c r="H68" s="14">
        <f t="shared" ca="1" si="18"/>
        <v>0</v>
      </c>
      <c r="I68" s="14">
        <f t="shared" ca="1" si="18"/>
        <v>0</v>
      </c>
      <c r="J68" s="14">
        <f t="shared" ca="1" si="18"/>
        <v>0</v>
      </c>
      <c r="K68" s="14">
        <f t="shared" ca="1" si="18"/>
        <v>0</v>
      </c>
      <c r="L68" s="14">
        <f t="shared" ca="1" si="18"/>
        <v>0</v>
      </c>
      <c r="M68" s="14">
        <f t="shared" ca="1" si="18"/>
        <v>0</v>
      </c>
      <c r="N68" s="14">
        <f t="shared" ca="1" si="18"/>
        <v>0</v>
      </c>
      <c r="O68" s="14">
        <f t="shared" ca="1" si="18"/>
        <v>0</v>
      </c>
      <c r="P68" s="14">
        <f t="shared" ca="1" si="18"/>
        <v>0</v>
      </c>
      <c r="Q68" s="14">
        <f t="shared" ca="1" si="18"/>
        <v>0</v>
      </c>
      <c r="R68" s="14">
        <f t="shared" ca="1" si="18"/>
        <v>0</v>
      </c>
      <c r="S68" s="14">
        <f t="shared" ca="1" si="18"/>
        <v>0</v>
      </c>
      <c r="T68" s="14">
        <f t="shared" ca="1" si="18"/>
        <v>0</v>
      </c>
      <c r="U68" s="14">
        <f t="shared" ca="1" si="18"/>
        <v>0</v>
      </c>
      <c r="V68" s="14">
        <f t="shared" ca="1" si="18"/>
        <v>0</v>
      </c>
      <c r="W68" s="14">
        <f t="shared" ca="1" si="18"/>
        <v>0</v>
      </c>
      <c r="X68" s="14">
        <f t="shared" ca="1" si="18"/>
        <v>0</v>
      </c>
      <c r="Y68" s="14">
        <f t="shared" ca="1" si="18"/>
        <v>0</v>
      </c>
      <c r="Z68" s="14">
        <f t="shared" ca="1" si="18"/>
        <v>0</v>
      </c>
      <c r="AA68" s="14">
        <f t="shared" ca="1" si="18"/>
        <v>0</v>
      </c>
      <c r="AB68" s="14">
        <f t="shared" ca="1" si="18"/>
        <v>0</v>
      </c>
      <c r="AC68" s="14">
        <f t="shared" ca="1" si="18"/>
        <v>0</v>
      </c>
      <c r="AD68" s="14">
        <f t="shared" ca="1" si="18"/>
        <v>0</v>
      </c>
      <c r="AE68" s="14">
        <f t="shared" ca="1" si="18"/>
        <v>0</v>
      </c>
      <c r="AF68" s="14">
        <f t="shared" ca="1" si="18"/>
        <v>0</v>
      </c>
      <c r="AG68" s="14">
        <f t="shared" ca="1" si="18"/>
        <v>0</v>
      </c>
      <c r="AH68" s="14">
        <f t="shared" ca="1" si="18"/>
        <v>0</v>
      </c>
      <c r="AI68" s="14">
        <f t="shared" ca="1" si="18"/>
        <v>0</v>
      </c>
      <c r="AJ68" s="14">
        <f t="shared" ca="1" si="18"/>
        <v>0</v>
      </c>
      <c r="AK68" s="14">
        <f t="shared" ca="1" si="18"/>
        <v>0</v>
      </c>
      <c r="AL68" s="14">
        <f t="shared" ca="1" si="18"/>
        <v>0</v>
      </c>
    </row>
    <row r="69" spans="1:54" ht="21" hidden="1" customHeight="1" outlineLevel="1" thickBot="1" x14ac:dyDescent="0.4">
      <c r="A69" s="5">
        <f t="shared" si="19"/>
        <v>0</v>
      </c>
      <c r="B69" s="5">
        <f t="shared" si="19"/>
        <v>0</v>
      </c>
      <c r="C69" s="5">
        <f t="shared" si="19"/>
        <v>0</v>
      </c>
      <c r="D69" s="5">
        <f t="shared" si="19"/>
        <v>0</v>
      </c>
      <c r="E69" s="6">
        <f t="shared" si="19"/>
        <v>0</v>
      </c>
      <c r="F69" s="14">
        <f t="shared" ca="1" si="20"/>
        <v>0</v>
      </c>
      <c r="G69" s="14">
        <f t="shared" ca="1" si="18"/>
        <v>0</v>
      </c>
      <c r="H69" s="14">
        <f t="shared" ca="1" si="18"/>
        <v>0</v>
      </c>
      <c r="I69" s="14">
        <f t="shared" ca="1" si="18"/>
        <v>0</v>
      </c>
      <c r="J69" s="14">
        <f t="shared" ca="1" si="18"/>
        <v>0</v>
      </c>
      <c r="K69" s="14">
        <f t="shared" ca="1" si="18"/>
        <v>0</v>
      </c>
      <c r="L69" s="14">
        <f t="shared" ca="1" si="18"/>
        <v>0</v>
      </c>
      <c r="M69" s="14">
        <f t="shared" ca="1" si="18"/>
        <v>0</v>
      </c>
      <c r="N69" s="14">
        <f t="shared" ca="1" si="18"/>
        <v>0</v>
      </c>
      <c r="O69" s="14">
        <f t="shared" ca="1" si="18"/>
        <v>0</v>
      </c>
      <c r="P69" s="14">
        <f t="shared" ca="1" si="18"/>
        <v>0</v>
      </c>
      <c r="Q69" s="14">
        <f t="shared" ca="1" si="18"/>
        <v>0</v>
      </c>
      <c r="R69" s="14">
        <f t="shared" ca="1" si="18"/>
        <v>0</v>
      </c>
      <c r="S69" s="14">
        <f t="shared" ca="1" si="18"/>
        <v>0</v>
      </c>
      <c r="T69" s="14">
        <f t="shared" ca="1" si="18"/>
        <v>0</v>
      </c>
      <c r="U69" s="14">
        <f t="shared" ca="1" si="18"/>
        <v>0</v>
      </c>
      <c r="V69" s="14">
        <f t="shared" ca="1" si="18"/>
        <v>0</v>
      </c>
      <c r="W69" s="14">
        <f t="shared" ca="1" si="18"/>
        <v>0</v>
      </c>
      <c r="X69" s="14">
        <f t="shared" ca="1" si="18"/>
        <v>0</v>
      </c>
      <c r="Y69" s="14">
        <f t="shared" ca="1" si="18"/>
        <v>0</v>
      </c>
      <c r="Z69" s="14">
        <f t="shared" ca="1" si="18"/>
        <v>0</v>
      </c>
      <c r="AA69" s="14">
        <f t="shared" ca="1" si="18"/>
        <v>0</v>
      </c>
      <c r="AB69" s="14">
        <f t="shared" ca="1" si="18"/>
        <v>0</v>
      </c>
      <c r="AC69" s="14">
        <f t="shared" ca="1" si="18"/>
        <v>0</v>
      </c>
      <c r="AD69" s="14">
        <f t="shared" ca="1" si="18"/>
        <v>0</v>
      </c>
      <c r="AE69" s="14">
        <f t="shared" ca="1" si="18"/>
        <v>0</v>
      </c>
      <c r="AF69" s="14">
        <f t="shared" ca="1" si="18"/>
        <v>0</v>
      </c>
      <c r="AG69" s="14">
        <f t="shared" ca="1" si="18"/>
        <v>0</v>
      </c>
      <c r="AH69" s="14">
        <f t="shared" ca="1" si="18"/>
        <v>0</v>
      </c>
      <c r="AI69" s="14">
        <f t="shared" ca="1" si="18"/>
        <v>0</v>
      </c>
      <c r="AJ69" s="14">
        <f t="shared" ca="1" si="18"/>
        <v>0</v>
      </c>
      <c r="AK69" s="14">
        <f t="shared" ca="1" si="18"/>
        <v>0</v>
      </c>
      <c r="AL69" s="14">
        <f t="shared" ca="1" si="18"/>
        <v>0</v>
      </c>
    </row>
    <row r="70" spans="1:54" ht="21" hidden="1" customHeight="1" outlineLevel="1" thickBot="1" x14ac:dyDescent="0.4">
      <c r="A70" s="5">
        <f t="shared" si="19"/>
        <v>0</v>
      </c>
      <c r="B70" s="5">
        <f t="shared" si="19"/>
        <v>0</v>
      </c>
      <c r="C70" s="5">
        <f t="shared" si="19"/>
        <v>0</v>
      </c>
      <c r="D70" s="5">
        <f t="shared" si="19"/>
        <v>0</v>
      </c>
      <c r="E70" s="6">
        <f t="shared" si="19"/>
        <v>0</v>
      </c>
      <c r="F70" s="14">
        <f t="shared" ca="1" si="20"/>
        <v>0</v>
      </c>
      <c r="G70" s="14">
        <f t="shared" ca="1" si="18"/>
        <v>0</v>
      </c>
      <c r="H70" s="14">
        <f t="shared" ca="1" si="18"/>
        <v>0</v>
      </c>
      <c r="I70" s="14">
        <f t="shared" ca="1" si="18"/>
        <v>0</v>
      </c>
      <c r="J70" s="14">
        <f t="shared" ca="1" si="18"/>
        <v>0</v>
      </c>
      <c r="K70" s="14">
        <f t="shared" ca="1" si="18"/>
        <v>0</v>
      </c>
      <c r="L70" s="14">
        <f t="shared" ca="1" si="18"/>
        <v>0</v>
      </c>
      <c r="M70" s="14">
        <f t="shared" ca="1" si="18"/>
        <v>0</v>
      </c>
      <c r="N70" s="14">
        <f t="shared" ca="1" si="18"/>
        <v>0</v>
      </c>
      <c r="O70" s="14">
        <f t="shared" ca="1" si="18"/>
        <v>0</v>
      </c>
      <c r="P70" s="14">
        <f t="shared" ca="1" si="18"/>
        <v>0</v>
      </c>
      <c r="Q70" s="14">
        <f t="shared" ca="1" si="18"/>
        <v>0</v>
      </c>
      <c r="R70" s="14">
        <f t="shared" ca="1" si="18"/>
        <v>0</v>
      </c>
      <c r="S70" s="14">
        <f t="shared" ca="1" si="18"/>
        <v>0</v>
      </c>
      <c r="T70" s="14">
        <f t="shared" ca="1" si="18"/>
        <v>0</v>
      </c>
      <c r="U70" s="14">
        <f t="shared" ca="1" si="18"/>
        <v>0</v>
      </c>
      <c r="V70" s="14">
        <f t="shared" ca="1" si="18"/>
        <v>0</v>
      </c>
      <c r="W70" s="14">
        <f t="shared" ca="1" si="18"/>
        <v>0</v>
      </c>
      <c r="X70" s="14">
        <f t="shared" ca="1" si="18"/>
        <v>0</v>
      </c>
      <c r="Y70" s="14">
        <f t="shared" ca="1" si="18"/>
        <v>0</v>
      </c>
      <c r="Z70" s="14">
        <f t="shared" ca="1" si="18"/>
        <v>0</v>
      </c>
      <c r="AA70" s="14">
        <f t="shared" ca="1" si="18"/>
        <v>0</v>
      </c>
      <c r="AB70" s="14">
        <f t="shared" ca="1" si="18"/>
        <v>0</v>
      </c>
      <c r="AC70" s="14">
        <f t="shared" ca="1" si="18"/>
        <v>0</v>
      </c>
      <c r="AD70" s="14">
        <f t="shared" ca="1" si="18"/>
        <v>0</v>
      </c>
      <c r="AE70" s="14">
        <f t="shared" ca="1" si="18"/>
        <v>0</v>
      </c>
      <c r="AF70" s="14">
        <f t="shared" ca="1" si="18"/>
        <v>0</v>
      </c>
      <c r="AG70" s="14">
        <f t="shared" ca="1" si="18"/>
        <v>0</v>
      </c>
      <c r="AH70" s="14">
        <f t="shared" ca="1" si="18"/>
        <v>0</v>
      </c>
      <c r="AI70" s="14">
        <f t="shared" ca="1" si="18"/>
        <v>0</v>
      </c>
      <c r="AJ70" s="14">
        <f t="shared" ca="1" si="18"/>
        <v>0</v>
      </c>
      <c r="AK70" s="14">
        <f t="shared" ca="1" si="18"/>
        <v>0</v>
      </c>
      <c r="AL70" s="14">
        <f t="shared" ca="1" si="18"/>
        <v>0</v>
      </c>
    </row>
    <row r="71" spans="1:54" ht="21" hidden="1" customHeight="1" outlineLevel="1" thickBot="1" x14ac:dyDescent="0.4">
      <c r="A71" s="5">
        <f t="shared" si="19"/>
        <v>0</v>
      </c>
      <c r="B71" s="5">
        <f t="shared" si="19"/>
        <v>0</v>
      </c>
      <c r="C71" s="5">
        <f t="shared" si="19"/>
        <v>0</v>
      </c>
      <c r="D71" s="5">
        <f t="shared" si="19"/>
        <v>0</v>
      </c>
      <c r="E71" s="6">
        <f t="shared" si="19"/>
        <v>0</v>
      </c>
      <c r="F71" s="14">
        <f t="shared" ca="1" si="20"/>
        <v>0</v>
      </c>
      <c r="G71" s="14">
        <f t="shared" ca="1" si="18"/>
        <v>0</v>
      </c>
      <c r="H71" s="14">
        <f t="shared" ca="1" si="18"/>
        <v>0</v>
      </c>
      <c r="I71" s="14">
        <f t="shared" ca="1" si="18"/>
        <v>0</v>
      </c>
      <c r="J71" s="14">
        <f t="shared" ca="1" si="18"/>
        <v>0</v>
      </c>
      <c r="K71" s="14">
        <f t="shared" ca="1" si="18"/>
        <v>0</v>
      </c>
      <c r="L71" s="14">
        <f t="shared" ca="1" si="18"/>
        <v>0</v>
      </c>
      <c r="M71" s="14">
        <f t="shared" ca="1" si="18"/>
        <v>0</v>
      </c>
      <c r="N71" s="14">
        <f t="shared" ca="1" si="18"/>
        <v>0</v>
      </c>
      <c r="O71" s="14">
        <f t="shared" ca="1" si="18"/>
        <v>0</v>
      </c>
      <c r="P71" s="14">
        <f t="shared" ca="1" si="18"/>
        <v>0</v>
      </c>
      <c r="Q71" s="14">
        <f t="shared" ref="Q71:AL71" ca="1" si="21">$A71*H.Ar + $B71*H.Se + $C71*H.Ge + $D71*H.Ga</f>
        <v>0</v>
      </c>
      <c r="R71" s="14">
        <f t="shared" ca="1" si="21"/>
        <v>0</v>
      </c>
      <c r="S71" s="14">
        <f t="shared" ca="1" si="21"/>
        <v>0</v>
      </c>
      <c r="T71" s="14">
        <f t="shared" ca="1" si="21"/>
        <v>0</v>
      </c>
      <c r="U71" s="14">
        <f t="shared" ca="1" si="21"/>
        <v>0</v>
      </c>
      <c r="V71" s="14">
        <f t="shared" ca="1" si="21"/>
        <v>0</v>
      </c>
      <c r="W71" s="14">
        <f t="shared" ca="1" si="21"/>
        <v>0</v>
      </c>
      <c r="X71" s="14">
        <f t="shared" ca="1" si="21"/>
        <v>0</v>
      </c>
      <c r="Y71" s="14">
        <f t="shared" ca="1" si="21"/>
        <v>0</v>
      </c>
      <c r="Z71" s="14">
        <f t="shared" ca="1" si="21"/>
        <v>0</v>
      </c>
      <c r="AA71" s="14">
        <f t="shared" ca="1" si="21"/>
        <v>0</v>
      </c>
      <c r="AB71" s="14">
        <f t="shared" ca="1" si="21"/>
        <v>0</v>
      </c>
      <c r="AC71" s="14">
        <f t="shared" ca="1" si="21"/>
        <v>0</v>
      </c>
      <c r="AD71" s="14">
        <f t="shared" ca="1" si="21"/>
        <v>0</v>
      </c>
      <c r="AE71" s="14">
        <f t="shared" ca="1" si="21"/>
        <v>0</v>
      </c>
      <c r="AF71" s="14">
        <f t="shared" ca="1" si="21"/>
        <v>0</v>
      </c>
      <c r="AG71" s="14">
        <f t="shared" ca="1" si="21"/>
        <v>0</v>
      </c>
      <c r="AH71" s="14">
        <f t="shared" ca="1" si="21"/>
        <v>0</v>
      </c>
      <c r="AI71" s="14">
        <f t="shared" ca="1" si="21"/>
        <v>0</v>
      </c>
      <c r="AJ71" s="14">
        <f t="shared" ca="1" si="21"/>
        <v>0</v>
      </c>
      <c r="AK71" s="14">
        <f t="shared" ca="1" si="21"/>
        <v>0</v>
      </c>
      <c r="AL71" s="14">
        <f t="shared" ca="1" si="21"/>
        <v>0</v>
      </c>
    </row>
    <row r="72" spans="1:54" ht="21" hidden="1" customHeight="1" outlineLevel="1" thickBot="1" x14ac:dyDescent="0.4">
      <c r="A72" s="5">
        <f t="shared" si="19"/>
        <v>0</v>
      </c>
      <c r="B72" s="5">
        <f t="shared" si="19"/>
        <v>0</v>
      </c>
      <c r="C72" s="5">
        <f t="shared" si="19"/>
        <v>0</v>
      </c>
      <c r="D72" s="5">
        <f t="shared" si="19"/>
        <v>0</v>
      </c>
      <c r="E72" s="6">
        <f t="shared" si="19"/>
        <v>0</v>
      </c>
      <c r="F72" s="14">
        <f t="shared" ca="1" si="20"/>
        <v>0</v>
      </c>
      <c r="G72" s="14">
        <f t="shared" ref="G72:AL74" ca="1" si="22">$A72*H.Ar + $B72*H.Se + $C72*H.Ge + $D72*H.Ga</f>
        <v>0</v>
      </c>
      <c r="H72" s="14">
        <f t="shared" ca="1" si="22"/>
        <v>0</v>
      </c>
      <c r="I72" s="14">
        <f t="shared" ca="1" si="22"/>
        <v>0</v>
      </c>
      <c r="J72" s="14">
        <f t="shared" ca="1" si="22"/>
        <v>0</v>
      </c>
      <c r="K72" s="14">
        <f t="shared" ca="1" si="22"/>
        <v>0</v>
      </c>
      <c r="L72" s="14">
        <f t="shared" ca="1" si="22"/>
        <v>0</v>
      </c>
      <c r="M72" s="14">
        <f t="shared" ca="1" si="22"/>
        <v>0</v>
      </c>
      <c r="N72" s="14">
        <f t="shared" ca="1" si="22"/>
        <v>0</v>
      </c>
      <c r="O72" s="14">
        <f t="shared" ca="1" si="22"/>
        <v>0</v>
      </c>
      <c r="P72" s="14">
        <f t="shared" ca="1" si="22"/>
        <v>0</v>
      </c>
      <c r="Q72" s="14">
        <f t="shared" ca="1" si="22"/>
        <v>0</v>
      </c>
      <c r="R72" s="14">
        <f t="shared" ca="1" si="22"/>
        <v>0</v>
      </c>
      <c r="S72" s="14">
        <f t="shared" ca="1" si="22"/>
        <v>0</v>
      </c>
      <c r="T72" s="14">
        <f t="shared" ca="1" si="22"/>
        <v>0</v>
      </c>
      <c r="U72" s="14">
        <f t="shared" ca="1" si="22"/>
        <v>0</v>
      </c>
      <c r="V72" s="14">
        <f t="shared" ca="1" si="22"/>
        <v>0</v>
      </c>
      <c r="W72" s="14">
        <f t="shared" ca="1" si="22"/>
        <v>0</v>
      </c>
      <c r="X72" s="14">
        <f t="shared" ca="1" si="22"/>
        <v>0</v>
      </c>
      <c r="Y72" s="14">
        <f t="shared" ca="1" si="22"/>
        <v>0</v>
      </c>
      <c r="Z72" s="14">
        <f t="shared" ca="1" si="22"/>
        <v>0</v>
      </c>
      <c r="AA72" s="14">
        <f t="shared" ca="1" si="22"/>
        <v>0</v>
      </c>
      <c r="AB72" s="14">
        <f t="shared" ca="1" si="22"/>
        <v>0</v>
      </c>
      <c r="AC72" s="14">
        <f t="shared" ca="1" si="22"/>
        <v>0</v>
      </c>
      <c r="AD72" s="14">
        <f t="shared" ca="1" si="22"/>
        <v>0</v>
      </c>
      <c r="AE72" s="14">
        <f t="shared" ca="1" si="22"/>
        <v>0</v>
      </c>
      <c r="AF72" s="14">
        <f t="shared" ca="1" si="22"/>
        <v>0</v>
      </c>
      <c r="AG72" s="14">
        <f t="shared" ca="1" si="22"/>
        <v>0</v>
      </c>
      <c r="AH72" s="14">
        <f t="shared" ca="1" si="22"/>
        <v>0</v>
      </c>
      <c r="AI72" s="14">
        <f t="shared" ca="1" si="22"/>
        <v>0</v>
      </c>
      <c r="AJ72" s="14">
        <f t="shared" ca="1" si="22"/>
        <v>0</v>
      </c>
      <c r="AK72" s="14">
        <f t="shared" ca="1" si="22"/>
        <v>0</v>
      </c>
      <c r="AL72" s="14">
        <f t="shared" ca="1" si="22"/>
        <v>0</v>
      </c>
    </row>
    <row r="73" spans="1:54" ht="21" hidden="1" customHeight="1" outlineLevel="1" thickBot="1" x14ac:dyDescent="0.4">
      <c r="A73" s="5">
        <f t="shared" si="19"/>
        <v>0</v>
      </c>
      <c r="B73" s="5">
        <f t="shared" si="19"/>
        <v>0</v>
      </c>
      <c r="C73" s="5">
        <f t="shared" si="19"/>
        <v>0</v>
      </c>
      <c r="D73" s="5">
        <f t="shared" si="19"/>
        <v>0</v>
      </c>
      <c r="E73" s="6">
        <f t="shared" si="19"/>
        <v>0</v>
      </c>
      <c r="F73" s="14">
        <f t="shared" ca="1" si="20"/>
        <v>0</v>
      </c>
      <c r="G73" s="14">
        <f t="shared" ca="1" si="22"/>
        <v>0</v>
      </c>
      <c r="H73" s="14">
        <f t="shared" ca="1" si="22"/>
        <v>0</v>
      </c>
      <c r="I73" s="14">
        <f t="shared" ca="1" si="22"/>
        <v>0</v>
      </c>
      <c r="J73" s="14">
        <f t="shared" ca="1" si="22"/>
        <v>0</v>
      </c>
      <c r="K73" s="14">
        <f t="shared" ca="1" si="22"/>
        <v>0</v>
      </c>
      <c r="L73" s="14">
        <f t="shared" ca="1" si="22"/>
        <v>0</v>
      </c>
      <c r="M73" s="14">
        <f t="shared" ca="1" si="22"/>
        <v>0</v>
      </c>
      <c r="N73" s="14">
        <f t="shared" ca="1" si="22"/>
        <v>0</v>
      </c>
      <c r="O73" s="14">
        <f t="shared" ca="1" si="22"/>
        <v>0</v>
      </c>
      <c r="P73" s="14">
        <f t="shared" ca="1" si="22"/>
        <v>0</v>
      </c>
      <c r="Q73" s="14">
        <f t="shared" ca="1" si="22"/>
        <v>0</v>
      </c>
      <c r="R73" s="14">
        <f t="shared" ca="1" si="22"/>
        <v>0</v>
      </c>
      <c r="S73" s="14">
        <f t="shared" ca="1" si="22"/>
        <v>0</v>
      </c>
      <c r="T73" s="14">
        <f t="shared" ca="1" si="22"/>
        <v>0</v>
      </c>
      <c r="U73" s="14">
        <f t="shared" ca="1" si="22"/>
        <v>0</v>
      </c>
      <c r="V73" s="14">
        <f t="shared" ca="1" si="22"/>
        <v>0</v>
      </c>
      <c r="W73" s="14">
        <f t="shared" ca="1" si="22"/>
        <v>0</v>
      </c>
      <c r="X73" s="14">
        <f t="shared" ca="1" si="22"/>
        <v>0</v>
      </c>
      <c r="Y73" s="14">
        <f t="shared" ca="1" si="22"/>
        <v>0</v>
      </c>
      <c r="Z73" s="14">
        <f t="shared" ca="1" si="22"/>
        <v>0</v>
      </c>
      <c r="AA73" s="14">
        <f t="shared" ca="1" si="22"/>
        <v>0</v>
      </c>
      <c r="AB73" s="14">
        <f t="shared" ca="1" si="22"/>
        <v>0</v>
      </c>
      <c r="AC73" s="14">
        <f t="shared" ca="1" si="22"/>
        <v>0</v>
      </c>
      <c r="AD73" s="14">
        <f t="shared" ca="1" si="22"/>
        <v>0</v>
      </c>
      <c r="AE73" s="14">
        <f t="shared" ca="1" si="22"/>
        <v>0</v>
      </c>
      <c r="AF73" s="14">
        <f t="shared" ca="1" si="22"/>
        <v>0</v>
      </c>
      <c r="AG73" s="14">
        <f t="shared" ca="1" si="22"/>
        <v>0</v>
      </c>
      <c r="AH73" s="14">
        <f t="shared" ca="1" si="22"/>
        <v>0</v>
      </c>
      <c r="AI73" s="14">
        <f t="shared" ca="1" si="22"/>
        <v>0</v>
      </c>
      <c r="AJ73" s="14">
        <f t="shared" ca="1" si="22"/>
        <v>0</v>
      </c>
      <c r="AK73" s="14">
        <f t="shared" ca="1" si="22"/>
        <v>0</v>
      </c>
      <c r="AL73" s="14">
        <f t="shared" ca="1" si="22"/>
        <v>0</v>
      </c>
    </row>
    <row r="74" spans="1:54" ht="21" hidden="1" customHeight="1" outlineLevel="1" thickBot="1" x14ac:dyDescent="0.4">
      <c r="A74" s="5">
        <f t="shared" si="19"/>
        <v>0</v>
      </c>
      <c r="B74" s="5">
        <f t="shared" si="19"/>
        <v>0</v>
      </c>
      <c r="C74" s="5">
        <f t="shared" si="19"/>
        <v>0</v>
      </c>
      <c r="D74" s="5">
        <f t="shared" si="19"/>
        <v>0</v>
      </c>
      <c r="E74" s="6">
        <f t="shared" si="19"/>
        <v>0</v>
      </c>
      <c r="F74" s="14">
        <f t="shared" ca="1" si="20"/>
        <v>0</v>
      </c>
      <c r="G74" s="14">
        <f t="shared" ca="1" si="22"/>
        <v>0</v>
      </c>
      <c r="H74" s="14">
        <f t="shared" ca="1" si="22"/>
        <v>0</v>
      </c>
      <c r="I74" s="14">
        <f t="shared" ca="1" si="22"/>
        <v>0</v>
      </c>
      <c r="J74" s="14">
        <f t="shared" ca="1" si="22"/>
        <v>0</v>
      </c>
      <c r="K74" s="14">
        <f t="shared" ca="1" si="22"/>
        <v>0</v>
      </c>
      <c r="L74" s="14">
        <f t="shared" ca="1" si="22"/>
        <v>0</v>
      </c>
      <c r="M74" s="14">
        <f t="shared" ca="1" si="22"/>
        <v>0</v>
      </c>
      <c r="N74" s="14">
        <f t="shared" ca="1" si="22"/>
        <v>0</v>
      </c>
      <c r="O74" s="14">
        <f t="shared" ca="1" si="22"/>
        <v>0</v>
      </c>
      <c r="P74" s="14">
        <f t="shared" ca="1" si="22"/>
        <v>0</v>
      </c>
      <c r="Q74" s="14">
        <f t="shared" ca="1" si="22"/>
        <v>0</v>
      </c>
      <c r="R74" s="14">
        <f t="shared" ca="1" si="22"/>
        <v>0</v>
      </c>
      <c r="S74" s="14">
        <f t="shared" ca="1" si="22"/>
        <v>0</v>
      </c>
      <c r="T74" s="14">
        <f t="shared" ca="1" si="22"/>
        <v>0</v>
      </c>
      <c r="U74" s="14">
        <f t="shared" ca="1" si="22"/>
        <v>0</v>
      </c>
      <c r="V74" s="14">
        <f t="shared" ca="1" si="22"/>
        <v>0</v>
      </c>
      <c r="W74" s="14">
        <f t="shared" ca="1" si="22"/>
        <v>0</v>
      </c>
      <c r="X74" s="14">
        <f t="shared" ca="1" si="22"/>
        <v>0</v>
      </c>
      <c r="Y74" s="14">
        <f t="shared" ca="1" si="22"/>
        <v>0</v>
      </c>
      <c r="Z74" s="14">
        <f t="shared" ca="1" si="22"/>
        <v>0</v>
      </c>
      <c r="AA74" s="14">
        <f t="shared" ca="1" si="22"/>
        <v>0</v>
      </c>
      <c r="AB74" s="14">
        <f t="shared" ca="1" si="22"/>
        <v>0</v>
      </c>
      <c r="AC74" s="14">
        <f t="shared" ca="1" si="22"/>
        <v>0</v>
      </c>
      <c r="AD74" s="14">
        <f t="shared" ca="1" si="22"/>
        <v>0</v>
      </c>
      <c r="AE74" s="14">
        <f t="shared" ca="1" si="22"/>
        <v>0</v>
      </c>
      <c r="AF74" s="14">
        <f t="shared" ca="1" si="22"/>
        <v>0</v>
      </c>
      <c r="AG74" s="14">
        <f t="shared" ca="1" si="22"/>
        <v>0</v>
      </c>
      <c r="AH74" s="14">
        <f t="shared" ca="1" si="22"/>
        <v>0</v>
      </c>
      <c r="AI74" s="14">
        <f t="shared" ca="1" si="22"/>
        <v>0</v>
      </c>
      <c r="AJ74" s="14">
        <f t="shared" ca="1" si="22"/>
        <v>0</v>
      </c>
      <c r="AK74" s="14">
        <f t="shared" ca="1" si="22"/>
        <v>0</v>
      </c>
      <c r="AL74" s="14">
        <f t="shared" ca="1" si="22"/>
        <v>0</v>
      </c>
    </row>
    <row r="75" spans="1:54" ht="21" hidden="1" customHeight="1" outlineLevel="1" thickBot="1" x14ac:dyDescent="0.4">
      <c r="A75" s="5">
        <f t="shared" si="19"/>
        <v>0</v>
      </c>
      <c r="B75" s="5">
        <f t="shared" si="19"/>
        <v>0</v>
      </c>
      <c r="C75" s="5">
        <f t="shared" si="19"/>
        <v>0</v>
      </c>
      <c r="D75" s="5">
        <f t="shared" si="19"/>
        <v>0</v>
      </c>
      <c r="E75" s="6">
        <f t="shared" si="19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54" ht="21" hidden="1" customHeight="1" outlineLevel="1" x14ac:dyDescent="0.35">
      <c r="U76" s="55"/>
      <c r="V76" s="55"/>
      <c r="W76" s="55"/>
    </row>
    <row r="77" spans="1:54" ht="21" customHeight="1" collapsed="1" x14ac:dyDescent="0.35">
      <c r="U77" s="55"/>
      <c r="V77" s="55"/>
      <c r="W77" s="55"/>
    </row>
    <row r="78" spans="1:54" ht="21" customHeight="1" x14ac:dyDescent="0.4">
      <c r="A78" s="85"/>
      <c r="B78" s="85"/>
      <c r="C78" s="86">
        <f>E41</f>
        <v>3.5714285714285712</v>
      </c>
      <c r="D78" s="72"/>
      <c r="E78" s="71" t="s">
        <v>23</v>
      </c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</row>
    <row r="79" spans="1:54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3">E45</f>
        <v>Temperature,К</v>
      </c>
      <c r="F79" s="3">
        <f t="shared" ref="F79:AL79" si="24">F3</f>
        <v>273.10000000000002</v>
      </c>
      <c r="G79" s="3">
        <f t="shared" si="24"/>
        <v>289.7</v>
      </c>
      <c r="H79" s="3">
        <f t="shared" si="24"/>
        <v>306.2</v>
      </c>
      <c r="I79" s="3">
        <f t="shared" si="24"/>
        <v>322.7</v>
      </c>
      <c r="J79" s="3">
        <f t="shared" si="24"/>
        <v>339.2</v>
      </c>
      <c r="K79" s="3">
        <f t="shared" si="24"/>
        <v>355.7</v>
      </c>
      <c r="L79" s="3">
        <f t="shared" si="24"/>
        <v>372.3</v>
      </c>
      <c r="M79" s="3">
        <f t="shared" si="24"/>
        <v>388.8</v>
      </c>
      <c r="N79" s="3">
        <f t="shared" si="24"/>
        <v>405.3</v>
      </c>
      <c r="O79" s="3">
        <f t="shared" si="24"/>
        <v>471.4</v>
      </c>
      <c r="P79" s="3">
        <f t="shared" si="24"/>
        <v>487.9</v>
      </c>
      <c r="Q79" s="3">
        <f t="shared" si="24"/>
        <v>504.4</v>
      </c>
      <c r="R79" s="3">
        <f t="shared" si="24"/>
        <v>520.9</v>
      </c>
      <c r="S79" s="3">
        <f t="shared" si="24"/>
        <v>537.5</v>
      </c>
      <c r="T79" s="3">
        <f t="shared" si="24"/>
        <v>603.5</v>
      </c>
      <c r="U79" s="3">
        <f t="shared" si="24"/>
        <v>669.6</v>
      </c>
      <c r="V79" s="3">
        <f t="shared" si="24"/>
        <v>735.7</v>
      </c>
      <c r="W79" s="3">
        <f t="shared" si="24"/>
        <v>752.2</v>
      </c>
      <c r="X79" s="3">
        <f t="shared" si="24"/>
        <v>768.7</v>
      </c>
      <c r="Y79" s="3">
        <f t="shared" si="24"/>
        <v>785.2</v>
      </c>
      <c r="Z79" s="3">
        <f t="shared" si="24"/>
        <v>801.8</v>
      </c>
      <c r="AA79" s="3">
        <f t="shared" si="24"/>
        <v>818.3</v>
      </c>
      <c r="AB79" s="3">
        <f t="shared" si="24"/>
        <v>834.8</v>
      </c>
      <c r="AC79" s="3">
        <f t="shared" si="24"/>
        <v>851.3</v>
      </c>
      <c r="AD79" s="3">
        <f t="shared" si="24"/>
        <v>867.8</v>
      </c>
      <c r="AE79" s="3">
        <f t="shared" si="24"/>
        <v>933.9</v>
      </c>
      <c r="AF79" s="3">
        <f t="shared" si="24"/>
        <v>1000</v>
      </c>
      <c r="AG79" s="3">
        <f t="shared" si="24"/>
        <v>0</v>
      </c>
      <c r="AH79" s="3">
        <f t="shared" si="24"/>
        <v>0</v>
      </c>
      <c r="AI79" s="3">
        <f t="shared" si="24"/>
        <v>0</v>
      </c>
      <c r="AJ79" s="3">
        <f t="shared" si="24"/>
        <v>0</v>
      </c>
      <c r="AK79" s="3">
        <f t="shared" si="24"/>
        <v>0</v>
      </c>
      <c r="AL79" s="3">
        <f t="shared" si="24"/>
        <v>0</v>
      </c>
    </row>
    <row r="80" spans="1:54" ht="21" hidden="1" customHeight="1" outlineLevel="1" thickTop="1" thickBot="1" x14ac:dyDescent="0.4">
      <c r="A80" s="5">
        <f>A46</f>
        <v>0</v>
      </c>
      <c r="B80" s="5">
        <f t="shared" ref="B80:D80" si="25">B46</f>
        <v>0</v>
      </c>
      <c r="C80" s="5">
        <f t="shared" si="25"/>
        <v>1</v>
      </c>
      <c r="D80" s="5">
        <f t="shared" si="25"/>
        <v>0</v>
      </c>
      <c r="E80" s="6" t="str">
        <f t="shared" si="23"/>
        <v>*Ge[1]</v>
      </c>
      <c r="F80" s="14">
        <f t="shared" ref="F80:AL80" si="26">F4*$C$78</f>
        <v>0</v>
      </c>
      <c r="G80" s="14">
        <f t="shared" si="26"/>
        <v>0</v>
      </c>
      <c r="H80" s="14">
        <f t="shared" si="26"/>
        <v>0</v>
      </c>
      <c r="I80" s="14">
        <f t="shared" si="26"/>
        <v>0</v>
      </c>
      <c r="J80" s="14">
        <f t="shared" si="26"/>
        <v>0</v>
      </c>
      <c r="K80" s="14">
        <f t="shared" si="26"/>
        <v>0</v>
      </c>
      <c r="L80" s="14">
        <f t="shared" si="26"/>
        <v>0</v>
      </c>
      <c r="M80" s="14">
        <f t="shared" si="26"/>
        <v>0</v>
      </c>
      <c r="N80" s="14">
        <f t="shared" si="26"/>
        <v>0</v>
      </c>
      <c r="O80" s="14">
        <f t="shared" si="26"/>
        <v>0</v>
      </c>
      <c r="P80" s="14">
        <f t="shared" si="26"/>
        <v>0</v>
      </c>
      <c r="Q80" s="14">
        <f t="shared" si="26"/>
        <v>0</v>
      </c>
      <c r="R80" s="14">
        <f t="shared" si="26"/>
        <v>0</v>
      </c>
      <c r="S80" s="14">
        <f t="shared" si="26"/>
        <v>0</v>
      </c>
      <c r="T80" s="14">
        <f t="shared" si="26"/>
        <v>2.3876785714285713E-17</v>
      </c>
      <c r="U80" s="14">
        <f t="shared" si="26"/>
        <v>6.292857142857142E-13</v>
      </c>
      <c r="V80" s="14">
        <f t="shared" si="26"/>
        <v>2.0978571428571427E-13</v>
      </c>
      <c r="W80" s="14">
        <f t="shared" si="26"/>
        <v>1.7686071428571429E-20</v>
      </c>
      <c r="X80" s="14">
        <f t="shared" si="26"/>
        <v>1.2741428571428571E-27</v>
      </c>
      <c r="Y80" s="14">
        <f t="shared" si="26"/>
        <v>0</v>
      </c>
      <c r="Z80" s="14">
        <f t="shared" si="26"/>
        <v>1.8444642857142856E-19</v>
      </c>
      <c r="AA80" s="14">
        <f t="shared" si="26"/>
        <v>8.5182142857142854E-13</v>
      </c>
      <c r="AB80" s="14">
        <f t="shared" si="26"/>
        <v>6.4507142857142855E-17</v>
      </c>
      <c r="AC80" s="14">
        <f t="shared" si="26"/>
        <v>3.0617142857142854E-19</v>
      </c>
      <c r="AD80" s="14">
        <f t="shared" si="26"/>
        <v>2.4185357142857143E-19</v>
      </c>
      <c r="AE80" s="14">
        <f t="shared" si="26"/>
        <v>7.5185714285714282E-14</v>
      </c>
      <c r="AF80" s="14">
        <f t="shared" si="26"/>
        <v>1.6431071428571427E-8</v>
      </c>
      <c r="AG80" s="14">
        <f t="shared" si="26"/>
        <v>0</v>
      </c>
      <c r="AH80" s="14">
        <f t="shared" si="26"/>
        <v>0</v>
      </c>
      <c r="AI80" s="14">
        <f t="shared" si="26"/>
        <v>0</v>
      </c>
      <c r="AJ80" s="14">
        <f t="shared" si="26"/>
        <v>0</v>
      </c>
      <c r="AK80" s="14">
        <f t="shared" si="26"/>
        <v>0</v>
      </c>
      <c r="AL80" s="14">
        <f t="shared" si="26"/>
        <v>0</v>
      </c>
    </row>
    <row r="81" spans="1:38" ht="21" hidden="1" customHeight="1" outlineLevel="1" thickBot="1" x14ac:dyDescent="0.4">
      <c r="A81" s="5">
        <f t="shared" ref="A81:D96" si="27">A47</f>
        <v>0</v>
      </c>
      <c r="B81" s="5">
        <f t="shared" si="27"/>
        <v>0</v>
      </c>
      <c r="C81" s="5">
        <f t="shared" si="27"/>
        <v>1</v>
      </c>
      <c r="D81" s="5">
        <f t="shared" si="27"/>
        <v>0</v>
      </c>
      <c r="E81" s="6" t="str">
        <f t="shared" si="23"/>
        <v>*Ge</v>
      </c>
      <c r="F81" s="14">
        <f t="shared" ref="F81:AL81" si="28">F5*$C$78</f>
        <v>0</v>
      </c>
      <c r="G81" s="14">
        <f t="shared" si="28"/>
        <v>0</v>
      </c>
      <c r="H81" s="14">
        <f t="shared" si="28"/>
        <v>0</v>
      </c>
      <c r="I81" s="14">
        <f t="shared" si="28"/>
        <v>0</v>
      </c>
      <c r="J81" s="14">
        <f t="shared" si="28"/>
        <v>0</v>
      </c>
      <c r="K81" s="14">
        <f t="shared" si="28"/>
        <v>0</v>
      </c>
      <c r="L81" s="14">
        <f t="shared" si="28"/>
        <v>0</v>
      </c>
      <c r="M81" s="14">
        <f t="shared" si="28"/>
        <v>5.8528571428571417E-33</v>
      </c>
      <c r="N81" s="14">
        <f t="shared" si="28"/>
        <v>1.817892857142857E-25</v>
      </c>
      <c r="O81" s="14">
        <f t="shared" si="28"/>
        <v>5.4767857142857141E-11</v>
      </c>
      <c r="P81" s="14">
        <f t="shared" si="28"/>
        <v>1.579642857142857E-9</v>
      </c>
      <c r="Q81" s="14">
        <f t="shared" si="28"/>
        <v>6.678928571428571E-8</v>
      </c>
      <c r="R81" s="14">
        <f t="shared" si="28"/>
        <v>0.5</v>
      </c>
      <c r="S81" s="14">
        <f t="shared" si="28"/>
        <v>0.5</v>
      </c>
      <c r="T81" s="14">
        <f t="shared" si="28"/>
        <v>0.5</v>
      </c>
      <c r="U81" s="14">
        <f t="shared" si="28"/>
        <v>0.5</v>
      </c>
      <c r="V81" s="14">
        <f t="shared" si="28"/>
        <v>0.5</v>
      </c>
      <c r="W81" s="14">
        <f t="shared" si="28"/>
        <v>0.5</v>
      </c>
      <c r="X81" s="14">
        <f t="shared" si="28"/>
        <v>0.5</v>
      </c>
      <c r="Y81" s="14">
        <f t="shared" si="28"/>
        <v>0.5</v>
      </c>
      <c r="Z81" s="14">
        <f t="shared" si="28"/>
        <v>0.48753571428571424</v>
      </c>
      <c r="AA81" s="14">
        <f t="shared" si="28"/>
        <v>0.48528571428571426</v>
      </c>
      <c r="AB81" s="14">
        <f t="shared" si="28"/>
        <v>0.48314285714285715</v>
      </c>
      <c r="AC81" s="14">
        <f t="shared" si="28"/>
        <v>0.48078571428571421</v>
      </c>
      <c r="AD81" s="14">
        <f t="shared" si="28"/>
        <v>0.47817857142857145</v>
      </c>
      <c r="AE81" s="14">
        <f t="shared" si="28"/>
        <v>0.46389285714285711</v>
      </c>
      <c r="AF81" s="14">
        <f t="shared" si="28"/>
        <v>0.43917857142857136</v>
      </c>
      <c r="AG81" s="14">
        <f t="shared" si="28"/>
        <v>0</v>
      </c>
      <c r="AH81" s="14">
        <f t="shared" si="28"/>
        <v>0</v>
      </c>
      <c r="AI81" s="14">
        <f t="shared" si="28"/>
        <v>0</v>
      </c>
      <c r="AJ81" s="14">
        <f t="shared" si="28"/>
        <v>0</v>
      </c>
      <c r="AK81" s="14">
        <f t="shared" si="28"/>
        <v>0</v>
      </c>
      <c r="AL81" s="14">
        <f t="shared" si="28"/>
        <v>0</v>
      </c>
    </row>
    <row r="82" spans="1:38" ht="21" hidden="1" customHeight="1" outlineLevel="1" thickBot="1" x14ac:dyDescent="0.4">
      <c r="A82" s="5">
        <f t="shared" si="27"/>
        <v>0</v>
      </c>
      <c r="B82" s="5">
        <f t="shared" si="27"/>
        <v>1</v>
      </c>
      <c r="C82" s="5">
        <f t="shared" si="27"/>
        <v>1</v>
      </c>
      <c r="D82" s="5">
        <f t="shared" si="27"/>
        <v>0</v>
      </c>
      <c r="E82" s="6" t="str">
        <f t="shared" si="23"/>
        <v>*GeSe</v>
      </c>
      <c r="F82" s="14">
        <f t="shared" ref="F82:AL82" si="29">F6*$C$78</f>
        <v>0.5</v>
      </c>
      <c r="G82" s="14">
        <f t="shared" si="29"/>
        <v>0.5</v>
      </c>
      <c r="H82" s="14">
        <f t="shared" si="29"/>
        <v>0.5</v>
      </c>
      <c r="I82" s="14">
        <f t="shared" si="29"/>
        <v>0.5</v>
      </c>
      <c r="J82" s="14">
        <f t="shared" si="29"/>
        <v>0.5</v>
      </c>
      <c r="K82" s="14">
        <f t="shared" si="29"/>
        <v>1</v>
      </c>
      <c r="L82" s="14">
        <f t="shared" si="29"/>
        <v>1</v>
      </c>
      <c r="M82" s="14">
        <f t="shared" si="29"/>
        <v>1</v>
      </c>
      <c r="N82" s="14">
        <f t="shared" si="29"/>
        <v>1</v>
      </c>
      <c r="O82" s="14">
        <f t="shared" si="29"/>
        <v>1</v>
      </c>
      <c r="P82" s="14">
        <f t="shared" si="29"/>
        <v>1</v>
      </c>
      <c r="Q82" s="14">
        <f t="shared" si="29"/>
        <v>1</v>
      </c>
      <c r="R82" s="14">
        <f t="shared" si="29"/>
        <v>7.2624999999999993E-7</v>
      </c>
      <c r="S82" s="14">
        <f t="shared" si="29"/>
        <v>6.9196428571428564E-9</v>
      </c>
      <c r="T82" s="14">
        <f t="shared" si="29"/>
        <v>1.0331428571428571E-12</v>
      </c>
      <c r="U82" s="14">
        <f t="shared" si="29"/>
        <v>2.0990357142857142E-20</v>
      </c>
      <c r="V82" s="14">
        <f t="shared" si="29"/>
        <v>0</v>
      </c>
      <c r="W82" s="14">
        <f t="shared" si="29"/>
        <v>0</v>
      </c>
      <c r="X82" s="14">
        <f t="shared" si="29"/>
        <v>0</v>
      </c>
      <c r="Y82" s="14">
        <f t="shared" si="29"/>
        <v>0</v>
      </c>
      <c r="Z82" s="14">
        <f t="shared" si="29"/>
        <v>0</v>
      </c>
      <c r="AA82" s="14">
        <f t="shared" si="29"/>
        <v>0</v>
      </c>
      <c r="AB82" s="14">
        <f t="shared" si="29"/>
        <v>0</v>
      </c>
      <c r="AC82" s="14">
        <f t="shared" si="29"/>
        <v>0</v>
      </c>
      <c r="AD82" s="14">
        <f t="shared" si="29"/>
        <v>0</v>
      </c>
      <c r="AE82" s="14">
        <f t="shared" si="29"/>
        <v>0</v>
      </c>
      <c r="AF82" s="14">
        <f t="shared" si="29"/>
        <v>0</v>
      </c>
      <c r="AG82" s="14">
        <f t="shared" si="29"/>
        <v>0</v>
      </c>
      <c r="AH82" s="14">
        <f t="shared" si="29"/>
        <v>0</v>
      </c>
      <c r="AI82" s="14">
        <f t="shared" si="29"/>
        <v>0</v>
      </c>
      <c r="AJ82" s="14">
        <f t="shared" si="29"/>
        <v>0</v>
      </c>
      <c r="AK82" s="14">
        <f t="shared" si="29"/>
        <v>0</v>
      </c>
      <c r="AL82" s="14">
        <f t="shared" si="29"/>
        <v>0</v>
      </c>
    </row>
    <row r="83" spans="1:38" ht="21" hidden="1" customHeight="1" outlineLevel="1" thickBot="1" x14ac:dyDescent="0.4">
      <c r="A83" s="5">
        <f t="shared" si="27"/>
        <v>0</v>
      </c>
      <c r="B83" s="5">
        <f t="shared" si="27"/>
        <v>0</v>
      </c>
      <c r="C83" s="5">
        <f t="shared" si="27"/>
        <v>0</v>
      </c>
      <c r="D83" s="5">
        <f t="shared" si="27"/>
        <v>1</v>
      </c>
      <c r="E83" s="6" t="str">
        <f t="shared" si="23"/>
        <v>*Ga[1]</v>
      </c>
      <c r="F83" s="14">
        <f t="shared" ref="F83:AL83" si="30">F7*$C$78</f>
        <v>0</v>
      </c>
      <c r="G83" s="14">
        <f t="shared" si="30"/>
        <v>0</v>
      </c>
      <c r="H83" s="14">
        <f t="shared" si="30"/>
        <v>0</v>
      </c>
      <c r="I83" s="14">
        <f t="shared" si="30"/>
        <v>0</v>
      </c>
      <c r="J83" s="14">
        <f t="shared" si="30"/>
        <v>0</v>
      </c>
      <c r="K83" s="14">
        <f t="shared" si="30"/>
        <v>0</v>
      </c>
      <c r="L83" s="14">
        <f t="shared" si="30"/>
        <v>0</v>
      </c>
      <c r="M83" s="14">
        <f t="shared" si="30"/>
        <v>0</v>
      </c>
      <c r="N83" s="14">
        <f t="shared" si="30"/>
        <v>0</v>
      </c>
      <c r="O83" s="14">
        <f t="shared" si="30"/>
        <v>0</v>
      </c>
      <c r="P83" s="14">
        <f t="shared" si="30"/>
        <v>0</v>
      </c>
      <c r="Q83" s="14">
        <f t="shared" si="30"/>
        <v>0</v>
      </c>
      <c r="R83" s="14">
        <f t="shared" si="30"/>
        <v>0</v>
      </c>
      <c r="S83" s="14">
        <f t="shared" si="30"/>
        <v>0</v>
      </c>
      <c r="T83" s="14">
        <f t="shared" si="30"/>
        <v>0</v>
      </c>
      <c r="U83" s="14">
        <f t="shared" si="30"/>
        <v>1.3908571428571428E-35</v>
      </c>
      <c r="V83" s="14">
        <f t="shared" si="30"/>
        <v>3.898214285714285E-20</v>
      </c>
      <c r="W83" s="14">
        <f t="shared" si="30"/>
        <v>9.7035714285714285E-20</v>
      </c>
      <c r="X83" s="14">
        <f t="shared" si="30"/>
        <v>9.814999999999999E-17</v>
      </c>
      <c r="Y83" s="14">
        <f t="shared" si="30"/>
        <v>7.7342857142857135E-17</v>
      </c>
      <c r="Z83" s="14">
        <f t="shared" si="30"/>
        <v>1.477142857142857E-7</v>
      </c>
      <c r="AA83" s="14">
        <f t="shared" si="30"/>
        <v>1.2239999999999998E-6</v>
      </c>
      <c r="AB83" s="14">
        <f t="shared" si="30"/>
        <v>9.115357142857142E-7</v>
      </c>
      <c r="AC83" s="14">
        <f t="shared" si="30"/>
        <v>6.7664285714285713E-7</v>
      </c>
      <c r="AD83" s="14">
        <f t="shared" si="30"/>
        <v>5.8535714285714282E-7</v>
      </c>
      <c r="AE83" s="14">
        <f t="shared" si="30"/>
        <v>2.0250357142857141E-7</v>
      </c>
      <c r="AF83" s="14">
        <f t="shared" si="30"/>
        <v>5.8517857142857141E-8</v>
      </c>
      <c r="AG83" s="14">
        <f t="shared" si="30"/>
        <v>0</v>
      </c>
      <c r="AH83" s="14">
        <f t="shared" si="30"/>
        <v>0</v>
      </c>
      <c r="AI83" s="14">
        <f t="shared" si="30"/>
        <v>0</v>
      </c>
      <c r="AJ83" s="14">
        <f t="shared" si="30"/>
        <v>0</v>
      </c>
      <c r="AK83" s="14">
        <f t="shared" si="30"/>
        <v>0</v>
      </c>
      <c r="AL83" s="14">
        <f t="shared" si="30"/>
        <v>0</v>
      </c>
    </row>
    <row r="84" spans="1:38" ht="21" hidden="1" customHeight="1" outlineLevel="1" thickBot="1" x14ac:dyDescent="0.4">
      <c r="A84" s="5">
        <f t="shared" si="27"/>
        <v>0</v>
      </c>
      <c r="B84" s="5">
        <f t="shared" si="27"/>
        <v>1</v>
      </c>
      <c r="C84" s="5">
        <f t="shared" si="27"/>
        <v>0</v>
      </c>
      <c r="D84" s="5">
        <f t="shared" si="27"/>
        <v>2</v>
      </c>
      <c r="E84" s="6" t="str">
        <f t="shared" si="23"/>
        <v>*Ga2Se</v>
      </c>
      <c r="F84" s="14">
        <f t="shared" ref="F84:AL84" si="31">F8*$C$78</f>
        <v>0</v>
      </c>
      <c r="G84" s="14">
        <f t="shared" si="31"/>
        <v>0</v>
      </c>
      <c r="H84" s="14">
        <f t="shared" si="31"/>
        <v>0</v>
      </c>
      <c r="I84" s="14">
        <f t="shared" si="31"/>
        <v>0</v>
      </c>
      <c r="J84" s="14">
        <f t="shared" si="31"/>
        <v>0</v>
      </c>
      <c r="K84" s="14">
        <f t="shared" si="31"/>
        <v>0</v>
      </c>
      <c r="L84" s="14">
        <f t="shared" si="31"/>
        <v>0</v>
      </c>
      <c r="M84" s="14">
        <f t="shared" si="31"/>
        <v>0</v>
      </c>
      <c r="N84" s="14">
        <f t="shared" si="31"/>
        <v>0</v>
      </c>
      <c r="O84" s="14">
        <f t="shared" si="31"/>
        <v>0</v>
      </c>
      <c r="P84" s="14">
        <f t="shared" si="31"/>
        <v>0</v>
      </c>
      <c r="Q84" s="14">
        <f t="shared" si="31"/>
        <v>0</v>
      </c>
      <c r="R84" s="14">
        <f t="shared" si="31"/>
        <v>0</v>
      </c>
      <c r="S84" s="14">
        <f t="shared" si="31"/>
        <v>0</v>
      </c>
      <c r="T84" s="14">
        <f t="shared" si="31"/>
        <v>0</v>
      </c>
      <c r="U84" s="14">
        <f t="shared" si="31"/>
        <v>1.1073571428571427E-28</v>
      </c>
      <c r="V84" s="14">
        <f t="shared" si="31"/>
        <v>1.4957857142857142E-11</v>
      </c>
      <c r="W84" s="14">
        <f t="shared" si="31"/>
        <v>1.511642857142857E-6</v>
      </c>
      <c r="X84" s="14">
        <f t="shared" si="31"/>
        <v>4.3725E-2</v>
      </c>
      <c r="Y84" s="14">
        <f t="shared" si="31"/>
        <v>6.1253571428571421E-2</v>
      </c>
      <c r="Z84" s="14">
        <f t="shared" si="31"/>
        <v>9.3660714285714287E-8</v>
      </c>
      <c r="AA84" s="14">
        <f t="shared" si="31"/>
        <v>2.2606785714285714E-12</v>
      </c>
      <c r="AB84" s="14">
        <f t="shared" si="31"/>
        <v>1.8461428571428567E-24</v>
      </c>
      <c r="AC84" s="14">
        <f t="shared" si="31"/>
        <v>0</v>
      </c>
      <c r="AD84" s="14">
        <f t="shared" si="31"/>
        <v>0</v>
      </c>
      <c r="AE84" s="14">
        <f t="shared" si="31"/>
        <v>0</v>
      </c>
      <c r="AF84" s="14">
        <f t="shared" si="31"/>
        <v>0</v>
      </c>
      <c r="AG84" s="14">
        <f t="shared" si="31"/>
        <v>0</v>
      </c>
      <c r="AH84" s="14">
        <f t="shared" si="31"/>
        <v>0</v>
      </c>
      <c r="AI84" s="14">
        <f t="shared" si="31"/>
        <v>0</v>
      </c>
      <c r="AJ84" s="14">
        <f t="shared" si="31"/>
        <v>0</v>
      </c>
      <c r="AK84" s="14">
        <f t="shared" si="31"/>
        <v>0</v>
      </c>
      <c r="AL84" s="14">
        <f t="shared" si="31"/>
        <v>0</v>
      </c>
    </row>
    <row r="85" spans="1:38" ht="21" hidden="1" customHeight="1" outlineLevel="1" thickBot="1" x14ac:dyDescent="0.4">
      <c r="A85" s="5">
        <f t="shared" si="27"/>
        <v>0</v>
      </c>
      <c r="B85" s="5">
        <f t="shared" si="27"/>
        <v>0</v>
      </c>
      <c r="C85" s="5">
        <f t="shared" si="27"/>
        <v>1</v>
      </c>
      <c r="D85" s="5">
        <f t="shared" si="27"/>
        <v>0</v>
      </c>
      <c r="E85" s="6" t="str">
        <f t="shared" si="23"/>
        <v>*Ge[c]</v>
      </c>
      <c r="F85" s="14">
        <f t="shared" ref="F85:AL85" si="32">F9*$C$78</f>
        <v>0</v>
      </c>
      <c r="G85" s="14">
        <f t="shared" si="32"/>
        <v>0</v>
      </c>
      <c r="H85" s="14">
        <f t="shared" si="32"/>
        <v>0</v>
      </c>
      <c r="I85" s="14">
        <f t="shared" si="32"/>
        <v>0</v>
      </c>
      <c r="J85" s="14">
        <f t="shared" si="32"/>
        <v>0</v>
      </c>
      <c r="K85" s="14">
        <f t="shared" si="32"/>
        <v>0</v>
      </c>
      <c r="L85" s="14">
        <f t="shared" si="32"/>
        <v>0</v>
      </c>
      <c r="M85" s="14">
        <f t="shared" si="32"/>
        <v>5.8528571428571417E-33</v>
      </c>
      <c r="N85" s="14">
        <f t="shared" si="32"/>
        <v>1.817892857142857E-25</v>
      </c>
      <c r="O85" s="14">
        <f t="shared" si="32"/>
        <v>5.4767857142857141E-11</v>
      </c>
      <c r="P85" s="14">
        <f t="shared" si="32"/>
        <v>1.579642857142857E-9</v>
      </c>
      <c r="Q85" s="14">
        <f t="shared" si="32"/>
        <v>6.678928571428571E-8</v>
      </c>
      <c r="R85" s="14">
        <f t="shared" si="32"/>
        <v>0.5</v>
      </c>
      <c r="S85" s="14">
        <f t="shared" si="32"/>
        <v>0.5</v>
      </c>
      <c r="T85" s="14">
        <f t="shared" si="32"/>
        <v>0.5</v>
      </c>
      <c r="U85" s="14">
        <f t="shared" si="32"/>
        <v>0.5</v>
      </c>
      <c r="V85" s="14">
        <f t="shared" si="32"/>
        <v>0.5</v>
      </c>
      <c r="W85" s="14">
        <f t="shared" si="32"/>
        <v>0.5</v>
      </c>
      <c r="X85" s="14">
        <f t="shared" si="32"/>
        <v>0.5</v>
      </c>
      <c r="Y85" s="14">
        <f t="shared" si="32"/>
        <v>0.5</v>
      </c>
      <c r="Z85" s="14">
        <f t="shared" si="32"/>
        <v>0.48753571428571424</v>
      </c>
      <c r="AA85" s="14">
        <f t="shared" si="32"/>
        <v>0.48528571428571426</v>
      </c>
      <c r="AB85" s="14">
        <f t="shared" si="32"/>
        <v>0.48314285714285715</v>
      </c>
      <c r="AC85" s="14">
        <f t="shared" si="32"/>
        <v>0.48078571428571421</v>
      </c>
      <c r="AD85" s="14">
        <f t="shared" si="32"/>
        <v>0.47817857142857145</v>
      </c>
      <c r="AE85" s="14">
        <f t="shared" si="32"/>
        <v>0.46389285714285711</v>
      </c>
      <c r="AF85" s="14">
        <f t="shared" si="32"/>
        <v>0.43917857142857136</v>
      </c>
      <c r="AG85" s="14">
        <f t="shared" si="32"/>
        <v>0</v>
      </c>
      <c r="AH85" s="14">
        <f t="shared" si="32"/>
        <v>0</v>
      </c>
      <c r="AI85" s="14">
        <f t="shared" si="32"/>
        <v>0</v>
      </c>
      <c r="AJ85" s="14">
        <f t="shared" si="32"/>
        <v>0</v>
      </c>
      <c r="AK85" s="14">
        <f t="shared" si="32"/>
        <v>0</v>
      </c>
      <c r="AL85" s="14">
        <f t="shared" si="32"/>
        <v>0</v>
      </c>
    </row>
    <row r="86" spans="1:38" ht="21" hidden="1" customHeight="1" outlineLevel="1" thickBot="1" x14ac:dyDescent="0.4">
      <c r="A86" s="5">
        <f t="shared" si="27"/>
        <v>0</v>
      </c>
      <c r="B86" s="5">
        <f t="shared" si="27"/>
        <v>1</v>
      </c>
      <c r="C86" s="5">
        <f t="shared" si="27"/>
        <v>0</v>
      </c>
      <c r="D86" s="5">
        <f t="shared" si="27"/>
        <v>0</v>
      </c>
      <c r="E86" s="6" t="str">
        <f t="shared" si="23"/>
        <v>*Se[m]</v>
      </c>
      <c r="F86" s="14">
        <f t="shared" ref="F86:AL86" si="33">F10*$C$78</f>
        <v>5.4553571428571421E-21</v>
      </c>
      <c r="G86" s="14">
        <f t="shared" si="33"/>
        <v>4.6507142857142859E-17</v>
      </c>
      <c r="H86" s="14">
        <f t="shared" si="33"/>
        <v>1.4723928571428569E-11</v>
      </c>
      <c r="I86" s="14">
        <f t="shared" si="33"/>
        <v>5.2053571428571422E-9</v>
      </c>
      <c r="J86" s="14">
        <f t="shared" si="33"/>
        <v>1.089642857142857E-6</v>
      </c>
      <c r="K86" s="14">
        <f t="shared" si="33"/>
        <v>0.5</v>
      </c>
      <c r="L86" s="14">
        <f t="shared" si="33"/>
        <v>0.5</v>
      </c>
      <c r="M86" s="14">
        <f t="shared" si="33"/>
        <v>0.5</v>
      </c>
      <c r="N86" s="14">
        <f t="shared" si="33"/>
        <v>0.5</v>
      </c>
      <c r="O86" s="14">
        <f t="shared" si="33"/>
        <v>0.5</v>
      </c>
      <c r="P86" s="14">
        <f t="shared" si="33"/>
        <v>0.5</v>
      </c>
      <c r="Q86" s="14">
        <f t="shared" si="33"/>
        <v>0.5</v>
      </c>
      <c r="R86" s="14">
        <f t="shared" si="33"/>
        <v>1.4999999999999998</v>
      </c>
      <c r="S86" s="14">
        <f t="shared" si="33"/>
        <v>1.4999999999999998</v>
      </c>
      <c r="T86" s="14">
        <f t="shared" si="33"/>
        <v>1.4999999999999998</v>
      </c>
      <c r="U86" s="14">
        <f t="shared" si="33"/>
        <v>1.4999999999999998</v>
      </c>
      <c r="V86" s="14">
        <f t="shared" si="33"/>
        <v>1.4999999999999998</v>
      </c>
      <c r="W86" s="14">
        <f t="shared" si="33"/>
        <v>1.4999999999999998</v>
      </c>
      <c r="X86" s="14">
        <f t="shared" si="33"/>
        <v>1.5874642857142856</v>
      </c>
      <c r="Y86" s="14">
        <f t="shared" si="33"/>
        <v>1.6224999999999998</v>
      </c>
      <c r="Z86" s="14">
        <f t="shared" si="33"/>
        <v>1.706142857142857</v>
      </c>
      <c r="AA86" s="14">
        <f t="shared" si="33"/>
        <v>1.7129999999999999</v>
      </c>
      <c r="AB86" s="14">
        <f t="shared" si="33"/>
        <v>1.7140714285714285</v>
      </c>
      <c r="AC86" s="14">
        <f t="shared" si="33"/>
        <v>1.7142500000000001</v>
      </c>
      <c r="AD86" s="14">
        <f t="shared" si="33"/>
        <v>1.7142857142857142</v>
      </c>
      <c r="AE86" s="14">
        <f t="shared" si="33"/>
        <v>1.7142857142857142</v>
      </c>
      <c r="AF86" s="14">
        <f t="shared" si="33"/>
        <v>1.7142857142857142</v>
      </c>
      <c r="AG86" s="14">
        <f t="shared" si="33"/>
        <v>0</v>
      </c>
      <c r="AH86" s="14">
        <f t="shared" si="33"/>
        <v>0</v>
      </c>
      <c r="AI86" s="14">
        <f t="shared" si="33"/>
        <v>0</v>
      </c>
      <c r="AJ86" s="14">
        <f t="shared" si="33"/>
        <v>0</v>
      </c>
      <c r="AK86" s="14">
        <f t="shared" si="33"/>
        <v>0</v>
      </c>
      <c r="AL86" s="14">
        <f t="shared" si="33"/>
        <v>0</v>
      </c>
    </row>
    <row r="87" spans="1:38" ht="21" hidden="1" customHeight="1" outlineLevel="1" thickBot="1" x14ac:dyDescent="0.4">
      <c r="A87" s="5">
        <f t="shared" si="27"/>
        <v>0</v>
      </c>
      <c r="B87" s="5">
        <f t="shared" si="27"/>
        <v>2</v>
      </c>
      <c r="C87" s="5">
        <f t="shared" si="27"/>
        <v>1</v>
      </c>
      <c r="D87" s="5">
        <f t="shared" si="27"/>
        <v>0</v>
      </c>
      <c r="E87" s="6" t="str">
        <f t="shared" si="23"/>
        <v>*GeSe2</v>
      </c>
      <c r="F87" s="14">
        <f t="shared" ref="F87:AL87" si="34">F11*$C$78</f>
        <v>0.5</v>
      </c>
      <c r="G87" s="14">
        <f t="shared" si="34"/>
        <v>0.5</v>
      </c>
      <c r="H87" s="14">
        <f t="shared" si="34"/>
        <v>0.5</v>
      </c>
      <c r="I87" s="14">
        <f t="shared" si="34"/>
        <v>0.5</v>
      </c>
      <c r="J87" s="14">
        <f t="shared" si="34"/>
        <v>0.5</v>
      </c>
      <c r="K87" s="14">
        <f t="shared" si="34"/>
        <v>1.1503571428571428E-8</v>
      </c>
      <c r="L87" s="14">
        <f t="shared" si="34"/>
        <v>7.1342857142857134E-10</v>
      </c>
      <c r="M87" s="14">
        <f t="shared" si="34"/>
        <v>3.4407499999999999E-11</v>
      </c>
      <c r="N87" s="14">
        <f t="shared" si="34"/>
        <v>5.0417857142857133E-13</v>
      </c>
      <c r="O87" s="14">
        <f t="shared" si="34"/>
        <v>1.0128928571428571E-25</v>
      </c>
      <c r="P87" s="14">
        <f t="shared" si="34"/>
        <v>0</v>
      </c>
      <c r="Q87" s="14">
        <f t="shared" si="34"/>
        <v>0</v>
      </c>
      <c r="R87" s="14">
        <f t="shared" si="34"/>
        <v>0</v>
      </c>
      <c r="S87" s="14">
        <f t="shared" si="34"/>
        <v>0</v>
      </c>
      <c r="T87" s="14">
        <f t="shared" si="34"/>
        <v>0</v>
      </c>
      <c r="U87" s="14">
        <f t="shared" si="34"/>
        <v>0</v>
      </c>
      <c r="V87" s="14">
        <f t="shared" si="34"/>
        <v>0</v>
      </c>
      <c r="W87" s="14">
        <f t="shared" si="34"/>
        <v>0</v>
      </c>
      <c r="X87" s="14">
        <f t="shared" si="34"/>
        <v>0</v>
      </c>
      <c r="Y87" s="14">
        <f t="shared" si="34"/>
        <v>0</v>
      </c>
      <c r="Z87" s="14">
        <f t="shared" si="34"/>
        <v>0</v>
      </c>
      <c r="AA87" s="14">
        <f t="shared" si="34"/>
        <v>0</v>
      </c>
      <c r="AB87" s="14">
        <f t="shared" si="34"/>
        <v>0</v>
      </c>
      <c r="AC87" s="14">
        <f t="shared" si="34"/>
        <v>0</v>
      </c>
      <c r="AD87" s="14">
        <f t="shared" si="34"/>
        <v>0</v>
      </c>
      <c r="AE87" s="14">
        <f t="shared" si="34"/>
        <v>0</v>
      </c>
      <c r="AF87" s="14">
        <f t="shared" si="34"/>
        <v>0</v>
      </c>
      <c r="AG87" s="14">
        <f t="shared" si="34"/>
        <v>0</v>
      </c>
      <c r="AH87" s="14">
        <f t="shared" si="34"/>
        <v>0</v>
      </c>
      <c r="AI87" s="14">
        <f t="shared" si="34"/>
        <v>0</v>
      </c>
      <c r="AJ87" s="14">
        <f t="shared" si="34"/>
        <v>0</v>
      </c>
      <c r="AK87" s="14">
        <f t="shared" si="34"/>
        <v>0</v>
      </c>
      <c r="AL87" s="14">
        <f t="shared" si="34"/>
        <v>0</v>
      </c>
    </row>
    <row r="88" spans="1:38" ht="21" hidden="1" customHeight="1" outlineLevel="1" thickBot="1" x14ac:dyDescent="0.4">
      <c r="A88" s="5">
        <f t="shared" si="27"/>
        <v>0</v>
      </c>
      <c r="B88" s="5">
        <f t="shared" si="27"/>
        <v>3</v>
      </c>
      <c r="C88" s="5">
        <f t="shared" si="27"/>
        <v>0</v>
      </c>
      <c r="D88" s="5">
        <f t="shared" si="27"/>
        <v>2</v>
      </c>
      <c r="E88" s="6" t="str">
        <f t="shared" si="23"/>
        <v>Ga2Se3</v>
      </c>
      <c r="F88" s="14">
        <f t="shared" ref="F88:AL88" si="35">F12*$C$78</f>
        <v>7.1428571428571425E-2</v>
      </c>
      <c r="G88" s="14">
        <f t="shared" si="35"/>
        <v>7.1428571428571425E-2</v>
      </c>
      <c r="H88" s="14">
        <f t="shared" si="35"/>
        <v>7.1428571428571425E-2</v>
      </c>
      <c r="I88" s="14">
        <f t="shared" si="35"/>
        <v>7.1428571428571425E-2</v>
      </c>
      <c r="J88" s="14">
        <f t="shared" si="35"/>
        <v>7.1428571428571425E-2</v>
      </c>
      <c r="K88" s="14">
        <f t="shared" si="35"/>
        <v>7.1428571428571425E-2</v>
      </c>
      <c r="L88" s="14">
        <f t="shared" si="35"/>
        <v>7.1428571428571425E-2</v>
      </c>
      <c r="M88" s="14">
        <f t="shared" si="35"/>
        <v>7.1428571428571425E-2</v>
      </c>
      <c r="N88" s="14">
        <f t="shared" si="35"/>
        <v>7.1428571428571425E-2</v>
      </c>
      <c r="O88" s="14">
        <f t="shared" si="35"/>
        <v>7.1428571428571425E-2</v>
      </c>
      <c r="P88" s="14">
        <f t="shared" si="35"/>
        <v>7.1428571428571425E-2</v>
      </c>
      <c r="Q88" s="14">
        <f t="shared" si="35"/>
        <v>7.1428571428571425E-2</v>
      </c>
      <c r="R88" s="14">
        <f t="shared" si="35"/>
        <v>7.1428571428571425E-2</v>
      </c>
      <c r="S88" s="14">
        <f t="shared" si="35"/>
        <v>7.1428571428571425E-2</v>
      </c>
      <c r="T88" s="14">
        <f t="shared" si="35"/>
        <v>7.1428571428571425E-2</v>
      </c>
      <c r="U88" s="14">
        <f t="shared" si="35"/>
        <v>7.1428571428571425E-2</v>
      </c>
      <c r="V88" s="14">
        <f t="shared" si="35"/>
        <v>7.1428571428571425E-2</v>
      </c>
      <c r="W88" s="14">
        <f t="shared" si="35"/>
        <v>7.1428571428571425E-2</v>
      </c>
      <c r="X88" s="14">
        <f t="shared" si="35"/>
        <v>2.7702142857142856E-2</v>
      </c>
      <c r="Y88" s="14">
        <f t="shared" si="35"/>
        <v>1.0173928571428572E-2</v>
      </c>
      <c r="Z88" s="14">
        <f t="shared" si="35"/>
        <v>2.710107142857143E-3</v>
      </c>
      <c r="AA88" s="14">
        <f t="shared" si="35"/>
        <v>4.2853571428571425E-4</v>
      </c>
      <c r="AB88" s="14">
        <f t="shared" si="35"/>
        <v>7.1503571428571422E-5</v>
      </c>
      <c r="AC88" s="14">
        <f t="shared" si="35"/>
        <v>1.2518928571428572E-5</v>
      </c>
      <c r="AD88" s="14">
        <f t="shared" si="35"/>
        <v>2.2916071428571428E-6</v>
      </c>
      <c r="AE88" s="14">
        <f t="shared" si="35"/>
        <v>3.7796428571428569E-9</v>
      </c>
      <c r="AF88" s="14">
        <f t="shared" si="35"/>
        <v>1.0065714285714285E-11</v>
      </c>
      <c r="AG88" s="14">
        <f t="shared" si="35"/>
        <v>0</v>
      </c>
      <c r="AH88" s="14">
        <f t="shared" si="35"/>
        <v>0</v>
      </c>
      <c r="AI88" s="14">
        <f t="shared" si="35"/>
        <v>0</v>
      </c>
      <c r="AJ88" s="14">
        <f t="shared" si="35"/>
        <v>0</v>
      </c>
      <c r="AK88" s="14">
        <f t="shared" si="35"/>
        <v>0</v>
      </c>
      <c r="AL88" s="14">
        <f t="shared" si="35"/>
        <v>0</v>
      </c>
    </row>
    <row r="89" spans="1:38" ht="21" hidden="1" customHeight="1" outlineLevel="1" thickBot="1" x14ac:dyDescent="0.4">
      <c r="A89" s="5">
        <f t="shared" si="27"/>
        <v>0</v>
      </c>
      <c r="B89" s="5">
        <f t="shared" si="27"/>
        <v>1</v>
      </c>
      <c r="C89" s="5">
        <f t="shared" si="27"/>
        <v>0</v>
      </c>
      <c r="D89" s="5">
        <f t="shared" si="27"/>
        <v>2</v>
      </c>
      <c r="E89" s="6" t="str">
        <f t="shared" si="23"/>
        <v>Ga2Se</v>
      </c>
      <c r="F89" s="14">
        <f t="shared" ref="F89:AL89" si="36">F13*$C$78</f>
        <v>0</v>
      </c>
      <c r="G89" s="14">
        <f t="shared" si="36"/>
        <v>0</v>
      </c>
      <c r="H89" s="14">
        <f t="shared" si="36"/>
        <v>0</v>
      </c>
      <c r="I89" s="14">
        <f t="shared" si="36"/>
        <v>0</v>
      </c>
      <c r="J89" s="14">
        <f t="shared" si="36"/>
        <v>0</v>
      </c>
      <c r="K89" s="14">
        <f t="shared" si="36"/>
        <v>0</v>
      </c>
      <c r="L89" s="14">
        <f t="shared" si="36"/>
        <v>0</v>
      </c>
      <c r="M89" s="14">
        <f t="shared" si="36"/>
        <v>0</v>
      </c>
      <c r="N89" s="14">
        <f t="shared" si="36"/>
        <v>0</v>
      </c>
      <c r="O89" s="14">
        <f t="shared" si="36"/>
        <v>2.3860714285714284E-32</v>
      </c>
      <c r="P89" s="14">
        <f t="shared" si="36"/>
        <v>2.7910714285714284E-30</v>
      </c>
      <c r="Q89" s="14">
        <f t="shared" si="36"/>
        <v>2.4427499999999996E-28</v>
      </c>
      <c r="R89" s="14">
        <f t="shared" si="36"/>
        <v>1.6434642857142857E-26</v>
      </c>
      <c r="S89" s="14">
        <f t="shared" si="36"/>
        <v>8.7046428571428554E-25</v>
      </c>
      <c r="T89" s="14">
        <f t="shared" si="36"/>
        <v>9.2060714285714283E-19</v>
      </c>
      <c r="U89" s="14">
        <f t="shared" si="36"/>
        <v>7.8985714285714276E-14</v>
      </c>
      <c r="V89" s="14">
        <f t="shared" si="36"/>
        <v>1.0674285714285715E-9</v>
      </c>
      <c r="W89" s="14">
        <f t="shared" si="36"/>
        <v>9.1175000000000004E-9</v>
      </c>
      <c r="X89" s="14">
        <f t="shared" si="36"/>
        <v>2.7843214285714284E-8</v>
      </c>
      <c r="Y89" s="14">
        <f t="shared" si="36"/>
        <v>7.4592857142857132E-8</v>
      </c>
      <c r="Z89" s="14">
        <f t="shared" si="36"/>
        <v>1.3490714285714283E-7</v>
      </c>
      <c r="AA89" s="14">
        <f t="shared" si="36"/>
        <v>1.3537857142857142E-7</v>
      </c>
      <c r="AB89" s="14">
        <f t="shared" si="36"/>
        <v>1.34525E-7</v>
      </c>
      <c r="AC89" s="14">
        <f t="shared" si="36"/>
        <v>1.3209285714285714E-7</v>
      </c>
      <c r="AD89" s="14">
        <f t="shared" si="36"/>
        <v>1.2814642857142858E-7</v>
      </c>
      <c r="AE89" s="14">
        <f t="shared" si="36"/>
        <v>1.0039642857142857E-7</v>
      </c>
      <c r="AF89" s="14">
        <f t="shared" si="36"/>
        <v>6.3507142857142854E-8</v>
      </c>
      <c r="AG89" s="14">
        <f t="shared" si="36"/>
        <v>0</v>
      </c>
      <c r="AH89" s="14">
        <f t="shared" si="36"/>
        <v>0</v>
      </c>
      <c r="AI89" s="14">
        <f t="shared" si="36"/>
        <v>0</v>
      </c>
      <c r="AJ89" s="14">
        <f t="shared" si="36"/>
        <v>0</v>
      </c>
      <c r="AK89" s="14">
        <f t="shared" si="36"/>
        <v>0</v>
      </c>
      <c r="AL89" s="14">
        <f t="shared" si="36"/>
        <v>0</v>
      </c>
    </row>
    <row r="90" spans="1:38" ht="21" hidden="1" customHeight="1" outlineLevel="1" thickBot="1" x14ac:dyDescent="0.4">
      <c r="A90" s="5">
        <f t="shared" si="27"/>
        <v>1</v>
      </c>
      <c r="B90" s="5">
        <f t="shared" si="27"/>
        <v>0</v>
      </c>
      <c r="C90" s="5">
        <f t="shared" si="27"/>
        <v>0</v>
      </c>
      <c r="D90" s="5">
        <f t="shared" si="27"/>
        <v>0</v>
      </c>
      <c r="E90" s="6" t="str">
        <f t="shared" si="23"/>
        <v>Ar</v>
      </c>
      <c r="F90" s="14">
        <f t="shared" ref="F90:AL90" si="37">F14*$C$78</f>
        <v>0.7142857142857143</v>
      </c>
      <c r="G90" s="14">
        <f t="shared" si="37"/>
        <v>0.7142857142857143</v>
      </c>
      <c r="H90" s="14">
        <f t="shared" si="37"/>
        <v>0.7142857142857143</v>
      </c>
      <c r="I90" s="14">
        <f t="shared" si="37"/>
        <v>0.7142857142857143</v>
      </c>
      <c r="J90" s="14">
        <f t="shared" si="37"/>
        <v>0.7142857142857143</v>
      </c>
      <c r="K90" s="14">
        <f t="shared" si="37"/>
        <v>0.7142857142857143</v>
      </c>
      <c r="L90" s="14">
        <f t="shared" si="37"/>
        <v>0.7142857142857143</v>
      </c>
      <c r="M90" s="14">
        <f t="shared" si="37"/>
        <v>0.7142857142857143</v>
      </c>
      <c r="N90" s="14">
        <f t="shared" si="37"/>
        <v>0.7142857142857143</v>
      </c>
      <c r="O90" s="14">
        <f t="shared" si="37"/>
        <v>0.7142857142857143</v>
      </c>
      <c r="P90" s="14">
        <f t="shared" si="37"/>
        <v>0.7142857142857143</v>
      </c>
      <c r="Q90" s="14">
        <f t="shared" si="37"/>
        <v>0.7142857142857143</v>
      </c>
      <c r="R90" s="14">
        <f t="shared" si="37"/>
        <v>0.7142857142857143</v>
      </c>
      <c r="S90" s="14">
        <f t="shared" si="37"/>
        <v>0.7142857142857143</v>
      </c>
      <c r="T90" s="14">
        <f t="shared" si="37"/>
        <v>0.7142857142857143</v>
      </c>
      <c r="U90" s="14">
        <f t="shared" si="37"/>
        <v>0.7142857142857143</v>
      </c>
      <c r="V90" s="14">
        <f t="shared" si="37"/>
        <v>0.7142857142857143</v>
      </c>
      <c r="W90" s="14">
        <f t="shared" si="37"/>
        <v>0.7142857142857143</v>
      </c>
      <c r="X90" s="14">
        <f t="shared" si="37"/>
        <v>0.7142857142857143</v>
      </c>
      <c r="Y90" s="14">
        <f t="shared" si="37"/>
        <v>0.7142857142857143</v>
      </c>
      <c r="Z90" s="14">
        <f t="shared" si="37"/>
        <v>0.7142857142857143</v>
      </c>
      <c r="AA90" s="14">
        <f t="shared" si="37"/>
        <v>0.7142857142857143</v>
      </c>
      <c r="AB90" s="14">
        <f t="shared" si="37"/>
        <v>0.7142857142857143</v>
      </c>
      <c r="AC90" s="14">
        <f t="shared" si="37"/>
        <v>0.7142857142857143</v>
      </c>
      <c r="AD90" s="14">
        <f t="shared" si="37"/>
        <v>0.7142857142857143</v>
      </c>
      <c r="AE90" s="14">
        <f t="shared" si="37"/>
        <v>0.7142857142857143</v>
      </c>
      <c r="AF90" s="14">
        <f t="shared" si="37"/>
        <v>0.7142857142857143</v>
      </c>
      <c r="AG90" s="14">
        <f t="shared" si="37"/>
        <v>0</v>
      </c>
      <c r="AH90" s="14">
        <f t="shared" si="37"/>
        <v>0</v>
      </c>
      <c r="AI90" s="14">
        <f t="shared" si="37"/>
        <v>0</v>
      </c>
      <c r="AJ90" s="14">
        <f t="shared" si="37"/>
        <v>0</v>
      </c>
      <c r="AK90" s="14">
        <f t="shared" si="37"/>
        <v>0</v>
      </c>
      <c r="AL90" s="14">
        <f t="shared" si="37"/>
        <v>0</v>
      </c>
    </row>
    <row r="91" spans="1:38" ht="21" hidden="1" customHeight="1" outlineLevel="1" thickBot="1" x14ac:dyDescent="0.4">
      <c r="A91" s="5">
        <f t="shared" si="27"/>
        <v>0</v>
      </c>
      <c r="B91" s="5">
        <f t="shared" si="27"/>
        <v>0</v>
      </c>
      <c r="C91" s="5">
        <f t="shared" si="27"/>
        <v>0</v>
      </c>
      <c r="D91" s="5">
        <f t="shared" si="27"/>
        <v>1</v>
      </c>
      <c r="E91" s="6" t="str">
        <f t="shared" si="23"/>
        <v>(1)Ga[1]</v>
      </c>
      <c r="F91" s="14">
        <f t="shared" ref="F91:AL91" si="38">F15*$C$78</f>
        <v>0</v>
      </c>
      <c r="G91" s="14">
        <f t="shared" si="38"/>
        <v>0</v>
      </c>
      <c r="H91" s="14">
        <f t="shared" si="38"/>
        <v>0</v>
      </c>
      <c r="I91" s="14">
        <f t="shared" si="38"/>
        <v>0</v>
      </c>
      <c r="J91" s="14">
        <f t="shared" si="38"/>
        <v>0</v>
      </c>
      <c r="K91" s="14">
        <f t="shared" si="38"/>
        <v>0</v>
      </c>
      <c r="L91" s="14">
        <f t="shared" si="38"/>
        <v>0</v>
      </c>
      <c r="M91" s="14">
        <f t="shared" si="38"/>
        <v>0</v>
      </c>
      <c r="N91" s="14">
        <f t="shared" si="38"/>
        <v>0</v>
      </c>
      <c r="O91" s="14">
        <f t="shared" si="38"/>
        <v>0</v>
      </c>
      <c r="P91" s="14">
        <f t="shared" si="38"/>
        <v>0</v>
      </c>
      <c r="Q91" s="14">
        <f t="shared" si="38"/>
        <v>0</v>
      </c>
      <c r="R91" s="14">
        <f t="shared" si="38"/>
        <v>0</v>
      </c>
      <c r="S91" s="14">
        <f t="shared" si="38"/>
        <v>0</v>
      </c>
      <c r="T91" s="14">
        <f t="shared" si="38"/>
        <v>1.2942142857142857E-19</v>
      </c>
      <c r="U91" s="14">
        <f t="shared" si="38"/>
        <v>2.5154642857142856E-13</v>
      </c>
      <c r="V91" s="14">
        <f t="shared" si="38"/>
        <v>1.0573214285714285E-9</v>
      </c>
      <c r="W91" s="14">
        <f t="shared" si="38"/>
        <v>3.7107142857142853E-10</v>
      </c>
      <c r="X91" s="14">
        <f t="shared" si="38"/>
        <v>5.4135714285714276E-8</v>
      </c>
      <c r="Y91" s="14">
        <f t="shared" si="38"/>
        <v>7.6699999999999992E-7</v>
      </c>
      <c r="Z91" s="14">
        <f t="shared" si="38"/>
        <v>0.13743571428571427</v>
      </c>
      <c r="AA91" s="14">
        <f t="shared" si="38"/>
        <v>0.14199999999999999</v>
      </c>
      <c r="AB91" s="14">
        <f t="shared" si="38"/>
        <v>0.14271428571428571</v>
      </c>
      <c r="AC91" s="14">
        <f t="shared" si="38"/>
        <v>0.14283214285714285</v>
      </c>
      <c r="AD91" s="14">
        <f t="shared" si="38"/>
        <v>0.14284999999999998</v>
      </c>
      <c r="AE91" s="14">
        <f t="shared" si="38"/>
        <v>0.14285714285714285</v>
      </c>
      <c r="AF91" s="14">
        <f t="shared" si="38"/>
        <v>0.14285714285714285</v>
      </c>
      <c r="AG91" s="14">
        <f t="shared" si="38"/>
        <v>0</v>
      </c>
      <c r="AH91" s="14">
        <f t="shared" si="38"/>
        <v>0</v>
      </c>
      <c r="AI91" s="14">
        <f t="shared" si="38"/>
        <v>0</v>
      </c>
      <c r="AJ91" s="14">
        <f t="shared" si="38"/>
        <v>0</v>
      </c>
      <c r="AK91" s="14">
        <f t="shared" si="38"/>
        <v>0</v>
      </c>
      <c r="AL91" s="14">
        <f t="shared" si="38"/>
        <v>0</v>
      </c>
    </row>
    <row r="92" spans="1:38" ht="21" hidden="1" customHeight="1" outlineLevel="1" thickBot="1" x14ac:dyDescent="0.4">
      <c r="A92" s="5">
        <f t="shared" si="27"/>
        <v>0</v>
      </c>
      <c r="B92" s="5">
        <f t="shared" si="27"/>
        <v>0</v>
      </c>
      <c r="C92" s="5">
        <f t="shared" si="27"/>
        <v>1</v>
      </c>
      <c r="D92" s="5">
        <f t="shared" si="27"/>
        <v>0</v>
      </c>
      <c r="E92" s="6" t="str">
        <f t="shared" si="23"/>
        <v>(1)Ge[1]</v>
      </c>
      <c r="F92" s="14">
        <f t="shared" ref="F92:AL92" si="39">F16*$C$78</f>
        <v>0</v>
      </c>
      <c r="G92" s="14">
        <f t="shared" si="39"/>
        <v>0</v>
      </c>
      <c r="H92" s="14">
        <f t="shared" si="39"/>
        <v>0</v>
      </c>
      <c r="I92" s="14">
        <f t="shared" si="39"/>
        <v>0</v>
      </c>
      <c r="J92" s="14">
        <f t="shared" si="39"/>
        <v>0</v>
      </c>
      <c r="K92" s="14">
        <f t="shared" si="39"/>
        <v>0</v>
      </c>
      <c r="L92" s="14">
        <f t="shared" si="39"/>
        <v>0</v>
      </c>
      <c r="M92" s="14">
        <f t="shared" si="39"/>
        <v>0</v>
      </c>
      <c r="N92" s="14">
        <f t="shared" si="39"/>
        <v>0</v>
      </c>
      <c r="O92" s="14">
        <f t="shared" si="39"/>
        <v>2.6473571428571426E-35</v>
      </c>
      <c r="P92" s="14">
        <f t="shared" si="39"/>
        <v>0</v>
      </c>
      <c r="Q92" s="14">
        <f t="shared" si="39"/>
        <v>0</v>
      </c>
      <c r="R92" s="14">
        <f t="shared" si="39"/>
        <v>0</v>
      </c>
      <c r="S92" s="14">
        <f t="shared" si="39"/>
        <v>0</v>
      </c>
      <c r="T92" s="14">
        <f t="shared" si="39"/>
        <v>7.2117857142857136E-16</v>
      </c>
      <c r="U92" s="14">
        <f t="shared" si="39"/>
        <v>1.42975E-11</v>
      </c>
      <c r="V92" s="14">
        <f t="shared" si="39"/>
        <v>1.1881785714285715E-9</v>
      </c>
      <c r="W92" s="14">
        <f t="shared" si="39"/>
        <v>1.702392857142857E-10</v>
      </c>
      <c r="X92" s="14">
        <f t="shared" si="39"/>
        <v>1.6296785714285713E-8</v>
      </c>
      <c r="Y92" s="14">
        <f t="shared" si="39"/>
        <v>1.6277857142857142E-7</v>
      </c>
      <c r="Z92" s="14">
        <f t="shared" si="39"/>
        <v>2.4954285714285714E-2</v>
      </c>
      <c r="AA92" s="14">
        <f t="shared" si="39"/>
        <v>2.9449285714285709E-2</v>
      </c>
      <c r="AB92" s="14">
        <f t="shared" si="39"/>
        <v>3.3730714285714281E-2</v>
      </c>
      <c r="AC92" s="14">
        <f t="shared" si="39"/>
        <v>3.8403571428571426E-2</v>
      </c>
      <c r="AD92" s="14">
        <f t="shared" si="39"/>
        <v>4.3628571428571426E-2</v>
      </c>
      <c r="AE92" s="14">
        <f t="shared" si="39"/>
        <v>7.2246428571428573E-2</v>
      </c>
      <c r="AF92" s="14">
        <f t="shared" si="39"/>
        <v>0.12164999999999999</v>
      </c>
      <c r="AG92" s="14">
        <f t="shared" si="39"/>
        <v>0</v>
      </c>
      <c r="AH92" s="14">
        <f t="shared" si="39"/>
        <v>0</v>
      </c>
      <c r="AI92" s="14">
        <f t="shared" si="39"/>
        <v>0</v>
      </c>
      <c r="AJ92" s="14">
        <f t="shared" si="39"/>
        <v>0</v>
      </c>
      <c r="AK92" s="14">
        <f t="shared" si="39"/>
        <v>0</v>
      </c>
      <c r="AL92" s="14">
        <f t="shared" si="39"/>
        <v>0</v>
      </c>
    </row>
    <row r="93" spans="1:38" ht="21" hidden="1" customHeight="1" outlineLevel="1" thickBot="1" x14ac:dyDescent="0.4">
      <c r="A93" s="5">
        <f t="shared" si="27"/>
        <v>1</v>
      </c>
      <c r="B93" s="5">
        <f t="shared" si="27"/>
        <v>0</v>
      </c>
      <c r="C93" s="5">
        <f t="shared" si="27"/>
        <v>0</v>
      </c>
      <c r="D93" s="5">
        <f t="shared" si="27"/>
        <v>0</v>
      </c>
      <c r="E93" s="6" t="str">
        <f t="shared" si="23"/>
        <v>H (Ar)</v>
      </c>
      <c r="F93" s="14">
        <f t="shared" ref="F93:AL93" si="40">F17*$C$78</f>
        <v>-66.857142857142847</v>
      </c>
      <c r="G93" s="14">
        <f t="shared" si="40"/>
        <v>-66.821428571428569</v>
      </c>
      <c r="H93" s="14">
        <f t="shared" si="40"/>
        <v>-66.821428571428569</v>
      </c>
      <c r="I93" s="14">
        <f t="shared" si="40"/>
        <v>-66.821428571428569</v>
      </c>
      <c r="J93" s="14">
        <f t="shared" si="40"/>
        <v>-66.892857142857139</v>
      </c>
      <c r="K93" s="14">
        <f t="shared" si="40"/>
        <v>-66.928571428571416</v>
      </c>
      <c r="L93" s="14">
        <f t="shared" si="40"/>
        <v>-67</v>
      </c>
      <c r="M93" s="14">
        <f t="shared" si="40"/>
        <v>-67.107142857142847</v>
      </c>
      <c r="N93" s="14">
        <f t="shared" si="40"/>
        <v>-67.178571428571416</v>
      </c>
      <c r="O93" s="14">
        <f t="shared" si="40"/>
        <v>-67.607142857142847</v>
      </c>
      <c r="P93" s="14">
        <f t="shared" si="40"/>
        <v>-67.749999999999986</v>
      </c>
      <c r="Q93" s="14">
        <f t="shared" si="40"/>
        <v>-67.857142857142847</v>
      </c>
      <c r="R93" s="14">
        <f t="shared" si="40"/>
        <v>-67.964285714285708</v>
      </c>
      <c r="S93" s="14">
        <f t="shared" si="40"/>
        <v>-68.107142857142847</v>
      </c>
      <c r="T93" s="14">
        <f t="shared" si="40"/>
        <v>-68.571428571428569</v>
      </c>
      <c r="U93" s="14">
        <f t="shared" si="40"/>
        <v>-69.071428571428569</v>
      </c>
      <c r="V93" s="14">
        <f t="shared" si="40"/>
        <v>-69.571428571428569</v>
      </c>
      <c r="W93" s="14">
        <f t="shared" si="40"/>
        <v>-69.678571428571431</v>
      </c>
      <c r="X93" s="14">
        <f t="shared" si="40"/>
        <v>-69.607142857142847</v>
      </c>
      <c r="Y93" s="14">
        <f t="shared" si="40"/>
        <v>-69.642857142857139</v>
      </c>
      <c r="Z93" s="14">
        <f t="shared" si="40"/>
        <v>-69.714285714285708</v>
      </c>
      <c r="AA93" s="14">
        <f t="shared" si="40"/>
        <v>-69.821428571428569</v>
      </c>
      <c r="AB93" s="14">
        <f t="shared" si="40"/>
        <v>-69.928571428571416</v>
      </c>
      <c r="AC93" s="14">
        <f t="shared" si="40"/>
        <v>-70.035714285714278</v>
      </c>
      <c r="AD93" s="14">
        <f t="shared" si="40"/>
        <v>-70.142857142857139</v>
      </c>
      <c r="AE93" s="14">
        <f t="shared" si="40"/>
        <v>-70.571428571428569</v>
      </c>
      <c r="AF93" s="14">
        <f t="shared" si="40"/>
        <v>-70.999999999999986</v>
      </c>
      <c r="AG93" s="14">
        <f t="shared" si="40"/>
        <v>0</v>
      </c>
      <c r="AH93" s="14">
        <f t="shared" si="40"/>
        <v>0</v>
      </c>
      <c r="AI93" s="14">
        <f t="shared" si="40"/>
        <v>0</v>
      </c>
      <c r="AJ93" s="14">
        <f t="shared" si="40"/>
        <v>0</v>
      </c>
      <c r="AK93" s="14">
        <f t="shared" si="40"/>
        <v>0</v>
      </c>
      <c r="AL93" s="14">
        <f t="shared" si="40"/>
        <v>0</v>
      </c>
    </row>
    <row r="94" spans="1:38" ht="21" hidden="1" customHeight="1" outlineLevel="1" thickBot="1" x14ac:dyDescent="0.4">
      <c r="A94" s="5">
        <f t="shared" si="27"/>
        <v>0</v>
      </c>
      <c r="B94" s="5">
        <f t="shared" si="27"/>
        <v>0</v>
      </c>
      <c r="C94" s="5">
        <f t="shared" si="27"/>
        <v>0</v>
      </c>
      <c r="D94" s="5">
        <f t="shared" si="27"/>
        <v>1</v>
      </c>
      <c r="E94" s="6" t="str">
        <f t="shared" si="23"/>
        <v>H (Ga)</v>
      </c>
      <c r="F94" s="14">
        <f t="shared" ref="F94:AL94" si="41">F18*$C$78</f>
        <v>-238.42857142857142</v>
      </c>
      <c r="G94" s="14">
        <f t="shared" si="41"/>
        <v>-226</v>
      </c>
      <c r="H94" s="14">
        <f t="shared" si="41"/>
        <v>-214.92857142857142</v>
      </c>
      <c r="I94" s="14">
        <f t="shared" si="41"/>
        <v>-204.99999999999997</v>
      </c>
      <c r="J94" s="14">
        <f t="shared" si="41"/>
        <v>-196.10714285714283</v>
      </c>
      <c r="K94" s="14">
        <f t="shared" si="41"/>
        <v>-184.03571428571428</v>
      </c>
      <c r="L94" s="14">
        <f t="shared" si="41"/>
        <v>-172.03571428571428</v>
      </c>
      <c r="M94" s="14">
        <f t="shared" si="41"/>
        <v>-160.92857142857142</v>
      </c>
      <c r="N94" s="14">
        <f t="shared" si="41"/>
        <v>-150.67857142857142</v>
      </c>
      <c r="O94" s="14">
        <f t="shared" si="41"/>
        <v>-116.17857142857143</v>
      </c>
      <c r="P94" s="14">
        <f t="shared" si="41"/>
        <v>-108.85714285714285</v>
      </c>
      <c r="Q94" s="14">
        <f t="shared" si="41"/>
        <v>-101.96428571428571</v>
      </c>
      <c r="R94" s="14">
        <f t="shared" si="41"/>
        <v>-95.499999999999986</v>
      </c>
      <c r="S94" s="14">
        <f t="shared" si="41"/>
        <v>-89.357142857142847</v>
      </c>
      <c r="T94" s="14">
        <f t="shared" si="41"/>
        <v>-67.714285714285708</v>
      </c>
      <c r="U94" s="14">
        <f t="shared" si="41"/>
        <v>-49.821428571428562</v>
      </c>
      <c r="V94" s="14">
        <f t="shared" si="41"/>
        <v>-34.664285714285711</v>
      </c>
      <c r="W94" s="14">
        <f t="shared" si="41"/>
        <v>-31.221428571428572</v>
      </c>
      <c r="X94" s="14">
        <f t="shared" si="41"/>
        <v>-29.485714285714284</v>
      </c>
      <c r="Y94" s="14">
        <f t="shared" si="41"/>
        <v>-28.024999999999999</v>
      </c>
      <c r="Z94" s="14">
        <f t="shared" si="41"/>
        <v>-27.267857142857139</v>
      </c>
      <c r="AA94" s="14">
        <f t="shared" si="41"/>
        <v>-27.553571428571427</v>
      </c>
      <c r="AB94" s="14">
        <f t="shared" si="41"/>
        <v>-27.842857142857142</v>
      </c>
      <c r="AC94" s="14">
        <f t="shared" si="41"/>
        <v>-28.139285714285712</v>
      </c>
      <c r="AD94" s="14">
        <f t="shared" si="41"/>
        <v>-28.439285714285713</v>
      </c>
      <c r="AE94" s="14">
        <f t="shared" si="41"/>
        <v>-29.710714285714285</v>
      </c>
      <c r="AF94" s="14">
        <f t="shared" si="41"/>
        <v>-31.160714285714281</v>
      </c>
      <c r="AG94" s="14">
        <f t="shared" si="41"/>
        <v>0</v>
      </c>
      <c r="AH94" s="14">
        <f t="shared" si="41"/>
        <v>0</v>
      </c>
      <c r="AI94" s="14">
        <f t="shared" si="41"/>
        <v>0</v>
      </c>
      <c r="AJ94" s="14">
        <f t="shared" si="41"/>
        <v>0</v>
      </c>
      <c r="AK94" s="14">
        <f t="shared" si="41"/>
        <v>0</v>
      </c>
      <c r="AL94" s="14">
        <f t="shared" si="41"/>
        <v>0</v>
      </c>
    </row>
    <row r="95" spans="1:38" ht="21" hidden="1" customHeight="1" outlineLevel="1" thickBot="1" x14ac:dyDescent="0.4">
      <c r="A95" s="5">
        <f t="shared" si="27"/>
        <v>0</v>
      </c>
      <c r="B95" s="5">
        <f t="shared" si="27"/>
        <v>0</v>
      </c>
      <c r="C95" s="5">
        <f t="shared" si="27"/>
        <v>1</v>
      </c>
      <c r="D95" s="5">
        <f t="shared" si="27"/>
        <v>0</v>
      </c>
      <c r="E95" s="6" t="str">
        <f t="shared" si="23"/>
        <v>H (Ge)</v>
      </c>
      <c r="F95" s="14">
        <f t="shared" ref="F95:AL95" si="42">F19*$C$78</f>
        <v>-58.178571428571423</v>
      </c>
      <c r="G95" s="14">
        <f t="shared" si="42"/>
        <v>-55.892857142857139</v>
      </c>
      <c r="H95" s="14">
        <f t="shared" si="42"/>
        <v>-53.892857142857139</v>
      </c>
      <c r="I95" s="14">
        <f t="shared" si="42"/>
        <v>-52.107142857142854</v>
      </c>
      <c r="J95" s="14">
        <f t="shared" si="42"/>
        <v>-50.571428571428569</v>
      </c>
      <c r="K95" s="14">
        <f t="shared" si="42"/>
        <v>-46.535714285714278</v>
      </c>
      <c r="L95" s="14">
        <f t="shared" si="42"/>
        <v>-42.142857142857146</v>
      </c>
      <c r="M95" s="14">
        <f t="shared" si="42"/>
        <v>-38.107142857142854</v>
      </c>
      <c r="N95" s="14">
        <f t="shared" si="42"/>
        <v>-34.339285714285715</v>
      </c>
      <c r="O95" s="14">
        <f t="shared" si="42"/>
        <v>-21.571428571428569</v>
      </c>
      <c r="P95" s="14">
        <f t="shared" si="42"/>
        <v>-18.842857142857142</v>
      </c>
      <c r="Q95" s="14">
        <f t="shared" si="42"/>
        <v>-16.260714285714283</v>
      </c>
      <c r="R95" s="14">
        <f t="shared" si="42"/>
        <v>-14.696428571428571</v>
      </c>
      <c r="S95" s="14">
        <f t="shared" si="42"/>
        <v>-14.839285714285714</v>
      </c>
      <c r="T95" s="14">
        <f t="shared" si="42"/>
        <v>-15.417857142857143</v>
      </c>
      <c r="U95" s="14">
        <f t="shared" si="42"/>
        <v>-16.003571428571426</v>
      </c>
      <c r="V95" s="14">
        <f t="shared" si="42"/>
        <v>-16.582142857142856</v>
      </c>
      <c r="W95" s="14">
        <f t="shared" si="42"/>
        <v>-16.724999999999998</v>
      </c>
      <c r="X95" s="14">
        <f t="shared" si="42"/>
        <v>-16.864285714285714</v>
      </c>
      <c r="Y95" s="14">
        <f t="shared" si="42"/>
        <v>-17.007142857142853</v>
      </c>
      <c r="Z95" s="14">
        <f t="shared" si="42"/>
        <v>-17.146428571428572</v>
      </c>
      <c r="AA95" s="14">
        <f t="shared" si="42"/>
        <v>-17.285714285714285</v>
      </c>
      <c r="AB95" s="14">
        <f t="shared" si="42"/>
        <v>-17.421428571428571</v>
      </c>
      <c r="AC95" s="14">
        <f t="shared" si="42"/>
        <v>-17.560714285714283</v>
      </c>
      <c r="AD95" s="14">
        <f t="shared" si="42"/>
        <v>-17.696428571428569</v>
      </c>
      <c r="AE95" s="14">
        <f t="shared" si="42"/>
        <v>-18.228571428571428</v>
      </c>
      <c r="AF95" s="14">
        <f t="shared" si="42"/>
        <v>-18.74642857142857</v>
      </c>
      <c r="AG95" s="14">
        <f t="shared" si="42"/>
        <v>0</v>
      </c>
      <c r="AH95" s="14">
        <f t="shared" si="42"/>
        <v>0</v>
      </c>
      <c r="AI95" s="14">
        <f t="shared" si="42"/>
        <v>0</v>
      </c>
      <c r="AJ95" s="14">
        <f t="shared" si="42"/>
        <v>0</v>
      </c>
      <c r="AK95" s="14">
        <f t="shared" si="42"/>
        <v>0</v>
      </c>
      <c r="AL95" s="14">
        <f t="shared" si="42"/>
        <v>0</v>
      </c>
    </row>
    <row r="96" spans="1:38" ht="21" hidden="1" customHeight="1" outlineLevel="1" thickBot="1" x14ac:dyDescent="0.4">
      <c r="A96" s="5">
        <f t="shared" si="27"/>
        <v>0</v>
      </c>
      <c r="B96" s="5">
        <f t="shared" si="27"/>
        <v>1</v>
      </c>
      <c r="C96" s="5">
        <f t="shared" si="27"/>
        <v>0</v>
      </c>
      <c r="D96" s="5">
        <f t="shared" si="27"/>
        <v>0</v>
      </c>
      <c r="E96" s="6" t="str">
        <f t="shared" si="23"/>
        <v>H (Se)</v>
      </c>
      <c r="F96" s="14">
        <f t="shared" ref="F96:AL96" si="43">F20*$C$78</f>
        <v>-83.999999999999986</v>
      </c>
      <c r="G96" s="14">
        <f t="shared" si="43"/>
        <v>-80.035714285714278</v>
      </c>
      <c r="H96" s="14">
        <f t="shared" si="43"/>
        <v>-76.5</v>
      </c>
      <c r="I96" s="14">
        <f t="shared" si="43"/>
        <v>-73.357142857142847</v>
      </c>
      <c r="J96" s="14">
        <f t="shared" si="43"/>
        <v>-70.571428571428569</v>
      </c>
      <c r="K96" s="14">
        <f t="shared" si="43"/>
        <v>-70.678571428571416</v>
      </c>
      <c r="L96" s="14">
        <f t="shared" si="43"/>
        <v>-71.535714285714278</v>
      </c>
      <c r="M96" s="14">
        <f t="shared" si="43"/>
        <v>-72.428571428571431</v>
      </c>
      <c r="N96" s="14">
        <f t="shared" si="43"/>
        <v>-73.285714285714278</v>
      </c>
      <c r="O96" s="14">
        <f t="shared" si="43"/>
        <v>-76.857142857142847</v>
      </c>
      <c r="P96" s="14">
        <f t="shared" si="43"/>
        <v>-77.75</v>
      </c>
      <c r="Q96" s="14">
        <f t="shared" si="43"/>
        <v>-78.642857142857139</v>
      </c>
      <c r="R96" s="14">
        <f t="shared" si="43"/>
        <v>-79.535714285714278</v>
      </c>
      <c r="S96" s="14">
        <f t="shared" si="43"/>
        <v>-80.392857142857139</v>
      </c>
      <c r="T96" s="14">
        <f t="shared" si="43"/>
        <v>-83.857142857142847</v>
      </c>
      <c r="U96" s="14">
        <f t="shared" si="43"/>
        <v>-87.178571428571416</v>
      </c>
      <c r="V96" s="14">
        <f t="shared" si="43"/>
        <v>-90.392857142857139</v>
      </c>
      <c r="W96" s="14">
        <f t="shared" si="43"/>
        <v>-91.178571428571431</v>
      </c>
      <c r="X96" s="14">
        <f t="shared" si="43"/>
        <v>-91.964285714285708</v>
      </c>
      <c r="Y96" s="14">
        <f t="shared" si="43"/>
        <v>-92.714285714285708</v>
      </c>
      <c r="Z96" s="14">
        <f t="shared" si="43"/>
        <v>-93.499999999999986</v>
      </c>
      <c r="AA96" s="14">
        <f t="shared" si="43"/>
        <v>-94.25</v>
      </c>
      <c r="AB96" s="14">
        <f t="shared" si="43"/>
        <v>-95</v>
      </c>
      <c r="AC96" s="14">
        <f t="shared" si="43"/>
        <v>-95.749999999999986</v>
      </c>
      <c r="AD96" s="14">
        <f t="shared" si="43"/>
        <v>-96.499999999999986</v>
      </c>
      <c r="AE96" s="14">
        <f t="shared" si="43"/>
        <v>-99.392857142857125</v>
      </c>
      <c r="AF96" s="14">
        <f t="shared" si="43"/>
        <v>-102.21428571428571</v>
      </c>
      <c r="AG96" s="14">
        <f t="shared" si="43"/>
        <v>0</v>
      </c>
      <c r="AH96" s="14">
        <f t="shared" si="43"/>
        <v>0</v>
      </c>
      <c r="AI96" s="14">
        <f t="shared" si="43"/>
        <v>0</v>
      </c>
      <c r="AJ96" s="14">
        <f t="shared" si="43"/>
        <v>0</v>
      </c>
      <c r="AK96" s="14">
        <f t="shared" si="43"/>
        <v>0</v>
      </c>
      <c r="AL96" s="14">
        <f t="shared" si="43"/>
        <v>0</v>
      </c>
    </row>
    <row r="97" spans="1:54" ht="21" hidden="1" customHeight="1" outlineLevel="1" thickBot="1" x14ac:dyDescent="0.4">
      <c r="A97" s="5">
        <f t="shared" ref="A97:D109" si="44">A63</f>
        <v>0</v>
      </c>
      <c r="B97" s="5">
        <f t="shared" si="44"/>
        <v>0</v>
      </c>
      <c r="C97" s="5">
        <f t="shared" si="44"/>
        <v>0</v>
      </c>
      <c r="D97" s="5">
        <f t="shared" si="44"/>
        <v>0</v>
      </c>
      <c r="E97" s="6">
        <f t="shared" si="23"/>
        <v>0</v>
      </c>
      <c r="F97" s="14">
        <f t="shared" ref="F97:AL97" si="45">F21*$C$78</f>
        <v>0</v>
      </c>
      <c r="G97" s="14">
        <f t="shared" si="45"/>
        <v>0</v>
      </c>
      <c r="H97" s="14">
        <f t="shared" si="45"/>
        <v>0</v>
      </c>
      <c r="I97" s="14">
        <f t="shared" si="45"/>
        <v>0</v>
      </c>
      <c r="J97" s="14">
        <f t="shared" si="45"/>
        <v>0</v>
      </c>
      <c r="K97" s="14">
        <f t="shared" si="45"/>
        <v>0</v>
      </c>
      <c r="L97" s="14">
        <f t="shared" si="45"/>
        <v>0</v>
      </c>
      <c r="M97" s="14">
        <f t="shared" si="45"/>
        <v>0</v>
      </c>
      <c r="N97" s="14">
        <f t="shared" si="45"/>
        <v>0</v>
      </c>
      <c r="O97" s="14">
        <f t="shared" si="45"/>
        <v>0</v>
      </c>
      <c r="P97" s="14">
        <f t="shared" si="45"/>
        <v>0</v>
      </c>
      <c r="Q97" s="14">
        <f t="shared" si="45"/>
        <v>0</v>
      </c>
      <c r="R97" s="14">
        <f t="shared" si="45"/>
        <v>0</v>
      </c>
      <c r="S97" s="14">
        <f t="shared" si="45"/>
        <v>0</v>
      </c>
      <c r="T97" s="14">
        <f t="shared" si="45"/>
        <v>0</v>
      </c>
      <c r="U97" s="14">
        <f t="shared" si="45"/>
        <v>0</v>
      </c>
      <c r="V97" s="14">
        <f t="shared" si="45"/>
        <v>0</v>
      </c>
      <c r="W97" s="14">
        <f t="shared" si="45"/>
        <v>0</v>
      </c>
      <c r="X97" s="14">
        <f t="shared" si="45"/>
        <v>0</v>
      </c>
      <c r="Y97" s="14">
        <f t="shared" si="45"/>
        <v>0</v>
      </c>
      <c r="Z97" s="14">
        <f t="shared" si="45"/>
        <v>0</v>
      </c>
      <c r="AA97" s="14">
        <f t="shared" si="45"/>
        <v>0</v>
      </c>
      <c r="AB97" s="14">
        <f t="shared" si="45"/>
        <v>0</v>
      </c>
      <c r="AC97" s="14">
        <f t="shared" si="45"/>
        <v>0</v>
      </c>
      <c r="AD97" s="14">
        <f t="shared" si="45"/>
        <v>0</v>
      </c>
      <c r="AE97" s="14">
        <f t="shared" si="45"/>
        <v>0</v>
      </c>
      <c r="AF97" s="14">
        <f t="shared" si="45"/>
        <v>0</v>
      </c>
      <c r="AG97" s="14">
        <f t="shared" si="45"/>
        <v>0</v>
      </c>
      <c r="AH97" s="14">
        <f t="shared" si="45"/>
        <v>0</v>
      </c>
      <c r="AI97" s="14">
        <f t="shared" si="45"/>
        <v>0</v>
      </c>
      <c r="AJ97" s="14">
        <f t="shared" si="45"/>
        <v>0</v>
      </c>
      <c r="AK97" s="14">
        <f t="shared" si="45"/>
        <v>0</v>
      </c>
      <c r="AL97" s="14">
        <f t="shared" si="45"/>
        <v>0</v>
      </c>
    </row>
    <row r="98" spans="1:54" ht="21" hidden="1" customHeight="1" outlineLevel="1" thickBot="1" x14ac:dyDescent="0.4">
      <c r="A98" s="5">
        <f t="shared" si="44"/>
        <v>0</v>
      </c>
      <c r="B98" s="5">
        <f t="shared" si="44"/>
        <v>0</v>
      </c>
      <c r="C98" s="5">
        <f t="shared" si="44"/>
        <v>0</v>
      </c>
      <c r="D98" s="5">
        <f t="shared" si="44"/>
        <v>0</v>
      </c>
      <c r="E98" s="6">
        <f t="shared" si="23"/>
        <v>0</v>
      </c>
      <c r="F98" s="14">
        <f t="shared" ref="F98:AL98" si="46">F22*$C$78</f>
        <v>0</v>
      </c>
      <c r="G98" s="14">
        <f t="shared" si="46"/>
        <v>0</v>
      </c>
      <c r="H98" s="14">
        <f t="shared" si="46"/>
        <v>0</v>
      </c>
      <c r="I98" s="14">
        <f t="shared" si="46"/>
        <v>0</v>
      </c>
      <c r="J98" s="14">
        <f t="shared" si="46"/>
        <v>0</v>
      </c>
      <c r="K98" s="14">
        <f t="shared" si="46"/>
        <v>0</v>
      </c>
      <c r="L98" s="14">
        <f t="shared" si="46"/>
        <v>0</v>
      </c>
      <c r="M98" s="14">
        <f t="shared" si="46"/>
        <v>0</v>
      </c>
      <c r="N98" s="14">
        <f t="shared" si="46"/>
        <v>0</v>
      </c>
      <c r="O98" s="14">
        <f t="shared" si="46"/>
        <v>0</v>
      </c>
      <c r="P98" s="14">
        <f t="shared" si="46"/>
        <v>0</v>
      </c>
      <c r="Q98" s="14">
        <f t="shared" si="46"/>
        <v>0</v>
      </c>
      <c r="R98" s="14">
        <f t="shared" si="46"/>
        <v>0</v>
      </c>
      <c r="S98" s="14">
        <f t="shared" si="46"/>
        <v>0</v>
      </c>
      <c r="T98" s="14">
        <f t="shared" si="46"/>
        <v>0</v>
      </c>
      <c r="U98" s="14">
        <f t="shared" si="46"/>
        <v>0</v>
      </c>
      <c r="V98" s="14">
        <f t="shared" si="46"/>
        <v>0</v>
      </c>
      <c r="W98" s="14">
        <f t="shared" si="46"/>
        <v>0</v>
      </c>
      <c r="X98" s="14">
        <f t="shared" si="46"/>
        <v>0</v>
      </c>
      <c r="Y98" s="14">
        <f t="shared" si="46"/>
        <v>0</v>
      </c>
      <c r="Z98" s="14">
        <f t="shared" si="46"/>
        <v>0</v>
      </c>
      <c r="AA98" s="14">
        <f t="shared" si="46"/>
        <v>0</v>
      </c>
      <c r="AB98" s="14">
        <f t="shared" si="46"/>
        <v>0</v>
      </c>
      <c r="AC98" s="14">
        <f t="shared" si="46"/>
        <v>0</v>
      </c>
      <c r="AD98" s="14">
        <f t="shared" si="46"/>
        <v>0</v>
      </c>
      <c r="AE98" s="14">
        <f t="shared" si="46"/>
        <v>0</v>
      </c>
      <c r="AF98" s="14">
        <f t="shared" si="46"/>
        <v>0</v>
      </c>
      <c r="AG98" s="14">
        <f t="shared" si="46"/>
        <v>0</v>
      </c>
      <c r="AH98" s="14">
        <f t="shared" si="46"/>
        <v>0</v>
      </c>
      <c r="AI98" s="14">
        <f t="shared" si="46"/>
        <v>0</v>
      </c>
      <c r="AJ98" s="14">
        <f t="shared" si="46"/>
        <v>0</v>
      </c>
      <c r="AK98" s="14">
        <f t="shared" si="46"/>
        <v>0</v>
      </c>
      <c r="AL98" s="14">
        <f t="shared" si="46"/>
        <v>0</v>
      </c>
    </row>
    <row r="99" spans="1:54" ht="21" hidden="1" customHeight="1" outlineLevel="1" thickBot="1" x14ac:dyDescent="0.4">
      <c r="A99" s="5">
        <f t="shared" si="44"/>
        <v>0</v>
      </c>
      <c r="B99" s="5">
        <f t="shared" si="44"/>
        <v>0</v>
      </c>
      <c r="C99" s="5">
        <f t="shared" si="44"/>
        <v>0</v>
      </c>
      <c r="D99" s="5">
        <f t="shared" si="44"/>
        <v>0</v>
      </c>
      <c r="E99" s="6">
        <f t="shared" si="23"/>
        <v>0</v>
      </c>
      <c r="F99" s="14">
        <f t="shared" ref="F99:AL99" si="47">F23*$C$78</f>
        <v>0</v>
      </c>
      <c r="G99" s="14">
        <f t="shared" si="47"/>
        <v>0</v>
      </c>
      <c r="H99" s="14">
        <f t="shared" si="47"/>
        <v>0</v>
      </c>
      <c r="I99" s="14">
        <f t="shared" si="47"/>
        <v>0</v>
      </c>
      <c r="J99" s="14">
        <f t="shared" si="47"/>
        <v>0</v>
      </c>
      <c r="K99" s="14">
        <f t="shared" si="47"/>
        <v>0</v>
      </c>
      <c r="L99" s="14">
        <f t="shared" si="47"/>
        <v>0</v>
      </c>
      <c r="M99" s="14">
        <f t="shared" si="47"/>
        <v>0</v>
      </c>
      <c r="N99" s="14">
        <f t="shared" si="47"/>
        <v>0</v>
      </c>
      <c r="O99" s="14">
        <f t="shared" si="47"/>
        <v>0</v>
      </c>
      <c r="P99" s="14">
        <f t="shared" si="47"/>
        <v>0</v>
      </c>
      <c r="Q99" s="14">
        <f t="shared" si="47"/>
        <v>0</v>
      </c>
      <c r="R99" s="14">
        <f t="shared" si="47"/>
        <v>0</v>
      </c>
      <c r="S99" s="14">
        <f t="shared" si="47"/>
        <v>0</v>
      </c>
      <c r="T99" s="14">
        <f t="shared" si="47"/>
        <v>0</v>
      </c>
      <c r="U99" s="14">
        <f t="shared" si="47"/>
        <v>0</v>
      </c>
      <c r="V99" s="14">
        <f t="shared" si="47"/>
        <v>0</v>
      </c>
      <c r="W99" s="14">
        <f t="shared" si="47"/>
        <v>0</v>
      </c>
      <c r="X99" s="14">
        <f t="shared" si="47"/>
        <v>0</v>
      </c>
      <c r="Y99" s="14">
        <f t="shared" si="47"/>
        <v>0</v>
      </c>
      <c r="Z99" s="14">
        <f t="shared" si="47"/>
        <v>0</v>
      </c>
      <c r="AA99" s="14">
        <f t="shared" si="47"/>
        <v>0</v>
      </c>
      <c r="AB99" s="14">
        <f t="shared" si="47"/>
        <v>0</v>
      </c>
      <c r="AC99" s="14">
        <f t="shared" si="47"/>
        <v>0</v>
      </c>
      <c r="AD99" s="14">
        <f t="shared" si="47"/>
        <v>0</v>
      </c>
      <c r="AE99" s="14">
        <f t="shared" si="47"/>
        <v>0</v>
      </c>
      <c r="AF99" s="14">
        <f t="shared" si="47"/>
        <v>0</v>
      </c>
      <c r="AG99" s="14">
        <f t="shared" si="47"/>
        <v>0</v>
      </c>
      <c r="AH99" s="14">
        <f t="shared" si="47"/>
        <v>0</v>
      </c>
      <c r="AI99" s="14">
        <f t="shared" si="47"/>
        <v>0</v>
      </c>
      <c r="AJ99" s="14">
        <f t="shared" si="47"/>
        <v>0</v>
      </c>
      <c r="AK99" s="14">
        <f t="shared" si="47"/>
        <v>0</v>
      </c>
      <c r="AL99" s="14">
        <f t="shared" si="47"/>
        <v>0</v>
      </c>
    </row>
    <row r="100" spans="1:54" ht="21" hidden="1" customHeight="1" outlineLevel="1" thickBot="1" x14ac:dyDescent="0.4">
      <c r="A100" s="5">
        <f t="shared" si="44"/>
        <v>0</v>
      </c>
      <c r="B100" s="5">
        <f t="shared" si="44"/>
        <v>0</v>
      </c>
      <c r="C100" s="5">
        <f t="shared" si="44"/>
        <v>0</v>
      </c>
      <c r="D100" s="5">
        <f t="shared" si="44"/>
        <v>0</v>
      </c>
      <c r="E100" s="6">
        <f t="shared" si="23"/>
        <v>0</v>
      </c>
      <c r="F100" s="14">
        <f t="shared" ref="F100:AL100" si="48">F24*$C$78</f>
        <v>0</v>
      </c>
      <c r="G100" s="14">
        <f t="shared" si="48"/>
        <v>0</v>
      </c>
      <c r="H100" s="14">
        <f t="shared" si="48"/>
        <v>0</v>
      </c>
      <c r="I100" s="14">
        <f t="shared" si="48"/>
        <v>0</v>
      </c>
      <c r="J100" s="14">
        <f t="shared" si="48"/>
        <v>0</v>
      </c>
      <c r="K100" s="14">
        <f t="shared" si="48"/>
        <v>0</v>
      </c>
      <c r="L100" s="14">
        <f t="shared" si="48"/>
        <v>0</v>
      </c>
      <c r="M100" s="14">
        <f t="shared" si="48"/>
        <v>0</v>
      </c>
      <c r="N100" s="14">
        <f t="shared" si="48"/>
        <v>0</v>
      </c>
      <c r="O100" s="14">
        <f t="shared" si="48"/>
        <v>0</v>
      </c>
      <c r="P100" s="14">
        <f t="shared" si="48"/>
        <v>0</v>
      </c>
      <c r="Q100" s="14">
        <f t="shared" si="48"/>
        <v>0</v>
      </c>
      <c r="R100" s="14">
        <f t="shared" si="48"/>
        <v>0</v>
      </c>
      <c r="S100" s="14">
        <f t="shared" si="48"/>
        <v>0</v>
      </c>
      <c r="T100" s="14">
        <f t="shared" si="48"/>
        <v>0</v>
      </c>
      <c r="U100" s="14">
        <f t="shared" si="48"/>
        <v>0</v>
      </c>
      <c r="V100" s="14">
        <f t="shared" si="48"/>
        <v>0</v>
      </c>
      <c r="W100" s="14">
        <f t="shared" si="48"/>
        <v>0</v>
      </c>
      <c r="X100" s="14">
        <f t="shared" si="48"/>
        <v>0</v>
      </c>
      <c r="Y100" s="14">
        <f t="shared" si="48"/>
        <v>0</v>
      </c>
      <c r="Z100" s="14">
        <f t="shared" si="48"/>
        <v>0</v>
      </c>
      <c r="AA100" s="14">
        <f t="shared" si="48"/>
        <v>0</v>
      </c>
      <c r="AB100" s="14">
        <f t="shared" si="48"/>
        <v>0</v>
      </c>
      <c r="AC100" s="14">
        <f t="shared" si="48"/>
        <v>0</v>
      </c>
      <c r="AD100" s="14">
        <f t="shared" si="48"/>
        <v>0</v>
      </c>
      <c r="AE100" s="14">
        <f t="shared" si="48"/>
        <v>0</v>
      </c>
      <c r="AF100" s="14">
        <f t="shared" si="48"/>
        <v>0</v>
      </c>
      <c r="AG100" s="14">
        <f t="shared" si="48"/>
        <v>0</v>
      </c>
      <c r="AH100" s="14">
        <f t="shared" si="48"/>
        <v>0</v>
      </c>
      <c r="AI100" s="14">
        <f t="shared" si="48"/>
        <v>0</v>
      </c>
      <c r="AJ100" s="14">
        <f t="shared" si="48"/>
        <v>0</v>
      </c>
      <c r="AK100" s="14">
        <f t="shared" si="48"/>
        <v>0</v>
      </c>
      <c r="AL100" s="14">
        <f t="shared" si="48"/>
        <v>0</v>
      </c>
    </row>
    <row r="101" spans="1:54" ht="21" hidden="1" customHeight="1" outlineLevel="1" thickBot="1" x14ac:dyDescent="0.4">
      <c r="A101" s="5">
        <f t="shared" si="44"/>
        <v>0</v>
      </c>
      <c r="B101" s="5">
        <f t="shared" si="44"/>
        <v>0</v>
      </c>
      <c r="C101" s="5">
        <f t="shared" si="44"/>
        <v>0</v>
      </c>
      <c r="D101" s="5">
        <f t="shared" si="44"/>
        <v>0</v>
      </c>
      <c r="E101" s="6">
        <f t="shared" si="23"/>
        <v>0</v>
      </c>
      <c r="F101" s="14">
        <f t="shared" ref="F101:AL101" si="49">F25*$C$78</f>
        <v>0</v>
      </c>
      <c r="G101" s="14">
        <f t="shared" si="49"/>
        <v>0</v>
      </c>
      <c r="H101" s="14">
        <f t="shared" si="49"/>
        <v>0</v>
      </c>
      <c r="I101" s="14">
        <f t="shared" si="49"/>
        <v>0</v>
      </c>
      <c r="J101" s="14">
        <f t="shared" si="49"/>
        <v>0</v>
      </c>
      <c r="K101" s="14">
        <f t="shared" si="49"/>
        <v>0</v>
      </c>
      <c r="L101" s="14">
        <f t="shared" si="49"/>
        <v>0</v>
      </c>
      <c r="M101" s="14">
        <f t="shared" si="49"/>
        <v>0</v>
      </c>
      <c r="N101" s="14">
        <f t="shared" si="49"/>
        <v>0</v>
      </c>
      <c r="O101" s="14">
        <f t="shared" si="49"/>
        <v>0</v>
      </c>
      <c r="P101" s="14">
        <f t="shared" si="49"/>
        <v>0</v>
      </c>
      <c r="Q101" s="14">
        <f t="shared" si="49"/>
        <v>0</v>
      </c>
      <c r="R101" s="14">
        <f t="shared" si="49"/>
        <v>0</v>
      </c>
      <c r="S101" s="14">
        <f t="shared" si="49"/>
        <v>0</v>
      </c>
      <c r="T101" s="14">
        <f t="shared" si="49"/>
        <v>0</v>
      </c>
      <c r="U101" s="14">
        <f t="shared" si="49"/>
        <v>0</v>
      </c>
      <c r="V101" s="14">
        <f t="shared" si="49"/>
        <v>0</v>
      </c>
      <c r="W101" s="14">
        <f t="shared" si="49"/>
        <v>0</v>
      </c>
      <c r="X101" s="14">
        <f t="shared" si="49"/>
        <v>0</v>
      </c>
      <c r="Y101" s="14">
        <f t="shared" si="49"/>
        <v>0</v>
      </c>
      <c r="Z101" s="14">
        <f t="shared" si="49"/>
        <v>0</v>
      </c>
      <c r="AA101" s="14">
        <f t="shared" si="49"/>
        <v>0</v>
      </c>
      <c r="AB101" s="14">
        <f t="shared" si="49"/>
        <v>0</v>
      </c>
      <c r="AC101" s="14">
        <f t="shared" si="49"/>
        <v>0</v>
      </c>
      <c r="AD101" s="14">
        <f t="shared" si="49"/>
        <v>0</v>
      </c>
      <c r="AE101" s="14">
        <f t="shared" si="49"/>
        <v>0</v>
      </c>
      <c r="AF101" s="14">
        <f t="shared" si="49"/>
        <v>0</v>
      </c>
      <c r="AG101" s="14">
        <f t="shared" si="49"/>
        <v>0</v>
      </c>
      <c r="AH101" s="14">
        <f t="shared" si="49"/>
        <v>0</v>
      </c>
      <c r="AI101" s="14">
        <f t="shared" si="49"/>
        <v>0</v>
      </c>
      <c r="AJ101" s="14">
        <f t="shared" si="49"/>
        <v>0</v>
      </c>
      <c r="AK101" s="14">
        <f t="shared" si="49"/>
        <v>0</v>
      </c>
      <c r="AL101" s="14">
        <f t="shared" si="49"/>
        <v>0</v>
      </c>
    </row>
    <row r="102" spans="1:54" ht="21" hidden="1" customHeight="1" outlineLevel="1" thickBot="1" x14ac:dyDescent="0.4">
      <c r="A102" s="5">
        <f t="shared" si="44"/>
        <v>0</v>
      </c>
      <c r="B102" s="5">
        <f t="shared" si="44"/>
        <v>0</v>
      </c>
      <c r="C102" s="5">
        <f t="shared" si="44"/>
        <v>0</v>
      </c>
      <c r="D102" s="5">
        <f t="shared" si="44"/>
        <v>0</v>
      </c>
      <c r="E102" s="6">
        <f t="shared" si="23"/>
        <v>0</v>
      </c>
      <c r="F102" s="14">
        <f t="shared" ref="F102:AL102" si="50">F26*$C$78</f>
        <v>0</v>
      </c>
      <c r="G102" s="14">
        <f t="shared" si="50"/>
        <v>0</v>
      </c>
      <c r="H102" s="14">
        <f t="shared" si="50"/>
        <v>0</v>
      </c>
      <c r="I102" s="14">
        <f t="shared" si="50"/>
        <v>0</v>
      </c>
      <c r="J102" s="14">
        <f t="shared" si="50"/>
        <v>0</v>
      </c>
      <c r="K102" s="14">
        <f t="shared" si="50"/>
        <v>0</v>
      </c>
      <c r="L102" s="14">
        <f t="shared" si="50"/>
        <v>0</v>
      </c>
      <c r="M102" s="14">
        <f t="shared" si="50"/>
        <v>0</v>
      </c>
      <c r="N102" s="14">
        <f t="shared" si="50"/>
        <v>0</v>
      </c>
      <c r="O102" s="14">
        <f t="shared" si="50"/>
        <v>0</v>
      </c>
      <c r="P102" s="14">
        <f t="shared" si="50"/>
        <v>0</v>
      </c>
      <c r="Q102" s="14">
        <f t="shared" si="50"/>
        <v>0</v>
      </c>
      <c r="R102" s="14">
        <f t="shared" si="50"/>
        <v>0</v>
      </c>
      <c r="S102" s="14">
        <f t="shared" si="50"/>
        <v>0</v>
      </c>
      <c r="T102" s="14">
        <f t="shared" si="50"/>
        <v>0</v>
      </c>
      <c r="U102" s="14">
        <f t="shared" si="50"/>
        <v>0</v>
      </c>
      <c r="V102" s="14">
        <f t="shared" si="50"/>
        <v>0</v>
      </c>
      <c r="W102" s="14">
        <f t="shared" si="50"/>
        <v>0</v>
      </c>
      <c r="X102" s="14">
        <f t="shared" si="50"/>
        <v>0</v>
      </c>
      <c r="Y102" s="14">
        <f t="shared" si="50"/>
        <v>0</v>
      </c>
      <c r="Z102" s="14">
        <f t="shared" si="50"/>
        <v>0</v>
      </c>
      <c r="AA102" s="14">
        <f t="shared" si="50"/>
        <v>0</v>
      </c>
      <c r="AB102" s="14">
        <f t="shared" si="50"/>
        <v>0</v>
      </c>
      <c r="AC102" s="14">
        <f t="shared" si="50"/>
        <v>0</v>
      </c>
      <c r="AD102" s="14">
        <f t="shared" si="50"/>
        <v>0</v>
      </c>
      <c r="AE102" s="14">
        <f t="shared" si="50"/>
        <v>0</v>
      </c>
      <c r="AF102" s="14">
        <f t="shared" si="50"/>
        <v>0</v>
      </c>
      <c r="AG102" s="14">
        <f t="shared" si="50"/>
        <v>0</v>
      </c>
      <c r="AH102" s="14">
        <f t="shared" si="50"/>
        <v>0</v>
      </c>
      <c r="AI102" s="14">
        <f t="shared" si="50"/>
        <v>0</v>
      </c>
      <c r="AJ102" s="14">
        <f t="shared" si="50"/>
        <v>0</v>
      </c>
      <c r="AK102" s="14">
        <f t="shared" si="50"/>
        <v>0</v>
      </c>
      <c r="AL102" s="14">
        <f t="shared" si="50"/>
        <v>0</v>
      </c>
    </row>
    <row r="103" spans="1:54" ht="21" hidden="1" customHeight="1" outlineLevel="1" thickBot="1" x14ac:dyDescent="0.4">
      <c r="A103" s="5">
        <f t="shared" si="44"/>
        <v>0</v>
      </c>
      <c r="B103" s="5">
        <f t="shared" si="44"/>
        <v>0</v>
      </c>
      <c r="C103" s="5">
        <f t="shared" si="44"/>
        <v>0</v>
      </c>
      <c r="D103" s="5">
        <f t="shared" si="44"/>
        <v>0</v>
      </c>
      <c r="E103" s="6">
        <f t="shared" si="23"/>
        <v>0</v>
      </c>
      <c r="F103" s="14">
        <f t="shared" ref="F103:AL103" si="51">F27*$C$78</f>
        <v>0</v>
      </c>
      <c r="G103" s="14">
        <f t="shared" si="51"/>
        <v>0</v>
      </c>
      <c r="H103" s="14">
        <f t="shared" si="51"/>
        <v>0</v>
      </c>
      <c r="I103" s="14">
        <f t="shared" si="51"/>
        <v>0</v>
      </c>
      <c r="J103" s="14">
        <f t="shared" si="51"/>
        <v>0</v>
      </c>
      <c r="K103" s="14">
        <f t="shared" si="51"/>
        <v>0</v>
      </c>
      <c r="L103" s="14">
        <f t="shared" si="51"/>
        <v>0</v>
      </c>
      <c r="M103" s="14">
        <f t="shared" si="51"/>
        <v>0</v>
      </c>
      <c r="N103" s="14">
        <f t="shared" si="51"/>
        <v>0</v>
      </c>
      <c r="O103" s="14">
        <f t="shared" si="51"/>
        <v>0</v>
      </c>
      <c r="P103" s="14">
        <f t="shared" si="51"/>
        <v>0</v>
      </c>
      <c r="Q103" s="14">
        <f t="shared" si="51"/>
        <v>0</v>
      </c>
      <c r="R103" s="14">
        <f t="shared" si="51"/>
        <v>0</v>
      </c>
      <c r="S103" s="14">
        <f t="shared" si="51"/>
        <v>0</v>
      </c>
      <c r="T103" s="14">
        <f t="shared" si="51"/>
        <v>0</v>
      </c>
      <c r="U103" s="14">
        <f t="shared" si="51"/>
        <v>0</v>
      </c>
      <c r="V103" s="14">
        <f t="shared" si="51"/>
        <v>0</v>
      </c>
      <c r="W103" s="14">
        <f t="shared" si="51"/>
        <v>0</v>
      </c>
      <c r="X103" s="14">
        <f t="shared" si="51"/>
        <v>0</v>
      </c>
      <c r="Y103" s="14">
        <f t="shared" si="51"/>
        <v>0</v>
      </c>
      <c r="Z103" s="14">
        <f t="shared" si="51"/>
        <v>0</v>
      </c>
      <c r="AA103" s="14">
        <f t="shared" si="51"/>
        <v>0</v>
      </c>
      <c r="AB103" s="14">
        <f t="shared" si="51"/>
        <v>0</v>
      </c>
      <c r="AC103" s="14">
        <f t="shared" si="51"/>
        <v>0</v>
      </c>
      <c r="AD103" s="14">
        <f t="shared" si="51"/>
        <v>0</v>
      </c>
      <c r="AE103" s="14">
        <f t="shared" si="51"/>
        <v>0</v>
      </c>
      <c r="AF103" s="14">
        <f t="shared" si="51"/>
        <v>0</v>
      </c>
      <c r="AG103" s="14">
        <f t="shared" si="51"/>
        <v>0</v>
      </c>
      <c r="AH103" s="14">
        <f t="shared" si="51"/>
        <v>0</v>
      </c>
      <c r="AI103" s="14">
        <f t="shared" si="51"/>
        <v>0</v>
      </c>
      <c r="AJ103" s="14">
        <f t="shared" si="51"/>
        <v>0</v>
      </c>
      <c r="AK103" s="14">
        <f t="shared" si="51"/>
        <v>0</v>
      </c>
      <c r="AL103" s="14">
        <f t="shared" si="51"/>
        <v>0</v>
      </c>
    </row>
    <row r="104" spans="1:54" ht="21" hidden="1" customHeight="1" outlineLevel="1" thickBot="1" x14ac:dyDescent="0.4">
      <c r="A104" s="5">
        <f t="shared" si="44"/>
        <v>0</v>
      </c>
      <c r="B104" s="5">
        <f t="shared" si="44"/>
        <v>0</v>
      </c>
      <c r="C104" s="5">
        <f t="shared" si="44"/>
        <v>0</v>
      </c>
      <c r="D104" s="5">
        <f t="shared" si="44"/>
        <v>0</v>
      </c>
      <c r="E104" s="6">
        <f t="shared" si="23"/>
        <v>0</v>
      </c>
      <c r="F104" s="14">
        <f t="shared" ref="F104:AL104" si="52">F28*$C$78</f>
        <v>0</v>
      </c>
      <c r="G104" s="14">
        <f t="shared" si="52"/>
        <v>0</v>
      </c>
      <c r="H104" s="14">
        <f t="shared" si="52"/>
        <v>0</v>
      </c>
      <c r="I104" s="14">
        <f t="shared" si="52"/>
        <v>0</v>
      </c>
      <c r="J104" s="14">
        <f t="shared" si="52"/>
        <v>0</v>
      </c>
      <c r="K104" s="14">
        <f t="shared" si="52"/>
        <v>0</v>
      </c>
      <c r="L104" s="14">
        <f t="shared" si="52"/>
        <v>0</v>
      </c>
      <c r="M104" s="14">
        <f t="shared" si="52"/>
        <v>0</v>
      </c>
      <c r="N104" s="14">
        <f t="shared" si="52"/>
        <v>0</v>
      </c>
      <c r="O104" s="14">
        <f t="shared" si="52"/>
        <v>0</v>
      </c>
      <c r="P104" s="14">
        <f t="shared" si="52"/>
        <v>0</v>
      </c>
      <c r="Q104" s="14">
        <f t="shared" si="52"/>
        <v>0</v>
      </c>
      <c r="R104" s="14">
        <f t="shared" si="52"/>
        <v>0</v>
      </c>
      <c r="S104" s="14">
        <f t="shared" si="52"/>
        <v>0</v>
      </c>
      <c r="T104" s="14">
        <f t="shared" si="52"/>
        <v>0</v>
      </c>
      <c r="U104" s="14">
        <f t="shared" si="52"/>
        <v>0</v>
      </c>
      <c r="V104" s="14">
        <f t="shared" si="52"/>
        <v>0</v>
      </c>
      <c r="W104" s="14">
        <f t="shared" si="52"/>
        <v>0</v>
      </c>
      <c r="X104" s="14">
        <f t="shared" si="52"/>
        <v>0</v>
      </c>
      <c r="Y104" s="14">
        <f t="shared" si="52"/>
        <v>0</v>
      </c>
      <c r="Z104" s="14">
        <f t="shared" si="52"/>
        <v>0</v>
      </c>
      <c r="AA104" s="14">
        <f t="shared" si="52"/>
        <v>0</v>
      </c>
      <c r="AB104" s="14">
        <f t="shared" si="52"/>
        <v>0</v>
      </c>
      <c r="AC104" s="14">
        <f t="shared" si="52"/>
        <v>0</v>
      </c>
      <c r="AD104" s="14">
        <f t="shared" si="52"/>
        <v>0</v>
      </c>
      <c r="AE104" s="14">
        <f t="shared" si="52"/>
        <v>0</v>
      </c>
      <c r="AF104" s="14">
        <f t="shared" si="52"/>
        <v>0</v>
      </c>
      <c r="AG104" s="14">
        <f t="shared" si="52"/>
        <v>0</v>
      </c>
      <c r="AH104" s="14">
        <f t="shared" si="52"/>
        <v>0</v>
      </c>
      <c r="AI104" s="14">
        <f t="shared" si="52"/>
        <v>0</v>
      </c>
      <c r="AJ104" s="14">
        <f t="shared" si="52"/>
        <v>0</v>
      </c>
      <c r="AK104" s="14">
        <f t="shared" si="52"/>
        <v>0</v>
      </c>
      <c r="AL104" s="14">
        <f t="shared" si="52"/>
        <v>0</v>
      </c>
    </row>
    <row r="105" spans="1:54" ht="21" hidden="1" customHeight="1" outlineLevel="1" thickBot="1" x14ac:dyDescent="0.4">
      <c r="A105" s="5">
        <f t="shared" si="44"/>
        <v>0</v>
      </c>
      <c r="B105" s="5">
        <f t="shared" si="44"/>
        <v>0</v>
      </c>
      <c r="C105" s="5">
        <f t="shared" si="44"/>
        <v>0</v>
      </c>
      <c r="D105" s="5">
        <f t="shared" si="44"/>
        <v>0</v>
      </c>
      <c r="E105" s="6">
        <f t="shared" si="23"/>
        <v>0</v>
      </c>
      <c r="F105" s="14">
        <f t="shared" ref="F105:AL105" si="53">F29*$C$78</f>
        <v>0</v>
      </c>
      <c r="G105" s="14">
        <f t="shared" si="53"/>
        <v>0</v>
      </c>
      <c r="H105" s="14">
        <f t="shared" si="53"/>
        <v>0</v>
      </c>
      <c r="I105" s="14">
        <f t="shared" si="53"/>
        <v>0</v>
      </c>
      <c r="J105" s="14">
        <f t="shared" si="53"/>
        <v>0</v>
      </c>
      <c r="K105" s="14">
        <f t="shared" si="53"/>
        <v>0</v>
      </c>
      <c r="L105" s="14">
        <f t="shared" si="53"/>
        <v>0</v>
      </c>
      <c r="M105" s="14">
        <f t="shared" si="53"/>
        <v>0</v>
      </c>
      <c r="N105" s="14">
        <f t="shared" si="53"/>
        <v>0</v>
      </c>
      <c r="O105" s="14">
        <f t="shared" si="53"/>
        <v>0</v>
      </c>
      <c r="P105" s="14">
        <f t="shared" si="53"/>
        <v>0</v>
      </c>
      <c r="Q105" s="14">
        <f t="shared" si="53"/>
        <v>0</v>
      </c>
      <c r="R105" s="14">
        <f t="shared" si="53"/>
        <v>0</v>
      </c>
      <c r="S105" s="14">
        <f t="shared" si="53"/>
        <v>0</v>
      </c>
      <c r="T105" s="14">
        <f t="shared" si="53"/>
        <v>0</v>
      </c>
      <c r="U105" s="14">
        <f t="shared" si="53"/>
        <v>0</v>
      </c>
      <c r="V105" s="14">
        <f t="shared" si="53"/>
        <v>0</v>
      </c>
      <c r="W105" s="14">
        <f t="shared" si="53"/>
        <v>0</v>
      </c>
      <c r="X105" s="14">
        <f t="shared" si="53"/>
        <v>0</v>
      </c>
      <c r="Y105" s="14">
        <f t="shared" si="53"/>
        <v>0</v>
      </c>
      <c r="Z105" s="14">
        <f t="shared" si="53"/>
        <v>0</v>
      </c>
      <c r="AA105" s="14">
        <f t="shared" si="53"/>
        <v>0</v>
      </c>
      <c r="AB105" s="14">
        <f t="shared" si="53"/>
        <v>0</v>
      </c>
      <c r="AC105" s="14">
        <f t="shared" si="53"/>
        <v>0</v>
      </c>
      <c r="AD105" s="14">
        <f t="shared" si="53"/>
        <v>0</v>
      </c>
      <c r="AE105" s="14">
        <f t="shared" si="53"/>
        <v>0</v>
      </c>
      <c r="AF105" s="14">
        <f t="shared" si="53"/>
        <v>0</v>
      </c>
      <c r="AG105" s="14">
        <f t="shared" si="53"/>
        <v>0</v>
      </c>
      <c r="AH105" s="14">
        <f t="shared" si="53"/>
        <v>0</v>
      </c>
      <c r="AI105" s="14">
        <f t="shared" si="53"/>
        <v>0</v>
      </c>
      <c r="AJ105" s="14">
        <f t="shared" si="53"/>
        <v>0</v>
      </c>
      <c r="AK105" s="14">
        <f t="shared" si="53"/>
        <v>0</v>
      </c>
      <c r="AL105" s="14">
        <f t="shared" si="53"/>
        <v>0</v>
      </c>
    </row>
    <row r="106" spans="1:54" ht="21" hidden="1" customHeight="1" outlineLevel="1" thickBot="1" x14ac:dyDescent="0.4">
      <c r="A106" s="5">
        <f t="shared" si="44"/>
        <v>0</v>
      </c>
      <c r="B106" s="5">
        <f t="shared" si="44"/>
        <v>0</v>
      </c>
      <c r="C106" s="5">
        <f t="shared" si="44"/>
        <v>0</v>
      </c>
      <c r="D106" s="5">
        <f t="shared" si="44"/>
        <v>0</v>
      </c>
      <c r="E106" s="6">
        <f t="shared" si="23"/>
        <v>0</v>
      </c>
      <c r="F106" s="14">
        <f t="shared" ref="F106:AL106" si="54">F30*$C$78</f>
        <v>0</v>
      </c>
      <c r="G106" s="14">
        <f t="shared" si="54"/>
        <v>0</v>
      </c>
      <c r="H106" s="14">
        <f t="shared" si="54"/>
        <v>0</v>
      </c>
      <c r="I106" s="14">
        <f t="shared" si="54"/>
        <v>0</v>
      </c>
      <c r="J106" s="14">
        <f t="shared" si="54"/>
        <v>0</v>
      </c>
      <c r="K106" s="14">
        <f t="shared" si="54"/>
        <v>0</v>
      </c>
      <c r="L106" s="14">
        <f t="shared" si="54"/>
        <v>0</v>
      </c>
      <c r="M106" s="14">
        <f t="shared" si="54"/>
        <v>0</v>
      </c>
      <c r="N106" s="14">
        <f t="shared" si="54"/>
        <v>0</v>
      </c>
      <c r="O106" s="14">
        <f t="shared" si="54"/>
        <v>0</v>
      </c>
      <c r="P106" s="14">
        <f t="shared" si="54"/>
        <v>0</v>
      </c>
      <c r="Q106" s="14">
        <f t="shared" si="54"/>
        <v>0</v>
      </c>
      <c r="R106" s="14">
        <f t="shared" si="54"/>
        <v>0</v>
      </c>
      <c r="S106" s="14">
        <f t="shared" si="54"/>
        <v>0</v>
      </c>
      <c r="T106" s="14">
        <f t="shared" si="54"/>
        <v>0</v>
      </c>
      <c r="U106" s="14">
        <f t="shared" si="54"/>
        <v>0</v>
      </c>
      <c r="V106" s="14">
        <f t="shared" si="54"/>
        <v>0</v>
      </c>
      <c r="W106" s="14">
        <f t="shared" si="54"/>
        <v>0</v>
      </c>
      <c r="X106" s="14">
        <f t="shared" si="54"/>
        <v>0</v>
      </c>
      <c r="Y106" s="14">
        <f t="shared" si="54"/>
        <v>0</v>
      </c>
      <c r="Z106" s="14">
        <f t="shared" si="54"/>
        <v>0</v>
      </c>
      <c r="AA106" s="14">
        <f t="shared" si="54"/>
        <v>0</v>
      </c>
      <c r="AB106" s="14">
        <f t="shared" si="54"/>
        <v>0</v>
      </c>
      <c r="AC106" s="14">
        <f t="shared" si="54"/>
        <v>0</v>
      </c>
      <c r="AD106" s="14">
        <f t="shared" si="54"/>
        <v>0</v>
      </c>
      <c r="AE106" s="14">
        <f t="shared" si="54"/>
        <v>0</v>
      </c>
      <c r="AF106" s="14">
        <f t="shared" si="54"/>
        <v>0</v>
      </c>
      <c r="AG106" s="14">
        <f t="shared" si="54"/>
        <v>0</v>
      </c>
      <c r="AH106" s="14">
        <f t="shared" si="54"/>
        <v>0</v>
      </c>
      <c r="AI106" s="14">
        <f t="shared" si="54"/>
        <v>0</v>
      </c>
      <c r="AJ106" s="14">
        <f t="shared" si="54"/>
        <v>0</v>
      </c>
      <c r="AK106" s="14">
        <f t="shared" si="54"/>
        <v>0</v>
      </c>
      <c r="AL106" s="14">
        <f t="shared" si="54"/>
        <v>0</v>
      </c>
    </row>
    <row r="107" spans="1:54" ht="21" hidden="1" customHeight="1" outlineLevel="1" thickBot="1" x14ac:dyDescent="0.4">
      <c r="A107" s="5">
        <f t="shared" si="44"/>
        <v>0</v>
      </c>
      <c r="B107" s="5">
        <f t="shared" si="44"/>
        <v>0</v>
      </c>
      <c r="C107" s="5">
        <f t="shared" si="44"/>
        <v>0</v>
      </c>
      <c r="D107" s="5">
        <f t="shared" si="44"/>
        <v>0</v>
      </c>
      <c r="E107" s="6">
        <f t="shared" si="23"/>
        <v>0</v>
      </c>
      <c r="F107" s="14">
        <f t="shared" ref="F107:AL107" si="55">F31*$C$78</f>
        <v>0</v>
      </c>
      <c r="G107" s="14">
        <f t="shared" si="55"/>
        <v>0</v>
      </c>
      <c r="H107" s="14">
        <f t="shared" si="55"/>
        <v>0</v>
      </c>
      <c r="I107" s="14">
        <f t="shared" si="55"/>
        <v>0</v>
      </c>
      <c r="J107" s="14">
        <f t="shared" si="55"/>
        <v>0</v>
      </c>
      <c r="K107" s="14">
        <f t="shared" si="55"/>
        <v>0</v>
      </c>
      <c r="L107" s="14">
        <f t="shared" si="55"/>
        <v>0</v>
      </c>
      <c r="M107" s="14">
        <f t="shared" si="55"/>
        <v>0</v>
      </c>
      <c r="N107" s="14">
        <f t="shared" si="55"/>
        <v>0</v>
      </c>
      <c r="O107" s="14">
        <f t="shared" si="55"/>
        <v>0</v>
      </c>
      <c r="P107" s="14">
        <f t="shared" si="55"/>
        <v>0</v>
      </c>
      <c r="Q107" s="14">
        <f t="shared" si="55"/>
        <v>0</v>
      </c>
      <c r="R107" s="14">
        <f t="shared" si="55"/>
        <v>0</v>
      </c>
      <c r="S107" s="14">
        <f t="shared" si="55"/>
        <v>0</v>
      </c>
      <c r="T107" s="14">
        <f t="shared" si="55"/>
        <v>0</v>
      </c>
      <c r="U107" s="14">
        <f t="shared" si="55"/>
        <v>0</v>
      </c>
      <c r="V107" s="14">
        <f t="shared" si="55"/>
        <v>0</v>
      </c>
      <c r="W107" s="14">
        <f t="shared" si="55"/>
        <v>0</v>
      </c>
      <c r="X107" s="14">
        <f t="shared" si="55"/>
        <v>0</v>
      </c>
      <c r="Y107" s="14">
        <f t="shared" si="55"/>
        <v>0</v>
      </c>
      <c r="Z107" s="14">
        <f t="shared" si="55"/>
        <v>0</v>
      </c>
      <c r="AA107" s="14">
        <f t="shared" si="55"/>
        <v>0</v>
      </c>
      <c r="AB107" s="14">
        <f t="shared" si="55"/>
        <v>0</v>
      </c>
      <c r="AC107" s="14">
        <f t="shared" si="55"/>
        <v>0</v>
      </c>
      <c r="AD107" s="14">
        <f t="shared" si="55"/>
        <v>0</v>
      </c>
      <c r="AE107" s="14">
        <f t="shared" si="55"/>
        <v>0</v>
      </c>
      <c r="AF107" s="14">
        <f t="shared" si="55"/>
        <v>0</v>
      </c>
      <c r="AG107" s="14">
        <f t="shared" si="55"/>
        <v>0</v>
      </c>
      <c r="AH107" s="14">
        <f t="shared" si="55"/>
        <v>0</v>
      </c>
      <c r="AI107" s="14">
        <f t="shared" si="55"/>
        <v>0</v>
      </c>
      <c r="AJ107" s="14">
        <f t="shared" si="55"/>
        <v>0</v>
      </c>
      <c r="AK107" s="14">
        <f t="shared" si="55"/>
        <v>0</v>
      </c>
      <c r="AL107" s="14">
        <f t="shared" si="55"/>
        <v>0</v>
      </c>
    </row>
    <row r="108" spans="1:54" ht="21" hidden="1" customHeight="1" outlineLevel="1" thickBot="1" x14ac:dyDescent="0.4">
      <c r="A108" s="5">
        <f t="shared" si="44"/>
        <v>0</v>
      </c>
      <c r="B108" s="5">
        <f t="shared" si="44"/>
        <v>0</v>
      </c>
      <c r="C108" s="5">
        <f t="shared" si="44"/>
        <v>0</v>
      </c>
      <c r="D108" s="5">
        <f t="shared" si="44"/>
        <v>0</v>
      </c>
      <c r="E108" s="6">
        <f t="shared" si="23"/>
        <v>0</v>
      </c>
      <c r="F108" s="14">
        <f t="shared" ref="F108:AL108" si="56">F32*$C$78</f>
        <v>0</v>
      </c>
      <c r="G108" s="14">
        <f t="shared" si="56"/>
        <v>0</v>
      </c>
      <c r="H108" s="14">
        <f t="shared" si="56"/>
        <v>0</v>
      </c>
      <c r="I108" s="14">
        <f t="shared" si="56"/>
        <v>0</v>
      </c>
      <c r="J108" s="14">
        <f t="shared" si="56"/>
        <v>0</v>
      </c>
      <c r="K108" s="14">
        <f t="shared" si="56"/>
        <v>0</v>
      </c>
      <c r="L108" s="14">
        <f t="shared" si="56"/>
        <v>0</v>
      </c>
      <c r="M108" s="14">
        <f t="shared" si="56"/>
        <v>0</v>
      </c>
      <c r="N108" s="14">
        <f t="shared" si="56"/>
        <v>0</v>
      </c>
      <c r="O108" s="14">
        <f t="shared" si="56"/>
        <v>0</v>
      </c>
      <c r="P108" s="14">
        <f t="shared" si="56"/>
        <v>0</v>
      </c>
      <c r="Q108" s="14">
        <f t="shared" si="56"/>
        <v>0</v>
      </c>
      <c r="R108" s="14">
        <f t="shared" si="56"/>
        <v>0</v>
      </c>
      <c r="S108" s="14">
        <f t="shared" si="56"/>
        <v>0</v>
      </c>
      <c r="T108" s="14">
        <f t="shared" si="56"/>
        <v>0</v>
      </c>
      <c r="U108" s="14">
        <f t="shared" si="56"/>
        <v>0</v>
      </c>
      <c r="V108" s="14">
        <f t="shared" si="56"/>
        <v>0</v>
      </c>
      <c r="W108" s="14">
        <f t="shared" si="56"/>
        <v>0</v>
      </c>
      <c r="X108" s="14">
        <f t="shared" si="56"/>
        <v>0</v>
      </c>
      <c r="Y108" s="14">
        <f t="shared" si="56"/>
        <v>0</v>
      </c>
      <c r="Z108" s="14">
        <f t="shared" si="56"/>
        <v>0</v>
      </c>
      <c r="AA108" s="14">
        <f t="shared" si="56"/>
        <v>0</v>
      </c>
      <c r="AB108" s="14">
        <f t="shared" si="56"/>
        <v>0</v>
      </c>
      <c r="AC108" s="14">
        <f t="shared" si="56"/>
        <v>0</v>
      </c>
      <c r="AD108" s="14">
        <f t="shared" si="56"/>
        <v>0</v>
      </c>
      <c r="AE108" s="14">
        <f t="shared" si="56"/>
        <v>0</v>
      </c>
      <c r="AF108" s="14">
        <f t="shared" si="56"/>
        <v>0</v>
      </c>
      <c r="AG108" s="14">
        <f t="shared" si="56"/>
        <v>0</v>
      </c>
      <c r="AH108" s="14">
        <f t="shared" si="56"/>
        <v>0</v>
      </c>
      <c r="AI108" s="14">
        <f t="shared" si="56"/>
        <v>0</v>
      </c>
      <c r="AJ108" s="14">
        <f t="shared" si="56"/>
        <v>0</v>
      </c>
      <c r="AK108" s="14">
        <f t="shared" si="56"/>
        <v>0</v>
      </c>
      <c r="AL108" s="14">
        <f t="shared" si="56"/>
        <v>0</v>
      </c>
    </row>
    <row r="109" spans="1:54" ht="21" hidden="1" customHeight="1" outlineLevel="1" thickBot="1" x14ac:dyDescent="0.4">
      <c r="A109" s="5">
        <f t="shared" si="44"/>
        <v>0</v>
      </c>
      <c r="B109" s="5">
        <f t="shared" si="44"/>
        <v>0</v>
      </c>
      <c r="C109" s="5">
        <f t="shared" si="44"/>
        <v>0</v>
      </c>
      <c r="D109" s="5">
        <f t="shared" si="44"/>
        <v>0</v>
      </c>
      <c r="E109" s="6">
        <f t="shared" si="23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54" ht="21" hidden="1" customHeight="1" outlineLevel="1" x14ac:dyDescent="0.35">
      <c r="U110" s="55"/>
      <c r="V110" s="55"/>
      <c r="W110" s="55"/>
    </row>
    <row r="111" spans="1:54" ht="21" customHeight="1" collapsed="1" x14ac:dyDescent="0.35">
      <c r="U111" s="55"/>
      <c r="V111" s="55"/>
      <c r="W111" s="55"/>
    </row>
    <row r="112" spans="1:54" ht="21" customHeight="1" thickBot="1" x14ac:dyDescent="0.45">
      <c r="A112" s="72"/>
      <c r="B112" s="72"/>
      <c r="C112" s="72"/>
      <c r="D112" s="72"/>
      <c r="E112" s="71" t="s">
        <v>24</v>
      </c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</row>
    <row r="113" spans="1:38" ht="21" customHeight="1" outlineLevel="1" thickTop="1" thickBot="1" x14ac:dyDescent="0.4">
      <c r="A113" s="186" t="s">
        <v>10</v>
      </c>
      <c r="B113" s="187"/>
      <c r="C113" s="23" t="s">
        <v>11</v>
      </c>
      <c r="D113" s="15" t="s">
        <v>12</v>
      </c>
      <c r="E113" s="15"/>
      <c r="F113" s="4">
        <f t="shared" ref="F113:AL113" si="57">F3</f>
        <v>273.10000000000002</v>
      </c>
      <c r="G113" s="4">
        <f t="shared" si="57"/>
        <v>289.7</v>
      </c>
      <c r="H113" s="4">
        <f t="shared" si="57"/>
        <v>306.2</v>
      </c>
      <c r="I113" s="4">
        <f t="shared" si="57"/>
        <v>322.7</v>
      </c>
      <c r="J113" s="4">
        <f t="shared" si="57"/>
        <v>339.2</v>
      </c>
      <c r="K113" s="4">
        <f t="shared" si="57"/>
        <v>355.7</v>
      </c>
      <c r="L113" s="4">
        <f t="shared" si="57"/>
        <v>372.3</v>
      </c>
      <c r="M113" s="4">
        <f t="shared" si="57"/>
        <v>388.8</v>
      </c>
      <c r="N113" s="4">
        <f t="shared" si="57"/>
        <v>405.3</v>
      </c>
      <c r="O113" s="4">
        <f t="shared" si="57"/>
        <v>471.4</v>
      </c>
      <c r="P113" s="4">
        <f t="shared" si="57"/>
        <v>487.9</v>
      </c>
      <c r="Q113" s="4">
        <f t="shared" si="57"/>
        <v>504.4</v>
      </c>
      <c r="R113" s="4">
        <f t="shared" si="57"/>
        <v>520.9</v>
      </c>
      <c r="S113" s="4">
        <f t="shared" si="57"/>
        <v>537.5</v>
      </c>
      <c r="T113" s="4">
        <f t="shared" si="57"/>
        <v>603.5</v>
      </c>
      <c r="U113" s="4">
        <f t="shared" si="57"/>
        <v>669.6</v>
      </c>
      <c r="V113" s="4">
        <f t="shared" si="57"/>
        <v>735.7</v>
      </c>
      <c r="W113" s="4">
        <f t="shared" si="57"/>
        <v>752.2</v>
      </c>
      <c r="X113" s="4">
        <f t="shared" si="57"/>
        <v>768.7</v>
      </c>
      <c r="Y113" s="4">
        <f t="shared" si="57"/>
        <v>785.2</v>
      </c>
      <c r="Z113" s="4">
        <f t="shared" si="57"/>
        <v>801.8</v>
      </c>
      <c r="AA113" s="4">
        <f t="shared" si="57"/>
        <v>818.3</v>
      </c>
      <c r="AB113" s="4">
        <f t="shared" si="57"/>
        <v>834.8</v>
      </c>
      <c r="AC113" s="4">
        <f t="shared" si="57"/>
        <v>851.3</v>
      </c>
      <c r="AD113" s="4">
        <f t="shared" si="57"/>
        <v>867.8</v>
      </c>
      <c r="AE113" s="4">
        <f t="shared" si="57"/>
        <v>933.9</v>
      </c>
      <c r="AF113" s="4">
        <f t="shared" si="57"/>
        <v>1000</v>
      </c>
      <c r="AG113" s="4">
        <f t="shared" si="57"/>
        <v>0</v>
      </c>
      <c r="AH113" s="4">
        <f t="shared" si="57"/>
        <v>0</v>
      </c>
      <c r="AI113" s="4">
        <f t="shared" si="57"/>
        <v>0</v>
      </c>
      <c r="AJ113" s="4">
        <f t="shared" si="57"/>
        <v>0</v>
      </c>
      <c r="AK113" s="4">
        <f t="shared" si="57"/>
        <v>0</v>
      </c>
      <c r="AL113" s="4">
        <f t="shared" si="57"/>
        <v>0</v>
      </c>
    </row>
    <row r="114" spans="1:38" ht="21" customHeight="1" outlineLevel="1" thickTop="1" thickBot="1" x14ac:dyDescent="0.4">
      <c r="A114" s="21">
        <f>$A$2</f>
        <v>700</v>
      </c>
      <c r="B114" s="50">
        <f ca="1">MIN(MIN(F114:AL117),MIN(F41:AL41))</f>
        <v>-461.93936657142854</v>
      </c>
      <c r="C114" s="24">
        <f>COUNTA(E114:E121)+1</f>
        <v>5</v>
      </c>
      <c r="E114" s="17" t="s">
        <v>33</v>
      </c>
      <c r="F114" s="52">
        <f t="shared" ref="F114:AL114" ca="1" si="58">F$113*$B$2*SUMPRODUCT(F$90:F$91,F$56:F$57)/1000</f>
        <v>-30.36236847428572</v>
      </c>
      <c r="G114" s="52">
        <f t="shared" ca="1" si="58"/>
        <v>-32.190697329642859</v>
      </c>
      <c r="H114" s="52">
        <f t="shared" ca="1" si="58"/>
        <v>-34.024133663571433</v>
      </c>
      <c r="I114" s="52">
        <f t="shared" ca="1" si="58"/>
        <v>-35.857569997500008</v>
      </c>
      <c r="J114" s="52">
        <f t="shared" ca="1" si="58"/>
        <v>-37.731296022857144</v>
      </c>
      <c r="K114" s="52">
        <f t="shared" ca="1" si="58"/>
        <v>-39.587816972142853</v>
      </c>
      <c r="L114" s="52">
        <f t="shared" ca="1" si="58"/>
        <v>-41.479543890000016</v>
      </c>
      <c r="M114" s="52">
        <f t="shared" ca="1" si="58"/>
        <v>-43.387151502857144</v>
      </c>
      <c r="N114" s="52">
        <f t="shared" ca="1" si="58"/>
        <v>-45.276568177500003</v>
      </c>
      <c r="O114" s="52">
        <f t="shared" ca="1" si="58"/>
        <v>-52.996634877857147</v>
      </c>
      <c r="P114" s="52">
        <f t="shared" ca="1" si="58"/>
        <v>-54.967533652499995</v>
      </c>
      <c r="Q114" s="52">
        <f t="shared" ca="1" si="58"/>
        <v>-56.916315857142855</v>
      </c>
      <c r="R114" s="52">
        <f t="shared" ca="1" si="58"/>
        <v>-58.870977601071424</v>
      </c>
      <c r="S114" s="52">
        <f t="shared" ca="1" si="58"/>
        <v>-60.874760223214295</v>
      </c>
      <c r="T114" s="52">
        <f t="shared" ca="1" si="58"/>
        <v>-68.815553142857141</v>
      </c>
      <c r="U114" s="52">
        <f t="shared" ca="1" si="58"/>
        <v>-76.909505091448111</v>
      </c>
      <c r="V114" s="52">
        <f t="shared" ca="1" si="58"/>
        <v>-85.11337479277465</v>
      </c>
      <c r="W114" s="52">
        <f t="shared" ca="1" si="58"/>
        <v>-87.156283033859381</v>
      </c>
      <c r="X114" s="52">
        <f t="shared" ca="1" si="58"/>
        <v>-88.976810973366909</v>
      </c>
      <c r="Y114" s="52">
        <f t="shared" ca="1" si="58"/>
        <v>-90.933350221594679</v>
      </c>
      <c r="Z114" s="52">
        <f t="shared" ca="1" si="58"/>
        <v>-99.946351096073656</v>
      </c>
      <c r="AA114" s="52">
        <f t="shared" ca="1" si="58"/>
        <v>-102.46330173608551</v>
      </c>
      <c r="AB114" s="52">
        <f t="shared" ca="1" si="58"/>
        <v>-104.79656697678547</v>
      </c>
      <c r="AC114" s="52">
        <f t="shared" ca="1" si="58"/>
        <v>-107.10998301267776</v>
      </c>
      <c r="AD114" s="52">
        <f t="shared" ca="1" si="58"/>
        <v>-109.42821049777254</v>
      </c>
      <c r="AE114" s="52">
        <f t="shared" ca="1" si="58"/>
        <v>-118.8242229034929</v>
      </c>
      <c r="AF114" s="52">
        <f t="shared" ca="1" si="58"/>
        <v>-128.42933035714285</v>
      </c>
      <c r="AG114" s="52">
        <f t="shared" ca="1" si="58"/>
        <v>0</v>
      </c>
      <c r="AH114" s="52">
        <f t="shared" ca="1" si="58"/>
        <v>0</v>
      </c>
      <c r="AI114" s="52">
        <f t="shared" ca="1" si="58"/>
        <v>0</v>
      </c>
      <c r="AJ114" s="52">
        <f t="shared" ca="1" si="58"/>
        <v>0</v>
      </c>
      <c r="AK114" s="52">
        <f t="shared" ca="1" si="58"/>
        <v>0</v>
      </c>
      <c r="AL114" s="52">
        <f t="shared" ca="1" si="58"/>
        <v>0</v>
      </c>
    </row>
    <row r="115" spans="1:38" ht="21" customHeight="1" outlineLevel="1" thickBot="1" x14ac:dyDescent="0.4">
      <c r="A115" s="22">
        <f>$A$114</f>
        <v>700</v>
      </c>
      <c r="B115" s="51">
        <f ca="1">MAX(MAX(F114:AL117),MAX(F41:AL41))</f>
        <v>0</v>
      </c>
      <c r="C115" s="25">
        <f xml:space="preserve"> COUNTIF(F113:AL113,"&lt;&gt;"&amp;0)</f>
        <v>27</v>
      </c>
      <c r="E115" s="17" t="s">
        <v>14</v>
      </c>
      <c r="F115" s="14">
        <f t="shared" ref="F115:AL115" ca="1" si="59">F$113*$B$2*SUMPRODUCT(F$87:F$88,F$53:F$54)/1000</f>
        <v>-105.00156905217857</v>
      </c>
      <c r="G115" s="14">
        <f t="shared" ca="1" si="59"/>
        <v>-106.16908342157144</v>
      </c>
      <c r="H115" s="14">
        <f t="shared" ca="1" si="59"/>
        <v>-107.31513628478572</v>
      </c>
      <c r="I115" s="14">
        <f t="shared" ca="1" si="59"/>
        <v>-108.49454276475001</v>
      </c>
      <c r="J115" s="14">
        <f t="shared" ca="1" si="59"/>
        <v>-109.76120635885717</v>
      </c>
      <c r="K115" s="14">
        <f t="shared" ca="1" si="59"/>
        <v>-34.312963960546547</v>
      </c>
      <c r="L115" s="14">
        <f t="shared" ca="1" si="59"/>
        <v>-34.587660299563851</v>
      </c>
      <c r="M115" s="14">
        <f t="shared" ca="1" si="59"/>
        <v>-34.857500755412516</v>
      </c>
      <c r="N115" s="14">
        <f t="shared" ca="1" si="59"/>
        <v>-35.128454863586065</v>
      </c>
      <c r="O115" s="14">
        <f t="shared" ca="1" si="59"/>
        <v>-36.288556856142861</v>
      </c>
      <c r="P115" s="14">
        <f t="shared" ca="1" si="59"/>
        <v>-36.588036237750003</v>
      </c>
      <c r="Q115" s="14">
        <f t="shared" ca="1" si="59"/>
        <v>-36.893755057714287</v>
      </c>
      <c r="R115" s="14">
        <f t="shared" ca="1" si="59"/>
        <v>-37.212768763178559</v>
      </c>
      <c r="S115" s="14">
        <f t="shared" ca="1" si="59"/>
        <v>-37.530390977678572</v>
      </c>
      <c r="T115" s="14">
        <f t="shared" ca="1" si="59"/>
        <v>-38.837777804999995</v>
      </c>
      <c r="U115" s="14">
        <f t="shared" ca="1" si="59"/>
        <v>-40.21643355685714</v>
      </c>
      <c r="V115" s="14">
        <f t="shared" ca="1" si="59"/>
        <v>-41.657491650449991</v>
      </c>
      <c r="W115" s="14">
        <f t="shared" ca="1" si="59"/>
        <v>-42.025321210757156</v>
      </c>
      <c r="X115" s="14">
        <f t="shared" ca="1" si="59"/>
        <v>-16.600961630962662</v>
      </c>
      <c r="Y115" s="14">
        <f t="shared" ca="1" si="59"/>
        <v>-6.2152744033943677</v>
      </c>
      <c r="Z115" s="14">
        <f t="shared" ca="1" si="59"/>
        <v>-1.6948754395611645</v>
      </c>
      <c r="AA115" s="14">
        <f t="shared" ca="1" si="59"/>
        <v>-0.27582069421656752</v>
      </c>
      <c r="AB115" s="14">
        <f t="shared" ca="1" si="59"/>
        <v>-4.7343271671417671E-2</v>
      </c>
      <c r="AC115" s="14">
        <f t="shared" ca="1" si="59"/>
        <v>-8.5232814029598137E-3</v>
      </c>
      <c r="AD115" s="14">
        <f t="shared" ca="1" si="59"/>
        <v>-1.6036330519329123E-3</v>
      </c>
      <c r="AE115" s="14">
        <f t="shared" ca="1" si="59"/>
        <v>-2.9386158674673239E-6</v>
      </c>
      <c r="AF115" s="14">
        <f t="shared" ca="1" si="59"/>
        <v>-8.6461566153857137E-9</v>
      </c>
      <c r="AG115" s="14">
        <f t="shared" ca="1" si="59"/>
        <v>0</v>
      </c>
      <c r="AH115" s="14">
        <f t="shared" ca="1" si="59"/>
        <v>0</v>
      </c>
      <c r="AI115" s="14">
        <f t="shared" ca="1" si="59"/>
        <v>0</v>
      </c>
      <c r="AJ115" s="14">
        <f t="shared" ca="1" si="59"/>
        <v>0</v>
      </c>
      <c r="AK115" s="14">
        <f t="shared" ca="1" si="59"/>
        <v>0</v>
      </c>
      <c r="AL115" s="14">
        <f t="shared" ca="1" si="59"/>
        <v>0</v>
      </c>
    </row>
    <row r="116" spans="1:38" ht="21" customHeight="1" outlineLevel="1" thickBot="1" x14ac:dyDescent="0.4">
      <c r="E116" s="17" t="s">
        <v>15</v>
      </c>
      <c r="F116" s="14">
        <f t="shared" ref="F116:AL116" ca="1" si="60">F$113*$B$2*SUMPRODUCT(F$87:F$89,F$53:F$55)/1000</f>
        <v>-105.00156905217857</v>
      </c>
      <c r="G116" s="14">
        <f t="shared" ca="1" si="60"/>
        <v>-106.16908342157144</v>
      </c>
      <c r="H116" s="14">
        <f t="shared" ca="1" si="60"/>
        <v>-107.31513628478572</v>
      </c>
      <c r="I116" s="14">
        <f t="shared" ca="1" si="60"/>
        <v>-108.49454276475001</v>
      </c>
      <c r="J116" s="14">
        <f t="shared" ca="1" si="60"/>
        <v>-109.76120635885717</v>
      </c>
      <c r="K116" s="14">
        <f t="shared" ca="1" si="60"/>
        <v>-34.312963960546547</v>
      </c>
      <c r="L116" s="14">
        <f t="shared" ca="1" si="60"/>
        <v>-34.587660299563851</v>
      </c>
      <c r="M116" s="14">
        <f t="shared" ca="1" si="60"/>
        <v>-34.857500755412516</v>
      </c>
      <c r="N116" s="14">
        <f t="shared" ca="1" si="60"/>
        <v>-35.128454863586065</v>
      </c>
      <c r="O116" s="14">
        <f t="shared" ca="1" si="60"/>
        <v>-36.288556856142861</v>
      </c>
      <c r="P116" s="14">
        <f t="shared" ca="1" si="60"/>
        <v>-36.588036237750003</v>
      </c>
      <c r="Q116" s="14">
        <f t="shared" ca="1" si="60"/>
        <v>-36.893755057714287</v>
      </c>
      <c r="R116" s="14">
        <f t="shared" ca="1" si="60"/>
        <v>-37.212768763178559</v>
      </c>
      <c r="S116" s="14">
        <f t="shared" ca="1" si="60"/>
        <v>-37.530390977678572</v>
      </c>
      <c r="T116" s="14">
        <f t="shared" ca="1" si="60"/>
        <v>-38.837777804999995</v>
      </c>
      <c r="U116" s="14">
        <f t="shared" ca="1" si="60"/>
        <v>-40.216433556880148</v>
      </c>
      <c r="V116" s="14">
        <f t="shared" ca="1" si="60"/>
        <v>-41.657491942459465</v>
      </c>
      <c r="W116" s="14">
        <f t="shared" ca="1" si="60"/>
        <v>-42.025323663517234</v>
      </c>
      <c r="X116" s="14">
        <f t="shared" ca="1" si="60"/>
        <v>-16.600969151734859</v>
      </c>
      <c r="Y116" s="14">
        <f t="shared" ca="1" si="60"/>
        <v>-6.2152946881781839</v>
      </c>
      <c r="Z116" s="14">
        <f t="shared" ca="1" si="60"/>
        <v>-1.6949127183392816</v>
      </c>
      <c r="AA116" s="14">
        <f t="shared" ca="1" si="60"/>
        <v>-0.27585921389422974</v>
      </c>
      <c r="AB116" s="14">
        <f t="shared" ca="1" si="60"/>
        <v>-4.738266763172478E-2</v>
      </c>
      <c r="AC116" s="14">
        <f t="shared" ca="1" si="60"/>
        <v>-8.5630812452307699E-3</v>
      </c>
      <c r="AD116" s="14">
        <f t="shared" ca="1" si="60"/>
        <v>-1.6433416916759736E-3</v>
      </c>
      <c r="AE116" s="14">
        <f t="shared" ca="1" si="60"/>
        <v>-3.7604507403848038E-5</v>
      </c>
      <c r="AF116" s="14">
        <f t="shared" ca="1" si="60"/>
        <v>-2.433499467350824E-5</v>
      </c>
      <c r="AG116" s="14">
        <f t="shared" ca="1" si="60"/>
        <v>0</v>
      </c>
      <c r="AH116" s="14">
        <f t="shared" ca="1" si="60"/>
        <v>0</v>
      </c>
      <c r="AI116" s="14">
        <f t="shared" ca="1" si="60"/>
        <v>0</v>
      </c>
      <c r="AJ116" s="14">
        <f t="shared" ca="1" si="60"/>
        <v>0</v>
      </c>
      <c r="AK116" s="14">
        <f t="shared" ca="1" si="60"/>
        <v>0</v>
      </c>
      <c r="AL116" s="14">
        <f t="shared" ca="1" si="60"/>
        <v>0</v>
      </c>
    </row>
    <row r="117" spans="1:38" ht="21" customHeight="1" outlineLevel="1" thickBot="1" x14ac:dyDescent="0.4">
      <c r="E117" s="17" t="s">
        <v>34</v>
      </c>
      <c r="F117" s="14">
        <f ca="1">F115+F114</f>
        <v>-135.3639375264643</v>
      </c>
      <c r="G117" s="14">
        <f t="shared" ref="G117:AL117" ca="1" si="61">G115+G114</f>
        <v>-138.35978075121432</v>
      </c>
      <c r="H117" s="14">
        <f t="shared" ca="1" si="61"/>
        <v>-141.33926994835716</v>
      </c>
      <c r="I117" s="14">
        <f t="shared" ca="1" si="61"/>
        <v>-144.35211276225002</v>
      </c>
      <c r="J117" s="14">
        <f t="shared" ca="1" si="61"/>
        <v>-147.4925023817143</v>
      </c>
      <c r="K117" s="14">
        <f t="shared" ca="1" si="61"/>
        <v>-73.900780932689401</v>
      </c>
      <c r="L117" s="14">
        <f t="shared" ca="1" si="61"/>
        <v>-76.067204189563867</v>
      </c>
      <c r="M117" s="14">
        <f t="shared" ca="1" si="61"/>
        <v>-78.244652258269667</v>
      </c>
      <c r="N117" s="14">
        <f t="shared" ca="1" si="61"/>
        <v>-80.405023041086068</v>
      </c>
      <c r="O117" s="14">
        <f t="shared" ca="1" si="61"/>
        <v>-89.285191734000009</v>
      </c>
      <c r="P117" s="14">
        <f t="shared" ca="1" si="61"/>
        <v>-91.555569890249998</v>
      </c>
      <c r="Q117" s="14">
        <f t="shared" ca="1" si="61"/>
        <v>-93.810070914857135</v>
      </c>
      <c r="R117" s="14">
        <f t="shared" ca="1" si="61"/>
        <v>-96.083746364249976</v>
      </c>
      <c r="S117" s="14">
        <f t="shared" ca="1" si="61"/>
        <v>-98.405151200892874</v>
      </c>
      <c r="T117" s="14">
        <f t="shared" ca="1" si="61"/>
        <v>-107.65333094785714</v>
      </c>
      <c r="U117" s="14">
        <f t="shared" ca="1" si="61"/>
        <v>-117.12593864830525</v>
      </c>
      <c r="V117" s="14">
        <f t="shared" ca="1" si="61"/>
        <v>-126.77086644322463</v>
      </c>
      <c r="W117" s="14">
        <f t="shared" ca="1" si="61"/>
        <v>-129.18160424461655</v>
      </c>
      <c r="X117" s="14">
        <f t="shared" ca="1" si="61"/>
        <v>-105.57777260432957</v>
      </c>
      <c r="Y117" s="14">
        <f t="shared" ca="1" si="61"/>
        <v>-97.148624624989054</v>
      </c>
      <c r="Z117" s="14">
        <f t="shared" ca="1" si="61"/>
        <v>-101.64122653563481</v>
      </c>
      <c r="AA117" s="14">
        <f t="shared" ca="1" si="61"/>
        <v>-102.73912243030207</v>
      </c>
      <c r="AB117" s="14">
        <f t="shared" ca="1" si="61"/>
        <v>-104.84391024845689</v>
      </c>
      <c r="AC117" s="14">
        <f t="shared" ca="1" si="61"/>
        <v>-107.11850629408072</v>
      </c>
      <c r="AD117" s="14">
        <f t="shared" ca="1" si="61"/>
        <v>-109.42981413082447</v>
      </c>
      <c r="AE117" s="14">
        <f t="shared" ca="1" si="61"/>
        <v>-118.82422584210876</v>
      </c>
      <c r="AF117" s="14">
        <f t="shared" ca="1" si="61"/>
        <v>-128.42933036578901</v>
      </c>
      <c r="AG117" s="14">
        <f t="shared" ca="1" si="61"/>
        <v>0</v>
      </c>
      <c r="AH117" s="14">
        <f t="shared" ca="1" si="61"/>
        <v>0</v>
      </c>
      <c r="AI117" s="14">
        <f t="shared" ca="1" si="61"/>
        <v>0</v>
      </c>
      <c r="AJ117" s="14">
        <f t="shared" ca="1" si="61"/>
        <v>0</v>
      </c>
      <c r="AK117" s="14">
        <f t="shared" ca="1" si="61"/>
        <v>0</v>
      </c>
      <c r="AL117" s="14">
        <f t="shared" ca="1" si="61"/>
        <v>0</v>
      </c>
    </row>
    <row r="118" spans="1:38" ht="21" customHeight="1" outlineLevel="1" thickBot="1" x14ac:dyDescent="0.4">
      <c r="E118" s="17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ht="21" customHeight="1" outlineLevel="1" thickBot="1" x14ac:dyDescent="0.4">
      <c r="E119" s="17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  <row r="120" spans="1:38" ht="21" customHeight="1" outlineLevel="1" thickBot="1" x14ac:dyDescent="0.4">
      <c r="E120" s="17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</row>
    <row r="121" spans="1:38" ht="21" customHeight="1" outlineLevel="1" thickBot="1" x14ac:dyDescent="0.4">
      <c r="E121" s="18"/>
      <c r="U121" s="55"/>
      <c r="V121" s="55"/>
      <c r="W121" s="55"/>
    </row>
    <row r="122" spans="1:38" ht="21" customHeight="1" outlineLevel="1" thickTop="1" thickBot="1" x14ac:dyDescent="0.4">
      <c r="E122" s="4">
        <f t="array" aca="1" ref="E122:AL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603.5</v>
      </c>
      <c r="U122" s="62">
        <f ca="1"/>
        <v>669.6</v>
      </c>
      <c r="V122" s="63">
        <f ca="1"/>
        <v>735.7</v>
      </c>
      <c r="W122" s="65">
        <f ca="1"/>
        <v>752.2</v>
      </c>
      <c r="X122" s="59">
        <f ca="1"/>
        <v>768.7</v>
      </c>
      <c r="Y122" s="4">
        <f ca="1"/>
        <v>785.2</v>
      </c>
      <c r="Z122" s="4">
        <f ca="1"/>
        <v>801.8</v>
      </c>
      <c r="AA122" s="4">
        <f ca="1"/>
        <v>818.3</v>
      </c>
      <c r="AB122" s="4">
        <f ca="1"/>
        <v>834.8</v>
      </c>
      <c r="AC122" s="4">
        <f ca="1"/>
        <v>851.3</v>
      </c>
      <c r="AD122" s="4">
        <f ca="1"/>
        <v>867.8</v>
      </c>
      <c r="AE122" s="4">
        <f ca="1"/>
        <v>933.9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</row>
    <row r="123" spans="1:38" ht="21" customHeight="1" outlineLevel="1" thickTop="1" thickBot="1" x14ac:dyDescent="0.4">
      <c r="E123" s="17" t="str">
        <f ca="1"/>
        <v xml:space="preserve">Расвор: </v>
      </c>
      <c r="F123" s="55">
        <f ca="1"/>
        <v>-30.36236847428572</v>
      </c>
      <c r="G123" s="55">
        <f ca="1"/>
        <v>-32.190697329642859</v>
      </c>
      <c r="H123" s="55">
        <f ca="1"/>
        <v>-34.024133663571433</v>
      </c>
      <c r="I123" s="55">
        <f ca="1"/>
        <v>-35.857569997500008</v>
      </c>
      <c r="J123" s="55">
        <f ca="1"/>
        <v>-37.731296022857144</v>
      </c>
      <c r="K123" s="55">
        <f ca="1"/>
        <v>-39.587816972142853</v>
      </c>
      <c r="L123" s="55">
        <f ca="1"/>
        <v>-41.479543890000016</v>
      </c>
      <c r="M123" s="55">
        <f ca="1"/>
        <v>-43.387151502857144</v>
      </c>
      <c r="N123" s="55">
        <f ca="1"/>
        <v>-45.276568177500003</v>
      </c>
      <c r="O123" s="55">
        <f ca="1"/>
        <v>-52.996634877857147</v>
      </c>
      <c r="P123" s="55">
        <f ca="1"/>
        <v>-54.967533652499995</v>
      </c>
      <c r="Q123" s="55">
        <f ca="1"/>
        <v>-56.916315857142855</v>
      </c>
      <c r="R123" s="55">
        <f ca="1"/>
        <v>-58.870977601071424</v>
      </c>
      <c r="S123" s="55">
        <f ca="1"/>
        <v>-60.874760223214295</v>
      </c>
      <c r="T123" s="55">
        <f ca="1"/>
        <v>-68.815553142857141</v>
      </c>
      <c r="U123" s="55">
        <f ca="1"/>
        <v>-76.909505091448111</v>
      </c>
      <c r="V123" s="55">
        <f ca="1"/>
        <v>-85.11337479277465</v>
      </c>
      <c r="W123" s="55">
        <f ca="1"/>
        <v>-87.156283033859381</v>
      </c>
      <c r="X123" s="55">
        <f ca="1"/>
        <v>-88.976810973366909</v>
      </c>
      <c r="Y123" s="55">
        <f ca="1"/>
        <v>-90.933350221594679</v>
      </c>
      <c r="Z123" s="55">
        <f ca="1"/>
        <v>-99.946351096073656</v>
      </c>
      <c r="AA123" s="55">
        <f ca="1"/>
        <v>-102.46330173608551</v>
      </c>
      <c r="AB123" s="55">
        <f ca="1"/>
        <v>-104.79656697678547</v>
      </c>
      <c r="AC123" s="55">
        <f ca="1"/>
        <v>-107.10998301267776</v>
      </c>
      <c r="AD123" s="55">
        <f ca="1"/>
        <v>-109.42821049777254</v>
      </c>
      <c r="AE123" s="55">
        <f ca="1"/>
        <v>-118.8242229034929</v>
      </c>
      <c r="AF123" s="55">
        <f ca="1"/>
        <v>-128.42933035714285</v>
      </c>
      <c r="AG123" s="55" t="e">
        <f ca="1"/>
        <v>#N/A</v>
      </c>
      <c r="AH123" s="55" t="e">
        <f ca="1"/>
        <v>#N/A</v>
      </c>
      <c r="AI123" s="55" t="e">
        <f ca="1"/>
        <v>#N/A</v>
      </c>
      <c r="AJ123" s="55" t="e">
        <f ca="1"/>
        <v>#N/A</v>
      </c>
      <c r="AK123" s="55" t="e">
        <f ca="1"/>
        <v>#N/A</v>
      </c>
      <c r="AL123" s="55" t="e">
        <f ca="1"/>
        <v>#N/A</v>
      </c>
    </row>
    <row r="124" spans="1:38" ht="21" customHeight="1" outlineLevel="1" thickBot="1" x14ac:dyDescent="0.4">
      <c r="E124" s="17" t="str">
        <f ca="1"/>
        <v xml:space="preserve">Газовая без Ar: </v>
      </c>
      <c r="F124" s="55">
        <f ca="1"/>
        <v>-105.00156905217857</v>
      </c>
      <c r="G124" s="55">
        <f ca="1"/>
        <v>-106.16908342157144</v>
      </c>
      <c r="H124" s="55">
        <f ca="1"/>
        <v>-107.31513628478572</v>
      </c>
      <c r="I124" s="55">
        <f ca="1"/>
        <v>-108.49454276475001</v>
      </c>
      <c r="J124" s="55">
        <f ca="1"/>
        <v>-109.76120635885717</v>
      </c>
      <c r="K124" s="55">
        <f ca="1"/>
        <v>-34.312963960546547</v>
      </c>
      <c r="L124" s="55">
        <f ca="1"/>
        <v>-34.587660299563851</v>
      </c>
      <c r="M124" s="55">
        <f ca="1"/>
        <v>-34.857500755412516</v>
      </c>
      <c r="N124" s="55">
        <f ca="1"/>
        <v>-35.128454863586065</v>
      </c>
      <c r="O124" s="55">
        <f ca="1"/>
        <v>-36.288556856142861</v>
      </c>
      <c r="P124" s="55">
        <f ca="1"/>
        <v>-36.588036237750003</v>
      </c>
      <c r="Q124" s="55">
        <f ca="1"/>
        <v>-36.893755057714287</v>
      </c>
      <c r="R124" s="55">
        <f ca="1"/>
        <v>-37.212768763178559</v>
      </c>
      <c r="S124" s="55">
        <f ca="1"/>
        <v>-37.530390977678572</v>
      </c>
      <c r="T124" s="55">
        <f ca="1"/>
        <v>-38.837777804999995</v>
      </c>
      <c r="U124" s="55">
        <f ca="1"/>
        <v>-40.21643355685714</v>
      </c>
      <c r="V124" s="55">
        <f ca="1"/>
        <v>-41.657491650449991</v>
      </c>
      <c r="W124" s="55">
        <f ca="1"/>
        <v>-42.025321210757156</v>
      </c>
      <c r="X124" s="55">
        <f ca="1"/>
        <v>-16.600961630962662</v>
      </c>
      <c r="Y124" s="55">
        <f ca="1"/>
        <v>-6.2152744033943677</v>
      </c>
      <c r="Z124" s="55">
        <f ca="1"/>
        <v>-1.6948754395611645</v>
      </c>
      <c r="AA124" s="55">
        <f ca="1"/>
        <v>-0.27582069421656752</v>
      </c>
      <c r="AB124" s="55">
        <f ca="1"/>
        <v>-4.7343271671417671E-2</v>
      </c>
      <c r="AC124" s="55">
        <f ca="1"/>
        <v>-8.5232814029598137E-3</v>
      </c>
      <c r="AD124" s="55">
        <f ca="1"/>
        <v>-1.6036330519329123E-3</v>
      </c>
      <c r="AE124" s="55">
        <f ca="1"/>
        <v>-2.9386158674673239E-6</v>
      </c>
      <c r="AF124" s="55">
        <f ca="1"/>
        <v>-8.6461566153857137E-9</v>
      </c>
      <c r="AG124" s="55" t="e">
        <f ca="1"/>
        <v>#N/A</v>
      </c>
      <c r="AH124" s="55" t="e">
        <f ca="1"/>
        <v>#N/A</v>
      </c>
      <c r="AI124" s="55" t="e">
        <f ca="1"/>
        <v>#N/A</v>
      </c>
      <c r="AJ124" s="55" t="e">
        <f ca="1"/>
        <v>#N/A</v>
      </c>
      <c r="AK124" s="55" t="e">
        <f ca="1"/>
        <v>#N/A</v>
      </c>
      <c r="AL124" s="55" t="e">
        <f ca="1"/>
        <v>#N/A</v>
      </c>
    </row>
    <row r="125" spans="1:38" ht="21" customHeight="1" outlineLevel="1" thickBot="1" x14ac:dyDescent="0.4">
      <c r="E125" s="17" t="str">
        <f ca="1"/>
        <v xml:space="preserve">Газовая: </v>
      </c>
      <c r="F125" s="55">
        <f ca="1"/>
        <v>-105.00156905217857</v>
      </c>
      <c r="G125" s="55">
        <f ca="1"/>
        <v>-106.16908342157144</v>
      </c>
      <c r="H125" s="55">
        <f ca="1"/>
        <v>-107.31513628478572</v>
      </c>
      <c r="I125" s="55">
        <f ca="1"/>
        <v>-108.49454276475001</v>
      </c>
      <c r="J125" s="55">
        <f ca="1"/>
        <v>-109.76120635885717</v>
      </c>
      <c r="K125" s="55">
        <f ca="1"/>
        <v>-34.312963960546547</v>
      </c>
      <c r="L125" s="55">
        <f ca="1"/>
        <v>-34.587660299563851</v>
      </c>
      <c r="M125" s="55">
        <f ca="1"/>
        <v>-34.857500755412516</v>
      </c>
      <c r="N125" s="55">
        <f ca="1"/>
        <v>-35.128454863586065</v>
      </c>
      <c r="O125" s="55">
        <f ca="1"/>
        <v>-36.288556856142861</v>
      </c>
      <c r="P125" s="55">
        <f ca="1"/>
        <v>-36.588036237750003</v>
      </c>
      <c r="Q125" s="55">
        <f ca="1"/>
        <v>-36.893755057714287</v>
      </c>
      <c r="R125" s="55">
        <f ca="1"/>
        <v>-37.212768763178559</v>
      </c>
      <c r="S125" s="55">
        <f ca="1"/>
        <v>-37.530390977678572</v>
      </c>
      <c r="T125" s="55">
        <f ca="1"/>
        <v>-38.837777804999995</v>
      </c>
      <c r="U125" s="55">
        <f ca="1"/>
        <v>-40.216433556880148</v>
      </c>
      <c r="V125" s="55">
        <f ca="1"/>
        <v>-41.657491942459465</v>
      </c>
      <c r="W125" s="55">
        <f ca="1"/>
        <v>-42.025323663517234</v>
      </c>
      <c r="X125" s="55">
        <f ca="1"/>
        <v>-16.600969151734859</v>
      </c>
      <c r="Y125" s="55">
        <f ca="1"/>
        <v>-6.2152946881781839</v>
      </c>
      <c r="Z125" s="55">
        <f ca="1"/>
        <v>-1.6949127183392816</v>
      </c>
      <c r="AA125" s="55">
        <f ca="1"/>
        <v>-0.27585921389422974</v>
      </c>
      <c r="AB125" s="55">
        <f ca="1"/>
        <v>-4.738266763172478E-2</v>
      </c>
      <c r="AC125" s="55">
        <f ca="1"/>
        <v>-8.5630812452307699E-3</v>
      </c>
      <c r="AD125" s="55">
        <f ca="1"/>
        <v>-1.6433416916759736E-3</v>
      </c>
      <c r="AE125" s="55">
        <f ca="1"/>
        <v>-3.7604507403848038E-5</v>
      </c>
      <c r="AF125" s="55">
        <f ca="1"/>
        <v>-2.433499467350824E-5</v>
      </c>
      <c r="AG125" s="55" t="e">
        <f ca="1"/>
        <v>#N/A</v>
      </c>
      <c r="AH125" s="55" t="e">
        <f ca="1"/>
        <v>#N/A</v>
      </c>
      <c r="AI125" s="55" t="e">
        <f ca="1"/>
        <v>#N/A</v>
      </c>
      <c r="AJ125" s="55" t="e">
        <f ca="1"/>
        <v>#N/A</v>
      </c>
      <c r="AK125" s="55" t="e">
        <f ca="1"/>
        <v>#N/A</v>
      </c>
      <c r="AL125" s="55" t="e">
        <f ca="1"/>
        <v>#N/A</v>
      </c>
    </row>
    <row r="126" spans="1:38" ht="21" customHeight="1" outlineLevel="1" thickBot="1" x14ac:dyDescent="0.4">
      <c r="E126" s="17" t="str">
        <f ca="1"/>
        <v>Раствор + газовая без Ar</v>
      </c>
      <c r="F126" s="55">
        <f ca="1"/>
        <v>-135.3639375264643</v>
      </c>
      <c r="G126" s="55">
        <f ca="1"/>
        <v>-138.35978075121432</v>
      </c>
      <c r="H126" s="55">
        <f ca="1"/>
        <v>-141.33926994835716</v>
      </c>
      <c r="I126" s="55">
        <f ca="1"/>
        <v>-144.35211276225002</v>
      </c>
      <c r="J126" s="55">
        <f ca="1"/>
        <v>-147.4925023817143</v>
      </c>
      <c r="K126" s="55">
        <f ca="1"/>
        <v>-73.900780932689401</v>
      </c>
      <c r="L126" s="55">
        <f ca="1"/>
        <v>-76.067204189563867</v>
      </c>
      <c r="M126" s="55">
        <f ca="1"/>
        <v>-78.244652258269667</v>
      </c>
      <c r="N126" s="55">
        <f ca="1"/>
        <v>-80.405023041086068</v>
      </c>
      <c r="O126" s="55">
        <f ca="1"/>
        <v>-89.285191734000009</v>
      </c>
      <c r="P126" s="55">
        <f ca="1"/>
        <v>-91.555569890249998</v>
      </c>
      <c r="Q126" s="55">
        <f ca="1"/>
        <v>-93.810070914857135</v>
      </c>
      <c r="R126" s="55">
        <f ca="1"/>
        <v>-96.083746364249976</v>
      </c>
      <c r="S126" s="55">
        <f ca="1"/>
        <v>-98.405151200892874</v>
      </c>
      <c r="T126" s="55">
        <f ca="1"/>
        <v>-107.65333094785714</v>
      </c>
      <c r="U126" s="55">
        <f ca="1"/>
        <v>-117.12593864830525</v>
      </c>
      <c r="V126" s="55">
        <f ca="1"/>
        <v>-126.77086644322463</v>
      </c>
      <c r="W126" s="55">
        <f ca="1"/>
        <v>-129.18160424461655</v>
      </c>
      <c r="X126" s="55">
        <f ca="1"/>
        <v>-105.57777260432957</v>
      </c>
      <c r="Y126" s="55">
        <f ca="1"/>
        <v>-97.148624624989054</v>
      </c>
      <c r="Z126" s="55">
        <f ca="1"/>
        <v>-101.64122653563481</v>
      </c>
      <c r="AA126" s="55">
        <f ca="1"/>
        <v>-102.73912243030207</v>
      </c>
      <c r="AB126" s="55">
        <f ca="1"/>
        <v>-104.84391024845689</v>
      </c>
      <c r="AC126" s="55">
        <f ca="1"/>
        <v>-107.11850629408072</v>
      </c>
      <c r="AD126" s="55">
        <f ca="1"/>
        <v>-109.42981413082447</v>
      </c>
      <c r="AE126" s="55">
        <f ca="1"/>
        <v>-118.82422584210876</v>
      </c>
      <c r="AF126" s="55">
        <f ca="1"/>
        <v>-128.42933036578901</v>
      </c>
      <c r="AG126" s="55" t="e">
        <f ca="1"/>
        <v>#N/A</v>
      </c>
      <c r="AH126" s="55" t="e">
        <f ca="1"/>
        <v>#N/A</v>
      </c>
      <c r="AI126" s="55" t="e">
        <f ca="1"/>
        <v>#N/A</v>
      </c>
      <c r="AJ126" s="55" t="e">
        <f ca="1"/>
        <v>#N/A</v>
      </c>
      <c r="AK126" s="55" t="e">
        <f ca="1"/>
        <v>#N/A</v>
      </c>
      <c r="AL126" s="55" t="e">
        <f ca="1"/>
        <v>#N/A</v>
      </c>
    </row>
    <row r="127" spans="1:38" ht="21" customHeight="1" outlineLevel="1" thickBot="1" x14ac:dyDescent="0.4">
      <c r="E127" s="17" t="e">
        <f ca="1"/>
        <v>#N/A</v>
      </c>
      <c r="F127" s="55" t="e">
        <f ca="1"/>
        <v>#N/A</v>
      </c>
      <c r="G127" s="55" t="e">
        <f ca="1"/>
        <v>#N/A</v>
      </c>
      <c r="H127" s="55" t="e">
        <f ca="1"/>
        <v>#N/A</v>
      </c>
      <c r="I127" s="55" t="e">
        <f ca="1"/>
        <v>#N/A</v>
      </c>
      <c r="J127" s="55" t="e">
        <f ca="1"/>
        <v>#N/A</v>
      </c>
      <c r="K127" s="55" t="e">
        <f ca="1"/>
        <v>#N/A</v>
      </c>
      <c r="L127" s="55" t="e">
        <f ca="1"/>
        <v>#N/A</v>
      </c>
      <c r="M127" s="55" t="e">
        <f ca="1"/>
        <v>#N/A</v>
      </c>
      <c r="N127" s="55" t="e">
        <f ca="1"/>
        <v>#N/A</v>
      </c>
      <c r="O127" s="55" t="e">
        <f ca="1"/>
        <v>#N/A</v>
      </c>
      <c r="P127" s="55" t="e">
        <f ca="1"/>
        <v>#N/A</v>
      </c>
      <c r="Q127" s="55" t="e">
        <f ca="1"/>
        <v>#N/A</v>
      </c>
      <c r="R127" s="55" t="e">
        <f ca="1"/>
        <v>#N/A</v>
      </c>
      <c r="S127" s="55" t="e">
        <f ca="1"/>
        <v>#N/A</v>
      </c>
      <c r="T127" s="55" t="e">
        <f ca="1"/>
        <v>#N/A</v>
      </c>
      <c r="U127" s="55" t="e">
        <f ca="1"/>
        <v>#N/A</v>
      </c>
      <c r="V127" s="55" t="e">
        <f ca="1"/>
        <v>#N/A</v>
      </c>
      <c r="W127" s="55" t="e">
        <f ca="1"/>
        <v>#N/A</v>
      </c>
      <c r="X127" s="55" t="e">
        <f ca="1"/>
        <v>#N/A</v>
      </c>
      <c r="Y127" s="55" t="e">
        <f ca="1"/>
        <v>#N/A</v>
      </c>
      <c r="Z127" s="55" t="e">
        <f ca="1"/>
        <v>#N/A</v>
      </c>
      <c r="AA127" s="55" t="e">
        <f ca="1"/>
        <v>#N/A</v>
      </c>
      <c r="AB127" s="55" t="e">
        <f ca="1"/>
        <v>#N/A</v>
      </c>
      <c r="AC127" s="55" t="e">
        <f ca="1"/>
        <v>#N/A</v>
      </c>
      <c r="AD127" s="55" t="e">
        <f ca="1"/>
        <v>#N/A</v>
      </c>
      <c r="AE127" s="55" t="e">
        <f ca="1"/>
        <v>#N/A</v>
      </c>
      <c r="AF127" s="55" t="e">
        <f ca="1"/>
        <v>#N/A</v>
      </c>
      <c r="AG127" s="55" t="e">
        <f ca="1"/>
        <v>#N/A</v>
      </c>
      <c r="AH127" s="55" t="e">
        <f ca="1"/>
        <v>#N/A</v>
      </c>
      <c r="AI127" s="55" t="e">
        <f ca="1"/>
        <v>#N/A</v>
      </c>
      <c r="AJ127" s="55" t="e">
        <f ca="1"/>
        <v>#N/A</v>
      </c>
      <c r="AK127" s="55" t="e">
        <f ca="1"/>
        <v>#N/A</v>
      </c>
      <c r="AL127" s="55" t="e">
        <f ca="1"/>
        <v>#N/A</v>
      </c>
    </row>
    <row r="128" spans="1:38" ht="21" customHeight="1" outlineLevel="1" thickBot="1" x14ac:dyDescent="0.4">
      <c r="E128" s="17" t="e">
        <f ca="1"/>
        <v>#N/A</v>
      </c>
      <c r="F128" s="55" t="e">
        <f ca="1"/>
        <v>#N/A</v>
      </c>
      <c r="G128" s="55" t="e">
        <f ca="1"/>
        <v>#N/A</v>
      </c>
      <c r="H128" s="55" t="e">
        <f ca="1"/>
        <v>#N/A</v>
      </c>
      <c r="I128" s="55" t="e">
        <f ca="1"/>
        <v>#N/A</v>
      </c>
      <c r="J128" s="55" t="e">
        <f ca="1"/>
        <v>#N/A</v>
      </c>
      <c r="K128" s="55" t="e">
        <f ca="1"/>
        <v>#N/A</v>
      </c>
      <c r="L128" s="55" t="e">
        <f ca="1"/>
        <v>#N/A</v>
      </c>
      <c r="M128" s="55" t="e">
        <f ca="1"/>
        <v>#N/A</v>
      </c>
      <c r="N128" s="55" t="e">
        <f ca="1"/>
        <v>#N/A</v>
      </c>
      <c r="O128" s="55" t="e">
        <f ca="1"/>
        <v>#N/A</v>
      </c>
      <c r="P128" s="55" t="e">
        <f ca="1"/>
        <v>#N/A</v>
      </c>
      <c r="Q128" s="55" t="e">
        <f ca="1"/>
        <v>#N/A</v>
      </c>
      <c r="R128" s="55" t="e">
        <f ca="1"/>
        <v>#N/A</v>
      </c>
      <c r="S128" s="55" t="e">
        <f ca="1"/>
        <v>#N/A</v>
      </c>
      <c r="T128" s="55" t="e">
        <f ca="1"/>
        <v>#N/A</v>
      </c>
      <c r="U128" s="55" t="e">
        <f ca="1"/>
        <v>#N/A</v>
      </c>
      <c r="V128" s="55" t="e">
        <f ca="1"/>
        <v>#N/A</v>
      </c>
      <c r="W128" s="55" t="e">
        <f ca="1"/>
        <v>#N/A</v>
      </c>
      <c r="X128" s="55" t="e">
        <f ca="1"/>
        <v>#N/A</v>
      </c>
      <c r="Y128" s="55" t="e">
        <f ca="1"/>
        <v>#N/A</v>
      </c>
      <c r="Z128" s="55" t="e">
        <f ca="1"/>
        <v>#N/A</v>
      </c>
      <c r="AA128" s="55" t="e">
        <f ca="1"/>
        <v>#N/A</v>
      </c>
      <c r="AB128" s="55" t="e">
        <f ca="1"/>
        <v>#N/A</v>
      </c>
      <c r="AC128" s="55" t="e">
        <f ca="1"/>
        <v>#N/A</v>
      </c>
      <c r="AD128" s="55" t="e">
        <f ca="1"/>
        <v>#N/A</v>
      </c>
      <c r="AE128" s="55" t="e">
        <f ca="1"/>
        <v>#N/A</v>
      </c>
      <c r="AF128" s="55" t="e">
        <f ca="1"/>
        <v>#N/A</v>
      </c>
      <c r="AG128" s="55" t="e">
        <f ca="1"/>
        <v>#N/A</v>
      </c>
      <c r="AH128" s="55" t="e">
        <f ca="1"/>
        <v>#N/A</v>
      </c>
      <c r="AI128" s="55" t="e">
        <f ca="1"/>
        <v>#N/A</v>
      </c>
      <c r="AJ128" s="55" t="e">
        <f ca="1"/>
        <v>#N/A</v>
      </c>
      <c r="AK128" s="55" t="e">
        <f ca="1"/>
        <v>#N/A</v>
      </c>
      <c r="AL128" s="55" t="e">
        <f ca="1"/>
        <v>#N/A</v>
      </c>
    </row>
    <row r="129" spans="5:38" ht="21" customHeight="1" outlineLevel="1" thickBot="1" x14ac:dyDescent="0.4">
      <c r="E129" s="17" t="e">
        <f ca="1"/>
        <v>#N/A</v>
      </c>
      <c r="F129" s="55" t="e">
        <f ca="1"/>
        <v>#N/A</v>
      </c>
      <c r="G129" s="55" t="e">
        <f ca="1"/>
        <v>#N/A</v>
      </c>
      <c r="H129" s="55" t="e">
        <f ca="1"/>
        <v>#N/A</v>
      </c>
      <c r="I129" s="55" t="e">
        <f ca="1"/>
        <v>#N/A</v>
      </c>
      <c r="J129" s="55" t="e">
        <f ca="1"/>
        <v>#N/A</v>
      </c>
      <c r="K129" s="55" t="e">
        <f ca="1"/>
        <v>#N/A</v>
      </c>
      <c r="L129" s="55" t="e">
        <f ca="1"/>
        <v>#N/A</v>
      </c>
      <c r="M129" s="55" t="e">
        <f ca="1"/>
        <v>#N/A</v>
      </c>
      <c r="N129" s="55" t="e">
        <f ca="1"/>
        <v>#N/A</v>
      </c>
      <c r="O129" s="55" t="e">
        <f ca="1"/>
        <v>#N/A</v>
      </c>
      <c r="P129" s="55" t="e">
        <f ca="1"/>
        <v>#N/A</v>
      </c>
      <c r="Q129" s="55" t="e">
        <f ca="1"/>
        <v>#N/A</v>
      </c>
      <c r="R129" s="55" t="e">
        <f ca="1"/>
        <v>#N/A</v>
      </c>
      <c r="S129" s="55" t="e">
        <f ca="1"/>
        <v>#N/A</v>
      </c>
      <c r="T129" s="55" t="e">
        <f ca="1"/>
        <v>#N/A</v>
      </c>
      <c r="U129" s="55" t="e">
        <f ca="1"/>
        <v>#N/A</v>
      </c>
      <c r="V129" s="55" t="e">
        <f ca="1"/>
        <v>#N/A</v>
      </c>
      <c r="W129" s="55" t="e">
        <f ca="1"/>
        <v>#N/A</v>
      </c>
      <c r="X129" s="55" t="e">
        <f ca="1"/>
        <v>#N/A</v>
      </c>
      <c r="Y129" s="55" t="e">
        <f ca="1"/>
        <v>#N/A</v>
      </c>
      <c r="Z129" s="55" t="e">
        <f ca="1"/>
        <v>#N/A</v>
      </c>
      <c r="AA129" s="55" t="e">
        <f ca="1"/>
        <v>#N/A</v>
      </c>
      <c r="AB129" s="55" t="e">
        <f ca="1"/>
        <v>#N/A</v>
      </c>
      <c r="AC129" s="55" t="e">
        <f ca="1"/>
        <v>#N/A</v>
      </c>
      <c r="AD129" s="55" t="e">
        <f ca="1"/>
        <v>#N/A</v>
      </c>
      <c r="AE129" s="55" t="e">
        <f ca="1"/>
        <v>#N/A</v>
      </c>
      <c r="AF129" s="55" t="e">
        <f ca="1"/>
        <v>#N/A</v>
      </c>
      <c r="AG129" s="55" t="e">
        <f ca="1"/>
        <v>#N/A</v>
      </c>
      <c r="AH129" s="55" t="e">
        <f ca="1"/>
        <v>#N/A</v>
      </c>
      <c r="AI129" s="55" t="e">
        <f ca="1"/>
        <v>#N/A</v>
      </c>
      <c r="AJ129" s="55" t="e">
        <f ca="1"/>
        <v>#N/A</v>
      </c>
      <c r="AK129" s="55" t="e">
        <f ca="1"/>
        <v>#N/A</v>
      </c>
      <c r="AL129" s="55" t="e">
        <f ca="1"/>
        <v>#N/A</v>
      </c>
    </row>
    <row r="130" spans="5:38" ht="21" customHeight="1" outlineLevel="1" thickBot="1" x14ac:dyDescent="0.4">
      <c r="E130" s="17" t="e">
        <f ca="1"/>
        <v>#N/A</v>
      </c>
      <c r="F130" s="55" t="e">
        <f ca="1"/>
        <v>#N/A</v>
      </c>
      <c r="G130" s="55" t="e">
        <f ca="1"/>
        <v>#N/A</v>
      </c>
      <c r="H130" s="55" t="e">
        <f ca="1"/>
        <v>#N/A</v>
      </c>
      <c r="I130" s="55" t="e">
        <f ca="1"/>
        <v>#N/A</v>
      </c>
      <c r="J130" s="55" t="e">
        <f ca="1"/>
        <v>#N/A</v>
      </c>
      <c r="K130" s="55" t="e">
        <f ca="1"/>
        <v>#N/A</v>
      </c>
      <c r="L130" s="55" t="e">
        <f ca="1"/>
        <v>#N/A</v>
      </c>
      <c r="M130" s="55" t="e">
        <f ca="1"/>
        <v>#N/A</v>
      </c>
      <c r="N130" s="55" t="e">
        <f ca="1"/>
        <v>#N/A</v>
      </c>
      <c r="O130" s="55" t="e">
        <f ca="1"/>
        <v>#N/A</v>
      </c>
      <c r="P130" s="55" t="e">
        <f ca="1"/>
        <v>#N/A</v>
      </c>
      <c r="Q130" s="55" t="e">
        <f ca="1"/>
        <v>#N/A</v>
      </c>
      <c r="R130" s="55" t="e">
        <f ca="1"/>
        <v>#N/A</v>
      </c>
      <c r="S130" s="55" t="e">
        <f ca="1"/>
        <v>#N/A</v>
      </c>
      <c r="T130" s="55" t="e">
        <f ca="1"/>
        <v>#N/A</v>
      </c>
      <c r="U130" s="55" t="e">
        <f ca="1"/>
        <v>#N/A</v>
      </c>
      <c r="V130" s="55" t="e">
        <f ca="1"/>
        <v>#N/A</v>
      </c>
      <c r="W130" s="55" t="e">
        <f ca="1"/>
        <v>#N/A</v>
      </c>
      <c r="X130" s="55" t="e">
        <f ca="1"/>
        <v>#N/A</v>
      </c>
      <c r="Y130" s="55" t="e">
        <f ca="1"/>
        <v>#N/A</v>
      </c>
      <c r="Z130" s="55" t="e">
        <f ca="1"/>
        <v>#N/A</v>
      </c>
      <c r="AA130" s="55" t="e">
        <f ca="1"/>
        <v>#N/A</v>
      </c>
      <c r="AB130" s="55" t="e">
        <f ca="1"/>
        <v>#N/A</v>
      </c>
      <c r="AC130" s="55" t="e">
        <f ca="1"/>
        <v>#N/A</v>
      </c>
      <c r="AD130" s="55" t="e">
        <f ca="1"/>
        <v>#N/A</v>
      </c>
      <c r="AE130" s="55" t="e">
        <f ca="1"/>
        <v>#N/A</v>
      </c>
      <c r="AF130" s="55" t="e">
        <f ca="1"/>
        <v>#N/A</v>
      </c>
      <c r="AG130" s="55" t="e">
        <f ca="1"/>
        <v>#N/A</v>
      </c>
      <c r="AH130" s="55" t="e">
        <f ca="1"/>
        <v>#N/A</v>
      </c>
      <c r="AI130" s="55" t="e">
        <f ca="1"/>
        <v>#N/A</v>
      </c>
      <c r="AJ130" s="55" t="e">
        <f ca="1"/>
        <v>#N/A</v>
      </c>
      <c r="AK130" s="55" t="e">
        <f ca="1"/>
        <v>#N/A</v>
      </c>
      <c r="AL130" s="55" t="e">
        <f ca="1"/>
        <v>#N/A</v>
      </c>
    </row>
    <row r="131" spans="5:38" ht="21" customHeight="1" outlineLevel="1" thickBot="1" x14ac:dyDescent="0.4">
      <c r="E131" s="17" t="e">
        <f ca="1"/>
        <v>#N/A</v>
      </c>
      <c r="F131" s="55" t="e">
        <f ca="1"/>
        <v>#N/A</v>
      </c>
      <c r="G131" s="55" t="e">
        <f ca="1"/>
        <v>#N/A</v>
      </c>
      <c r="H131" s="55" t="e">
        <f ca="1"/>
        <v>#N/A</v>
      </c>
      <c r="I131" s="55" t="e">
        <f ca="1"/>
        <v>#N/A</v>
      </c>
      <c r="J131" s="55" t="e">
        <f ca="1"/>
        <v>#N/A</v>
      </c>
      <c r="K131" s="55" t="e">
        <f ca="1"/>
        <v>#N/A</v>
      </c>
      <c r="L131" s="55" t="e">
        <f ca="1"/>
        <v>#N/A</v>
      </c>
      <c r="M131" s="55" t="e">
        <f ca="1"/>
        <v>#N/A</v>
      </c>
      <c r="N131" s="55" t="e">
        <f ca="1"/>
        <v>#N/A</v>
      </c>
      <c r="O131" s="55" t="e">
        <f ca="1"/>
        <v>#N/A</v>
      </c>
      <c r="P131" s="55" t="e">
        <f ca="1"/>
        <v>#N/A</v>
      </c>
      <c r="Q131" s="55" t="e">
        <f ca="1"/>
        <v>#N/A</v>
      </c>
      <c r="R131" s="55" t="e">
        <f ca="1"/>
        <v>#N/A</v>
      </c>
      <c r="S131" s="55" t="e">
        <f ca="1"/>
        <v>#N/A</v>
      </c>
      <c r="T131" s="55" t="e">
        <f ca="1"/>
        <v>#N/A</v>
      </c>
      <c r="U131" s="55" t="e">
        <f ca="1"/>
        <v>#N/A</v>
      </c>
      <c r="V131" s="55" t="e">
        <f ca="1"/>
        <v>#N/A</v>
      </c>
      <c r="W131" s="55" t="e">
        <f ca="1"/>
        <v>#N/A</v>
      </c>
      <c r="X131" s="55" t="e">
        <f ca="1"/>
        <v>#N/A</v>
      </c>
      <c r="Y131" s="55" t="e">
        <f ca="1"/>
        <v>#N/A</v>
      </c>
      <c r="Z131" s="55" t="e">
        <f ca="1"/>
        <v>#N/A</v>
      </c>
      <c r="AA131" s="55" t="e">
        <f ca="1"/>
        <v>#N/A</v>
      </c>
      <c r="AB131" s="55" t="e">
        <f ca="1"/>
        <v>#N/A</v>
      </c>
      <c r="AC131" s="55" t="e">
        <f ca="1"/>
        <v>#N/A</v>
      </c>
      <c r="AD131" s="55" t="e">
        <f ca="1"/>
        <v>#N/A</v>
      </c>
      <c r="AE131" s="55" t="e">
        <f ca="1"/>
        <v>#N/A</v>
      </c>
      <c r="AF131" s="55" t="e">
        <f ca="1"/>
        <v>#N/A</v>
      </c>
      <c r="AG131" s="55" t="e">
        <f ca="1"/>
        <v>#N/A</v>
      </c>
      <c r="AH131" s="55" t="e">
        <f ca="1"/>
        <v>#N/A</v>
      </c>
      <c r="AI131" s="55" t="e">
        <f ca="1"/>
        <v>#N/A</v>
      </c>
      <c r="AJ131" s="55" t="e">
        <f ca="1"/>
        <v>#N/A</v>
      </c>
      <c r="AK131" s="55" t="e">
        <f ca="1"/>
        <v>#N/A</v>
      </c>
      <c r="AL131" s="55" t="e">
        <f ca="1"/>
        <v>#N/A</v>
      </c>
    </row>
    <row r="132" spans="5:38" ht="21" customHeight="1" outlineLevel="1" thickBot="1" x14ac:dyDescent="0.4">
      <c r="E132" s="17" t="e">
        <f ca="1"/>
        <v>#N/A</v>
      </c>
      <c r="F132" s="55" t="e">
        <f ca="1"/>
        <v>#N/A</v>
      </c>
      <c r="G132" s="55" t="e">
        <f ca="1"/>
        <v>#N/A</v>
      </c>
      <c r="H132" s="55" t="e">
        <f ca="1"/>
        <v>#N/A</v>
      </c>
      <c r="I132" s="55" t="e">
        <f ca="1"/>
        <v>#N/A</v>
      </c>
      <c r="J132" s="55" t="e">
        <f ca="1"/>
        <v>#N/A</v>
      </c>
      <c r="K132" s="55" t="e">
        <f ca="1"/>
        <v>#N/A</v>
      </c>
      <c r="L132" s="55" t="e">
        <f ca="1"/>
        <v>#N/A</v>
      </c>
      <c r="M132" s="55" t="e">
        <f ca="1"/>
        <v>#N/A</v>
      </c>
      <c r="N132" s="55" t="e">
        <f ca="1"/>
        <v>#N/A</v>
      </c>
      <c r="O132" s="55" t="e">
        <f ca="1"/>
        <v>#N/A</v>
      </c>
      <c r="P132" s="55" t="e">
        <f ca="1"/>
        <v>#N/A</v>
      </c>
      <c r="Q132" s="55" t="e">
        <f ca="1"/>
        <v>#N/A</v>
      </c>
      <c r="R132" s="55" t="e">
        <f ca="1"/>
        <v>#N/A</v>
      </c>
      <c r="S132" s="55" t="e">
        <f ca="1"/>
        <v>#N/A</v>
      </c>
      <c r="T132" s="55" t="e">
        <f ca="1"/>
        <v>#N/A</v>
      </c>
      <c r="U132" s="55" t="e">
        <f ca="1"/>
        <v>#N/A</v>
      </c>
      <c r="V132" s="55" t="e">
        <f ca="1"/>
        <v>#N/A</v>
      </c>
      <c r="W132" s="55" t="e">
        <f ca="1"/>
        <v>#N/A</v>
      </c>
      <c r="X132" s="55" t="e">
        <f ca="1"/>
        <v>#N/A</v>
      </c>
      <c r="Y132" s="55" t="e">
        <f ca="1"/>
        <v>#N/A</v>
      </c>
      <c r="Z132" s="55" t="e">
        <f ca="1"/>
        <v>#N/A</v>
      </c>
      <c r="AA132" s="55" t="e">
        <f ca="1"/>
        <v>#N/A</v>
      </c>
      <c r="AB132" s="55" t="e">
        <f ca="1"/>
        <v>#N/A</v>
      </c>
      <c r="AC132" s="55" t="e">
        <f ca="1"/>
        <v>#N/A</v>
      </c>
      <c r="AD132" s="55" t="e">
        <f ca="1"/>
        <v>#N/A</v>
      </c>
      <c r="AE132" s="55" t="e">
        <f ca="1"/>
        <v>#N/A</v>
      </c>
      <c r="AF132" s="55" t="e">
        <f ca="1"/>
        <v>#N/A</v>
      </c>
      <c r="AG132" s="55" t="e">
        <f ca="1"/>
        <v>#N/A</v>
      </c>
      <c r="AH132" s="55" t="e">
        <f ca="1"/>
        <v>#N/A</v>
      </c>
      <c r="AI132" s="55" t="e">
        <f ca="1"/>
        <v>#N/A</v>
      </c>
      <c r="AJ132" s="55" t="e">
        <f ca="1"/>
        <v>#N/A</v>
      </c>
      <c r="AK132" s="55" t="e">
        <f ca="1"/>
        <v>#N/A</v>
      </c>
      <c r="AL132" s="55" t="e">
        <f ca="1"/>
        <v>#N/A</v>
      </c>
    </row>
    <row r="133" spans="5:38" ht="21" customHeight="1" outlineLevel="1" thickBot="1" x14ac:dyDescent="0.4">
      <c r="E133" s="17" t="e">
        <f ca="1"/>
        <v>#N/A</v>
      </c>
      <c r="F133" s="55" t="e">
        <f ca="1"/>
        <v>#N/A</v>
      </c>
      <c r="G133" s="55" t="e">
        <f ca="1"/>
        <v>#N/A</v>
      </c>
      <c r="H133" s="55" t="e">
        <f ca="1"/>
        <v>#N/A</v>
      </c>
      <c r="I133" s="55" t="e">
        <f ca="1"/>
        <v>#N/A</v>
      </c>
      <c r="J133" s="55" t="e">
        <f ca="1"/>
        <v>#N/A</v>
      </c>
      <c r="K133" s="55" t="e">
        <f ca="1"/>
        <v>#N/A</v>
      </c>
      <c r="L133" s="55" t="e">
        <f ca="1"/>
        <v>#N/A</v>
      </c>
      <c r="M133" s="55" t="e">
        <f ca="1"/>
        <v>#N/A</v>
      </c>
      <c r="N133" s="55" t="e">
        <f ca="1"/>
        <v>#N/A</v>
      </c>
      <c r="O133" s="55" t="e">
        <f ca="1"/>
        <v>#N/A</v>
      </c>
      <c r="P133" s="55" t="e">
        <f ca="1"/>
        <v>#N/A</v>
      </c>
      <c r="Q133" s="55" t="e">
        <f ca="1"/>
        <v>#N/A</v>
      </c>
      <c r="R133" s="55" t="e">
        <f ca="1"/>
        <v>#N/A</v>
      </c>
      <c r="S133" s="55" t="e">
        <f ca="1"/>
        <v>#N/A</v>
      </c>
      <c r="T133" s="55" t="e">
        <f ca="1"/>
        <v>#N/A</v>
      </c>
      <c r="U133" s="55" t="e">
        <f ca="1"/>
        <v>#N/A</v>
      </c>
      <c r="V133" s="55" t="e">
        <f ca="1"/>
        <v>#N/A</v>
      </c>
      <c r="W133" s="55" t="e">
        <f ca="1"/>
        <v>#N/A</v>
      </c>
      <c r="X133" s="55" t="e">
        <f ca="1"/>
        <v>#N/A</v>
      </c>
      <c r="Y133" s="55" t="e">
        <f ca="1"/>
        <v>#N/A</v>
      </c>
      <c r="Z133" s="55" t="e">
        <f ca="1"/>
        <v>#N/A</v>
      </c>
      <c r="AA133" s="55" t="e">
        <f ca="1"/>
        <v>#N/A</v>
      </c>
      <c r="AB133" s="55" t="e">
        <f ca="1"/>
        <v>#N/A</v>
      </c>
      <c r="AC133" s="55" t="e">
        <f ca="1"/>
        <v>#N/A</v>
      </c>
      <c r="AD133" s="55" t="e">
        <f ca="1"/>
        <v>#N/A</v>
      </c>
      <c r="AE133" s="55" t="e">
        <f ca="1"/>
        <v>#N/A</v>
      </c>
      <c r="AF133" s="55" t="e">
        <f ca="1"/>
        <v>#N/A</v>
      </c>
      <c r="AG133" s="55" t="e">
        <f ca="1"/>
        <v>#N/A</v>
      </c>
      <c r="AH133" s="55" t="e">
        <f ca="1"/>
        <v>#N/A</v>
      </c>
      <c r="AI133" s="55" t="e">
        <f ca="1"/>
        <v>#N/A</v>
      </c>
      <c r="AJ133" s="55" t="e">
        <f ca="1"/>
        <v>#N/A</v>
      </c>
      <c r="AK133" s="55" t="e">
        <f ca="1"/>
        <v>#N/A</v>
      </c>
      <c r="AL133" s="55" t="e">
        <f ca="1"/>
        <v>#N/A</v>
      </c>
    </row>
    <row r="134" spans="5:38" ht="21" customHeight="1" outlineLevel="1" thickBot="1" x14ac:dyDescent="0.4">
      <c r="E134" s="17" t="e">
        <f ca="1"/>
        <v>#N/A</v>
      </c>
      <c r="F134" s="55" t="e">
        <f ca="1"/>
        <v>#N/A</v>
      </c>
      <c r="G134" s="55" t="e">
        <f ca="1"/>
        <v>#N/A</v>
      </c>
      <c r="H134" s="55" t="e">
        <f ca="1"/>
        <v>#N/A</v>
      </c>
      <c r="I134" s="55" t="e">
        <f ca="1"/>
        <v>#N/A</v>
      </c>
      <c r="J134" s="55" t="e">
        <f ca="1"/>
        <v>#N/A</v>
      </c>
      <c r="K134" s="55" t="e">
        <f ca="1"/>
        <v>#N/A</v>
      </c>
      <c r="L134" s="55" t="e">
        <f ca="1"/>
        <v>#N/A</v>
      </c>
      <c r="M134" s="55" t="e">
        <f ca="1"/>
        <v>#N/A</v>
      </c>
      <c r="N134" s="55" t="e">
        <f ca="1"/>
        <v>#N/A</v>
      </c>
      <c r="O134" s="55" t="e">
        <f ca="1"/>
        <v>#N/A</v>
      </c>
      <c r="P134" s="55" t="e">
        <f ca="1"/>
        <v>#N/A</v>
      </c>
      <c r="Q134" s="55" t="e">
        <f ca="1"/>
        <v>#N/A</v>
      </c>
      <c r="R134" s="55" t="e">
        <f ca="1"/>
        <v>#N/A</v>
      </c>
      <c r="S134" s="55" t="e">
        <f ca="1"/>
        <v>#N/A</v>
      </c>
      <c r="T134" s="55" t="e">
        <f ca="1"/>
        <v>#N/A</v>
      </c>
      <c r="U134" s="55" t="e">
        <f ca="1"/>
        <v>#N/A</v>
      </c>
      <c r="V134" s="55" t="e">
        <f ca="1"/>
        <v>#N/A</v>
      </c>
      <c r="W134" s="55" t="e">
        <f ca="1"/>
        <v>#N/A</v>
      </c>
      <c r="X134" s="55" t="e">
        <f ca="1"/>
        <v>#N/A</v>
      </c>
      <c r="Y134" s="55" t="e">
        <f ca="1"/>
        <v>#N/A</v>
      </c>
      <c r="Z134" s="55" t="e">
        <f ca="1"/>
        <v>#N/A</v>
      </c>
      <c r="AA134" s="55" t="e">
        <f ca="1"/>
        <v>#N/A</v>
      </c>
      <c r="AB134" s="55" t="e">
        <f ca="1"/>
        <v>#N/A</v>
      </c>
      <c r="AC134" s="55" t="e">
        <f ca="1"/>
        <v>#N/A</v>
      </c>
      <c r="AD134" s="55" t="e">
        <f ca="1"/>
        <v>#N/A</v>
      </c>
      <c r="AE134" s="55" t="e">
        <f ca="1"/>
        <v>#N/A</v>
      </c>
      <c r="AF134" s="55" t="e">
        <f ca="1"/>
        <v>#N/A</v>
      </c>
      <c r="AG134" s="55" t="e">
        <f ca="1"/>
        <v>#N/A</v>
      </c>
      <c r="AH134" s="55" t="e">
        <f ca="1"/>
        <v>#N/A</v>
      </c>
      <c r="AI134" s="55" t="e">
        <f ca="1"/>
        <v>#N/A</v>
      </c>
      <c r="AJ134" s="55" t="e">
        <f ca="1"/>
        <v>#N/A</v>
      </c>
      <c r="AK134" s="55" t="e">
        <f ca="1"/>
        <v>#N/A</v>
      </c>
      <c r="AL134" s="55" t="e">
        <f ca="1"/>
        <v>#N/A</v>
      </c>
    </row>
    <row r="135" spans="5:38" ht="21" customHeight="1" outlineLevel="1" thickBot="1" x14ac:dyDescent="0.4">
      <c r="E135" s="17" t="e">
        <f ca="1"/>
        <v>#N/A</v>
      </c>
      <c r="F135" s="55" t="e">
        <f ca="1"/>
        <v>#N/A</v>
      </c>
      <c r="G135" s="55" t="e">
        <f ca="1"/>
        <v>#N/A</v>
      </c>
      <c r="H135" s="55" t="e">
        <f ca="1"/>
        <v>#N/A</v>
      </c>
      <c r="I135" s="55" t="e">
        <f ca="1"/>
        <v>#N/A</v>
      </c>
      <c r="J135" s="55" t="e">
        <f ca="1"/>
        <v>#N/A</v>
      </c>
      <c r="K135" s="55" t="e">
        <f ca="1"/>
        <v>#N/A</v>
      </c>
      <c r="L135" s="55" t="e">
        <f ca="1"/>
        <v>#N/A</v>
      </c>
      <c r="M135" s="55" t="e">
        <f ca="1"/>
        <v>#N/A</v>
      </c>
      <c r="N135" s="55" t="e">
        <f ca="1"/>
        <v>#N/A</v>
      </c>
      <c r="O135" s="55" t="e">
        <f ca="1"/>
        <v>#N/A</v>
      </c>
      <c r="P135" s="55" t="e">
        <f ca="1"/>
        <v>#N/A</v>
      </c>
      <c r="Q135" s="55" t="e">
        <f ca="1"/>
        <v>#N/A</v>
      </c>
      <c r="R135" s="55" t="e">
        <f ca="1"/>
        <v>#N/A</v>
      </c>
      <c r="S135" s="55" t="e">
        <f ca="1"/>
        <v>#N/A</v>
      </c>
      <c r="T135" s="55" t="e">
        <f ca="1"/>
        <v>#N/A</v>
      </c>
      <c r="U135" s="55" t="e">
        <f ca="1"/>
        <v>#N/A</v>
      </c>
      <c r="V135" s="55" t="e">
        <f ca="1"/>
        <v>#N/A</v>
      </c>
      <c r="W135" s="55" t="e">
        <f ca="1"/>
        <v>#N/A</v>
      </c>
      <c r="X135" s="55" t="e">
        <f ca="1"/>
        <v>#N/A</v>
      </c>
      <c r="Y135" s="55" t="e">
        <f ca="1"/>
        <v>#N/A</v>
      </c>
      <c r="Z135" s="55" t="e">
        <f ca="1"/>
        <v>#N/A</v>
      </c>
      <c r="AA135" s="55" t="e">
        <f ca="1"/>
        <v>#N/A</v>
      </c>
      <c r="AB135" s="55" t="e">
        <f ca="1"/>
        <v>#N/A</v>
      </c>
      <c r="AC135" s="55" t="e">
        <f ca="1"/>
        <v>#N/A</v>
      </c>
      <c r="AD135" s="55" t="e">
        <f ca="1"/>
        <v>#N/A</v>
      </c>
      <c r="AE135" s="55" t="e">
        <f ca="1"/>
        <v>#N/A</v>
      </c>
      <c r="AF135" s="55" t="e">
        <f ca="1"/>
        <v>#N/A</v>
      </c>
      <c r="AG135" s="55" t="e">
        <f ca="1"/>
        <v>#N/A</v>
      </c>
      <c r="AH135" s="55" t="e">
        <f ca="1"/>
        <v>#N/A</v>
      </c>
      <c r="AI135" s="55" t="e">
        <f ca="1"/>
        <v>#N/A</v>
      </c>
      <c r="AJ135" s="55" t="e">
        <f ca="1"/>
        <v>#N/A</v>
      </c>
      <c r="AK135" s="55" t="e">
        <f ca="1"/>
        <v>#N/A</v>
      </c>
      <c r="AL135" s="55" t="e">
        <f ca="1"/>
        <v>#N/A</v>
      </c>
    </row>
    <row r="136" spans="5:38" ht="21" customHeight="1" outlineLevel="1" thickBot="1" x14ac:dyDescent="0.4">
      <c r="E136" s="18"/>
    </row>
  </sheetData>
  <mergeCells count="2">
    <mergeCell ref="A1:BB1"/>
    <mergeCell ref="A113:B113"/>
  </mergeCells>
  <conditionalFormatting sqref="A4:D33">
    <cfRule type="cellIs" dxfId="6" priority="49" operator="equal">
      <formula>0</formula>
    </cfRule>
  </conditionalFormatting>
  <conditionalFormatting sqref="A80:D109">
    <cfRule type="cellIs" dxfId="5" priority="48" operator="equal">
      <formula>0</formula>
    </cfRule>
  </conditionalFormatting>
  <conditionalFormatting sqref="F32:AL32">
    <cfRule type="colorScale" priority="47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46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AK20">
    <cfRule type="colorScale" priority="7">
      <colorScale>
        <cfvo type="min"/>
        <cfvo type="max"/>
        <color rgb="FFFFEF9C"/>
        <color rgb="FF63BE7B"/>
      </colorScale>
    </cfRule>
    <cfRule type="colorScale" priority="36">
      <colorScale>
        <cfvo type="min"/>
        <cfvo type="max"/>
        <color rgb="FFFFEF9C"/>
        <color rgb="FF63BE7B"/>
      </colorScale>
    </cfRule>
  </conditionalFormatting>
  <conditionalFormatting sqref="F21:AK21">
    <cfRule type="colorScale" priority="6">
      <colorScale>
        <cfvo type="min"/>
        <cfvo type="max"/>
        <color rgb="FFFFEF9C"/>
        <color rgb="FF63BE7B"/>
      </colorScale>
    </cfRule>
    <cfRule type="colorScale" priority="37">
      <colorScale>
        <cfvo type="min"/>
        <cfvo type="max"/>
        <color rgb="FFFFEF9C"/>
        <color rgb="FF63BE7B"/>
      </colorScale>
    </cfRule>
  </conditionalFormatting>
  <conditionalFormatting sqref="F22:AK22">
    <cfRule type="colorScale" priority="5">
      <colorScale>
        <cfvo type="min"/>
        <cfvo type="max"/>
        <color rgb="FFFFEF9C"/>
        <color rgb="FF63BE7B"/>
      </colorScale>
    </cfRule>
    <cfRule type="colorScale" priority="38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3">
      <colorScale>
        <cfvo type="min"/>
        <cfvo type="max"/>
        <color rgb="FFFFEF9C"/>
        <color rgb="FF63BE7B"/>
      </colorScale>
    </cfRule>
  </conditionalFormatting>
  <conditionalFormatting sqref="A46:D75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BC6C071D-4003-4C5C-9A78-C18F168C0DA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SOLID!F29:AK29</xm:f>
              <xm:sqref>AL29</xm:sqref>
            </x14:sparkline>
            <x14:sparkline>
              <xm:f>SOLID!F30:AK30</xm:f>
              <xm:sqref>AL30</xm:sqref>
            </x14:sparkline>
            <x14:sparkline>
              <xm:f>SOLID!F31:AK31</xm:f>
              <xm:sqref>AL31</xm:sqref>
            </x14:sparkline>
            <x14:sparkline>
              <xm:f>SOLID!F32:AK32</xm:f>
              <xm:sqref>AL32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Q156"/>
  <sheetViews>
    <sheetView tabSelected="1" zoomScale="85" zoomScaleNormal="85" workbookViewId="0">
      <pane ySplit="1" topLeftCell="A132" activePane="bottomLeft" state="frozen"/>
      <selection pane="bottomLeft" activeCell="CY153" sqref="CY153"/>
    </sheetView>
  </sheetViews>
  <sheetFormatPr defaultRowHeight="21" outlineLevelRow="1" x14ac:dyDescent="0.35"/>
  <cols>
    <col min="1" max="1" width="13.81640625" bestFit="1" customWidth="1"/>
    <col min="2" max="5" width="4.26953125" style="38" customWidth="1"/>
    <col min="6" max="34" width="10.90625" hidden="1" customWidth="1"/>
    <col min="35" max="94" width="4.26953125" hidden="1" customWidth="1"/>
    <col min="95" max="95" width="3.453125" style="55" customWidth="1"/>
    <col min="96" max="16384" width="8.7265625" style="37"/>
  </cols>
  <sheetData>
    <row r="1" spans="1:95" ht="18.75" customHeight="1" thickBot="1" x14ac:dyDescent="0.4">
      <c r="A1" s="34" t="s">
        <v>18</v>
      </c>
      <c r="B1" s="39">
        <v>290</v>
      </c>
      <c r="C1" s="66">
        <v>1000</v>
      </c>
      <c r="D1" s="67" t="s">
        <v>19</v>
      </c>
      <c r="E1" s="68">
        <v>80</v>
      </c>
      <c r="F1" s="37"/>
      <c r="G1" s="37"/>
      <c r="H1" s="37"/>
      <c r="I1" s="37"/>
      <c r="J1" s="37"/>
    </row>
    <row r="2" spans="1:95" ht="23.25" customHeight="1" thickTop="1" thickBot="1" x14ac:dyDescent="0.4">
      <c r="A2" s="4" t="s">
        <v>29</v>
      </c>
      <c r="B2" s="69">
        <f>FLUID!F45</f>
        <v>273</v>
      </c>
      <c r="C2" s="69">
        <f>FLUID!G45</f>
        <v>339.2</v>
      </c>
      <c r="D2" s="69">
        <f>FLUID!H45</f>
        <v>405.3</v>
      </c>
      <c r="E2" s="69">
        <f>FLUID!I45</f>
        <v>471.4</v>
      </c>
      <c r="F2" s="69">
        <f>FLUID!J45</f>
        <v>537.5</v>
      </c>
      <c r="G2" s="69">
        <f>FLUID!K45</f>
        <v>603.5</v>
      </c>
      <c r="H2" s="69">
        <f>FLUID!L45</f>
        <v>669.6</v>
      </c>
      <c r="I2" s="69">
        <f>FLUID!M45</f>
        <v>735.7</v>
      </c>
      <c r="J2" s="69">
        <f>FLUID!N45</f>
        <v>801.8</v>
      </c>
      <c r="K2" s="69">
        <f>FLUID!O45</f>
        <v>867.8</v>
      </c>
      <c r="L2" s="69">
        <f>FLUID!P45</f>
        <v>933.9</v>
      </c>
      <c r="M2" s="69">
        <f>FLUID!Q45</f>
        <v>1000</v>
      </c>
      <c r="N2" s="69">
        <f>FLUID!R45</f>
        <v>0</v>
      </c>
      <c r="O2" s="69">
        <f>FLUID!S45</f>
        <v>0</v>
      </c>
      <c r="P2" s="69">
        <f>FLUID!T45</f>
        <v>0</v>
      </c>
      <c r="Q2" s="69">
        <f>FLUID!U45</f>
        <v>0</v>
      </c>
      <c r="R2" s="69">
        <f>FLUID!V45</f>
        <v>0</v>
      </c>
      <c r="S2" s="69">
        <f>FLUID!W45</f>
        <v>0</v>
      </c>
      <c r="T2" s="69">
        <f>FLUID!X45</f>
        <v>0</v>
      </c>
      <c r="U2" s="69">
        <f>FLUID!Y45</f>
        <v>0</v>
      </c>
      <c r="V2" s="69">
        <f>FLUID!Z45</f>
        <v>0</v>
      </c>
      <c r="W2" s="69">
        <f>FLUID!AA45</f>
        <v>0</v>
      </c>
      <c r="X2" s="69">
        <f>FLUID!AB45</f>
        <v>0</v>
      </c>
      <c r="Y2" s="69">
        <f>FLUID!AC45</f>
        <v>0</v>
      </c>
      <c r="Z2" s="69">
        <f>FLUID!AD45</f>
        <v>0</v>
      </c>
      <c r="AA2" s="69">
        <f>FLUID!AE45</f>
        <v>0</v>
      </c>
      <c r="AB2" s="69">
        <f>FLUID!AF45</f>
        <v>0</v>
      </c>
      <c r="AC2" s="69">
        <f>FLUID!AG45</f>
        <v>0</v>
      </c>
      <c r="AD2" s="69">
        <f>FLUID!AH45</f>
        <v>0</v>
      </c>
      <c r="AE2" s="69">
        <f>FLUID!AI45</f>
        <v>0</v>
      </c>
      <c r="AF2" s="69">
        <f>FLUID!AJ45</f>
        <v>0</v>
      </c>
      <c r="AG2" s="69">
        <f>FLUID!AK45</f>
        <v>0</v>
      </c>
      <c r="AH2" s="69">
        <f>FLUID!AL45</f>
        <v>0</v>
      </c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>
        <v>0</v>
      </c>
    </row>
    <row r="3" spans="1:95" ht="22.5" hidden="1" outlineLevel="1" thickTop="1" thickBot="1" x14ac:dyDescent="0.4">
      <c r="A3" s="48" t="str">
        <f>FLUID!E46</f>
        <v>*Se[l]</v>
      </c>
      <c r="B3" s="16">
        <f ca="1">FLUID!F46</f>
        <v>-4.7</v>
      </c>
      <c r="C3" s="16">
        <f ca="1">FLUID!G46</f>
        <v>-5.0519999999999996</v>
      </c>
      <c r="D3" s="16">
        <f ca="1">FLUID!H46</f>
        <v>-5.4409999999999998</v>
      </c>
      <c r="E3" s="16">
        <f ca="1">FLUID!I46</f>
        <v>-5.8239999999999998</v>
      </c>
      <c r="F3" s="14">
        <f ca="1">FLUID!J46</f>
        <v>-6.1890000000000001</v>
      </c>
      <c r="G3" s="14">
        <f ca="1">FLUID!K46</f>
        <v>-6.53</v>
      </c>
      <c r="H3" s="14">
        <f ca="1">FLUID!L46</f>
        <v>-6.8470000000000004</v>
      </c>
      <c r="I3" s="14">
        <f ca="1">FLUID!M46</f>
        <v>-7.1420000000000003</v>
      </c>
      <c r="J3" s="14">
        <f ca="1">FLUID!N46</f>
        <v>-7.42</v>
      </c>
      <c r="K3" s="14">
        <f ca="1">FLUID!O46</f>
        <v>-7.6909999999999998</v>
      </c>
      <c r="L3" s="14">
        <f ca="1">FLUID!P46</f>
        <v>-7.9740000000000002</v>
      </c>
      <c r="M3" s="14">
        <f ca="1">FLUID!Q46</f>
        <v>-8.298</v>
      </c>
      <c r="N3" s="14">
        <f ca="1">FLUID!R46</f>
        <v>0</v>
      </c>
      <c r="O3" s="14">
        <f ca="1">FLUID!S46</f>
        <v>0</v>
      </c>
      <c r="P3" s="14">
        <f ca="1">FLUID!T46</f>
        <v>0</v>
      </c>
      <c r="Q3" s="14">
        <f ca="1">FLUID!U46</f>
        <v>0</v>
      </c>
      <c r="R3" s="14">
        <f ca="1">FLUID!V46</f>
        <v>0</v>
      </c>
      <c r="S3" s="14">
        <f ca="1">FLUID!W46</f>
        <v>0</v>
      </c>
      <c r="T3" s="14">
        <f ca="1">FLUID!X46</f>
        <v>0</v>
      </c>
      <c r="U3" s="14">
        <f ca="1">FLUID!Y46</f>
        <v>0</v>
      </c>
      <c r="V3" s="14">
        <f ca="1">FLUID!Z46</f>
        <v>0</v>
      </c>
      <c r="W3" s="14">
        <f ca="1">FLUID!AA46</f>
        <v>0</v>
      </c>
      <c r="X3" s="14">
        <f ca="1">FLUID!AB46</f>
        <v>0</v>
      </c>
      <c r="Y3" s="14">
        <f ca="1">FLUID!AC46</f>
        <v>0</v>
      </c>
      <c r="Z3" s="14">
        <f ca="1">FLUID!AD46</f>
        <v>0</v>
      </c>
      <c r="AA3" s="14">
        <f ca="1">FLUID!AE46</f>
        <v>0</v>
      </c>
      <c r="AB3" s="14">
        <f ca="1">FLUID!AF46</f>
        <v>0</v>
      </c>
      <c r="AC3" s="14">
        <f ca="1">FLUID!AG46</f>
        <v>0</v>
      </c>
      <c r="AD3" s="14">
        <f ca="1">FLUID!AH46</f>
        <v>0</v>
      </c>
      <c r="AE3" s="14">
        <f ca="1">FLUID!AI46</f>
        <v>0</v>
      </c>
      <c r="AF3" s="14">
        <f ca="1">FLUID!AJ46</f>
        <v>0</v>
      </c>
      <c r="AG3" s="14">
        <f ca="1">FLUID!AK46</f>
        <v>0</v>
      </c>
      <c r="AH3" s="14">
        <f ca="1">FLUID!AL46</f>
        <v>0</v>
      </c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>
        <v>0</v>
      </c>
    </row>
    <row r="4" spans="1:95" ht="22.5" hidden="1" outlineLevel="1" thickTop="1" thickBot="1" x14ac:dyDescent="0.4">
      <c r="A4" s="36" t="str">
        <f>FLUID!E47</f>
        <v>Se3</v>
      </c>
      <c r="B4" s="16">
        <f ca="1">FLUID!F47</f>
        <v>-14.100000000000001</v>
      </c>
      <c r="C4" s="16">
        <f ca="1">FLUID!G47</f>
        <v>-15.155999999999999</v>
      </c>
      <c r="D4" s="16">
        <f ca="1">FLUID!H47</f>
        <v>-16.323</v>
      </c>
      <c r="E4" s="16">
        <f ca="1">FLUID!I47</f>
        <v>-17.472000000000001</v>
      </c>
      <c r="F4" s="14">
        <f ca="1">FLUID!J47</f>
        <v>-18.567</v>
      </c>
      <c r="G4" s="14">
        <f ca="1">FLUID!K47</f>
        <v>-19.59</v>
      </c>
      <c r="H4" s="14">
        <f ca="1">FLUID!L47</f>
        <v>-20.541</v>
      </c>
      <c r="I4" s="14">
        <f ca="1">FLUID!M47</f>
        <v>-21.426000000000002</v>
      </c>
      <c r="J4" s="14">
        <f ca="1">FLUID!N47</f>
        <v>-22.259999999999998</v>
      </c>
      <c r="K4" s="14">
        <f ca="1">FLUID!O47</f>
        <v>-23.073</v>
      </c>
      <c r="L4" s="14">
        <f ca="1">FLUID!P47</f>
        <v>-23.922000000000001</v>
      </c>
      <c r="M4" s="14">
        <f ca="1">FLUID!Q47</f>
        <v>-24.893999999999998</v>
      </c>
      <c r="N4" s="14">
        <f ca="1">FLUID!R47</f>
        <v>0</v>
      </c>
      <c r="O4" s="14">
        <f ca="1">FLUID!S47</f>
        <v>0</v>
      </c>
      <c r="P4" s="14">
        <f ca="1">FLUID!T47</f>
        <v>0</v>
      </c>
      <c r="Q4" s="14">
        <f ca="1">FLUID!U47</f>
        <v>0</v>
      </c>
      <c r="R4" s="14">
        <f ca="1">FLUID!V47</f>
        <v>0</v>
      </c>
      <c r="S4" s="14">
        <f ca="1">FLUID!W47</f>
        <v>0</v>
      </c>
      <c r="T4" s="14">
        <f ca="1">FLUID!X47</f>
        <v>0</v>
      </c>
      <c r="U4" s="14">
        <f ca="1">FLUID!Y47</f>
        <v>0</v>
      </c>
      <c r="V4" s="14">
        <f ca="1">FLUID!Z47</f>
        <v>0</v>
      </c>
      <c r="W4" s="14">
        <f ca="1">FLUID!AA47</f>
        <v>0</v>
      </c>
      <c r="X4" s="14">
        <f ca="1">FLUID!AB47</f>
        <v>0</v>
      </c>
      <c r="Y4" s="14">
        <f ca="1">FLUID!AC47</f>
        <v>0</v>
      </c>
      <c r="Z4" s="14">
        <f ca="1">FLUID!AD47</f>
        <v>0</v>
      </c>
      <c r="AA4" s="14">
        <f ca="1">FLUID!AE47</f>
        <v>0</v>
      </c>
      <c r="AB4" s="14">
        <f ca="1">FLUID!AF47</f>
        <v>0</v>
      </c>
      <c r="AC4" s="14">
        <f ca="1">FLUID!AG47</f>
        <v>0</v>
      </c>
      <c r="AD4" s="14">
        <f ca="1">FLUID!AH47</f>
        <v>0</v>
      </c>
      <c r="AE4" s="14">
        <f ca="1">FLUID!AI47</f>
        <v>0</v>
      </c>
      <c r="AF4" s="14">
        <f ca="1">FLUID!AJ47</f>
        <v>0</v>
      </c>
      <c r="AG4" s="14">
        <f ca="1">FLUID!AK47</f>
        <v>0</v>
      </c>
      <c r="AH4" s="14">
        <f ca="1">FLUID!AL47</f>
        <v>0</v>
      </c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>
        <v>0</v>
      </c>
    </row>
    <row r="5" spans="1:95" ht="22.5" hidden="1" outlineLevel="1" thickTop="1" thickBot="1" x14ac:dyDescent="0.4">
      <c r="A5" s="36" t="str">
        <f>FLUID!E48</f>
        <v>Se4</v>
      </c>
      <c r="B5" s="16">
        <f ca="1">FLUID!F48</f>
        <v>-18.8</v>
      </c>
      <c r="C5" s="16">
        <f ca="1">FLUID!G48</f>
        <v>-20.207999999999998</v>
      </c>
      <c r="D5" s="16">
        <f ca="1">FLUID!H48</f>
        <v>-21.763999999999999</v>
      </c>
      <c r="E5" s="16">
        <f ca="1">FLUID!I48</f>
        <v>-23.295999999999999</v>
      </c>
      <c r="F5" s="14">
        <f ca="1">FLUID!J48</f>
        <v>-24.756</v>
      </c>
      <c r="G5" s="14">
        <f ca="1">FLUID!K48</f>
        <v>-26.12</v>
      </c>
      <c r="H5" s="14">
        <f ca="1">FLUID!L48</f>
        <v>-27.388000000000002</v>
      </c>
      <c r="I5" s="14">
        <f ca="1">FLUID!M48</f>
        <v>-28.568000000000001</v>
      </c>
      <c r="J5" s="14">
        <f ca="1">FLUID!N48</f>
        <v>-29.68</v>
      </c>
      <c r="K5" s="14">
        <f ca="1">FLUID!O48</f>
        <v>-30.763999999999999</v>
      </c>
      <c r="L5" s="14">
        <f ca="1">FLUID!P48</f>
        <v>-31.896000000000001</v>
      </c>
      <c r="M5" s="14">
        <f ca="1">FLUID!Q48</f>
        <v>-33.192</v>
      </c>
      <c r="N5" s="14">
        <f ca="1">FLUID!R48</f>
        <v>0</v>
      </c>
      <c r="O5" s="14">
        <f ca="1">FLUID!S48</f>
        <v>0</v>
      </c>
      <c r="P5" s="14">
        <f ca="1">FLUID!T48</f>
        <v>0</v>
      </c>
      <c r="Q5" s="14">
        <f ca="1">FLUID!U48</f>
        <v>0</v>
      </c>
      <c r="R5" s="14">
        <f ca="1">FLUID!V48</f>
        <v>0</v>
      </c>
      <c r="S5" s="14">
        <f ca="1">FLUID!W48</f>
        <v>0</v>
      </c>
      <c r="T5" s="14">
        <f ca="1">FLUID!X48</f>
        <v>0</v>
      </c>
      <c r="U5" s="14">
        <f ca="1">FLUID!Y48</f>
        <v>0</v>
      </c>
      <c r="V5" s="14">
        <f ca="1">FLUID!Z48</f>
        <v>0</v>
      </c>
      <c r="W5" s="14">
        <f ca="1">FLUID!AA48</f>
        <v>0</v>
      </c>
      <c r="X5" s="14">
        <f ca="1">FLUID!AB48</f>
        <v>0</v>
      </c>
      <c r="Y5" s="14">
        <f ca="1">FLUID!AC48</f>
        <v>0</v>
      </c>
      <c r="Z5" s="14">
        <f ca="1">FLUID!AD48</f>
        <v>0</v>
      </c>
      <c r="AA5" s="14">
        <f ca="1">FLUID!AE48</f>
        <v>0</v>
      </c>
      <c r="AB5" s="14">
        <f ca="1">FLUID!AF48</f>
        <v>0</v>
      </c>
      <c r="AC5" s="14">
        <f ca="1">FLUID!AG48</f>
        <v>0</v>
      </c>
      <c r="AD5" s="14">
        <f ca="1">FLUID!AH48</f>
        <v>0</v>
      </c>
      <c r="AE5" s="14">
        <f ca="1">FLUID!AI48</f>
        <v>0</v>
      </c>
      <c r="AF5" s="14">
        <f ca="1">FLUID!AJ48</f>
        <v>0</v>
      </c>
      <c r="AG5" s="14">
        <f ca="1">FLUID!AK48</f>
        <v>0</v>
      </c>
      <c r="AH5" s="14">
        <f ca="1">FLUID!AL48</f>
        <v>0</v>
      </c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>
        <v>0</v>
      </c>
    </row>
    <row r="6" spans="1:95" ht="22.5" hidden="1" outlineLevel="1" thickTop="1" thickBot="1" x14ac:dyDescent="0.4">
      <c r="A6" s="36" t="str">
        <f>FLUID!E49</f>
        <v>Se5</v>
      </c>
      <c r="B6" s="16">
        <f ca="1">FLUID!F49</f>
        <v>-23.5</v>
      </c>
      <c r="C6" s="16">
        <f ca="1">FLUID!G49</f>
        <v>-25.259999999999998</v>
      </c>
      <c r="D6" s="16">
        <f ca="1">FLUID!H49</f>
        <v>-27.204999999999998</v>
      </c>
      <c r="E6" s="16">
        <f ca="1">FLUID!I49</f>
        <v>-29.119999999999997</v>
      </c>
      <c r="F6" s="14">
        <f ca="1">FLUID!J49</f>
        <v>-30.945</v>
      </c>
      <c r="G6" s="14">
        <f ca="1">FLUID!K49</f>
        <v>-32.65</v>
      </c>
      <c r="H6" s="14">
        <f ca="1">FLUID!L49</f>
        <v>-34.234999999999999</v>
      </c>
      <c r="I6" s="14">
        <f ca="1">FLUID!M49</f>
        <v>-35.71</v>
      </c>
      <c r="J6" s="14">
        <f ca="1">FLUID!N49</f>
        <v>-37.1</v>
      </c>
      <c r="K6" s="14">
        <f ca="1">FLUID!O49</f>
        <v>-38.454999999999998</v>
      </c>
      <c r="L6" s="14">
        <f ca="1">FLUID!P49</f>
        <v>-39.870000000000005</v>
      </c>
      <c r="M6" s="14">
        <f ca="1">FLUID!Q49</f>
        <v>-41.49</v>
      </c>
      <c r="N6" s="14">
        <f ca="1">FLUID!R49</f>
        <v>0</v>
      </c>
      <c r="O6" s="14">
        <f ca="1">FLUID!S49</f>
        <v>0</v>
      </c>
      <c r="P6" s="14">
        <f ca="1">FLUID!T49</f>
        <v>0</v>
      </c>
      <c r="Q6" s="14">
        <f ca="1">FLUID!U49</f>
        <v>0</v>
      </c>
      <c r="R6" s="14">
        <f ca="1">FLUID!V49</f>
        <v>0</v>
      </c>
      <c r="S6" s="14">
        <f ca="1">FLUID!W49</f>
        <v>0</v>
      </c>
      <c r="T6" s="14">
        <f ca="1">FLUID!X49</f>
        <v>0</v>
      </c>
      <c r="U6" s="14">
        <f ca="1">FLUID!Y49</f>
        <v>0</v>
      </c>
      <c r="V6" s="14">
        <f ca="1">FLUID!Z49</f>
        <v>0</v>
      </c>
      <c r="W6" s="14">
        <f ca="1">FLUID!AA49</f>
        <v>0</v>
      </c>
      <c r="X6" s="14">
        <f ca="1">FLUID!AB49</f>
        <v>0</v>
      </c>
      <c r="Y6" s="14">
        <f ca="1">FLUID!AC49</f>
        <v>0</v>
      </c>
      <c r="Z6" s="14">
        <f ca="1">FLUID!AD49</f>
        <v>0</v>
      </c>
      <c r="AA6" s="14">
        <f ca="1">FLUID!AE49</f>
        <v>0</v>
      </c>
      <c r="AB6" s="14">
        <f ca="1">FLUID!AF49</f>
        <v>0</v>
      </c>
      <c r="AC6" s="14">
        <f ca="1">FLUID!AG49</f>
        <v>0</v>
      </c>
      <c r="AD6" s="14">
        <f ca="1">FLUID!AH49</f>
        <v>0</v>
      </c>
      <c r="AE6" s="14">
        <f ca="1">FLUID!AI49</f>
        <v>0</v>
      </c>
      <c r="AF6" s="14">
        <f ca="1">FLUID!AJ49</f>
        <v>0</v>
      </c>
      <c r="AG6" s="14">
        <f ca="1">FLUID!AK49</f>
        <v>0</v>
      </c>
      <c r="AH6" s="14">
        <f ca="1">FLUID!AL49</f>
        <v>0</v>
      </c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>
        <v>0</v>
      </c>
    </row>
    <row r="7" spans="1:95" ht="22.5" hidden="1" outlineLevel="1" thickTop="1" thickBot="1" x14ac:dyDescent="0.4">
      <c r="A7" s="36" t="str">
        <f>FLUID!E50</f>
        <v>Se6</v>
      </c>
      <c r="B7" s="16">
        <f ca="1">FLUID!F50</f>
        <v>-28.200000000000003</v>
      </c>
      <c r="C7" s="16">
        <f ca="1">FLUID!G50</f>
        <v>-30.311999999999998</v>
      </c>
      <c r="D7" s="16">
        <f ca="1">FLUID!H50</f>
        <v>-32.646000000000001</v>
      </c>
      <c r="E7" s="16">
        <f ca="1">FLUID!I50</f>
        <v>-34.944000000000003</v>
      </c>
      <c r="F7" s="14">
        <f ca="1">FLUID!J50</f>
        <v>-37.134</v>
      </c>
      <c r="G7" s="14">
        <f ca="1">FLUID!K50</f>
        <v>-39.18</v>
      </c>
      <c r="H7" s="14">
        <f ca="1">FLUID!L50</f>
        <v>-41.082000000000001</v>
      </c>
      <c r="I7" s="14">
        <f ca="1">FLUID!M50</f>
        <v>-42.852000000000004</v>
      </c>
      <c r="J7" s="14">
        <f ca="1">FLUID!N50</f>
        <v>-44.519999999999996</v>
      </c>
      <c r="K7" s="14">
        <f ca="1">FLUID!O50</f>
        <v>-46.146000000000001</v>
      </c>
      <c r="L7" s="14">
        <f ca="1">FLUID!P50</f>
        <v>-47.844000000000001</v>
      </c>
      <c r="M7" s="14">
        <f ca="1">FLUID!Q50</f>
        <v>-49.787999999999997</v>
      </c>
      <c r="N7" s="14">
        <f ca="1">FLUID!R50</f>
        <v>0</v>
      </c>
      <c r="O7" s="14">
        <f ca="1">FLUID!S50</f>
        <v>0</v>
      </c>
      <c r="P7" s="14">
        <f ca="1">FLUID!T50</f>
        <v>0</v>
      </c>
      <c r="Q7" s="14">
        <f ca="1">FLUID!U50</f>
        <v>0</v>
      </c>
      <c r="R7" s="14">
        <f ca="1">FLUID!V50</f>
        <v>0</v>
      </c>
      <c r="S7" s="14">
        <f ca="1">FLUID!W50</f>
        <v>0</v>
      </c>
      <c r="T7" s="14">
        <f ca="1">FLUID!X50</f>
        <v>0</v>
      </c>
      <c r="U7" s="14">
        <f ca="1">FLUID!Y50</f>
        <v>0</v>
      </c>
      <c r="V7" s="14">
        <f ca="1">FLUID!Z50</f>
        <v>0</v>
      </c>
      <c r="W7" s="14">
        <f ca="1">FLUID!AA50</f>
        <v>0</v>
      </c>
      <c r="X7" s="14">
        <f ca="1">FLUID!AB50</f>
        <v>0</v>
      </c>
      <c r="Y7" s="14">
        <f ca="1">FLUID!AC50</f>
        <v>0</v>
      </c>
      <c r="Z7" s="14">
        <f ca="1">FLUID!AD50</f>
        <v>0</v>
      </c>
      <c r="AA7" s="14">
        <f ca="1">FLUID!AE50</f>
        <v>0</v>
      </c>
      <c r="AB7" s="14">
        <f ca="1">FLUID!AF50</f>
        <v>0</v>
      </c>
      <c r="AC7" s="14">
        <f ca="1">FLUID!AG50</f>
        <v>0</v>
      </c>
      <c r="AD7" s="14">
        <f ca="1">FLUID!AH50</f>
        <v>0</v>
      </c>
      <c r="AE7" s="14">
        <f ca="1">FLUID!AI50</f>
        <v>0</v>
      </c>
      <c r="AF7" s="14">
        <f ca="1">FLUID!AJ50</f>
        <v>0</v>
      </c>
      <c r="AG7" s="14">
        <f ca="1">FLUID!AK50</f>
        <v>0</v>
      </c>
      <c r="AH7" s="14">
        <f ca="1">FLUID!AL50</f>
        <v>0</v>
      </c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>
        <v>0</v>
      </c>
    </row>
    <row r="8" spans="1:95" ht="22.5" hidden="1" outlineLevel="1" thickTop="1" thickBot="1" x14ac:dyDescent="0.4">
      <c r="A8" s="36" t="str">
        <f>FLUID!E51</f>
        <v>Se7</v>
      </c>
      <c r="B8" s="16">
        <f ca="1">FLUID!F51</f>
        <v>-32.9</v>
      </c>
      <c r="C8" s="16">
        <f ca="1">FLUID!G51</f>
        <v>-35.363999999999997</v>
      </c>
      <c r="D8" s="16">
        <f ca="1">FLUID!H51</f>
        <v>-38.086999999999996</v>
      </c>
      <c r="E8" s="16">
        <f ca="1">FLUID!I51</f>
        <v>-40.768000000000001</v>
      </c>
      <c r="F8" s="14">
        <f ca="1">FLUID!J51</f>
        <v>-43.323</v>
      </c>
      <c r="G8" s="14">
        <f ca="1">FLUID!K51</f>
        <v>-45.71</v>
      </c>
      <c r="H8" s="14">
        <f ca="1">FLUID!L51</f>
        <v>-47.929000000000002</v>
      </c>
      <c r="I8" s="14">
        <f ca="1">FLUID!M51</f>
        <v>-49.994</v>
      </c>
      <c r="J8" s="14">
        <f ca="1">FLUID!N51</f>
        <v>-51.94</v>
      </c>
      <c r="K8" s="14">
        <f ca="1">FLUID!O51</f>
        <v>-53.836999999999996</v>
      </c>
      <c r="L8" s="14">
        <f ca="1">FLUID!P51</f>
        <v>-55.817999999999998</v>
      </c>
      <c r="M8" s="14">
        <f ca="1">FLUID!Q51</f>
        <v>-58.085999999999999</v>
      </c>
      <c r="N8" s="14">
        <f ca="1">FLUID!R51</f>
        <v>0</v>
      </c>
      <c r="O8" s="14">
        <f ca="1">FLUID!S51</f>
        <v>0</v>
      </c>
      <c r="P8" s="14">
        <f ca="1">FLUID!T51</f>
        <v>0</v>
      </c>
      <c r="Q8" s="14">
        <f ca="1">FLUID!U51</f>
        <v>0</v>
      </c>
      <c r="R8" s="14">
        <f ca="1">FLUID!V51</f>
        <v>0</v>
      </c>
      <c r="S8" s="14">
        <f ca="1">FLUID!W51</f>
        <v>0</v>
      </c>
      <c r="T8" s="14">
        <f ca="1">FLUID!X51</f>
        <v>0</v>
      </c>
      <c r="U8" s="14">
        <f ca="1">FLUID!Y51</f>
        <v>0</v>
      </c>
      <c r="V8" s="14">
        <f ca="1">FLUID!Z51</f>
        <v>0</v>
      </c>
      <c r="W8" s="14">
        <f ca="1">FLUID!AA51</f>
        <v>0</v>
      </c>
      <c r="X8" s="14">
        <f ca="1">FLUID!AB51</f>
        <v>0</v>
      </c>
      <c r="Y8" s="14">
        <f ca="1">FLUID!AC51</f>
        <v>0</v>
      </c>
      <c r="Z8" s="14">
        <f ca="1">FLUID!AD51</f>
        <v>0</v>
      </c>
      <c r="AA8" s="14">
        <f ca="1">FLUID!AE51</f>
        <v>0</v>
      </c>
      <c r="AB8" s="14">
        <f ca="1">FLUID!AF51</f>
        <v>0</v>
      </c>
      <c r="AC8" s="14">
        <f ca="1">FLUID!AG51</f>
        <v>0</v>
      </c>
      <c r="AD8" s="14">
        <f ca="1">FLUID!AH51</f>
        <v>0</v>
      </c>
      <c r="AE8" s="14">
        <f ca="1">FLUID!AI51</f>
        <v>0</v>
      </c>
      <c r="AF8" s="14">
        <f ca="1">FLUID!AJ51</f>
        <v>0</v>
      </c>
      <c r="AG8" s="14">
        <f ca="1">FLUID!AK51</f>
        <v>0</v>
      </c>
      <c r="AH8" s="14">
        <f ca="1">FLUID!AL51</f>
        <v>0</v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>
        <v>0</v>
      </c>
    </row>
    <row r="9" spans="1:95" ht="22.5" hidden="1" outlineLevel="1" thickTop="1" thickBot="1" x14ac:dyDescent="0.4">
      <c r="A9" s="36" t="str">
        <f>FLUID!E52</f>
        <v>Se8</v>
      </c>
      <c r="B9" s="16">
        <f ca="1">FLUID!F52</f>
        <v>-37.6</v>
      </c>
      <c r="C9" s="16">
        <f ca="1">FLUID!G52</f>
        <v>-40.415999999999997</v>
      </c>
      <c r="D9" s="16">
        <f ca="1">FLUID!H52</f>
        <v>-43.527999999999999</v>
      </c>
      <c r="E9" s="16">
        <f ca="1">FLUID!I52</f>
        <v>-46.591999999999999</v>
      </c>
      <c r="F9" s="14">
        <f ca="1">FLUID!J52</f>
        <v>-49.512</v>
      </c>
      <c r="G9" s="14">
        <f ca="1">FLUID!K52</f>
        <v>-52.24</v>
      </c>
      <c r="H9" s="14">
        <f ca="1">FLUID!L52</f>
        <v>-54.776000000000003</v>
      </c>
      <c r="I9" s="14">
        <f ca="1">FLUID!M52</f>
        <v>-57.136000000000003</v>
      </c>
      <c r="J9" s="14">
        <f ca="1">FLUID!N52</f>
        <v>-59.36</v>
      </c>
      <c r="K9" s="14">
        <f ca="1">FLUID!O52</f>
        <v>-61.527999999999999</v>
      </c>
      <c r="L9" s="14">
        <f ca="1">FLUID!P52</f>
        <v>-63.792000000000002</v>
      </c>
      <c r="M9" s="14">
        <f ca="1">FLUID!Q52</f>
        <v>-66.384</v>
      </c>
      <c r="N9" s="14">
        <f ca="1">FLUID!R52</f>
        <v>0</v>
      </c>
      <c r="O9" s="14">
        <f ca="1">FLUID!S52</f>
        <v>0</v>
      </c>
      <c r="P9" s="14">
        <f ca="1">FLUID!T52</f>
        <v>0</v>
      </c>
      <c r="Q9" s="14">
        <f ca="1">FLUID!U52</f>
        <v>0</v>
      </c>
      <c r="R9" s="14">
        <f ca="1">FLUID!V52</f>
        <v>0</v>
      </c>
      <c r="S9" s="14">
        <f ca="1">FLUID!W52</f>
        <v>0</v>
      </c>
      <c r="T9" s="14">
        <f ca="1">FLUID!X52</f>
        <v>0</v>
      </c>
      <c r="U9" s="14">
        <f ca="1">FLUID!Y52</f>
        <v>0</v>
      </c>
      <c r="V9" s="14">
        <f ca="1">FLUID!Z52</f>
        <v>0</v>
      </c>
      <c r="W9" s="14">
        <f ca="1">FLUID!AA52</f>
        <v>0</v>
      </c>
      <c r="X9" s="14">
        <f ca="1">FLUID!AB52</f>
        <v>0</v>
      </c>
      <c r="Y9" s="14">
        <f ca="1">FLUID!AC52</f>
        <v>0</v>
      </c>
      <c r="Z9" s="14">
        <f ca="1">FLUID!AD52</f>
        <v>0</v>
      </c>
      <c r="AA9" s="14">
        <f ca="1">FLUID!AE52</f>
        <v>0</v>
      </c>
      <c r="AB9" s="14">
        <f ca="1">FLUID!AF52</f>
        <v>0</v>
      </c>
      <c r="AC9" s="14">
        <f ca="1">FLUID!AG52</f>
        <v>0</v>
      </c>
      <c r="AD9" s="14">
        <f ca="1">FLUID!AH52</f>
        <v>0</v>
      </c>
      <c r="AE9" s="14">
        <f ca="1">FLUID!AI52</f>
        <v>0</v>
      </c>
      <c r="AF9" s="14">
        <f ca="1">FLUID!AJ52</f>
        <v>0</v>
      </c>
      <c r="AG9" s="14">
        <f ca="1">FLUID!AK52</f>
        <v>0</v>
      </c>
      <c r="AH9" s="14">
        <f ca="1">FLUID!AL52</f>
        <v>0</v>
      </c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>
        <v>0</v>
      </c>
    </row>
    <row r="10" spans="1:95" ht="22.5" hidden="1" outlineLevel="1" thickTop="1" thickBot="1" x14ac:dyDescent="0.4">
      <c r="A10" s="36" t="str">
        <f>FLUID!E53</f>
        <v>Se2</v>
      </c>
      <c r="B10" s="16">
        <f ca="1">FLUID!F53</f>
        <v>-9.4</v>
      </c>
      <c r="C10" s="16">
        <f ca="1">FLUID!G53</f>
        <v>-10.103999999999999</v>
      </c>
      <c r="D10" s="16">
        <f ca="1">FLUID!H53</f>
        <v>-10.882</v>
      </c>
      <c r="E10" s="16">
        <f ca="1">FLUID!I53</f>
        <v>-11.648</v>
      </c>
      <c r="F10" s="14">
        <f ca="1">FLUID!J53</f>
        <v>-12.378</v>
      </c>
      <c r="G10" s="14">
        <f ca="1">FLUID!K53</f>
        <v>-13.06</v>
      </c>
      <c r="H10" s="14">
        <f ca="1">FLUID!L53</f>
        <v>-13.694000000000001</v>
      </c>
      <c r="I10" s="14">
        <f ca="1">FLUID!M53</f>
        <v>-14.284000000000001</v>
      </c>
      <c r="J10" s="14">
        <f ca="1">FLUID!N53</f>
        <v>-14.84</v>
      </c>
      <c r="K10" s="14">
        <f ca="1">FLUID!O53</f>
        <v>-15.382</v>
      </c>
      <c r="L10" s="14">
        <f ca="1">FLUID!P53</f>
        <v>-15.948</v>
      </c>
      <c r="M10" s="14">
        <f ca="1">FLUID!Q53</f>
        <v>-16.596</v>
      </c>
      <c r="N10" s="14">
        <f ca="1">FLUID!R53</f>
        <v>0</v>
      </c>
      <c r="O10" s="14">
        <f ca="1">FLUID!S53</f>
        <v>0</v>
      </c>
      <c r="P10" s="14">
        <f ca="1">FLUID!T53</f>
        <v>0</v>
      </c>
      <c r="Q10" s="14">
        <f ca="1">FLUID!U53</f>
        <v>0</v>
      </c>
      <c r="R10" s="14">
        <f ca="1">FLUID!V53</f>
        <v>0</v>
      </c>
      <c r="S10" s="14">
        <f ca="1">FLUID!W53</f>
        <v>0</v>
      </c>
      <c r="T10" s="14">
        <f ca="1">FLUID!X53</f>
        <v>0</v>
      </c>
      <c r="U10" s="14">
        <f ca="1">FLUID!Y53</f>
        <v>0</v>
      </c>
      <c r="V10" s="14">
        <f ca="1">FLUID!Z53</f>
        <v>0</v>
      </c>
      <c r="W10" s="14">
        <f ca="1">FLUID!AA53</f>
        <v>0</v>
      </c>
      <c r="X10" s="14">
        <f ca="1">FLUID!AB53</f>
        <v>0</v>
      </c>
      <c r="Y10" s="14">
        <f ca="1">FLUID!AC53</f>
        <v>0</v>
      </c>
      <c r="Z10" s="14">
        <f ca="1">FLUID!AD53</f>
        <v>0</v>
      </c>
      <c r="AA10" s="14">
        <f ca="1">FLUID!AE53</f>
        <v>0</v>
      </c>
      <c r="AB10" s="14">
        <f ca="1">FLUID!AF53</f>
        <v>0</v>
      </c>
      <c r="AC10" s="14">
        <f ca="1">FLUID!AG53</f>
        <v>0</v>
      </c>
      <c r="AD10" s="14">
        <f ca="1">FLUID!AH53</f>
        <v>0</v>
      </c>
      <c r="AE10" s="14">
        <f ca="1">FLUID!AI53</f>
        <v>0</v>
      </c>
      <c r="AF10" s="14">
        <f ca="1">FLUID!AJ53</f>
        <v>0</v>
      </c>
      <c r="AG10" s="14">
        <f ca="1">FLUID!AK53</f>
        <v>0</v>
      </c>
      <c r="AH10" s="14">
        <f ca="1">FLUID!AL53</f>
        <v>0</v>
      </c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>
        <v>0</v>
      </c>
    </row>
    <row r="11" spans="1:95" ht="22.5" hidden="1" outlineLevel="1" thickTop="1" thickBot="1" x14ac:dyDescent="0.4">
      <c r="A11" s="36" t="str">
        <f>FLUID!E54</f>
        <v>Se</v>
      </c>
      <c r="B11" s="16">
        <f ca="1">FLUID!F54</f>
        <v>-4.7</v>
      </c>
      <c r="C11" s="16">
        <f ca="1">FLUID!G54</f>
        <v>-5.0519999999999996</v>
      </c>
      <c r="D11" s="16">
        <f ca="1">FLUID!H54</f>
        <v>-5.4409999999999998</v>
      </c>
      <c r="E11" s="16">
        <f ca="1">FLUID!I54</f>
        <v>-5.8239999999999998</v>
      </c>
      <c r="F11" s="14">
        <f ca="1">FLUID!J54</f>
        <v>-6.1890000000000001</v>
      </c>
      <c r="G11" s="14">
        <f ca="1">FLUID!K54</f>
        <v>-6.53</v>
      </c>
      <c r="H11" s="14">
        <f ca="1">FLUID!L54</f>
        <v>-6.8470000000000004</v>
      </c>
      <c r="I11" s="14">
        <f ca="1">FLUID!M54</f>
        <v>-7.1420000000000003</v>
      </c>
      <c r="J11" s="14">
        <f ca="1">FLUID!N54</f>
        <v>-7.42</v>
      </c>
      <c r="K11" s="14">
        <f ca="1">FLUID!O54</f>
        <v>-7.6909999999999998</v>
      </c>
      <c r="L11" s="14">
        <f ca="1">FLUID!P54</f>
        <v>-7.9740000000000002</v>
      </c>
      <c r="M11" s="14">
        <f ca="1">FLUID!Q54</f>
        <v>-8.298</v>
      </c>
      <c r="N11" s="14">
        <f ca="1">FLUID!R54</f>
        <v>0</v>
      </c>
      <c r="O11" s="14">
        <f ca="1">FLUID!S54</f>
        <v>0</v>
      </c>
      <c r="P11" s="14">
        <f ca="1">FLUID!T54</f>
        <v>0</v>
      </c>
      <c r="Q11" s="14">
        <f ca="1">FLUID!U54</f>
        <v>0</v>
      </c>
      <c r="R11" s="14">
        <f ca="1">FLUID!V54</f>
        <v>0</v>
      </c>
      <c r="S11" s="14">
        <f ca="1">FLUID!W54</f>
        <v>0</v>
      </c>
      <c r="T11" s="14">
        <f ca="1">FLUID!X54</f>
        <v>0</v>
      </c>
      <c r="U11" s="14">
        <f ca="1">FLUID!Y54</f>
        <v>0</v>
      </c>
      <c r="V11" s="14">
        <f ca="1">FLUID!Z54</f>
        <v>0</v>
      </c>
      <c r="W11" s="14">
        <f ca="1">FLUID!AA54</f>
        <v>0</v>
      </c>
      <c r="X11" s="14">
        <f ca="1">FLUID!AB54</f>
        <v>0</v>
      </c>
      <c r="Y11" s="14">
        <f ca="1">FLUID!AC54</f>
        <v>0</v>
      </c>
      <c r="Z11" s="14">
        <f ca="1">FLUID!AD54</f>
        <v>0</v>
      </c>
      <c r="AA11" s="14">
        <f ca="1">FLUID!AE54</f>
        <v>0</v>
      </c>
      <c r="AB11" s="14">
        <f ca="1">FLUID!AF54</f>
        <v>0</v>
      </c>
      <c r="AC11" s="14">
        <f ca="1">FLUID!AG54</f>
        <v>0</v>
      </c>
      <c r="AD11" s="14">
        <f ca="1">FLUID!AH54</f>
        <v>0</v>
      </c>
      <c r="AE11" s="14">
        <f ca="1">FLUID!AI54</f>
        <v>0</v>
      </c>
      <c r="AF11" s="14">
        <f ca="1">FLUID!AJ54</f>
        <v>0</v>
      </c>
      <c r="AG11" s="14">
        <f ca="1">FLUID!AK54</f>
        <v>0</v>
      </c>
      <c r="AH11" s="14">
        <f ca="1">FLUID!AL54</f>
        <v>0</v>
      </c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>
        <v>0</v>
      </c>
    </row>
    <row r="12" spans="1:95" ht="22.5" hidden="1" outlineLevel="1" thickTop="1" thickBot="1" x14ac:dyDescent="0.4">
      <c r="A12" s="36" t="str">
        <f>FLUID!E55</f>
        <v>Ga2Se</v>
      </c>
      <c r="B12" s="16">
        <f ca="1">FLUID!F55</f>
        <v>-20.026</v>
      </c>
      <c r="C12" s="16">
        <f ca="1">FLUID!G55</f>
        <v>-21.361999999999998</v>
      </c>
      <c r="D12" s="16">
        <f ca="1">FLUID!H55</f>
        <v>-22.631</v>
      </c>
      <c r="E12" s="16">
        <f ca="1">FLUID!I55</f>
        <v>-23.799999999999997</v>
      </c>
      <c r="F12" s="14">
        <f ca="1">FLUID!J55</f>
        <v>-24.879000000000001</v>
      </c>
      <c r="G12" s="14">
        <f ca="1">FLUID!K55</f>
        <v>-25.904</v>
      </c>
      <c r="H12" s="14">
        <f ca="1">FLUID!L55</f>
        <v>-26.947000000000003</v>
      </c>
      <c r="I12" s="14">
        <f ca="1">FLUID!M55</f>
        <v>-28.082000000000001</v>
      </c>
      <c r="J12" s="14">
        <f ca="1">FLUID!N55</f>
        <v>-29.259999999999998</v>
      </c>
      <c r="K12" s="14">
        <f ca="1">FLUID!O55</f>
        <v>-30.430999999999997</v>
      </c>
      <c r="L12" s="14">
        <f ca="1">FLUID!P55</f>
        <v>-31.594000000000001</v>
      </c>
      <c r="M12" s="14">
        <f ca="1">FLUID!Q55</f>
        <v>-32.738</v>
      </c>
      <c r="N12" s="14">
        <f ca="1">FLUID!R55</f>
        <v>0</v>
      </c>
      <c r="O12" s="14">
        <f ca="1">FLUID!S55</f>
        <v>0</v>
      </c>
      <c r="P12" s="14">
        <f ca="1">FLUID!T55</f>
        <v>0</v>
      </c>
      <c r="Q12" s="14">
        <f ca="1">FLUID!U55</f>
        <v>0</v>
      </c>
      <c r="R12" s="14">
        <f ca="1">FLUID!V55</f>
        <v>0</v>
      </c>
      <c r="S12" s="14">
        <f ca="1">FLUID!W55</f>
        <v>0</v>
      </c>
      <c r="T12" s="14">
        <f ca="1">FLUID!X55</f>
        <v>0</v>
      </c>
      <c r="U12" s="14">
        <f ca="1">FLUID!Y55</f>
        <v>0</v>
      </c>
      <c r="V12" s="14">
        <f ca="1">FLUID!Z55</f>
        <v>0</v>
      </c>
      <c r="W12" s="14">
        <f ca="1">FLUID!AA55</f>
        <v>0</v>
      </c>
      <c r="X12" s="14">
        <f ca="1">FLUID!AB55</f>
        <v>0</v>
      </c>
      <c r="Y12" s="14">
        <f ca="1">FLUID!AC55</f>
        <v>0</v>
      </c>
      <c r="Z12" s="14">
        <f ca="1">FLUID!AD55</f>
        <v>0</v>
      </c>
      <c r="AA12" s="14">
        <f ca="1">FLUID!AE55</f>
        <v>0</v>
      </c>
      <c r="AB12" s="14">
        <f ca="1">FLUID!AF55</f>
        <v>0</v>
      </c>
      <c r="AC12" s="14">
        <f ca="1">FLUID!AG55</f>
        <v>0</v>
      </c>
      <c r="AD12" s="14">
        <f ca="1">FLUID!AH55</f>
        <v>0</v>
      </c>
      <c r="AE12" s="14">
        <f ca="1">FLUID!AI55</f>
        <v>0</v>
      </c>
      <c r="AF12" s="14">
        <f ca="1">FLUID!AJ55</f>
        <v>0</v>
      </c>
      <c r="AG12" s="14">
        <f ca="1">FLUID!AK55</f>
        <v>0</v>
      </c>
      <c r="AH12" s="14">
        <f ca="1">FLUID!AL55</f>
        <v>0</v>
      </c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>
        <v>0</v>
      </c>
    </row>
    <row r="13" spans="1:95" ht="22.5" hidden="1" outlineLevel="1" thickTop="1" thickBot="1" x14ac:dyDescent="0.4">
      <c r="A13" s="36" t="str">
        <f>FLUID!E56</f>
        <v>Ar</v>
      </c>
      <c r="B13" s="16">
        <f ca="1">FLUID!F56</f>
        <v>-18.62</v>
      </c>
      <c r="C13" s="16">
        <f ca="1">FLUID!G56</f>
        <v>-18.63</v>
      </c>
      <c r="D13" s="16">
        <f ca="1">FLUID!H56</f>
        <v>-18.72</v>
      </c>
      <c r="E13" s="16">
        <f ca="1">FLUID!I56</f>
        <v>-18.84</v>
      </c>
      <c r="F13" s="14">
        <f ca="1">FLUID!J56</f>
        <v>-18.97</v>
      </c>
      <c r="G13" s="14">
        <f ca="1">FLUID!K56</f>
        <v>-19.11</v>
      </c>
      <c r="H13" s="14">
        <f ca="1">FLUID!L56</f>
        <v>-19.260000000000002</v>
      </c>
      <c r="I13" s="14">
        <f ca="1">FLUID!M56</f>
        <v>-19.41</v>
      </c>
      <c r="J13" s="14">
        <f ca="1">FLUID!N56</f>
        <v>-19.559999999999999</v>
      </c>
      <c r="K13" s="14">
        <f ca="1">FLUID!O56</f>
        <v>-19.73</v>
      </c>
      <c r="L13" s="14">
        <f ca="1">FLUID!P56</f>
        <v>-19.940000000000001</v>
      </c>
      <c r="M13" s="14">
        <f ca="1">FLUID!Q56</f>
        <v>-20.2</v>
      </c>
      <c r="N13" s="14">
        <f ca="1">FLUID!R56</f>
        <v>0</v>
      </c>
      <c r="O13" s="14">
        <f ca="1">FLUID!S56</f>
        <v>0</v>
      </c>
      <c r="P13" s="14">
        <f ca="1">FLUID!T56</f>
        <v>0</v>
      </c>
      <c r="Q13" s="14">
        <f ca="1">FLUID!U56</f>
        <v>0</v>
      </c>
      <c r="R13" s="14">
        <f ca="1">FLUID!V56</f>
        <v>0</v>
      </c>
      <c r="S13" s="14">
        <f ca="1">FLUID!W56</f>
        <v>0</v>
      </c>
      <c r="T13" s="14">
        <f ca="1">FLUID!X56</f>
        <v>0</v>
      </c>
      <c r="U13" s="14">
        <f ca="1">FLUID!Y56</f>
        <v>0</v>
      </c>
      <c r="V13" s="14">
        <f ca="1">FLUID!Z56</f>
        <v>0</v>
      </c>
      <c r="W13" s="14">
        <f ca="1">FLUID!AA56</f>
        <v>0</v>
      </c>
      <c r="X13" s="14">
        <f ca="1">FLUID!AB56</f>
        <v>0</v>
      </c>
      <c r="Y13" s="14">
        <f ca="1">FLUID!AC56</f>
        <v>0</v>
      </c>
      <c r="Z13" s="14">
        <f ca="1">FLUID!AD56</f>
        <v>0</v>
      </c>
      <c r="AA13" s="14">
        <f ca="1">FLUID!AE56</f>
        <v>0</v>
      </c>
      <c r="AB13" s="14">
        <f ca="1">FLUID!AF56</f>
        <v>0</v>
      </c>
      <c r="AC13" s="14">
        <f ca="1">FLUID!AG56</f>
        <v>0</v>
      </c>
      <c r="AD13" s="14">
        <f ca="1">FLUID!AH56</f>
        <v>0</v>
      </c>
      <c r="AE13" s="14">
        <f ca="1">FLUID!AI56</f>
        <v>0</v>
      </c>
      <c r="AF13" s="14">
        <f ca="1">FLUID!AJ56</f>
        <v>0</v>
      </c>
      <c r="AG13" s="14">
        <f ca="1">FLUID!AK56</f>
        <v>0</v>
      </c>
      <c r="AH13" s="14">
        <f ca="1">FLUID!AL56</f>
        <v>0</v>
      </c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>
        <v>0</v>
      </c>
    </row>
    <row r="14" spans="1:95" ht="22.5" hidden="1" outlineLevel="1" thickTop="1" thickBot="1" x14ac:dyDescent="0.4">
      <c r="A14" s="36" t="str">
        <f>FLUID!E57</f>
        <v>(l)Ga[l]</v>
      </c>
      <c r="B14" s="16">
        <f ca="1">FLUID!F57</f>
        <v>-7.6630000000000003</v>
      </c>
      <c r="C14" s="16">
        <f ca="1">FLUID!G57</f>
        <v>-8.1549999999999994</v>
      </c>
      <c r="D14" s="16">
        <f ca="1">FLUID!H57</f>
        <v>-8.5950000000000006</v>
      </c>
      <c r="E14" s="16">
        <f ca="1">FLUID!I57</f>
        <v>-8.9879999999999995</v>
      </c>
      <c r="F14" s="14">
        <f ca="1">FLUID!J57</f>
        <v>-9.3450000000000006</v>
      </c>
      <c r="G14" s="14">
        <f ca="1">FLUID!K57</f>
        <v>-9.6869999999999994</v>
      </c>
      <c r="H14" s="14">
        <f ca="1">FLUID!L57</f>
        <v>-10.050000000000001</v>
      </c>
      <c r="I14" s="14">
        <f ca="1">FLUID!M57</f>
        <v>-10.47</v>
      </c>
      <c r="J14" s="14">
        <f ca="1">FLUID!N57</f>
        <v>-10.92</v>
      </c>
      <c r="K14" s="14">
        <f ca="1">FLUID!O57</f>
        <v>-11.37</v>
      </c>
      <c r="L14" s="14">
        <f ca="1">FLUID!P57</f>
        <v>-11.81</v>
      </c>
      <c r="M14" s="14">
        <f ca="1">FLUID!Q57</f>
        <v>-12.22</v>
      </c>
      <c r="N14" s="14">
        <f ca="1">FLUID!R57</f>
        <v>0</v>
      </c>
      <c r="O14" s="14">
        <f ca="1">FLUID!S57</f>
        <v>0</v>
      </c>
      <c r="P14" s="14">
        <f ca="1">FLUID!T57</f>
        <v>0</v>
      </c>
      <c r="Q14" s="14">
        <f ca="1">FLUID!U57</f>
        <v>0</v>
      </c>
      <c r="R14" s="14">
        <f ca="1">FLUID!V57</f>
        <v>0</v>
      </c>
      <c r="S14" s="14">
        <f ca="1">FLUID!W57</f>
        <v>0</v>
      </c>
      <c r="T14" s="14">
        <f ca="1">FLUID!X57</f>
        <v>0</v>
      </c>
      <c r="U14" s="14">
        <f ca="1">FLUID!Y57</f>
        <v>0</v>
      </c>
      <c r="V14" s="14">
        <f ca="1">FLUID!Z57</f>
        <v>0</v>
      </c>
      <c r="W14" s="14">
        <f ca="1">FLUID!AA57</f>
        <v>0</v>
      </c>
      <c r="X14" s="14">
        <f ca="1">FLUID!AB57</f>
        <v>0</v>
      </c>
      <c r="Y14" s="14">
        <f ca="1">FLUID!AC57</f>
        <v>0</v>
      </c>
      <c r="Z14" s="14">
        <f ca="1">FLUID!AD57</f>
        <v>0</v>
      </c>
      <c r="AA14" s="14">
        <f ca="1">FLUID!AE57</f>
        <v>0</v>
      </c>
      <c r="AB14" s="14">
        <f ca="1">FLUID!AF57</f>
        <v>0</v>
      </c>
      <c r="AC14" s="14">
        <f ca="1">FLUID!AG57</f>
        <v>0</v>
      </c>
      <c r="AD14" s="14">
        <f ca="1">FLUID!AH57</f>
        <v>0</v>
      </c>
      <c r="AE14" s="14">
        <f ca="1">FLUID!AI57</f>
        <v>0</v>
      </c>
      <c r="AF14" s="14">
        <f ca="1">FLUID!AJ57</f>
        <v>0</v>
      </c>
      <c r="AG14" s="14">
        <f ca="1">FLUID!AK57</f>
        <v>0</v>
      </c>
      <c r="AH14" s="14">
        <f ca="1">FLUID!AL57</f>
        <v>0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>
        <v>0</v>
      </c>
    </row>
    <row r="15" spans="1:95" ht="22.5" hidden="1" outlineLevel="1" thickTop="1" thickBot="1" x14ac:dyDescent="0.4">
      <c r="A15" s="36" t="str">
        <f>FLUID!E58</f>
        <v>(l)Ge[l]</v>
      </c>
      <c r="B15" s="16">
        <f ca="1">FLUID!F58</f>
        <v>7.5119999999999996</v>
      </c>
      <c r="C15" s="16">
        <f ca="1">FLUID!G58</f>
        <v>4.4539999999999997</v>
      </c>
      <c r="D15" s="16">
        <f ca="1">FLUID!H58</f>
        <v>2.2879999999999998</v>
      </c>
      <c r="E15" s="16">
        <f ca="1">FLUID!I58</f>
        <v>0.65210000000000001</v>
      </c>
      <c r="F15" s="14">
        <f ca="1">FLUID!J58</f>
        <v>-0.63829999999999998</v>
      </c>
      <c r="G15" s="14">
        <f ca="1">FLUID!K58</f>
        <v>-1.6890000000000001</v>
      </c>
      <c r="H15" s="14">
        <f ca="1">FLUID!L58</f>
        <v>-2.5640000000000001</v>
      </c>
      <c r="I15" s="14">
        <f ca="1">FLUID!M58</f>
        <v>-3.3050000000000002</v>
      </c>
      <c r="J15" s="14">
        <f ca="1">FLUID!N58</f>
        <v>-3.9390000000000001</v>
      </c>
      <c r="K15" s="14">
        <f ca="1">FLUID!O58</f>
        <v>-4.4790000000000001</v>
      </c>
      <c r="L15" s="14">
        <f ca="1">FLUID!P58</f>
        <v>-4.9219999999999997</v>
      </c>
      <c r="M15" s="14">
        <f ca="1">FLUID!Q58</f>
        <v>-5.2549999999999999</v>
      </c>
      <c r="N15" s="14">
        <f ca="1">FLUID!R58</f>
        <v>0</v>
      </c>
      <c r="O15" s="14">
        <f ca="1">FLUID!S58</f>
        <v>0</v>
      </c>
      <c r="P15" s="14">
        <f ca="1">FLUID!T58</f>
        <v>0</v>
      </c>
      <c r="Q15" s="14">
        <f ca="1">FLUID!U58</f>
        <v>0</v>
      </c>
      <c r="R15" s="14">
        <f ca="1">FLUID!V58</f>
        <v>0</v>
      </c>
      <c r="S15" s="14">
        <f ca="1">FLUID!W58</f>
        <v>0</v>
      </c>
      <c r="T15" s="14">
        <f ca="1">FLUID!X58</f>
        <v>0</v>
      </c>
      <c r="U15" s="14">
        <f ca="1">FLUID!Y58</f>
        <v>0</v>
      </c>
      <c r="V15" s="14">
        <f ca="1">FLUID!Z58</f>
        <v>0</v>
      </c>
      <c r="W15" s="14">
        <f ca="1">FLUID!AA58</f>
        <v>0</v>
      </c>
      <c r="X15" s="14">
        <f ca="1">FLUID!AB58</f>
        <v>0</v>
      </c>
      <c r="Y15" s="14">
        <f ca="1">FLUID!AC58</f>
        <v>0</v>
      </c>
      <c r="Z15" s="14">
        <f ca="1">FLUID!AD58</f>
        <v>0</v>
      </c>
      <c r="AA15" s="14">
        <f ca="1">FLUID!AE58</f>
        <v>0</v>
      </c>
      <c r="AB15" s="14">
        <f ca="1">FLUID!AF58</f>
        <v>0</v>
      </c>
      <c r="AC15" s="14">
        <f ca="1">FLUID!AG58</f>
        <v>0</v>
      </c>
      <c r="AD15" s="14">
        <f ca="1">FLUID!AH58</f>
        <v>0</v>
      </c>
      <c r="AE15" s="14">
        <f ca="1">FLUID!AI58</f>
        <v>0</v>
      </c>
      <c r="AF15" s="14">
        <f ca="1">FLUID!AJ58</f>
        <v>0</v>
      </c>
      <c r="AG15" s="14">
        <f ca="1">FLUID!AK58</f>
        <v>0</v>
      </c>
      <c r="AH15" s="14">
        <f ca="1">FLUID!AL58</f>
        <v>0</v>
      </c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>
        <v>0</v>
      </c>
    </row>
    <row r="16" spans="1:95" ht="22.5" hidden="1" outlineLevel="1" thickTop="1" thickBot="1" x14ac:dyDescent="0.4">
      <c r="A16" s="36" t="str">
        <f>FLUID!E59</f>
        <v>(l)Se[l]</v>
      </c>
      <c r="B16" s="16">
        <f ca="1">FLUID!F59</f>
        <v>-4.7</v>
      </c>
      <c r="C16" s="16">
        <f ca="1">FLUID!G59</f>
        <v>-5.0519999999999996</v>
      </c>
      <c r="D16" s="16">
        <f ca="1">FLUID!H59</f>
        <v>-5.4409999999999998</v>
      </c>
      <c r="E16" s="16">
        <f ca="1">FLUID!I59</f>
        <v>-5.8239999999999998</v>
      </c>
      <c r="F16" s="14">
        <f ca="1">FLUID!J59</f>
        <v>-6.1890000000000001</v>
      </c>
      <c r="G16" s="14">
        <f ca="1">FLUID!K59</f>
        <v>-6.53</v>
      </c>
      <c r="H16" s="14">
        <f ca="1">FLUID!L59</f>
        <v>-6.8470000000000004</v>
      </c>
      <c r="I16" s="14">
        <f ca="1">FLUID!M59</f>
        <v>-7.1420000000000003</v>
      </c>
      <c r="J16" s="14">
        <f ca="1">FLUID!N59</f>
        <v>-7.42</v>
      </c>
      <c r="K16" s="14">
        <f ca="1">FLUID!O59</f>
        <v>-7.6909999999999998</v>
      </c>
      <c r="L16" s="14">
        <f ca="1">FLUID!P59</f>
        <v>-7.9740000000000002</v>
      </c>
      <c r="M16" s="14">
        <f ca="1">FLUID!Q59</f>
        <v>-8.298</v>
      </c>
      <c r="N16" s="14">
        <f ca="1">FLUID!R59</f>
        <v>0</v>
      </c>
      <c r="O16" s="14">
        <f ca="1">FLUID!S59</f>
        <v>0</v>
      </c>
      <c r="P16" s="14">
        <f ca="1">FLUID!T59</f>
        <v>0</v>
      </c>
      <c r="Q16" s="14">
        <f ca="1">FLUID!U59</f>
        <v>0</v>
      </c>
      <c r="R16" s="14">
        <f ca="1">FLUID!V59</f>
        <v>0</v>
      </c>
      <c r="S16" s="14">
        <f ca="1">FLUID!W59</f>
        <v>0</v>
      </c>
      <c r="T16" s="14">
        <f ca="1">FLUID!X59</f>
        <v>0</v>
      </c>
      <c r="U16" s="14">
        <f ca="1">FLUID!Y59</f>
        <v>0</v>
      </c>
      <c r="V16" s="14">
        <f ca="1">FLUID!Z59</f>
        <v>0</v>
      </c>
      <c r="W16" s="14">
        <f ca="1">FLUID!AA59</f>
        <v>0</v>
      </c>
      <c r="X16" s="14">
        <f ca="1">FLUID!AB59</f>
        <v>0</v>
      </c>
      <c r="Y16" s="14">
        <f ca="1">FLUID!AC59</f>
        <v>0</v>
      </c>
      <c r="Z16" s="14">
        <f ca="1">FLUID!AD59</f>
        <v>0</v>
      </c>
      <c r="AA16" s="14">
        <f ca="1">FLUID!AE59</f>
        <v>0</v>
      </c>
      <c r="AB16" s="14">
        <f ca="1">FLUID!AF59</f>
        <v>0</v>
      </c>
      <c r="AC16" s="14">
        <f ca="1">FLUID!AG59</f>
        <v>0</v>
      </c>
      <c r="AD16" s="14">
        <f ca="1">FLUID!AH59</f>
        <v>0</v>
      </c>
      <c r="AE16" s="14">
        <f ca="1">FLUID!AI59</f>
        <v>0</v>
      </c>
      <c r="AF16" s="14">
        <f ca="1">FLUID!AJ59</f>
        <v>0</v>
      </c>
      <c r="AG16" s="14">
        <f ca="1">FLUID!AK59</f>
        <v>0</v>
      </c>
      <c r="AH16" s="14">
        <f ca="1">FLUID!AL59</f>
        <v>0</v>
      </c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>
        <v>0</v>
      </c>
    </row>
    <row r="17" spans="1:95" ht="22.5" hidden="1" outlineLevel="1" thickTop="1" thickBot="1" x14ac:dyDescent="0.4">
      <c r="A17" s="36" t="str">
        <f>FLUID!E60</f>
        <v>H (Ar)</v>
      </c>
      <c r="B17" s="16">
        <f ca="1">FLUID!F60</f>
        <v>-18.62</v>
      </c>
      <c r="C17" s="16">
        <f ca="1">FLUID!G60</f>
        <v>-18.63</v>
      </c>
      <c r="D17" s="16">
        <f ca="1">FLUID!H60</f>
        <v>-18.72</v>
      </c>
      <c r="E17" s="16">
        <f ca="1">FLUID!I60</f>
        <v>-18.84</v>
      </c>
      <c r="F17" s="14">
        <f ca="1">FLUID!J60</f>
        <v>-18.97</v>
      </c>
      <c r="G17" s="14">
        <f ca="1">FLUID!K60</f>
        <v>-19.11</v>
      </c>
      <c r="H17" s="14">
        <f ca="1">FLUID!L60</f>
        <v>-19.260000000000002</v>
      </c>
      <c r="I17" s="14">
        <f ca="1">FLUID!M60</f>
        <v>-19.41</v>
      </c>
      <c r="J17" s="14">
        <f ca="1">FLUID!N60</f>
        <v>-19.559999999999999</v>
      </c>
      <c r="K17" s="14">
        <f ca="1">FLUID!O60</f>
        <v>-19.73</v>
      </c>
      <c r="L17" s="14">
        <f ca="1">FLUID!P60</f>
        <v>-19.940000000000001</v>
      </c>
      <c r="M17" s="14">
        <f ca="1">FLUID!Q60</f>
        <v>-20.2</v>
      </c>
      <c r="N17" s="14">
        <f ca="1">FLUID!R60</f>
        <v>0</v>
      </c>
      <c r="O17" s="14">
        <f ca="1">FLUID!S60</f>
        <v>0</v>
      </c>
      <c r="P17" s="14">
        <f ca="1">FLUID!T60</f>
        <v>0</v>
      </c>
      <c r="Q17" s="14">
        <f ca="1">FLUID!U60</f>
        <v>0</v>
      </c>
      <c r="R17" s="14">
        <f ca="1">FLUID!V60</f>
        <v>0</v>
      </c>
      <c r="S17" s="14">
        <f ca="1">FLUID!W60</f>
        <v>0</v>
      </c>
      <c r="T17" s="14">
        <f ca="1">FLUID!X60</f>
        <v>0</v>
      </c>
      <c r="U17" s="14">
        <f ca="1">FLUID!Y60</f>
        <v>0</v>
      </c>
      <c r="V17" s="14">
        <f ca="1">FLUID!Z60</f>
        <v>0</v>
      </c>
      <c r="W17" s="14">
        <f ca="1">FLUID!AA60</f>
        <v>0</v>
      </c>
      <c r="X17" s="14">
        <f ca="1">FLUID!AB60</f>
        <v>0</v>
      </c>
      <c r="Y17" s="14">
        <f ca="1">FLUID!AC60</f>
        <v>0</v>
      </c>
      <c r="Z17" s="14">
        <f ca="1">FLUID!AD60</f>
        <v>0</v>
      </c>
      <c r="AA17" s="14">
        <f ca="1">FLUID!AE60</f>
        <v>0</v>
      </c>
      <c r="AB17" s="14">
        <f ca="1">FLUID!AF60</f>
        <v>0</v>
      </c>
      <c r="AC17" s="14">
        <f ca="1">FLUID!AG60</f>
        <v>0</v>
      </c>
      <c r="AD17" s="14">
        <f ca="1">FLUID!AH60</f>
        <v>0</v>
      </c>
      <c r="AE17" s="14">
        <f ca="1">FLUID!AI60</f>
        <v>0</v>
      </c>
      <c r="AF17" s="14">
        <f ca="1">FLUID!AJ60</f>
        <v>0</v>
      </c>
      <c r="AG17" s="14">
        <f ca="1">FLUID!AK60</f>
        <v>0</v>
      </c>
      <c r="AH17" s="14">
        <f ca="1">FLUID!AL60</f>
        <v>0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>
        <v>0</v>
      </c>
    </row>
    <row r="18" spans="1:95" ht="22.5" hidden="1" outlineLevel="1" thickTop="1" thickBot="1" x14ac:dyDescent="0.4">
      <c r="A18" s="36" t="str">
        <f>FLUID!E61</f>
        <v>H (Ga)</v>
      </c>
      <c r="B18" s="16">
        <f ca="1">FLUID!F61</f>
        <v>-7.6630000000000003</v>
      </c>
      <c r="C18" s="16">
        <f ca="1">FLUID!G61</f>
        <v>-8.1549999999999994</v>
      </c>
      <c r="D18" s="16">
        <f ca="1">FLUID!H61</f>
        <v>-8.5950000000000006</v>
      </c>
      <c r="E18" s="16">
        <f ca="1">FLUID!I61</f>
        <v>-8.9879999999999995</v>
      </c>
      <c r="F18" s="14">
        <f ca="1">FLUID!J61</f>
        <v>-9.3450000000000006</v>
      </c>
      <c r="G18" s="14">
        <f ca="1">FLUID!K61</f>
        <v>-9.6869999999999994</v>
      </c>
      <c r="H18" s="14">
        <f ca="1">FLUID!L61</f>
        <v>-10.050000000000001</v>
      </c>
      <c r="I18" s="14">
        <f ca="1">FLUID!M61</f>
        <v>-10.47</v>
      </c>
      <c r="J18" s="14">
        <f ca="1">FLUID!N61</f>
        <v>-10.92</v>
      </c>
      <c r="K18" s="14">
        <f ca="1">FLUID!O61</f>
        <v>-11.37</v>
      </c>
      <c r="L18" s="14">
        <f ca="1">FLUID!P61</f>
        <v>-11.81</v>
      </c>
      <c r="M18" s="14">
        <f ca="1">FLUID!Q61</f>
        <v>-12.22</v>
      </c>
      <c r="N18" s="14">
        <f ca="1">FLUID!R61</f>
        <v>0</v>
      </c>
      <c r="O18" s="14">
        <f ca="1">FLUID!S61</f>
        <v>0</v>
      </c>
      <c r="P18" s="14">
        <f ca="1">FLUID!T61</f>
        <v>0</v>
      </c>
      <c r="Q18" s="14">
        <f ca="1">FLUID!U61</f>
        <v>0</v>
      </c>
      <c r="R18" s="14">
        <f ca="1">FLUID!V61</f>
        <v>0</v>
      </c>
      <c r="S18" s="14">
        <f ca="1">FLUID!W61</f>
        <v>0</v>
      </c>
      <c r="T18" s="14">
        <f ca="1">FLUID!X61</f>
        <v>0</v>
      </c>
      <c r="U18" s="14">
        <f ca="1">FLUID!Y61</f>
        <v>0</v>
      </c>
      <c r="V18" s="14">
        <f ca="1">FLUID!Z61</f>
        <v>0</v>
      </c>
      <c r="W18" s="14">
        <f ca="1">FLUID!AA61</f>
        <v>0</v>
      </c>
      <c r="X18" s="14">
        <f ca="1">FLUID!AB61</f>
        <v>0</v>
      </c>
      <c r="Y18" s="14">
        <f ca="1">FLUID!AC61</f>
        <v>0</v>
      </c>
      <c r="Z18" s="14">
        <f ca="1">FLUID!AD61</f>
        <v>0</v>
      </c>
      <c r="AA18" s="14">
        <f ca="1">FLUID!AE61</f>
        <v>0</v>
      </c>
      <c r="AB18" s="14">
        <f ca="1">FLUID!AF61</f>
        <v>0</v>
      </c>
      <c r="AC18" s="14">
        <f ca="1">FLUID!AG61</f>
        <v>0</v>
      </c>
      <c r="AD18" s="14">
        <f ca="1">FLUID!AH61</f>
        <v>0</v>
      </c>
      <c r="AE18" s="14">
        <f ca="1">FLUID!AI61</f>
        <v>0</v>
      </c>
      <c r="AF18" s="14">
        <f ca="1">FLUID!AJ61</f>
        <v>0</v>
      </c>
      <c r="AG18" s="14">
        <f ca="1">FLUID!AK61</f>
        <v>0</v>
      </c>
      <c r="AH18" s="14">
        <f ca="1">FLUID!AL61</f>
        <v>0</v>
      </c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>
        <v>0</v>
      </c>
    </row>
    <row r="19" spans="1:95" ht="22.5" hidden="1" customHeight="1" outlineLevel="1" thickBot="1" x14ac:dyDescent="0.4">
      <c r="A19" s="36" t="str">
        <f>FLUID!E62</f>
        <v>H (Ge)</v>
      </c>
      <c r="B19" s="16">
        <f ca="1">FLUID!F62</f>
        <v>7.5119999999999996</v>
      </c>
      <c r="C19" s="16">
        <f ca="1">FLUID!G62</f>
        <v>4.4539999999999997</v>
      </c>
      <c r="D19" s="16">
        <f ca="1">FLUID!H62</f>
        <v>2.2879999999999998</v>
      </c>
      <c r="E19" s="16">
        <f ca="1">FLUID!I62</f>
        <v>0.65210000000000001</v>
      </c>
      <c r="F19" s="14">
        <f ca="1">FLUID!J62</f>
        <v>-0.63829999999999998</v>
      </c>
      <c r="G19" s="14">
        <f ca="1">FLUID!K62</f>
        <v>-1.6890000000000001</v>
      </c>
      <c r="H19" s="14">
        <f ca="1">FLUID!L62</f>
        <v>-2.5640000000000001</v>
      </c>
      <c r="I19" s="14">
        <f ca="1">FLUID!M62</f>
        <v>-3.3050000000000002</v>
      </c>
      <c r="J19" s="14">
        <f ca="1">FLUID!N62</f>
        <v>-3.9390000000000001</v>
      </c>
      <c r="K19" s="14">
        <f ca="1">FLUID!O62</f>
        <v>-4.4790000000000001</v>
      </c>
      <c r="L19" s="14">
        <f ca="1">FLUID!P62</f>
        <v>-4.9219999999999997</v>
      </c>
      <c r="M19" s="14">
        <f ca="1">FLUID!Q62</f>
        <v>-5.2549999999999999</v>
      </c>
      <c r="N19" s="14">
        <f ca="1">FLUID!R62</f>
        <v>0</v>
      </c>
      <c r="O19" s="14">
        <f ca="1">FLUID!S62</f>
        <v>0</v>
      </c>
      <c r="P19" s="14">
        <f ca="1">FLUID!T62</f>
        <v>0</v>
      </c>
      <c r="Q19" s="14">
        <f ca="1">FLUID!U62</f>
        <v>0</v>
      </c>
      <c r="R19" s="14">
        <f ca="1">FLUID!V62</f>
        <v>0</v>
      </c>
      <c r="S19" s="14">
        <f ca="1">FLUID!W62</f>
        <v>0</v>
      </c>
      <c r="T19" s="14">
        <f ca="1">FLUID!X62</f>
        <v>0</v>
      </c>
      <c r="U19" s="14">
        <f ca="1">FLUID!Y62</f>
        <v>0</v>
      </c>
      <c r="V19" s="14">
        <f ca="1">FLUID!Z62</f>
        <v>0</v>
      </c>
      <c r="W19" s="14">
        <f ca="1">FLUID!AA62</f>
        <v>0</v>
      </c>
      <c r="X19" s="14">
        <f ca="1">FLUID!AB62</f>
        <v>0</v>
      </c>
      <c r="Y19" s="14">
        <f ca="1">FLUID!AC62</f>
        <v>0</v>
      </c>
      <c r="Z19" s="14">
        <f ca="1">FLUID!AD62</f>
        <v>0</v>
      </c>
      <c r="AA19" s="14">
        <f ca="1">FLUID!AE62</f>
        <v>0</v>
      </c>
      <c r="AB19" s="14">
        <f ca="1">FLUID!AF62</f>
        <v>0</v>
      </c>
      <c r="AC19" s="14">
        <f ca="1">FLUID!AG62</f>
        <v>0</v>
      </c>
      <c r="AD19" s="14">
        <f ca="1">FLUID!AH62</f>
        <v>0</v>
      </c>
      <c r="AE19" s="14">
        <f ca="1">FLUID!AI62</f>
        <v>0</v>
      </c>
      <c r="AF19" s="14">
        <f ca="1">FLUID!AJ62</f>
        <v>0</v>
      </c>
      <c r="AG19" s="14">
        <f ca="1">FLUID!AK62</f>
        <v>0</v>
      </c>
      <c r="AH19" s="14">
        <f ca="1">FLUID!AL62</f>
        <v>0</v>
      </c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>
        <v>0</v>
      </c>
    </row>
    <row r="20" spans="1:95" ht="22.5" hidden="1" customHeight="1" outlineLevel="1" thickBot="1" x14ac:dyDescent="0.4">
      <c r="A20" s="36" t="str">
        <f>FLUID!E63</f>
        <v>H (Se)</v>
      </c>
      <c r="B20" s="16">
        <f ca="1">FLUID!F63</f>
        <v>-4.7</v>
      </c>
      <c r="C20" s="16">
        <f ca="1">FLUID!G63</f>
        <v>-5.0519999999999996</v>
      </c>
      <c r="D20" s="16">
        <f ca="1">FLUID!H63</f>
        <v>-5.4409999999999998</v>
      </c>
      <c r="E20" s="16">
        <f ca="1">FLUID!I63</f>
        <v>-5.8239999999999998</v>
      </c>
      <c r="F20" s="14">
        <f ca="1">FLUID!J63</f>
        <v>-6.1890000000000001</v>
      </c>
      <c r="G20" s="14">
        <f ca="1">FLUID!K63</f>
        <v>-6.53</v>
      </c>
      <c r="H20" s="14">
        <f ca="1">FLUID!L63</f>
        <v>-6.8470000000000004</v>
      </c>
      <c r="I20" s="14">
        <f ca="1">FLUID!M63</f>
        <v>-7.1420000000000003</v>
      </c>
      <c r="J20" s="14">
        <f ca="1">FLUID!N63</f>
        <v>-7.42</v>
      </c>
      <c r="K20" s="14">
        <f ca="1">FLUID!O63</f>
        <v>-7.6909999999999998</v>
      </c>
      <c r="L20" s="14">
        <f ca="1">FLUID!P63</f>
        <v>-7.9740000000000002</v>
      </c>
      <c r="M20" s="14">
        <f ca="1">FLUID!Q63</f>
        <v>-8.298</v>
      </c>
      <c r="N20" s="14">
        <f ca="1">FLUID!R63</f>
        <v>0</v>
      </c>
      <c r="O20" s="14">
        <f ca="1">FLUID!S63</f>
        <v>0</v>
      </c>
      <c r="P20" s="14">
        <f ca="1">FLUID!T63</f>
        <v>0</v>
      </c>
      <c r="Q20" s="14">
        <f ca="1">FLUID!U63</f>
        <v>0</v>
      </c>
      <c r="R20" s="14">
        <f ca="1">FLUID!V63</f>
        <v>0</v>
      </c>
      <c r="S20" s="14">
        <f ca="1">FLUID!W63</f>
        <v>0</v>
      </c>
      <c r="T20" s="14">
        <f ca="1">FLUID!X63</f>
        <v>0</v>
      </c>
      <c r="U20" s="14">
        <f ca="1">FLUID!Y63</f>
        <v>0</v>
      </c>
      <c r="V20" s="14">
        <f ca="1">FLUID!Z63</f>
        <v>0</v>
      </c>
      <c r="W20" s="14">
        <f ca="1">FLUID!AA63</f>
        <v>0</v>
      </c>
      <c r="X20" s="14">
        <f ca="1">FLUID!AB63</f>
        <v>0</v>
      </c>
      <c r="Y20" s="14">
        <f ca="1">FLUID!AC63</f>
        <v>0</v>
      </c>
      <c r="Z20" s="14">
        <f ca="1">FLUID!AD63</f>
        <v>0</v>
      </c>
      <c r="AA20" s="14">
        <f ca="1">FLUID!AE63</f>
        <v>0</v>
      </c>
      <c r="AB20" s="14">
        <f ca="1">FLUID!AF63</f>
        <v>0</v>
      </c>
      <c r="AC20" s="14">
        <f ca="1">FLUID!AG63</f>
        <v>0</v>
      </c>
      <c r="AD20" s="14">
        <f ca="1">FLUID!AH63</f>
        <v>0</v>
      </c>
      <c r="AE20" s="14">
        <f ca="1">FLUID!AI63</f>
        <v>0</v>
      </c>
      <c r="AF20" s="14">
        <f ca="1">FLUID!AJ63</f>
        <v>0</v>
      </c>
      <c r="AG20" s="14">
        <f ca="1">FLUID!AK63</f>
        <v>0</v>
      </c>
      <c r="AH20" s="14">
        <f ca="1">FLUID!AL63</f>
        <v>0</v>
      </c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>
        <v>0</v>
      </c>
    </row>
    <row r="21" spans="1:95" ht="22.5" hidden="1" customHeight="1" outlineLevel="1" thickBot="1" x14ac:dyDescent="0.4">
      <c r="A21" s="36">
        <f>FLUID!E64</f>
        <v>0</v>
      </c>
      <c r="B21" s="16">
        <f ca="1">FLUID!F64</f>
        <v>0</v>
      </c>
      <c r="C21" s="16">
        <f ca="1">FLUID!G64</f>
        <v>0</v>
      </c>
      <c r="D21" s="16">
        <f ca="1">FLUID!H64</f>
        <v>0</v>
      </c>
      <c r="E21" s="16">
        <f ca="1">FLUID!I64</f>
        <v>0</v>
      </c>
      <c r="F21" s="14">
        <f ca="1">FLUID!J64</f>
        <v>0</v>
      </c>
      <c r="G21" s="14">
        <f ca="1">FLUID!K64</f>
        <v>0</v>
      </c>
      <c r="H21" s="14">
        <f ca="1">FLUID!L64</f>
        <v>0</v>
      </c>
      <c r="I21" s="14">
        <f ca="1">FLUID!M64</f>
        <v>0</v>
      </c>
      <c r="J21" s="14">
        <f ca="1">FLUID!N64</f>
        <v>0</v>
      </c>
      <c r="K21" s="14">
        <f ca="1">FLUID!O64</f>
        <v>0</v>
      </c>
      <c r="L21" s="14">
        <f ca="1">FLUID!P64</f>
        <v>0</v>
      </c>
      <c r="M21" s="14">
        <f ca="1">FLUID!Q64</f>
        <v>0</v>
      </c>
      <c r="N21" s="14">
        <f ca="1">FLUID!R64</f>
        <v>0</v>
      </c>
      <c r="O21" s="14">
        <f ca="1">FLUID!S64</f>
        <v>0</v>
      </c>
      <c r="P21" s="14">
        <f ca="1">FLUID!T64</f>
        <v>0</v>
      </c>
      <c r="Q21" s="14">
        <f ca="1">FLUID!U64</f>
        <v>0</v>
      </c>
      <c r="R21" s="14">
        <f ca="1">FLUID!V64</f>
        <v>0</v>
      </c>
      <c r="S21" s="14">
        <f ca="1">FLUID!W64</f>
        <v>0</v>
      </c>
      <c r="T21" s="14">
        <f ca="1">FLUID!X64</f>
        <v>0</v>
      </c>
      <c r="U21" s="14">
        <f ca="1">FLUID!Y64</f>
        <v>0</v>
      </c>
      <c r="V21" s="14">
        <f ca="1">FLUID!Z64</f>
        <v>0</v>
      </c>
      <c r="W21" s="14">
        <f ca="1">FLUID!AA64</f>
        <v>0</v>
      </c>
      <c r="X21" s="14">
        <f ca="1">FLUID!AB64</f>
        <v>0</v>
      </c>
      <c r="Y21" s="14">
        <f ca="1">FLUID!AC64</f>
        <v>0</v>
      </c>
      <c r="Z21" s="14">
        <f ca="1">FLUID!AD64</f>
        <v>0</v>
      </c>
      <c r="AA21" s="14">
        <f ca="1">FLUID!AE64</f>
        <v>0</v>
      </c>
      <c r="AB21" s="14">
        <f ca="1">FLUID!AF64</f>
        <v>0</v>
      </c>
      <c r="AC21" s="14">
        <f ca="1">FLUID!AG64</f>
        <v>0</v>
      </c>
      <c r="AD21" s="14">
        <f ca="1">FLUID!AH64</f>
        <v>0</v>
      </c>
      <c r="AE21" s="14">
        <f ca="1">FLUID!AI64</f>
        <v>0</v>
      </c>
      <c r="AF21" s="14">
        <f ca="1">FLUID!AJ64</f>
        <v>0</v>
      </c>
      <c r="AG21" s="14">
        <f ca="1">FLUID!AK64</f>
        <v>0</v>
      </c>
      <c r="AH21" s="14">
        <f ca="1">FLUID!AL64</f>
        <v>0</v>
      </c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>
        <v>0</v>
      </c>
    </row>
    <row r="22" spans="1:95" ht="22.5" hidden="1" customHeight="1" outlineLevel="1" thickBot="1" x14ac:dyDescent="0.4">
      <c r="A22" s="36">
        <f>FLUID!E65</f>
        <v>0</v>
      </c>
      <c r="B22" s="16">
        <f ca="1">FLUID!F65</f>
        <v>0</v>
      </c>
      <c r="C22" s="16">
        <f ca="1">FLUID!G65</f>
        <v>0</v>
      </c>
      <c r="D22" s="16">
        <f ca="1">FLUID!H65</f>
        <v>0</v>
      </c>
      <c r="E22" s="16">
        <f ca="1">FLUID!I65</f>
        <v>0</v>
      </c>
      <c r="F22" s="14">
        <f ca="1">FLUID!J65</f>
        <v>0</v>
      </c>
      <c r="G22" s="14">
        <f ca="1">FLUID!K65</f>
        <v>0</v>
      </c>
      <c r="H22" s="14">
        <f ca="1">FLUID!L65</f>
        <v>0</v>
      </c>
      <c r="I22" s="14">
        <f ca="1">FLUID!M65</f>
        <v>0</v>
      </c>
      <c r="J22" s="14">
        <f ca="1">FLUID!N65</f>
        <v>0</v>
      </c>
      <c r="K22" s="14">
        <f ca="1">FLUID!O65</f>
        <v>0</v>
      </c>
      <c r="L22" s="14">
        <f ca="1">FLUID!P65</f>
        <v>0</v>
      </c>
      <c r="M22" s="14">
        <f ca="1">FLUID!Q65</f>
        <v>0</v>
      </c>
      <c r="N22" s="14">
        <f ca="1">FLUID!R65</f>
        <v>0</v>
      </c>
      <c r="O22" s="14">
        <f ca="1">FLUID!S65</f>
        <v>0</v>
      </c>
      <c r="P22" s="14">
        <f ca="1">FLUID!T65</f>
        <v>0</v>
      </c>
      <c r="Q22" s="14">
        <f ca="1">FLUID!U65</f>
        <v>0</v>
      </c>
      <c r="R22" s="14">
        <f ca="1">FLUID!V65</f>
        <v>0</v>
      </c>
      <c r="S22" s="14">
        <f ca="1">FLUID!W65</f>
        <v>0</v>
      </c>
      <c r="T22" s="14">
        <f ca="1">FLUID!X65</f>
        <v>0</v>
      </c>
      <c r="U22" s="14">
        <f ca="1">FLUID!Y65</f>
        <v>0</v>
      </c>
      <c r="V22" s="14">
        <f ca="1">FLUID!Z65</f>
        <v>0</v>
      </c>
      <c r="W22" s="14">
        <f ca="1">FLUID!AA65</f>
        <v>0</v>
      </c>
      <c r="X22" s="14">
        <f ca="1">FLUID!AB65</f>
        <v>0</v>
      </c>
      <c r="Y22" s="14">
        <f ca="1">FLUID!AC65</f>
        <v>0</v>
      </c>
      <c r="Z22" s="14">
        <f ca="1">FLUID!AD65</f>
        <v>0</v>
      </c>
      <c r="AA22" s="14">
        <f ca="1">FLUID!AE65</f>
        <v>0</v>
      </c>
      <c r="AB22" s="14">
        <f ca="1">FLUID!AF65</f>
        <v>0</v>
      </c>
      <c r="AC22" s="14">
        <f ca="1">FLUID!AG65</f>
        <v>0</v>
      </c>
      <c r="AD22" s="14">
        <f ca="1">FLUID!AH65</f>
        <v>0</v>
      </c>
      <c r="AE22" s="14">
        <f ca="1">FLUID!AI65</f>
        <v>0</v>
      </c>
      <c r="AF22" s="14">
        <f ca="1">FLUID!AJ65</f>
        <v>0</v>
      </c>
      <c r="AG22" s="14">
        <f ca="1">FLUID!AK65</f>
        <v>0</v>
      </c>
      <c r="AH22" s="14">
        <f ca="1">FLUID!AL65</f>
        <v>0</v>
      </c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>
        <v>0</v>
      </c>
    </row>
    <row r="23" spans="1:95" ht="22.5" hidden="1" customHeight="1" outlineLevel="1" thickBot="1" x14ac:dyDescent="0.4">
      <c r="A23" s="36">
        <f>FLUID!E66</f>
        <v>0</v>
      </c>
      <c r="B23" s="16">
        <f ca="1">FLUID!F66</f>
        <v>0</v>
      </c>
      <c r="C23" s="16">
        <f ca="1">FLUID!G66</f>
        <v>0</v>
      </c>
      <c r="D23" s="16">
        <f ca="1">FLUID!H66</f>
        <v>0</v>
      </c>
      <c r="E23" s="16">
        <f ca="1">FLUID!I66</f>
        <v>0</v>
      </c>
      <c r="F23" s="14">
        <f ca="1">FLUID!J66</f>
        <v>0</v>
      </c>
      <c r="G23" s="14">
        <f ca="1">FLUID!K66</f>
        <v>0</v>
      </c>
      <c r="H23" s="14">
        <f ca="1">FLUID!L66</f>
        <v>0</v>
      </c>
      <c r="I23" s="14">
        <f ca="1">FLUID!M66</f>
        <v>0</v>
      </c>
      <c r="J23" s="14">
        <f ca="1">FLUID!N66</f>
        <v>0</v>
      </c>
      <c r="K23" s="14">
        <f ca="1">FLUID!O66</f>
        <v>0</v>
      </c>
      <c r="L23" s="14">
        <f ca="1">FLUID!P66</f>
        <v>0</v>
      </c>
      <c r="M23" s="14">
        <f ca="1">FLUID!Q66</f>
        <v>0</v>
      </c>
      <c r="N23" s="14">
        <f ca="1">FLUID!R66</f>
        <v>0</v>
      </c>
      <c r="O23" s="14">
        <f ca="1">FLUID!S66</f>
        <v>0</v>
      </c>
      <c r="P23" s="14">
        <f ca="1">FLUID!T66</f>
        <v>0</v>
      </c>
      <c r="Q23" s="14">
        <f ca="1">FLUID!U66</f>
        <v>0</v>
      </c>
      <c r="R23" s="14">
        <f ca="1">FLUID!V66</f>
        <v>0</v>
      </c>
      <c r="S23" s="14">
        <f ca="1">FLUID!W66</f>
        <v>0</v>
      </c>
      <c r="T23" s="14">
        <f ca="1">FLUID!X66</f>
        <v>0</v>
      </c>
      <c r="U23" s="14">
        <f ca="1">FLUID!Y66</f>
        <v>0</v>
      </c>
      <c r="V23" s="14">
        <f ca="1">FLUID!Z66</f>
        <v>0</v>
      </c>
      <c r="W23" s="14">
        <f ca="1">FLUID!AA66</f>
        <v>0</v>
      </c>
      <c r="X23" s="14">
        <f ca="1">FLUID!AB66</f>
        <v>0</v>
      </c>
      <c r="Y23" s="14">
        <f ca="1">FLUID!AC66</f>
        <v>0</v>
      </c>
      <c r="Z23" s="14">
        <f ca="1">FLUID!AD66</f>
        <v>0</v>
      </c>
      <c r="AA23" s="14">
        <f ca="1">FLUID!AE66</f>
        <v>0</v>
      </c>
      <c r="AB23" s="14">
        <f ca="1">FLUID!AF66</f>
        <v>0</v>
      </c>
      <c r="AC23" s="14">
        <f ca="1">FLUID!AG66</f>
        <v>0</v>
      </c>
      <c r="AD23" s="14">
        <f ca="1">FLUID!AH66</f>
        <v>0</v>
      </c>
      <c r="AE23" s="14">
        <f ca="1">FLUID!AI66</f>
        <v>0</v>
      </c>
      <c r="AF23" s="14">
        <f ca="1">FLUID!AJ66</f>
        <v>0</v>
      </c>
      <c r="AG23" s="14">
        <f ca="1">FLUID!AK66</f>
        <v>0</v>
      </c>
      <c r="AH23" s="14">
        <f ca="1">FLUID!AL66</f>
        <v>0</v>
      </c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>
        <v>0</v>
      </c>
    </row>
    <row r="24" spans="1:95" ht="22.5" hidden="1" customHeight="1" outlineLevel="1" thickBot="1" x14ac:dyDescent="0.4">
      <c r="A24" s="36">
        <f>FLUID!E67</f>
        <v>0</v>
      </c>
      <c r="B24" s="16">
        <f ca="1">FLUID!F67</f>
        <v>0</v>
      </c>
      <c r="C24" s="16">
        <f ca="1">FLUID!G67</f>
        <v>0</v>
      </c>
      <c r="D24" s="16">
        <f ca="1">FLUID!H67</f>
        <v>0</v>
      </c>
      <c r="E24" s="16">
        <f ca="1">FLUID!I67</f>
        <v>0</v>
      </c>
      <c r="F24" s="14">
        <f ca="1">FLUID!J67</f>
        <v>0</v>
      </c>
      <c r="G24" s="14">
        <f ca="1">FLUID!K67</f>
        <v>0</v>
      </c>
      <c r="H24" s="14">
        <f ca="1">FLUID!L67</f>
        <v>0</v>
      </c>
      <c r="I24" s="14">
        <f ca="1">FLUID!M67</f>
        <v>0</v>
      </c>
      <c r="J24" s="14">
        <f ca="1">FLUID!N67</f>
        <v>0</v>
      </c>
      <c r="K24" s="14">
        <f ca="1">FLUID!O67</f>
        <v>0</v>
      </c>
      <c r="L24" s="14">
        <f ca="1">FLUID!P67</f>
        <v>0</v>
      </c>
      <c r="M24" s="14">
        <f ca="1">FLUID!Q67</f>
        <v>0</v>
      </c>
      <c r="N24" s="14">
        <f ca="1">FLUID!R67</f>
        <v>0</v>
      </c>
      <c r="O24" s="14">
        <f ca="1">FLUID!S67</f>
        <v>0</v>
      </c>
      <c r="P24" s="14">
        <f ca="1">FLUID!T67</f>
        <v>0</v>
      </c>
      <c r="Q24" s="14">
        <f ca="1">FLUID!U67</f>
        <v>0</v>
      </c>
      <c r="R24" s="14">
        <f ca="1">FLUID!V67</f>
        <v>0</v>
      </c>
      <c r="S24" s="14">
        <f ca="1">FLUID!W67</f>
        <v>0</v>
      </c>
      <c r="T24" s="14">
        <f ca="1">FLUID!X67</f>
        <v>0</v>
      </c>
      <c r="U24" s="14">
        <f ca="1">FLUID!Y67</f>
        <v>0</v>
      </c>
      <c r="V24" s="14">
        <f ca="1">FLUID!Z67</f>
        <v>0</v>
      </c>
      <c r="W24" s="14">
        <f ca="1">FLUID!AA67</f>
        <v>0</v>
      </c>
      <c r="X24" s="14">
        <f ca="1">FLUID!AB67</f>
        <v>0</v>
      </c>
      <c r="Y24" s="14">
        <f ca="1">FLUID!AC67</f>
        <v>0</v>
      </c>
      <c r="Z24" s="14">
        <f ca="1">FLUID!AD67</f>
        <v>0</v>
      </c>
      <c r="AA24" s="14">
        <f ca="1">FLUID!AE67</f>
        <v>0</v>
      </c>
      <c r="AB24" s="14">
        <f ca="1">FLUID!AF67</f>
        <v>0</v>
      </c>
      <c r="AC24" s="14">
        <f ca="1">FLUID!AG67</f>
        <v>0</v>
      </c>
      <c r="AD24" s="14">
        <f ca="1">FLUID!AH67</f>
        <v>0</v>
      </c>
      <c r="AE24" s="14">
        <f ca="1">FLUID!AI67</f>
        <v>0</v>
      </c>
      <c r="AF24" s="14">
        <f ca="1">FLUID!AJ67</f>
        <v>0</v>
      </c>
      <c r="AG24" s="14">
        <f ca="1">FLUID!AK67</f>
        <v>0</v>
      </c>
      <c r="AH24" s="14">
        <f ca="1">FLUID!AL67</f>
        <v>0</v>
      </c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>
        <v>0</v>
      </c>
    </row>
    <row r="25" spans="1:95" ht="22.5" hidden="1" customHeight="1" outlineLevel="1" thickBot="1" x14ac:dyDescent="0.4">
      <c r="A25" s="36">
        <f>FLUID!E68</f>
        <v>0</v>
      </c>
      <c r="B25" s="16">
        <f ca="1">FLUID!F68</f>
        <v>0</v>
      </c>
      <c r="C25" s="16">
        <f ca="1">FLUID!G68</f>
        <v>0</v>
      </c>
      <c r="D25" s="16">
        <f ca="1">FLUID!H68</f>
        <v>0</v>
      </c>
      <c r="E25" s="16">
        <f ca="1">FLUID!I68</f>
        <v>0</v>
      </c>
      <c r="F25" s="14">
        <f ca="1">FLUID!J68</f>
        <v>0</v>
      </c>
      <c r="G25" s="14">
        <f ca="1">FLUID!K68</f>
        <v>0</v>
      </c>
      <c r="H25" s="14">
        <f ca="1">FLUID!L68</f>
        <v>0</v>
      </c>
      <c r="I25" s="14">
        <f ca="1">FLUID!M68</f>
        <v>0</v>
      </c>
      <c r="J25" s="14">
        <f ca="1">FLUID!N68</f>
        <v>0</v>
      </c>
      <c r="K25" s="14">
        <f ca="1">FLUID!O68</f>
        <v>0</v>
      </c>
      <c r="L25" s="14">
        <f ca="1">FLUID!P68</f>
        <v>0</v>
      </c>
      <c r="M25" s="14">
        <f ca="1">FLUID!Q68</f>
        <v>0</v>
      </c>
      <c r="N25" s="14">
        <f ca="1">FLUID!R68</f>
        <v>0</v>
      </c>
      <c r="O25" s="14">
        <f ca="1">FLUID!S68</f>
        <v>0</v>
      </c>
      <c r="P25" s="14">
        <f ca="1">FLUID!T68</f>
        <v>0</v>
      </c>
      <c r="Q25" s="14">
        <f ca="1">FLUID!U68</f>
        <v>0</v>
      </c>
      <c r="R25" s="14">
        <f ca="1">FLUID!V68</f>
        <v>0</v>
      </c>
      <c r="S25" s="14">
        <f ca="1">FLUID!W68</f>
        <v>0</v>
      </c>
      <c r="T25" s="14">
        <f ca="1">FLUID!X68</f>
        <v>0</v>
      </c>
      <c r="U25" s="14">
        <f ca="1">FLUID!Y68</f>
        <v>0</v>
      </c>
      <c r="V25" s="14">
        <f ca="1">FLUID!Z68</f>
        <v>0</v>
      </c>
      <c r="W25" s="14">
        <f ca="1">FLUID!AA68</f>
        <v>0</v>
      </c>
      <c r="X25" s="14">
        <f ca="1">FLUID!AB68</f>
        <v>0</v>
      </c>
      <c r="Y25" s="14">
        <f ca="1">FLUID!AC68</f>
        <v>0</v>
      </c>
      <c r="Z25" s="14">
        <f ca="1">FLUID!AD68</f>
        <v>0</v>
      </c>
      <c r="AA25" s="14">
        <f ca="1">FLUID!AE68</f>
        <v>0</v>
      </c>
      <c r="AB25" s="14">
        <f ca="1">FLUID!AF68</f>
        <v>0</v>
      </c>
      <c r="AC25" s="14">
        <f ca="1">FLUID!AG68</f>
        <v>0</v>
      </c>
      <c r="AD25" s="14">
        <f ca="1">FLUID!AH68</f>
        <v>0</v>
      </c>
      <c r="AE25" s="14">
        <f ca="1">FLUID!AI68</f>
        <v>0</v>
      </c>
      <c r="AF25" s="14">
        <f ca="1">FLUID!AJ68</f>
        <v>0</v>
      </c>
      <c r="AG25" s="14">
        <f ca="1">FLUID!AK68</f>
        <v>0</v>
      </c>
      <c r="AH25" s="14">
        <f ca="1">FLUID!AL68</f>
        <v>0</v>
      </c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>
        <v>0</v>
      </c>
    </row>
    <row r="26" spans="1:95" ht="22.5" hidden="1" customHeight="1" outlineLevel="1" thickBot="1" x14ac:dyDescent="0.4">
      <c r="A26" s="36">
        <f>FLUID!E69</f>
        <v>0</v>
      </c>
      <c r="B26" s="16">
        <f ca="1">FLUID!F69</f>
        <v>0</v>
      </c>
      <c r="C26" s="16">
        <f ca="1">FLUID!G69</f>
        <v>0</v>
      </c>
      <c r="D26" s="16">
        <f ca="1">FLUID!H69</f>
        <v>0</v>
      </c>
      <c r="E26" s="16">
        <f ca="1">FLUID!I69</f>
        <v>0</v>
      </c>
      <c r="F26" s="14">
        <f ca="1">FLUID!J69</f>
        <v>0</v>
      </c>
      <c r="G26" s="14">
        <f ca="1">FLUID!K69</f>
        <v>0</v>
      </c>
      <c r="H26" s="14">
        <f ca="1">FLUID!L69</f>
        <v>0</v>
      </c>
      <c r="I26" s="14">
        <f ca="1">FLUID!M69</f>
        <v>0</v>
      </c>
      <c r="J26" s="14">
        <f ca="1">FLUID!N69</f>
        <v>0</v>
      </c>
      <c r="K26" s="14">
        <f ca="1">FLUID!O69</f>
        <v>0</v>
      </c>
      <c r="L26" s="14">
        <f ca="1">FLUID!P69</f>
        <v>0</v>
      </c>
      <c r="M26" s="14">
        <f ca="1">FLUID!Q69</f>
        <v>0</v>
      </c>
      <c r="N26" s="14">
        <f ca="1">FLUID!R69</f>
        <v>0</v>
      </c>
      <c r="O26" s="14">
        <f ca="1">FLUID!S69</f>
        <v>0</v>
      </c>
      <c r="P26" s="14">
        <f ca="1">FLUID!T69</f>
        <v>0</v>
      </c>
      <c r="Q26" s="14">
        <f ca="1">FLUID!U69</f>
        <v>0</v>
      </c>
      <c r="R26" s="14">
        <f ca="1">FLUID!V69</f>
        <v>0</v>
      </c>
      <c r="S26" s="14">
        <f ca="1">FLUID!W69</f>
        <v>0</v>
      </c>
      <c r="T26" s="14">
        <f ca="1">FLUID!X69</f>
        <v>0</v>
      </c>
      <c r="U26" s="14">
        <f ca="1">FLUID!Y69</f>
        <v>0</v>
      </c>
      <c r="V26" s="14">
        <f ca="1">FLUID!Z69</f>
        <v>0</v>
      </c>
      <c r="W26" s="14">
        <f ca="1">FLUID!AA69</f>
        <v>0</v>
      </c>
      <c r="X26" s="14">
        <f ca="1">FLUID!AB69</f>
        <v>0</v>
      </c>
      <c r="Y26" s="14">
        <f ca="1">FLUID!AC69</f>
        <v>0</v>
      </c>
      <c r="Z26" s="14">
        <f ca="1">FLUID!AD69</f>
        <v>0</v>
      </c>
      <c r="AA26" s="14">
        <f ca="1">FLUID!AE69</f>
        <v>0</v>
      </c>
      <c r="AB26" s="14">
        <f ca="1">FLUID!AF69</f>
        <v>0</v>
      </c>
      <c r="AC26" s="14">
        <f ca="1">FLUID!AG69</f>
        <v>0</v>
      </c>
      <c r="AD26" s="14">
        <f ca="1">FLUID!AH69</f>
        <v>0</v>
      </c>
      <c r="AE26" s="14">
        <f ca="1">FLUID!AI69</f>
        <v>0</v>
      </c>
      <c r="AF26" s="14">
        <f ca="1">FLUID!AJ69</f>
        <v>0</v>
      </c>
      <c r="AG26" s="14">
        <f ca="1">FLUID!AK69</f>
        <v>0</v>
      </c>
      <c r="AH26" s="14">
        <f ca="1">FLUID!AL69</f>
        <v>0</v>
      </c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>
        <v>0</v>
      </c>
    </row>
    <row r="27" spans="1:95" ht="22.5" hidden="1" customHeight="1" outlineLevel="1" thickBot="1" x14ac:dyDescent="0.4">
      <c r="A27" s="36">
        <f>FLUID!E70</f>
        <v>0</v>
      </c>
      <c r="B27" s="16">
        <f ca="1">FLUID!F70</f>
        <v>0</v>
      </c>
      <c r="C27" s="16">
        <f ca="1">FLUID!G70</f>
        <v>0</v>
      </c>
      <c r="D27" s="16">
        <f ca="1">FLUID!H70</f>
        <v>0</v>
      </c>
      <c r="E27" s="16">
        <f ca="1">FLUID!I70</f>
        <v>0</v>
      </c>
      <c r="F27" s="14">
        <f ca="1">FLUID!J70</f>
        <v>0</v>
      </c>
      <c r="G27" s="14">
        <f ca="1">FLUID!K70</f>
        <v>0</v>
      </c>
      <c r="H27" s="14">
        <f ca="1">FLUID!L70</f>
        <v>0</v>
      </c>
      <c r="I27" s="14">
        <f ca="1">FLUID!M70</f>
        <v>0</v>
      </c>
      <c r="J27" s="14">
        <f ca="1">FLUID!N70</f>
        <v>0</v>
      </c>
      <c r="K27" s="14">
        <f ca="1">FLUID!O70</f>
        <v>0</v>
      </c>
      <c r="L27" s="14">
        <f ca="1">FLUID!P70</f>
        <v>0</v>
      </c>
      <c r="M27" s="14">
        <f ca="1">FLUID!Q70</f>
        <v>0</v>
      </c>
      <c r="N27" s="14">
        <f ca="1">FLUID!R70</f>
        <v>0</v>
      </c>
      <c r="O27" s="14">
        <f ca="1">FLUID!S70</f>
        <v>0</v>
      </c>
      <c r="P27" s="14">
        <f ca="1">FLUID!T70</f>
        <v>0</v>
      </c>
      <c r="Q27" s="14">
        <f ca="1">FLUID!U70</f>
        <v>0</v>
      </c>
      <c r="R27" s="14">
        <f ca="1">FLUID!V70</f>
        <v>0</v>
      </c>
      <c r="S27" s="14">
        <f ca="1">FLUID!W70</f>
        <v>0</v>
      </c>
      <c r="T27" s="14">
        <f ca="1">FLUID!X70</f>
        <v>0</v>
      </c>
      <c r="U27" s="14">
        <f ca="1">FLUID!Y70</f>
        <v>0</v>
      </c>
      <c r="V27" s="14">
        <f ca="1">FLUID!Z70</f>
        <v>0</v>
      </c>
      <c r="W27" s="14">
        <f ca="1">FLUID!AA70</f>
        <v>0</v>
      </c>
      <c r="X27" s="14">
        <f ca="1">FLUID!AB70</f>
        <v>0</v>
      </c>
      <c r="Y27" s="14">
        <f ca="1">FLUID!AC70</f>
        <v>0</v>
      </c>
      <c r="Z27" s="14">
        <f ca="1">FLUID!AD70</f>
        <v>0</v>
      </c>
      <c r="AA27" s="14">
        <f ca="1">FLUID!AE70</f>
        <v>0</v>
      </c>
      <c r="AB27" s="14">
        <f ca="1">FLUID!AF70</f>
        <v>0</v>
      </c>
      <c r="AC27" s="14">
        <f ca="1">FLUID!AG70</f>
        <v>0</v>
      </c>
      <c r="AD27" s="14">
        <f ca="1">FLUID!AH70</f>
        <v>0</v>
      </c>
      <c r="AE27" s="14">
        <f ca="1">FLUID!AI70</f>
        <v>0</v>
      </c>
      <c r="AF27" s="14">
        <f ca="1">FLUID!AJ70</f>
        <v>0</v>
      </c>
      <c r="AG27" s="14">
        <f ca="1">FLUID!AK70</f>
        <v>0</v>
      </c>
      <c r="AH27" s="14">
        <f ca="1">FLUID!AL70</f>
        <v>0</v>
      </c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>
        <v>0</v>
      </c>
    </row>
    <row r="28" spans="1:95" ht="22.5" hidden="1" customHeight="1" outlineLevel="1" thickBot="1" x14ac:dyDescent="0.4">
      <c r="A28" s="36">
        <f>FLUID!E71</f>
        <v>0</v>
      </c>
      <c r="B28" s="16">
        <f ca="1">FLUID!F71</f>
        <v>0</v>
      </c>
      <c r="C28" s="16">
        <f ca="1">FLUID!G71</f>
        <v>0</v>
      </c>
      <c r="D28" s="16">
        <f ca="1">FLUID!H71</f>
        <v>0</v>
      </c>
      <c r="E28" s="16">
        <f ca="1">FLUID!I71</f>
        <v>0</v>
      </c>
      <c r="F28" s="14">
        <f ca="1">FLUID!J71</f>
        <v>0</v>
      </c>
      <c r="G28" s="14">
        <f ca="1">FLUID!K71</f>
        <v>0</v>
      </c>
      <c r="H28" s="14">
        <f ca="1">FLUID!L71</f>
        <v>0</v>
      </c>
      <c r="I28" s="14">
        <f ca="1">FLUID!M71</f>
        <v>0</v>
      </c>
      <c r="J28" s="14">
        <f ca="1">FLUID!N71</f>
        <v>0</v>
      </c>
      <c r="K28" s="14">
        <f ca="1">FLUID!O71</f>
        <v>0</v>
      </c>
      <c r="L28" s="14">
        <f ca="1">FLUID!P71</f>
        <v>0</v>
      </c>
      <c r="M28" s="14">
        <f ca="1">FLUID!Q71</f>
        <v>0</v>
      </c>
      <c r="N28" s="14">
        <f ca="1">FLUID!R71</f>
        <v>0</v>
      </c>
      <c r="O28" s="14">
        <f ca="1">FLUID!S71</f>
        <v>0</v>
      </c>
      <c r="P28" s="14">
        <f ca="1">FLUID!T71</f>
        <v>0</v>
      </c>
      <c r="Q28" s="14">
        <f ca="1">FLUID!U71</f>
        <v>0</v>
      </c>
      <c r="R28" s="14">
        <f ca="1">FLUID!V71</f>
        <v>0</v>
      </c>
      <c r="S28" s="14">
        <f ca="1">FLUID!W71</f>
        <v>0</v>
      </c>
      <c r="T28" s="14">
        <f ca="1">FLUID!X71</f>
        <v>0</v>
      </c>
      <c r="U28" s="14">
        <f ca="1">FLUID!Y71</f>
        <v>0</v>
      </c>
      <c r="V28" s="14">
        <f ca="1">FLUID!Z71</f>
        <v>0</v>
      </c>
      <c r="W28" s="14">
        <f ca="1">FLUID!AA71</f>
        <v>0</v>
      </c>
      <c r="X28" s="14">
        <f ca="1">FLUID!AB71</f>
        <v>0</v>
      </c>
      <c r="Y28" s="14">
        <f ca="1">FLUID!AC71</f>
        <v>0</v>
      </c>
      <c r="Z28" s="14">
        <f ca="1">FLUID!AD71</f>
        <v>0</v>
      </c>
      <c r="AA28" s="14">
        <f ca="1">FLUID!AE71</f>
        <v>0</v>
      </c>
      <c r="AB28" s="14">
        <f ca="1">FLUID!AF71</f>
        <v>0</v>
      </c>
      <c r="AC28" s="14">
        <f ca="1">FLUID!AG71</f>
        <v>0</v>
      </c>
      <c r="AD28" s="14">
        <f ca="1">FLUID!AH71</f>
        <v>0</v>
      </c>
      <c r="AE28" s="14">
        <f ca="1">FLUID!AI71</f>
        <v>0</v>
      </c>
      <c r="AF28" s="14">
        <f ca="1">FLUID!AJ71</f>
        <v>0</v>
      </c>
      <c r="AG28" s="14">
        <f ca="1">FLUID!AK71</f>
        <v>0</v>
      </c>
      <c r="AH28" s="14">
        <f ca="1">FLUID!AL71</f>
        <v>0</v>
      </c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>
        <v>0</v>
      </c>
    </row>
    <row r="29" spans="1:95" ht="22.5" hidden="1" customHeight="1" outlineLevel="1" thickBot="1" x14ac:dyDescent="0.4">
      <c r="A29" s="36">
        <f>FLUID!E72</f>
        <v>0</v>
      </c>
      <c r="B29" s="16">
        <f ca="1">FLUID!F72</f>
        <v>0</v>
      </c>
      <c r="C29" s="16">
        <f>FLUID!G76</f>
        <v>0</v>
      </c>
      <c r="D29" s="16">
        <f>FLUID!H76</f>
        <v>0</v>
      </c>
      <c r="E29" s="16">
        <f>FLUID!I76</f>
        <v>0</v>
      </c>
      <c r="F29" s="14" t="e">
        <f>#REF!</f>
        <v>#REF!</v>
      </c>
      <c r="G29" s="14" t="e">
        <f>#REF!</f>
        <v>#REF!</v>
      </c>
      <c r="H29" s="14" t="e">
        <f>#REF!</f>
        <v>#REF!</v>
      </c>
      <c r="I29" s="14" t="e">
        <f>#REF!</f>
        <v>#REF!</v>
      </c>
      <c r="J29" s="14" t="e">
        <f>#REF!</f>
        <v>#REF!</v>
      </c>
      <c r="K29" s="14" t="e">
        <f>#REF!</f>
        <v>#REF!</v>
      </c>
      <c r="L29" s="14" t="e">
        <f>#REF!</f>
        <v>#REF!</v>
      </c>
      <c r="M29" s="14" t="e">
        <f>#REF!</f>
        <v>#REF!</v>
      </c>
      <c r="N29" s="14" t="e">
        <f>#REF!</f>
        <v>#REF!</v>
      </c>
      <c r="O29" s="14" t="e">
        <f>#REF!</f>
        <v>#REF!</v>
      </c>
      <c r="P29" s="14" t="e">
        <f>#REF!</f>
        <v>#REF!</v>
      </c>
      <c r="Q29" s="14" t="e">
        <f>#REF!</f>
        <v>#REF!</v>
      </c>
      <c r="R29" s="14" t="e">
        <f>#REF!</f>
        <v>#REF!</v>
      </c>
      <c r="S29" s="14" t="e">
        <f>#REF!</f>
        <v>#REF!</v>
      </c>
      <c r="T29" s="14" t="e">
        <f>#REF!</f>
        <v>#REF!</v>
      </c>
      <c r="U29" s="14" t="e">
        <f>#REF!</f>
        <v>#REF!</v>
      </c>
      <c r="V29" s="14" t="e">
        <f>#REF!</f>
        <v>#REF!</v>
      </c>
      <c r="W29" s="14" t="e">
        <f>#REF!</f>
        <v>#REF!</v>
      </c>
      <c r="X29" s="14" t="e">
        <f>#REF!</f>
        <v>#REF!</v>
      </c>
      <c r="Y29" s="14" t="e">
        <f>#REF!</f>
        <v>#REF!</v>
      </c>
      <c r="Z29" s="14" t="e">
        <f>#REF!</f>
        <v>#REF!</v>
      </c>
      <c r="AA29" s="14" t="e">
        <f>#REF!</f>
        <v>#REF!</v>
      </c>
      <c r="AB29" s="14" t="e">
        <f>#REF!</f>
        <v>#REF!</v>
      </c>
      <c r="AC29" s="14" t="e">
        <f>#REF!</f>
        <v>#REF!</v>
      </c>
      <c r="AD29" s="14" t="e">
        <f>#REF!</f>
        <v>#REF!</v>
      </c>
      <c r="AE29" s="14" t="e">
        <f>#REF!</f>
        <v>#REF!</v>
      </c>
      <c r="AF29" s="14" t="e">
        <f>#REF!</f>
        <v>#REF!</v>
      </c>
      <c r="AG29" s="14" t="e">
        <f>#REF!</f>
        <v>#REF!</v>
      </c>
      <c r="AH29" s="14" t="e">
        <f>#REF!</f>
        <v>#REF!</v>
      </c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>
        <v>0</v>
      </c>
    </row>
    <row r="30" spans="1:95" ht="22.5" hidden="1" customHeight="1" outlineLevel="1" thickBot="1" x14ac:dyDescent="0.4">
      <c r="A30" s="36">
        <f>FLUID!E73</f>
        <v>0</v>
      </c>
      <c r="B30" s="16">
        <f ca="1">FLUID!F73</f>
        <v>0</v>
      </c>
      <c r="C30" s="16">
        <f>FLUID!G77</f>
        <v>0</v>
      </c>
      <c r="D30" s="16">
        <f>FLUID!H77</f>
        <v>0</v>
      </c>
      <c r="E30" s="16">
        <f>FLUID!I77</f>
        <v>0</v>
      </c>
      <c r="F30" s="14" t="e">
        <f>#REF!</f>
        <v>#REF!</v>
      </c>
      <c r="G30" s="14" t="e">
        <f>#REF!</f>
        <v>#REF!</v>
      </c>
      <c r="H30" s="14" t="e">
        <f>#REF!</f>
        <v>#REF!</v>
      </c>
      <c r="I30" s="14" t="e">
        <f>#REF!</f>
        <v>#REF!</v>
      </c>
      <c r="J30" s="14" t="e">
        <f>#REF!</f>
        <v>#REF!</v>
      </c>
      <c r="K30" s="14" t="e">
        <f>#REF!</f>
        <v>#REF!</v>
      </c>
      <c r="L30" s="14" t="e">
        <f>#REF!</f>
        <v>#REF!</v>
      </c>
      <c r="M30" s="14" t="e">
        <f>#REF!</f>
        <v>#REF!</v>
      </c>
      <c r="N30" s="14" t="e">
        <f>#REF!</f>
        <v>#REF!</v>
      </c>
      <c r="O30" s="14" t="e">
        <f>#REF!</f>
        <v>#REF!</v>
      </c>
      <c r="P30" s="14" t="e">
        <f>#REF!</f>
        <v>#REF!</v>
      </c>
      <c r="Q30" s="14" t="e">
        <f>#REF!</f>
        <v>#REF!</v>
      </c>
      <c r="R30" s="14" t="e">
        <f>#REF!</f>
        <v>#REF!</v>
      </c>
      <c r="S30" s="14" t="e">
        <f>#REF!</f>
        <v>#REF!</v>
      </c>
      <c r="T30" s="14" t="e">
        <f>#REF!</f>
        <v>#REF!</v>
      </c>
      <c r="U30" s="14" t="e">
        <f>#REF!</f>
        <v>#REF!</v>
      </c>
      <c r="V30" s="14" t="e">
        <f>#REF!</f>
        <v>#REF!</v>
      </c>
      <c r="W30" s="14" t="e">
        <f>#REF!</f>
        <v>#REF!</v>
      </c>
      <c r="X30" s="14" t="e">
        <f>#REF!</f>
        <v>#REF!</v>
      </c>
      <c r="Y30" s="14" t="e">
        <f>#REF!</f>
        <v>#REF!</v>
      </c>
      <c r="Z30" s="14" t="e">
        <f>#REF!</f>
        <v>#REF!</v>
      </c>
      <c r="AA30" s="14" t="e">
        <f>#REF!</f>
        <v>#REF!</v>
      </c>
      <c r="AB30" s="14" t="e">
        <f>#REF!</f>
        <v>#REF!</v>
      </c>
      <c r="AC30" s="14" t="e">
        <f>#REF!</f>
        <v>#REF!</v>
      </c>
      <c r="AD30" s="14" t="e">
        <f>#REF!</f>
        <v>#REF!</v>
      </c>
      <c r="AE30" s="14" t="e">
        <f>#REF!</f>
        <v>#REF!</v>
      </c>
      <c r="AF30" s="14" t="e">
        <f>#REF!</f>
        <v>#REF!</v>
      </c>
      <c r="AG30" s="14" t="e">
        <f>#REF!</f>
        <v>#REF!</v>
      </c>
      <c r="AH30" s="14" t="e">
        <f>#REF!</f>
        <v>#REF!</v>
      </c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>
        <v>0</v>
      </c>
    </row>
    <row r="31" spans="1:95" ht="22.5" hidden="1" customHeight="1" outlineLevel="1" thickBot="1" x14ac:dyDescent="0.4">
      <c r="A31" s="36">
        <f>FLUID!E74</f>
        <v>0</v>
      </c>
      <c r="B31" s="16">
        <f ca="1">FLUID!F74</f>
        <v>0</v>
      </c>
      <c r="C31" s="16">
        <f>FLUID!G78</f>
        <v>0</v>
      </c>
      <c r="D31" s="16">
        <f>FLUID!H78</f>
        <v>0</v>
      </c>
      <c r="E31" s="16">
        <f>FLUID!I78</f>
        <v>0</v>
      </c>
      <c r="F31" s="14" t="e">
        <f>#REF!</f>
        <v>#REF!</v>
      </c>
      <c r="G31" s="14" t="e">
        <f>#REF!</f>
        <v>#REF!</v>
      </c>
      <c r="H31" s="14" t="e">
        <f>#REF!</f>
        <v>#REF!</v>
      </c>
      <c r="I31" s="14" t="e">
        <f>#REF!</f>
        <v>#REF!</v>
      </c>
      <c r="J31" s="14" t="e">
        <f>#REF!</f>
        <v>#REF!</v>
      </c>
      <c r="K31" s="14" t="e">
        <f>#REF!</f>
        <v>#REF!</v>
      </c>
      <c r="L31" s="14" t="e">
        <f>#REF!</f>
        <v>#REF!</v>
      </c>
      <c r="M31" s="14" t="e">
        <f>#REF!</f>
        <v>#REF!</v>
      </c>
      <c r="N31" s="14" t="e">
        <f>#REF!</f>
        <v>#REF!</v>
      </c>
      <c r="O31" s="14" t="e">
        <f>#REF!</f>
        <v>#REF!</v>
      </c>
      <c r="P31" s="14" t="e">
        <f>#REF!</f>
        <v>#REF!</v>
      </c>
      <c r="Q31" s="14" t="e">
        <f>#REF!</f>
        <v>#REF!</v>
      </c>
      <c r="R31" s="14" t="e">
        <f>#REF!</f>
        <v>#REF!</v>
      </c>
      <c r="S31" s="14" t="e">
        <f>#REF!</f>
        <v>#REF!</v>
      </c>
      <c r="T31" s="14" t="e">
        <f>#REF!</f>
        <v>#REF!</v>
      </c>
      <c r="U31" s="14" t="e">
        <f>#REF!</f>
        <v>#REF!</v>
      </c>
      <c r="V31" s="14" t="e">
        <f>#REF!</f>
        <v>#REF!</v>
      </c>
      <c r="W31" s="14" t="e">
        <f>#REF!</f>
        <v>#REF!</v>
      </c>
      <c r="X31" s="14" t="e">
        <f>#REF!</f>
        <v>#REF!</v>
      </c>
      <c r="Y31" s="14" t="e">
        <f>#REF!</f>
        <v>#REF!</v>
      </c>
      <c r="Z31" s="14" t="e">
        <f>#REF!</f>
        <v>#REF!</v>
      </c>
      <c r="AA31" s="14" t="e">
        <f>#REF!</f>
        <v>#REF!</v>
      </c>
      <c r="AB31" s="14" t="e">
        <f>#REF!</f>
        <v>#REF!</v>
      </c>
      <c r="AC31" s="14" t="e">
        <f>#REF!</f>
        <v>#REF!</v>
      </c>
      <c r="AD31" s="14" t="e">
        <f>#REF!</f>
        <v>#REF!</v>
      </c>
      <c r="AE31" s="14" t="e">
        <f>#REF!</f>
        <v>#REF!</v>
      </c>
      <c r="AF31" s="14" t="e">
        <f>#REF!</f>
        <v>#REF!</v>
      </c>
      <c r="AG31" s="14" t="e">
        <f>#REF!</f>
        <v>#REF!</v>
      </c>
      <c r="AH31" s="14" t="e">
        <f>#REF!</f>
        <v>#REF!</v>
      </c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>
        <v>0</v>
      </c>
    </row>
    <row r="32" spans="1:95" ht="22.5" hidden="1" customHeight="1" outlineLevel="1" thickBot="1" x14ac:dyDescent="0.4">
      <c r="A32" s="36">
        <f>FLUID!E75</f>
        <v>1</v>
      </c>
      <c r="B32" s="16">
        <f>FLUID!F75</f>
        <v>0</v>
      </c>
      <c r="C32" s="16">
        <f>FLUID!G75</f>
        <v>0</v>
      </c>
      <c r="D32" s="16">
        <f>FLUID!H75</f>
        <v>0</v>
      </c>
      <c r="E32" s="16">
        <f>FLUID!I75</f>
        <v>0</v>
      </c>
      <c r="F32" s="14">
        <f>FLUID!J75</f>
        <v>0</v>
      </c>
      <c r="G32" s="14">
        <f>FLUID!K75</f>
        <v>0</v>
      </c>
      <c r="H32" s="14">
        <f>FLUID!L75</f>
        <v>0</v>
      </c>
      <c r="I32" s="14">
        <f>FLUID!M75</f>
        <v>0</v>
      </c>
      <c r="J32" s="14">
        <f>FLUID!N75</f>
        <v>0</v>
      </c>
      <c r="K32" s="14">
        <f>FLUID!O75</f>
        <v>0</v>
      </c>
      <c r="L32" s="14">
        <f>FLUID!P75</f>
        <v>0</v>
      </c>
      <c r="M32" s="14">
        <f>FLUID!Q75</f>
        <v>0</v>
      </c>
      <c r="N32" s="14">
        <f>FLUID!R75</f>
        <v>0</v>
      </c>
      <c r="O32" s="14">
        <f>FLUID!S75</f>
        <v>0</v>
      </c>
      <c r="P32" s="14">
        <f>FLUID!T75</f>
        <v>0</v>
      </c>
      <c r="Q32" s="14">
        <f>FLUID!U75</f>
        <v>0</v>
      </c>
      <c r="R32" s="14">
        <f>FLUID!V75</f>
        <v>0</v>
      </c>
      <c r="S32" s="14">
        <f>FLUID!W75</f>
        <v>0</v>
      </c>
      <c r="T32" s="14">
        <f>FLUID!X75</f>
        <v>0</v>
      </c>
      <c r="U32" s="14">
        <f>FLUID!Y75</f>
        <v>0</v>
      </c>
      <c r="V32" s="14">
        <f>FLUID!Z75</f>
        <v>0</v>
      </c>
      <c r="W32" s="14">
        <f>FLUID!AA75</f>
        <v>0</v>
      </c>
      <c r="X32" s="14">
        <f>FLUID!AB75</f>
        <v>0</v>
      </c>
      <c r="Y32" s="14">
        <f>FLUID!AC75</f>
        <v>0</v>
      </c>
      <c r="Z32" s="14">
        <f>FLUID!AD75</f>
        <v>0</v>
      </c>
      <c r="AA32" s="14">
        <f>FLUID!AE75</f>
        <v>0</v>
      </c>
      <c r="AB32" s="14">
        <f>FLUID!AF75</f>
        <v>0</v>
      </c>
      <c r="AC32" s="14">
        <f>FLUID!AG75</f>
        <v>0</v>
      </c>
      <c r="AD32" s="14">
        <f>FLUID!AH75</f>
        <v>0</v>
      </c>
      <c r="AE32" s="14">
        <f>FLUID!AI75</f>
        <v>0</v>
      </c>
      <c r="AF32" s="14">
        <f>FLUID!AJ75</f>
        <v>0</v>
      </c>
      <c r="AG32" s="14">
        <f>FLUID!AK75</f>
        <v>0</v>
      </c>
      <c r="AH32" s="14">
        <f>FLUID!AL75</f>
        <v>0</v>
      </c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>
        <v>0</v>
      </c>
    </row>
    <row r="33" spans="1:95" ht="22.5" collapsed="1" thickTop="1" thickBot="1" x14ac:dyDescent="0.4">
      <c r="A33" s="38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>
        <v>0</v>
      </c>
    </row>
    <row r="34" spans="1:95" ht="22.5" thickTop="1" thickBot="1" x14ac:dyDescent="0.4">
      <c r="A34" s="4" t="s">
        <v>30</v>
      </c>
      <c r="B34" s="69">
        <f>SOLID!F45</f>
        <v>273.10000000000002</v>
      </c>
      <c r="C34" s="69">
        <f>SOLID!G45</f>
        <v>289.7</v>
      </c>
      <c r="D34" s="69">
        <f>SOLID!H45</f>
        <v>306.2</v>
      </c>
      <c r="E34" s="69">
        <f>SOLID!I45</f>
        <v>322.7</v>
      </c>
      <c r="F34" s="69">
        <f>SOLID!J45</f>
        <v>339.2</v>
      </c>
      <c r="G34" s="69">
        <f>SOLID!K45</f>
        <v>355.7</v>
      </c>
      <c r="H34" s="69">
        <f>SOLID!L45</f>
        <v>372.3</v>
      </c>
      <c r="I34" s="69">
        <f>SOLID!M45</f>
        <v>388.8</v>
      </c>
      <c r="J34" s="69">
        <f>SOLID!N45</f>
        <v>405.3</v>
      </c>
      <c r="K34" s="69">
        <f>SOLID!O45</f>
        <v>471.4</v>
      </c>
      <c r="L34" s="69">
        <f>SOLID!P45</f>
        <v>487.9</v>
      </c>
      <c r="M34" s="69">
        <f>SOLID!Q45</f>
        <v>504.4</v>
      </c>
      <c r="N34" s="69">
        <f>SOLID!R45</f>
        <v>520.9</v>
      </c>
      <c r="O34" s="69">
        <f>SOLID!S45</f>
        <v>537.5</v>
      </c>
      <c r="P34" s="69">
        <f>SOLID!T45</f>
        <v>603.5</v>
      </c>
      <c r="Q34" s="69">
        <f>SOLID!U45</f>
        <v>669.6</v>
      </c>
      <c r="R34" s="69">
        <f>SOLID!V45</f>
        <v>735.7</v>
      </c>
      <c r="S34" s="69">
        <f>SOLID!W45</f>
        <v>752.2</v>
      </c>
      <c r="T34" s="69">
        <f>SOLID!X45</f>
        <v>768.7</v>
      </c>
      <c r="U34" s="69">
        <f>SOLID!Y45</f>
        <v>785.2</v>
      </c>
      <c r="V34" s="69">
        <f>SOLID!Z45</f>
        <v>801.8</v>
      </c>
      <c r="W34" s="69">
        <f>SOLID!AA45</f>
        <v>818.3</v>
      </c>
      <c r="X34" s="69">
        <f>SOLID!AB45</f>
        <v>834.8</v>
      </c>
      <c r="Y34" s="69">
        <f>SOLID!AC45</f>
        <v>851.3</v>
      </c>
      <c r="Z34" s="69">
        <f>SOLID!AD45</f>
        <v>867.8</v>
      </c>
      <c r="AA34" s="69">
        <f>SOLID!AE45</f>
        <v>933.9</v>
      </c>
      <c r="AB34" s="69">
        <f>SOLID!AF45</f>
        <v>1000</v>
      </c>
      <c r="AC34" s="69">
        <f>SOLID!AG45</f>
        <v>0</v>
      </c>
      <c r="AD34" s="69">
        <f>SOLID!AH45</f>
        <v>0</v>
      </c>
      <c r="AE34" s="69">
        <f>SOLID!AI45</f>
        <v>0</v>
      </c>
      <c r="AF34" s="69">
        <f>SOLID!AJ45</f>
        <v>0</v>
      </c>
      <c r="AG34" s="69">
        <f>SOLID!AK45</f>
        <v>0</v>
      </c>
      <c r="AH34" s="69">
        <f>SOLID!AL45</f>
        <v>0</v>
      </c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>
        <v>0</v>
      </c>
    </row>
    <row r="35" spans="1:95" ht="22.5" hidden="1" outlineLevel="1" thickTop="1" thickBot="1" x14ac:dyDescent="0.4">
      <c r="A35" s="35" t="str">
        <f>SOLID!E46</f>
        <v>*Ge[1]</v>
      </c>
      <c r="B35" s="16">
        <f ca="1">SOLID!F46</f>
        <v>-16.29</v>
      </c>
      <c r="C35" s="16">
        <f ca="1">SOLID!G46</f>
        <v>-15.65</v>
      </c>
      <c r="D35" s="16">
        <f ca="1">SOLID!H46</f>
        <v>-15.09</v>
      </c>
      <c r="E35" s="16">
        <f ca="1">SOLID!I46</f>
        <v>-14.59</v>
      </c>
      <c r="F35" s="14">
        <f ca="1">SOLID!J46</f>
        <v>-14.16</v>
      </c>
      <c r="G35" s="14">
        <f ca="1">SOLID!K46</f>
        <v>-13.03</v>
      </c>
      <c r="H35" s="14">
        <f ca="1">SOLID!L46</f>
        <v>-11.8</v>
      </c>
      <c r="I35" s="14">
        <f ca="1">SOLID!M46</f>
        <v>-10.67</v>
      </c>
      <c r="J35" s="14">
        <f ca="1">SOLID!N46</f>
        <v>-9.6150000000000002</v>
      </c>
      <c r="K35" s="14">
        <f ca="1">SOLID!O46</f>
        <v>-6.04</v>
      </c>
      <c r="L35" s="14">
        <f ca="1">SOLID!P46</f>
        <v>-5.2759999999999998</v>
      </c>
      <c r="M35" s="14">
        <f ca="1">SOLID!Q46</f>
        <v>-4.5529999999999999</v>
      </c>
      <c r="N35" s="14">
        <f ca="1">SOLID!R46</f>
        <v>-4.1150000000000002</v>
      </c>
      <c r="O35" s="14">
        <f ca="1">SOLID!S46</f>
        <v>-4.1550000000000002</v>
      </c>
      <c r="P35" s="14">
        <f ca="1">SOLID!T46</f>
        <v>-4.3170000000000002</v>
      </c>
      <c r="Q35" s="14">
        <f ca="1">SOLID!U46</f>
        <v>-4.4809999999999999</v>
      </c>
      <c r="R35" s="14">
        <f ca="1">SOLID!V46</f>
        <v>-4.6429999999999998</v>
      </c>
      <c r="S35" s="14">
        <f ca="1">SOLID!W46</f>
        <v>-4.6829999999999998</v>
      </c>
      <c r="T35" s="14">
        <f ca="1">SOLID!X46</f>
        <v>-4.7220000000000004</v>
      </c>
      <c r="U35" s="14">
        <f ca="1">SOLID!Y46</f>
        <v>-4.7619999999999996</v>
      </c>
      <c r="V35" s="14">
        <f ca="1">SOLID!Z46</f>
        <v>-4.8010000000000002</v>
      </c>
      <c r="W35" s="14">
        <f ca="1">SOLID!AA46</f>
        <v>-4.84</v>
      </c>
      <c r="X35" s="14">
        <f ca="1">SOLID!AB46</f>
        <v>-4.8780000000000001</v>
      </c>
      <c r="Y35" s="14">
        <f ca="1">SOLID!AC46</f>
        <v>-4.9169999999999998</v>
      </c>
      <c r="Z35" s="14">
        <f ca="1">SOLID!AD46</f>
        <v>-4.9550000000000001</v>
      </c>
      <c r="AA35" s="14">
        <f ca="1">SOLID!AE46</f>
        <v>-5.1040000000000001</v>
      </c>
      <c r="AB35" s="14">
        <f ca="1">SOLID!AF46</f>
        <v>-5.2489999999999997</v>
      </c>
      <c r="AC35" s="14">
        <f ca="1">SOLID!AG46</f>
        <v>0</v>
      </c>
      <c r="AD35" s="14">
        <f ca="1">SOLID!AH46</f>
        <v>0</v>
      </c>
      <c r="AE35" s="14">
        <f ca="1">SOLID!AI46</f>
        <v>0</v>
      </c>
      <c r="AF35" s="14">
        <f ca="1">SOLID!AJ46</f>
        <v>0</v>
      </c>
      <c r="AG35" s="14">
        <f ca="1">SOLID!AK46</f>
        <v>0</v>
      </c>
      <c r="AH35" s="14">
        <f ca="1">SOLID!AL46</f>
        <v>0</v>
      </c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>
        <v>0</v>
      </c>
    </row>
    <row r="36" spans="1:95" ht="21.75" hidden="1" outlineLevel="1" thickBot="1" x14ac:dyDescent="0.4">
      <c r="A36" s="35" t="str">
        <f>SOLID!E47</f>
        <v>*Ge</v>
      </c>
      <c r="B36" s="16">
        <f ca="1">SOLID!F47</f>
        <v>-16.29</v>
      </c>
      <c r="C36" s="16">
        <f ca="1">SOLID!G47</f>
        <v>-15.65</v>
      </c>
      <c r="D36" s="16">
        <f ca="1">SOLID!H47</f>
        <v>-15.09</v>
      </c>
      <c r="E36" s="16">
        <f ca="1">SOLID!I47</f>
        <v>-14.59</v>
      </c>
      <c r="F36" s="14">
        <f ca="1">SOLID!J47</f>
        <v>-14.16</v>
      </c>
      <c r="G36" s="14">
        <f ca="1">SOLID!K47</f>
        <v>-13.03</v>
      </c>
      <c r="H36" s="14">
        <f ca="1">SOLID!L47</f>
        <v>-11.8</v>
      </c>
      <c r="I36" s="14">
        <f ca="1">SOLID!M47</f>
        <v>-10.67</v>
      </c>
      <c r="J36" s="14">
        <f ca="1">SOLID!N47</f>
        <v>-9.6150000000000002</v>
      </c>
      <c r="K36" s="14">
        <f ca="1">SOLID!O47</f>
        <v>-6.04</v>
      </c>
      <c r="L36" s="14">
        <f ca="1">SOLID!P47</f>
        <v>-5.2759999999999998</v>
      </c>
      <c r="M36" s="14">
        <f ca="1">SOLID!Q47</f>
        <v>-4.5529999999999999</v>
      </c>
      <c r="N36" s="14">
        <f ca="1">SOLID!R47</f>
        <v>-4.1150000000000002</v>
      </c>
      <c r="O36" s="14">
        <f ca="1">SOLID!S47</f>
        <v>-4.1550000000000002</v>
      </c>
      <c r="P36" s="14">
        <f ca="1">SOLID!T47</f>
        <v>-4.3170000000000002</v>
      </c>
      <c r="Q36" s="14">
        <f ca="1">SOLID!U47</f>
        <v>-4.4809999999999999</v>
      </c>
      <c r="R36" s="14">
        <f ca="1">SOLID!V47</f>
        <v>-4.6429999999999998</v>
      </c>
      <c r="S36" s="14">
        <f ca="1">SOLID!W47</f>
        <v>-4.6829999999999998</v>
      </c>
      <c r="T36" s="14">
        <f ca="1">SOLID!X47</f>
        <v>-4.7220000000000004</v>
      </c>
      <c r="U36" s="14">
        <f ca="1">SOLID!Y47</f>
        <v>-4.7619999999999996</v>
      </c>
      <c r="V36" s="14">
        <f ca="1">SOLID!Z47</f>
        <v>-4.8010000000000002</v>
      </c>
      <c r="W36" s="14">
        <f ca="1">SOLID!AA47</f>
        <v>-4.84</v>
      </c>
      <c r="X36" s="14">
        <f ca="1">SOLID!AB47</f>
        <v>-4.8780000000000001</v>
      </c>
      <c r="Y36" s="14">
        <f ca="1">SOLID!AC47</f>
        <v>-4.9169999999999998</v>
      </c>
      <c r="Z36" s="14">
        <f ca="1">SOLID!AD47</f>
        <v>-4.9550000000000001</v>
      </c>
      <c r="AA36" s="14">
        <f ca="1">SOLID!AE47</f>
        <v>-5.1040000000000001</v>
      </c>
      <c r="AB36" s="14">
        <f ca="1">SOLID!AF47</f>
        <v>-5.2489999999999997</v>
      </c>
      <c r="AC36" s="14">
        <f ca="1">SOLID!AG47</f>
        <v>0</v>
      </c>
      <c r="AD36" s="14">
        <f ca="1">SOLID!AH47</f>
        <v>0</v>
      </c>
      <c r="AE36" s="14">
        <f ca="1">SOLID!AI47</f>
        <v>0</v>
      </c>
      <c r="AF36" s="14">
        <f ca="1">SOLID!AJ47</f>
        <v>0</v>
      </c>
      <c r="AG36" s="14">
        <f ca="1">SOLID!AK47</f>
        <v>0</v>
      </c>
      <c r="AH36" s="14">
        <f ca="1">SOLID!AL47</f>
        <v>0</v>
      </c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>
        <v>0</v>
      </c>
    </row>
    <row r="37" spans="1:95" ht="21.75" hidden="1" outlineLevel="1" thickBot="1" x14ac:dyDescent="0.4">
      <c r="A37" s="35" t="str">
        <f>SOLID!E48</f>
        <v>*GeSe</v>
      </c>
      <c r="B37" s="16">
        <f ca="1">SOLID!F48</f>
        <v>-39.81</v>
      </c>
      <c r="C37" s="16">
        <f ca="1">SOLID!G48</f>
        <v>-38.06</v>
      </c>
      <c r="D37" s="16">
        <f ca="1">SOLID!H48</f>
        <v>-36.510000000000005</v>
      </c>
      <c r="E37" s="16">
        <f ca="1">SOLID!I48</f>
        <v>-35.129999999999995</v>
      </c>
      <c r="F37" s="14">
        <f ca="1">SOLID!J48</f>
        <v>-33.92</v>
      </c>
      <c r="G37" s="14">
        <f ca="1">SOLID!K48</f>
        <v>-32.82</v>
      </c>
      <c r="H37" s="14">
        <f ca="1">SOLID!L48</f>
        <v>-31.830000000000002</v>
      </c>
      <c r="I37" s="14">
        <f ca="1">SOLID!M48</f>
        <v>-30.950000000000003</v>
      </c>
      <c r="J37" s="14">
        <f ca="1">SOLID!N48</f>
        <v>-30.134999999999998</v>
      </c>
      <c r="K37" s="14">
        <f ca="1">SOLID!O48</f>
        <v>-27.56</v>
      </c>
      <c r="L37" s="14">
        <f ca="1">SOLID!P48</f>
        <v>-27.045999999999999</v>
      </c>
      <c r="M37" s="14">
        <f ca="1">SOLID!Q48</f>
        <v>-26.573</v>
      </c>
      <c r="N37" s="14">
        <f ca="1">SOLID!R48</f>
        <v>-26.384999999999998</v>
      </c>
      <c r="O37" s="14">
        <f ca="1">SOLID!S48</f>
        <v>-26.665000000000003</v>
      </c>
      <c r="P37" s="14">
        <f ca="1">SOLID!T48</f>
        <v>-27.797000000000001</v>
      </c>
      <c r="Q37" s="14">
        <f ca="1">SOLID!U48</f>
        <v>-28.890999999999998</v>
      </c>
      <c r="R37" s="14">
        <f ca="1">SOLID!V48</f>
        <v>-29.952999999999999</v>
      </c>
      <c r="S37" s="14">
        <f ca="1">SOLID!W48</f>
        <v>-30.213000000000001</v>
      </c>
      <c r="T37" s="14">
        <f ca="1">SOLID!X48</f>
        <v>-30.472000000000001</v>
      </c>
      <c r="U37" s="14">
        <f ca="1">SOLID!Y48</f>
        <v>-30.722000000000001</v>
      </c>
      <c r="V37" s="14">
        <f ca="1">SOLID!Z48</f>
        <v>-30.981000000000002</v>
      </c>
      <c r="W37" s="14">
        <f ca="1">SOLID!AA48</f>
        <v>-31.23</v>
      </c>
      <c r="X37" s="14">
        <f ca="1">SOLID!AB48</f>
        <v>-31.478000000000002</v>
      </c>
      <c r="Y37" s="14">
        <f ca="1">SOLID!AC48</f>
        <v>-31.726999999999997</v>
      </c>
      <c r="Z37" s="14">
        <f ca="1">SOLID!AD48</f>
        <v>-31.975000000000001</v>
      </c>
      <c r="AA37" s="14">
        <f ca="1">SOLID!AE48</f>
        <v>-32.933999999999997</v>
      </c>
      <c r="AB37" s="14">
        <f ca="1">SOLID!AF48</f>
        <v>-33.869</v>
      </c>
      <c r="AC37" s="14">
        <f ca="1">SOLID!AG48</f>
        <v>0</v>
      </c>
      <c r="AD37" s="14">
        <f ca="1">SOLID!AH48</f>
        <v>0</v>
      </c>
      <c r="AE37" s="14">
        <f ca="1">SOLID!AI48</f>
        <v>0</v>
      </c>
      <c r="AF37" s="14">
        <f ca="1">SOLID!AJ48</f>
        <v>0</v>
      </c>
      <c r="AG37" s="14">
        <f ca="1">SOLID!AK48</f>
        <v>0</v>
      </c>
      <c r="AH37" s="14">
        <f ca="1">SOLID!AL48</f>
        <v>0</v>
      </c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>
        <v>0</v>
      </c>
    </row>
    <row r="38" spans="1:95" ht="21.75" hidden="1" outlineLevel="1" thickBot="1" x14ac:dyDescent="0.4">
      <c r="A38" s="35" t="str">
        <f>SOLID!E49</f>
        <v>*Ga[1]</v>
      </c>
      <c r="B38" s="16">
        <f ca="1">SOLID!F49</f>
        <v>-66.760000000000005</v>
      </c>
      <c r="C38" s="16">
        <f ca="1">SOLID!G49</f>
        <v>-63.28</v>
      </c>
      <c r="D38" s="16">
        <f ca="1">SOLID!H49</f>
        <v>-60.18</v>
      </c>
      <c r="E38" s="16">
        <f ca="1">SOLID!I49</f>
        <v>-57.4</v>
      </c>
      <c r="F38" s="14">
        <f ca="1">SOLID!J49</f>
        <v>-54.91</v>
      </c>
      <c r="G38" s="14">
        <f ca="1">SOLID!K49</f>
        <v>-51.53</v>
      </c>
      <c r="H38" s="14">
        <f ca="1">SOLID!L49</f>
        <v>-48.17</v>
      </c>
      <c r="I38" s="14">
        <f ca="1">SOLID!M49</f>
        <v>-45.06</v>
      </c>
      <c r="J38" s="14">
        <f ca="1">SOLID!N49</f>
        <v>-42.19</v>
      </c>
      <c r="K38" s="14">
        <f ca="1">SOLID!O49</f>
        <v>-32.53</v>
      </c>
      <c r="L38" s="14">
        <f ca="1">SOLID!P49</f>
        <v>-30.48</v>
      </c>
      <c r="M38" s="14">
        <f ca="1">SOLID!Q49</f>
        <v>-28.55</v>
      </c>
      <c r="N38" s="14">
        <f ca="1">SOLID!R49</f>
        <v>-26.74</v>
      </c>
      <c r="O38" s="14">
        <f ca="1">SOLID!S49</f>
        <v>-25.02</v>
      </c>
      <c r="P38" s="14">
        <f ca="1">SOLID!T49</f>
        <v>-18.96</v>
      </c>
      <c r="Q38" s="14">
        <f ca="1">SOLID!U49</f>
        <v>-13.95</v>
      </c>
      <c r="R38" s="14">
        <f ca="1">SOLID!V49</f>
        <v>-9.7059999999999995</v>
      </c>
      <c r="S38" s="14">
        <f ca="1">SOLID!W49</f>
        <v>-8.7420000000000009</v>
      </c>
      <c r="T38" s="14">
        <f ca="1">SOLID!X49</f>
        <v>-8.2560000000000002</v>
      </c>
      <c r="U38" s="14">
        <f ca="1">SOLID!Y49</f>
        <v>-7.8470000000000004</v>
      </c>
      <c r="V38" s="14">
        <f ca="1">SOLID!Z49</f>
        <v>-7.6349999999999998</v>
      </c>
      <c r="W38" s="14">
        <f ca="1">SOLID!AA49</f>
        <v>-7.7149999999999999</v>
      </c>
      <c r="X38" s="14">
        <f ca="1">SOLID!AB49</f>
        <v>-7.7960000000000003</v>
      </c>
      <c r="Y38" s="14">
        <f ca="1">SOLID!AC49</f>
        <v>-7.8789999999999996</v>
      </c>
      <c r="Z38" s="14">
        <f ca="1">SOLID!AD49</f>
        <v>-7.9630000000000001</v>
      </c>
      <c r="AA38" s="14">
        <f ca="1">SOLID!AE49</f>
        <v>-8.3190000000000008</v>
      </c>
      <c r="AB38" s="14">
        <f ca="1">SOLID!AF49</f>
        <v>-8.7249999999999996</v>
      </c>
      <c r="AC38" s="14">
        <f ca="1">SOLID!AG49</f>
        <v>0</v>
      </c>
      <c r="AD38" s="14">
        <f ca="1">SOLID!AH49</f>
        <v>0</v>
      </c>
      <c r="AE38" s="14">
        <f ca="1">SOLID!AI49</f>
        <v>0</v>
      </c>
      <c r="AF38" s="14">
        <f ca="1">SOLID!AJ49</f>
        <v>0</v>
      </c>
      <c r="AG38" s="14">
        <f ca="1">SOLID!AK49</f>
        <v>0</v>
      </c>
      <c r="AH38" s="14">
        <f ca="1">SOLID!AL49</f>
        <v>0</v>
      </c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>
        <v>0</v>
      </c>
    </row>
    <row r="39" spans="1:95" ht="21.75" hidden="1" outlineLevel="1" thickBot="1" x14ac:dyDescent="0.4">
      <c r="A39" s="35" t="str">
        <f>SOLID!E50</f>
        <v>*Ga2Se</v>
      </c>
      <c r="B39" s="16">
        <f ca="1">SOLID!F50</f>
        <v>-157.04000000000002</v>
      </c>
      <c r="C39" s="16">
        <f ca="1">SOLID!G50</f>
        <v>-148.97</v>
      </c>
      <c r="D39" s="16">
        <f ca="1">SOLID!H50</f>
        <v>-141.78</v>
      </c>
      <c r="E39" s="16">
        <f ca="1">SOLID!I50</f>
        <v>-135.34</v>
      </c>
      <c r="F39" s="14">
        <f ca="1">SOLID!J50</f>
        <v>-129.57999999999998</v>
      </c>
      <c r="G39" s="14">
        <f ca="1">SOLID!K50</f>
        <v>-122.85</v>
      </c>
      <c r="H39" s="14">
        <f ca="1">SOLID!L50</f>
        <v>-116.37</v>
      </c>
      <c r="I39" s="14">
        <f ca="1">SOLID!M50</f>
        <v>-110.4</v>
      </c>
      <c r="J39" s="14">
        <f ca="1">SOLID!N50</f>
        <v>-104.89999999999999</v>
      </c>
      <c r="K39" s="14">
        <f ca="1">SOLID!O50</f>
        <v>-86.58</v>
      </c>
      <c r="L39" s="14">
        <f ca="1">SOLID!P50</f>
        <v>-82.73</v>
      </c>
      <c r="M39" s="14">
        <f ca="1">SOLID!Q50</f>
        <v>-79.12</v>
      </c>
      <c r="N39" s="14">
        <f ca="1">SOLID!R50</f>
        <v>-75.75</v>
      </c>
      <c r="O39" s="14">
        <f ca="1">SOLID!S50</f>
        <v>-72.55</v>
      </c>
      <c r="P39" s="14">
        <f ca="1">SOLID!T50</f>
        <v>-61.400000000000006</v>
      </c>
      <c r="Q39" s="14">
        <f ca="1">SOLID!U50</f>
        <v>-52.31</v>
      </c>
      <c r="R39" s="14">
        <f ca="1">SOLID!V50</f>
        <v>-44.721999999999994</v>
      </c>
      <c r="S39" s="14">
        <f ca="1">SOLID!W50</f>
        <v>-43.014000000000003</v>
      </c>
      <c r="T39" s="14">
        <f ca="1">SOLID!X50</f>
        <v>-42.262</v>
      </c>
      <c r="U39" s="14">
        <f ca="1">SOLID!Y50</f>
        <v>-41.654000000000003</v>
      </c>
      <c r="V39" s="14">
        <f ca="1">SOLID!Z50</f>
        <v>-41.45</v>
      </c>
      <c r="W39" s="14">
        <f ca="1">SOLID!AA50</f>
        <v>-41.82</v>
      </c>
      <c r="X39" s="14">
        <f ca="1">SOLID!AB50</f>
        <v>-42.192</v>
      </c>
      <c r="Y39" s="14">
        <f ca="1">SOLID!AC50</f>
        <v>-42.567999999999998</v>
      </c>
      <c r="Z39" s="14">
        <f ca="1">SOLID!AD50</f>
        <v>-42.945999999999998</v>
      </c>
      <c r="AA39" s="14">
        <f ca="1">SOLID!AE50</f>
        <v>-44.468000000000004</v>
      </c>
      <c r="AB39" s="14">
        <f ca="1">SOLID!AF50</f>
        <v>-46.07</v>
      </c>
      <c r="AC39" s="14">
        <f ca="1">SOLID!AG50</f>
        <v>0</v>
      </c>
      <c r="AD39" s="14">
        <f ca="1">SOLID!AH50</f>
        <v>0</v>
      </c>
      <c r="AE39" s="14">
        <f ca="1">SOLID!AI50</f>
        <v>0</v>
      </c>
      <c r="AF39" s="14">
        <f ca="1">SOLID!AJ50</f>
        <v>0</v>
      </c>
      <c r="AG39" s="14">
        <f ca="1">SOLID!AK50</f>
        <v>0</v>
      </c>
      <c r="AH39" s="14">
        <f ca="1">SOLID!AL50</f>
        <v>0</v>
      </c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>
        <v>0</v>
      </c>
    </row>
    <row r="40" spans="1:95" ht="21.75" hidden="1" outlineLevel="1" thickBot="1" x14ac:dyDescent="0.4">
      <c r="A40" s="35" t="str">
        <f>SOLID!E51</f>
        <v>*Ge[c]</v>
      </c>
      <c r="B40" s="16">
        <f ca="1">SOLID!F51</f>
        <v>-16.29</v>
      </c>
      <c r="C40" s="16">
        <f ca="1">SOLID!G51</f>
        <v>-15.65</v>
      </c>
      <c r="D40" s="16">
        <f ca="1">SOLID!H51</f>
        <v>-15.09</v>
      </c>
      <c r="E40" s="16">
        <f ca="1">SOLID!I51</f>
        <v>-14.59</v>
      </c>
      <c r="F40" s="14">
        <f ca="1">SOLID!J51</f>
        <v>-14.16</v>
      </c>
      <c r="G40" s="14">
        <f ca="1">SOLID!K51</f>
        <v>-13.03</v>
      </c>
      <c r="H40" s="14">
        <f ca="1">SOLID!L51</f>
        <v>-11.8</v>
      </c>
      <c r="I40" s="14">
        <f ca="1">SOLID!M51</f>
        <v>-10.67</v>
      </c>
      <c r="J40" s="14">
        <f ca="1">SOLID!N51</f>
        <v>-9.6150000000000002</v>
      </c>
      <c r="K40" s="14">
        <f ca="1">SOLID!O51</f>
        <v>-6.04</v>
      </c>
      <c r="L40" s="14">
        <f ca="1">SOLID!P51</f>
        <v>-5.2759999999999998</v>
      </c>
      <c r="M40" s="14">
        <f ca="1">SOLID!Q51</f>
        <v>-4.5529999999999999</v>
      </c>
      <c r="N40" s="14">
        <f ca="1">SOLID!R51</f>
        <v>-4.1150000000000002</v>
      </c>
      <c r="O40" s="14">
        <f ca="1">SOLID!S51</f>
        <v>-4.1550000000000002</v>
      </c>
      <c r="P40" s="14">
        <f ca="1">SOLID!T51</f>
        <v>-4.3170000000000002</v>
      </c>
      <c r="Q40" s="14">
        <f ca="1">SOLID!U51</f>
        <v>-4.4809999999999999</v>
      </c>
      <c r="R40" s="14">
        <f ca="1">SOLID!V51</f>
        <v>-4.6429999999999998</v>
      </c>
      <c r="S40" s="14">
        <f ca="1">SOLID!W51</f>
        <v>-4.6829999999999998</v>
      </c>
      <c r="T40" s="14">
        <f ca="1">SOLID!X51</f>
        <v>-4.7220000000000004</v>
      </c>
      <c r="U40" s="14">
        <f ca="1">SOLID!Y51</f>
        <v>-4.7619999999999996</v>
      </c>
      <c r="V40" s="14">
        <f ca="1">SOLID!Z51</f>
        <v>-4.8010000000000002</v>
      </c>
      <c r="W40" s="14">
        <f ca="1">SOLID!AA51</f>
        <v>-4.84</v>
      </c>
      <c r="X40" s="14">
        <f ca="1">SOLID!AB51</f>
        <v>-4.8780000000000001</v>
      </c>
      <c r="Y40" s="14">
        <f ca="1">SOLID!AC51</f>
        <v>-4.9169999999999998</v>
      </c>
      <c r="Z40" s="14">
        <f ca="1">SOLID!AD51</f>
        <v>-4.9550000000000001</v>
      </c>
      <c r="AA40" s="14">
        <f ca="1">SOLID!AE51</f>
        <v>-5.1040000000000001</v>
      </c>
      <c r="AB40" s="14">
        <f ca="1">SOLID!AF51</f>
        <v>-5.2489999999999997</v>
      </c>
      <c r="AC40" s="14">
        <f ca="1">SOLID!AG51</f>
        <v>0</v>
      </c>
      <c r="AD40" s="14">
        <f ca="1">SOLID!AH51</f>
        <v>0</v>
      </c>
      <c r="AE40" s="14">
        <f ca="1">SOLID!AI51</f>
        <v>0</v>
      </c>
      <c r="AF40" s="14">
        <f ca="1">SOLID!AJ51</f>
        <v>0</v>
      </c>
      <c r="AG40" s="14">
        <f ca="1">SOLID!AK51</f>
        <v>0</v>
      </c>
      <c r="AH40" s="14">
        <f ca="1">SOLID!AL51</f>
        <v>0</v>
      </c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>
        <v>0</v>
      </c>
    </row>
    <row r="41" spans="1:95" ht="21.75" hidden="1" outlineLevel="1" thickBot="1" x14ac:dyDescent="0.4">
      <c r="A41" s="35" t="str">
        <f>SOLID!E52</f>
        <v>*Se[m]</v>
      </c>
      <c r="B41" s="16">
        <f ca="1">SOLID!F52</f>
        <v>-23.52</v>
      </c>
      <c r="C41" s="16">
        <f ca="1">SOLID!G52</f>
        <v>-22.41</v>
      </c>
      <c r="D41" s="16">
        <f ca="1">SOLID!H52</f>
        <v>-21.42</v>
      </c>
      <c r="E41" s="16">
        <f ca="1">SOLID!I52</f>
        <v>-20.54</v>
      </c>
      <c r="F41" s="14">
        <f ca="1">SOLID!J52</f>
        <v>-19.760000000000002</v>
      </c>
      <c r="G41" s="14">
        <f ca="1">SOLID!K52</f>
        <v>-19.79</v>
      </c>
      <c r="H41" s="14">
        <f ca="1">SOLID!L52</f>
        <v>-20.03</v>
      </c>
      <c r="I41" s="14">
        <f ca="1">SOLID!M52</f>
        <v>-20.28</v>
      </c>
      <c r="J41" s="14">
        <f ca="1">SOLID!N52</f>
        <v>-20.52</v>
      </c>
      <c r="K41" s="14">
        <f ca="1">SOLID!O52</f>
        <v>-21.52</v>
      </c>
      <c r="L41" s="14">
        <f ca="1">SOLID!P52</f>
        <v>-21.77</v>
      </c>
      <c r="M41" s="14">
        <f ca="1">SOLID!Q52</f>
        <v>-22.02</v>
      </c>
      <c r="N41" s="14">
        <f ca="1">SOLID!R52</f>
        <v>-22.27</v>
      </c>
      <c r="O41" s="14">
        <f ca="1">SOLID!S52</f>
        <v>-22.51</v>
      </c>
      <c r="P41" s="14">
        <f ca="1">SOLID!T52</f>
        <v>-23.48</v>
      </c>
      <c r="Q41" s="14">
        <f ca="1">SOLID!U52</f>
        <v>-24.41</v>
      </c>
      <c r="R41" s="14">
        <f ca="1">SOLID!V52</f>
        <v>-25.31</v>
      </c>
      <c r="S41" s="14">
        <f ca="1">SOLID!W52</f>
        <v>-25.53</v>
      </c>
      <c r="T41" s="14">
        <f ca="1">SOLID!X52</f>
        <v>-25.75</v>
      </c>
      <c r="U41" s="14">
        <f ca="1">SOLID!Y52</f>
        <v>-25.96</v>
      </c>
      <c r="V41" s="14">
        <f ca="1">SOLID!Z52</f>
        <v>-26.18</v>
      </c>
      <c r="W41" s="14">
        <f ca="1">SOLID!AA52</f>
        <v>-26.39</v>
      </c>
      <c r="X41" s="14">
        <f ca="1">SOLID!AB52</f>
        <v>-26.6</v>
      </c>
      <c r="Y41" s="14">
        <f ca="1">SOLID!AC52</f>
        <v>-26.81</v>
      </c>
      <c r="Z41" s="14">
        <f ca="1">SOLID!AD52</f>
        <v>-27.02</v>
      </c>
      <c r="AA41" s="14">
        <f ca="1">SOLID!AE52</f>
        <v>-27.83</v>
      </c>
      <c r="AB41" s="14">
        <f ca="1">SOLID!AF52</f>
        <v>-28.62</v>
      </c>
      <c r="AC41" s="14">
        <f ca="1">SOLID!AG52</f>
        <v>0</v>
      </c>
      <c r="AD41" s="14">
        <f ca="1">SOLID!AH52</f>
        <v>0</v>
      </c>
      <c r="AE41" s="14">
        <f ca="1">SOLID!AI52</f>
        <v>0</v>
      </c>
      <c r="AF41" s="14">
        <f ca="1">SOLID!AJ52</f>
        <v>0</v>
      </c>
      <c r="AG41" s="14">
        <f ca="1">SOLID!AK52</f>
        <v>0</v>
      </c>
      <c r="AH41" s="14">
        <f ca="1">SOLID!AL52</f>
        <v>0</v>
      </c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>
        <v>0</v>
      </c>
    </row>
    <row r="42" spans="1:95" ht="21.75" hidden="1" outlineLevel="1" thickBot="1" x14ac:dyDescent="0.4">
      <c r="A42" s="35" t="str">
        <f>SOLID!E53</f>
        <v>*GeSe2</v>
      </c>
      <c r="B42" s="16">
        <f ca="1">SOLID!F53</f>
        <v>-63.33</v>
      </c>
      <c r="C42" s="16">
        <f ca="1">SOLID!G53</f>
        <v>-60.47</v>
      </c>
      <c r="D42" s="16">
        <f ca="1">SOLID!H53</f>
        <v>-57.930000000000007</v>
      </c>
      <c r="E42" s="16">
        <f ca="1">SOLID!I53</f>
        <v>-55.67</v>
      </c>
      <c r="F42" s="14">
        <f ca="1">SOLID!J53</f>
        <v>-53.680000000000007</v>
      </c>
      <c r="G42" s="14">
        <f ca="1">SOLID!K53</f>
        <v>-52.61</v>
      </c>
      <c r="H42" s="14">
        <f ca="1">SOLID!L53</f>
        <v>-51.86</v>
      </c>
      <c r="I42" s="14">
        <f ca="1">SOLID!M53</f>
        <v>-51.230000000000004</v>
      </c>
      <c r="J42" s="14">
        <f ca="1">SOLID!N53</f>
        <v>-50.655000000000001</v>
      </c>
      <c r="K42" s="14">
        <f ca="1">SOLID!O53</f>
        <v>-49.08</v>
      </c>
      <c r="L42" s="14">
        <f ca="1">SOLID!P53</f>
        <v>-48.816000000000003</v>
      </c>
      <c r="M42" s="14">
        <f ca="1">SOLID!Q53</f>
        <v>-48.592999999999996</v>
      </c>
      <c r="N42" s="14">
        <f ca="1">SOLID!R53</f>
        <v>-48.655000000000001</v>
      </c>
      <c r="O42" s="14">
        <f ca="1">SOLID!S53</f>
        <v>-49.175000000000004</v>
      </c>
      <c r="P42" s="14">
        <f ca="1">SOLID!T53</f>
        <v>-51.277000000000001</v>
      </c>
      <c r="Q42" s="14">
        <f ca="1">SOLID!U53</f>
        <v>-53.301000000000002</v>
      </c>
      <c r="R42" s="14">
        <f ca="1">SOLID!V53</f>
        <v>-55.262999999999998</v>
      </c>
      <c r="S42" s="14">
        <f ca="1">SOLID!W53</f>
        <v>-55.743000000000002</v>
      </c>
      <c r="T42" s="14">
        <f ca="1">SOLID!X53</f>
        <v>-56.222000000000001</v>
      </c>
      <c r="U42" s="14">
        <f ca="1">SOLID!Y53</f>
        <v>-56.682000000000002</v>
      </c>
      <c r="V42" s="14">
        <f ca="1">SOLID!Z53</f>
        <v>-57.161000000000001</v>
      </c>
      <c r="W42" s="14">
        <f ca="1">SOLID!AA53</f>
        <v>-57.620000000000005</v>
      </c>
      <c r="X42" s="14">
        <f ca="1">SOLID!AB53</f>
        <v>-58.078000000000003</v>
      </c>
      <c r="Y42" s="14">
        <f ca="1">SOLID!AC53</f>
        <v>-58.536999999999999</v>
      </c>
      <c r="Z42" s="14">
        <f ca="1">SOLID!AD53</f>
        <v>-58.994999999999997</v>
      </c>
      <c r="AA42" s="14">
        <f ca="1">SOLID!AE53</f>
        <v>-60.763999999999996</v>
      </c>
      <c r="AB42" s="14">
        <f ca="1">SOLID!AF53</f>
        <v>-62.489000000000004</v>
      </c>
      <c r="AC42" s="14">
        <f ca="1">SOLID!AG53</f>
        <v>0</v>
      </c>
      <c r="AD42" s="14">
        <f ca="1">SOLID!AH53</f>
        <v>0</v>
      </c>
      <c r="AE42" s="14">
        <f ca="1">SOLID!AI53</f>
        <v>0</v>
      </c>
      <c r="AF42" s="14">
        <f ca="1">SOLID!AJ53</f>
        <v>0</v>
      </c>
      <c r="AG42" s="14">
        <f ca="1">SOLID!AK53</f>
        <v>0</v>
      </c>
      <c r="AH42" s="14">
        <f ca="1">SOLID!AL53</f>
        <v>0</v>
      </c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>
        <v>0</v>
      </c>
    </row>
    <row r="43" spans="1:95" ht="21.75" hidden="1" outlineLevel="1" thickBot="1" x14ac:dyDescent="0.4">
      <c r="A43" s="35" t="str">
        <f>SOLID!E54</f>
        <v>Ga2Se3</v>
      </c>
      <c r="B43" s="16">
        <f ca="1">SOLID!F54</f>
        <v>-204.08</v>
      </c>
      <c r="C43" s="16">
        <f ca="1">SOLID!G54</f>
        <v>-193.79000000000002</v>
      </c>
      <c r="D43" s="16">
        <f ca="1">SOLID!H54</f>
        <v>-184.62</v>
      </c>
      <c r="E43" s="16">
        <f ca="1">SOLID!I54</f>
        <v>-176.42</v>
      </c>
      <c r="F43" s="14">
        <f ca="1">SOLID!J54</f>
        <v>-169.1</v>
      </c>
      <c r="G43" s="14">
        <f ca="1">SOLID!K54</f>
        <v>-162.43</v>
      </c>
      <c r="H43" s="14">
        <f ca="1">SOLID!L54</f>
        <v>-156.43</v>
      </c>
      <c r="I43" s="14">
        <f ca="1">SOLID!M54</f>
        <v>-150.96</v>
      </c>
      <c r="J43" s="14">
        <f ca="1">SOLID!N54</f>
        <v>-145.94</v>
      </c>
      <c r="K43" s="14">
        <f ca="1">SOLID!O54</f>
        <v>-129.62</v>
      </c>
      <c r="L43" s="14">
        <f ca="1">SOLID!P54</f>
        <v>-126.27000000000001</v>
      </c>
      <c r="M43" s="14">
        <f ca="1">SOLID!Q54</f>
        <v>-123.16</v>
      </c>
      <c r="N43" s="14">
        <f ca="1">SOLID!R54</f>
        <v>-120.28999999999999</v>
      </c>
      <c r="O43" s="14">
        <f ca="1">SOLID!S54</f>
        <v>-117.57</v>
      </c>
      <c r="P43" s="14">
        <f ca="1">SOLID!T54</f>
        <v>-108.36</v>
      </c>
      <c r="Q43" s="14">
        <f ca="1">SOLID!U54</f>
        <v>-101.13</v>
      </c>
      <c r="R43" s="14">
        <f ca="1">SOLID!V54</f>
        <v>-95.341999999999985</v>
      </c>
      <c r="S43" s="14">
        <f ca="1">SOLID!W54</f>
        <v>-94.074000000000012</v>
      </c>
      <c r="T43" s="14">
        <f ca="1">SOLID!X54</f>
        <v>-93.762</v>
      </c>
      <c r="U43" s="14">
        <f ca="1">SOLID!Y54</f>
        <v>-93.573999999999998</v>
      </c>
      <c r="V43" s="14">
        <f ca="1">SOLID!Z54</f>
        <v>-93.809999999999988</v>
      </c>
      <c r="W43" s="14">
        <f ca="1">SOLID!AA54</f>
        <v>-94.6</v>
      </c>
      <c r="X43" s="14">
        <f ca="1">SOLID!AB54</f>
        <v>-95.39200000000001</v>
      </c>
      <c r="Y43" s="14">
        <f ca="1">SOLID!AC54</f>
        <v>-96.187999999999988</v>
      </c>
      <c r="Z43" s="14">
        <f ca="1">SOLID!AD54</f>
        <v>-96.986000000000004</v>
      </c>
      <c r="AA43" s="14">
        <f ca="1">SOLID!AE54</f>
        <v>-100.128</v>
      </c>
      <c r="AB43" s="14">
        <f ca="1">SOLID!AF54</f>
        <v>-103.31</v>
      </c>
      <c r="AC43" s="14">
        <f ca="1">SOLID!AG54</f>
        <v>0</v>
      </c>
      <c r="AD43" s="14">
        <f ca="1">SOLID!AH54</f>
        <v>0</v>
      </c>
      <c r="AE43" s="14">
        <f ca="1">SOLID!AI54</f>
        <v>0</v>
      </c>
      <c r="AF43" s="14">
        <f ca="1">SOLID!AJ54</f>
        <v>0</v>
      </c>
      <c r="AG43" s="14">
        <f ca="1">SOLID!AK54</f>
        <v>0</v>
      </c>
      <c r="AH43" s="14">
        <f ca="1">SOLID!AL54</f>
        <v>0</v>
      </c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>
        <v>0</v>
      </c>
    </row>
    <row r="44" spans="1:95" ht="21.75" hidden="1" outlineLevel="1" thickBot="1" x14ac:dyDescent="0.4">
      <c r="A44" s="35" t="str">
        <f>SOLID!E55</f>
        <v>Ga2Se</v>
      </c>
      <c r="B44" s="16">
        <f ca="1">SOLID!F55</f>
        <v>-157.04000000000002</v>
      </c>
      <c r="C44" s="16">
        <f ca="1">SOLID!G55</f>
        <v>-148.97</v>
      </c>
      <c r="D44" s="16">
        <f ca="1">SOLID!H55</f>
        <v>-141.78</v>
      </c>
      <c r="E44" s="16">
        <f ca="1">SOLID!I55</f>
        <v>-135.34</v>
      </c>
      <c r="F44" s="14">
        <f ca="1">SOLID!J55</f>
        <v>-129.57999999999998</v>
      </c>
      <c r="G44" s="14">
        <f ca="1">SOLID!K55</f>
        <v>-122.85</v>
      </c>
      <c r="H44" s="14">
        <f ca="1">SOLID!L55</f>
        <v>-116.37</v>
      </c>
      <c r="I44" s="14">
        <f ca="1">SOLID!M55</f>
        <v>-110.4</v>
      </c>
      <c r="J44" s="14">
        <f ca="1">SOLID!N55</f>
        <v>-104.89999999999999</v>
      </c>
      <c r="K44" s="14">
        <f ca="1">SOLID!O55</f>
        <v>-86.58</v>
      </c>
      <c r="L44" s="14">
        <f ca="1">SOLID!P55</f>
        <v>-82.73</v>
      </c>
      <c r="M44" s="14">
        <f ca="1">SOLID!Q55</f>
        <v>-79.12</v>
      </c>
      <c r="N44" s="14">
        <f ca="1">SOLID!R55</f>
        <v>-75.75</v>
      </c>
      <c r="O44" s="14">
        <f ca="1">SOLID!S55</f>
        <v>-72.55</v>
      </c>
      <c r="P44" s="14">
        <f ca="1">SOLID!T55</f>
        <v>-61.400000000000006</v>
      </c>
      <c r="Q44" s="14">
        <f ca="1">SOLID!U55</f>
        <v>-52.31</v>
      </c>
      <c r="R44" s="14">
        <f ca="1">SOLID!V55</f>
        <v>-44.721999999999994</v>
      </c>
      <c r="S44" s="14">
        <f ca="1">SOLID!W55</f>
        <v>-43.014000000000003</v>
      </c>
      <c r="T44" s="14">
        <f ca="1">SOLID!X55</f>
        <v>-42.262</v>
      </c>
      <c r="U44" s="14">
        <f ca="1">SOLID!Y55</f>
        <v>-41.654000000000003</v>
      </c>
      <c r="V44" s="14">
        <f ca="1">SOLID!Z55</f>
        <v>-41.45</v>
      </c>
      <c r="W44" s="14">
        <f ca="1">SOLID!AA55</f>
        <v>-41.82</v>
      </c>
      <c r="X44" s="14">
        <f ca="1">SOLID!AB55</f>
        <v>-42.192</v>
      </c>
      <c r="Y44" s="14">
        <f ca="1">SOLID!AC55</f>
        <v>-42.567999999999998</v>
      </c>
      <c r="Z44" s="14">
        <f ca="1">SOLID!AD55</f>
        <v>-42.945999999999998</v>
      </c>
      <c r="AA44" s="14">
        <f ca="1">SOLID!AE55</f>
        <v>-44.468000000000004</v>
      </c>
      <c r="AB44" s="14">
        <f ca="1">SOLID!AF55</f>
        <v>-46.07</v>
      </c>
      <c r="AC44" s="14">
        <f ca="1">SOLID!AG55</f>
        <v>0</v>
      </c>
      <c r="AD44" s="14">
        <f ca="1">SOLID!AH55</f>
        <v>0</v>
      </c>
      <c r="AE44" s="14">
        <f ca="1">SOLID!AI55</f>
        <v>0</v>
      </c>
      <c r="AF44" s="14">
        <f ca="1">SOLID!AJ55</f>
        <v>0</v>
      </c>
      <c r="AG44" s="14">
        <f ca="1">SOLID!AK55</f>
        <v>0</v>
      </c>
      <c r="AH44" s="14">
        <f ca="1">SOLID!AL55</f>
        <v>0</v>
      </c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>
        <v>0</v>
      </c>
    </row>
    <row r="45" spans="1:95" ht="21.75" hidden="1" outlineLevel="1" thickBot="1" x14ac:dyDescent="0.4">
      <c r="A45" s="35" t="str">
        <f>SOLID!E56</f>
        <v>Ar</v>
      </c>
      <c r="B45" s="16">
        <f ca="1">SOLID!F56</f>
        <v>-18.72</v>
      </c>
      <c r="C45" s="16">
        <f ca="1">SOLID!G56</f>
        <v>-18.71</v>
      </c>
      <c r="D45" s="16">
        <f ca="1">SOLID!H56</f>
        <v>-18.71</v>
      </c>
      <c r="E45" s="16">
        <f ca="1">SOLID!I56</f>
        <v>-18.71</v>
      </c>
      <c r="F45" s="14">
        <f ca="1">SOLID!J56</f>
        <v>-18.73</v>
      </c>
      <c r="G45" s="14">
        <f ca="1">SOLID!K56</f>
        <v>-18.739999999999998</v>
      </c>
      <c r="H45" s="14">
        <f ca="1">SOLID!L56</f>
        <v>-18.760000000000002</v>
      </c>
      <c r="I45" s="14">
        <f ca="1">SOLID!M56</f>
        <v>-18.79</v>
      </c>
      <c r="J45" s="14">
        <f ca="1">SOLID!N56</f>
        <v>-18.809999999999999</v>
      </c>
      <c r="K45" s="14">
        <f ca="1">SOLID!O56</f>
        <v>-18.93</v>
      </c>
      <c r="L45" s="14">
        <f ca="1">SOLID!P56</f>
        <v>-18.97</v>
      </c>
      <c r="M45" s="14">
        <f ca="1">SOLID!Q56</f>
        <v>-19</v>
      </c>
      <c r="N45" s="14">
        <f ca="1">SOLID!R56</f>
        <v>-19.03</v>
      </c>
      <c r="O45" s="14">
        <f ca="1">SOLID!S56</f>
        <v>-19.07</v>
      </c>
      <c r="P45" s="14">
        <f ca="1">SOLID!T56</f>
        <v>-19.2</v>
      </c>
      <c r="Q45" s="14">
        <f ca="1">SOLID!U56</f>
        <v>-19.34</v>
      </c>
      <c r="R45" s="14">
        <f ca="1">SOLID!V56</f>
        <v>-19.48</v>
      </c>
      <c r="S45" s="14">
        <f ca="1">SOLID!W56</f>
        <v>-19.510000000000002</v>
      </c>
      <c r="T45" s="14">
        <f ca="1">SOLID!X56</f>
        <v>-19.489999999999998</v>
      </c>
      <c r="U45" s="14">
        <f ca="1">SOLID!Y56</f>
        <v>-19.5</v>
      </c>
      <c r="V45" s="14">
        <f ca="1">SOLID!Z56</f>
        <v>-19.52</v>
      </c>
      <c r="W45" s="14">
        <f ca="1">SOLID!AA56</f>
        <v>-19.55</v>
      </c>
      <c r="X45" s="14">
        <f ca="1">SOLID!AB56</f>
        <v>-19.579999999999998</v>
      </c>
      <c r="Y45" s="14">
        <f ca="1">SOLID!AC56</f>
        <v>-19.61</v>
      </c>
      <c r="Z45" s="14">
        <f ca="1">SOLID!AD56</f>
        <v>-19.64</v>
      </c>
      <c r="AA45" s="14">
        <f ca="1">SOLID!AE56</f>
        <v>-19.760000000000002</v>
      </c>
      <c r="AB45" s="14">
        <f ca="1">SOLID!AF56</f>
        <v>-19.88</v>
      </c>
      <c r="AC45" s="14">
        <f ca="1">SOLID!AG56</f>
        <v>0</v>
      </c>
      <c r="AD45" s="14">
        <f ca="1">SOLID!AH56</f>
        <v>0</v>
      </c>
      <c r="AE45" s="14">
        <f ca="1">SOLID!AI56</f>
        <v>0</v>
      </c>
      <c r="AF45" s="14">
        <f ca="1">SOLID!AJ56</f>
        <v>0</v>
      </c>
      <c r="AG45" s="14">
        <f ca="1">SOLID!AK56</f>
        <v>0</v>
      </c>
      <c r="AH45" s="14">
        <f ca="1">SOLID!AL56</f>
        <v>0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>
        <v>0</v>
      </c>
    </row>
    <row r="46" spans="1:95" ht="21.75" hidden="1" outlineLevel="1" thickBot="1" x14ac:dyDescent="0.4">
      <c r="A46" s="35" t="str">
        <f>SOLID!E57</f>
        <v>(1)Ga[1]</v>
      </c>
      <c r="B46" s="16">
        <f ca="1">SOLID!F57</f>
        <v>-66.760000000000005</v>
      </c>
      <c r="C46" s="16">
        <f ca="1">SOLID!G57</f>
        <v>-63.28</v>
      </c>
      <c r="D46" s="16">
        <f ca="1">SOLID!H57</f>
        <v>-60.18</v>
      </c>
      <c r="E46" s="16">
        <f ca="1">SOLID!I57</f>
        <v>-57.4</v>
      </c>
      <c r="F46" s="14">
        <f ca="1">SOLID!J57</f>
        <v>-54.91</v>
      </c>
      <c r="G46" s="14">
        <f ca="1">SOLID!K57</f>
        <v>-51.53</v>
      </c>
      <c r="H46" s="14">
        <f ca="1">SOLID!L57</f>
        <v>-48.17</v>
      </c>
      <c r="I46" s="14">
        <f ca="1">SOLID!M57</f>
        <v>-45.06</v>
      </c>
      <c r="J46" s="14">
        <f ca="1">SOLID!N57</f>
        <v>-42.19</v>
      </c>
      <c r="K46" s="14">
        <f ca="1">SOLID!O57</f>
        <v>-32.53</v>
      </c>
      <c r="L46" s="14">
        <f ca="1">SOLID!P57</f>
        <v>-30.48</v>
      </c>
      <c r="M46" s="14">
        <f ca="1">SOLID!Q57</f>
        <v>-28.55</v>
      </c>
      <c r="N46" s="14">
        <f ca="1">SOLID!R57</f>
        <v>-26.74</v>
      </c>
      <c r="O46" s="14">
        <f ca="1">SOLID!S57</f>
        <v>-25.02</v>
      </c>
      <c r="P46" s="14">
        <f ca="1">SOLID!T57</f>
        <v>-18.96</v>
      </c>
      <c r="Q46" s="14">
        <f ca="1">SOLID!U57</f>
        <v>-13.95</v>
      </c>
      <c r="R46" s="14">
        <f ca="1">SOLID!V57</f>
        <v>-9.7059999999999995</v>
      </c>
      <c r="S46" s="14">
        <f ca="1">SOLID!W57</f>
        <v>-8.7420000000000009</v>
      </c>
      <c r="T46" s="14">
        <f ca="1">SOLID!X57</f>
        <v>-8.2560000000000002</v>
      </c>
      <c r="U46" s="14">
        <f ca="1">SOLID!Y57</f>
        <v>-7.8470000000000004</v>
      </c>
      <c r="V46" s="14">
        <f ca="1">SOLID!Z57</f>
        <v>-7.6349999999999998</v>
      </c>
      <c r="W46" s="14">
        <f ca="1">SOLID!AA57</f>
        <v>-7.7149999999999999</v>
      </c>
      <c r="X46" s="14">
        <f ca="1">SOLID!AB57</f>
        <v>-7.7960000000000003</v>
      </c>
      <c r="Y46" s="14">
        <f ca="1">SOLID!AC57</f>
        <v>-7.8789999999999996</v>
      </c>
      <c r="Z46" s="14">
        <f ca="1">SOLID!AD57</f>
        <v>-7.9630000000000001</v>
      </c>
      <c r="AA46" s="14">
        <f ca="1">SOLID!AE57</f>
        <v>-8.3190000000000008</v>
      </c>
      <c r="AB46" s="14">
        <f ca="1">SOLID!AF57</f>
        <v>-8.7249999999999996</v>
      </c>
      <c r="AC46" s="14">
        <f ca="1">SOLID!AG57</f>
        <v>0</v>
      </c>
      <c r="AD46" s="14">
        <f ca="1">SOLID!AH57</f>
        <v>0</v>
      </c>
      <c r="AE46" s="14">
        <f ca="1">SOLID!AI57</f>
        <v>0</v>
      </c>
      <c r="AF46" s="14">
        <f ca="1">SOLID!AJ57</f>
        <v>0</v>
      </c>
      <c r="AG46" s="14">
        <f ca="1">SOLID!AK57</f>
        <v>0</v>
      </c>
      <c r="AH46" s="14">
        <f ca="1">SOLID!AL57</f>
        <v>0</v>
      </c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>
        <v>0</v>
      </c>
    </row>
    <row r="47" spans="1:95" ht="21.75" hidden="1" outlineLevel="1" thickBot="1" x14ac:dyDescent="0.4">
      <c r="A47" s="35" t="str">
        <f>SOLID!E58</f>
        <v>(1)Ge[1]</v>
      </c>
      <c r="B47" s="16">
        <f ca="1">SOLID!F58</f>
        <v>-16.29</v>
      </c>
      <c r="C47" s="16">
        <f ca="1">SOLID!G58</f>
        <v>-15.65</v>
      </c>
      <c r="D47" s="16">
        <f ca="1">SOLID!H58</f>
        <v>-15.09</v>
      </c>
      <c r="E47" s="16">
        <f ca="1">SOLID!I58</f>
        <v>-14.59</v>
      </c>
      <c r="F47" s="14">
        <f ca="1">SOLID!J58</f>
        <v>-14.16</v>
      </c>
      <c r="G47" s="14">
        <f ca="1">SOLID!K58</f>
        <v>-13.03</v>
      </c>
      <c r="H47" s="14">
        <f ca="1">SOLID!L58</f>
        <v>-11.8</v>
      </c>
      <c r="I47" s="14">
        <f ca="1">SOLID!M58</f>
        <v>-10.67</v>
      </c>
      <c r="J47" s="14">
        <f ca="1">SOLID!N58</f>
        <v>-9.6150000000000002</v>
      </c>
      <c r="K47" s="14">
        <f ca="1">SOLID!O58</f>
        <v>-6.04</v>
      </c>
      <c r="L47" s="14">
        <f ca="1">SOLID!P58</f>
        <v>-5.2759999999999998</v>
      </c>
      <c r="M47" s="14">
        <f ca="1">SOLID!Q58</f>
        <v>-4.5529999999999999</v>
      </c>
      <c r="N47" s="14">
        <f ca="1">SOLID!R58</f>
        <v>-4.1150000000000002</v>
      </c>
      <c r="O47" s="14">
        <f ca="1">SOLID!S58</f>
        <v>-4.1550000000000002</v>
      </c>
      <c r="P47" s="14">
        <f ca="1">SOLID!T58</f>
        <v>-4.3170000000000002</v>
      </c>
      <c r="Q47" s="14">
        <f ca="1">SOLID!U58</f>
        <v>-4.4809999999999999</v>
      </c>
      <c r="R47" s="14">
        <f ca="1">SOLID!V58</f>
        <v>-4.6429999999999998</v>
      </c>
      <c r="S47" s="14">
        <f ca="1">SOLID!W58</f>
        <v>-4.6829999999999998</v>
      </c>
      <c r="T47" s="14">
        <f ca="1">SOLID!X58</f>
        <v>-4.7220000000000004</v>
      </c>
      <c r="U47" s="14">
        <f ca="1">SOLID!Y58</f>
        <v>-4.7619999999999996</v>
      </c>
      <c r="V47" s="14">
        <f ca="1">SOLID!Z58</f>
        <v>-4.8010000000000002</v>
      </c>
      <c r="W47" s="14">
        <f ca="1">SOLID!AA58</f>
        <v>-4.84</v>
      </c>
      <c r="X47" s="14">
        <f ca="1">SOLID!AB58</f>
        <v>-4.8780000000000001</v>
      </c>
      <c r="Y47" s="14">
        <f ca="1">SOLID!AC58</f>
        <v>-4.9169999999999998</v>
      </c>
      <c r="Z47" s="14">
        <f ca="1">SOLID!AD58</f>
        <v>-4.9550000000000001</v>
      </c>
      <c r="AA47" s="14">
        <f ca="1">SOLID!AE58</f>
        <v>-5.1040000000000001</v>
      </c>
      <c r="AB47" s="14">
        <f ca="1">SOLID!AF58</f>
        <v>-5.2489999999999997</v>
      </c>
      <c r="AC47" s="14">
        <f ca="1">SOLID!AG58</f>
        <v>0</v>
      </c>
      <c r="AD47" s="14">
        <f ca="1">SOLID!AH58</f>
        <v>0</v>
      </c>
      <c r="AE47" s="14">
        <f ca="1">SOLID!AI58</f>
        <v>0</v>
      </c>
      <c r="AF47" s="14">
        <f ca="1">SOLID!AJ58</f>
        <v>0</v>
      </c>
      <c r="AG47" s="14">
        <f ca="1">SOLID!AK58</f>
        <v>0</v>
      </c>
      <c r="AH47" s="14">
        <f ca="1">SOLID!AL58</f>
        <v>0</v>
      </c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>
        <v>0</v>
      </c>
    </row>
    <row r="48" spans="1:95" ht="21.75" hidden="1" outlineLevel="1" thickBot="1" x14ac:dyDescent="0.4">
      <c r="A48" s="35" t="str">
        <f>SOLID!E59</f>
        <v>H (Ar)</v>
      </c>
      <c r="B48" s="16">
        <f ca="1">SOLID!F59</f>
        <v>-18.72</v>
      </c>
      <c r="C48" s="16">
        <f ca="1">SOLID!G59</f>
        <v>-18.71</v>
      </c>
      <c r="D48" s="16">
        <f ca="1">SOLID!H59</f>
        <v>-18.71</v>
      </c>
      <c r="E48" s="16">
        <f ca="1">SOLID!I59</f>
        <v>-18.71</v>
      </c>
      <c r="F48" s="14">
        <f ca="1">SOLID!J59</f>
        <v>-18.73</v>
      </c>
      <c r="G48" s="14">
        <f ca="1">SOLID!K59</f>
        <v>-18.739999999999998</v>
      </c>
      <c r="H48" s="14">
        <f ca="1">SOLID!L59</f>
        <v>-18.760000000000002</v>
      </c>
      <c r="I48" s="14">
        <f ca="1">SOLID!M59</f>
        <v>-18.79</v>
      </c>
      <c r="J48" s="14">
        <f ca="1">SOLID!N59</f>
        <v>-18.809999999999999</v>
      </c>
      <c r="K48" s="14">
        <f ca="1">SOLID!O59</f>
        <v>-18.93</v>
      </c>
      <c r="L48" s="14">
        <f ca="1">SOLID!P59</f>
        <v>-18.97</v>
      </c>
      <c r="M48" s="14">
        <f ca="1">SOLID!Q59</f>
        <v>-19</v>
      </c>
      <c r="N48" s="14">
        <f ca="1">SOLID!R59</f>
        <v>-19.03</v>
      </c>
      <c r="O48" s="14">
        <f ca="1">SOLID!S59</f>
        <v>-19.07</v>
      </c>
      <c r="P48" s="14">
        <f ca="1">SOLID!T59</f>
        <v>-19.2</v>
      </c>
      <c r="Q48" s="14">
        <f ca="1">SOLID!U59</f>
        <v>-19.34</v>
      </c>
      <c r="R48" s="14">
        <f ca="1">SOLID!V59</f>
        <v>-19.48</v>
      </c>
      <c r="S48" s="14">
        <f ca="1">SOLID!W59</f>
        <v>-19.510000000000002</v>
      </c>
      <c r="T48" s="14">
        <f ca="1">SOLID!X59</f>
        <v>-19.489999999999998</v>
      </c>
      <c r="U48" s="14">
        <f ca="1">SOLID!Y59</f>
        <v>-19.5</v>
      </c>
      <c r="V48" s="14">
        <f ca="1">SOLID!Z59</f>
        <v>-19.52</v>
      </c>
      <c r="W48" s="14">
        <f ca="1">SOLID!AA59</f>
        <v>-19.55</v>
      </c>
      <c r="X48" s="14">
        <f ca="1">SOLID!AB59</f>
        <v>-19.579999999999998</v>
      </c>
      <c r="Y48" s="14">
        <f ca="1">SOLID!AC59</f>
        <v>-19.61</v>
      </c>
      <c r="Z48" s="14">
        <f ca="1">SOLID!AD59</f>
        <v>-19.64</v>
      </c>
      <c r="AA48" s="14">
        <f ca="1">SOLID!AE59</f>
        <v>-19.760000000000002</v>
      </c>
      <c r="AB48" s="14">
        <f ca="1">SOLID!AF59</f>
        <v>-19.88</v>
      </c>
      <c r="AC48" s="14">
        <f ca="1">SOLID!AG59</f>
        <v>0</v>
      </c>
      <c r="AD48" s="14">
        <f ca="1">SOLID!AH59</f>
        <v>0</v>
      </c>
      <c r="AE48" s="14">
        <f ca="1">SOLID!AI59</f>
        <v>0</v>
      </c>
      <c r="AF48" s="14">
        <f ca="1">SOLID!AJ59</f>
        <v>0</v>
      </c>
      <c r="AG48" s="14">
        <f ca="1">SOLID!AK59</f>
        <v>0</v>
      </c>
      <c r="AH48" s="14">
        <f ca="1">SOLID!AL59</f>
        <v>0</v>
      </c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>
        <v>0</v>
      </c>
    </row>
    <row r="49" spans="1:95" ht="21.75" hidden="1" outlineLevel="1" thickBot="1" x14ac:dyDescent="0.4">
      <c r="A49" s="35" t="str">
        <f>SOLID!E60</f>
        <v>H (Ga)</v>
      </c>
      <c r="B49" s="16">
        <f ca="1">SOLID!F60</f>
        <v>-66.760000000000005</v>
      </c>
      <c r="C49" s="16">
        <f ca="1">SOLID!G60</f>
        <v>-63.28</v>
      </c>
      <c r="D49" s="16">
        <f ca="1">SOLID!H60</f>
        <v>-60.18</v>
      </c>
      <c r="E49" s="16">
        <f ca="1">SOLID!I60</f>
        <v>-57.4</v>
      </c>
      <c r="F49" s="14">
        <f ca="1">SOLID!J60</f>
        <v>-54.91</v>
      </c>
      <c r="G49" s="14">
        <f ca="1">SOLID!K60</f>
        <v>-51.53</v>
      </c>
      <c r="H49" s="14">
        <f ca="1">SOLID!L60</f>
        <v>-48.17</v>
      </c>
      <c r="I49" s="14">
        <f ca="1">SOLID!M60</f>
        <v>-45.06</v>
      </c>
      <c r="J49" s="14">
        <f ca="1">SOLID!N60</f>
        <v>-42.19</v>
      </c>
      <c r="K49" s="14">
        <f ca="1">SOLID!O60</f>
        <v>-32.53</v>
      </c>
      <c r="L49" s="14">
        <f ca="1">SOLID!P60</f>
        <v>-30.48</v>
      </c>
      <c r="M49" s="14">
        <f ca="1">SOLID!Q60</f>
        <v>-28.55</v>
      </c>
      <c r="N49" s="14">
        <f ca="1">SOLID!R60</f>
        <v>-26.74</v>
      </c>
      <c r="O49" s="14">
        <f ca="1">SOLID!S60</f>
        <v>-25.02</v>
      </c>
      <c r="P49" s="14">
        <f ca="1">SOLID!T60</f>
        <v>-18.96</v>
      </c>
      <c r="Q49" s="14">
        <f ca="1">SOLID!U60</f>
        <v>-13.95</v>
      </c>
      <c r="R49" s="14">
        <f ca="1">SOLID!V60</f>
        <v>-9.7059999999999995</v>
      </c>
      <c r="S49" s="14">
        <f ca="1">SOLID!W60</f>
        <v>-8.7420000000000009</v>
      </c>
      <c r="T49" s="14">
        <f ca="1">SOLID!X60</f>
        <v>-8.2560000000000002</v>
      </c>
      <c r="U49" s="14">
        <f ca="1">SOLID!Y60</f>
        <v>-7.8470000000000004</v>
      </c>
      <c r="V49" s="14">
        <f ca="1">SOLID!Z60</f>
        <v>-7.6349999999999998</v>
      </c>
      <c r="W49" s="14">
        <f ca="1">SOLID!AA60</f>
        <v>-7.7149999999999999</v>
      </c>
      <c r="X49" s="14">
        <f ca="1">SOLID!AB60</f>
        <v>-7.7960000000000003</v>
      </c>
      <c r="Y49" s="14">
        <f ca="1">SOLID!AC60</f>
        <v>-7.8789999999999996</v>
      </c>
      <c r="Z49" s="14">
        <f ca="1">SOLID!AD60</f>
        <v>-7.9630000000000001</v>
      </c>
      <c r="AA49" s="14">
        <f ca="1">SOLID!AE60</f>
        <v>-8.3190000000000008</v>
      </c>
      <c r="AB49" s="14">
        <f ca="1">SOLID!AF60</f>
        <v>-8.7249999999999996</v>
      </c>
      <c r="AC49" s="14">
        <f ca="1">SOLID!AG60</f>
        <v>0</v>
      </c>
      <c r="AD49" s="14">
        <f ca="1">SOLID!AH60</f>
        <v>0</v>
      </c>
      <c r="AE49" s="14">
        <f ca="1">SOLID!AI60</f>
        <v>0</v>
      </c>
      <c r="AF49" s="14">
        <f ca="1">SOLID!AJ60</f>
        <v>0</v>
      </c>
      <c r="AG49" s="14">
        <f ca="1">SOLID!AK60</f>
        <v>0</v>
      </c>
      <c r="AH49" s="14">
        <f ca="1">SOLID!AL60</f>
        <v>0</v>
      </c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>
        <v>0</v>
      </c>
    </row>
    <row r="50" spans="1:95" ht="21.75" hidden="1" outlineLevel="1" thickBot="1" x14ac:dyDescent="0.4">
      <c r="A50" s="35" t="str">
        <f>SOLID!E61</f>
        <v>H (Ge)</v>
      </c>
      <c r="B50" s="16">
        <f ca="1">SOLID!F61</f>
        <v>-16.29</v>
      </c>
      <c r="C50" s="16">
        <f ca="1">SOLID!G61</f>
        <v>-15.65</v>
      </c>
      <c r="D50" s="16">
        <f ca="1">SOLID!H61</f>
        <v>-15.09</v>
      </c>
      <c r="E50" s="16">
        <f ca="1">SOLID!I61</f>
        <v>-14.59</v>
      </c>
      <c r="F50" s="14">
        <f ca="1">SOLID!J61</f>
        <v>-14.16</v>
      </c>
      <c r="G50" s="14">
        <f ca="1">SOLID!K61</f>
        <v>-13.03</v>
      </c>
      <c r="H50" s="14">
        <f ca="1">SOLID!L61</f>
        <v>-11.8</v>
      </c>
      <c r="I50" s="14">
        <f ca="1">SOLID!M61</f>
        <v>-10.67</v>
      </c>
      <c r="J50" s="14">
        <f ca="1">SOLID!N61</f>
        <v>-9.6150000000000002</v>
      </c>
      <c r="K50" s="14">
        <f ca="1">SOLID!O61</f>
        <v>-6.04</v>
      </c>
      <c r="L50" s="14">
        <f ca="1">SOLID!P61</f>
        <v>-5.2759999999999998</v>
      </c>
      <c r="M50" s="14">
        <f ca="1">SOLID!Q61</f>
        <v>-4.5529999999999999</v>
      </c>
      <c r="N50" s="14">
        <f ca="1">SOLID!R61</f>
        <v>-4.1150000000000002</v>
      </c>
      <c r="O50" s="14">
        <f ca="1">SOLID!S61</f>
        <v>-4.1550000000000002</v>
      </c>
      <c r="P50" s="14">
        <f ca="1">SOLID!T61</f>
        <v>-4.3170000000000002</v>
      </c>
      <c r="Q50" s="14">
        <f ca="1">SOLID!U61</f>
        <v>-4.4809999999999999</v>
      </c>
      <c r="R50" s="14">
        <f ca="1">SOLID!V61</f>
        <v>-4.6429999999999998</v>
      </c>
      <c r="S50" s="14">
        <f ca="1">SOLID!W61</f>
        <v>-4.6829999999999998</v>
      </c>
      <c r="T50" s="14">
        <f ca="1">SOLID!X61</f>
        <v>-4.7220000000000004</v>
      </c>
      <c r="U50" s="14">
        <f ca="1">SOLID!Y61</f>
        <v>-4.7619999999999996</v>
      </c>
      <c r="V50" s="14">
        <f ca="1">SOLID!Z61</f>
        <v>-4.8010000000000002</v>
      </c>
      <c r="W50" s="14">
        <f ca="1">SOLID!AA61</f>
        <v>-4.84</v>
      </c>
      <c r="X50" s="14">
        <f ca="1">SOLID!AB61</f>
        <v>-4.8780000000000001</v>
      </c>
      <c r="Y50" s="14">
        <f ca="1">SOLID!AC61</f>
        <v>-4.9169999999999998</v>
      </c>
      <c r="Z50" s="14">
        <f ca="1">SOLID!AD61</f>
        <v>-4.9550000000000001</v>
      </c>
      <c r="AA50" s="14">
        <f ca="1">SOLID!AE61</f>
        <v>-5.1040000000000001</v>
      </c>
      <c r="AB50" s="14">
        <f ca="1">SOLID!AF61</f>
        <v>-5.2489999999999997</v>
      </c>
      <c r="AC50" s="14">
        <f ca="1">SOLID!AG61</f>
        <v>0</v>
      </c>
      <c r="AD50" s="14">
        <f ca="1">SOLID!AH61</f>
        <v>0</v>
      </c>
      <c r="AE50" s="14">
        <f ca="1">SOLID!AI61</f>
        <v>0</v>
      </c>
      <c r="AF50" s="14">
        <f ca="1">SOLID!AJ61</f>
        <v>0</v>
      </c>
      <c r="AG50" s="14">
        <f ca="1">SOLID!AK61</f>
        <v>0</v>
      </c>
      <c r="AH50" s="14">
        <f ca="1">SOLID!AL61</f>
        <v>0</v>
      </c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  <c r="CQ50" s="55">
        <v>0</v>
      </c>
    </row>
    <row r="51" spans="1:95" ht="21.75" hidden="1" outlineLevel="1" thickBot="1" x14ac:dyDescent="0.4">
      <c r="A51" s="35" t="str">
        <f>SOLID!E62</f>
        <v>H (Se)</v>
      </c>
      <c r="B51" s="16">
        <f ca="1">SOLID!F62</f>
        <v>-23.52</v>
      </c>
      <c r="C51" s="16">
        <f ca="1">SOLID!G62</f>
        <v>-22.41</v>
      </c>
      <c r="D51" s="16">
        <f ca="1">SOLID!H62</f>
        <v>-21.42</v>
      </c>
      <c r="E51" s="16">
        <f ca="1">SOLID!I62</f>
        <v>-20.54</v>
      </c>
      <c r="F51" s="14">
        <f ca="1">SOLID!J62</f>
        <v>-19.760000000000002</v>
      </c>
      <c r="G51" s="14">
        <f ca="1">SOLID!K62</f>
        <v>-19.79</v>
      </c>
      <c r="H51" s="14">
        <f ca="1">SOLID!L62</f>
        <v>-20.03</v>
      </c>
      <c r="I51" s="14">
        <f ca="1">SOLID!M62</f>
        <v>-20.28</v>
      </c>
      <c r="J51" s="14">
        <f ca="1">SOLID!N62</f>
        <v>-20.52</v>
      </c>
      <c r="K51" s="14">
        <f ca="1">SOLID!O62</f>
        <v>-21.52</v>
      </c>
      <c r="L51" s="14">
        <f ca="1">SOLID!P62</f>
        <v>-21.77</v>
      </c>
      <c r="M51" s="14">
        <f ca="1">SOLID!Q62</f>
        <v>-22.02</v>
      </c>
      <c r="N51" s="14">
        <f ca="1">SOLID!R62</f>
        <v>-22.27</v>
      </c>
      <c r="O51" s="14">
        <f ca="1">SOLID!S62</f>
        <v>-22.51</v>
      </c>
      <c r="P51" s="14">
        <f ca="1">SOLID!T62</f>
        <v>-23.48</v>
      </c>
      <c r="Q51" s="14">
        <f ca="1">SOLID!U62</f>
        <v>-24.41</v>
      </c>
      <c r="R51" s="14">
        <f ca="1">SOLID!V62</f>
        <v>-25.31</v>
      </c>
      <c r="S51" s="14">
        <f ca="1">SOLID!W62</f>
        <v>-25.53</v>
      </c>
      <c r="T51" s="14">
        <f ca="1">SOLID!X62</f>
        <v>-25.75</v>
      </c>
      <c r="U51" s="14">
        <f ca="1">SOLID!Y62</f>
        <v>-25.96</v>
      </c>
      <c r="V51" s="14">
        <f ca="1">SOLID!Z62</f>
        <v>-26.18</v>
      </c>
      <c r="W51" s="14">
        <f ca="1">SOLID!AA62</f>
        <v>-26.39</v>
      </c>
      <c r="X51" s="14">
        <f ca="1">SOLID!AB62</f>
        <v>-26.6</v>
      </c>
      <c r="Y51" s="14">
        <f ca="1">SOLID!AC62</f>
        <v>-26.81</v>
      </c>
      <c r="Z51" s="14">
        <f ca="1">SOLID!AD62</f>
        <v>-27.02</v>
      </c>
      <c r="AA51" s="14">
        <f ca="1">SOLID!AE62</f>
        <v>-27.83</v>
      </c>
      <c r="AB51" s="14">
        <f ca="1">SOLID!AF62</f>
        <v>-28.62</v>
      </c>
      <c r="AC51" s="14">
        <f ca="1">SOLID!AG62</f>
        <v>0</v>
      </c>
      <c r="AD51" s="14">
        <f ca="1">SOLID!AH62</f>
        <v>0</v>
      </c>
      <c r="AE51" s="14">
        <f ca="1">SOLID!AI62</f>
        <v>0</v>
      </c>
      <c r="AF51" s="14">
        <f ca="1">SOLID!AJ62</f>
        <v>0</v>
      </c>
      <c r="AG51" s="14">
        <f ca="1">SOLID!AK62</f>
        <v>0</v>
      </c>
      <c r="AH51" s="14">
        <f ca="1">SOLID!AL62</f>
        <v>0</v>
      </c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  <c r="CQ51" s="55">
        <v>0</v>
      </c>
    </row>
    <row r="52" spans="1:95" ht="21.75" hidden="1" outlineLevel="1" thickBot="1" x14ac:dyDescent="0.4">
      <c r="A52" s="36">
        <f>SOLID!E63</f>
        <v>0</v>
      </c>
      <c r="B52" s="16">
        <f ca="1">SOLID!F63</f>
        <v>0</v>
      </c>
      <c r="C52" s="16">
        <f ca="1">SOLID!G63</f>
        <v>0</v>
      </c>
      <c r="D52" s="16">
        <f ca="1">SOLID!H63</f>
        <v>0</v>
      </c>
      <c r="E52" s="16">
        <f ca="1">SOLID!I63</f>
        <v>0</v>
      </c>
      <c r="F52" s="14">
        <f ca="1">SOLID!J63</f>
        <v>0</v>
      </c>
      <c r="G52" s="14">
        <f ca="1">SOLID!K63</f>
        <v>0</v>
      </c>
      <c r="H52" s="14">
        <f ca="1">SOLID!L63</f>
        <v>0</v>
      </c>
      <c r="I52" s="14">
        <f ca="1">SOLID!M63</f>
        <v>0</v>
      </c>
      <c r="J52" s="14">
        <f ca="1">SOLID!N63</f>
        <v>0</v>
      </c>
      <c r="K52" s="14">
        <f ca="1">SOLID!O63</f>
        <v>0</v>
      </c>
      <c r="L52" s="14">
        <f ca="1">SOLID!P63</f>
        <v>0</v>
      </c>
      <c r="M52" s="14">
        <f ca="1">SOLID!Q63</f>
        <v>0</v>
      </c>
      <c r="N52" s="14">
        <f ca="1">SOLID!R63</f>
        <v>0</v>
      </c>
      <c r="O52" s="14">
        <f ca="1">SOLID!S63</f>
        <v>0</v>
      </c>
      <c r="P52" s="14">
        <f ca="1">SOLID!T63</f>
        <v>0</v>
      </c>
      <c r="Q52" s="14">
        <f ca="1">SOLID!U63</f>
        <v>0</v>
      </c>
      <c r="R52" s="14">
        <f ca="1">SOLID!V63</f>
        <v>0</v>
      </c>
      <c r="S52" s="14">
        <f ca="1">SOLID!W63</f>
        <v>0</v>
      </c>
      <c r="T52" s="14">
        <f ca="1">SOLID!X63</f>
        <v>0</v>
      </c>
      <c r="U52" s="14">
        <f ca="1">SOLID!Y63</f>
        <v>0</v>
      </c>
      <c r="V52" s="14">
        <f ca="1">SOLID!Z63</f>
        <v>0</v>
      </c>
      <c r="W52" s="14">
        <f ca="1">SOLID!AA63</f>
        <v>0</v>
      </c>
      <c r="X52" s="14">
        <f ca="1">SOLID!AB63</f>
        <v>0</v>
      </c>
      <c r="Y52" s="14">
        <f ca="1">SOLID!AC63</f>
        <v>0</v>
      </c>
      <c r="Z52" s="14">
        <f ca="1">SOLID!AD63</f>
        <v>0</v>
      </c>
      <c r="AA52" s="14">
        <f ca="1">SOLID!AE63</f>
        <v>0</v>
      </c>
      <c r="AB52" s="14">
        <f ca="1">SOLID!AF63</f>
        <v>0</v>
      </c>
      <c r="AC52" s="14">
        <f ca="1">SOLID!AG63</f>
        <v>0</v>
      </c>
      <c r="AD52" s="14">
        <f ca="1">SOLID!AH63</f>
        <v>0</v>
      </c>
      <c r="AE52" s="14">
        <f ca="1">SOLID!AI63</f>
        <v>0</v>
      </c>
      <c r="AF52" s="14">
        <f ca="1">SOLID!AJ63</f>
        <v>0</v>
      </c>
      <c r="AG52" s="14">
        <f ca="1">SOLID!AK63</f>
        <v>0</v>
      </c>
      <c r="AH52" s="14">
        <f ca="1">SOLID!AL63</f>
        <v>0</v>
      </c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  <c r="CQ52" s="55">
        <v>0</v>
      </c>
    </row>
    <row r="53" spans="1:95" ht="21.75" hidden="1" outlineLevel="1" thickBot="1" x14ac:dyDescent="0.4">
      <c r="A53" s="36">
        <f>SOLID!E64</f>
        <v>0</v>
      </c>
      <c r="B53" s="16">
        <f ca="1">SOLID!F64</f>
        <v>0</v>
      </c>
      <c r="C53" s="16">
        <f ca="1">SOLID!G64</f>
        <v>0</v>
      </c>
      <c r="D53" s="16">
        <f ca="1">SOLID!H64</f>
        <v>0</v>
      </c>
      <c r="E53" s="16">
        <f ca="1">SOLID!I64</f>
        <v>0</v>
      </c>
      <c r="F53" s="14">
        <f ca="1">SOLID!J64</f>
        <v>0</v>
      </c>
      <c r="G53" s="14">
        <f ca="1">SOLID!K64</f>
        <v>0</v>
      </c>
      <c r="H53" s="14">
        <f ca="1">SOLID!L64</f>
        <v>0</v>
      </c>
      <c r="I53" s="14">
        <f ca="1">SOLID!M64</f>
        <v>0</v>
      </c>
      <c r="J53" s="14">
        <f ca="1">SOLID!N64</f>
        <v>0</v>
      </c>
      <c r="K53" s="14">
        <f ca="1">SOLID!O64</f>
        <v>0</v>
      </c>
      <c r="L53" s="14">
        <f ca="1">SOLID!P64</f>
        <v>0</v>
      </c>
      <c r="M53" s="14">
        <f ca="1">SOLID!Q64</f>
        <v>0</v>
      </c>
      <c r="N53" s="14">
        <f ca="1">SOLID!R64</f>
        <v>0</v>
      </c>
      <c r="O53" s="14">
        <f ca="1">SOLID!S64</f>
        <v>0</v>
      </c>
      <c r="P53" s="14">
        <f ca="1">SOLID!T64</f>
        <v>0</v>
      </c>
      <c r="Q53" s="14">
        <f ca="1">SOLID!U64</f>
        <v>0</v>
      </c>
      <c r="R53" s="14">
        <f ca="1">SOLID!V64</f>
        <v>0</v>
      </c>
      <c r="S53" s="14">
        <f ca="1">SOLID!W64</f>
        <v>0</v>
      </c>
      <c r="T53" s="14">
        <f ca="1">SOLID!X64</f>
        <v>0</v>
      </c>
      <c r="U53" s="14">
        <f ca="1">SOLID!Y64</f>
        <v>0</v>
      </c>
      <c r="V53" s="14">
        <f ca="1">SOLID!Z64</f>
        <v>0</v>
      </c>
      <c r="W53" s="14">
        <f ca="1">SOLID!AA64</f>
        <v>0</v>
      </c>
      <c r="X53" s="14">
        <f ca="1">SOLID!AB64</f>
        <v>0</v>
      </c>
      <c r="Y53" s="14">
        <f ca="1">SOLID!AC64</f>
        <v>0</v>
      </c>
      <c r="Z53" s="14">
        <f ca="1">SOLID!AD64</f>
        <v>0</v>
      </c>
      <c r="AA53" s="14">
        <f ca="1">SOLID!AE64</f>
        <v>0</v>
      </c>
      <c r="AB53" s="14">
        <f ca="1">SOLID!AF64</f>
        <v>0</v>
      </c>
      <c r="AC53" s="14">
        <f ca="1">SOLID!AG64</f>
        <v>0</v>
      </c>
      <c r="AD53" s="14">
        <f ca="1">SOLID!AH64</f>
        <v>0</v>
      </c>
      <c r="AE53" s="14">
        <f ca="1">SOLID!AI64</f>
        <v>0</v>
      </c>
      <c r="AF53" s="14">
        <f ca="1">SOLID!AJ64</f>
        <v>0</v>
      </c>
      <c r="AG53" s="14">
        <f ca="1">SOLID!AK64</f>
        <v>0</v>
      </c>
      <c r="AH53" s="14">
        <f ca="1">SOLID!AL64</f>
        <v>0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  <c r="CQ53" s="55">
        <v>0</v>
      </c>
    </row>
    <row r="54" spans="1:95" ht="21.75" hidden="1" outlineLevel="1" thickBot="1" x14ac:dyDescent="0.4">
      <c r="A54" s="36">
        <f>SOLID!E65</f>
        <v>0</v>
      </c>
      <c r="B54" s="16">
        <f ca="1">SOLID!F65</f>
        <v>0</v>
      </c>
      <c r="C54" s="16">
        <f ca="1">SOLID!G65</f>
        <v>0</v>
      </c>
      <c r="D54" s="16">
        <f ca="1">SOLID!H65</f>
        <v>0</v>
      </c>
      <c r="E54" s="16">
        <f ca="1">SOLID!I65</f>
        <v>0</v>
      </c>
      <c r="F54" s="14">
        <f ca="1">SOLID!J65</f>
        <v>0</v>
      </c>
      <c r="G54" s="14">
        <f ca="1">SOLID!K65</f>
        <v>0</v>
      </c>
      <c r="H54" s="14">
        <f ca="1">SOLID!L65</f>
        <v>0</v>
      </c>
      <c r="I54" s="14">
        <f ca="1">SOLID!M65</f>
        <v>0</v>
      </c>
      <c r="J54" s="14">
        <f ca="1">SOLID!N65</f>
        <v>0</v>
      </c>
      <c r="K54" s="14">
        <f ca="1">SOLID!O65</f>
        <v>0</v>
      </c>
      <c r="L54" s="14">
        <f ca="1">SOLID!P65</f>
        <v>0</v>
      </c>
      <c r="M54" s="14">
        <f ca="1">SOLID!Q65</f>
        <v>0</v>
      </c>
      <c r="N54" s="14">
        <f ca="1">SOLID!R65</f>
        <v>0</v>
      </c>
      <c r="O54" s="14">
        <f ca="1">SOLID!S65</f>
        <v>0</v>
      </c>
      <c r="P54" s="14">
        <f ca="1">SOLID!T65</f>
        <v>0</v>
      </c>
      <c r="Q54" s="14">
        <f ca="1">SOLID!U65</f>
        <v>0</v>
      </c>
      <c r="R54" s="14">
        <f ca="1">SOLID!V65</f>
        <v>0</v>
      </c>
      <c r="S54" s="14">
        <f ca="1">SOLID!W65</f>
        <v>0</v>
      </c>
      <c r="T54" s="14">
        <f ca="1">SOLID!X65</f>
        <v>0</v>
      </c>
      <c r="U54" s="14">
        <f ca="1">SOLID!Y65</f>
        <v>0</v>
      </c>
      <c r="V54" s="14">
        <f ca="1">SOLID!Z65</f>
        <v>0</v>
      </c>
      <c r="W54" s="14">
        <f ca="1">SOLID!AA65</f>
        <v>0</v>
      </c>
      <c r="X54" s="14">
        <f ca="1">SOLID!AB65</f>
        <v>0</v>
      </c>
      <c r="Y54" s="14">
        <f ca="1">SOLID!AC65</f>
        <v>0</v>
      </c>
      <c r="Z54" s="14">
        <f ca="1">SOLID!AD65</f>
        <v>0</v>
      </c>
      <c r="AA54" s="14">
        <f ca="1">SOLID!AE65</f>
        <v>0</v>
      </c>
      <c r="AB54" s="14">
        <f ca="1">SOLID!AF65</f>
        <v>0</v>
      </c>
      <c r="AC54" s="14">
        <f ca="1">SOLID!AG65</f>
        <v>0</v>
      </c>
      <c r="AD54" s="14">
        <f ca="1">SOLID!AH65</f>
        <v>0</v>
      </c>
      <c r="AE54" s="14">
        <f ca="1">SOLID!AI65</f>
        <v>0</v>
      </c>
      <c r="AF54" s="14">
        <f ca="1">SOLID!AJ65</f>
        <v>0</v>
      </c>
      <c r="AG54" s="14">
        <f ca="1">SOLID!AK65</f>
        <v>0</v>
      </c>
      <c r="AH54" s="14">
        <f ca="1">SOLID!AL65</f>
        <v>0</v>
      </c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  <c r="CQ54" s="55">
        <v>0</v>
      </c>
    </row>
    <row r="55" spans="1:95" ht="21.75" hidden="1" outlineLevel="1" thickBot="1" x14ac:dyDescent="0.4">
      <c r="A55" s="36">
        <f>SOLID!E66</f>
        <v>0</v>
      </c>
      <c r="B55" s="16">
        <f ca="1">SOLID!F66</f>
        <v>0</v>
      </c>
      <c r="C55" s="16">
        <f ca="1">SOLID!G66</f>
        <v>0</v>
      </c>
      <c r="D55" s="16">
        <f ca="1">SOLID!H66</f>
        <v>0</v>
      </c>
      <c r="E55" s="16">
        <f ca="1">SOLID!I66</f>
        <v>0</v>
      </c>
      <c r="F55" s="14">
        <f ca="1">SOLID!J66</f>
        <v>0</v>
      </c>
      <c r="G55" s="14">
        <f ca="1">SOLID!K66</f>
        <v>0</v>
      </c>
      <c r="H55" s="14">
        <f ca="1">SOLID!L66</f>
        <v>0</v>
      </c>
      <c r="I55" s="14">
        <f ca="1">SOLID!M66</f>
        <v>0</v>
      </c>
      <c r="J55" s="14">
        <f ca="1">SOLID!N66</f>
        <v>0</v>
      </c>
      <c r="K55" s="14">
        <f ca="1">SOLID!O66</f>
        <v>0</v>
      </c>
      <c r="L55" s="14">
        <f ca="1">SOLID!P66</f>
        <v>0</v>
      </c>
      <c r="M55" s="14">
        <f ca="1">SOLID!Q66</f>
        <v>0</v>
      </c>
      <c r="N55" s="14">
        <f ca="1">SOLID!R66</f>
        <v>0</v>
      </c>
      <c r="O55" s="14">
        <f ca="1">SOLID!S66</f>
        <v>0</v>
      </c>
      <c r="P55" s="14">
        <f ca="1">SOLID!T66</f>
        <v>0</v>
      </c>
      <c r="Q55" s="14">
        <f ca="1">SOLID!U66</f>
        <v>0</v>
      </c>
      <c r="R55" s="14">
        <f ca="1">SOLID!V66</f>
        <v>0</v>
      </c>
      <c r="S55" s="14">
        <f ca="1">SOLID!W66</f>
        <v>0</v>
      </c>
      <c r="T55" s="14">
        <f ca="1">SOLID!X66</f>
        <v>0</v>
      </c>
      <c r="U55" s="14">
        <f ca="1">SOLID!Y66</f>
        <v>0</v>
      </c>
      <c r="V55" s="14">
        <f ca="1">SOLID!Z66</f>
        <v>0</v>
      </c>
      <c r="W55" s="14">
        <f ca="1">SOLID!AA66</f>
        <v>0</v>
      </c>
      <c r="X55" s="14">
        <f ca="1">SOLID!AB66</f>
        <v>0</v>
      </c>
      <c r="Y55" s="14">
        <f ca="1">SOLID!AC66</f>
        <v>0</v>
      </c>
      <c r="Z55" s="14">
        <f ca="1">SOLID!AD66</f>
        <v>0</v>
      </c>
      <c r="AA55" s="14">
        <f ca="1">SOLID!AE66</f>
        <v>0</v>
      </c>
      <c r="AB55" s="14">
        <f ca="1">SOLID!AF66</f>
        <v>0</v>
      </c>
      <c r="AC55" s="14">
        <f ca="1">SOLID!AG66</f>
        <v>0</v>
      </c>
      <c r="AD55" s="14">
        <f ca="1">SOLID!AH66</f>
        <v>0</v>
      </c>
      <c r="AE55" s="14">
        <f ca="1">SOLID!AI66</f>
        <v>0</v>
      </c>
      <c r="AF55" s="14">
        <f ca="1">SOLID!AJ66</f>
        <v>0</v>
      </c>
      <c r="AG55" s="14">
        <f ca="1">SOLID!AK66</f>
        <v>0</v>
      </c>
      <c r="AH55" s="14">
        <f ca="1">SOLID!AL66</f>
        <v>0</v>
      </c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  <c r="CQ55" s="55">
        <v>0</v>
      </c>
    </row>
    <row r="56" spans="1:95" ht="21.75" hidden="1" outlineLevel="1" thickBot="1" x14ac:dyDescent="0.4">
      <c r="A56" s="36">
        <f>SOLID!E67</f>
        <v>0</v>
      </c>
      <c r="B56" s="16">
        <f ca="1">SOLID!F67</f>
        <v>0</v>
      </c>
      <c r="C56" s="16">
        <f ca="1">SOLID!G67</f>
        <v>0</v>
      </c>
      <c r="D56" s="16">
        <f ca="1">SOLID!H67</f>
        <v>0</v>
      </c>
      <c r="E56" s="16">
        <f ca="1">SOLID!I67</f>
        <v>0</v>
      </c>
      <c r="F56" s="14">
        <f ca="1">SOLID!J67</f>
        <v>0</v>
      </c>
      <c r="G56" s="14">
        <f ca="1">SOLID!K67</f>
        <v>0</v>
      </c>
      <c r="H56" s="14">
        <f ca="1">SOLID!L67</f>
        <v>0</v>
      </c>
      <c r="I56" s="14">
        <f ca="1">SOLID!M67</f>
        <v>0</v>
      </c>
      <c r="J56" s="14">
        <f ca="1">SOLID!N67</f>
        <v>0</v>
      </c>
      <c r="K56" s="14">
        <f ca="1">SOLID!O67</f>
        <v>0</v>
      </c>
      <c r="L56" s="14">
        <f ca="1">SOLID!P67</f>
        <v>0</v>
      </c>
      <c r="M56" s="14">
        <f ca="1">SOLID!Q67</f>
        <v>0</v>
      </c>
      <c r="N56" s="14">
        <f ca="1">SOLID!R67</f>
        <v>0</v>
      </c>
      <c r="O56" s="14">
        <f ca="1">SOLID!S67</f>
        <v>0</v>
      </c>
      <c r="P56" s="14">
        <f ca="1">SOLID!T67</f>
        <v>0</v>
      </c>
      <c r="Q56" s="14">
        <f ca="1">SOLID!U67</f>
        <v>0</v>
      </c>
      <c r="R56" s="14">
        <f ca="1">SOLID!V67</f>
        <v>0</v>
      </c>
      <c r="S56" s="14">
        <f ca="1">SOLID!W67</f>
        <v>0</v>
      </c>
      <c r="T56" s="14">
        <f ca="1">SOLID!X67</f>
        <v>0</v>
      </c>
      <c r="U56" s="14">
        <f ca="1">SOLID!Y67</f>
        <v>0</v>
      </c>
      <c r="V56" s="14">
        <f ca="1">SOLID!Z67</f>
        <v>0</v>
      </c>
      <c r="W56" s="14">
        <f ca="1">SOLID!AA67</f>
        <v>0</v>
      </c>
      <c r="X56" s="14">
        <f ca="1">SOLID!AB67</f>
        <v>0</v>
      </c>
      <c r="Y56" s="14">
        <f ca="1">SOLID!AC67</f>
        <v>0</v>
      </c>
      <c r="Z56" s="14">
        <f ca="1">SOLID!AD67</f>
        <v>0</v>
      </c>
      <c r="AA56" s="14">
        <f ca="1">SOLID!AE67</f>
        <v>0</v>
      </c>
      <c r="AB56" s="14">
        <f ca="1">SOLID!AF67</f>
        <v>0</v>
      </c>
      <c r="AC56" s="14">
        <f ca="1">SOLID!AG67</f>
        <v>0</v>
      </c>
      <c r="AD56" s="14">
        <f ca="1">SOLID!AH67</f>
        <v>0</v>
      </c>
      <c r="AE56" s="14">
        <f ca="1">SOLID!AI67</f>
        <v>0</v>
      </c>
      <c r="AF56" s="14">
        <f ca="1">SOLID!AJ67</f>
        <v>0</v>
      </c>
      <c r="AG56" s="14">
        <f ca="1">SOLID!AK67</f>
        <v>0</v>
      </c>
      <c r="AH56" s="14">
        <f ca="1">SOLID!AL67</f>
        <v>0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  <c r="CQ56" s="55">
        <v>0</v>
      </c>
    </row>
    <row r="57" spans="1:95" ht="21.75" hidden="1" outlineLevel="1" thickBot="1" x14ac:dyDescent="0.4">
      <c r="A57" s="36">
        <f>SOLID!E68</f>
        <v>0</v>
      </c>
      <c r="B57" s="16">
        <f ca="1">SOLID!F68</f>
        <v>0</v>
      </c>
      <c r="C57" s="16">
        <f ca="1">SOLID!G68</f>
        <v>0</v>
      </c>
      <c r="D57" s="16">
        <f ca="1">SOLID!H68</f>
        <v>0</v>
      </c>
      <c r="E57" s="16">
        <f ca="1">SOLID!I68</f>
        <v>0</v>
      </c>
      <c r="F57" s="14">
        <f ca="1">SOLID!J68</f>
        <v>0</v>
      </c>
      <c r="G57" s="14">
        <f ca="1">SOLID!K68</f>
        <v>0</v>
      </c>
      <c r="H57" s="14">
        <f ca="1">SOLID!L68</f>
        <v>0</v>
      </c>
      <c r="I57" s="14">
        <f ca="1">SOLID!M68</f>
        <v>0</v>
      </c>
      <c r="J57" s="14">
        <f ca="1">SOLID!N68</f>
        <v>0</v>
      </c>
      <c r="K57" s="14">
        <f ca="1">SOLID!O68</f>
        <v>0</v>
      </c>
      <c r="L57" s="14">
        <f ca="1">SOLID!P68</f>
        <v>0</v>
      </c>
      <c r="M57" s="14">
        <f ca="1">SOLID!Q68</f>
        <v>0</v>
      </c>
      <c r="N57" s="14">
        <f ca="1">SOLID!R68</f>
        <v>0</v>
      </c>
      <c r="O57" s="14">
        <f ca="1">SOLID!S68</f>
        <v>0</v>
      </c>
      <c r="P57" s="14">
        <f ca="1">SOLID!T68</f>
        <v>0</v>
      </c>
      <c r="Q57" s="14">
        <f ca="1">SOLID!U68</f>
        <v>0</v>
      </c>
      <c r="R57" s="14">
        <f ca="1">SOLID!V68</f>
        <v>0</v>
      </c>
      <c r="S57" s="14">
        <f ca="1">SOLID!W68</f>
        <v>0</v>
      </c>
      <c r="T57" s="14">
        <f ca="1">SOLID!X68</f>
        <v>0</v>
      </c>
      <c r="U57" s="14">
        <f ca="1">SOLID!Y68</f>
        <v>0</v>
      </c>
      <c r="V57" s="14">
        <f ca="1">SOLID!Z68</f>
        <v>0</v>
      </c>
      <c r="W57" s="14">
        <f ca="1">SOLID!AA68</f>
        <v>0</v>
      </c>
      <c r="X57" s="14">
        <f ca="1">SOLID!AB68</f>
        <v>0</v>
      </c>
      <c r="Y57" s="14">
        <f ca="1">SOLID!AC68</f>
        <v>0</v>
      </c>
      <c r="Z57" s="14">
        <f ca="1">SOLID!AD68</f>
        <v>0</v>
      </c>
      <c r="AA57" s="14">
        <f ca="1">SOLID!AE68</f>
        <v>0</v>
      </c>
      <c r="AB57" s="14">
        <f ca="1">SOLID!AF68</f>
        <v>0</v>
      </c>
      <c r="AC57" s="14">
        <f ca="1">SOLID!AG68</f>
        <v>0</v>
      </c>
      <c r="AD57" s="14">
        <f ca="1">SOLID!AH68</f>
        <v>0</v>
      </c>
      <c r="AE57" s="14">
        <f ca="1">SOLID!AI68</f>
        <v>0</v>
      </c>
      <c r="AF57" s="14">
        <f ca="1">SOLID!AJ68</f>
        <v>0</v>
      </c>
      <c r="AG57" s="14">
        <f ca="1">SOLID!AK68</f>
        <v>0</v>
      </c>
      <c r="AH57" s="14">
        <f ca="1">SOLID!AL68</f>
        <v>0</v>
      </c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  <c r="CQ57" s="55">
        <v>0</v>
      </c>
    </row>
    <row r="58" spans="1:95" ht="21.75" hidden="1" outlineLevel="1" thickBot="1" x14ac:dyDescent="0.4">
      <c r="A58" s="36">
        <f>SOLID!E69</f>
        <v>0</v>
      </c>
      <c r="B58" s="16">
        <f ca="1">SOLID!F69</f>
        <v>0</v>
      </c>
      <c r="C58" s="16">
        <f ca="1">SOLID!G69</f>
        <v>0</v>
      </c>
      <c r="D58" s="16">
        <f ca="1">SOLID!H69</f>
        <v>0</v>
      </c>
      <c r="E58" s="16">
        <f ca="1">SOLID!I69</f>
        <v>0</v>
      </c>
      <c r="F58" s="14">
        <f ca="1">SOLID!J69</f>
        <v>0</v>
      </c>
      <c r="G58" s="14">
        <f ca="1">SOLID!K69</f>
        <v>0</v>
      </c>
      <c r="H58" s="14">
        <f ca="1">SOLID!L69</f>
        <v>0</v>
      </c>
      <c r="I58" s="14">
        <f ca="1">SOLID!M69</f>
        <v>0</v>
      </c>
      <c r="J58" s="14">
        <f ca="1">SOLID!N69</f>
        <v>0</v>
      </c>
      <c r="K58" s="14">
        <f ca="1">SOLID!O69</f>
        <v>0</v>
      </c>
      <c r="L58" s="14">
        <f ca="1">SOLID!P69</f>
        <v>0</v>
      </c>
      <c r="M58" s="14">
        <f ca="1">SOLID!Q69</f>
        <v>0</v>
      </c>
      <c r="N58" s="14">
        <f ca="1">SOLID!R69</f>
        <v>0</v>
      </c>
      <c r="O58" s="14">
        <f ca="1">SOLID!S69</f>
        <v>0</v>
      </c>
      <c r="P58" s="14">
        <f ca="1">SOLID!T69</f>
        <v>0</v>
      </c>
      <c r="Q58" s="14">
        <f ca="1">SOLID!U69</f>
        <v>0</v>
      </c>
      <c r="R58" s="14">
        <f ca="1">SOLID!V69</f>
        <v>0</v>
      </c>
      <c r="S58" s="14">
        <f ca="1">SOLID!W69</f>
        <v>0</v>
      </c>
      <c r="T58" s="14">
        <f ca="1">SOLID!X69</f>
        <v>0</v>
      </c>
      <c r="U58" s="14">
        <f ca="1">SOLID!Y69</f>
        <v>0</v>
      </c>
      <c r="V58" s="14">
        <f ca="1">SOLID!Z69</f>
        <v>0</v>
      </c>
      <c r="W58" s="14">
        <f ca="1">SOLID!AA69</f>
        <v>0</v>
      </c>
      <c r="X58" s="14">
        <f ca="1">SOLID!AB69</f>
        <v>0</v>
      </c>
      <c r="Y58" s="14">
        <f ca="1">SOLID!AC69</f>
        <v>0</v>
      </c>
      <c r="Z58" s="14">
        <f ca="1">SOLID!AD69</f>
        <v>0</v>
      </c>
      <c r="AA58" s="14">
        <f ca="1">SOLID!AE69</f>
        <v>0</v>
      </c>
      <c r="AB58" s="14">
        <f ca="1">SOLID!AF69</f>
        <v>0</v>
      </c>
      <c r="AC58" s="14">
        <f ca="1">SOLID!AG69</f>
        <v>0</v>
      </c>
      <c r="AD58" s="14">
        <f ca="1">SOLID!AH69</f>
        <v>0</v>
      </c>
      <c r="AE58" s="14">
        <f ca="1">SOLID!AI69</f>
        <v>0</v>
      </c>
      <c r="AF58" s="14">
        <f ca="1">SOLID!AJ69</f>
        <v>0</v>
      </c>
      <c r="AG58" s="14">
        <f ca="1">SOLID!AK69</f>
        <v>0</v>
      </c>
      <c r="AH58" s="14">
        <f ca="1">SOLID!AL69</f>
        <v>0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  <c r="CQ58" s="55">
        <v>0</v>
      </c>
    </row>
    <row r="59" spans="1:95" ht="21.75" hidden="1" outlineLevel="1" thickBot="1" x14ac:dyDescent="0.4">
      <c r="A59" s="36">
        <f>SOLID!E70</f>
        <v>0</v>
      </c>
      <c r="B59" s="16">
        <f ca="1">SOLID!F70</f>
        <v>0</v>
      </c>
      <c r="C59" s="16">
        <f ca="1">SOLID!G70</f>
        <v>0</v>
      </c>
      <c r="D59" s="16">
        <f ca="1">SOLID!H70</f>
        <v>0</v>
      </c>
      <c r="E59" s="16">
        <f ca="1">SOLID!I70</f>
        <v>0</v>
      </c>
      <c r="F59" s="14">
        <f ca="1">SOLID!J70</f>
        <v>0</v>
      </c>
      <c r="G59" s="14">
        <f ca="1">SOLID!K70</f>
        <v>0</v>
      </c>
      <c r="H59" s="14">
        <f ca="1">SOLID!L70</f>
        <v>0</v>
      </c>
      <c r="I59" s="14">
        <f ca="1">SOLID!M70</f>
        <v>0</v>
      </c>
      <c r="J59" s="14">
        <f ca="1">SOLID!N70</f>
        <v>0</v>
      </c>
      <c r="K59" s="14">
        <f ca="1">SOLID!O70</f>
        <v>0</v>
      </c>
      <c r="L59" s="14">
        <f ca="1">SOLID!P70</f>
        <v>0</v>
      </c>
      <c r="M59" s="14">
        <f ca="1">SOLID!Q70</f>
        <v>0</v>
      </c>
      <c r="N59" s="14">
        <f ca="1">SOLID!R70</f>
        <v>0</v>
      </c>
      <c r="O59" s="14">
        <f ca="1">SOLID!S70</f>
        <v>0</v>
      </c>
      <c r="P59" s="14">
        <f ca="1">SOLID!T70</f>
        <v>0</v>
      </c>
      <c r="Q59" s="14">
        <f ca="1">SOLID!U70</f>
        <v>0</v>
      </c>
      <c r="R59" s="14">
        <f ca="1">SOLID!V70</f>
        <v>0</v>
      </c>
      <c r="S59" s="14">
        <f ca="1">SOLID!W70</f>
        <v>0</v>
      </c>
      <c r="T59" s="14">
        <f ca="1">SOLID!X70</f>
        <v>0</v>
      </c>
      <c r="U59" s="14">
        <f ca="1">SOLID!Y70</f>
        <v>0</v>
      </c>
      <c r="V59" s="14">
        <f ca="1">SOLID!Z70</f>
        <v>0</v>
      </c>
      <c r="W59" s="14">
        <f ca="1">SOLID!AA70</f>
        <v>0</v>
      </c>
      <c r="X59" s="14">
        <f ca="1">SOLID!AB70</f>
        <v>0</v>
      </c>
      <c r="Y59" s="14">
        <f ca="1">SOLID!AC70</f>
        <v>0</v>
      </c>
      <c r="Z59" s="14">
        <f ca="1">SOLID!AD70</f>
        <v>0</v>
      </c>
      <c r="AA59" s="14">
        <f ca="1">SOLID!AE70</f>
        <v>0</v>
      </c>
      <c r="AB59" s="14">
        <f ca="1">SOLID!AF70</f>
        <v>0</v>
      </c>
      <c r="AC59" s="14">
        <f ca="1">SOLID!AG70</f>
        <v>0</v>
      </c>
      <c r="AD59" s="14">
        <f ca="1">SOLID!AH70</f>
        <v>0</v>
      </c>
      <c r="AE59" s="14">
        <f ca="1">SOLID!AI70</f>
        <v>0</v>
      </c>
      <c r="AF59" s="14">
        <f ca="1">SOLID!AJ70</f>
        <v>0</v>
      </c>
      <c r="AG59" s="14">
        <f ca="1">SOLID!AK70</f>
        <v>0</v>
      </c>
      <c r="AH59" s="14">
        <f ca="1">SOLID!AL70</f>
        <v>0</v>
      </c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  <c r="CQ59" s="55">
        <v>0</v>
      </c>
    </row>
    <row r="60" spans="1:95" ht="21.75" hidden="1" outlineLevel="1" thickBot="1" x14ac:dyDescent="0.4">
      <c r="A60" s="36">
        <f>SOLID!E71</f>
        <v>0</v>
      </c>
      <c r="B60" s="16">
        <f ca="1">SOLID!F71</f>
        <v>0</v>
      </c>
      <c r="C60" s="16">
        <f ca="1">SOLID!G71</f>
        <v>0</v>
      </c>
      <c r="D60" s="16">
        <f ca="1">SOLID!H71</f>
        <v>0</v>
      </c>
      <c r="E60" s="16">
        <f ca="1">SOLID!I71</f>
        <v>0</v>
      </c>
      <c r="F60" s="14">
        <f ca="1">SOLID!J71</f>
        <v>0</v>
      </c>
      <c r="G60" s="14">
        <f ca="1">SOLID!K71</f>
        <v>0</v>
      </c>
      <c r="H60" s="14">
        <f ca="1">SOLID!L71</f>
        <v>0</v>
      </c>
      <c r="I60" s="14">
        <f ca="1">SOLID!M71</f>
        <v>0</v>
      </c>
      <c r="J60" s="14">
        <f ca="1">SOLID!N71</f>
        <v>0</v>
      </c>
      <c r="K60" s="14">
        <f ca="1">SOLID!O71</f>
        <v>0</v>
      </c>
      <c r="L60" s="14">
        <f ca="1">SOLID!P71</f>
        <v>0</v>
      </c>
      <c r="M60" s="14">
        <f ca="1">SOLID!Q71</f>
        <v>0</v>
      </c>
      <c r="N60" s="14">
        <f ca="1">SOLID!R71</f>
        <v>0</v>
      </c>
      <c r="O60" s="14">
        <f ca="1">SOLID!S71</f>
        <v>0</v>
      </c>
      <c r="P60" s="14">
        <f ca="1">SOLID!T71</f>
        <v>0</v>
      </c>
      <c r="Q60" s="14">
        <f ca="1">SOLID!U71</f>
        <v>0</v>
      </c>
      <c r="R60" s="14">
        <f ca="1">SOLID!V71</f>
        <v>0</v>
      </c>
      <c r="S60" s="14">
        <f ca="1">SOLID!W71</f>
        <v>0</v>
      </c>
      <c r="T60" s="14">
        <f ca="1">SOLID!X71</f>
        <v>0</v>
      </c>
      <c r="U60" s="14">
        <f ca="1">SOLID!Y71</f>
        <v>0</v>
      </c>
      <c r="V60" s="14">
        <f ca="1">SOLID!Z71</f>
        <v>0</v>
      </c>
      <c r="W60" s="14">
        <f ca="1">SOLID!AA71</f>
        <v>0</v>
      </c>
      <c r="X60" s="14">
        <f ca="1">SOLID!AB71</f>
        <v>0</v>
      </c>
      <c r="Y60" s="14">
        <f ca="1">SOLID!AC71</f>
        <v>0</v>
      </c>
      <c r="Z60" s="14">
        <f ca="1">SOLID!AD71</f>
        <v>0</v>
      </c>
      <c r="AA60" s="14">
        <f ca="1">SOLID!AE71</f>
        <v>0</v>
      </c>
      <c r="AB60" s="14">
        <f ca="1">SOLID!AF71</f>
        <v>0</v>
      </c>
      <c r="AC60" s="14">
        <f ca="1">SOLID!AG71</f>
        <v>0</v>
      </c>
      <c r="AD60" s="14">
        <f ca="1">SOLID!AH71</f>
        <v>0</v>
      </c>
      <c r="AE60" s="14">
        <f ca="1">SOLID!AI71</f>
        <v>0</v>
      </c>
      <c r="AF60" s="14">
        <f ca="1">SOLID!AJ71</f>
        <v>0</v>
      </c>
      <c r="AG60" s="14">
        <f ca="1">SOLID!AK71</f>
        <v>0</v>
      </c>
      <c r="AH60" s="14">
        <f ca="1">SOLID!AL71</f>
        <v>0</v>
      </c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  <c r="CQ60" s="55">
        <v>0</v>
      </c>
    </row>
    <row r="61" spans="1:95" ht="21.75" hidden="1" outlineLevel="1" thickBot="1" x14ac:dyDescent="0.4">
      <c r="A61" s="36">
        <f>SOLID!E72</f>
        <v>0</v>
      </c>
      <c r="B61" s="16">
        <f ca="1">SOLID!F72</f>
        <v>0</v>
      </c>
      <c r="C61" s="16">
        <f ca="1">SOLID!G72</f>
        <v>0</v>
      </c>
      <c r="D61" s="16">
        <f ca="1">SOLID!H72</f>
        <v>0</v>
      </c>
      <c r="E61" s="16">
        <f ca="1">SOLID!I72</f>
        <v>0</v>
      </c>
      <c r="F61" s="14">
        <f ca="1">SOLID!J72</f>
        <v>0</v>
      </c>
      <c r="G61" s="14">
        <f ca="1">SOLID!K72</f>
        <v>0</v>
      </c>
      <c r="H61" s="14">
        <f ca="1">SOLID!L72</f>
        <v>0</v>
      </c>
      <c r="I61" s="14">
        <f ca="1">SOLID!M72</f>
        <v>0</v>
      </c>
      <c r="J61" s="14">
        <f ca="1">SOLID!N72</f>
        <v>0</v>
      </c>
      <c r="K61" s="14">
        <f ca="1">SOLID!O72</f>
        <v>0</v>
      </c>
      <c r="L61" s="14">
        <f ca="1">SOLID!P72</f>
        <v>0</v>
      </c>
      <c r="M61" s="14">
        <f ca="1">SOLID!Q72</f>
        <v>0</v>
      </c>
      <c r="N61" s="14">
        <f ca="1">SOLID!R72</f>
        <v>0</v>
      </c>
      <c r="O61" s="14">
        <f ca="1">SOLID!S72</f>
        <v>0</v>
      </c>
      <c r="P61" s="14">
        <f ca="1">SOLID!T72</f>
        <v>0</v>
      </c>
      <c r="Q61" s="14">
        <f ca="1">SOLID!U72</f>
        <v>0</v>
      </c>
      <c r="R61" s="14">
        <f ca="1">SOLID!V72</f>
        <v>0</v>
      </c>
      <c r="S61" s="14">
        <f ca="1">SOLID!W72</f>
        <v>0</v>
      </c>
      <c r="T61" s="14">
        <f ca="1">SOLID!X72</f>
        <v>0</v>
      </c>
      <c r="U61" s="14">
        <f ca="1">SOLID!Y72</f>
        <v>0</v>
      </c>
      <c r="V61" s="14">
        <f ca="1">SOLID!Z72</f>
        <v>0</v>
      </c>
      <c r="W61" s="14">
        <f ca="1">SOLID!AA72</f>
        <v>0</v>
      </c>
      <c r="X61" s="14">
        <f ca="1">SOLID!AB72</f>
        <v>0</v>
      </c>
      <c r="Y61" s="14">
        <f ca="1">SOLID!AC72</f>
        <v>0</v>
      </c>
      <c r="Z61" s="14">
        <f ca="1">SOLID!AD72</f>
        <v>0</v>
      </c>
      <c r="AA61" s="14">
        <f ca="1">SOLID!AE72</f>
        <v>0</v>
      </c>
      <c r="AB61" s="14">
        <f ca="1">SOLID!AF72</f>
        <v>0</v>
      </c>
      <c r="AC61" s="14">
        <f ca="1">SOLID!AG72</f>
        <v>0</v>
      </c>
      <c r="AD61" s="14">
        <f ca="1">SOLID!AH72</f>
        <v>0</v>
      </c>
      <c r="AE61" s="14">
        <f ca="1">SOLID!AI72</f>
        <v>0</v>
      </c>
      <c r="AF61" s="14">
        <f ca="1">SOLID!AJ72</f>
        <v>0</v>
      </c>
      <c r="AG61" s="14">
        <f ca="1">SOLID!AK72</f>
        <v>0</v>
      </c>
      <c r="AH61" s="14">
        <f ca="1">SOLID!AL72</f>
        <v>0</v>
      </c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  <c r="CQ61" s="55">
        <v>0</v>
      </c>
    </row>
    <row r="62" spans="1:95" ht="21.75" hidden="1" outlineLevel="1" thickBot="1" x14ac:dyDescent="0.4">
      <c r="A62" s="36">
        <f>SOLID!E73</f>
        <v>0</v>
      </c>
      <c r="B62" s="16">
        <f ca="1">SOLID!F73</f>
        <v>0</v>
      </c>
      <c r="C62" s="16">
        <f ca="1">SOLID!G73</f>
        <v>0</v>
      </c>
      <c r="D62" s="16">
        <f ca="1">SOLID!H73</f>
        <v>0</v>
      </c>
      <c r="E62" s="16">
        <f ca="1">SOLID!I73</f>
        <v>0</v>
      </c>
      <c r="F62" s="14">
        <f ca="1">SOLID!J73</f>
        <v>0</v>
      </c>
      <c r="G62" s="14">
        <f ca="1">SOLID!K73</f>
        <v>0</v>
      </c>
      <c r="H62" s="14">
        <f ca="1">SOLID!L73</f>
        <v>0</v>
      </c>
      <c r="I62" s="14">
        <f ca="1">SOLID!M73</f>
        <v>0</v>
      </c>
      <c r="J62" s="14">
        <f ca="1">SOLID!N73</f>
        <v>0</v>
      </c>
      <c r="K62" s="14">
        <f ca="1">SOLID!O73</f>
        <v>0</v>
      </c>
      <c r="L62" s="14">
        <f ca="1">SOLID!P73</f>
        <v>0</v>
      </c>
      <c r="M62" s="14">
        <f ca="1">SOLID!Q73</f>
        <v>0</v>
      </c>
      <c r="N62" s="14">
        <f ca="1">SOLID!R73</f>
        <v>0</v>
      </c>
      <c r="O62" s="14">
        <f ca="1">SOLID!S73</f>
        <v>0</v>
      </c>
      <c r="P62" s="14">
        <f ca="1">SOLID!T73</f>
        <v>0</v>
      </c>
      <c r="Q62" s="14">
        <f ca="1">SOLID!U73</f>
        <v>0</v>
      </c>
      <c r="R62" s="14">
        <f ca="1">SOLID!V73</f>
        <v>0</v>
      </c>
      <c r="S62" s="14">
        <f ca="1">SOLID!W73</f>
        <v>0</v>
      </c>
      <c r="T62" s="14">
        <f ca="1">SOLID!X73</f>
        <v>0</v>
      </c>
      <c r="U62" s="14">
        <f ca="1">SOLID!Y73</f>
        <v>0</v>
      </c>
      <c r="V62" s="14">
        <f ca="1">SOLID!Z73</f>
        <v>0</v>
      </c>
      <c r="W62" s="14">
        <f ca="1">SOLID!AA73</f>
        <v>0</v>
      </c>
      <c r="X62" s="14">
        <f ca="1">SOLID!AB73</f>
        <v>0</v>
      </c>
      <c r="Y62" s="14">
        <f ca="1">SOLID!AC73</f>
        <v>0</v>
      </c>
      <c r="Z62" s="14">
        <f ca="1">SOLID!AD73</f>
        <v>0</v>
      </c>
      <c r="AA62" s="14">
        <f ca="1">SOLID!AE73</f>
        <v>0</v>
      </c>
      <c r="AB62" s="14">
        <f ca="1">SOLID!AF73</f>
        <v>0</v>
      </c>
      <c r="AC62" s="14">
        <f ca="1">SOLID!AG73</f>
        <v>0</v>
      </c>
      <c r="AD62" s="14">
        <f ca="1">SOLID!AH73</f>
        <v>0</v>
      </c>
      <c r="AE62" s="14">
        <f ca="1">SOLID!AI73</f>
        <v>0</v>
      </c>
      <c r="AF62" s="14">
        <f ca="1">SOLID!AJ73</f>
        <v>0</v>
      </c>
      <c r="AG62" s="14">
        <f ca="1">SOLID!AK73</f>
        <v>0</v>
      </c>
      <c r="AH62" s="14">
        <f ca="1">SOLID!AL73</f>
        <v>0</v>
      </c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  <c r="CQ62" s="55">
        <v>0</v>
      </c>
    </row>
    <row r="63" spans="1:95" ht="21.75" hidden="1" outlineLevel="1" thickBot="1" x14ac:dyDescent="0.4">
      <c r="A63" s="36">
        <f>SOLID!E74</f>
        <v>0</v>
      </c>
      <c r="B63" s="16">
        <f ca="1">SOLID!F74</f>
        <v>0</v>
      </c>
      <c r="C63" s="16">
        <f ca="1">SOLID!G74</f>
        <v>0</v>
      </c>
      <c r="D63" s="16">
        <f ca="1">SOLID!H74</f>
        <v>0</v>
      </c>
      <c r="E63" s="16">
        <f ca="1">SOLID!I74</f>
        <v>0</v>
      </c>
      <c r="F63" s="14">
        <f ca="1">SOLID!J74</f>
        <v>0</v>
      </c>
      <c r="G63" s="14">
        <f ca="1">SOLID!K74</f>
        <v>0</v>
      </c>
      <c r="H63" s="14">
        <f ca="1">SOLID!L74</f>
        <v>0</v>
      </c>
      <c r="I63" s="14">
        <f ca="1">SOLID!M74</f>
        <v>0</v>
      </c>
      <c r="J63" s="14">
        <f ca="1">SOLID!N74</f>
        <v>0</v>
      </c>
      <c r="K63" s="14">
        <f ca="1">SOLID!O74</f>
        <v>0</v>
      </c>
      <c r="L63" s="14">
        <f ca="1">SOLID!P74</f>
        <v>0</v>
      </c>
      <c r="M63" s="14">
        <f ca="1">SOLID!Q74</f>
        <v>0</v>
      </c>
      <c r="N63" s="14">
        <f ca="1">SOLID!R74</f>
        <v>0</v>
      </c>
      <c r="O63" s="14">
        <f ca="1">SOLID!S74</f>
        <v>0</v>
      </c>
      <c r="P63" s="14">
        <f ca="1">SOLID!T74</f>
        <v>0</v>
      </c>
      <c r="Q63" s="14">
        <f ca="1">SOLID!U74</f>
        <v>0</v>
      </c>
      <c r="R63" s="14">
        <f ca="1">SOLID!V74</f>
        <v>0</v>
      </c>
      <c r="S63" s="14">
        <f ca="1">SOLID!W74</f>
        <v>0</v>
      </c>
      <c r="T63" s="14">
        <f ca="1">SOLID!X74</f>
        <v>0</v>
      </c>
      <c r="U63" s="14">
        <f ca="1">SOLID!Y74</f>
        <v>0</v>
      </c>
      <c r="V63" s="14">
        <f ca="1">SOLID!Z74</f>
        <v>0</v>
      </c>
      <c r="W63" s="14">
        <f ca="1">SOLID!AA74</f>
        <v>0</v>
      </c>
      <c r="X63" s="14">
        <f ca="1">SOLID!AB74</f>
        <v>0</v>
      </c>
      <c r="Y63" s="14">
        <f ca="1">SOLID!AC74</f>
        <v>0</v>
      </c>
      <c r="Z63" s="14">
        <f ca="1">SOLID!AD74</f>
        <v>0</v>
      </c>
      <c r="AA63" s="14">
        <f ca="1">SOLID!AE74</f>
        <v>0</v>
      </c>
      <c r="AB63" s="14">
        <f ca="1">SOLID!AF74</f>
        <v>0</v>
      </c>
      <c r="AC63" s="14">
        <f ca="1">SOLID!AG74</f>
        <v>0</v>
      </c>
      <c r="AD63" s="14">
        <f ca="1">SOLID!AH74</f>
        <v>0</v>
      </c>
      <c r="AE63" s="14">
        <f ca="1">SOLID!AI74</f>
        <v>0</v>
      </c>
      <c r="AF63" s="14">
        <f ca="1">SOLID!AJ74</f>
        <v>0</v>
      </c>
      <c r="AG63" s="14">
        <f ca="1">SOLID!AK74</f>
        <v>0</v>
      </c>
      <c r="AH63" s="14">
        <f ca="1">SOLID!AL74</f>
        <v>0</v>
      </c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>
        <v>0</v>
      </c>
    </row>
    <row r="64" spans="1:95" ht="21.75" hidden="1" outlineLevel="1" thickBot="1" x14ac:dyDescent="0.4">
      <c r="A64" s="36">
        <f>SOLID!E75</f>
        <v>1</v>
      </c>
      <c r="B64" s="16">
        <f>SOLID!F75</f>
        <v>0</v>
      </c>
      <c r="C64" s="16">
        <f>SOLID!G75</f>
        <v>0</v>
      </c>
      <c r="D64" s="16">
        <f>SOLID!H75</f>
        <v>0</v>
      </c>
      <c r="E64" s="16">
        <f>SOLID!I75</f>
        <v>0</v>
      </c>
      <c r="F64" s="14">
        <f>SOLID!J75</f>
        <v>0</v>
      </c>
      <c r="G64" s="14">
        <f>SOLID!K75</f>
        <v>0</v>
      </c>
      <c r="H64" s="14">
        <f>SOLID!L75</f>
        <v>0</v>
      </c>
      <c r="I64" s="14">
        <f>SOLID!M75</f>
        <v>0</v>
      </c>
      <c r="J64" s="14">
        <f>SOLID!N75</f>
        <v>0</v>
      </c>
      <c r="K64" s="14">
        <f>SOLID!O75</f>
        <v>0</v>
      </c>
      <c r="L64" s="14">
        <f>SOLID!P75</f>
        <v>0</v>
      </c>
      <c r="M64" s="14">
        <f>SOLID!Q75</f>
        <v>0</v>
      </c>
      <c r="N64" s="14">
        <f>SOLID!R75</f>
        <v>0</v>
      </c>
      <c r="O64" s="14">
        <f>SOLID!S75</f>
        <v>0</v>
      </c>
      <c r="P64" s="14">
        <f>SOLID!T75</f>
        <v>0</v>
      </c>
      <c r="Q64" s="14">
        <f>SOLID!U75</f>
        <v>0</v>
      </c>
      <c r="R64" s="14">
        <f>SOLID!V75</f>
        <v>0</v>
      </c>
      <c r="S64" s="14">
        <f>SOLID!W75</f>
        <v>0</v>
      </c>
      <c r="T64" s="14">
        <f>SOLID!X75</f>
        <v>0</v>
      </c>
      <c r="U64" s="14">
        <f>SOLID!Y75</f>
        <v>0</v>
      </c>
      <c r="V64" s="14">
        <f>SOLID!Z75</f>
        <v>0</v>
      </c>
      <c r="W64" s="14">
        <f>SOLID!AA75</f>
        <v>0</v>
      </c>
      <c r="X64" s="14">
        <f>SOLID!AB75</f>
        <v>0</v>
      </c>
      <c r="Y64" s="14">
        <f>SOLID!AC75</f>
        <v>0</v>
      </c>
      <c r="Z64" s="14">
        <f>SOLID!AD75</f>
        <v>0</v>
      </c>
      <c r="AA64" s="14">
        <f>SOLID!AE75</f>
        <v>0</v>
      </c>
      <c r="AB64" s="14">
        <f>SOLID!AF75</f>
        <v>0</v>
      </c>
      <c r="AC64" s="14">
        <f>SOLID!AG75</f>
        <v>0</v>
      </c>
      <c r="AD64" s="14">
        <f>SOLID!AH75</f>
        <v>0</v>
      </c>
      <c r="AE64" s="14">
        <f>SOLID!AI75</f>
        <v>0</v>
      </c>
      <c r="AF64" s="14">
        <f>SOLID!AJ75</f>
        <v>0</v>
      </c>
      <c r="AG64" s="14">
        <f>SOLID!AK75</f>
        <v>0</v>
      </c>
      <c r="AH64" s="14">
        <f>SOLID!AL75</f>
        <v>0</v>
      </c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>
        <v>0</v>
      </c>
    </row>
    <row r="65" spans="1:95" ht="22.5" collapsed="1" thickTop="1" thickBot="1" x14ac:dyDescent="0.4">
      <c r="A65" s="38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  <c r="CQ65" s="55">
        <v>0</v>
      </c>
    </row>
    <row r="66" spans="1:95" ht="22.5" thickTop="1" thickBot="1" x14ac:dyDescent="0.4">
      <c r="A66" s="4" t="s">
        <v>31</v>
      </c>
      <c r="B66" s="69">
        <f>ALL!F45</f>
        <v>273.10000000000002</v>
      </c>
      <c r="C66" s="69">
        <f>ALL!G45</f>
        <v>289.7</v>
      </c>
      <c r="D66" s="69">
        <f>ALL!H45</f>
        <v>306.2</v>
      </c>
      <c r="E66" s="69">
        <f>ALL!I45</f>
        <v>322.7</v>
      </c>
      <c r="F66" s="4">
        <f>ALL!J45</f>
        <v>339.2</v>
      </c>
      <c r="G66" s="4">
        <f>ALL!K45</f>
        <v>405.3</v>
      </c>
      <c r="H66" s="4">
        <f>ALL!L45</f>
        <v>421.8</v>
      </c>
      <c r="I66" s="4">
        <f>ALL!M45</f>
        <v>438.3</v>
      </c>
      <c r="J66" s="4">
        <f>ALL!N45</f>
        <v>454.9</v>
      </c>
      <c r="K66" s="4">
        <f>ALL!O45</f>
        <v>471.4</v>
      </c>
      <c r="L66" s="4">
        <f>ALL!P45</f>
        <v>487.9</v>
      </c>
      <c r="M66" s="4">
        <f>ALL!Q45</f>
        <v>504.4</v>
      </c>
      <c r="N66" s="4">
        <f>ALL!R45</f>
        <v>520.9</v>
      </c>
      <c r="O66" s="4">
        <f>ALL!S45</f>
        <v>537.5</v>
      </c>
      <c r="P66" s="4">
        <f>ALL!T45</f>
        <v>554</v>
      </c>
      <c r="Q66" s="4">
        <f>ALL!U45</f>
        <v>570.5</v>
      </c>
      <c r="R66" s="4">
        <f>ALL!V45</f>
        <v>587</v>
      </c>
      <c r="S66" s="4">
        <f>ALL!W45</f>
        <v>603.5</v>
      </c>
      <c r="T66" s="4">
        <f>ALL!X45</f>
        <v>620.1</v>
      </c>
      <c r="U66" s="4">
        <f>ALL!Y45</f>
        <v>636.6</v>
      </c>
      <c r="V66" s="4">
        <f>ALL!Z45</f>
        <v>653.1</v>
      </c>
      <c r="W66" s="4">
        <f>ALL!AA45</f>
        <v>669.6</v>
      </c>
      <c r="X66" s="4">
        <f>ALL!AB45</f>
        <v>735.7</v>
      </c>
      <c r="Y66" s="4">
        <f>ALL!AC45</f>
        <v>801.8</v>
      </c>
      <c r="Z66" s="4">
        <f>ALL!AD45</f>
        <v>818.3</v>
      </c>
      <c r="AA66" s="4">
        <f>ALL!AE45</f>
        <v>834.8</v>
      </c>
      <c r="AB66" s="4">
        <f>ALL!AF45</f>
        <v>851.3</v>
      </c>
      <c r="AC66" s="4">
        <f>ALL!AG45</f>
        <v>867.8</v>
      </c>
      <c r="AD66" s="4">
        <f>ALL!AH45</f>
        <v>884.4</v>
      </c>
      <c r="AE66" s="4">
        <f>ALL!AI45</f>
        <v>900.9</v>
      </c>
      <c r="AF66" s="4">
        <f>ALL!AJ45</f>
        <v>917.4</v>
      </c>
      <c r="AG66" s="4">
        <f>ALL!AK45</f>
        <v>933.9</v>
      </c>
      <c r="AH66" s="4">
        <f>ALL!AL45</f>
        <v>1000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  <c r="CQ66" s="55">
        <v>0</v>
      </c>
    </row>
    <row r="67" spans="1:95" ht="22.5" hidden="1" outlineLevel="1" thickTop="1" thickBot="1" x14ac:dyDescent="0.4">
      <c r="A67" s="36" t="str">
        <f>ALL!E46</f>
        <v>*GeSe</v>
      </c>
      <c r="B67" s="16">
        <f ca="1">ALL!F46</f>
        <v>-40.54</v>
      </c>
      <c r="C67" s="16">
        <f ca="1">ALL!G46</f>
        <v>-38.769999999999996</v>
      </c>
      <c r="D67" s="16">
        <f ca="1">ALL!H46</f>
        <v>-37.17</v>
      </c>
      <c r="E67" s="16">
        <f ca="1">ALL!I46</f>
        <v>-35.74</v>
      </c>
      <c r="F67" s="14">
        <f ca="1">ALL!J46</f>
        <v>-34.450000000000003</v>
      </c>
      <c r="G67" s="14">
        <f ca="1">ALL!K46</f>
        <v>-30.616</v>
      </c>
      <c r="H67" s="14">
        <f ca="1">ALL!L46</f>
        <v>-29.927</v>
      </c>
      <c r="I67" s="14">
        <f ca="1">ALL!M46</f>
        <v>-29.364000000000001</v>
      </c>
      <c r="J67" s="14">
        <f ca="1">ALL!N46</f>
        <v>-28.939</v>
      </c>
      <c r="K67" s="14">
        <f ca="1">ALL!O46</f>
        <v>-28.67</v>
      </c>
      <c r="L67" s="14">
        <f ca="1">ALL!P46</f>
        <v>-28.556999999999999</v>
      </c>
      <c r="M67" s="14">
        <f ca="1">ALL!Q46</f>
        <v>-28.587999999999997</v>
      </c>
      <c r="N67" s="14">
        <f ca="1">ALL!R46</f>
        <v>-28.73</v>
      </c>
      <c r="O67" s="14">
        <f ca="1">ALL!S46</f>
        <v>-28.931999999999999</v>
      </c>
      <c r="P67" s="14">
        <f ca="1">ALL!T46</f>
        <v>-29.170999999999999</v>
      </c>
      <c r="Q67" s="14">
        <f ca="1">ALL!U46</f>
        <v>-29.425999999999998</v>
      </c>
      <c r="R67" s="14">
        <f ca="1">ALL!V46</f>
        <v>-29.698</v>
      </c>
      <c r="S67" s="14">
        <f ca="1">ALL!W46</f>
        <v>-29.965000000000003</v>
      </c>
      <c r="T67" s="14">
        <f ca="1">ALL!X46</f>
        <v>-30.243000000000002</v>
      </c>
      <c r="U67" s="14">
        <f ca="1">ALL!Y46</f>
        <v>-30.513000000000002</v>
      </c>
      <c r="V67" s="14">
        <f ca="1">ALL!Z46</f>
        <v>-30.783999999999999</v>
      </c>
      <c r="W67" s="14">
        <f ca="1">ALL!AA46</f>
        <v>-31.058</v>
      </c>
      <c r="X67" s="14">
        <f ca="1">ALL!AB46</f>
        <v>-32.152000000000001</v>
      </c>
      <c r="Y67" s="14">
        <f ca="1">ALL!AC46</f>
        <v>-33.188000000000002</v>
      </c>
      <c r="Z67" s="14">
        <f ca="1">ALL!AD46</f>
        <v>-33.451000000000001</v>
      </c>
      <c r="AA67" s="14">
        <f ca="1">ALL!AE46</f>
        <v>-33.704000000000001</v>
      </c>
      <c r="AB67" s="14">
        <f ca="1">ALL!AF46</f>
        <v>-33.956000000000003</v>
      </c>
      <c r="AC67" s="14">
        <f ca="1">ALL!AG46</f>
        <v>-34.198</v>
      </c>
      <c r="AD67" s="14">
        <f ca="1">ALL!AH46</f>
        <v>-34.448999999999998</v>
      </c>
      <c r="AE67" s="14">
        <f ca="1">ALL!AI46</f>
        <v>-34.670999999999999</v>
      </c>
      <c r="AF67" s="14">
        <f ca="1">ALL!AJ46</f>
        <v>-34.893999999999998</v>
      </c>
      <c r="AG67" s="14">
        <f ca="1">ALL!AK46</f>
        <v>-35.117000000000004</v>
      </c>
      <c r="AH67" s="14">
        <f ca="1">ALL!AL46</f>
        <v>-36.033999999999999</v>
      </c>
      <c r="AI67" s="14">
        <f>ALL!AM46</f>
        <v>0</v>
      </c>
      <c r="CQ67" s="55">
        <v>0</v>
      </c>
    </row>
    <row r="68" spans="1:95" ht="21.75" hidden="1" outlineLevel="1" thickBot="1" x14ac:dyDescent="0.4">
      <c r="A68" s="36" t="str">
        <f>ALL!E47</f>
        <v>*Ga[1]</v>
      </c>
      <c r="B68" s="16">
        <f ca="1">ALL!F47</f>
        <v>-67.12</v>
      </c>
      <c r="C68" s="16">
        <f ca="1">ALL!G47</f>
        <v>-63.52</v>
      </c>
      <c r="D68" s="16">
        <f ca="1">ALL!H47</f>
        <v>-60.12</v>
      </c>
      <c r="E68" s="16">
        <f ca="1">ALL!I47</f>
        <v>-56.76</v>
      </c>
      <c r="F68" s="14">
        <f ca="1">ALL!J47</f>
        <v>-53.4</v>
      </c>
      <c r="G68" s="14">
        <f ca="1">ALL!K47</f>
        <v>-41.04</v>
      </c>
      <c r="H68" s="14">
        <f ca="1">ALL!L47</f>
        <v>-38.450000000000003</v>
      </c>
      <c r="I68" s="14">
        <f ca="1">ALL!M47</f>
        <v>-36.08</v>
      </c>
      <c r="J68" s="14">
        <f ca="1">ALL!N47</f>
        <v>-33.93</v>
      </c>
      <c r="K68" s="14">
        <f ca="1">ALL!O47</f>
        <v>-31.94</v>
      </c>
      <c r="L68" s="14">
        <f ca="1">ALL!P47</f>
        <v>-30.07</v>
      </c>
      <c r="M68" s="14">
        <f ca="1">ALL!Q47</f>
        <v>-28.28</v>
      </c>
      <c r="N68" s="14">
        <f ca="1">ALL!R47</f>
        <v>-26.54</v>
      </c>
      <c r="O68" s="14">
        <f ca="1">ALL!S47</f>
        <v>-24.87</v>
      </c>
      <c r="P68" s="14">
        <f ca="1">ALL!T47</f>
        <v>-23.27</v>
      </c>
      <c r="Q68" s="14">
        <f ca="1">ALL!U47</f>
        <v>-21.74</v>
      </c>
      <c r="R68" s="14">
        <f ca="1">ALL!V47</f>
        <v>-20.27</v>
      </c>
      <c r="S68" s="14">
        <f ca="1">ALL!W47</f>
        <v>-18.87</v>
      </c>
      <c r="T68" s="14">
        <f ca="1">ALL!X47</f>
        <v>-17.54</v>
      </c>
      <c r="U68" s="14">
        <f ca="1">ALL!Y47</f>
        <v>-16.260000000000002</v>
      </c>
      <c r="V68" s="14">
        <f ca="1">ALL!Z47</f>
        <v>-15.05</v>
      </c>
      <c r="W68" s="14">
        <f ca="1">ALL!AA47</f>
        <v>-13.91</v>
      </c>
      <c r="X68" s="14">
        <f ca="1">ALL!AB47</f>
        <v>-10.79</v>
      </c>
      <c r="Y68" s="14">
        <f ca="1">ALL!AC47</f>
        <v>-9.1989999999999998</v>
      </c>
      <c r="Z68" s="14">
        <f ca="1">ALL!AD47</f>
        <v>-8.8740000000000006</v>
      </c>
      <c r="AA68" s="14">
        <f ca="1">ALL!AE47</f>
        <v>-8.5730000000000004</v>
      </c>
      <c r="AB68" s="14">
        <f ca="1">ALL!AF47</f>
        <v>-8.2949999999999999</v>
      </c>
      <c r="AC68" s="14">
        <f ca="1">ALL!AG47</f>
        <v>-8.0359999999999996</v>
      </c>
      <c r="AD68" s="14">
        <f ca="1">ALL!AH47</f>
        <v>-7.8040000000000003</v>
      </c>
      <c r="AE68" s="14">
        <f ca="1">ALL!AI47</f>
        <v>-7.8559999999999999</v>
      </c>
      <c r="AF68" s="14">
        <f ca="1">ALL!AJ47</f>
        <v>-7.915</v>
      </c>
      <c r="AG68" s="14">
        <f ca="1">ALL!AK47</f>
        <v>-7.9720000000000004</v>
      </c>
      <c r="AH68" s="14">
        <f ca="1">ALL!AL47</f>
        <v>-8.1969999999999992</v>
      </c>
      <c r="AI68" s="14">
        <f>ALL!AM47</f>
        <v>0</v>
      </c>
      <c r="CQ68" s="55">
        <v>0</v>
      </c>
    </row>
    <row r="69" spans="1:95" ht="21.75" hidden="1" outlineLevel="1" thickBot="1" x14ac:dyDescent="0.4">
      <c r="A69" s="36" t="str">
        <f>ALL!E48</f>
        <v>*Se[m]</v>
      </c>
      <c r="B69" s="16">
        <f ca="1">ALL!F48</f>
        <v>-23.56</v>
      </c>
      <c r="C69" s="16">
        <f ca="1">ALL!G48</f>
        <v>-22.53</v>
      </c>
      <c r="D69" s="16">
        <f ca="1">ALL!H48</f>
        <v>-21.75</v>
      </c>
      <c r="E69" s="16">
        <f ca="1">ALL!I48</f>
        <v>-21.28</v>
      </c>
      <c r="F69" s="14">
        <f ca="1">ALL!J48</f>
        <v>-21.09</v>
      </c>
      <c r="G69" s="14">
        <f ca="1">ALL!K48</f>
        <v>-21.65</v>
      </c>
      <c r="H69" s="14">
        <f ca="1">ALL!L48</f>
        <v>-21.85</v>
      </c>
      <c r="I69" s="14">
        <f ca="1">ALL!M48</f>
        <v>-22.03</v>
      </c>
      <c r="J69" s="14">
        <f ca="1">ALL!N48</f>
        <v>-22.18</v>
      </c>
      <c r="K69" s="14">
        <f ca="1">ALL!O48</f>
        <v>-22.32</v>
      </c>
      <c r="L69" s="14">
        <f ca="1">ALL!P48</f>
        <v>-22.47</v>
      </c>
      <c r="M69" s="14">
        <f ca="1">ALL!Q48</f>
        <v>-22.65</v>
      </c>
      <c r="N69" s="14">
        <f ca="1">ALL!R48</f>
        <v>-22.86</v>
      </c>
      <c r="O69" s="14">
        <f ca="1">ALL!S48</f>
        <v>-23.08</v>
      </c>
      <c r="P69" s="14">
        <f ca="1">ALL!T48</f>
        <v>-23.31</v>
      </c>
      <c r="Q69" s="14">
        <f ca="1">ALL!U48</f>
        <v>-23.54</v>
      </c>
      <c r="R69" s="14">
        <f ca="1">ALL!V48</f>
        <v>-23.78</v>
      </c>
      <c r="S69" s="14">
        <f ca="1">ALL!W48</f>
        <v>-24.01</v>
      </c>
      <c r="T69" s="14">
        <f ca="1">ALL!X48</f>
        <v>-24.25</v>
      </c>
      <c r="U69" s="14">
        <f ca="1">ALL!Y48</f>
        <v>-24.48</v>
      </c>
      <c r="V69" s="14">
        <f ca="1">ALL!Z48</f>
        <v>-24.71</v>
      </c>
      <c r="W69" s="14">
        <f ca="1">ALL!AA48</f>
        <v>-24.94</v>
      </c>
      <c r="X69" s="14">
        <f ca="1">ALL!AB48</f>
        <v>-25.82</v>
      </c>
      <c r="Y69" s="14">
        <f ca="1">ALL!AC48</f>
        <v>-26.68</v>
      </c>
      <c r="Z69" s="14">
        <f ca="1">ALL!AD48</f>
        <v>-26.9</v>
      </c>
      <c r="AA69" s="14">
        <f ca="1">ALL!AE48</f>
        <v>-27.11</v>
      </c>
      <c r="AB69" s="14">
        <f ca="1">ALL!AF48</f>
        <v>-27.32</v>
      </c>
      <c r="AC69" s="14">
        <f ca="1">ALL!AG48</f>
        <v>-27.52</v>
      </c>
      <c r="AD69" s="14">
        <f ca="1">ALL!AH48</f>
        <v>-27.73</v>
      </c>
      <c r="AE69" s="14">
        <f ca="1">ALL!AI48</f>
        <v>-27.92</v>
      </c>
      <c r="AF69" s="14">
        <f ca="1">ALL!AJ48</f>
        <v>-28.11</v>
      </c>
      <c r="AG69" s="14">
        <f ca="1">ALL!AK48</f>
        <v>-28.3</v>
      </c>
      <c r="AH69" s="14">
        <f ca="1">ALL!AL48</f>
        <v>-29.08</v>
      </c>
      <c r="AI69" s="14">
        <f>ALL!AM48</f>
        <v>0</v>
      </c>
      <c r="CQ69" s="55">
        <v>0</v>
      </c>
    </row>
    <row r="70" spans="1:95" ht="21.75" hidden="1" outlineLevel="1" thickBot="1" x14ac:dyDescent="0.4">
      <c r="A70" s="36" t="str">
        <f>ALL!E49</f>
        <v>*GeSe2</v>
      </c>
      <c r="B70" s="16">
        <f ca="1">ALL!F49</f>
        <v>-64.099999999999994</v>
      </c>
      <c r="C70" s="16">
        <f ca="1">ALL!G49</f>
        <v>-61.3</v>
      </c>
      <c r="D70" s="16">
        <f ca="1">ALL!H49</f>
        <v>-58.92</v>
      </c>
      <c r="E70" s="16">
        <f ca="1">ALL!I49</f>
        <v>-57.02</v>
      </c>
      <c r="F70" s="14">
        <f ca="1">ALL!J49</f>
        <v>-55.54</v>
      </c>
      <c r="G70" s="14">
        <f ca="1">ALL!K49</f>
        <v>-52.265999999999998</v>
      </c>
      <c r="H70" s="14">
        <f ca="1">ALL!L49</f>
        <v>-51.777000000000001</v>
      </c>
      <c r="I70" s="14">
        <f ca="1">ALL!M49</f>
        <v>-51.394000000000005</v>
      </c>
      <c r="J70" s="14">
        <f ca="1">ALL!N49</f>
        <v>-51.119</v>
      </c>
      <c r="K70" s="14">
        <f ca="1">ALL!O49</f>
        <v>-50.99</v>
      </c>
      <c r="L70" s="14">
        <f ca="1">ALL!P49</f>
        <v>-51.027000000000001</v>
      </c>
      <c r="M70" s="14">
        <f ca="1">ALL!Q49</f>
        <v>-51.238</v>
      </c>
      <c r="N70" s="14">
        <f ca="1">ALL!R49</f>
        <v>-51.589999999999996</v>
      </c>
      <c r="O70" s="14">
        <f ca="1">ALL!S49</f>
        <v>-52.012</v>
      </c>
      <c r="P70" s="14">
        <f ca="1">ALL!T49</f>
        <v>-52.480999999999995</v>
      </c>
      <c r="Q70" s="14">
        <f ca="1">ALL!U49</f>
        <v>-52.966000000000001</v>
      </c>
      <c r="R70" s="14">
        <f ca="1">ALL!V49</f>
        <v>-53.478000000000002</v>
      </c>
      <c r="S70" s="14">
        <f ca="1">ALL!W49</f>
        <v>-53.975000000000001</v>
      </c>
      <c r="T70" s="14">
        <f ca="1">ALL!X49</f>
        <v>-54.493000000000002</v>
      </c>
      <c r="U70" s="14">
        <f ca="1">ALL!Y49</f>
        <v>-54.993000000000002</v>
      </c>
      <c r="V70" s="14">
        <f ca="1">ALL!Z49</f>
        <v>-55.494</v>
      </c>
      <c r="W70" s="14">
        <f ca="1">ALL!AA49</f>
        <v>-55.998000000000005</v>
      </c>
      <c r="X70" s="14">
        <f ca="1">ALL!AB49</f>
        <v>-57.972000000000001</v>
      </c>
      <c r="Y70" s="14">
        <f ca="1">ALL!AC49</f>
        <v>-59.868000000000002</v>
      </c>
      <c r="Z70" s="14">
        <f ca="1">ALL!AD49</f>
        <v>-60.350999999999999</v>
      </c>
      <c r="AA70" s="14">
        <f ca="1">ALL!AE49</f>
        <v>-60.814</v>
      </c>
      <c r="AB70" s="14">
        <f ca="1">ALL!AF49</f>
        <v>-61.276000000000003</v>
      </c>
      <c r="AC70" s="14">
        <f ca="1">ALL!AG49</f>
        <v>-61.717999999999996</v>
      </c>
      <c r="AD70" s="14">
        <f ca="1">ALL!AH49</f>
        <v>-62.179000000000002</v>
      </c>
      <c r="AE70" s="14">
        <f ca="1">ALL!AI49</f>
        <v>-62.591000000000001</v>
      </c>
      <c r="AF70" s="14">
        <f ca="1">ALL!AJ49</f>
        <v>-63.003999999999998</v>
      </c>
      <c r="AG70" s="14">
        <f ca="1">ALL!AK49</f>
        <v>-63.417000000000002</v>
      </c>
      <c r="AH70" s="14">
        <f ca="1">ALL!AL49</f>
        <v>-65.11399999999999</v>
      </c>
      <c r="AI70" s="14">
        <f>ALL!AM49</f>
        <v>0</v>
      </c>
      <c r="CQ70" s="55">
        <v>0</v>
      </c>
    </row>
    <row r="71" spans="1:95" ht="21.75" hidden="1" outlineLevel="1" thickBot="1" x14ac:dyDescent="0.4">
      <c r="A71" s="36" t="str">
        <f>ALL!E50</f>
        <v>Ga2Se3</v>
      </c>
      <c r="B71" s="16">
        <f ca="1">ALL!F50</f>
        <v>-204.92000000000002</v>
      </c>
      <c r="C71" s="16">
        <f ca="1">ALL!G50</f>
        <v>-194.63</v>
      </c>
      <c r="D71" s="16">
        <f ca="1">ALL!H50</f>
        <v>-185.49</v>
      </c>
      <c r="E71" s="16">
        <f ca="1">ALL!I50</f>
        <v>-177.36</v>
      </c>
      <c r="F71" s="14">
        <f ca="1">ALL!J50</f>
        <v>-170.07</v>
      </c>
      <c r="G71" s="14">
        <f ca="1">ALL!K50</f>
        <v>-147.02999999999997</v>
      </c>
      <c r="H71" s="14">
        <f ca="1">ALL!L50</f>
        <v>-142.45000000000002</v>
      </c>
      <c r="I71" s="14">
        <f ca="1">ALL!M50</f>
        <v>-138.25</v>
      </c>
      <c r="J71" s="14">
        <f ca="1">ALL!N50</f>
        <v>-134.39999999999998</v>
      </c>
      <c r="K71" s="14">
        <f ca="1">ALL!O50</f>
        <v>-130.84</v>
      </c>
      <c r="L71" s="14">
        <f ca="1">ALL!P50</f>
        <v>-127.55</v>
      </c>
      <c r="M71" s="14">
        <f ca="1">ALL!Q50</f>
        <v>-124.50999999999999</v>
      </c>
      <c r="N71" s="14">
        <f ca="1">ALL!R50</f>
        <v>-121.66</v>
      </c>
      <c r="O71" s="14">
        <f ca="1">ALL!S50</f>
        <v>-118.97999999999999</v>
      </c>
      <c r="P71" s="14">
        <f ca="1">ALL!T50</f>
        <v>-116.47</v>
      </c>
      <c r="Q71" s="14">
        <f ca="1">ALL!U50</f>
        <v>-114.1</v>
      </c>
      <c r="R71" s="14">
        <f ca="1">ALL!V50</f>
        <v>-111.88</v>
      </c>
      <c r="S71" s="14">
        <f ca="1">ALL!W50</f>
        <v>-109.77000000000001</v>
      </c>
      <c r="T71" s="14">
        <f ca="1">ALL!X50</f>
        <v>-107.83</v>
      </c>
      <c r="U71" s="14">
        <f ca="1">ALL!Y50</f>
        <v>-105.96000000000001</v>
      </c>
      <c r="V71" s="14">
        <f ca="1">ALL!Z50</f>
        <v>-104.22999999999999</v>
      </c>
      <c r="W71" s="14">
        <f ca="1">ALL!AA50</f>
        <v>-102.64000000000001</v>
      </c>
      <c r="X71" s="14">
        <f ca="1">ALL!AB50</f>
        <v>-99.04</v>
      </c>
      <c r="Y71" s="14">
        <f ca="1">ALL!AC50</f>
        <v>-98.437999999999988</v>
      </c>
      <c r="Z71" s="14">
        <f ca="1">ALL!AD50</f>
        <v>-98.447999999999993</v>
      </c>
      <c r="AA71" s="14">
        <f ca="1">ALL!AE50</f>
        <v>-98.475999999999999</v>
      </c>
      <c r="AB71" s="14">
        <f ca="1">ALL!AF50</f>
        <v>-98.550000000000011</v>
      </c>
      <c r="AC71" s="14">
        <f ca="1">ALL!AG50</f>
        <v>-98.632000000000005</v>
      </c>
      <c r="AD71" s="14">
        <f ca="1">ALL!AH50</f>
        <v>-98.798000000000002</v>
      </c>
      <c r="AE71" s="14">
        <f ca="1">ALL!AI50</f>
        <v>-99.472000000000008</v>
      </c>
      <c r="AF71" s="14">
        <f ca="1">ALL!AJ50</f>
        <v>-100.16</v>
      </c>
      <c r="AG71" s="14">
        <f ca="1">ALL!AK50</f>
        <v>-100.84400000000001</v>
      </c>
      <c r="AH71" s="14">
        <f ca="1">ALL!AL50</f>
        <v>-103.63399999999999</v>
      </c>
      <c r="AI71" s="14">
        <f>ALL!AM50</f>
        <v>0</v>
      </c>
      <c r="CQ71" s="55">
        <v>0</v>
      </c>
    </row>
    <row r="72" spans="1:95" ht="21.75" hidden="1" outlineLevel="1" thickBot="1" x14ac:dyDescent="0.4">
      <c r="A72" s="36" t="str">
        <f>ALL!E51</f>
        <v>Ga2Se</v>
      </c>
      <c r="B72" s="16">
        <f ca="1">ALL!F51</f>
        <v>-157.80000000000001</v>
      </c>
      <c r="C72" s="16">
        <f ca="1">ALL!G51</f>
        <v>-149.57</v>
      </c>
      <c r="D72" s="16">
        <f ca="1">ALL!H51</f>
        <v>-141.99</v>
      </c>
      <c r="E72" s="16">
        <f ca="1">ALL!I51</f>
        <v>-134.80000000000001</v>
      </c>
      <c r="F72" s="14">
        <f ca="1">ALL!J51</f>
        <v>-127.89</v>
      </c>
      <c r="G72" s="14">
        <f ca="1">ALL!K51</f>
        <v>-103.72999999999999</v>
      </c>
      <c r="H72" s="14">
        <f ca="1">ALL!L51</f>
        <v>-98.75</v>
      </c>
      <c r="I72" s="14">
        <f ca="1">ALL!M51</f>
        <v>-94.19</v>
      </c>
      <c r="J72" s="14">
        <f ca="1">ALL!N51</f>
        <v>-90.039999999999992</v>
      </c>
      <c r="K72" s="14">
        <f ca="1">ALL!O51</f>
        <v>-86.2</v>
      </c>
      <c r="L72" s="14">
        <f ca="1">ALL!P51</f>
        <v>-82.61</v>
      </c>
      <c r="M72" s="14">
        <f ca="1">ALL!Q51</f>
        <v>-79.210000000000008</v>
      </c>
      <c r="N72" s="14">
        <f ca="1">ALL!R51</f>
        <v>-75.94</v>
      </c>
      <c r="O72" s="14">
        <f ca="1">ALL!S51</f>
        <v>-72.819999999999993</v>
      </c>
      <c r="P72" s="14">
        <f ca="1">ALL!T51</f>
        <v>-69.849999999999994</v>
      </c>
      <c r="Q72" s="14">
        <f ca="1">ALL!U51</f>
        <v>-67.02</v>
      </c>
      <c r="R72" s="14">
        <f ca="1">ALL!V51</f>
        <v>-64.319999999999993</v>
      </c>
      <c r="S72" s="14">
        <f ca="1">ALL!W51</f>
        <v>-61.75</v>
      </c>
      <c r="T72" s="14">
        <f ca="1">ALL!X51</f>
        <v>-59.33</v>
      </c>
      <c r="U72" s="14">
        <f ca="1">ALL!Y51</f>
        <v>-57</v>
      </c>
      <c r="V72" s="14">
        <f ca="1">ALL!Z51</f>
        <v>-54.81</v>
      </c>
      <c r="W72" s="14">
        <f ca="1">ALL!AA51</f>
        <v>-52.760000000000005</v>
      </c>
      <c r="X72" s="14">
        <f ca="1">ALL!AB51</f>
        <v>-47.4</v>
      </c>
      <c r="Y72" s="14">
        <f ca="1">ALL!AC51</f>
        <v>-45.078000000000003</v>
      </c>
      <c r="Z72" s="14">
        <f ca="1">ALL!AD51</f>
        <v>-44.647999999999996</v>
      </c>
      <c r="AA72" s="14">
        <f ca="1">ALL!AE51</f>
        <v>-44.256</v>
      </c>
      <c r="AB72" s="14">
        <f ca="1">ALL!AF51</f>
        <v>-43.91</v>
      </c>
      <c r="AC72" s="14">
        <f ca="1">ALL!AG51</f>
        <v>-43.591999999999999</v>
      </c>
      <c r="AD72" s="14">
        <f ca="1">ALL!AH51</f>
        <v>-43.338000000000001</v>
      </c>
      <c r="AE72" s="14">
        <f ca="1">ALL!AI51</f>
        <v>-43.632000000000005</v>
      </c>
      <c r="AF72" s="14">
        <f ca="1">ALL!AJ51</f>
        <v>-43.94</v>
      </c>
      <c r="AG72" s="14">
        <f ca="1">ALL!AK51</f>
        <v>-44.244</v>
      </c>
      <c r="AH72" s="14">
        <f ca="1">ALL!AL51</f>
        <v>-45.473999999999997</v>
      </c>
      <c r="AI72" s="14">
        <f>ALL!AM51</f>
        <v>0</v>
      </c>
      <c r="CQ72" s="55">
        <v>0</v>
      </c>
    </row>
    <row r="73" spans="1:95" ht="21.75" hidden="1" outlineLevel="1" thickBot="1" x14ac:dyDescent="0.4">
      <c r="A73" s="36" t="str">
        <f>ALL!E52</f>
        <v>Ga</v>
      </c>
      <c r="B73" s="16">
        <f ca="1">ALL!F52</f>
        <v>-67.12</v>
      </c>
      <c r="C73" s="16">
        <f ca="1">ALL!G52</f>
        <v>-63.52</v>
      </c>
      <c r="D73" s="16">
        <f ca="1">ALL!H52</f>
        <v>-60.12</v>
      </c>
      <c r="E73" s="16">
        <f ca="1">ALL!I52</f>
        <v>-56.76</v>
      </c>
      <c r="F73" s="14">
        <f ca="1">ALL!J52</f>
        <v>-53.4</v>
      </c>
      <c r="G73" s="14">
        <f ca="1">ALL!K52</f>
        <v>-41.04</v>
      </c>
      <c r="H73" s="14">
        <f ca="1">ALL!L52</f>
        <v>-38.450000000000003</v>
      </c>
      <c r="I73" s="14">
        <f ca="1">ALL!M52</f>
        <v>-36.08</v>
      </c>
      <c r="J73" s="14">
        <f ca="1">ALL!N52</f>
        <v>-33.93</v>
      </c>
      <c r="K73" s="14">
        <f ca="1">ALL!O52</f>
        <v>-31.94</v>
      </c>
      <c r="L73" s="14">
        <f ca="1">ALL!P52</f>
        <v>-30.07</v>
      </c>
      <c r="M73" s="14">
        <f ca="1">ALL!Q52</f>
        <v>-28.28</v>
      </c>
      <c r="N73" s="14">
        <f ca="1">ALL!R52</f>
        <v>-26.54</v>
      </c>
      <c r="O73" s="14">
        <f ca="1">ALL!S52</f>
        <v>-24.87</v>
      </c>
      <c r="P73" s="14">
        <f ca="1">ALL!T52</f>
        <v>-23.27</v>
      </c>
      <c r="Q73" s="14">
        <f ca="1">ALL!U52</f>
        <v>-21.74</v>
      </c>
      <c r="R73" s="14">
        <f ca="1">ALL!V52</f>
        <v>-20.27</v>
      </c>
      <c r="S73" s="14">
        <f ca="1">ALL!W52</f>
        <v>-18.87</v>
      </c>
      <c r="T73" s="14">
        <f ca="1">ALL!X52</f>
        <v>-17.54</v>
      </c>
      <c r="U73" s="14">
        <f ca="1">ALL!Y52</f>
        <v>-16.260000000000002</v>
      </c>
      <c r="V73" s="14">
        <f ca="1">ALL!Z52</f>
        <v>-15.05</v>
      </c>
      <c r="W73" s="14">
        <f ca="1">ALL!AA52</f>
        <v>-13.91</v>
      </c>
      <c r="X73" s="14">
        <f ca="1">ALL!AB52</f>
        <v>-10.79</v>
      </c>
      <c r="Y73" s="14">
        <f ca="1">ALL!AC52</f>
        <v>-9.1989999999999998</v>
      </c>
      <c r="Z73" s="14">
        <f ca="1">ALL!AD52</f>
        <v>-8.8740000000000006</v>
      </c>
      <c r="AA73" s="14">
        <f ca="1">ALL!AE52</f>
        <v>-8.5730000000000004</v>
      </c>
      <c r="AB73" s="14">
        <f ca="1">ALL!AF52</f>
        <v>-8.2949999999999999</v>
      </c>
      <c r="AC73" s="14">
        <f ca="1">ALL!AG52</f>
        <v>-8.0359999999999996</v>
      </c>
      <c r="AD73" s="14">
        <f ca="1">ALL!AH52</f>
        <v>-7.8040000000000003</v>
      </c>
      <c r="AE73" s="14">
        <f ca="1">ALL!AI52</f>
        <v>-7.8559999999999999</v>
      </c>
      <c r="AF73" s="14">
        <f ca="1">ALL!AJ52</f>
        <v>-7.915</v>
      </c>
      <c r="AG73" s="14">
        <f ca="1">ALL!AK52</f>
        <v>-7.9720000000000004</v>
      </c>
      <c r="AH73" s="14">
        <f ca="1">ALL!AL52</f>
        <v>-8.1969999999999992</v>
      </c>
      <c r="AI73" s="14">
        <f>ALL!AM52</f>
        <v>0</v>
      </c>
      <c r="CQ73" s="55">
        <v>0</v>
      </c>
    </row>
    <row r="74" spans="1:95" ht="21.75" hidden="1" outlineLevel="1" thickBot="1" x14ac:dyDescent="0.4">
      <c r="A74" s="36" t="str">
        <f>ALL!E53</f>
        <v>Ar</v>
      </c>
      <c r="B74" s="16">
        <f ca="1">ALL!F53</f>
        <v>-18.66</v>
      </c>
      <c r="C74" s="16">
        <f ca="1">ALL!G53</f>
        <v>-18.649999999999999</v>
      </c>
      <c r="D74" s="16">
        <f ca="1">ALL!H53</f>
        <v>-18.649999999999999</v>
      </c>
      <c r="E74" s="16">
        <f ca="1">ALL!I53</f>
        <v>-18.66</v>
      </c>
      <c r="F74" s="14">
        <f ca="1">ALL!J53</f>
        <v>-18.670000000000002</v>
      </c>
      <c r="G74" s="14">
        <f ca="1">ALL!K53</f>
        <v>-18.75</v>
      </c>
      <c r="H74" s="14">
        <f ca="1">ALL!L53</f>
        <v>-18.78</v>
      </c>
      <c r="I74" s="14">
        <f ca="1">ALL!M53</f>
        <v>-18.809999999999999</v>
      </c>
      <c r="J74" s="14">
        <f ca="1">ALL!N53</f>
        <v>-18.829999999999998</v>
      </c>
      <c r="K74" s="14">
        <f ca="1">ALL!O53</f>
        <v>-18.86</v>
      </c>
      <c r="L74" s="14">
        <f ca="1">ALL!P53</f>
        <v>-18.899999999999999</v>
      </c>
      <c r="M74" s="14">
        <f ca="1">ALL!Q53</f>
        <v>-18.93</v>
      </c>
      <c r="N74" s="14">
        <f ca="1">ALL!R53</f>
        <v>-18.96</v>
      </c>
      <c r="O74" s="14">
        <f ca="1">ALL!S53</f>
        <v>-18.989999999999998</v>
      </c>
      <c r="P74" s="14">
        <f ca="1">ALL!T53</f>
        <v>-19.03</v>
      </c>
      <c r="Q74" s="14">
        <f ca="1">ALL!U53</f>
        <v>-19.059999999999999</v>
      </c>
      <c r="R74" s="14">
        <f ca="1">ALL!V53</f>
        <v>-19.100000000000001</v>
      </c>
      <c r="S74" s="14">
        <f ca="1">ALL!W53</f>
        <v>-19.13</v>
      </c>
      <c r="T74" s="14">
        <f ca="1">ALL!X53</f>
        <v>-19.170000000000002</v>
      </c>
      <c r="U74" s="14">
        <f ca="1">ALL!Y53</f>
        <v>-19.2</v>
      </c>
      <c r="V74" s="14">
        <f ca="1">ALL!Z53</f>
        <v>-19.23</v>
      </c>
      <c r="W74" s="14">
        <f ca="1">ALL!AA53</f>
        <v>-19.27</v>
      </c>
      <c r="X74" s="14">
        <f ca="1">ALL!AB53</f>
        <v>-19.38</v>
      </c>
      <c r="Y74" s="14">
        <f ca="1">ALL!AC53</f>
        <v>-19.510000000000002</v>
      </c>
      <c r="Z74" s="14">
        <f ca="1">ALL!AD53</f>
        <v>-19.55</v>
      </c>
      <c r="AA74" s="14">
        <f ca="1">ALL!AE53</f>
        <v>-19.579999999999998</v>
      </c>
      <c r="AB74" s="14">
        <f ca="1">ALL!AF53</f>
        <v>-19.61</v>
      </c>
      <c r="AC74" s="14">
        <f ca="1">ALL!AG53</f>
        <v>-19.64</v>
      </c>
      <c r="AD74" s="14">
        <f ca="1">ALL!AH53</f>
        <v>-19.670000000000002</v>
      </c>
      <c r="AE74" s="14">
        <f ca="1">ALL!AI53</f>
        <v>-19.7</v>
      </c>
      <c r="AF74" s="14">
        <f ca="1">ALL!AJ53</f>
        <v>-19.73</v>
      </c>
      <c r="AG74" s="14">
        <f ca="1">ALL!AK53</f>
        <v>-19.760000000000002</v>
      </c>
      <c r="AH74" s="14">
        <f ca="1">ALL!AL53</f>
        <v>-19.88</v>
      </c>
      <c r="AI74" s="14">
        <f>ALL!AM53</f>
        <v>0</v>
      </c>
      <c r="CQ74" s="55">
        <v>0</v>
      </c>
    </row>
    <row r="75" spans="1:95" ht="21.75" hidden="1" outlineLevel="1" thickBot="1" x14ac:dyDescent="0.4">
      <c r="A75" s="36" t="str">
        <f>ALL!E54</f>
        <v>(1)GeSe2</v>
      </c>
      <c r="B75" s="16">
        <f ca="1">ALL!F54</f>
        <v>-64.099999999999994</v>
      </c>
      <c r="C75" s="16">
        <f ca="1">ALL!G54</f>
        <v>-61.3</v>
      </c>
      <c r="D75" s="16">
        <f ca="1">ALL!H54</f>
        <v>-58.92</v>
      </c>
      <c r="E75" s="16">
        <f ca="1">ALL!I54</f>
        <v>-57.02</v>
      </c>
      <c r="F75" s="14">
        <f ca="1">ALL!J54</f>
        <v>-55.54</v>
      </c>
      <c r="G75" s="14">
        <f ca="1">ALL!K54</f>
        <v>-52.265999999999998</v>
      </c>
      <c r="H75" s="14">
        <f ca="1">ALL!L54</f>
        <v>-51.777000000000001</v>
      </c>
      <c r="I75" s="14">
        <f ca="1">ALL!M54</f>
        <v>-51.394000000000005</v>
      </c>
      <c r="J75" s="14">
        <f ca="1">ALL!N54</f>
        <v>-51.119</v>
      </c>
      <c r="K75" s="14">
        <f ca="1">ALL!O54</f>
        <v>-50.99</v>
      </c>
      <c r="L75" s="14">
        <f ca="1">ALL!P54</f>
        <v>-51.027000000000001</v>
      </c>
      <c r="M75" s="14">
        <f ca="1">ALL!Q54</f>
        <v>-51.238</v>
      </c>
      <c r="N75" s="14">
        <f ca="1">ALL!R54</f>
        <v>-51.589999999999996</v>
      </c>
      <c r="O75" s="14">
        <f ca="1">ALL!S54</f>
        <v>-52.012</v>
      </c>
      <c r="P75" s="14">
        <f ca="1">ALL!T54</f>
        <v>-52.480999999999995</v>
      </c>
      <c r="Q75" s="14">
        <f ca="1">ALL!U54</f>
        <v>-52.966000000000001</v>
      </c>
      <c r="R75" s="14">
        <f ca="1">ALL!V54</f>
        <v>-53.478000000000002</v>
      </c>
      <c r="S75" s="14">
        <f ca="1">ALL!W54</f>
        <v>-53.975000000000001</v>
      </c>
      <c r="T75" s="14">
        <f ca="1">ALL!X54</f>
        <v>-54.493000000000002</v>
      </c>
      <c r="U75" s="14">
        <f ca="1">ALL!Y54</f>
        <v>-54.993000000000002</v>
      </c>
      <c r="V75" s="14">
        <f ca="1">ALL!Z54</f>
        <v>-55.494</v>
      </c>
      <c r="W75" s="14">
        <f ca="1">ALL!AA54</f>
        <v>-55.998000000000005</v>
      </c>
      <c r="X75" s="14">
        <f ca="1">ALL!AB54</f>
        <v>-57.972000000000001</v>
      </c>
      <c r="Y75" s="14">
        <f ca="1">ALL!AC54</f>
        <v>-59.868000000000002</v>
      </c>
      <c r="Z75" s="14">
        <f ca="1">ALL!AD54</f>
        <v>-60.350999999999999</v>
      </c>
      <c r="AA75" s="14">
        <f ca="1">ALL!AE54</f>
        <v>-60.814</v>
      </c>
      <c r="AB75" s="14">
        <f ca="1">ALL!AF54</f>
        <v>-61.276000000000003</v>
      </c>
      <c r="AC75" s="14">
        <f ca="1">ALL!AG54</f>
        <v>-61.717999999999996</v>
      </c>
      <c r="AD75" s="14">
        <f ca="1">ALL!AH54</f>
        <v>-62.179000000000002</v>
      </c>
      <c r="AE75" s="14">
        <f ca="1">ALL!AI54</f>
        <v>-62.591000000000001</v>
      </c>
      <c r="AF75" s="14">
        <f ca="1">ALL!AJ54</f>
        <v>-63.003999999999998</v>
      </c>
      <c r="AG75" s="14">
        <f ca="1">ALL!AK54</f>
        <v>-63.417000000000002</v>
      </c>
      <c r="AH75" s="14">
        <f ca="1">ALL!AL54</f>
        <v>-65.11399999999999</v>
      </c>
      <c r="AI75" s="14">
        <f>ALL!AM54</f>
        <v>0</v>
      </c>
      <c r="CQ75" s="55">
        <v>0</v>
      </c>
    </row>
    <row r="76" spans="1:95" ht="21.75" hidden="1" outlineLevel="1" thickBot="1" x14ac:dyDescent="0.4">
      <c r="A76" s="36" t="str">
        <f>ALL!E55</f>
        <v>(1)GeSe</v>
      </c>
      <c r="B76" s="16">
        <f ca="1">ALL!F55</f>
        <v>-40.54</v>
      </c>
      <c r="C76" s="16">
        <f ca="1">ALL!G55</f>
        <v>-38.769999999999996</v>
      </c>
      <c r="D76" s="16">
        <f ca="1">ALL!H55</f>
        <v>-37.17</v>
      </c>
      <c r="E76" s="16">
        <f ca="1">ALL!I55</f>
        <v>-35.74</v>
      </c>
      <c r="F76" s="14">
        <f ca="1">ALL!J55</f>
        <v>-34.450000000000003</v>
      </c>
      <c r="G76" s="14">
        <f ca="1">ALL!K55</f>
        <v>-30.616</v>
      </c>
      <c r="H76" s="14">
        <f ca="1">ALL!L55</f>
        <v>-29.927</v>
      </c>
      <c r="I76" s="14">
        <f ca="1">ALL!M55</f>
        <v>-29.364000000000001</v>
      </c>
      <c r="J76" s="14">
        <f ca="1">ALL!N55</f>
        <v>-28.939</v>
      </c>
      <c r="K76" s="14">
        <f ca="1">ALL!O55</f>
        <v>-28.67</v>
      </c>
      <c r="L76" s="14">
        <f ca="1">ALL!P55</f>
        <v>-28.556999999999999</v>
      </c>
      <c r="M76" s="14">
        <f ca="1">ALL!Q55</f>
        <v>-28.587999999999997</v>
      </c>
      <c r="N76" s="14">
        <f ca="1">ALL!R55</f>
        <v>-28.73</v>
      </c>
      <c r="O76" s="14">
        <f ca="1">ALL!S55</f>
        <v>-28.931999999999999</v>
      </c>
      <c r="P76" s="14">
        <f ca="1">ALL!T55</f>
        <v>-29.170999999999999</v>
      </c>
      <c r="Q76" s="14">
        <f ca="1">ALL!U55</f>
        <v>-29.425999999999998</v>
      </c>
      <c r="R76" s="14">
        <f ca="1">ALL!V55</f>
        <v>-29.698</v>
      </c>
      <c r="S76" s="14">
        <f ca="1">ALL!W55</f>
        <v>-29.965000000000003</v>
      </c>
      <c r="T76" s="14">
        <f ca="1">ALL!X55</f>
        <v>-30.243000000000002</v>
      </c>
      <c r="U76" s="14">
        <f ca="1">ALL!Y55</f>
        <v>-30.513000000000002</v>
      </c>
      <c r="V76" s="14">
        <f ca="1">ALL!Z55</f>
        <v>-30.783999999999999</v>
      </c>
      <c r="W76" s="14">
        <f ca="1">ALL!AA55</f>
        <v>-31.058</v>
      </c>
      <c r="X76" s="14">
        <f ca="1">ALL!AB55</f>
        <v>-32.152000000000001</v>
      </c>
      <c r="Y76" s="14">
        <f ca="1">ALL!AC55</f>
        <v>-33.188000000000002</v>
      </c>
      <c r="Z76" s="14">
        <f ca="1">ALL!AD55</f>
        <v>-33.451000000000001</v>
      </c>
      <c r="AA76" s="14">
        <f ca="1">ALL!AE55</f>
        <v>-33.704000000000001</v>
      </c>
      <c r="AB76" s="14">
        <f ca="1">ALL!AF55</f>
        <v>-33.956000000000003</v>
      </c>
      <c r="AC76" s="14">
        <f ca="1">ALL!AG55</f>
        <v>-34.198</v>
      </c>
      <c r="AD76" s="14">
        <f ca="1">ALL!AH55</f>
        <v>-34.448999999999998</v>
      </c>
      <c r="AE76" s="14">
        <f ca="1">ALL!AI55</f>
        <v>-34.670999999999999</v>
      </c>
      <c r="AF76" s="14">
        <f ca="1">ALL!AJ55</f>
        <v>-34.893999999999998</v>
      </c>
      <c r="AG76" s="14">
        <f ca="1">ALL!AK55</f>
        <v>-35.117000000000004</v>
      </c>
      <c r="AH76" s="14">
        <f ca="1">ALL!AL55</f>
        <v>-36.033999999999999</v>
      </c>
      <c r="AI76" s="14">
        <f>ALL!AM55</f>
        <v>0</v>
      </c>
      <c r="CQ76" s="55">
        <v>0</v>
      </c>
    </row>
    <row r="77" spans="1:95" ht="21.75" hidden="1" outlineLevel="1" thickBot="1" x14ac:dyDescent="0.4">
      <c r="A77" s="36" t="str">
        <f>ALL!E56</f>
        <v>(1)Ga2Se3</v>
      </c>
      <c r="B77" s="16">
        <f ca="1">ALL!F56</f>
        <v>-204.92000000000002</v>
      </c>
      <c r="C77" s="16">
        <f ca="1">ALL!G56</f>
        <v>-194.63</v>
      </c>
      <c r="D77" s="16">
        <f ca="1">ALL!H56</f>
        <v>-185.49</v>
      </c>
      <c r="E77" s="16">
        <f ca="1">ALL!I56</f>
        <v>-177.36</v>
      </c>
      <c r="F77" s="14">
        <f ca="1">ALL!J56</f>
        <v>-170.07</v>
      </c>
      <c r="G77" s="14">
        <f ca="1">ALL!K56</f>
        <v>-147.02999999999997</v>
      </c>
      <c r="H77" s="14">
        <f ca="1">ALL!L56</f>
        <v>-142.45000000000002</v>
      </c>
      <c r="I77" s="14">
        <f ca="1">ALL!M56</f>
        <v>-138.25</v>
      </c>
      <c r="J77" s="14">
        <f ca="1">ALL!N56</f>
        <v>-134.39999999999998</v>
      </c>
      <c r="K77" s="14">
        <f ca="1">ALL!O56</f>
        <v>-130.84</v>
      </c>
      <c r="L77" s="14">
        <f ca="1">ALL!P56</f>
        <v>-127.55</v>
      </c>
      <c r="M77" s="14">
        <f ca="1">ALL!Q56</f>
        <v>-124.50999999999999</v>
      </c>
      <c r="N77" s="14">
        <f ca="1">ALL!R56</f>
        <v>-121.66</v>
      </c>
      <c r="O77" s="14">
        <f ca="1">ALL!S56</f>
        <v>-118.97999999999999</v>
      </c>
      <c r="P77" s="14">
        <f ca="1">ALL!T56</f>
        <v>-116.47</v>
      </c>
      <c r="Q77" s="14">
        <f ca="1">ALL!U56</f>
        <v>-114.1</v>
      </c>
      <c r="R77" s="14">
        <f ca="1">ALL!V56</f>
        <v>-111.88</v>
      </c>
      <c r="S77" s="14">
        <f ca="1">ALL!W56</f>
        <v>-109.77000000000001</v>
      </c>
      <c r="T77" s="14">
        <f ca="1">ALL!X56</f>
        <v>-107.83</v>
      </c>
      <c r="U77" s="14">
        <f ca="1">ALL!Y56</f>
        <v>-105.96000000000001</v>
      </c>
      <c r="V77" s="14">
        <f ca="1">ALL!Z56</f>
        <v>-104.22999999999999</v>
      </c>
      <c r="W77" s="14">
        <f ca="1">ALL!AA56</f>
        <v>-102.64000000000001</v>
      </c>
      <c r="X77" s="14">
        <f ca="1">ALL!AB56</f>
        <v>-99.04</v>
      </c>
      <c r="Y77" s="14">
        <f ca="1">ALL!AC56</f>
        <v>-98.437999999999988</v>
      </c>
      <c r="Z77" s="14">
        <f ca="1">ALL!AD56</f>
        <v>-98.447999999999993</v>
      </c>
      <c r="AA77" s="14">
        <f ca="1">ALL!AE56</f>
        <v>-98.475999999999999</v>
      </c>
      <c r="AB77" s="14">
        <f ca="1">ALL!AF56</f>
        <v>-98.550000000000011</v>
      </c>
      <c r="AC77" s="14">
        <f ca="1">ALL!AG56</f>
        <v>-98.632000000000005</v>
      </c>
      <c r="AD77" s="14">
        <f ca="1">ALL!AH56</f>
        <v>-98.798000000000002</v>
      </c>
      <c r="AE77" s="14">
        <f ca="1">ALL!AI56</f>
        <v>-99.472000000000008</v>
      </c>
      <c r="AF77" s="14">
        <f ca="1">ALL!AJ56</f>
        <v>-100.16</v>
      </c>
      <c r="AG77" s="14">
        <f ca="1">ALL!AK56</f>
        <v>-100.84400000000001</v>
      </c>
      <c r="AH77" s="14">
        <f ca="1">ALL!AL56</f>
        <v>-103.63399999999999</v>
      </c>
      <c r="AI77" s="14">
        <f>ALL!AM56</f>
        <v>0</v>
      </c>
      <c r="CQ77" s="55">
        <v>0</v>
      </c>
    </row>
    <row r="78" spans="1:95" ht="21.75" hidden="1" outlineLevel="1" thickBot="1" x14ac:dyDescent="0.4">
      <c r="A78" s="36" t="str">
        <f>ALL!E57</f>
        <v>(1)Ga2Se</v>
      </c>
      <c r="B78" s="16">
        <f ca="1">ALL!F57</f>
        <v>-157.80000000000001</v>
      </c>
      <c r="C78" s="16">
        <f ca="1">ALL!G57</f>
        <v>-149.57</v>
      </c>
      <c r="D78" s="16">
        <f ca="1">ALL!H57</f>
        <v>-141.99</v>
      </c>
      <c r="E78" s="16">
        <f ca="1">ALL!I57</f>
        <v>-134.80000000000001</v>
      </c>
      <c r="F78" s="14">
        <f ca="1">ALL!J57</f>
        <v>-127.89</v>
      </c>
      <c r="G78" s="14">
        <f ca="1">ALL!K57</f>
        <v>-103.72999999999999</v>
      </c>
      <c r="H78" s="14">
        <f ca="1">ALL!L57</f>
        <v>-98.75</v>
      </c>
      <c r="I78" s="14">
        <f ca="1">ALL!M57</f>
        <v>-94.19</v>
      </c>
      <c r="J78" s="14">
        <f ca="1">ALL!N57</f>
        <v>-90.039999999999992</v>
      </c>
      <c r="K78" s="14">
        <f ca="1">ALL!O57</f>
        <v>-86.2</v>
      </c>
      <c r="L78" s="14">
        <f ca="1">ALL!P57</f>
        <v>-82.61</v>
      </c>
      <c r="M78" s="14">
        <f ca="1">ALL!Q57</f>
        <v>-79.210000000000008</v>
      </c>
      <c r="N78" s="14">
        <f ca="1">ALL!R57</f>
        <v>-75.94</v>
      </c>
      <c r="O78" s="14">
        <f ca="1">ALL!S57</f>
        <v>-72.819999999999993</v>
      </c>
      <c r="P78" s="14">
        <f ca="1">ALL!T57</f>
        <v>-69.849999999999994</v>
      </c>
      <c r="Q78" s="14">
        <f ca="1">ALL!U57</f>
        <v>-67.02</v>
      </c>
      <c r="R78" s="14">
        <f ca="1">ALL!V57</f>
        <v>-64.319999999999993</v>
      </c>
      <c r="S78" s="14">
        <f ca="1">ALL!W57</f>
        <v>-61.75</v>
      </c>
      <c r="T78" s="14">
        <f ca="1">ALL!X57</f>
        <v>-59.33</v>
      </c>
      <c r="U78" s="14">
        <f ca="1">ALL!Y57</f>
        <v>-57</v>
      </c>
      <c r="V78" s="14">
        <f ca="1">ALL!Z57</f>
        <v>-54.81</v>
      </c>
      <c r="W78" s="14">
        <f ca="1">ALL!AA57</f>
        <v>-52.760000000000005</v>
      </c>
      <c r="X78" s="14">
        <f ca="1">ALL!AB57</f>
        <v>-47.4</v>
      </c>
      <c r="Y78" s="14">
        <f ca="1">ALL!AC57</f>
        <v>-45.078000000000003</v>
      </c>
      <c r="Z78" s="14">
        <f ca="1">ALL!AD57</f>
        <v>-44.647999999999996</v>
      </c>
      <c r="AA78" s="14">
        <f ca="1">ALL!AE57</f>
        <v>-44.256</v>
      </c>
      <c r="AB78" s="14">
        <f ca="1">ALL!AF57</f>
        <v>-43.91</v>
      </c>
      <c r="AC78" s="14">
        <f ca="1">ALL!AG57</f>
        <v>-43.591999999999999</v>
      </c>
      <c r="AD78" s="14">
        <f ca="1">ALL!AH57</f>
        <v>-43.338000000000001</v>
      </c>
      <c r="AE78" s="14">
        <f ca="1">ALL!AI57</f>
        <v>-43.632000000000005</v>
      </c>
      <c r="AF78" s="14">
        <f ca="1">ALL!AJ57</f>
        <v>-43.94</v>
      </c>
      <c r="AG78" s="14">
        <f ca="1">ALL!AK57</f>
        <v>-44.244</v>
      </c>
      <c r="AH78" s="14">
        <f ca="1">ALL!AL57</f>
        <v>-45.473999999999997</v>
      </c>
      <c r="AI78" s="14">
        <f>ALL!AM57</f>
        <v>0</v>
      </c>
      <c r="CQ78" s="55">
        <v>0</v>
      </c>
    </row>
    <row r="79" spans="1:95" ht="21.75" hidden="1" outlineLevel="1" thickBot="1" x14ac:dyDescent="0.4">
      <c r="A79" s="36" t="str">
        <f>ALL!E58</f>
        <v>(1)Ge</v>
      </c>
      <c r="B79" s="16">
        <f ca="1">ALL!F58</f>
        <v>-16.98</v>
      </c>
      <c r="C79" s="16">
        <f ca="1">ALL!G58</f>
        <v>-16.239999999999998</v>
      </c>
      <c r="D79" s="16">
        <f ca="1">ALL!H58</f>
        <v>-15.42</v>
      </c>
      <c r="E79" s="16">
        <f ca="1">ALL!I58</f>
        <v>-14.46</v>
      </c>
      <c r="F79" s="14">
        <f ca="1">ALL!J58</f>
        <v>-13.36</v>
      </c>
      <c r="G79" s="14">
        <f ca="1">ALL!K58</f>
        <v>-8.9659999999999993</v>
      </c>
      <c r="H79" s="14">
        <f ca="1">ALL!L58</f>
        <v>-8.077</v>
      </c>
      <c r="I79" s="14">
        <f ca="1">ALL!M58</f>
        <v>-7.3339999999999996</v>
      </c>
      <c r="J79" s="14">
        <f ca="1">ALL!N58</f>
        <v>-6.7590000000000003</v>
      </c>
      <c r="K79" s="14">
        <f ca="1">ALL!O58</f>
        <v>-6.35</v>
      </c>
      <c r="L79" s="14">
        <f ca="1">ALL!P58</f>
        <v>-6.0869999999999997</v>
      </c>
      <c r="M79" s="14">
        <f ca="1">ALL!Q58</f>
        <v>-5.9379999999999997</v>
      </c>
      <c r="N79" s="14">
        <f ca="1">ALL!R58</f>
        <v>-5.87</v>
      </c>
      <c r="O79" s="14">
        <f ca="1">ALL!S58</f>
        <v>-5.8520000000000003</v>
      </c>
      <c r="P79" s="14">
        <f ca="1">ALL!T58</f>
        <v>-5.8609999999999998</v>
      </c>
      <c r="Q79" s="14">
        <f ca="1">ALL!U58</f>
        <v>-5.8860000000000001</v>
      </c>
      <c r="R79" s="14">
        <f ca="1">ALL!V58</f>
        <v>-5.9180000000000001</v>
      </c>
      <c r="S79" s="14">
        <f ca="1">ALL!W58</f>
        <v>-5.9550000000000001</v>
      </c>
      <c r="T79" s="14">
        <f ca="1">ALL!X58</f>
        <v>-5.9930000000000003</v>
      </c>
      <c r="U79" s="14">
        <f ca="1">ALL!Y58</f>
        <v>-6.0330000000000004</v>
      </c>
      <c r="V79" s="14">
        <f ca="1">ALL!Z58</f>
        <v>-6.0739999999999998</v>
      </c>
      <c r="W79" s="14">
        <f ca="1">ALL!AA58</f>
        <v>-6.1180000000000003</v>
      </c>
      <c r="X79" s="14">
        <f ca="1">ALL!AB58</f>
        <v>-6.3319999999999999</v>
      </c>
      <c r="Y79" s="14">
        <f ca="1">ALL!AC58</f>
        <v>-6.508</v>
      </c>
      <c r="Z79" s="14">
        <f ca="1">ALL!AD58</f>
        <v>-6.5510000000000002</v>
      </c>
      <c r="AA79" s="14">
        <f ca="1">ALL!AE58</f>
        <v>-6.5940000000000003</v>
      </c>
      <c r="AB79" s="14">
        <f ca="1">ALL!AF58</f>
        <v>-6.6360000000000001</v>
      </c>
      <c r="AC79" s="14">
        <f ca="1">ALL!AG58</f>
        <v>-6.6779999999999999</v>
      </c>
      <c r="AD79" s="14">
        <f ca="1">ALL!AH58</f>
        <v>-6.7190000000000003</v>
      </c>
      <c r="AE79" s="14">
        <f ca="1">ALL!AI58</f>
        <v>-6.7510000000000003</v>
      </c>
      <c r="AF79" s="14">
        <f ca="1">ALL!AJ58</f>
        <v>-6.7839999999999998</v>
      </c>
      <c r="AG79" s="14">
        <f ca="1">ALL!AK58</f>
        <v>-6.8170000000000002</v>
      </c>
      <c r="AH79" s="14">
        <f ca="1">ALL!AL58</f>
        <v>-6.9539999999999997</v>
      </c>
      <c r="AI79" s="14">
        <f>ALL!AM58</f>
        <v>0</v>
      </c>
      <c r="CQ79" s="55">
        <v>0</v>
      </c>
    </row>
    <row r="80" spans="1:95" ht="21.75" hidden="1" outlineLevel="1" thickBot="1" x14ac:dyDescent="0.4">
      <c r="A80" s="36" t="str">
        <f>ALL!E59</f>
        <v>(1)Ga</v>
      </c>
      <c r="B80" s="16">
        <f ca="1">ALL!F59</f>
        <v>-67.12</v>
      </c>
      <c r="C80" s="16">
        <f ca="1">ALL!G59</f>
        <v>-63.52</v>
      </c>
      <c r="D80" s="16">
        <f ca="1">ALL!H59</f>
        <v>-60.12</v>
      </c>
      <c r="E80" s="16">
        <f ca="1">ALL!I59</f>
        <v>-56.76</v>
      </c>
      <c r="F80" s="14">
        <f ca="1">ALL!J59</f>
        <v>-53.4</v>
      </c>
      <c r="G80" s="14">
        <f ca="1">ALL!K59</f>
        <v>-41.04</v>
      </c>
      <c r="H80" s="14">
        <f ca="1">ALL!L59</f>
        <v>-38.450000000000003</v>
      </c>
      <c r="I80" s="14">
        <f ca="1">ALL!M59</f>
        <v>-36.08</v>
      </c>
      <c r="J80" s="14">
        <f ca="1">ALL!N59</f>
        <v>-33.93</v>
      </c>
      <c r="K80" s="14">
        <f ca="1">ALL!O59</f>
        <v>-31.94</v>
      </c>
      <c r="L80" s="14">
        <f ca="1">ALL!P59</f>
        <v>-30.07</v>
      </c>
      <c r="M80" s="14">
        <f ca="1">ALL!Q59</f>
        <v>-28.28</v>
      </c>
      <c r="N80" s="14">
        <f ca="1">ALL!R59</f>
        <v>-26.54</v>
      </c>
      <c r="O80" s="14">
        <f ca="1">ALL!S59</f>
        <v>-24.87</v>
      </c>
      <c r="P80" s="14">
        <f ca="1">ALL!T59</f>
        <v>-23.27</v>
      </c>
      <c r="Q80" s="14">
        <f ca="1">ALL!U59</f>
        <v>-21.74</v>
      </c>
      <c r="R80" s="14">
        <f ca="1">ALL!V59</f>
        <v>-20.27</v>
      </c>
      <c r="S80" s="14">
        <f ca="1">ALL!W59</f>
        <v>-18.87</v>
      </c>
      <c r="T80" s="14">
        <f ca="1">ALL!X59</f>
        <v>-17.54</v>
      </c>
      <c r="U80" s="14">
        <f ca="1">ALL!Y59</f>
        <v>-16.260000000000002</v>
      </c>
      <c r="V80" s="14">
        <f ca="1">ALL!Z59</f>
        <v>-15.05</v>
      </c>
      <c r="W80" s="14">
        <f ca="1">ALL!AA59</f>
        <v>-13.91</v>
      </c>
      <c r="X80" s="14">
        <f ca="1">ALL!AB59</f>
        <v>-10.79</v>
      </c>
      <c r="Y80" s="14">
        <f ca="1">ALL!AC59</f>
        <v>-9.1989999999999998</v>
      </c>
      <c r="Z80" s="14">
        <f ca="1">ALL!AD59</f>
        <v>-8.8740000000000006</v>
      </c>
      <c r="AA80" s="14">
        <f ca="1">ALL!AE59</f>
        <v>-8.5730000000000004</v>
      </c>
      <c r="AB80" s="14">
        <f ca="1">ALL!AF59</f>
        <v>-8.2949999999999999</v>
      </c>
      <c r="AC80" s="14">
        <f ca="1">ALL!AG59</f>
        <v>-8.0359999999999996</v>
      </c>
      <c r="AD80" s="14">
        <f ca="1">ALL!AH59</f>
        <v>-7.8040000000000003</v>
      </c>
      <c r="AE80" s="14">
        <f ca="1">ALL!AI59</f>
        <v>-7.8559999999999999</v>
      </c>
      <c r="AF80" s="14">
        <f ca="1">ALL!AJ59</f>
        <v>-7.915</v>
      </c>
      <c r="AG80" s="14">
        <f ca="1">ALL!AK59</f>
        <v>-7.9720000000000004</v>
      </c>
      <c r="AH80" s="14">
        <f ca="1">ALL!AL59</f>
        <v>-8.1969999999999992</v>
      </c>
      <c r="AI80" s="14">
        <f>ALL!AM59</f>
        <v>0</v>
      </c>
      <c r="CQ80" s="55">
        <v>0</v>
      </c>
    </row>
    <row r="81" spans="1:95" ht="21.75" hidden="1" outlineLevel="1" thickBot="1" x14ac:dyDescent="0.4">
      <c r="A81" s="36" t="str">
        <f>ALL!E60</f>
        <v>(1)Se</v>
      </c>
      <c r="B81" s="16">
        <f ca="1">ALL!F60</f>
        <v>-23.56</v>
      </c>
      <c r="C81" s="16">
        <f ca="1">ALL!G60</f>
        <v>-22.53</v>
      </c>
      <c r="D81" s="16">
        <f ca="1">ALL!H60</f>
        <v>-21.75</v>
      </c>
      <c r="E81" s="16">
        <f ca="1">ALL!I60</f>
        <v>-21.28</v>
      </c>
      <c r="F81" s="14">
        <f ca="1">ALL!J60</f>
        <v>-21.09</v>
      </c>
      <c r="G81" s="14">
        <f ca="1">ALL!K60</f>
        <v>-21.65</v>
      </c>
      <c r="H81" s="14">
        <f ca="1">ALL!L60</f>
        <v>-21.85</v>
      </c>
      <c r="I81" s="14">
        <f ca="1">ALL!M60</f>
        <v>-22.03</v>
      </c>
      <c r="J81" s="14">
        <f ca="1">ALL!N60</f>
        <v>-22.18</v>
      </c>
      <c r="K81" s="14">
        <f ca="1">ALL!O60</f>
        <v>-22.32</v>
      </c>
      <c r="L81" s="14">
        <f ca="1">ALL!P60</f>
        <v>-22.47</v>
      </c>
      <c r="M81" s="14">
        <f ca="1">ALL!Q60</f>
        <v>-22.65</v>
      </c>
      <c r="N81" s="14">
        <f ca="1">ALL!R60</f>
        <v>-22.86</v>
      </c>
      <c r="O81" s="14">
        <f ca="1">ALL!S60</f>
        <v>-23.08</v>
      </c>
      <c r="P81" s="14">
        <f ca="1">ALL!T60</f>
        <v>-23.31</v>
      </c>
      <c r="Q81" s="14">
        <f ca="1">ALL!U60</f>
        <v>-23.54</v>
      </c>
      <c r="R81" s="14">
        <f ca="1">ALL!V60</f>
        <v>-23.78</v>
      </c>
      <c r="S81" s="14">
        <f ca="1">ALL!W60</f>
        <v>-24.01</v>
      </c>
      <c r="T81" s="14">
        <f ca="1">ALL!X60</f>
        <v>-24.25</v>
      </c>
      <c r="U81" s="14">
        <f ca="1">ALL!Y60</f>
        <v>-24.48</v>
      </c>
      <c r="V81" s="14">
        <f ca="1">ALL!Z60</f>
        <v>-24.71</v>
      </c>
      <c r="W81" s="14">
        <f ca="1">ALL!AA60</f>
        <v>-24.94</v>
      </c>
      <c r="X81" s="14">
        <f ca="1">ALL!AB60</f>
        <v>-25.82</v>
      </c>
      <c r="Y81" s="14">
        <f ca="1">ALL!AC60</f>
        <v>-26.68</v>
      </c>
      <c r="Z81" s="14">
        <f ca="1">ALL!AD60</f>
        <v>-26.9</v>
      </c>
      <c r="AA81" s="14">
        <f ca="1">ALL!AE60</f>
        <v>-27.11</v>
      </c>
      <c r="AB81" s="14">
        <f ca="1">ALL!AF60</f>
        <v>-27.32</v>
      </c>
      <c r="AC81" s="14">
        <f ca="1">ALL!AG60</f>
        <v>-27.52</v>
      </c>
      <c r="AD81" s="14">
        <f ca="1">ALL!AH60</f>
        <v>-27.73</v>
      </c>
      <c r="AE81" s="14">
        <f ca="1">ALL!AI60</f>
        <v>-27.92</v>
      </c>
      <c r="AF81" s="14">
        <f ca="1">ALL!AJ60</f>
        <v>-28.11</v>
      </c>
      <c r="AG81" s="14">
        <f ca="1">ALL!AK60</f>
        <v>-28.3</v>
      </c>
      <c r="AH81" s="14">
        <f ca="1">ALL!AL60</f>
        <v>-29.08</v>
      </c>
      <c r="AI81" s="14">
        <f>ALL!AM60</f>
        <v>0</v>
      </c>
      <c r="CQ81" s="55">
        <v>0</v>
      </c>
    </row>
    <row r="82" spans="1:95" ht="21.75" hidden="1" outlineLevel="1" thickBot="1" x14ac:dyDescent="0.4">
      <c r="A82" s="36" t="str">
        <f>ALL!E61</f>
        <v>(1)Se[a]</v>
      </c>
      <c r="B82" s="16">
        <f ca="1">ALL!F61</f>
        <v>-23.56</v>
      </c>
      <c r="C82" s="16">
        <f ca="1">ALL!G61</f>
        <v>-22.53</v>
      </c>
      <c r="D82" s="16">
        <f ca="1">ALL!H61</f>
        <v>-21.75</v>
      </c>
      <c r="E82" s="16">
        <f ca="1">ALL!I61</f>
        <v>-21.28</v>
      </c>
      <c r="F82" s="14">
        <f ca="1">ALL!J61</f>
        <v>-21.09</v>
      </c>
      <c r="G82" s="14">
        <f ca="1">ALL!K61</f>
        <v>-21.65</v>
      </c>
      <c r="H82" s="14">
        <f ca="1">ALL!L61</f>
        <v>-21.85</v>
      </c>
      <c r="I82" s="14">
        <f ca="1">ALL!M61</f>
        <v>-22.03</v>
      </c>
      <c r="J82" s="14">
        <f ca="1">ALL!N61</f>
        <v>-22.18</v>
      </c>
      <c r="K82" s="14">
        <f ca="1">ALL!O61</f>
        <v>-22.32</v>
      </c>
      <c r="L82" s="14">
        <f ca="1">ALL!P61</f>
        <v>-22.47</v>
      </c>
      <c r="M82" s="14">
        <f ca="1">ALL!Q61</f>
        <v>-22.65</v>
      </c>
      <c r="N82" s="14">
        <f ca="1">ALL!R61</f>
        <v>-22.86</v>
      </c>
      <c r="O82" s="14">
        <f ca="1">ALL!S61</f>
        <v>-23.08</v>
      </c>
      <c r="P82" s="14">
        <f ca="1">ALL!T61</f>
        <v>-23.31</v>
      </c>
      <c r="Q82" s="14">
        <f ca="1">ALL!U61</f>
        <v>-23.54</v>
      </c>
      <c r="R82" s="14">
        <f ca="1">ALL!V61</f>
        <v>-23.78</v>
      </c>
      <c r="S82" s="14">
        <f ca="1">ALL!W61</f>
        <v>-24.01</v>
      </c>
      <c r="T82" s="14">
        <f ca="1">ALL!X61</f>
        <v>-24.25</v>
      </c>
      <c r="U82" s="14">
        <f ca="1">ALL!Y61</f>
        <v>-24.48</v>
      </c>
      <c r="V82" s="14">
        <f ca="1">ALL!Z61</f>
        <v>-24.71</v>
      </c>
      <c r="W82" s="14">
        <f ca="1">ALL!AA61</f>
        <v>-24.94</v>
      </c>
      <c r="X82" s="14">
        <f ca="1">ALL!AB61</f>
        <v>-25.82</v>
      </c>
      <c r="Y82" s="14">
        <f ca="1">ALL!AC61</f>
        <v>-26.68</v>
      </c>
      <c r="Z82" s="14">
        <f ca="1">ALL!AD61</f>
        <v>-26.9</v>
      </c>
      <c r="AA82" s="14">
        <f ca="1">ALL!AE61</f>
        <v>-27.11</v>
      </c>
      <c r="AB82" s="14">
        <f ca="1">ALL!AF61</f>
        <v>-27.32</v>
      </c>
      <c r="AC82" s="14">
        <f ca="1">ALL!AG61</f>
        <v>-27.52</v>
      </c>
      <c r="AD82" s="14">
        <f ca="1">ALL!AH61</f>
        <v>-27.73</v>
      </c>
      <c r="AE82" s="14">
        <f ca="1">ALL!AI61</f>
        <v>-27.92</v>
      </c>
      <c r="AF82" s="14">
        <f ca="1">ALL!AJ61</f>
        <v>-28.11</v>
      </c>
      <c r="AG82" s="14">
        <f ca="1">ALL!AK61</f>
        <v>-28.3</v>
      </c>
      <c r="AH82" s="14">
        <f ca="1">ALL!AL61</f>
        <v>-29.08</v>
      </c>
      <c r="AI82" s="14">
        <f>ALL!AM61</f>
        <v>0</v>
      </c>
      <c r="CQ82" s="55">
        <v>0</v>
      </c>
    </row>
    <row r="83" spans="1:95" ht="21.75" hidden="1" outlineLevel="1" thickBot="1" x14ac:dyDescent="0.4">
      <c r="A83" s="36" t="str">
        <f>ALL!E62</f>
        <v>(1)Se[m]</v>
      </c>
      <c r="B83" s="16">
        <f ca="1">ALL!F62</f>
        <v>-23.56</v>
      </c>
      <c r="C83" s="16">
        <f ca="1">ALL!G62</f>
        <v>-22.53</v>
      </c>
      <c r="D83" s="16">
        <f ca="1">ALL!H62</f>
        <v>-21.75</v>
      </c>
      <c r="E83" s="16">
        <f ca="1">ALL!I62</f>
        <v>-21.28</v>
      </c>
      <c r="F83" s="14">
        <f ca="1">ALL!J62</f>
        <v>-21.09</v>
      </c>
      <c r="G83" s="14">
        <f ca="1">ALL!K62</f>
        <v>-21.65</v>
      </c>
      <c r="H83" s="14">
        <f ca="1">ALL!L62</f>
        <v>-21.85</v>
      </c>
      <c r="I83" s="14">
        <f ca="1">ALL!M62</f>
        <v>-22.03</v>
      </c>
      <c r="J83" s="14">
        <f ca="1">ALL!N62</f>
        <v>-22.18</v>
      </c>
      <c r="K83" s="14">
        <f ca="1">ALL!O62</f>
        <v>-22.32</v>
      </c>
      <c r="L83" s="14">
        <f ca="1">ALL!P62</f>
        <v>-22.47</v>
      </c>
      <c r="M83" s="14">
        <f ca="1">ALL!Q62</f>
        <v>-22.65</v>
      </c>
      <c r="N83" s="14">
        <f ca="1">ALL!R62</f>
        <v>-22.86</v>
      </c>
      <c r="O83" s="14">
        <f ca="1">ALL!S62</f>
        <v>-23.08</v>
      </c>
      <c r="P83" s="14">
        <f ca="1">ALL!T62</f>
        <v>-23.31</v>
      </c>
      <c r="Q83" s="14">
        <f ca="1">ALL!U62</f>
        <v>-23.54</v>
      </c>
      <c r="R83" s="14">
        <f ca="1">ALL!V62</f>
        <v>-23.78</v>
      </c>
      <c r="S83" s="14">
        <f ca="1">ALL!W62</f>
        <v>-24.01</v>
      </c>
      <c r="T83" s="14">
        <f ca="1">ALL!X62</f>
        <v>-24.25</v>
      </c>
      <c r="U83" s="14">
        <f ca="1">ALL!Y62</f>
        <v>-24.48</v>
      </c>
      <c r="V83" s="14">
        <f ca="1">ALL!Z62</f>
        <v>-24.71</v>
      </c>
      <c r="W83" s="14">
        <f ca="1">ALL!AA62</f>
        <v>-24.94</v>
      </c>
      <c r="X83" s="14">
        <f ca="1">ALL!AB62</f>
        <v>-25.82</v>
      </c>
      <c r="Y83" s="14">
        <f ca="1">ALL!AC62</f>
        <v>-26.68</v>
      </c>
      <c r="Z83" s="14">
        <f ca="1">ALL!AD62</f>
        <v>-26.9</v>
      </c>
      <c r="AA83" s="14">
        <f ca="1">ALL!AE62</f>
        <v>-27.11</v>
      </c>
      <c r="AB83" s="14">
        <f ca="1">ALL!AF62</f>
        <v>-27.32</v>
      </c>
      <c r="AC83" s="14">
        <f ca="1">ALL!AG62</f>
        <v>-27.52</v>
      </c>
      <c r="AD83" s="14">
        <f ca="1">ALL!AH62</f>
        <v>-27.73</v>
      </c>
      <c r="AE83" s="14">
        <f ca="1">ALL!AI62</f>
        <v>-27.92</v>
      </c>
      <c r="AF83" s="14">
        <f ca="1">ALL!AJ62</f>
        <v>-28.11</v>
      </c>
      <c r="AG83" s="14">
        <f ca="1">ALL!AK62</f>
        <v>-28.3</v>
      </c>
      <c r="AH83" s="14">
        <f ca="1">ALL!AL62</f>
        <v>-29.08</v>
      </c>
      <c r="AI83" s="14">
        <f>ALL!AM62</f>
        <v>0</v>
      </c>
      <c r="CQ83" s="55">
        <v>0</v>
      </c>
    </row>
    <row r="84" spans="1:95" ht="21.75" hidden="1" outlineLevel="1" thickBot="1" x14ac:dyDescent="0.4">
      <c r="A84" s="36" t="str">
        <f>ALL!E63</f>
        <v>(1)Se[r]</v>
      </c>
      <c r="B84" s="16">
        <f ca="1">ALL!F63</f>
        <v>-23.56</v>
      </c>
      <c r="C84" s="16">
        <f ca="1">ALL!G63</f>
        <v>-22.53</v>
      </c>
      <c r="D84" s="16">
        <f ca="1">ALL!H63</f>
        <v>-21.75</v>
      </c>
      <c r="E84" s="16">
        <f ca="1">ALL!I63</f>
        <v>-21.28</v>
      </c>
      <c r="F84" s="14">
        <f ca="1">ALL!J63</f>
        <v>-21.09</v>
      </c>
      <c r="G84" s="14">
        <f ca="1">ALL!K63</f>
        <v>-21.65</v>
      </c>
      <c r="H84" s="14">
        <f ca="1">ALL!L63</f>
        <v>-21.85</v>
      </c>
      <c r="I84" s="14">
        <f ca="1">ALL!M63</f>
        <v>-22.03</v>
      </c>
      <c r="J84" s="14">
        <f ca="1">ALL!N63</f>
        <v>-22.18</v>
      </c>
      <c r="K84" s="14">
        <f ca="1">ALL!O63</f>
        <v>-22.32</v>
      </c>
      <c r="L84" s="14">
        <f ca="1">ALL!P63</f>
        <v>-22.47</v>
      </c>
      <c r="M84" s="14">
        <f ca="1">ALL!Q63</f>
        <v>-22.65</v>
      </c>
      <c r="N84" s="14">
        <f ca="1">ALL!R63</f>
        <v>-22.86</v>
      </c>
      <c r="O84" s="14">
        <f ca="1">ALL!S63</f>
        <v>-23.08</v>
      </c>
      <c r="P84" s="14">
        <f ca="1">ALL!T63</f>
        <v>-23.31</v>
      </c>
      <c r="Q84" s="14">
        <f ca="1">ALL!U63</f>
        <v>-23.54</v>
      </c>
      <c r="R84" s="14">
        <f ca="1">ALL!V63</f>
        <v>-23.78</v>
      </c>
      <c r="S84" s="14">
        <f ca="1">ALL!W63</f>
        <v>-24.01</v>
      </c>
      <c r="T84" s="14">
        <f ca="1">ALL!X63</f>
        <v>-24.25</v>
      </c>
      <c r="U84" s="14">
        <f ca="1">ALL!Y63</f>
        <v>-24.48</v>
      </c>
      <c r="V84" s="14">
        <f ca="1">ALL!Z63</f>
        <v>-24.71</v>
      </c>
      <c r="W84" s="14">
        <f ca="1">ALL!AA63</f>
        <v>-24.94</v>
      </c>
      <c r="X84" s="14">
        <f ca="1">ALL!AB63</f>
        <v>-25.82</v>
      </c>
      <c r="Y84" s="14">
        <f ca="1">ALL!AC63</f>
        <v>-26.68</v>
      </c>
      <c r="Z84" s="14">
        <f ca="1">ALL!AD63</f>
        <v>-26.9</v>
      </c>
      <c r="AA84" s="14">
        <f ca="1">ALL!AE63</f>
        <v>-27.11</v>
      </c>
      <c r="AB84" s="14">
        <f ca="1">ALL!AF63</f>
        <v>-27.32</v>
      </c>
      <c r="AC84" s="14">
        <f ca="1">ALL!AG63</f>
        <v>-27.52</v>
      </c>
      <c r="AD84" s="14">
        <f ca="1">ALL!AH63</f>
        <v>-27.73</v>
      </c>
      <c r="AE84" s="14">
        <f ca="1">ALL!AI63</f>
        <v>-27.92</v>
      </c>
      <c r="AF84" s="14">
        <f ca="1">ALL!AJ63</f>
        <v>-28.11</v>
      </c>
      <c r="AG84" s="14">
        <f ca="1">ALL!AK63</f>
        <v>-28.3</v>
      </c>
      <c r="AH84" s="14">
        <f ca="1">ALL!AL63</f>
        <v>-29.08</v>
      </c>
      <c r="AI84" s="14">
        <f>ALL!AM63</f>
        <v>0</v>
      </c>
      <c r="CQ84" s="55">
        <v>0</v>
      </c>
    </row>
    <row r="85" spans="1:95" ht="21.75" hidden="1" outlineLevel="1" thickBot="1" x14ac:dyDescent="0.4">
      <c r="A85" s="36" t="str">
        <f>ALL!E64</f>
        <v>(1)Geic]</v>
      </c>
      <c r="B85" s="16">
        <f ca="1">ALL!F64</f>
        <v>-16.98</v>
      </c>
      <c r="C85" s="16">
        <f ca="1">ALL!G64</f>
        <v>-16.239999999999998</v>
      </c>
      <c r="D85" s="16">
        <f ca="1">ALL!H64</f>
        <v>-15.42</v>
      </c>
      <c r="E85" s="16">
        <f ca="1">ALL!I64</f>
        <v>-14.46</v>
      </c>
      <c r="F85" s="14">
        <f ca="1">ALL!J64</f>
        <v>-13.36</v>
      </c>
      <c r="G85" s="14">
        <f ca="1">ALL!K64</f>
        <v>-8.9659999999999993</v>
      </c>
      <c r="H85" s="14">
        <f ca="1">ALL!L64</f>
        <v>-8.077</v>
      </c>
      <c r="I85" s="14">
        <f ca="1">ALL!M64</f>
        <v>-7.3339999999999996</v>
      </c>
      <c r="J85" s="14">
        <f ca="1">ALL!N64</f>
        <v>-6.7590000000000003</v>
      </c>
      <c r="K85" s="14">
        <f ca="1">ALL!O64</f>
        <v>-6.35</v>
      </c>
      <c r="L85" s="14">
        <f ca="1">ALL!P64</f>
        <v>-6.0869999999999997</v>
      </c>
      <c r="M85" s="14">
        <f ca="1">ALL!Q64</f>
        <v>-5.9379999999999997</v>
      </c>
      <c r="N85" s="14">
        <f ca="1">ALL!R64</f>
        <v>-5.87</v>
      </c>
      <c r="O85" s="14">
        <f ca="1">ALL!S64</f>
        <v>-5.8520000000000003</v>
      </c>
      <c r="P85" s="14">
        <f ca="1">ALL!T64</f>
        <v>-5.8609999999999998</v>
      </c>
      <c r="Q85" s="14">
        <f ca="1">ALL!U64</f>
        <v>-5.8860000000000001</v>
      </c>
      <c r="R85" s="14">
        <f ca="1">ALL!V64</f>
        <v>-5.9180000000000001</v>
      </c>
      <c r="S85" s="14">
        <f ca="1">ALL!W64</f>
        <v>-5.9550000000000001</v>
      </c>
      <c r="T85" s="14">
        <f ca="1">ALL!X64</f>
        <v>-5.9930000000000003</v>
      </c>
      <c r="U85" s="14">
        <f ca="1">ALL!Y64</f>
        <v>-6.0330000000000004</v>
      </c>
      <c r="V85" s="14">
        <f ca="1">ALL!Z64</f>
        <v>-6.0739999999999998</v>
      </c>
      <c r="W85" s="14">
        <f ca="1">ALL!AA64</f>
        <v>-6.1180000000000003</v>
      </c>
      <c r="X85" s="14">
        <f ca="1">ALL!AB64</f>
        <v>-6.3319999999999999</v>
      </c>
      <c r="Y85" s="14">
        <f ca="1">ALL!AC64</f>
        <v>-6.508</v>
      </c>
      <c r="Z85" s="14">
        <f ca="1">ALL!AD64</f>
        <v>-6.5510000000000002</v>
      </c>
      <c r="AA85" s="14">
        <f ca="1">ALL!AE64</f>
        <v>-6.5940000000000003</v>
      </c>
      <c r="AB85" s="14">
        <f ca="1">ALL!AF64</f>
        <v>-6.6360000000000001</v>
      </c>
      <c r="AC85" s="14">
        <f ca="1">ALL!AG64</f>
        <v>-6.6779999999999999</v>
      </c>
      <c r="AD85" s="14">
        <f ca="1">ALL!AH64</f>
        <v>-6.7190000000000003</v>
      </c>
      <c r="AE85" s="14">
        <f ca="1">ALL!AI64</f>
        <v>-6.7510000000000003</v>
      </c>
      <c r="AF85" s="14">
        <f ca="1">ALL!AJ64</f>
        <v>-6.7839999999999998</v>
      </c>
      <c r="AG85" s="14">
        <f ca="1">ALL!AK64</f>
        <v>-6.8170000000000002</v>
      </c>
      <c r="AH85" s="14">
        <f ca="1">ALL!AL64</f>
        <v>-6.9539999999999997</v>
      </c>
      <c r="AI85" s="14">
        <f>ALL!AM64</f>
        <v>0</v>
      </c>
      <c r="CQ85" s="55">
        <v>0</v>
      </c>
    </row>
    <row r="86" spans="1:95" ht="21.75" hidden="1" outlineLevel="1" thickBot="1" x14ac:dyDescent="0.4">
      <c r="A86" s="36" t="str">
        <f>ALL!E65</f>
        <v>(3)Ga[1]</v>
      </c>
      <c r="B86" s="16">
        <f ca="1">ALL!F65</f>
        <v>-67.12</v>
      </c>
      <c r="C86" s="16">
        <f ca="1">ALL!G65</f>
        <v>-63.52</v>
      </c>
      <c r="D86" s="16">
        <f ca="1">ALL!H65</f>
        <v>-60.12</v>
      </c>
      <c r="E86" s="16">
        <f ca="1">ALL!I65</f>
        <v>-56.76</v>
      </c>
      <c r="F86" s="14">
        <f ca="1">ALL!J65</f>
        <v>-53.4</v>
      </c>
      <c r="G86" s="14">
        <f ca="1">ALL!K65</f>
        <v>-41.04</v>
      </c>
      <c r="H86" s="14">
        <f ca="1">ALL!L65</f>
        <v>-38.450000000000003</v>
      </c>
      <c r="I86" s="14">
        <f ca="1">ALL!M65</f>
        <v>-36.08</v>
      </c>
      <c r="J86" s="14">
        <f ca="1">ALL!N65</f>
        <v>-33.93</v>
      </c>
      <c r="K86" s="14">
        <f ca="1">ALL!O65</f>
        <v>-31.94</v>
      </c>
      <c r="L86" s="14">
        <f ca="1">ALL!P65</f>
        <v>-30.07</v>
      </c>
      <c r="M86" s="14">
        <f ca="1">ALL!Q65</f>
        <v>-28.28</v>
      </c>
      <c r="N86" s="14">
        <f ca="1">ALL!R65</f>
        <v>-26.54</v>
      </c>
      <c r="O86" s="14">
        <f ca="1">ALL!S65</f>
        <v>-24.87</v>
      </c>
      <c r="P86" s="14">
        <f ca="1">ALL!T65</f>
        <v>-23.27</v>
      </c>
      <c r="Q86" s="14">
        <f ca="1">ALL!U65</f>
        <v>-21.74</v>
      </c>
      <c r="R86" s="14">
        <f ca="1">ALL!V65</f>
        <v>-20.27</v>
      </c>
      <c r="S86" s="14">
        <f ca="1">ALL!W65</f>
        <v>-18.87</v>
      </c>
      <c r="T86" s="14">
        <f ca="1">ALL!X65</f>
        <v>-17.54</v>
      </c>
      <c r="U86" s="14">
        <f ca="1">ALL!Y65</f>
        <v>-16.260000000000002</v>
      </c>
      <c r="V86" s="14">
        <f ca="1">ALL!Z65</f>
        <v>-15.05</v>
      </c>
      <c r="W86" s="14">
        <f ca="1">ALL!AA65</f>
        <v>-13.91</v>
      </c>
      <c r="X86" s="14">
        <f ca="1">ALL!AB65</f>
        <v>-10.79</v>
      </c>
      <c r="Y86" s="14">
        <f ca="1">ALL!AC65</f>
        <v>-9.1989999999999998</v>
      </c>
      <c r="Z86" s="14">
        <f ca="1">ALL!AD65</f>
        <v>-8.8740000000000006</v>
      </c>
      <c r="AA86" s="14">
        <f ca="1">ALL!AE65</f>
        <v>-8.5730000000000004</v>
      </c>
      <c r="AB86" s="14">
        <f ca="1">ALL!AF65</f>
        <v>-8.2949999999999999</v>
      </c>
      <c r="AC86" s="14">
        <f ca="1">ALL!AG65</f>
        <v>-8.0359999999999996</v>
      </c>
      <c r="AD86" s="14">
        <f ca="1">ALL!AH65</f>
        <v>-7.8040000000000003</v>
      </c>
      <c r="AE86" s="14">
        <f ca="1">ALL!AI65</f>
        <v>-7.8559999999999999</v>
      </c>
      <c r="AF86" s="14">
        <f ca="1">ALL!AJ65</f>
        <v>-7.915</v>
      </c>
      <c r="AG86" s="14">
        <f ca="1">ALL!AK65</f>
        <v>-7.9720000000000004</v>
      </c>
      <c r="AH86" s="14">
        <f ca="1">ALL!AL65</f>
        <v>-8.1969999999999992</v>
      </c>
      <c r="AI86" s="14">
        <f>ALL!AM65</f>
        <v>0</v>
      </c>
      <c r="CQ86" s="55">
        <v>0</v>
      </c>
    </row>
    <row r="87" spans="1:95" ht="21.75" hidden="1" outlineLevel="1" thickBot="1" x14ac:dyDescent="0.4">
      <c r="A87" s="36" t="str">
        <f>ALL!E66</f>
        <v>(3)Ge[1]</v>
      </c>
      <c r="B87" s="16">
        <f ca="1">ALL!F66</f>
        <v>-16.98</v>
      </c>
      <c r="C87" s="16">
        <f ca="1">ALL!G66</f>
        <v>-16.239999999999998</v>
      </c>
      <c r="D87" s="16">
        <f ca="1">ALL!H66</f>
        <v>-15.42</v>
      </c>
      <c r="E87" s="16">
        <f ca="1">ALL!I66</f>
        <v>-14.46</v>
      </c>
      <c r="F87" s="14">
        <f ca="1">ALL!J66</f>
        <v>-13.36</v>
      </c>
      <c r="G87" s="14">
        <f ca="1">ALL!K66</f>
        <v>-8.9659999999999993</v>
      </c>
      <c r="H87" s="14">
        <f ca="1">ALL!L66</f>
        <v>-8.077</v>
      </c>
      <c r="I87" s="14">
        <f ca="1">ALL!M66</f>
        <v>-7.3339999999999996</v>
      </c>
      <c r="J87" s="14">
        <f ca="1">ALL!N66</f>
        <v>-6.7590000000000003</v>
      </c>
      <c r="K87" s="14">
        <f ca="1">ALL!O66</f>
        <v>-6.35</v>
      </c>
      <c r="L87" s="14">
        <f ca="1">ALL!P66</f>
        <v>-6.0869999999999997</v>
      </c>
      <c r="M87" s="14">
        <f ca="1">ALL!Q66</f>
        <v>-5.9379999999999997</v>
      </c>
      <c r="N87" s="14">
        <f ca="1">ALL!R66</f>
        <v>-5.87</v>
      </c>
      <c r="O87" s="14">
        <f ca="1">ALL!S66</f>
        <v>-5.8520000000000003</v>
      </c>
      <c r="P87" s="14">
        <f ca="1">ALL!T66</f>
        <v>-5.8609999999999998</v>
      </c>
      <c r="Q87" s="14">
        <f ca="1">ALL!U66</f>
        <v>-5.8860000000000001</v>
      </c>
      <c r="R87" s="14">
        <f ca="1">ALL!V66</f>
        <v>-5.9180000000000001</v>
      </c>
      <c r="S87" s="14">
        <f ca="1">ALL!W66</f>
        <v>-5.9550000000000001</v>
      </c>
      <c r="T87" s="14">
        <f ca="1">ALL!X66</f>
        <v>-5.9930000000000003</v>
      </c>
      <c r="U87" s="14">
        <f ca="1">ALL!Y66</f>
        <v>-6.0330000000000004</v>
      </c>
      <c r="V87" s="14">
        <f ca="1">ALL!Z66</f>
        <v>-6.0739999999999998</v>
      </c>
      <c r="W87" s="14">
        <f ca="1">ALL!AA66</f>
        <v>-6.1180000000000003</v>
      </c>
      <c r="X87" s="14">
        <f ca="1">ALL!AB66</f>
        <v>-6.3319999999999999</v>
      </c>
      <c r="Y87" s="14">
        <f ca="1">ALL!AC66</f>
        <v>-6.508</v>
      </c>
      <c r="Z87" s="14">
        <f ca="1">ALL!AD66</f>
        <v>-6.5510000000000002</v>
      </c>
      <c r="AA87" s="14">
        <f ca="1">ALL!AE66</f>
        <v>-6.5940000000000003</v>
      </c>
      <c r="AB87" s="14">
        <f ca="1">ALL!AF66</f>
        <v>-6.6360000000000001</v>
      </c>
      <c r="AC87" s="14">
        <f ca="1">ALL!AG66</f>
        <v>-6.6779999999999999</v>
      </c>
      <c r="AD87" s="14">
        <f ca="1">ALL!AH66</f>
        <v>-6.7190000000000003</v>
      </c>
      <c r="AE87" s="14">
        <f ca="1">ALL!AI66</f>
        <v>-6.7510000000000003</v>
      </c>
      <c r="AF87" s="14">
        <f ca="1">ALL!AJ66</f>
        <v>-6.7839999999999998</v>
      </c>
      <c r="AG87" s="14">
        <f ca="1">ALL!AK66</f>
        <v>-6.8170000000000002</v>
      </c>
      <c r="AH87" s="14">
        <f ca="1">ALL!AL66</f>
        <v>-6.9539999999999997</v>
      </c>
      <c r="AI87" s="14">
        <f>ALL!AM66</f>
        <v>0</v>
      </c>
      <c r="CQ87" s="55">
        <v>0</v>
      </c>
    </row>
    <row r="88" spans="1:95" ht="21.75" hidden="1" outlineLevel="1" thickBot="1" x14ac:dyDescent="0.4">
      <c r="A88" s="36" t="str">
        <f>ALL!E67</f>
        <v>H (Ar)</v>
      </c>
      <c r="B88" s="16">
        <f ca="1">ALL!F67</f>
        <v>-18.66</v>
      </c>
      <c r="C88" s="16">
        <f ca="1">ALL!G67</f>
        <v>-18.649999999999999</v>
      </c>
      <c r="D88" s="16">
        <f ca="1">ALL!H67</f>
        <v>-18.649999999999999</v>
      </c>
      <c r="E88" s="16">
        <f ca="1">ALL!I67</f>
        <v>-18.66</v>
      </c>
      <c r="F88" s="14">
        <f ca="1">ALL!J67</f>
        <v>-18.670000000000002</v>
      </c>
      <c r="G88" s="14">
        <f ca="1">ALL!K67</f>
        <v>-18.75</v>
      </c>
      <c r="H88" s="14">
        <f ca="1">ALL!L67</f>
        <v>-18.78</v>
      </c>
      <c r="I88" s="14">
        <f ca="1">ALL!M67</f>
        <v>-18.809999999999999</v>
      </c>
      <c r="J88" s="14">
        <f ca="1">ALL!N67</f>
        <v>-18.829999999999998</v>
      </c>
      <c r="K88" s="14">
        <f ca="1">ALL!O67</f>
        <v>-18.86</v>
      </c>
      <c r="L88" s="14">
        <f ca="1">ALL!P67</f>
        <v>-18.899999999999999</v>
      </c>
      <c r="M88" s="14">
        <f ca="1">ALL!Q67</f>
        <v>-18.93</v>
      </c>
      <c r="N88" s="14">
        <f ca="1">ALL!R67</f>
        <v>-18.96</v>
      </c>
      <c r="O88" s="14">
        <f ca="1">ALL!S67</f>
        <v>-18.989999999999998</v>
      </c>
      <c r="P88" s="14">
        <f ca="1">ALL!T67</f>
        <v>-19.03</v>
      </c>
      <c r="Q88" s="14">
        <f ca="1">ALL!U67</f>
        <v>-19.059999999999999</v>
      </c>
      <c r="R88" s="14">
        <f ca="1">ALL!V67</f>
        <v>-19.100000000000001</v>
      </c>
      <c r="S88" s="14">
        <f ca="1">ALL!W67</f>
        <v>-19.13</v>
      </c>
      <c r="T88" s="14">
        <f ca="1">ALL!X67</f>
        <v>-19.170000000000002</v>
      </c>
      <c r="U88" s="14">
        <f ca="1">ALL!Y67</f>
        <v>-19.2</v>
      </c>
      <c r="V88" s="14">
        <f ca="1">ALL!Z67</f>
        <v>-19.23</v>
      </c>
      <c r="W88" s="14">
        <f ca="1">ALL!AA67</f>
        <v>-19.27</v>
      </c>
      <c r="X88" s="14">
        <f ca="1">ALL!AB67</f>
        <v>-19.38</v>
      </c>
      <c r="Y88" s="14">
        <f ca="1">ALL!AC67</f>
        <v>-19.510000000000002</v>
      </c>
      <c r="Z88" s="14">
        <f ca="1">ALL!AD67</f>
        <v>-19.55</v>
      </c>
      <c r="AA88" s="14">
        <f ca="1">ALL!AE67</f>
        <v>-19.579999999999998</v>
      </c>
      <c r="AB88" s="14">
        <f ca="1">ALL!AF67</f>
        <v>-19.61</v>
      </c>
      <c r="AC88" s="14">
        <f ca="1">ALL!AG67</f>
        <v>-19.64</v>
      </c>
      <c r="AD88" s="14">
        <f ca="1">ALL!AH67</f>
        <v>-19.670000000000002</v>
      </c>
      <c r="AE88" s="14">
        <f ca="1">ALL!AI67</f>
        <v>-19.7</v>
      </c>
      <c r="AF88" s="14">
        <f ca="1">ALL!AJ67</f>
        <v>-19.73</v>
      </c>
      <c r="AG88" s="14">
        <f ca="1">ALL!AK67</f>
        <v>-19.760000000000002</v>
      </c>
      <c r="AH88" s="14">
        <f ca="1">ALL!AL67</f>
        <v>-19.88</v>
      </c>
      <c r="AI88" s="14">
        <f>ALL!AM67</f>
        <v>0</v>
      </c>
      <c r="CQ88" s="55">
        <v>0</v>
      </c>
    </row>
    <row r="89" spans="1:95" ht="21.75" hidden="1" outlineLevel="1" thickBot="1" x14ac:dyDescent="0.4">
      <c r="A89" s="36" t="str">
        <f>ALL!E68</f>
        <v>H (Ga)</v>
      </c>
      <c r="B89" s="16">
        <f ca="1">ALL!F68</f>
        <v>-67.12</v>
      </c>
      <c r="C89" s="16">
        <f ca="1">ALL!G68</f>
        <v>-63.52</v>
      </c>
      <c r="D89" s="16">
        <f ca="1">ALL!H68</f>
        <v>-60.12</v>
      </c>
      <c r="E89" s="16">
        <f ca="1">ALL!I68</f>
        <v>-56.76</v>
      </c>
      <c r="F89" s="14">
        <f ca="1">ALL!J68</f>
        <v>-53.4</v>
      </c>
      <c r="G89" s="14">
        <f ca="1">ALL!K68</f>
        <v>-41.04</v>
      </c>
      <c r="H89" s="14">
        <f ca="1">ALL!L68</f>
        <v>-38.450000000000003</v>
      </c>
      <c r="I89" s="14">
        <f ca="1">ALL!M68</f>
        <v>-36.08</v>
      </c>
      <c r="J89" s="14">
        <f ca="1">ALL!N68</f>
        <v>-33.93</v>
      </c>
      <c r="K89" s="14">
        <f ca="1">ALL!O68</f>
        <v>-31.94</v>
      </c>
      <c r="L89" s="14">
        <f ca="1">ALL!P68</f>
        <v>-30.07</v>
      </c>
      <c r="M89" s="14">
        <f ca="1">ALL!Q68</f>
        <v>-28.28</v>
      </c>
      <c r="N89" s="14">
        <f ca="1">ALL!R68</f>
        <v>-26.54</v>
      </c>
      <c r="O89" s="14">
        <f ca="1">ALL!S68</f>
        <v>-24.87</v>
      </c>
      <c r="P89" s="14">
        <f ca="1">ALL!T68</f>
        <v>-23.27</v>
      </c>
      <c r="Q89" s="14">
        <f ca="1">ALL!U68</f>
        <v>-21.74</v>
      </c>
      <c r="R89" s="14">
        <f ca="1">ALL!V68</f>
        <v>-20.27</v>
      </c>
      <c r="S89" s="14">
        <f ca="1">ALL!W68</f>
        <v>-18.87</v>
      </c>
      <c r="T89" s="14">
        <f ca="1">ALL!X68</f>
        <v>-17.54</v>
      </c>
      <c r="U89" s="14">
        <f ca="1">ALL!Y68</f>
        <v>-16.260000000000002</v>
      </c>
      <c r="V89" s="14">
        <f ca="1">ALL!Z68</f>
        <v>-15.05</v>
      </c>
      <c r="W89" s="14">
        <f ca="1">ALL!AA68</f>
        <v>-13.91</v>
      </c>
      <c r="X89" s="14">
        <f ca="1">ALL!AB68</f>
        <v>-10.79</v>
      </c>
      <c r="Y89" s="14">
        <f ca="1">ALL!AC68</f>
        <v>-9.1989999999999998</v>
      </c>
      <c r="Z89" s="14">
        <f ca="1">ALL!AD68</f>
        <v>-8.8740000000000006</v>
      </c>
      <c r="AA89" s="14">
        <f ca="1">ALL!AE68</f>
        <v>-8.5730000000000004</v>
      </c>
      <c r="AB89" s="14">
        <f ca="1">ALL!AF68</f>
        <v>-8.2949999999999999</v>
      </c>
      <c r="AC89" s="14">
        <f ca="1">ALL!AG68</f>
        <v>-8.0359999999999996</v>
      </c>
      <c r="AD89" s="14">
        <f ca="1">ALL!AH68</f>
        <v>-7.8040000000000003</v>
      </c>
      <c r="AE89" s="14">
        <f ca="1">ALL!AI68</f>
        <v>-7.8559999999999999</v>
      </c>
      <c r="AF89" s="14">
        <f ca="1">ALL!AJ68</f>
        <v>-7.915</v>
      </c>
      <c r="AG89" s="14">
        <f ca="1">ALL!AK68</f>
        <v>-7.9720000000000004</v>
      </c>
      <c r="AH89" s="14">
        <f ca="1">ALL!AL68</f>
        <v>-8.1969999999999992</v>
      </c>
      <c r="AI89" s="14">
        <f>ALL!AM68</f>
        <v>0</v>
      </c>
      <c r="CQ89" s="55">
        <v>0</v>
      </c>
    </row>
    <row r="90" spans="1:95" ht="21.75" hidden="1" outlineLevel="1" thickBot="1" x14ac:dyDescent="0.4">
      <c r="A90" s="36" t="str">
        <f>ALL!E69</f>
        <v>H (Ge)</v>
      </c>
      <c r="B90" s="16">
        <f ca="1">ALL!F69</f>
        <v>-16.98</v>
      </c>
      <c r="C90" s="16">
        <f ca="1">ALL!G69</f>
        <v>-16.239999999999998</v>
      </c>
      <c r="D90" s="16">
        <f ca="1">ALL!H69</f>
        <v>-15.42</v>
      </c>
      <c r="E90" s="16">
        <f ca="1">ALL!I69</f>
        <v>-14.46</v>
      </c>
      <c r="F90" s="14">
        <f ca="1">ALL!J69</f>
        <v>-13.36</v>
      </c>
      <c r="G90" s="14">
        <f ca="1">ALL!K69</f>
        <v>-8.9659999999999993</v>
      </c>
      <c r="H90" s="14">
        <f ca="1">ALL!L69</f>
        <v>-8.077</v>
      </c>
      <c r="I90" s="14">
        <f ca="1">ALL!M69</f>
        <v>-7.3339999999999996</v>
      </c>
      <c r="J90" s="14">
        <f ca="1">ALL!N69</f>
        <v>-6.7590000000000003</v>
      </c>
      <c r="K90" s="14">
        <f ca="1">ALL!O69</f>
        <v>-6.35</v>
      </c>
      <c r="L90" s="14">
        <f ca="1">ALL!P69</f>
        <v>-6.0869999999999997</v>
      </c>
      <c r="M90" s="14">
        <f ca="1">ALL!Q69</f>
        <v>-5.9379999999999997</v>
      </c>
      <c r="N90" s="14">
        <f ca="1">ALL!R69</f>
        <v>-5.87</v>
      </c>
      <c r="O90" s="14">
        <f ca="1">ALL!S69</f>
        <v>-5.8520000000000003</v>
      </c>
      <c r="P90" s="14">
        <f ca="1">ALL!T69</f>
        <v>-5.8609999999999998</v>
      </c>
      <c r="Q90" s="14">
        <f ca="1">ALL!U69</f>
        <v>-5.8860000000000001</v>
      </c>
      <c r="R90" s="14">
        <f ca="1">ALL!V69</f>
        <v>-5.9180000000000001</v>
      </c>
      <c r="S90" s="14">
        <f ca="1">ALL!W69</f>
        <v>-5.9550000000000001</v>
      </c>
      <c r="T90" s="14">
        <f ca="1">ALL!X69</f>
        <v>-5.9930000000000003</v>
      </c>
      <c r="U90" s="14">
        <f ca="1">ALL!Y69</f>
        <v>-6.0330000000000004</v>
      </c>
      <c r="V90" s="14">
        <f ca="1">ALL!Z69</f>
        <v>-6.0739999999999998</v>
      </c>
      <c r="W90" s="14">
        <f ca="1">ALL!AA69</f>
        <v>-6.1180000000000003</v>
      </c>
      <c r="X90" s="14">
        <f ca="1">ALL!AB69</f>
        <v>-6.3319999999999999</v>
      </c>
      <c r="Y90" s="14">
        <f ca="1">ALL!AC69</f>
        <v>-6.508</v>
      </c>
      <c r="Z90" s="14">
        <f ca="1">ALL!AD69</f>
        <v>-6.5510000000000002</v>
      </c>
      <c r="AA90" s="14">
        <f ca="1">ALL!AE69</f>
        <v>-6.5940000000000003</v>
      </c>
      <c r="AB90" s="14">
        <f ca="1">ALL!AF69</f>
        <v>-6.6360000000000001</v>
      </c>
      <c r="AC90" s="14">
        <f ca="1">ALL!AG69</f>
        <v>-6.6779999999999999</v>
      </c>
      <c r="AD90" s="14">
        <f ca="1">ALL!AH69</f>
        <v>-6.7190000000000003</v>
      </c>
      <c r="AE90" s="14">
        <f ca="1">ALL!AI69</f>
        <v>-6.7510000000000003</v>
      </c>
      <c r="AF90" s="14">
        <f ca="1">ALL!AJ69</f>
        <v>-6.7839999999999998</v>
      </c>
      <c r="AG90" s="14">
        <f ca="1">ALL!AK69</f>
        <v>-6.8170000000000002</v>
      </c>
      <c r="AH90" s="14">
        <f ca="1">ALL!AL69</f>
        <v>-6.9539999999999997</v>
      </c>
      <c r="AI90" s="14">
        <f>ALL!AM69</f>
        <v>0</v>
      </c>
      <c r="CQ90" s="55">
        <v>0</v>
      </c>
    </row>
    <row r="91" spans="1:95" ht="21.75" hidden="1" outlineLevel="1" thickBot="1" x14ac:dyDescent="0.4">
      <c r="A91" s="36" t="str">
        <f>ALL!E70</f>
        <v>H (Se)</v>
      </c>
      <c r="B91" s="16">
        <f ca="1">ALL!F70</f>
        <v>-23.56</v>
      </c>
      <c r="C91" s="16">
        <f ca="1">ALL!G70</f>
        <v>-22.53</v>
      </c>
      <c r="D91" s="16">
        <f ca="1">ALL!H70</f>
        <v>-21.75</v>
      </c>
      <c r="E91" s="16">
        <f ca="1">ALL!I70</f>
        <v>-21.28</v>
      </c>
      <c r="F91" s="14">
        <f ca="1">ALL!J70</f>
        <v>-21.09</v>
      </c>
      <c r="G91" s="14">
        <f ca="1">ALL!K70</f>
        <v>-21.65</v>
      </c>
      <c r="H91" s="14">
        <f ca="1">ALL!L70</f>
        <v>-21.85</v>
      </c>
      <c r="I91" s="14">
        <f ca="1">ALL!M70</f>
        <v>-22.03</v>
      </c>
      <c r="J91" s="14">
        <f ca="1">ALL!N70</f>
        <v>-22.18</v>
      </c>
      <c r="K91" s="14">
        <f ca="1">ALL!O70</f>
        <v>-22.32</v>
      </c>
      <c r="L91" s="14">
        <f ca="1">ALL!P70</f>
        <v>-22.47</v>
      </c>
      <c r="M91" s="14">
        <f ca="1">ALL!Q70</f>
        <v>-22.65</v>
      </c>
      <c r="N91" s="14">
        <f ca="1">ALL!R70</f>
        <v>-22.86</v>
      </c>
      <c r="O91" s="14">
        <f ca="1">ALL!S70</f>
        <v>-23.08</v>
      </c>
      <c r="P91" s="14">
        <f ca="1">ALL!T70</f>
        <v>-23.31</v>
      </c>
      <c r="Q91" s="14">
        <f ca="1">ALL!U70</f>
        <v>-23.54</v>
      </c>
      <c r="R91" s="14">
        <f ca="1">ALL!V70</f>
        <v>-23.78</v>
      </c>
      <c r="S91" s="14">
        <f ca="1">ALL!W70</f>
        <v>-24.01</v>
      </c>
      <c r="T91" s="14">
        <f ca="1">ALL!X70</f>
        <v>-24.25</v>
      </c>
      <c r="U91" s="14">
        <f ca="1">ALL!Y70</f>
        <v>-24.48</v>
      </c>
      <c r="V91" s="14">
        <f ca="1">ALL!Z70</f>
        <v>-24.71</v>
      </c>
      <c r="W91" s="14">
        <f ca="1">ALL!AA70</f>
        <v>-24.94</v>
      </c>
      <c r="X91" s="14">
        <f ca="1">ALL!AB70</f>
        <v>-25.82</v>
      </c>
      <c r="Y91" s="14">
        <f ca="1">ALL!AC70</f>
        <v>-26.68</v>
      </c>
      <c r="Z91" s="14">
        <f ca="1">ALL!AD70</f>
        <v>-26.9</v>
      </c>
      <c r="AA91" s="14">
        <f ca="1">ALL!AE70</f>
        <v>-27.11</v>
      </c>
      <c r="AB91" s="14">
        <f ca="1">ALL!AF70</f>
        <v>-27.32</v>
      </c>
      <c r="AC91" s="14">
        <f ca="1">ALL!AG70</f>
        <v>-27.52</v>
      </c>
      <c r="AD91" s="14">
        <f ca="1">ALL!AH70</f>
        <v>-27.73</v>
      </c>
      <c r="AE91" s="14">
        <f ca="1">ALL!AI70</f>
        <v>-27.92</v>
      </c>
      <c r="AF91" s="14">
        <f ca="1">ALL!AJ70</f>
        <v>-28.11</v>
      </c>
      <c r="AG91" s="14">
        <f ca="1">ALL!AK70</f>
        <v>-28.3</v>
      </c>
      <c r="AH91" s="14">
        <f ca="1">ALL!AL70</f>
        <v>-29.08</v>
      </c>
      <c r="AI91" s="14">
        <f>ALL!AM70</f>
        <v>0</v>
      </c>
      <c r="CQ91" s="55">
        <v>0</v>
      </c>
    </row>
    <row r="92" spans="1:95" ht="21.75" hidden="1" outlineLevel="1" thickBot="1" x14ac:dyDescent="0.4">
      <c r="A92" s="36">
        <f>ALL!E71</f>
        <v>0</v>
      </c>
      <c r="B92" s="16">
        <f ca="1">ALL!F71</f>
        <v>0</v>
      </c>
      <c r="C92" s="16">
        <f ca="1">ALL!G71</f>
        <v>0</v>
      </c>
      <c r="D92" s="16">
        <f ca="1">ALL!H71</f>
        <v>0</v>
      </c>
      <c r="E92" s="16">
        <f ca="1">ALL!I71</f>
        <v>0</v>
      </c>
      <c r="F92" s="14">
        <f ca="1">ALL!J71</f>
        <v>0</v>
      </c>
      <c r="G92" s="14">
        <f ca="1">ALL!K71</f>
        <v>0</v>
      </c>
      <c r="H92" s="14">
        <f ca="1">ALL!L71</f>
        <v>0</v>
      </c>
      <c r="I92" s="14">
        <f ca="1">ALL!M71</f>
        <v>0</v>
      </c>
      <c r="J92" s="14">
        <f ca="1">ALL!N71</f>
        <v>0</v>
      </c>
      <c r="K92" s="14">
        <f ca="1">ALL!O71</f>
        <v>0</v>
      </c>
      <c r="L92" s="14">
        <f ca="1">ALL!P71</f>
        <v>0</v>
      </c>
      <c r="M92" s="14">
        <f ca="1">ALL!Q71</f>
        <v>0</v>
      </c>
      <c r="N92" s="14">
        <f ca="1">ALL!R71</f>
        <v>0</v>
      </c>
      <c r="O92" s="14">
        <f ca="1">ALL!S71</f>
        <v>0</v>
      </c>
      <c r="P92" s="14">
        <f ca="1">ALL!T71</f>
        <v>0</v>
      </c>
      <c r="Q92" s="14">
        <f ca="1">ALL!U71</f>
        <v>0</v>
      </c>
      <c r="R92" s="14">
        <f ca="1">ALL!V71</f>
        <v>0</v>
      </c>
      <c r="S92" s="14">
        <f ca="1">ALL!W71</f>
        <v>0</v>
      </c>
      <c r="T92" s="14">
        <f ca="1">ALL!X71</f>
        <v>0</v>
      </c>
      <c r="U92" s="14">
        <f ca="1">ALL!Y71</f>
        <v>0</v>
      </c>
      <c r="V92" s="14">
        <f ca="1">ALL!Z71</f>
        <v>0</v>
      </c>
      <c r="W92" s="14">
        <f ca="1">ALL!AA71</f>
        <v>0</v>
      </c>
      <c r="X92" s="14">
        <f ca="1">ALL!AB71</f>
        <v>0</v>
      </c>
      <c r="Y92" s="14">
        <f ca="1">ALL!AC71</f>
        <v>0</v>
      </c>
      <c r="Z92" s="14">
        <f ca="1">ALL!AD71</f>
        <v>0</v>
      </c>
      <c r="AA92" s="14">
        <f ca="1">ALL!AE71</f>
        <v>0</v>
      </c>
      <c r="AB92" s="14">
        <f ca="1">ALL!AF71</f>
        <v>0</v>
      </c>
      <c r="AC92" s="14">
        <f ca="1">ALL!AG71</f>
        <v>0</v>
      </c>
      <c r="AD92" s="14">
        <f ca="1">ALL!AH71</f>
        <v>0</v>
      </c>
      <c r="AE92" s="14">
        <f ca="1">ALL!AI71</f>
        <v>0</v>
      </c>
      <c r="AF92" s="14">
        <f ca="1">ALL!AJ71</f>
        <v>0</v>
      </c>
      <c r="AG92" s="14">
        <f ca="1">ALL!AK71</f>
        <v>0</v>
      </c>
      <c r="AH92" s="14">
        <f ca="1">ALL!AL71</f>
        <v>0</v>
      </c>
      <c r="AI92" s="14">
        <f>ALL!AM71</f>
        <v>0</v>
      </c>
      <c r="CQ92" s="55">
        <v>0</v>
      </c>
    </row>
    <row r="93" spans="1:95" ht="21.75" hidden="1" outlineLevel="1" thickBot="1" x14ac:dyDescent="0.4">
      <c r="A93" s="36">
        <f>ALL!E72</f>
        <v>0</v>
      </c>
      <c r="B93" s="16">
        <f ca="1">ALL!F72</f>
        <v>0</v>
      </c>
      <c r="C93" s="16">
        <f ca="1">ALL!G72</f>
        <v>0</v>
      </c>
      <c r="D93" s="16">
        <f ca="1">ALL!H72</f>
        <v>0</v>
      </c>
      <c r="E93" s="16">
        <f ca="1">ALL!I72</f>
        <v>0</v>
      </c>
      <c r="F93" s="14">
        <f ca="1">ALL!J72</f>
        <v>0</v>
      </c>
      <c r="G93" s="14">
        <f ca="1">ALL!K72</f>
        <v>0</v>
      </c>
      <c r="H93" s="14">
        <f ca="1">ALL!L72</f>
        <v>0</v>
      </c>
      <c r="I93" s="14">
        <f ca="1">ALL!M72</f>
        <v>0</v>
      </c>
      <c r="J93" s="14">
        <f ca="1">ALL!N72</f>
        <v>0</v>
      </c>
      <c r="K93" s="14">
        <f ca="1">ALL!O72</f>
        <v>0</v>
      </c>
      <c r="L93" s="14">
        <f ca="1">ALL!P72</f>
        <v>0</v>
      </c>
      <c r="M93" s="14">
        <f ca="1">ALL!Q72</f>
        <v>0</v>
      </c>
      <c r="N93" s="14">
        <f ca="1">ALL!R72</f>
        <v>0</v>
      </c>
      <c r="O93" s="14">
        <f ca="1">ALL!S72</f>
        <v>0</v>
      </c>
      <c r="P93" s="14">
        <f ca="1">ALL!T72</f>
        <v>0</v>
      </c>
      <c r="Q93" s="14">
        <f ca="1">ALL!U72</f>
        <v>0</v>
      </c>
      <c r="R93" s="14">
        <f ca="1">ALL!V72</f>
        <v>0</v>
      </c>
      <c r="S93" s="14">
        <f ca="1">ALL!W72</f>
        <v>0</v>
      </c>
      <c r="T93" s="14">
        <f ca="1">ALL!X72</f>
        <v>0</v>
      </c>
      <c r="U93" s="14">
        <f ca="1">ALL!Y72</f>
        <v>0</v>
      </c>
      <c r="V93" s="14">
        <f ca="1">ALL!Z72</f>
        <v>0</v>
      </c>
      <c r="W93" s="14">
        <f ca="1">ALL!AA72</f>
        <v>0</v>
      </c>
      <c r="X93" s="14">
        <f ca="1">ALL!AB72</f>
        <v>0</v>
      </c>
      <c r="Y93" s="14">
        <f ca="1">ALL!AC72</f>
        <v>0</v>
      </c>
      <c r="Z93" s="14">
        <f ca="1">ALL!AD72</f>
        <v>0</v>
      </c>
      <c r="AA93" s="14">
        <f ca="1">ALL!AE72</f>
        <v>0</v>
      </c>
      <c r="AB93" s="14">
        <f ca="1">ALL!AF72</f>
        <v>0</v>
      </c>
      <c r="AC93" s="14">
        <f ca="1">ALL!AG72</f>
        <v>0</v>
      </c>
      <c r="AD93" s="14">
        <f ca="1">ALL!AH72</f>
        <v>0</v>
      </c>
      <c r="AE93" s="14">
        <f ca="1">ALL!AI72</f>
        <v>0</v>
      </c>
      <c r="AF93" s="14">
        <f ca="1">ALL!AJ72</f>
        <v>0</v>
      </c>
      <c r="AG93" s="14">
        <f ca="1">ALL!AK72</f>
        <v>0</v>
      </c>
      <c r="AH93" s="14">
        <f ca="1">ALL!AL72</f>
        <v>0</v>
      </c>
      <c r="AI93" s="14">
        <f>ALL!AM72</f>
        <v>0</v>
      </c>
      <c r="CQ93" s="55">
        <v>0</v>
      </c>
    </row>
    <row r="94" spans="1:95" ht="21.75" hidden="1" outlineLevel="1" thickBot="1" x14ac:dyDescent="0.4">
      <c r="A94" s="36">
        <f>ALL!E73</f>
        <v>0</v>
      </c>
      <c r="B94" s="16">
        <f ca="1">ALL!F73</f>
        <v>0</v>
      </c>
      <c r="C94" s="16">
        <f ca="1">ALL!G73</f>
        <v>0</v>
      </c>
      <c r="D94" s="16">
        <f ca="1">ALL!H73</f>
        <v>0</v>
      </c>
      <c r="E94" s="16">
        <f ca="1">ALL!I73</f>
        <v>0</v>
      </c>
      <c r="F94" s="14">
        <f ca="1">ALL!J73</f>
        <v>0</v>
      </c>
      <c r="G94" s="14">
        <f ca="1">ALL!K73</f>
        <v>0</v>
      </c>
      <c r="H94" s="14">
        <f ca="1">ALL!L73</f>
        <v>0</v>
      </c>
      <c r="I94" s="14">
        <f ca="1">ALL!M73</f>
        <v>0</v>
      </c>
      <c r="J94" s="14">
        <f ca="1">ALL!N73</f>
        <v>0</v>
      </c>
      <c r="K94" s="14">
        <f ca="1">ALL!O73</f>
        <v>0</v>
      </c>
      <c r="L94" s="14">
        <f ca="1">ALL!P73</f>
        <v>0</v>
      </c>
      <c r="M94" s="14">
        <f ca="1">ALL!Q73</f>
        <v>0</v>
      </c>
      <c r="N94" s="14">
        <f ca="1">ALL!R73</f>
        <v>0</v>
      </c>
      <c r="O94" s="14">
        <f ca="1">ALL!S73</f>
        <v>0</v>
      </c>
      <c r="P94" s="14">
        <f ca="1">ALL!T73</f>
        <v>0</v>
      </c>
      <c r="Q94" s="14">
        <f ca="1">ALL!U73</f>
        <v>0</v>
      </c>
      <c r="R94" s="14">
        <f ca="1">ALL!V73</f>
        <v>0</v>
      </c>
      <c r="S94" s="14">
        <f ca="1">ALL!W73</f>
        <v>0</v>
      </c>
      <c r="T94" s="14">
        <f ca="1">ALL!X73</f>
        <v>0</v>
      </c>
      <c r="U94" s="14">
        <f ca="1">ALL!Y73</f>
        <v>0</v>
      </c>
      <c r="V94" s="14">
        <f ca="1">ALL!Z73</f>
        <v>0</v>
      </c>
      <c r="W94" s="14">
        <f ca="1">ALL!AA73</f>
        <v>0</v>
      </c>
      <c r="X94" s="14">
        <f ca="1">ALL!AB73</f>
        <v>0</v>
      </c>
      <c r="Y94" s="14">
        <f ca="1">ALL!AC73</f>
        <v>0</v>
      </c>
      <c r="Z94" s="14">
        <f ca="1">ALL!AD73</f>
        <v>0</v>
      </c>
      <c r="AA94" s="14">
        <f ca="1">ALL!AE73</f>
        <v>0</v>
      </c>
      <c r="AB94" s="14">
        <f ca="1">ALL!AF73</f>
        <v>0</v>
      </c>
      <c r="AC94" s="14">
        <f ca="1">ALL!AG73</f>
        <v>0</v>
      </c>
      <c r="AD94" s="14">
        <f ca="1">ALL!AH73</f>
        <v>0</v>
      </c>
      <c r="AE94" s="14">
        <f ca="1">ALL!AI73</f>
        <v>0</v>
      </c>
      <c r="AF94" s="14">
        <f ca="1">ALL!AJ73</f>
        <v>0</v>
      </c>
      <c r="AG94" s="14">
        <f ca="1">ALL!AK73</f>
        <v>0</v>
      </c>
      <c r="AH94" s="14">
        <f ca="1">ALL!AL73</f>
        <v>0</v>
      </c>
      <c r="AI94" s="14">
        <f>ALL!AM73</f>
        <v>0</v>
      </c>
      <c r="CQ94" s="55">
        <v>0</v>
      </c>
    </row>
    <row r="95" spans="1:95" ht="21.75" hidden="1" outlineLevel="1" thickBot="1" x14ac:dyDescent="0.4">
      <c r="A95" s="36">
        <f>ALL!E74</f>
        <v>0</v>
      </c>
      <c r="B95" s="16">
        <f ca="1">ALL!F74</f>
        <v>0</v>
      </c>
      <c r="C95" s="16">
        <f ca="1">ALL!G74</f>
        <v>0</v>
      </c>
      <c r="D95" s="16">
        <f ca="1">ALL!H74</f>
        <v>0</v>
      </c>
      <c r="E95" s="16">
        <f ca="1">ALL!I74</f>
        <v>0</v>
      </c>
      <c r="F95" s="14">
        <f ca="1">ALL!J74</f>
        <v>0</v>
      </c>
      <c r="G95" s="14">
        <f ca="1">ALL!K74</f>
        <v>0</v>
      </c>
      <c r="H95" s="14">
        <f ca="1">ALL!L74</f>
        <v>0</v>
      </c>
      <c r="I95" s="14">
        <f ca="1">ALL!M74</f>
        <v>0</v>
      </c>
      <c r="J95" s="14">
        <f ca="1">ALL!N74</f>
        <v>0</v>
      </c>
      <c r="K95" s="14">
        <f ca="1">ALL!O74</f>
        <v>0</v>
      </c>
      <c r="L95" s="14">
        <f ca="1">ALL!P74</f>
        <v>0</v>
      </c>
      <c r="M95" s="14">
        <f ca="1">ALL!Q74</f>
        <v>0</v>
      </c>
      <c r="N95" s="14">
        <f ca="1">ALL!R74</f>
        <v>0</v>
      </c>
      <c r="O95" s="14">
        <f ca="1">ALL!S74</f>
        <v>0</v>
      </c>
      <c r="P95" s="14">
        <f ca="1">ALL!T74</f>
        <v>0</v>
      </c>
      <c r="Q95" s="14">
        <f ca="1">ALL!U74</f>
        <v>0</v>
      </c>
      <c r="R95" s="14">
        <f ca="1">ALL!V74</f>
        <v>0</v>
      </c>
      <c r="S95" s="14">
        <f ca="1">ALL!W74</f>
        <v>0</v>
      </c>
      <c r="T95" s="14">
        <f ca="1">ALL!X74</f>
        <v>0</v>
      </c>
      <c r="U95" s="14">
        <f ca="1">ALL!Y74</f>
        <v>0</v>
      </c>
      <c r="V95" s="14">
        <f ca="1">ALL!Z74</f>
        <v>0</v>
      </c>
      <c r="W95" s="14">
        <f ca="1">ALL!AA74</f>
        <v>0</v>
      </c>
      <c r="X95" s="14">
        <f ca="1">ALL!AB74</f>
        <v>0</v>
      </c>
      <c r="Y95" s="14">
        <f ca="1">ALL!AC74</f>
        <v>0</v>
      </c>
      <c r="Z95" s="14">
        <f ca="1">ALL!AD74</f>
        <v>0</v>
      </c>
      <c r="AA95" s="14">
        <f ca="1">ALL!AE74</f>
        <v>0</v>
      </c>
      <c r="AB95" s="14">
        <f ca="1">ALL!AF74</f>
        <v>0</v>
      </c>
      <c r="AC95" s="14">
        <f ca="1">ALL!AG74</f>
        <v>0</v>
      </c>
      <c r="AD95" s="14">
        <f ca="1">ALL!AH74</f>
        <v>0</v>
      </c>
      <c r="AE95" s="14">
        <f ca="1">ALL!AI74</f>
        <v>0</v>
      </c>
      <c r="AF95" s="14">
        <f ca="1">ALL!AJ74</f>
        <v>0</v>
      </c>
      <c r="AG95" s="14">
        <f ca="1">ALL!AK74</f>
        <v>0</v>
      </c>
      <c r="AH95" s="14">
        <f ca="1">ALL!AL74</f>
        <v>0</v>
      </c>
      <c r="AI95" s="14">
        <f>ALL!AM74</f>
        <v>0</v>
      </c>
      <c r="CQ95" s="55">
        <v>0</v>
      </c>
    </row>
    <row r="96" spans="1:95" ht="21.75" hidden="1" outlineLevel="1" thickBot="1" x14ac:dyDescent="0.4">
      <c r="A96" s="36">
        <f>ALL!E75</f>
        <v>1</v>
      </c>
      <c r="B96" s="16">
        <f>ALL!F75</f>
        <v>0</v>
      </c>
      <c r="C96" s="16">
        <f>ALL!G75</f>
        <v>0</v>
      </c>
      <c r="D96" s="16">
        <f>ALL!H75</f>
        <v>0</v>
      </c>
      <c r="E96" s="16">
        <f>ALL!I75</f>
        <v>0</v>
      </c>
      <c r="F96" s="14">
        <f>ALL!J75</f>
        <v>0</v>
      </c>
      <c r="G96" s="14">
        <f>ALL!K75</f>
        <v>0</v>
      </c>
      <c r="H96" s="14">
        <f>ALL!L75</f>
        <v>0</v>
      </c>
      <c r="I96" s="14">
        <f>ALL!M75</f>
        <v>0</v>
      </c>
      <c r="J96" s="14">
        <f>ALL!N75</f>
        <v>0</v>
      </c>
      <c r="K96" s="14">
        <f>ALL!O75</f>
        <v>0</v>
      </c>
      <c r="L96" s="14">
        <f>ALL!P75</f>
        <v>0</v>
      </c>
      <c r="M96" s="14">
        <f>ALL!Q75</f>
        <v>0</v>
      </c>
      <c r="N96" s="14">
        <f>ALL!R75</f>
        <v>0</v>
      </c>
      <c r="O96" s="14">
        <f>ALL!S75</f>
        <v>0</v>
      </c>
      <c r="P96" s="14">
        <f>ALL!T75</f>
        <v>0</v>
      </c>
      <c r="Q96" s="14">
        <f>ALL!U75</f>
        <v>0</v>
      </c>
      <c r="R96" s="14">
        <f>ALL!V75</f>
        <v>0</v>
      </c>
      <c r="S96" s="14">
        <f>ALL!W75</f>
        <v>0</v>
      </c>
      <c r="T96" s="14">
        <f>ALL!X75</f>
        <v>0</v>
      </c>
      <c r="U96" s="14">
        <f>ALL!Y75</f>
        <v>0</v>
      </c>
      <c r="V96" s="14">
        <f>ALL!Z75</f>
        <v>0</v>
      </c>
      <c r="W96" s="14">
        <f>ALL!AA75</f>
        <v>0</v>
      </c>
      <c r="X96" s="14">
        <f>ALL!AB75</f>
        <v>0</v>
      </c>
      <c r="Y96" s="14">
        <f>ALL!AC75</f>
        <v>0</v>
      </c>
      <c r="Z96" s="14">
        <f>ALL!AD75</f>
        <v>0</v>
      </c>
      <c r="AA96" s="14">
        <f>ALL!AE75</f>
        <v>0</v>
      </c>
      <c r="AB96" s="14">
        <f>ALL!AF75</f>
        <v>0</v>
      </c>
      <c r="AC96" s="14">
        <f>ALL!AG75</f>
        <v>0</v>
      </c>
      <c r="AD96" s="14">
        <f>ALL!AH75</f>
        <v>0</v>
      </c>
      <c r="AE96" s="14">
        <f>ALL!AI75</f>
        <v>0</v>
      </c>
      <c r="AF96" s="14">
        <f>ALL!AJ75</f>
        <v>0</v>
      </c>
      <c r="AG96" s="14">
        <f>ALL!AK75</f>
        <v>0</v>
      </c>
      <c r="AH96" s="14">
        <f>ALL!AL75</f>
        <v>0</v>
      </c>
      <c r="AI96" s="14">
        <f>ALL!AM75</f>
        <v>0</v>
      </c>
      <c r="CQ96" s="55">
        <v>0</v>
      </c>
    </row>
    <row r="97" spans="1:94" ht="21.75" collapsed="1" thickTop="1" x14ac:dyDescent="0.35">
      <c r="A97" s="186" t="s">
        <v>10</v>
      </c>
      <c r="B97" s="18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</row>
    <row r="98" spans="1:94" x14ac:dyDescent="0.35">
      <c r="A98" s="21">
        <f>Values!B1</f>
        <v>700</v>
      </c>
      <c r="B98" s="53">
        <f>MIN(B100:CP154)</f>
        <v>-194.46381818181817</v>
      </c>
    </row>
    <row r="99" spans="1:94" ht="21.75" thickBot="1" x14ac:dyDescent="0.4">
      <c r="A99" s="22">
        <f>A98</f>
        <v>700</v>
      </c>
      <c r="B99" s="54">
        <v>0</v>
      </c>
    </row>
    <row r="100" spans="1:94" ht="22.5" thickTop="1" thickBot="1" x14ac:dyDescent="0.4">
      <c r="A100" s="4" t="s">
        <v>30</v>
      </c>
      <c r="B100" s="69">
        <v>290</v>
      </c>
      <c r="C100" s="69">
        <v>298</v>
      </c>
      <c r="D100" s="69">
        <v>306</v>
      </c>
      <c r="E100" s="69">
        <v>314</v>
      </c>
      <c r="F100" s="4">
        <v>322</v>
      </c>
      <c r="G100" s="4">
        <v>330</v>
      </c>
      <c r="H100" s="4">
        <v>338</v>
      </c>
      <c r="I100" s="4">
        <v>346</v>
      </c>
      <c r="J100" s="4">
        <v>354</v>
      </c>
      <c r="K100" s="4">
        <v>362</v>
      </c>
      <c r="L100" s="4">
        <v>370</v>
      </c>
      <c r="M100" s="4">
        <v>378</v>
      </c>
      <c r="N100" s="4">
        <v>386</v>
      </c>
      <c r="O100" s="4">
        <v>394</v>
      </c>
      <c r="P100" s="4">
        <v>402</v>
      </c>
      <c r="Q100" s="4">
        <v>410</v>
      </c>
      <c r="R100" s="4">
        <v>418</v>
      </c>
      <c r="S100" s="4">
        <v>426</v>
      </c>
      <c r="T100" s="4">
        <v>434</v>
      </c>
      <c r="U100" s="4">
        <v>442</v>
      </c>
      <c r="V100" s="4">
        <v>450</v>
      </c>
      <c r="W100" s="4">
        <v>458</v>
      </c>
      <c r="X100" s="4">
        <v>466</v>
      </c>
      <c r="Y100" s="4">
        <v>474</v>
      </c>
      <c r="Z100" s="4">
        <v>482</v>
      </c>
      <c r="AA100" s="4">
        <v>490</v>
      </c>
      <c r="AB100" s="4">
        <v>498</v>
      </c>
      <c r="AC100" s="4">
        <v>506</v>
      </c>
      <c r="AD100" s="4">
        <v>514</v>
      </c>
      <c r="AE100" s="4">
        <v>522</v>
      </c>
      <c r="AF100" s="4">
        <v>530</v>
      </c>
      <c r="AG100" s="4">
        <v>538</v>
      </c>
      <c r="AH100" s="4">
        <v>546</v>
      </c>
      <c r="AI100" s="4">
        <v>554</v>
      </c>
      <c r="AJ100" s="4">
        <v>562</v>
      </c>
      <c r="AK100" s="4">
        <v>570</v>
      </c>
      <c r="AL100" s="4">
        <v>578</v>
      </c>
      <c r="AM100" s="4">
        <v>586</v>
      </c>
      <c r="AN100" s="4">
        <v>594</v>
      </c>
      <c r="AO100" s="4">
        <v>602</v>
      </c>
      <c r="AP100" s="4">
        <v>610</v>
      </c>
      <c r="AQ100" s="4">
        <v>618</v>
      </c>
      <c r="AR100" s="4">
        <v>626</v>
      </c>
      <c r="AS100" s="4">
        <v>634</v>
      </c>
      <c r="AT100" s="4">
        <v>642</v>
      </c>
      <c r="AU100" s="4">
        <v>650</v>
      </c>
      <c r="AV100" s="4">
        <v>658</v>
      </c>
      <c r="AW100" s="4">
        <v>666</v>
      </c>
      <c r="AX100" s="4">
        <v>674</v>
      </c>
      <c r="AY100" s="4">
        <v>682</v>
      </c>
      <c r="AZ100" s="4">
        <v>690</v>
      </c>
      <c r="BA100" s="4">
        <v>698</v>
      </c>
      <c r="BB100" s="4">
        <v>706</v>
      </c>
      <c r="BC100" s="4">
        <v>714</v>
      </c>
      <c r="BD100" s="4">
        <v>722</v>
      </c>
      <c r="BE100" s="4">
        <v>730</v>
      </c>
      <c r="BF100" s="4">
        <v>738</v>
      </c>
      <c r="BG100" s="4">
        <v>746</v>
      </c>
      <c r="BH100" s="4">
        <v>754</v>
      </c>
      <c r="BI100" s="4">
        <v>762</v>
      </c>
      <c r="BJ100" s="4">
        <v>770</v>
      </c>
      <c r="BK100" s="4">
        <v>778</v>
      </c>
      <c r="BL100" s="4">
        <v>786</v>
      </c>
      <c r="BM100" s="4">
        <v>794</v>
      </c>
      <c r="BN100" s="4">
        <v>802</v>
      </c>
      <c r="BO100" s="4">
        <v>810</v>
      </c>
      <c r="BP100" s="4">
        <v>818</v>
      </c>
      <c r="BQ100" s="4">
        <v>826</v>
      </c>
      <c r="BR100" s="4">
        <v>834</v>
      </c>
      <c r="BS100" s="4">
        <v>842</v>
      </c>
      <c r="BT100" s="4">
        <v>850</v>
      </c>
      <c r="BU100" s="4">
        <v>858</v>
      </c>
      <c r="BV100" s="4">
        <v>866</v>
      </c>
      <c r="BW100" s="4">
        <v>874</v>
      </c>
      <c r="BX100" s="4">
        <v>882</v>
      </c>
      <c r="BY100" s="4">
        <v>890</v>
      </c>
      <c r="BZ100" s="4">
        <v>898</v>
      </c>
      <c r="CA100" s="4">
        <v>906</v>
      </c>
      <c r="CB100" s="4">
        <v>914</v>
      </c>
      <c r="CC100" s="4">
        <v>922</v>
      </c>
      <c r="CD100" s="4">
        <v>930</v>
      </c>
      <c r="CE100" s="4">
        <v>938</v>
      </c>
      <c r="CF100" s="4">
        <v>946</v>
      </c>
      <c r="CG100" s="4">
        <v>954</v>
      </c>
      <c r="CH100" s="4">
        <v>962</v>
      </c>
      <c r="CI100" s="4">
        <v>970</v>
      </c>
      <c r="CJ100" s="4">
        <v>978</v>
      </c>
      <c r="CK100" s="4">
        <v>986</v>
      </c>
      <c r="CL100" s="4">
        <v>994</v>
      </c>
      <c r="CM100" s="4"/>
      <c r="CN100" s="4"/>
      <c r="CO100" s="4"/>
      <c r="CP100" s="4"/>
    </row>
    <row r="101" spans="1:94" ht="22.5" thickTop="1" thickBot="1" x14ac:dyDescent="0.4">
      <c r="A101" s="18" t="s">
        <v>90</v>
      </c>
      <c r="B101" s="38">
        <v>-15.639818181818182</v>
      </c>
      <c r="C101" s="38">
        <v>-15.36830303030303</v>
      </c>
      <c r="D101" s="38">
        <v>-15.096787878787879</v>
      </c>
      <c r="E101" s="38">
        <v>-14.853636363636364</v>
      </c>
      <c r="F101">
        <v>-14.611212121212121</v>
      </c>
      <c r="G101">
        <v>-14.399757575757576</v>
      </c>
      <c r="H101">
        <v>-14.191272727272727</v>
      </c>
      <c r="I101">
        <v>-13.694303030303029</v>
      </c>
      <c r="J101">
        <v>-13.14642424242424</v>
      </c>
      <c r="K101">
        <v>-12.563192771084337</v>
      </c>
      <c r="L101">
        <v>-11.970421686746988</v>
      </c>
      <c r="M101">
        <v>-11.409636363636364</v>
      </c>
      <c r="N101">
        <v>-10.861757575757576</v>
      </c>
      <c r="O101">
        <v>-10.337515151515152</v>
      </c>
      <c r="P101">
        <v>-9.8260000000000005</v>
      </c>
      <c r="Q101">
        <v>-9.3608018154311647</v>
      </c>
      <c r="R101">
        <v>-8.9281240544629359</v>
      </c>
      <c r="S101">
        <v>-8.4954462934947053</v>
      </c>
      <c r="T101">
        <v>-8.0627685325264746</v>
      </c>
      <c r="U101">
        <v>-7.6300907715582449</v>
      </c>
      <c r="V101">
        <v>-7.1974130105900151</v>
      </c>
      <c r="W101">
        <v>-6.7647352496217845</v>
      </c>
      <c r="X101">
        <v>-6.3320574886535539</v>
      </c>
      <c r="Y101">
        <v>-5.9196121212121202</v>
      </c>
      <c r="Z101">
        <v>-5.5491878787878779</v>
      </c>
      <c r="AA101">
        <v>-5.1839818181818167</v>
      </c>
      <c r="AB101">
        <v>-4.8334363636363626</v>
      </c>
      <c r="AC101">
        <v>-4.5105272727272725</v>
      </c>
      <c r="AD101">
        <v>-4.2981636363636362</v>
      </c>
      <c r="AE101">
        <v>-4.1176506024096389</v>
      </c>
      <c r="AF101">
        <v>-4.1369277108433735</v>
      </c>
      <c r="AG101">
        <v>-4.1562272727272731</v>
      </c>
      <c r="AH101">
        <v>-4.175863636363637</v>
      </c>
      <c r="AI101">
        <v>-4.1955</v>
      </c>
      <c r="AJ101">
        <v>-4.2151363636363639</v>
      </c>
      <c r="AK101">
        <v>-4.2347727272727278</v>
      </c>
      <c r="AL101">
        <v>-4.2544090909090908</v>
      </c>
      <c r="AM101">
        <v>-4.2740454545454547</v>
      </c>
      <c r="AN101">
        <v>-4.2936818181818186</v>
      </c>
      <c r="AO101">
        <v>-4.3133181818181816</v>
      </c>
      <c r="AP101">
        <v>-4.3331270801815434</v>
      </c>
      <c r="AQ101">
        <v>-4.3529757942511349</v>
      </c>
      <c r="AR101">
        <v>-4.3728245083207264</v>
      </c>
      <c r="AS101">
        <v>-4.392673222390318</v>
      </c>
      <c r="AT101">
        <v>-4.4125219364599095</v>
      </c>
      <c r="AU101">
        <v>-4.4323706505295011</v>
      </c>
      <c r="AV101">
        <v>-4.4522193645990917</v>
      </c>
      <c r="AW101">
        <v>-4.4720680786686833</v>
      </c>
      <c r="AX101">
        <v>-4.4917836611195154</v>
      </c>
      <c r="AY101">
        <v>-4.511390317700454</v>
      </c>
      <c r="AZ101">
        <v>-4.5309969742813916</v>
      </c>
      <c r="BA101">
        <v>-4.5506036308623292</v>
      </c>
      <c r="BB101">
        <v>-4.5702102874432677</v>
      </c>
      <c r="BC101">
        <v>-4.5898169440242054</v>
      </c>
      <c r="BD101">
        <v>-4.6094236006051439</v>
      </c>
      <c r="BE101">
        <v>-4.6290302571860815</v>
      </c>
      <c r="BF101">
        <v>-4.6485757575757569</v>
      </c>
      <c r="BG101">
        <v>-4.6679696969696964</v>
      </c>
      <c r="BH101">
        <v>-4.6872545454545449</v>
      </c>
      <c r="BI101">
        <v>-4.7061636363636365</v>
      </c>
      <c r="BJ101">
        <v>-4.7251515151515155</v>
      </c>
      <c r="BK101">
        <v>-4.7445454545454542</v>
      </c>
      <c r="BL101">
        <v>-4.7638795180722884</v>
      </c>
      <c r="BM101">
        <v>-4.7826746987951809</v>
      </c>
      <c r="BN101">
        <v>-4.8014727272727278</v>
      </c>
      <c r="BO101">
        <v>-4.8203818181818185</v>
      </c>
      <c r="BP101">
        <v>-4.8392909090909093</v>
      </c>
      <c r="BQ101">
        <v>-4.857733333333333</v>
      </c>
      <c r="BR101">
        <v>-4.8761575757575759</v>
      </c>
      <c r="BS101">
        <v>-4.8950181818181822</v>
      </c>
      <c r="BT101">
        <v>-4.9139272727272729</v>
      </c>
      <c r="BU101">
        <v>-4.9324303030303032</v>
      </c>
      <c r="BV101">
        <v>-4.9508545454545452</v>
      </c>
      <c r="BW101">
        <v>-4.9689757942511346</v>
      </c>
      <c r="BX101">
        <v>-4.9870090771558244</v>
      </c>
      <c r="BY101">
        <v>-5.0050423600605143</v>
      </c>
      <c r="BZ101">
        <v>-5.0230756429652041</v>
      </c>
      <c r="CA101">
        <v>-5.041108925869894</v>
      </c>
      <c r="CB101">
        <v>-5.0591422087745839</v>
      </c>
      <c r="CC101">
        <v>-5.0771754916792737</v>
      </c>
      <c r="CD101">
        <v>-5.0952087745839636</v>
      </c>
      <c r="CE101">
        <v>-5.1129939485627833</v>
      </c>
      <c r="CF101">
        <v>-5.1305431164901663</v>
      </c>
      <c r="CG101">
        <v>-5.1480922844175492</v>
      </c>
      <c r="CH101">
        <v>-5.1656414523449321</v>
      </c>
      <c r="CI101">
        <v>-5.1831906202723141</v>
      </c>
      <c r="CJ101">
        <v>-5.2007397881996971</v>
      </c>
      <c r="CK101">
        <v>-5.21828895612708</v>
      </c>
      <c r="CL101">
        <v>-5.2358381240544629</v>
      </c>
    </row>
    <row r="102" spans="1:94" ht="21.75" thickBot="1" x14ac:dyDescent="0.4">
      <c r="A102" s="18" t="s">
        <v>77</v>
      </c>
      <c r="B102" s="38">
        <v>-15.639818181818182</v>
      </c>
      <c r="C102" s="38">
        <v>-15.36830303030303</v>
      </c>
      <c r="D102" s="38">
        <v>-15.096787878787879</v>
      </c>
      <c r="E102" s="38">
        <v>-14.853636363636364</v>
      </c>
      <c r="F102">
        <v>-14.611212121212121</v>
      </c>
      <c r="G102">
        <v>-14.399757575757576</v>
      </c>
      <c r="H102">
        <v>-14.191272727272727</v>
      </c>
      <c r="I102">
        <v>-13.694303030303029</v>
      </c>
      <c r="J102">
        <v>-13.14642424242424</v>
      </c>
      <c r="K102">
        <v>-12.563192771084337</v>
      </c>
      <c r="L102">
        <v>-11.970421686746988</v>
      </c>
      <c r="M102">
        <v>-11.409636363636364</v>
      </c>
      <c r="N102">
        <v>-10.861757575757576</v>
      </c>
      <c r="O102">
        <v>-10.337515151515152</v>
      </c>
      <c r="P102">
        <v>-9.8260000000000005</v>
      </c>
      <c r="Q102">
        <v>-9.3608018154311647</v>
      </c>
      <c r="R102">
        <v>-8.9281240544629359</v>
      </c>
      <c r="S102">
        <v>-8.4954462934947053</v>
      </c>
      <c r="T102">
        <v>-8.0627685325264746</v>
      </c>
      <c r="U102">
        <v>-7.6300907715582449</v>
      </c>
      <c r="V102">
        <v>-7.1974130105900151</v>
      </c>
      <c r="W102">
        <v>-6.7647352496217845</v>
      </c>
      <c r="X102">
        <v>-6.3320574886535539</v>
      </c>
      <c r="Y102">
        <v>-5.9196121212121202</v>
      </c>
      <c r="Z102">
        <v>-5.5491878787878779</v>
      </c>
      <c r="AA102">
        <v>-5.1839818181818167</v>
      </c>
      <c r="AB102">
        <v>-4.8334363636363626</v>
      </c>
      <c r="AC102">
        <v>-4.5105272727272725</v>
      </c>
      <c r="AD102">
        <v>-4.2981636363636362</v>
      </c>
      <c r="AE102">
        <v>-4.1176506024096389</v>
      </c>
      <c r="AF102">
        <v>-4.1369277108433735</v>
      </c>
      <c r="AG102">
        <v>-4.1562272727272731</v>
      </c>
      <c r="AH102">
        <v>-4.175863636363637</v>
      </c>
      <c r="AI102">
        <v>-4.1955</v>
      </c>
      <c r="AJ102">
        <v>-4.2151363636363639</v>
      </c>
      <c r="AK102">
        <v>-4.2347727272727278</v>
      </c>
      <c r="AL102">
        <v>-4.2544090909090908</v>
      </c>
      <c r="AM102">
        <v>-4.2740454545454547</v>
      </c>
      <c r="AN102">
        <v>-4.2936818181818186</v>
      </c>
      <c r="AO102">
        <v>-4.3133181818181816</v>
      </c>
      <c r="AP102">
        <v>-4.3331270801815434</v>
      </c>
      <c r="AQ102">
        <v>-4.3529757942511349</v>
      </c>
      <c r="AR102">
        <v>-4.3728245083207264</v>
      </c>
      <c r="AS102">
        <v>-4.392673222390318</v>
      </c>
      <c r="AT102">
        <v>-4.4125219364599095</v>
      </c>
      <c r="AU102">
        <v>-4.4323706505295011</v>
      </c>
      <c r="AV102">
        <v>-4.4522193645990917</v>
      </c>
      <c r="AW102">
        <v>-4.4720680786686833</v>
      </c>
      <c r="AX102">
        <v>-4.4917836611195154</v>
      </c>
      <c r="AY102">
        <v>-4.511390317700454</v>
      </c>
      <c r="AZ102">
        <v>-4.5309969742813916</v>
      </c>
      <c r="BA102">
        <v>-4.5506036308623292</v>
      </c>
      <c r="BB102">
        <v>-4.5702102874432677</v>
      </c>
      <c r="BC102">
        <v>-4.5898169440242054</v>
      </c>
      <c r="BD102">
        <v>-4.6094236006051439</v>
      </c>
      <c r="BE102">
        <v>-4.6290302571860815</v>
      </c>
      <c r="BF102">
        <v>-4.6485757575757569</v>
      </c>
      <c r="BG102">
        <v>-4.6679696969696964</v>
      </c>
      <c r="BH102">
        <v>-4.6872545454545449</v>
      </c>
      <c r="BI102">
        <v>-4.7061636363636365</v>
      </c>
      <c r="BJ102">
        <v>-4.7251515151515155</v>
      </c>
      <c r="BK102">
        <v>-4.7445454545454542</v>
      </c>
      <c r="BL102">
        <v>-4.7638795180722884</v>
      </c>
      <c r="BM102">
        <v>-4.7826746987951809</v>
      </c>
      <c r="BN102">
        <v>-4.8014727272727278</v>
      </c>
      <c r="BO102">
        <v>-4.8203818181818185</v>
      </c>
      <c r="BP102">
        <v>-4.8392909090909093</v>
      </c>
      <c r="BQ102">
        <v>-4.857733333333333</v>
      </c>
      <c r="BR102">
        <v>-4.8761575757575759</v>
      </c>
      <c r="BS102">
        <v>-4.8950181818181822</v>
      </c>
      <c r="BT102">
        <v>-4.9139272727272729</v>
      </c>
      <c r="BU102">
        <v>-4.9324303030303032</v>
      </c>
      <c r="BV102">
        <v>-4.9508545454545452</v>
      </c>
      <c r="BW102">
        <v>-4.9689757942511346</v>
      </c>
      <c r="BX102">
        <v>-4.9870090771558244</v>
      </c>
      <c r="BY102">
        <v>-5.0050423600605143</v>
      </c>
      <c r="BZ102">
        <v>-5.0230756429652041</v>
      </c>
      <c r="CA102">
        <v>-5.041108925869894</v>
      </c>
      <c r="CB102">
        <v>-5.0591422087745839</v>
      </c>
      <c r="CC102">
        <v>-5.0771754916792737</v>
      </c>
      <c r="CD102">
        <v>-5.0952087745839636</v>
      </c>
      <c r="CE102">
        <v>-5.1129939485627833</v>
      </c>
      <c r="CF102">
        <v>-5.1305431164901663</v>
      </c>
      <c r="CG102">
        <v>-5.1480922844175492</v>
      </c>
      <c r="CH102">
        <v>-5.1656414523449321</v>
      </c>
      <c r="CI102">
        <v>-5.1831906202723141</v>
      </c>
      <c r="CJ102">
        <v>-5.2007397881996971</v>
      </c>
      <c r="CK102">
        <v>-5.21828895612708</v>
      </c>
      <c r="CL102">
        <v>-5.2358381240544629</v>
      </c>
    </row>
    <row r="103" spans="1:94" ht="21.75" thickBot="1" x14ac:dyDescent="0.4">
      <c r="A103" s="18" t="s">
        <v>41</v>
      </c>
      <c r="B103" s="38">
        <v>-38.031818181818181</v>
      </c>
      <c r="C103" s="38">
        <v>-37.280303030303031</v>
      </c>
      <c r="D103" s="38">
        <v>-36.528787878787881</v>
      </c>
      <c r="E103" s="38">
        <v>-35.857636363636367</v>
      </c>
      <c r="F103">
        <v>-35.188545454545448</v>
      </c>
      <c r="G103">
        <v>-34.594666666666662</v>
      </c>
      <c r="H103">
        <v>-34.008000000000003</v>
      </c>
      <c r="I103">
        <v>-33.466666666666669</v>
      </c>
      <c r="J103">
        <v>-32.93333333333333</v>
      </c>
      <c r="K103">
        <v>-32.444277108433738</v>
      </c>
      <c r="L103">
        <v>-31.967168674698797</v>
      </c>
      <c r="M103">
        <v>-31.526000000000003</v>
      </c>
      <c r="N103">
        <v>-31.099333333333337</v>
      </c>
      <c r="O103">
        <v>-30.693151515151516</v>
      </c>
      <c r="P103">
        <v>-30.297999999999998</v>
      </c>
      <c r="Q103">
        <v>-29.951906202723144</v>
      </c>
      <c r="R103">
        <v>-29.640257186081694</v>
      </c>
      <c r="S103">
        <v>-29.328608169440241</v>
      </c>
      <c r="T103">
        <v>-29.016959152798787</v>
      </c>
      <c r="U103">
        <v>-28.705310136157337</v>
      </c>
      <c r="V103">
        <v>-28.393661119515883</v>
      </c>
      <c r="W103">
        <v>-28.08201210287443</v>
      </c>
      <c r="X103">
        <v>-27.77036308623298</v>
      </c>
      <c r="Y103">
        <v>-27.479006060606057</v>
      </c>
      <c r="Z103">
        <v>-27.229793939393939</v>
      </c>
      <c r="AA103">
        <v>-26.985799999999998</v>
      </c>
      <c r="AB103">
        <v>-26.756466666666665</v>
      </c>
      <c r="AC103">
        <v>-26.554769696969696</v>
      </c>
      <c r="AD103">
        <v>-26.46361818181818</v>
      </c>
      <c r="AE103">
        <v>-26.40355421686747</v>
      </c>
      <c r="AF103">
        <v>-26.538493975903616</v>
      </c>
      <c r="AG103">
        <v>-26.673575757575762</v>
      </c>
      <c r="AH103">
        <v>-26.810787878787881</v>
      </c>
      <c r="AI103">
        <v>-26.948</v>
      </c>
      <c r="AJ103">
        <v>-27.085212121212123</v>
      </c>
      <c r="AK103">
        <v>-27.222424242424243</v>
      </c>
      <c r="AL103">
        <v>-27.359636363636366</v>
      </c>
      <c r="AM103">
        <v>-27.496848484848485</v>
      </c>
      <c r="AN103">
        <v>-27.634060606060608</v>
      </c>
      <c r="AO103">
        <v>-27.771272727272727</v>
      </c>
      <c r="AP103">
        <v>-27.904579425113464</v>
      </c>
      <c r="AQ103">
        <v>-28.036984871406958</v>
      </c>
      <c r="AR103">
        <v>-28.169390317700454</v>
      </c>
      <c r="AS103">
        <v>-28.301795763993947</v>
      </c>
      <c r="AT103">
        <v>-28.434201210287441</v>
      </c>
      <c r="AU103">
        <v>-28.566606656580937</v>
      </c>
      <c r="AV103">
        <v>-28.69901210287443</v>
      </c>
      <c r="AW103">
        <v>-28.831417549167924</v>
      </c>
      <c r="AX103">
        <v>-28.96169288956127</v>
      </c>
      <c r="AY103">
        <v>-29.090225416036308</v>
      </c>
      <c r="AZ103">
        <v>-29.218757942511346</v>
      </c>
      <c r="BA103">
        <v>-29.347290468986383</v>
      </c>
      <c r="BB103">
        <v>-29.475822995461421</v>
      </c>
      <c r="BC103">
        <v>-29.604355521936458</v>
      </c>
      <c r="BD103">
        <v>-29.732888048411496</v>
      </c>
      <c r="BE103">
        <v>-29.861420574886534</v>
      </c>
      <c r="BF103">
        <v>-29.989242424242423</v>
      </c>
      <c r="BG103">
        <v>-30.115303030303028</v>
      </c>
      <c r="BH103">
        <v>-30.241254545454545</v>
      </c>
      <c r="BI103">
        <v>-30.366830303030305</v>
      </c>
      <c r="BJ103">
        <v>-30.491696969696971</v>
      </c>
      <c r="BK103">
        <v>-30.612909090909092</v>
      </c>
      <c r="BL103">
        <v>-30.734481927710846</v>
      </c>
      <c r="BM103">
        <v>-30.859301204819278</v>
      </c>
      <c r="BN103">
        <v>-30.984018181818183</v>
      </c>
      <c r="BO103">
        <v>-31.104745454545455</v>
      </c>
      <c r="BP103">
        <v>-31.225472727272727</v>
      </c>
      <c r="BQ103">
        <v>-31.345733333333335</v>
      </c>
      <c r="BR103">
        <v>-31.465975757575759</v>
      </c>
      <c r="BS103">
        <v>-31.586654545454547</v>
      </c>
      <c r="BT103">
        <v>-31.707381818181815</v>
      </c>
      <c r="BU103">
        <v>-31.827703030303031</v>
      </c>
      <c r="BV103">
        <v>-31.947945454545454</v>
      </c>
      <c r="BW103">
        <v>-32.064951588502268</v>
      </c>
      <c r="BX103">
        <v>-32.181018154311651</v>
      </c>
      <c r="BY103">
        <v>-32.297084720121028</v>
      </c>
      <c r="BZ103">
        <v>-32.413151285930411</v>
      </c>
      <c r="CA103">
        <v>-32.529217851739787</v>
      </c>
      <c r="CB103">
        <v>-32.645284417549163</v>
      </c>
      <c r="CC103">
        <v>-32.761350983358547</v>
      </c>
      <c r="CD103">
        <v>-32.877417549167923</v>
      </c>
      <c r="CE103">
        <v>-32.991995461422086</v>
      </c>
      <c r="CF103">
        <v>-33.105157337367622</v>
      </c>
      <c r="CG103">
        <v>-33.218319213313158</v>
      </c>
      <c r="CH103">
        <v>-33.331481089258695</v>
      </c>
      <c r="CI103">
        <v>-33.444642965204238</v>
      </c>
      <c r="CJ103">
        <v>-33.557804841149775</v>
      </c>
      <c r="CK103">
        <v>-33.670966717095311</v>
      </c>
      <c r="CL103">
        <v>-33.784128593040847</v>
      </c>
    </row>
    <row r="104" spans="1:94" ht="21.75" thickBot="1" x14ac:dyDescent="0.4">
      <c r="A104" s="18" t="s">
        <v>53</v>
      </c>
      <c r="B104" s="38">
        <v>-63.223636363636359</v>
      </c>
      <c r="C104" s="38">
        <v>-61.720606060606059</v>
      </c>
      <c r="D104" s="38">
        <v>-60.217575757575759</v>
      </c>
      <c r="E104" s="38">
        <v>-58.865818181818177</v>
      </c>
      <c r="F104">
        <v>-57.517939393939393</v>
      </c>
      <c r="G104">
        <v>-56.298363636363632</v>
      </c>
      <c r="H104">
        <v>-55.091090909090902</v>
      </c>
      <c r="I104">
        <v>-53.517030303030296</v>
      </c>
      <c r="J104">
        <v>-51.878242424242423</v>
      </c>
      <c r="K104">
        <v>-50.254819277108432</v>
      </c>
      <c r="L104">
        <v>-48.635542168674704</v>
      </c>
      <c r="M104">
        <v>-47.095636363636366</v>
      </c>
      <c r="N104">
        <v>-45.587757575757578</v>
      </c>
      <c r="O104">
        <v>-44.155515151515154</v>
      </c>
      <c r="P104">
        <v>-42.764000000000003</v>
      </c>
      <c r="Q104">
        <v>-41.503131618759454</v>
      </c>
      <c r="R104">
        <v>-40.333993948562785</v>
      </c>
      <c r="S104">
        <v>-39.164856278366109</v>
      </c>
      <c r="T104">
        <v>-37.99571860816944</v>
      </c>
      <c r="U104">
        <v>-36.826580937972764</v>
      </c>
      <c r="V104">
        <v>-35.657443267776095</v>
      </c>
      <c r="W104">
        <v>-34.488305597579426</v>
      </c>
      <c r="X104">
        <v>-33.31916792738275</v>
      </c>
      <c r="Y104">
        <v>-32.206969696969693</v>
      </c>
      <c r="Z104">
        <v>-31.213030303030301</v>
      </c>
      <c r="AA104">
        <v>-30.234363636363636</v>
      </c>
      <c r="AB104">
        <v>-29.298606060606058</v>
      </c>
      <c r="AC104">
        <v>-28.374484848484848</v>
      </c>
      <c r="AD104">
        <v>-27.496909090909089</v>
      </c>
      <c r="AE104">
        <v>-26.626024096385539</v>
      </c>
      <c r="AF104">
        <v>-25.797108433734937</v>
      </c>
      <c r="AG104">
        <v>-24.974090909090908</v>
      </c>
      <c r="AH104">
        <v>-24.239545454545453</v>
      </c>
      <c r="AI104">
        <v>-23.504999999999999</v>
      </c>
      <c r="AJ104">
        <v>-22.770454545454545</v>
      </c>
      <c r="AK104">
        <v>-22.03590909090909</v>
      </c>
      <c r="AL104">
        <v>-21.301363636363636</v>
      </c>
      <c r="AM104">
        <v>-20.566818181818181</v>
      </c>
      <c r="AN104">
        <v>-19.832272727272727</v>
      </c>
      <c r="AO104">
        <v>-19.097727272727273</v>
      </c>
      <c r="AP104">
        <v>-18.467337367624811</v>
      </c>
      <c r="AQ104">
        <v>-17.860983358547657</v>
      </c>
      <c r="AR104">
        <v>-17.254629349470502</v>
      </c>
      <c r="AS104">
        <v>-16.648275340393344</v>
      </c>
      <c r="AT104">
        <v>-16.041921331316189</v>
      </c>
      <c r="AU104">
        <v>-15.435567322239033</v>
      </c>
      <c r="AV104">
        <v>-14.829213313161876</v>
      </c>
      <c r="AW104">
        <v>-14.222859304084722</v>
      </c>
      <c r="AX104">
        <v>-13.667494704992437</v>
      </c>
      <c r="AY104">
        <v>-13.153848714069593</v>
      </c>
      <c r="AZ104">
        <v>-12.640202723146748</v>
      </c>
      <c r="BA104">
        <v>-12.126556732223904</v>
      </c>
      <c r="BB104">
        <v>-11.612910741301061</v>
      </c>
      <c r="BC104">
        <v>-11.099264750378216</v>
      </c>
      <c r="BD104">
        <v>-10.585618759455372</v>
      </c>
      <c r="BE104">
        <v>-10.071972768532529</v>
      </c>
      <c r="BF104">
        <v>-9.5716242424242441</v>
      </c>
      <c r="BG104">
        <v>-9.104230303030306</v>
      </c>
      <c r="BH104">
        <v>-8.688981818181821</v>
      </c>
      <c r="BI104">
        <v>-8.4533454545454561</v>
      </c>
      <c r="BJ104">
        <v>-8.2237757575757584</v>
      </c>
      <c r="BK104">
        <v>-8.025472727272728</v>
      </c>
      <c r="BL104">
        <v>-7.8367831325301216</v>
      </c>
      <c r="BM104">
        <v>-7.7346144578313254</v>
      </c>
      <c r="BN104">
        <v>-7.6359696969696973</v>
      </c>
      <c r="BO104">
        <v>-7.6747575757575754</v>
      </c>
      <c r="BP104">
        <v>-7.7135454545454545</v>
      </c>
      <c r="BQ104">
        <v>-7.7528000000000006</v>
      </c>
      <c r="BR104">
        <v>-7.7920727272727275</v>
      </c>
      <c r="BS104">
        <v>-7.832218181818182</v>
      </c>
      <c r="BT104">
        <v>-7.8724606060606055</v>
      </c>
      <c r="BU104">
        <v>-7.9131090909090913</v>
      </c>
      <c r="BV104">
        <v>-7.9538363636363636</v>
      </c>
      <c r="BW104">
        <v>-7.9963918305597588</v>
      </c>
      <c r="BX104">
        <v>-8.0394780635400913</v>
      </c>
      <c r="BY104">
        <v>-8.0825642965204239</v>
      </c>
      <c r="BZ104">
        <v>-8.1256505295007564</v>
      </c>
      <c r="CA104">
        <v>-8.1687367624810907</v>
      </c>
      <c r="CB104">
        <v>-8.2118229954614232</v>
      </c>
      <c r="CC104">
        <v>-8.2549092284417558</v>
      </c>
      <c r="CD104">
        <v>-8.2979954614220883</v>
      </c>
      <c r="CE104">
        <v>-8.3441830559757957</v>
      </c>
      <c r="CF104">
        <v>-8.3933207261724672</v>
      </c>
      <c r="CG104">
        <v>-8.4424583963691386</v>
      </c>
      <c r="CH104">
        <v>-8.4915960665658101</v>
      </c>
      <c r="CI104">
        <v>-8.5407337367624816</v>
      </c>
      <c r="CJ104">
        <v>-8.5898714069591531</v>
      </c>
      <c r="CK104">
        <v>-8.6390090771558246</v>
      </c>
      <c r="CL104">
        <v>-8.688146747352496</v>
      </c>
    </row>
    <row r="105" spans="1:94" ht="21.75" thickBot="1" x14ac:dyDescent="0.4">
      <c r="A105" s="18" t="s">
        <v>93</v>
      </c>
      <c r="B105" s="38">
        <v>-148.83927272727271</v>
      </c>
      <c r="C105" s="38">
        <v>-145.35321212121212</v>
      </c>
      <c r="D105" s="38">
        <v>-141.86715151515151</v>
      </c>
      <c r="E105" s="38">
        <v>-138.73563636363636</v>
      </c>
      <c r="F105">
        <v>-135.61321212121211</v>
      </c>
      <c r="G105">
        <v>-132.79163636363634</v>
      </c>
      <c r="H105">
        <v>-129.99890909090908</v>
      </c>
      <c r="I105">
        <v>-126.80642424242423</v>
      </c>
      <c r="J105">
        <v>-123.54339393939392</v>
      </c>
      <c r="K105">
        <v>-120.39072289156626</v>
      </c>
      <c r="L105">
        <v>-117.26783132530122</v>
      </c>
      <c r="M105">
        <v>-114.30763636363638</v>
      </c>
      <c r="N105">
        <v>-111.41309090909093</v>
      </c>
      <c r="O105">
        <v>-108.66666666666667</v>
      </c>
      <c r="P105">
        <v>-106</v>
      </c>
      <c r="Q105">
        <v>-103.59736762481089</v>
      </c>
      <c r="R105">
        <v>-101.38012102874433</v>
      </c>
      <c r="S105">
        <v>-99.162874432677754</v>
      </c>
      <c r="T105">
        <v>-96.945627836611195</v>
      </c>
      <c r="U105">
        <v>-94.728381240544621</v>
      </c>
      <c r="V105">
        <v>-92.511134644478062</v>
      </c>
      <c r="W105">
        <v>-90.293888048411489</v>
      </c>
      <c r="X105">
        <v>-88.076641452344916</v>
      </c>
      <c r="Y105">
        <v>-85.973333333333329</v>
      </c>
      <c r="Z105">
        <v>-84.106666666666669</v>
      </c>
      <c r="AA105">
        <v>-82.270545454545456</v>
      </c>
      <c r="AB105">
        <v>-80.520242424242426</v>
      </c>
      <c r="AC105">
        <v>-78.793212121212122</v>
      </c>
      <c r="AD105">
        <v>-77.159272727272722</v>
      </c>
      <c r="AE105">
        <v>-75.537951807228907</v>
      </c>
      <c r="AF105">
        <v>-73.995783132530121</v>
      </c>
      <c r="AG105">
        <v>-72.465530303030306</v>
      </c>
      <c r="AH105">
        <v>-71.114015151515147</v>
      </c>
      <c r="AI105">
        <v>-69.762500000000003</v>
      </c>
      <c r="AJ105">
        <v>-68.410984848484844</v>
      </c>
      <c r="AK105">
        <v>-67.0594696969697</v>
      </c>
      <c r="AL105">
        <v>-65.707954545454555</v>
      </c>
      <c r="AM105">
        <v>-64.356439393939397</v>
      </c>
      <c r="AN105">
        <v>-63.004924242424245</v>
      </c>
      <c r="AO105">
        <v>-61.653409090909093</v>
      </c>
      <c r="AP105">
        <v>-60.50612708018155</v>
      </c>
      <c r="AQ105">
        <v>-59.405975794251141</v>
      </c>
      <c r="AR105">
        <v>-58.305824508320732</v>
      </c>
      <c r="AS105">
        <v>-57.205673222390324</v>
      </c>
      <c r="AT105">
        <v>-56.105521936459915</v>
      </c>
      <c r="AU105">
        <v>-55.005370650529507</v>
      </c>
      <c r="AV105">
        <v>-53.905219364599098</v>
      </c>
      <c r="AW105">
        <v>-52.80506807866869</v>
      </c>
      <c r="AX105">
        <v>-51.804898638426629</v>
      </c>
      <c r="AY105">
        <v>-50.886532526475044</v>
      </c>
      <c r="AZ105">
        <v>-49.968166414523452</v>
      </c>
      <c r="BA105">
        <v>-49.04980030257186</v>
      </c>
      <c r="BB105">
        <v>-48.131434190620276</v>
      </c>
      <c r="BC105">
        <v>-47.213068078668684</v>
      </c>
      <c r="BD105">
        <v>-46.294701966717099</v>
      </c>
      <c r="BE105">
        <v>-45.376335854765507</v>
      </c>
      <c r="BF105">
        <v>-44.483915151515149</v>
      </c>
      <c r="BG105">
        <v>-43.655793939393945</v>
      </c>
      <c r="BH105">
        <v>-42.931963636363641</v>
      </c>
      <c r="BI105">
        <v>-42.567357575757576</v>
      </c>
      <c r="BJ105">
        <v>-42.214096969696975</v>
      </c>
      <c r="BK105">
        <v>-41.919309090909096</v>
      </c>
      <c r="BL105">
        <v>-41.644168674698797</v>
      </c>
      <c r="BM105">
        <v>-41.545855421686753</v>
      </c>
      <c r="BN105">
        <v>-41.454484848484853</v>
      </c>
      <c r="BO105">
        <v>-41.633878787878793</v>
      </c>
      <c r="BP105">
        <v>-41.813272727272725</v>
      </c>
      <c r="BQ105">
        <v>-41.993600000000001</v>
      </c>
      <c r="BR105">
        <v>-42.173963636363638</v>
      </c>
      <c r="BS105">
        <v>-42.356072727272725</v>
      </c>
      <c r="BT105">
        <v>-42.538375757575757</v>
      </c>
      <c r="BU105">
        <v>-42.72149090909091</v>
      </c>
      <c r="BV105">
        <v>-42.904763636363633</v>
      </c>
      <c r="BW105">
        <v>-43.088759455370649</v>
      </c>
      <c r="BX105">
        <v>-43.272965204236009</v>
      </c>
      <c r="BY105">
        <v>-43.457170953101361</v>
      </c>
      <c r="BZ105">
        <v>-43.64137670196672</v>
      </c>
      <c r="CA105">
        <v>-43.825582450832073</v>
      </c>
      <c r="CB105">
        <v>-44.009788199697432</v>
      </c>
      <c r="CC105">
        <v>-44.193993948562785</v>
      </c>
      <c r="CD105">
        <v>-44.378199697428144</v>
      </c>
      <c r="CE105">
        <v>-44.567367624810899</v>
      </c>
      <c r="CF105">
        <v>-44.761255673222394</v>
      </c>
      <c r="CG105">
        <v>-44.955143721633888</v>
      </c>
      <c r="CH105">
        <v>-45.14903177004539</v>
      </c>
      <c r="CI105">
        <v>-45.342919818456885</v>
      </c>
      <c r="CJ105">
        <v>-45.536807866868379</v>
      </c>
      <c r="CK105">
        <v>-45.730695915279881</v>
      </c>
      <c r="CL105">
        <v>-45.924583963691376</v>
      </c>
    </row>
    <row r="106" spans="1:94" ht="21.75" thickBot="1" x14ac:dyDescent="0.4">
      <c r="A106" s="18" t="s">
        <v>76</v>
      </c>
      <c r="B106" s="38">
        <v>-15.639818181818182</v>
      </c>
      <c r="C106" s="38">
        <v>-15.36830303030303</v>
      </c>
      <c r="D106" s="38">
        <v>-15.096787878787879</v>
      </c>
      <c r="E106" s="38">
        <v>-14.853636363636364</v>
      </c>
      <c r="F106">
        <v>-14.611212121212121</v>
      </c>
      <c r="G106">
        <v>-14.399757575757576</v>
      </c>
      <c r="H106">
        <v>-14.191272727272727</v>
      </c>
      <c r="I106">
        <v>-13.694303030303029</v>
      </c>
      <c r="J106">
        <v>-13.14642424242424</v>
      </c>
      <c r="K106">
        <v>-12.563192771084337</v>
      </c>
      <c r="L106">
        <v>-11.970421686746988</v>
      </c>
      <c r="M106">
        <v>-11.409636363636364</v>
      </c>
      <c r="N106">
        <v>-10.861757575757576</v>
      </c>
      <c r="O106">
        <v>-10.337515151515152</v>
      </c>
      <c r="P106">
        <v>-9.8260000000000005</v>
      </c>
      <c r="Q106">
        <v>-9.3608018154311647</v>
      </c>
      <c r="R106">
        <v>-8.9281240544629359</v>
      </c>
      <c r="S106">
        <v>-8.4954462934947053</v>
      </c>
      <c r="T106">
        <v>-8.0627685325264746</v>
      </c>
      <c r="U106">
        <v>-7.6300907715582449</v>
      </c>
      <c r="V106">
        <v>-7.1974130105900151</v>
      </c>
      <c r="W106">
        <v>-6.7647352496217845</v>
      </c>
      <c r="X106">
        <v>-6.3320574886535539</v>
      </c>
      <c r="Y106">
        <v>-5.9196121212121202</v>
      </c>
      <c r="Z106">
        <v>-5.5491878787878779</v>
      </c>
      <c r="AA106">
        <v>-5.1839818181818167</v>
      </c>
      <c r="AB106">
        <v>-4.8334363636363626</v>
      </c>
      <c r="AC106">
        <v>-4.5105272727272725</v>
      </c>
      <c r="AD106">
        <v>-4.2981636363636362</v>
      </c>
      <c r="AE106">
        <v>-4.1176506024096389</v>
      </c>
      <c r="AF106">
        <v>-4.1369277108433735</v>
      </c>
      <c r="AG106">
        <v>-4.1562272727272731</v>
      </c>
      <c r="AH106">
        <v>-4.175863636363637</v>
      </c>
      <c r="AI106">
        <v>-4.1955</v>
      </c>
      <c r="AJ106">
        <v>-4.2151363636363639</v>
      </c>
      <c r="AK106">
        <v>-4.2347727272727278</v>
      </c>
      <c r="AL106">
        <v>-4.2544090909090908</v>
      </c>
      <c r="AM106">
        <v>-4.2740454545454547</v>
      </c>
      <c r="AN106">
        <v>-4.2936818181818186</v>
      </c>
      <c r="AO106">
        <v>-4.3133181818181816</v>
      </c>
      <c r="AP106">
        <v>-4.3331270801815434</v>
      </c>
      <c r="AQ106">
        <v>-4.3529757942511349</v>
      </c>
      <c r="AR106">
        <v>-4.3728245083207264</v>
      </c>
      <c r="AS106">
        <v>-4.392673222390318</v>
      </c>
      <c r="AT106">
        <v>-4.4125219364599095</v>
      </c>
      <c r="AU106">
        <v>-4.4323706505295011</v>
      </c>
      <c r="AV106">
        <v>-4.4522193645990917</v>
      </c>
      <c r="AW106">
        <v>-4.4720680786686833</v>
      </c>
      <c r="AX106">
        <v>-4.4917836611195154</v>
      </c>
      <c r="AY106">
        <v>-4.511390317700454</v>
      </c>
      <c r="AZ106">
        <v>-4.5309969742813916</v>
      </c>
      <c r="BA106">
        <v>-4.5506036308623292</v>
      </c>
      <c r="BB106">
        <v>-4.5702102874432677</v>
      </c>
      <c r="BC106">
        <v>-4.5898169440242054</v>
      </c>
      <c r="BD106">
        <v>-4.6094236006051439</v>
      </c>
      <c r="BE106">
        <v>-4.6290302571860815</v>
      </c>
      <c r="BF106">
        <v>-4.6485757575757569</v>
      </c>
      <c r="BG106">
        <v>-4.6679696969696964</v>
      </c>
      <c r="BH106">
        <v>-4.6872545454545449</v>
      </c>
      <c r="BI106">
        <v>-4.7061636363636365</v>
      </c>
      <c r="BJ106">
        <v>-4.7251515151515155</v>
      </c>
      <c r="BK106">
        <v>-4.7445454545454542</v>
      </c>
      <c r="BL106">
        <v>-4.7638795180722884</v>
      </c>
      <c r="BM106">
        <v>-4.7826746987951809</v>
      </c>
      <c r="BN106">
        <v>-4.8014727272727278</v>
      </c>
      <c r="BO106">
        <v>-4.8203818181818185</v>
      </c>
      <c r="BP106">
        <v>-4.8392909090909093</v>
      </c>
      <c r="BQ106">
        <v>-4.857733333333333</v>
      </c>
      <c r="BR106">
        <v>-4.8761575757575759</v>
      </c>
      <c r="BS106">
        <v>-4.8950181818181822</v>
      </c>
      <c r="BT106">
        <v>-4.9139272727272729</v>
      </c>
      <c r="BU106">
        <v>-4.9324303030303032</v>
      </c>
      <c r="BV106">
        <v>-4.9508545454545452</v>
      </c>
      <c r="BW106">
        <v>-4.9689757942511346</v>
      </c>
      <c r="BX106">
        <v>-4.9870090771558244</v>
      </c>
      <c r="BY106">
        <v>-5.0050423600605143</v>
      </c>
      <c r="BZ106">
        <v>-5.0230756429652041</v>
      </c>
      <c r="CA106">
        <v>-5.041108925869894</v>
      </c>
      <c r="CB106">
        <v>-5.0591422087745839</v>
      </c>
      <c r="CC106">
        <v>-5.0771754916792737</v>
      </c>
      <c r="CD106">
        <v>-5.0952087745839636</v>
      </c>
      <c r="CE106">
        <v>-5.1129939485627833</v>
      </c>
      <c r="CF106">
        <v>-5.1305431164901663</v>
      </c>
      <c r="CG106">
        <v>-5.1480922844175492</v>
      </c>
      <c r="CH106">
        <v>-5.1656414523449321</v>
      </c>
      <c r="CI106">
        <v>-5.1831906202723141</v>
      </c>
      <c r="CJ106">
        <v>-5.2007397881996971</v>
      </c>
      <c r="CK106">
        <v>-5.21828895612708</v>
      </c>
      <c r="CL106">
        <v>-5.2358381240544629</v>
      </c>
    </row>
    <row r="107" spans="1:94" ht="21.75" thickBot="1" x14ac:dyDescent="0.4">
      <c r="A107" s="18" t="s">
        <v>42</v>
      </c>
      <c r="B107" s="38">
        <v>-22.391999999999999</v>
      </c>
      <c r="C107" s="38">
        <v>-21.911999999999999</v>
      </c>
      <c r="D107" s="38">
        <v>-21.432000000000002</v>
      </c>
      <c r="E107" s="38">
        <v>-21.004000000000001</v>
      </c>
      <c r="F107">
        <v>-20.577333333333332</v>
      </c>
      <c r="G107">
        <v>-20.194909090909089</v>
      </c>
      <c r="H107">
        <v>-19.816727272727274</v>
      </c>
      <c r="I107">
        <v>-19.772363636363636</v>
      </c>
      <c r="J107">
        <v>-19.786909090909091</v>
      </c>
      <c r="K107">
        <v>-19.881084337349396</v>
      </c>
      <c r="L107">
        <v>-19.996746987951809</v>
      </c>
      <c r="M107">
        <v>-20.116363636363637</v>
      </c>
      <c r="N107">
        <v>-20.237575757575758</v>
      </c>
      <c r="O107">
        <v>-20.355636363636364</v>
      </c>
      <c r="P107">
        <v>-20.472000000000001</v>
      </c>
      <c r="Q107">
        <v>-20.591104387291981</v>
      </c>
      <c r="R107">
        <v>-20.71213313161876</v>
      </c>
      <c r="S107">
        <v>-20.833161875945535</v>
      </c>
      <c r="T107">
        <v>-20.954190620272314</v>
      </c>
      <c r="U107">
        <v>-21.075219364599093</v>
      </c>
      <c r="V107">
        <v>-21.196248108925868</v>
      </c>
      <c r="W107">
        <v>-21.317276853252647</v>
      </c>
      <c r="X107">
        <v>-21.438305597579426</v>
      </c>
      <c r="Y107">
        <v>-21.559393939393939</v>
      </c>
      <c r="Z107">
        <v>-21.68060606060606</v>
      </c>
      <c r="AA107">
        <v>-21.801818181818181</v>
      </c>
      <c r="AB107">
        <v>-21.923030303030302</v>
      </c>
      <c r="AC107">
        <v>-22.044242424242423</v>
      </c>
      <c r="AD107">
        <v>-22.165454545454544</v>
      </c>
      <c r="AE107">
        <v>-22.28590361445783</v>
      </c>
      <c r="AF107">
        <v>-22.401566265060243</v>
      </c>
      <c r="AG107">
        <v>-22.517348484848487</v>
      </c>
      <c r="AH107">
        <v>-22.634924242424244</v>
      </c>
      <c r="AI107">
        <v>-22.752500000000001</v>
      </c>
      <c r="AJ107">
        <v>-22.870075757575759</v>
      </c>
      <c r="AK107">
        <v>-22.987651515151516</v>
      </c>
      <c r="AL107">
        <v>-23.105227272727273</v>
      </c>
      <c r="AM107">
        <v>-23.22280303030303</v>
      </c>
      <c r="AN107">
        <v>-23.340378787878787</v>
      </c>
      <c r="AO107">
        <v>-23.457954545454545</v>
      </c>
      <c r="AP107">
        <v>-23.57145234493192</v>
      </c>
      <c r="AQ107">
        <v>-23.684009077155824</v>
      </c>
      <c r="AR107">
        <v>-23.796565809379729</v>
      </c>
      <c r="AS107">
        <v>-23.909122541603629</v>
      </c>
      <c r="AT107">
        <v>-24.021679273827534</v>
      </c>
      <c r="AU107">
        <v>-24.134236006051438</v>
      </c>
      <c r="AV107">
        <v>-24.246792738275339</v>
      </c>
      <c r="AW107">
        <v>-24.359349470499243</v>
      </c>
      <c r="AX107">
        <v>-24.469909228441754</v>
      </c>
      <c r="AY107">
        <v>-24.578835098335855</v>
      </c>
      <c r="AZ107">
        <v>-24.687760968229952</v>
      </c>
      <c r="BA107">
        <v>-24.796686838124053</v>
      </c>
      <c r="BB107">
        <v>-24.905612708018154</v>
      </c>
      <c r="BC107">
        <v>-25.014538577912251</v>
      </c>
      <c r="BD107">
        <v>-25.123464447806352</v>
      </c>
      <c r="BE107">
        <v>-25.232390317700453</v>
      </c>
      <c r="BF107">
        <v>-25.340666666666664</v>
      </c>
      <c r="BG107">
        <v>-25.447333333333333</v>
      </c>
      <c r="BH107">
        <v>-25.554000000000002</v>
      </c>
      <c r="BI107">
        <v>-25.660666666666668</v>
      </c>
      <c r="BJ107">
        <v>-25.766545454545454</v>
      </c>
      <c r="BK107">
        <v>-25.868363636363636</v>
      </c>
      <c r="BL107">
        <v>-25.970602409638555</v>
      </c>
      <c r="BM107">
        <v>-26.076626506024098</v>
      </c>
      <c r="BN107">
        <v>-26.182545454545455</v>
      </c>
      <c r="BO107">
        <v>-26.284363636363636</v>
      </c>
      <c r="BP107">
        <v>-26.386181818181818</v>
      </c>
      <c r="BQ107">
        <v>-26.488000000000003</v>
      </c>
      <c r="BR107">
        <v>-26.589818181818185</v>
      </c>
      <c r="BS107">
        <v>-26.691636363636363</v>
      </c>
      <c r="BT107">
        <v>-26.793454545454544</v>
      </c>
      <c r="BU107">
        <v>-26.895272727272726</v>
      </c>
      <c r="BV107">
        <v>-26.997090909090907</v>
      </c>
      <c r="BW107">
        <v>-27.095975794251135</v>
      </c>
      <c r="BX107">
        <v>-27.194009077155826</v>
      </c>
      <c r="BY107">
        <v>-27.292042360060513</v>
      </c>
      <c r="BZ107">
        <v>-27.390075642965204</v>
      </c>
      <c r="CA107">
        <v>-27.488108925869895</v>
      </c>
      <c r="CB107">
        <v>-27.586142208774582</v>
      </c>
      <c r="CC107">
        <v>-27.684175491679273</v>
      </c>
      <c r="CD107">
        <v>-27.782208774583964</v>
      </c>
      <c r="CE107">
        <v>-27.879001512859304</v>
      </c>
      <c r="CF107">
        <v>-27.974614220877456</v>
      </c>
      <c r="CG107">
        <v>-28.070226928895611</v>
      </c>
      <c r="CH107">
        <v>-28.165839636913766</v>
      </c>
      <c r="CI107">
        <v>-28.261452344931921</v>
      </c>
      <c r="CJ107">
        <v>-28.357065052950077</v>
      </c>
      <c r="CK107">
        <v>-28.452677760968232</v>
      </c>
      <c r="CL107">
        <v>-28.548290468986384</v>
      </c>
    </row>
    <row r="108" spans="1:94" ht="21.75" thickBot="1" x14ac:dyDescent="0.4">
      <c r="A108" s="18" t="s">
        <v>75</v>
      </c>
      <c r="B108" s="38">
        <v>-60.423818181818177</v>
      </c>
      <c r="C108" s="38">
        <v>-59.19230303030303</v>
      </c>
      <c r="D108" s="38">
        <v>-57.960787878787883</v>
      </c>
      <c r="E108" s="38">
        <v>-56.861636363636364</v>
      </c>
      <c r="F108">
        <v>-55.76587878787879</v>
      </c>
      <c r="G108">
        <v>-54.789575757575761</v>
      </c>
      <c r="H108">
        <v>-53.82472727272728</v>
      </c>
      <c r="I108">
        <v>-53.239030303030304</v>
      </c>
      <c r="J108">
        <v>-52.720242424242421</v>
      </c>
      <c r="K108">
        <v>-52.32536144578313</v>
      </c>
      <c r="L108">
        <v>-51.963915662650599</v>
      </c>
      <c r="M108">
        <v>-51.64236363636364</v>
      </c>
      <c r="N108">
        <v>-51.336909090909096</v>
      </c>
      <c r="O108">
        <v>-51.048787878787884</v>
      </c>
      <c r="P108">
        <v>-50.77</v>
      </c>
      <c r="Q108">
        <v>-50.543010590015129</v>
      </c>
      <c r="R108">
        <v>-50.352390317700454</v>
      </c>
      <c r="S108">
        <v>-50.161770045385779</v>
      </c>
      <c r="T108">
        <v>-49.971149773071105</v>
      </c>
      <c r="U108">
        <v>-49.78052950075643</v>
      </c>
      <c r="V108">
        <v>-49.589909228441755</v>
      </c>
      <c r="W108">
        <v>-49.39928895612708</v>
      </c>
      <c r="X108">
        <v>-49.208668683812405</v>
      </c>
      <c r="Y108">
        <v>-49.038399999999996</v>
      </c>
      <c r="Z108">
        <v>-48.910400000000003</v>
      </c>
      <c r="AA108">
        <v>-48.787618181818182</v>
      </c>
      <c r="AB108">
        <v>-48.67949696969697</v>
      </c>
      <c r="AC108">
        <v>-48.59901212121212</v>
      </c>
      <c r="AD108">
        <v>-48.629072727272728</v>
      </c>
      <c r="AE108">
        <v>-48.689457831325306</v>
      </c>
      <c r="AF108">
        <v>-48.940060240963859</v>
      </c>
      <c r="AG108">
        <v>-49.190924242424245</v>
      </c>
      <c r="AH108">
        <v>-49.445712121212125</v>
      </c>
      <c r="AI108">
        <v>-49.700500000000005</v>
      </c>
      <c r="AJ108">
        <v>-49.955287878787885</v>
      </c>
      <c r="AK108">
        <v>-50.210075757575758</v>
      </c>
      <c r="AL108">
        <v>-50.464863636363638</v>
      </c>
      <c r="AM108">
        <v>-50.719651515151519</v>
      </c>
      <c r="AN108">
        <v>-50.974439393939399</v>
      </c>
      <c r="AO108">
        <v>-51.229227272727272</v>
      </c>
      <c r="AP108">
        <v>-51.476031770045388</v>
      </c>
      <c r="AQ108">
        <v>-51.720993948562786</v>
      </c>
      <c r="AR108">
        <v>-51.965956127080183</v>
      </c>
      <c r="AS108">
        <v>-52.210918305597581</v>
      </c>
      <c r="AT108">
        <v>-52.455880484114978</v>
      </c>
      <c r="AU108">
        <v>-52.700842662632375</v>
      </c>
      <c r="AV108">
        <v>-52.945804841149773</v>
      </c>
      <c r="AW108">
        <v>-53.19076701966717</v>
      </c>
      <c r="AX108">
        <v>-53.431602118003028</v>
      </c>
      <c r="AY108">
        <v>-53.669060514372163</v>
      </c>
      <c r="AZ108">
        <v>-53.906518910741298</v>
      </c>
      <c r="BA108">
        <v>-54.14397730711044</v>
      </c>
      <c r="BB108">
        <v>-54.381435703479575</v>
      </c>
      <c r="BC108">
        <v>-54.61889409984871</v>
      </c>
      <c r="BD108">
        <v>-54.856352496217852</v>
      </c>
      <c r="BE108">
        <v>-55.093810892586987</v>
      </c>
      <c r="BF108">
        <v>-55.329909090909091</v>
      </c>
      <c r="BG108">
        <v>-55.562636363636365</v>
      </c>
      <c r="BH108">
        <v>-55.795254545454547</v>
      </c>
      <c r="BI108">
        <v>-56.027496969696969</v>
      </c>
      <c r="BJ108">
        <v>-56.258242424242425</v>
      </c>
      <c r="BK108">
        <v>-56.481272727272724</v>
      </c>
      <c r="BL108">
        <v>-56.705084337349398</v>
      </c>
      <c r="BM108">
        <v>-56.935927710843373</v>
      </c>
      <c r="BN108">
        <v>-57.166563636363641</v>
      </c>
      <c r="BO108">
        <v>-57.389109090909095</v>
      </c>
      <c r="BP108">
        <v>-57.611654545454549</v>
      </c>
      <c r="BQ108">
        <v>-57.833733333333342</v>
      </c>
      <c r="BR108">
        <v>-58.055793939393944</v>
      </c>
      <c r="BS108">
        <v>-58.278290909090913</v>
      </c>
      <c r="BT108">
        <v>-58.500836363636367</v>
      </c>
      <c r="BU108">
        <v>-58.72297575757576</v>
      </c>
      <c r="BV108">
        <v>-58.945036363636362</v>
      </c>
      <c r="BW108">
        <v>-59.1609273827534</v>
      </c>
      <c r="BX108">
        <v>-59.37502723146747</v>
      </c>
      <c r="BY108">
        <v>-59.589127080181541</v>
      </c>
      <c r="BZ108">
        <v>-59.803226928895612</v>
      </c>
      <c r="CA108">
        <v>-60.017326777609682</v>
      </c>
      <c r="CB108">
        <v>-60.231426626323746</v>
      </c>
      <c r="CC108">
        <v>-60.445526475037816</v>
      </c>
      <c r="CD108">
        <v>-60.659626323751887</v>
      </c>
      <c r="CE108">
        <v>-60.87099697428139</v>
      </c>
      <c r="CF108">
        <v>-61.079771558245078</v>
      </c>
      <c r="CG108">
        <v>-61.288546142208773</v>
      </c>
      <c r="CH108">
        <v>-61.497320726172468</v>
      </c>
      <c r="CI108">
        <v>-61.706095310136156</v>
      </c>
      <c r="CJ108">
        <v>-61.914869894099851</v>
      </c>
      <c r="CK108">
        <v>-62.12364447806354</v>
      </c>
      <c r="CL108">
        <v>-62.332419062027235</v>
      </c>
    </row>
    <row r="109" spans="1:94" ht="21.75" thickBot="1" x14ac:dyDescent="0.4">
      <c r="A109" s="18" t="s">
        <v>70</v>
      </c>
      <c r="B109" s="38">
        <v>-193.62327272727273</v>
      </c>
      <c r="C109" s="38">
        <v>-189.17721212121214</v>
      </c>
      <c r="D109" s="38">
        <v>-184.73115151515151</v>
      </c>
      <c r="E109" s="38">
        <v>-180.74363636363634</v>
      </c>
      <c r="F109">
        <v>-176.76787878787877</v>
      </c>
      <c r="G109">
        <v>-173.18145454545453</v>
      </c>
      <c r="H109">
        <v>-169.63236363636364</v>
      </c>
      <c r="I109">
        <v>-166.35115151515151</v>
      </c>
      <c r="J109">
        <v>-163.11721212121213</v>
      </c>
      <c r="K109">
        <v>-160.15289156626505</v>
      </c>
      <c r="L109">
        <v>-157.26132530120483</v>
      </c>
      <c r="M109">
        <v>-154.54036363636365</v>
      </c>
      <c r="N109">
        <v>-151.88824242424243</v>
      </c>
      <c r="O109">
        <v>-149.37793939393941</v>
      </c>
      <c r="P109">
        <v>-146.94400000000002</v>
      </c>
      <c r="Q109">
        <v>-144.77957639939487</v>
      </c>
      <c r="R109">
        <v>-142.80438729198184</v>
      </c>
      <c r="S109">
        <v>-140.82919818456884</v>
      </c>
      <c r="T109">
        <v>-138.85400907715584</v>
      </c>
      <c r="U109">
        <v>-136.87881996974281</v>
      </c>
      <c r="V109">
        <v>-134.90363086232981</v>
      </c>
      <c r="W109">
        <v>-132.9284417549168</v>
      </c>
      <c r="X109">
        <v>-130.95325264750377</v>
      </c>
      <c r="Y109">
        <v>-129.09212121212121</v>
      </c>
      <c r="Z109">
        <v>-127.46787878787879</v>
      </c>
      <c r="AA109">
        <v>-125.87418181818182</v>
      </c>
      <c r="AB109">
        <v>-124.36630303030303</v>
      </c>
      <c r="AC109">
        <v>-122.88169696969696</v>
      </c>
      <c r="AD109">
        <v>-121.49018181818181</v>
      </c>
      <c r="AE109">
        <v>-120.10975903614457</v>
      </c>
      <c r="AF109">
        <v>-118.7989156626506</v>
      </c>
      <c r="AG109">
        <v>-117.50022727272727</v>
      </c>
      <c r="AH109">
        <v>-116.38386363636363</v>
      </c>
      <c r="AI109">
        <v>-115.2675</v>
      </c>
      <c r="AJ109">
        <v>-114.15113636363635</v>
      </c>
      <c r="AK109">
        <v>-113.03477272727272</v>
      </c>
      <c r="AL109">
        <v>-111.91840909090909</v>
      </c>
      <c r="AM109">
        <v>-110.80204545454545</v>
      </c>
      <c r="AN109">
        <v>-109.68568181818182</v>
      </c>
      <c r="AO109">
        <v>-108.56931818181818</v>
      </c>
      <c r="AP109">
        <v>-107.64903177004538</v>
      </c>
      <c r="AQ109">
        <v>-106.77399394856278</v>
      </c>
      <c r="AR109">
        <v>-105.89895612708018</v>
      </c>
      <c r="AS109">
        <v>-105.02391830559758</v>
      </c>
      <c r="AT109">
        <v>-104.14888048411498</v>
      </c>
      <c r="AU109">
        <v>-103.27384266263238</v>
      </c>
      <c r="AV109">
        <v>-102.39880484114977</v>
      </c>
      <c r="AW109">
        <v>-101.52376701966716</v>
      </c>
      <c r="AX109">
        <v>-100.74471709531014</v>
      </c>
      <c r="AY109">
        <v>-100.04420272314674</v>
      </c>
      <c r="AZ109">
        <v>-99.343688350983356</v>
      </c>
      <c r="BA109">
        <v>-98.643173978819959</v>
      </c>
      <c r="BB109">
        <v>-97.942659606656576</v>
      </c>
      <c r="BC109">
        <v>-97.242145234493179</v>
      </c>
      <c r="BD109">
        <v>-96.541630862329797</v>
      </c>
      <c r="BE109">
        <v>-95.841116490166399</v>
      </c>
      <c r="BF109">
        <v>-95.165248484848476</v>
      </c>
      <c r="BG109">
        <v>-94.550460606060611</v>
      </c>
      <c r="BH109">
        <v>-94.039963636363652</v>
      </c>
      <c r="BI109">
        <v>-93.888690909090911</v>
      </c>
      <c r="BJ109">
        <v>-93.747187878787884</v>
      </c>
      <c r="BK109">
        <v>-93.65603636363636</v>
      </c>
      <c r="BL109">
        <v>-93.585373493975894</v>
      </c>
      <c r="BM109">
        <v>-93.699108433734935</v>
      </c>
      <c r="BN109">
        <v>-93.819575757575748</v>
      </c>
      <c r="BO109">
        <v>-94.202606060606058</v>
      </c>
      <c r="BP109">
        <v>-94.585636363636354</v>
      </c>
      <c r="BQ109">
        <v>-94.9696</v>
      </c>
      <c r="BR109">
        <v>-95.353600000000014</v>
      </c>
      <c r="BS109">
        <v>-95.739345454545457</v>
      </c>
      <c r="BT109">
        <v>-96.125284848484839</v>
      </c>
      <c r="BU109">
        <v>-96.512036363636355</v>
      </c>
      <c r="BV109">
        <v>-96.898945454545455</v>
      </c>
      <c r="BW109">
        <v>-97.280711043872927</v>
      </c>
      <c r="BX109">
        <v>-97.660983358547654</v>
      </c>
      <c r="BY109">
        <v>-98.041255673222395</v>
      </c>
      <c r="BZ109">
        <v>-98.421527987897136</v>
      </c>
      <c r="CA109">
        <v>-98.801800302571863</v>
      </c>
      <c r="CB109">
        <v>-99.182072617246604</v>
      </c>
      <c r="CC109">
        <v>-99.562344931921331</v>
      </c>
      <c r="CD109">
        <v>-99.942617246596072</v>
      </c>
      <c r="CE109">
        <v>-100.32537065052951</v>
      </c>
      <c r="CF109">
        <v>-100.71048411497731</v>
      </c>
      <c r="CG109">
        <v>-101.09559757942512</v>
      </c>
      <c r="CH109">
        <v>-101.48071104387292</v>
      </c>
      <c r="CI109">
        <v>-101.86582450832073</v>
      </c>
      <c r="CJ109">
        <v>-102.25093797276854</v>
      </c>
      <c r="CK109">
        <v>-102.63605143721634</v>
      </c>
      <c r="CL109">
        <v>-103.02116490166415</v>
      </c>
    </row>
    <row r="110" spans="1:94" ht="21.75" thickBot="1" x14ac:dyDescent="0.4">
      <c r="A110" s="18" t="s">
        <v>71</v>
      </c>
      <c r="B110" s="38">
        <v>-148.83927272727271</v>
      </c>
      <c r="C110" s="38">
        <v>-145.35321212121212</v>
      </c>
      <c r="D110" s="38">
        <v>-141.86715151515151</v>
      </c>
      <c r="E110" s="38">
        <v>-138.73563636363636</v>
      </c>
      <c r="F110">
        <v>-135.61321212121211</v>
      </c>
      <c r="G110">
        <v>-132.79163636363634</v>
      </c>
      <c r="H110">
        <v>-129.99890909090908</v>
      </c>
      <c r="I110">
        <v>-126.80642424242423</v>
      </c>
      <c r="J110">
        <v>-123.54339393939392</v>
      </c>
      <c r="K110">
        <v>-120.39072289156626</v>
      </c>
      <c r="L110">
        <v>-117.26783132530122</v>
      </c>
      <c r="M110">
        <v>-114.30763636363638</v>
      </c>
      <c r="N110">
        <v>-111.41309090909093</v>
      </c>
      <c r="O110">
        <v>-108.66666666666667</v>
      </c>
      <c r="P110">
        <v>-106</v>
      </c>
      <c r="Q110">
        <v>-103.59736762481089</v>
      </c>
      <c r="R110">
        <v>-101.38012102874433</v>
      </c>
      <c r="S110">
        <v>-99.162874432677754</v>
      </c>
      <c r="T110">
        <v>-96.945627836611195</v>
      </c>
      <c r="U110">
        <v>-94.728381240544621</v>
      </c>
      <c r="V110">
        <v>-92.511134644478062</v>
      </c>
      <c r="W110">
        <v>-90.293888048411489</v>
      </c>
      <c r="X110">
        <v>-88.076641452344916</v>
      </c>
      <c r="Y110">
        <v>-85.973333333333329</v>
      </c>
      <c r="Z110">
        <v>-84.106666666666669</v>
      </c>
      <c r="AA110">
        <v>-82.270545454545456</v>
      </c>
      <c r="AB110">
        <v>-80.520242424242426</v>
      </c>
      <c r="AC110">
        <v>-78.793212121212122</v>
      </c>
      <c r="AD110">
        <v>-77.159272727272722</v>
      </c>
      <c r="AE110">
        <v>-75.537951807228907</v>
      </c>
      <c r="AF110">
        <v>-73.995783132530121</v>
      </c>
      <c r="AG110">
        <v>-72.465530303030306</v>
      </c>
      <c r="AH110">
        <v>-71.114015151515147</v>
      </c>
      <c r="AI110">
        <v>-69.762500000000003</v>
      </c>
      <c r="AJ110">
        <v>-68.410984848484844</v>
      </c>
      <c r="AK110">
        <v>-67.0594696969697</v>
      </c>
      <c r="AL110">
        <v>-65.707954545454555</v>
      </c>
      <c r="AM110">
        <v>-64.356439393939397</v>
      </c>
      <c r="AN110">
        <v>-63.004924242424245</v>
      </c>
      <c r="AO110">
        <v>-61.653409090909093</v>
      </c>
      <c r="AP110">
        <v>-60.50612708018155</v>
      </c>
      <c r="AQ110">
        <v>-59.405975794251141</v>
      </c>
      <c r="AR110">
        <v>-58.305824508320732</v>
      </c>
      <c r="AS110">
        <v>-57.205673222390324</v>
      </c>
      <c r="AT110">
        <v>-56.105521936459915</v>
      </c>
      <c r="AU110">
        <v>-55.005370650529507</v>
      </c>
      <c r="AV110">
        <v>-53.905219364599098</v>
      </c>
      <c r="AW110">
        <v>-52.80506807866869</v>
      </c>
      <c r="AX110">
        <v>-51.804898638426629</v>
      </c>
      <c r="AY110">
        <v>-50.886532526475044</v>
      </c>
      <c r="AZ110">
        <v>-49.968166414523452</v>
      </c>
      <c r="BA110">
        <v>-49.04980030257186</v>
      </c>
      <c r="BB110">
        <v>-48.131434190620276</v>
      </c>
      <c r="BC110">
        <v>-47.213068078668684</v>
      </c>
      <c r="BD110">
        <v>-46.294701966717099</v>
      </c>
      <c r="BE110">
        <v>-45.376335854765507</v>
      </c>
      <c r="BF110">
        <v>-44.483915151515149</v>
      </c>
      <c r="BG110">
        <v>-43.655793939393945</v>
      </c>
      <c r="BH110">
        <v>-42.931963636363641</v>
      </c>
      <c r="BI110">
        <v>-42.567357575757576</v>
      </c>
      <c r="BJ110">
        <v>-42.214096969696975</v>
      </c>
      <c r="BK110">
        <v>-41.919309090909096</v>
      </c>
      <c r="BL110">
        <v>-41.644168674698797</v>
      </c>
      <c r="BM110">
        <v>-41.545855421686753</v>
      </c>
      <c r="BN110">
        <v>-41.454484848484853</v>
      </c>
      <c r="BO110">
        <v>-41.633878787878793</v>
      </c>
      <c r="BP110">
        <v>-41.813272727272725</v>
      </c>
      <c r="BQ110">
        <v>-41.993600000000001</v>
      </c>
      <c r="BR110">
        <v>-42.173963636363638</v>
      </c>
      <c r="BS110">
        <v>-42.356072727272725</v>
      </c>
      <c r="BT110">
        <v>-42.538375757575757</v>
      </c>
      <c r="BU110">
        <v>-42.72149090909091</v>
      </c>
      <c r="BV110">
        <v>-42.904763636363633</v>
      </c>
      <c r="BW110">
        <v>-43.088759455370649</v>
      </c>
      <c r="BX110">
        <v>-43.272965204236009</v>
      </c>
      <c r="BY110">
        <v>-43.457170953101361</v>
      </c>
      <c r="BZ110">
        <v>-43.64137670196672</v>
      </c>
      <c r="CA110">
        <v>-43.825582450832073</v>
      </c>
      <c r="CB110">
        <v>-44.009788199697432</v>
      </c>
      <c r="CC110">
        <v>-44.193993948562785</v>
      </c>
      <c r="CD110">
        <v>-44.378199697428144</v>
      </c>
      <c r="CE110">
        <v>-44.567367624810899</v>
      </c>
      <c r="CF110">
        <v>-44.761255673222394</v>
      </c>
      <c r="CG110">
        <v>-44.955143721633888</v>
      </c>
      <c r="CH110">
        <v>-45.14903177004539</v>
      </c>
      <c r="CI110">
        <v>-45.342919818456885</v>
      </c>
      <c r="CJ110">
        <v>-45.536807866868379</v>
      </c>
      <c r="CK110">
        <v>-45.730695915279881</v>
      </c>
      <c r="CL110">
        <v>-45.924583963691376</v>
      </c>
    </row>
    <row r="111" spans="1:94" ht="21.75" thickBot="1" x14ac:dyDescent="0.4">
      <c r="A111" s="18" t="s">
        <v>1</v>
      </c>
      <c r="B111" s="38">
        <v>-18.71</v>
      </c>
      <c r="C111" s="38">
        <v>-18.71</v>
      </c>
      <c r="D111" s="38">
        <v>-18.71</v>
      </c>
      <c r="E111" s="38">
        <v>-18.71</v>
      </c>
      <c r="F111">
        <v>-18.71</v>
      </c>
      <c r="G111">
        <v>-18.718848484848486</v>
      </c>
      <c r="H111">
        <v>-18.728545454545454</v>
      </c>
      <c r="I111">
        <v>-18.734121212121213</v>
      </c>
      <c r="J111">
        <v>-18.738969696969697</v>
      </c>
      <c r="K111">
        <v>-18.747590361445784</v>
      </c>
      <c r="L111">
        <v>-18.757228915662651</v>
      </c>
      <c r="M111">
        <v>-18.770363636363637</v>
      </c>
      <c r="N111">
        <v>-18.784909090909089</v>
      </c>
      <c r="O111">
        <v>-18.796303030303029</v>
      </c>
      <c r="P111">
        <v>-18.805999999999997</v>
      </c>
      <c r="Q111">
        <v>-18.818532526475035</v>
      </c>
      <c r="R111">
        <v>-18.833055975794249</v>
      </c>
      <c r="S111">
        <v>-18.847579425113462</v>
      </c>
      <c r="T111">
        <v>-18.862102874432676</v>
      </c>
      <c r="U111">
        <v>-18.876626323751889</v>
      </c>
      <c r="V111">
        <v>-18.891149773071103</v>
      </c>
      <c r="W111">
        <v>-18.905673222390316</v>
      </c>
      <c r="X111">
        <v>-18.92019667170953</v>
      </c>
      <c r="Y111">
        <v>-18.93630303030303</v>
      </c>
      <c r="Z111">
        <v>-18.955696969696969</v>
      </c>
      <c r="AA111">
        <v>-18.973818181818181</v>
      </c>
      <c r="AB111">
        <v>-18.988363636363637</v>
      </c>
      <c r="AC111">
        <v>-19.002909090909093</v>
      </c>
      <c r="AD111">
        <v>-19.017454545454545</v>
      </c>
      <c r="AE111">
        <v>-19.032650602409639</v>
      </c>
      <c r="AF111">
        <v>-19.051927710843373</v>
      </c>
      <c r="AG111">
        <v>-19.070984848484848</v>
      </c>
      <c r="AH111">
        <v>-19.086742424242424</v>
      </c>
      <c r="AI111">
        <v>-19.102499999999999</v>
      </c>
      <c r="AJ111">
        <v>-19.118257575757575</v>
      </c>
      <c r="AK111">
        <v>-19.13401515151515</v>
      </c>
      <c r="AL111">
        <v>-19.149772727272726</v>
      </c>
      <c r="AM111">
        <v>-19.165530303030302</v>
      </c>
      <c r="AN111">
        <v>-19.181287878787877</v>
      </c>
      <c r="AO111">
        <v>-19.197045454545453</v>
      </c>
      <c r="AP111">
        <v>-19.21376701966717</v>
      </c>
      <c r="AQ111">
        <v>-19.230711043872919</v>
      </c>
      <c r="AR111">
        <v>-19.247655068078668</v>
      </c>
      <c r="AS111">
        <v>-19.264599092284417</v>
      </c>
      <c r="AT111">
        <v>-19.281543116490166</v>
      </c>
      <c r="AU111">
        <v>-19.298487140695915</v>
      </c>
      <c r="AV111">
        <v>-19.315431164901664</v>
      </c>
      <c r="AW111">
        <v>-19.332375189107413</v>
      </c>
      <c r="AX111">
        <v>-19.349319213313162</v>
      </c>
      <c r="AY111">
        <v>-19.366263237518911</v>
      </c>
      <c r="AZ111">
        <v>-19.38320726172466</v>
      </c>
      <c r="BA111">
        <v>-19.400151285930409</v>
      </c>
      <c r="BB111">
        <v>-19.417095310136158</v>
      </c>
      <c r="BC111">
        <v>-19.434039334341907</v>
      </c>
      <c r="BD111">
        <v>-19.450983358547656</v>
      </c>
      <c r="BE111">
        <v>-19.467927382753405</v>
      </c>
      <c r="BF111">
        <v>-19.484181818181817</v>
      </c>
      <c r="BG111">
        <v>-19.498727272727272</v>
      </c>
      <c r="BH111">
        <v>-19.507818181818184</v>
      </c>
      <c r="BI111">
        <v>-19.498121212121212</v>
      </c>
      <c r="BJ111">
        <v>-19.490787878787877</v>
      </c>
      <c r="BK111">
        <v>-19.495636363636361</v>
      </c>
      <c r="BL111">
        <v>-19.500963855421688</v>
      </c>
      <c r="BM111">
        <v>-19.510602409638555</v>
      </c>
      <c r="BN111">
        <v>-19.520363636363637</v>
      </c>
      <c r="BO111">
        <v>-19.534909090909093</v>
      </c>
      <c r="BP111">
        <v>-19.549454545454545</v>
      </c>
      <c r="BQ111">
        <v>-19.564</v>
      </c>
      <c r="BR111">
        <v>-19.578545454545452</v>
      </c>
      <c r="BS111">
        <v>-19.593090909090908</v>
      </c>
      <c r="BT111">
        <v>-19.607636363636363</v>
      </c>
      <c r="BU111">
        <v>-19.622181818181819</v>
      </c>
      <c r="BV111">
        <v>-19.636727272727274</v>
      </c>
      <c r="BW111">
        <v>-19.651255673222391</v>
      </c>
      <c r="BX111">
        <v>-19.665779122541604</v>
      </c>
      <c r="BY111">
        <v>-19.680302571860818</v>
      </c>
      <c r="BZ111">
        <v>-19.694826021180031</v>
      </c>
      <c r="CA111">
        <v>-19.709349470499244</v>
      </c>
      <c r="CB111">
        <v>-19.723872919818458</v>
      </c>
      <c r="CC111">
        <v>-19.738396369137671</v>
      </c>
      <c r="CD111">
        <v>-19.752919818456885</v>
      </c>
      <c r="CE111">
        <v>-19.767443267776098</v>
      </c>
      <c r="CF111">
        <v>-19.781966717095312</v>
      </c>
      <c r="CG111">
        <v>-19.796490166414525</v>
      </c>
      <c r="CH111">
        <v>-19.811013615733739</v>
      </c>
      <c r="CI111">
        <v>-19.825537065052949</v>
      </c>
      <c r="CJ111">
        <v>-19.840060514372162</v>
      </c>
      <c r="CK111">
        <v>-19.854583963691375</v>
      </c>
      <c r="CL111">
        <v>-19.869107413010589</v>
      </c>
    </row>
    <row r="112" spans="1:94" ht="21.75" thickBot="1" x14ac:dyDescent="0.4">
      <c r="A112" s="18" t="s">
        <v>91</v>
      </c>
      <c r="B112" s="38">
        <v>-63.223636363636359</v>
      </c>
      <c r="C112" s="38">
        <v>-61.720606060606059</v>
      </c>
      <c r="D112" s="38">
        <v>-60.217575757575759</v>
      </c>
      <c r="E112" s="38">
        <v>-58.865818181818177</v>
      </c>
      <c r="F112">
        <v>-57.517939393939393</v>
      </c>
      <c r="G112">
        <v>-56.298363636363632</v>
      </c>
      <c r="H112">
        <v>-55.091090909090902</v>
      </c>
      <c r="I112">
        <v>-53.517030303030296</v>
      </c>
      <c r="J112">
        <v>-51.878242424242423</v>
      </c>
      <c r="K112">
        <v>-50.254819277108432</v>
      </c>
      <c r="L112">
        <v>-48.635542168674704</v>
      </c>
      <c r="M112">
        <v>-47.095636363636366</v>
      </c>
      <c r="N112">
        <v>-45.587757575757578</v>
      </c>
      <c r="O112">
        <v>-44.155515151515154</v>
      </c>
      <c r="P112">
        <v>-42.764000000000003</v>
      </c>
      <c r="Q112">
        <v>-41.503131618759454</v>
      </c>
      <c r="R112">
        <v>-40.333993948562785</v>
      </c>
      <c r="S112">
        <v>-39.164856278366109</v>
      </c>
      <c r="T112">
        <v>-37.99571860816944</v>
      </c>
      <c r="U112">
        <v>-36.826580937972764</v>
      </c>
      <c r="V112">
        <v>-35.657443267776095</v>
      </c>
      <c r="W112">
        <v>-34.488305597579426</v>
      </c>
      <c r="X112">
        <v>-33.31916792738275</v>
      </c>
      <c r="Y112">
        <v>-32.206969696969693</v>
      </c>
      <c r="Z112">
        <v>-31.213030303030301</v>
      </c>
      <c r="AA112">
        <v>-30.234363636363636</v>
      </c>
      <c r="AB112">
        <v>-29.298606060606058</v>
      </c>
      <c r="AC112">
        <v>-28.374484848484848</v>
      </c>
      <c r="AD112">
        <v>-27.496909090909089</v>
      </c>
      <c r="AE112">
        <v>-26.626024096385539</v>
      </c>
      <c r="AF112">
        <v>-25.797108433734937</v>
      </c>
      <c r="AG112">
        <v>-24.974090909090908</v>
      </c>
      <c r="AH112">
        <v>-24.239545454545453</v>
      </c>
      <c r="AI112">
        <v>-23.504999999999999</v>
      </c>
      <c r="AJ112">
        <v>-22.770454545454545</v>
      </c>
      <c r="AK112">
        <v>-22.03590909090909</v>
      </c>
      <c r="AL112">
        <v>-21.301363636363636</v>
      </c>
      <c r="AM112">
        <v>-20.566818181818181</v>
      </c>
      <c r="AN112">
        <v>-19.832272727272727</v>
      </c>
      <c r="AO112">
        <v>-19.097727272727273</v>
      </c>
      <c r="AP112">
        <v>-18.467337367624811</v>
      </c>
      <c r="AQ112">
        <v>-17.860983358547657</v>
      </c>
      <c r="AR112">
        <v>-17.254629349470502</v>
      </c>
      <c r="AS112">
        <v>-16.648275340393344</v>
      </c>
      <c r="AT112">
        <v>-16.041921331316189</v>
      </c>
      <c r="AU112">
        <v>-15.435567322239033</v>
      </c>
      <c r="AV112">
        <v>-14.829213313161876</v>
      </c>
      <c r="AW112">
        <v>-14.222859304084722</v>
      </c>
      <c r="AX112">
        <v>-13.667494704992437</v>
      </c>
      <c r="AY112">
        <v>-13.153848714069593</v>
      </c>
      <c r="AZ112">
        <v>-12.640202723146748</v>
      </c>
      <c r="BA112">
        <v>-12.126556732223904</v>
      </c>
      <c r="BB112">
        <v>-11.612910741301061</v>
      </c>
      <c r="BC112">
        <v>-11.099264750378216</v>
      </c>
      <c r="BD112">
        <v>-10.585618759455372</v>
      </c>
      <c r="BE112">
        <v>-10.071972768532529</v>
      </c>
      <c r="BF112">
        <v>-9.5716242424242441</v>
      </c>
      <c r="BG112">
        <v>-9.104230303030306</v>
      </c>
      <c r="BH112">
        <v>-8.688981818181821</v>
      </c>
      <c r="BI112">
        <v>-8.4533454545454561</v>
      </c>
      <c r="BJ112">
        <v>-8.2237757575757584</v>
      </c>
      <c r="BK112">
        <v>-8.025472727272728</v>
      </c>
      <c r="BL112">
        <v>-7.8367831325301216</v>
      </c>
      <c r="BM112">
        <v>-7.7346144578313254</v>
      </c>
      <c r="BN112">
        <v>-7.6359696969696973</v>
      </c>
      <c r="BO112">
        <v>-7.6747575757575754</v>
      </c>
      <c r="BP112">
        <v>-7.7135454545454545</v>
      </c>
      <c r="BQ112">
        <v>-7.7528000000000006</v>
      </c>
      <c r="BR112">
        <v>-7.7920727272727275</v>
      </c>
      <c r="BS112">
        <v>-7.832218181818182</v>
      </c>
      <c r="BT112">
        <v>-7.8724606060606055</v>
      </c>
      <c r="BU112">
        <v>-7.9131090909090913</v>
      </c>
      <c r="BV112">
        <v>-7.9538363636363636</v>
      </c>
      <c r="BW112">
        <v>-7.9963918305597588</v>
      </c>
      <c r="BX112">
        <v>-8.0394780635400913</v>
      </c>
      <c r="BY112">
        <v>-8.0825642965204239</v>
      </c>
      <c r="BZ112">
        <v>-8.1256505295007564</v>
      </c>
      <c r="CA112">
        <v>-8.1687367624810907</v>
      </c>
      <c r="CB112">
        <v>-8.2118229954614232</v>
      </c>
      <c r="CC112">
        <v>-8.2549092284417558</v>
      </c>
      <c r="CD112">
        <v>-8.2979954614220883</v>
      </c>
      <c r="CE112">
        <v>-8.3441830559757957</v>
      </c>
      <c r="CF112">
        <v>-8.3933207261724672</v>
      </c>
      <c r="CG112">
        <v>-8.4424583963691386</v>
      </c>
      <c r="CH112">
        <v>-8.4915960665658101</v>
      </c>
      <c r="CI112">
        <v>-8.5407337367624816</v>
      </c>
      <c r="CJ112">
        <v>-8.5898714069591531</v>
      </c>
      <c r="CK112">
        <v>-8.6390090771558246</v>
      </c>
      <c r="CL112">
        <v>-8.688146747352496</v>
      </c>
    </row>
    <row r="113" spans="1:90" ht="21.75" thickBot="1" x14ac:dyDescent="0.4">
      <c r="A113" s="18" t="s">
        <v>92</v>
      </c>
      <c r="B113" s="38">
        <v>-15.639818181818182</v>
      </c>
      <c r="C113" s="38">
        <v>-15.36830303030303</v>
      </c>
      <c r="D113" s="38">
        <v>-15.096787878787879</v>
      </c>
      <c r="E113" s="38">
        <v>-14.853636363636364</v>
      </c>
      <c r="F113">
        <v>-14.611212121212121</v>
      </c>
      <c r="G113">
        <v>-14.399757575757576</v>
      </c>
      <c r="H113">
        <v>-14.191272727272727</v>
      </c>
      <c r="I113">
        <v>-13.694303030303029</v>
      </c>
      <c r="J113">
        <v>-13.14642424242424</v>
      </c>
      <c r="K113">
        <v>-12.563192771084337</v>
      </c>
      <c r="L113">
        <v>-11.970421686746988</v>
      </c>
      <c r="M113">
        <v>-11.409636363636364</v>
      </c>
      <c r="N113">
        <v>-10.861757575757576</v>
      </c>
      <c r="O113">
        <v>-10.337515151515152</v>
      </c>
      <c r="P113">
        <v>-9.8260000000000005</v>
      </c>
      <c r="Q113">
        <v>-9.3608018154311647</v>
      </c>
      <c r="R113">
        <v>-8.9281240544629359</v>
      </c>
      <c r="S113">
        <v>-8.4954462934947053</v>
      </c>
      <c r="T113">
        <v>-8.0627685325264746</v>
      </c>
      <c r="U113">
        <v>-7.6300907715582449</v>
      </c>
      <c r="V113">
        <v>-7.1974130105900151</v>
      </c>
      <c r="W113">
        <v>-6.7647352496217845</v>
      </c>
      <c r="X113">
        <v>-6.3320574886535539</v>
      </c>
      <c r="Y113">
        <v>-5.9196121212121202</v>
      </c>
      <c r="Z113">
        <v>-5.5491878787878779</v>
      </c>
      <c r="AA113">
        <v>-5.1839818181818167</v>
      </c>
      <c r="AB113">
        <v>-4.8334363636363626</v>
      </c>
      <c r="AC113">
        <v>-4.5105272727272725</v>
      </c>
      <c r="AD113">
        <v>-4.2981636363636362</v>
      </c>
      <c r="AE113">
        <v>-4.1176506024096389</v>
      </c>
      <c r="AF113">
        <v>-4.1369277108433735</v>
      </c>
      <c r="AG113">
        <v>-4.1562272727272731</v>
      </c>
      <c r="AH113">
        <v>-4.175863636363637</v>
      </c>
      <c r="AI113">
        <v>-4.1955</v>
      </c>
      <c r="AJ113">
        <v>-4.2151363636363639</v>
      </c>
      <c r="AK113">
        <v>-4.2347727272727278</v>
      </c>
      <c r="AL113">
        <v>-4.2544090909090908</v>
      </c>
      <c r="AM113">
        <v>-4.2740454545454547</v>
      </c>
      <c r="AN113">
        <v>-4.2936818181818186</v>
      </c>
      <c r="AO113">
        <v>-4.3133181818181816</v>
      </c>
      <c r="AP113">
        <v>-4.3331270801815434</v>
      </c>
      <c r="AQ113">
        <v>-4.3529757942511349</v>
      </c>
      <c r="AR113">
        <v>-4.3728245083207264</v>
      </c>
      <c r="AS113">
        <v>-4.392673222390318</v>
      </c>
      <c r="AT113">
        <v>-4.4125219364599095</v>
      </c>
      <c r="AU113">
        <v>-4.4323706505295011</v>
      </c>
      <c r="AV113">
        <v>-4.4522193645990917</v>
      </c>
      <c r="AW113">
        <v>-4.4720680786686833</v>
      </c>
      <c r="AX113">
        <v>-4.4917836611195154</v>
      </c>
      <c r="AY113">
        <v>-4.511390317700454</v>
      </c>
      <c r="AZ113">
        <v>-4.5309969742813916</v>
      </c>
      <c r="BA113">
        <v>-4.5506036308623292</v>
      </c>
      <c r="BB113">
        <v>-4.5702102874432677</v>
      </c>
      <c r="BC113">
        <v>-4.5898169440242054</v>
      </c>
      <c r="BD113">
        <v>-4.6094236006051439</v>
      </c>
      <c r="BE113">
        <v>-4.6290302571860815</v>
      </c>
      <c r="BF113">
        <v>-4.6485757575757569</v>
      </c>
      <c r="BG113">
        <v>-4.6679696969696964</v>
      </c>
      <c r="BH113">
        <v>-4.6872545454545449</v>
      </c>
      <c r="BI113">
        <v>-4.7061636363636365</v>
      </c>
      <c r="BJ113">
        <v>-4.7251515151515155</v>
      </c>
      <c r="BK113">
        <v>-4.7445454545454542</v>
      </c>
      <c r="BL113">
        <v>-4.7638795180722884</v>
      </c>
      <c r="BM113">
        <v>-4.7826746987951809</v>
      </c>
      <c r="BN113">
        <v>-4.8014727272727278</v>
      </c>
      <c r="BO113">
        <v>-4.8203818181818185</v>
      </c>
      <c r="BP113">
        <v>-4.8392909090909093</v>
      </c>
      <c r="BQ113">
        <v>-4.857733333333333</v>
      </c>
      <c r="BR113">
        <v>-4.8761575757575759</v>
      </c>
      <c r="BS113">
        <v>-4.8950181818181822</v>
      </c>
      <c r="BT113">
        <v>-4.9139272727272729</v>
      </c>
      <c r="BU113">
        <v>-4.9324303030303032</v>
      </c>
      <c r="BV113">
        <v>-4.9508545454545452</v>
      </c>
      <c r="BW113">
        <v>-4.9689757942511346</v>
      </c>
      <c r="BX113">
        <v>-4.9870090771558244</v>
      </c>
      <c r="BY113">
        <v>-5.0050423600605143</v>
      </c>
      <c r="BZ113">
        <v>-5.0230756429652041</v>
      </c>
      <c r="CA113">
        <v>-5.041108925869894</v>
      </c>
      <c r="CB113">
        <v>-5.0591422087745839</v>
      </c>
      <c r="CC113">
        <v>-5.0771754916792737</v>
      </c>
      <c r="CD113">
        <v>-5.0952087745839636</v>
      </c>
      <c r="CE113">
        <v>-5.1129939485627833</v>
      </c>
      <c r="CF113">
        <v>-5.1305431164901663</v>
      </c>
      <c r="CG113">
        <v>-5.1480922844175492</v>
      </c>
      <c r="CH113">
        <v>-5.1656414523449321</v>
      </c>
      <c r="CI113">
        <v>-5.1831906202723141</v>
      </c>
      <c r="CJ113">
        <v>-5.2007397881996971</v>
      </c>
      <c r="CK113">
        <v>-5.21828895612708</v>
      </c>
      <c r="CL113">
        <v>-5.2358381240544629</v>
      </c>
    </row>
    <row r="114" spans="1:90" ht="21.75" thickBot="1" x14ac:dyDescent="0.4">
      <c r="A114" s="18" t="s">
        <v>28</v>
      </c>
      <c r="B114" s="38">
        <v>-18.71</v>
      </c>
      <c r="C114" s="38">
        <v>-18.71</v>
      </c>
      <c r="D114" s="38">
        <v>-18.71</v>
      </c>
      <c r="E114" s="38">
        <v>-18.71</v>
      </c>
      <c r="F114">
        <v>-18.71</v>
      </c>
      <c r="G114">
        <v>-18.718848484848486</v>
      </c>
      <c r="H114">
        <v>-18.728545454545454</v>
      </c>
      <c r="I114">
        <v>-18.734121212121213</v>
      </c>
      <c r="J114">
        <v>-18.738969696969697</v>
      </c>
      <c r="K114">
        <v>-18.747590361445784</v>
      </c>
      <c r="L114">
        <v>-18.757228915662651</v>
      </c>
      <c r="M114">
        <v>-18.770363636363637</v>
      </c>
      <c r="N114">
        <v>-18.784909090909089</v>
      </c>
      <c r="O114">
        <v>-18.796303030303029</v>
      </c>
      <c r="P114">
        <v>-18.805999999999997</v>
      </c>
      <c r="Q114">
        <v>-18.818532526475035</v>
      </c>
      <c r="R114">
        <v>-18.833055975794249</v>
      </c>
      <c r="S114">
        <v>-18.847579425113462</v>
      </c>
      <c r="T114">
        <v>-18.862102874432676</v>
      </c>
      <c r="U114">
        <v>-18.876626323751889</v>
      </c>
      <c r="V114">
        <v>-18.891149773071103</v>
      </c>
      <c r="W114">
        <v>-18.905673222390316</v>
      </c>
      <c r="X114">
        <v>-18.92019667170953</v>
      </c>
      <c r="Y114">
        <v>-18.93630303030303</v>
      </c>
      <c r="Z114">
        <v>-18.955696969696969</v>
      </c>
      <c r="AA114">
        <v>-18.973818181818181</v>
      </c>
      <c r="AB114">
        <v>-18.988363636363637</v>
      </c>
      <c r="AC114">
        <v>-19.002909090909093</v>
      </c>
      <c r="AD114">
        <v>-19.017454545454545</v>
      </c>
      <c r="AE114">
        <v>-19.032650602409639</v>
      </c>
      <c r="AF114">
        <v>-19.051927710843373</v>
      </c>
      <c r="AG114">
        <v>-19.070984848484848</v>
      </c>
      <c r="AH114">
        <v>-19.086742424242424</v>
      </c>
      <c r="AI114">
        <v>-19.102499999999999</v>
      </c>
      <c r="AJ114">
        <v>-19.118257575757575</v>
      </c>
      <c r="AK114">
        <v>-19.13401515151515</v>
      </c>
      <c r="AL114">
        <v>-19.149772727272726</v>
      </c>
      <c r="AM114">
        <v>-19.165530303030302</v>
      </c>
      <c r="AN114">
        <v>-19.181287878787877</v>
      </c>
      <c r="AO114">
        <v>-19.197045454545453</v>
      </c>
      <c r="AP114">
        <v>-19.21376701966717</v>
      </c>
      <c r="AQ114">
        <v>-19.230711043872919</v>
      </c>
      <c r="AR114">
        <v>-19.247655068078668</v>
      </c>
      <c r="AS114">
        <v>-19.264599092284417</v>
      </c>
      <c r="AT114">
        <v>-19.281543116490166</v>
      </c>
      <c r="AU114">
        <v>-19.298487140695915</v>
      </c>
      <c r="AV114">
        <v>-19.315431164901664</v>
      </c>
      <c r="AW114">
        <v>-19.332375189107413</v>
      </c>
      <c r="AX114">
        <v>-19.349319213313162</v>
      </c>
      <c r="AY114">
        <v>-19.366263237518911</v>
      </c>
      <c r="AZ114">
        <v>-19.38320726172466</v>
      </c>
      <c r="BA114">
        <v>-19.400151285930409</v>
      </c>
      <c r="BB114">
        <v>-19.417095310136158</v>
      </c>
      <c r="BC114">
        <v>-19.434039334341907</v>
      </c>
      <c r="BD114">
        <v>-19.450983358547656</v>
      </c>
      <c r="BE114">
        <v>-19.467927382753405</v>
      </c>
      <c r="BF114">
        <v>-19.484181818181817</v>
      </c>
      <c r="BG114">
        <v>-19.498727272727272</v>
      </c>
      <c r="BH114">
        <v>-19.507818181818184</v>
      </c>
      <c r="BI114">
        <v>-19.498121212121212</v>
      </c>
      <c r="BJ114">
        <v>-19.490787878787877</v>
      </c>
      <c r="BK114">
        <v>-19.495636363636361</v>
      </c>
      <c r="BL114">
        <v>-19.500963855421688</v>
      </c>
      <c r="BM114">
        <v>-19.510602409638555</v>
      </c>
      <c r="BN114">
        <v>-19.520363636363637</v>
      </c>
      <c r="BO114">
        <v>-19.534909090909093</v>
      </c>
      <c r="BP114">
        <v>-19.549454545454545</v>
      </c>
      <c r="BQ114">
        <v>-19.564</v>
      </c>
      <c r="BR114">
        <v>-19.578545454545452</v>
      </c>
      <c r="BS114">
        <v>-19.593090909090908</v>
      </c>
      <c r="BT114">
        <v>-19.607636363636363</v>
      </c>
      <c r="BU114">
        <v>-19.622181818181819</v>
      </c>
      <c r="BV114">
        <v>-19.636727272727274</v>
      </c>
      <c r="BW114">
        <v>-19.651255673222391</v>
      </c>
      <c r="BX114">
        <v>-19.665779122541604</v>
      </c>
      <c r="BY114">
        <v>-19.680302571860818</v>
      </c>
      <c r="BZ114">
        <v>-19.694826021180031</v>
      </c>
      <c r="CA114">
        <v>-19.709349470499244</v>
      </c>
      <c r="CB114">
        <v>-19.723872919818458</v>
      </c>
      <c r="CC114">
        <v>-19.738396369137671</v>
      </c>
      <c r="CD114">
        <v>-19.752919818456885</v>
      </c>
      <c r="CE114">
        <v>-19.767443267776098</v>
      </c>
      <c r="CF114">
        <v>-19.781966717095312</v>
      </c>
      <c r="CG114">
        <v>-19.796490166414525</v>
      </c>
      <c r="CH114">
        <v>-19.811013615733739</v>
      </c>
      <c r="CI114">
        <v>-19.825537065052949</v>
      </c>
      <c r="CJ114">
        <v>-19.840060514372162</v>
      </c>
      <c r="CK114">
        <v>-19.854583963691375</v>
      </c>
      <c r="CL114">
        <v>-19.869107413010589</v>
      </c>
    </row>
    <row r="115" spans="1:90" ht="21.75" thickBot="1" x14ac:dyDescent="0.4">
      <c r="A115" s="18" t="s">
        <v>5</v>
      </c>
      <c r="B115" s="38">
        <v>-63.223636363636359</v>
      </c>
      <c r="C115" s="38">
        <v>-61.720606060606059</v>
      </c>
      <c r="D115" s="38">
        <v>-60.217575757575759</v>
      </c>
      <c r="E115" s="38">
        <v>-58.865818181818177</v>
      </c>
      <c r="F115">
        <v>-57.517939393939393</v>
      </c>
      <c r="G115">
        <v>-56.298363636363632</v>
      </c>
      <c r="H115">
        <v>-55.091090909090902</v>
      </c>
      <c r="I115">
        <v>-53.517030303030296</v>
      </c>
      <c r="J115">
        <v>-51.878242424242423</v>
      </c>
      <c r="K115">
        <v>-50.254819277108432</v>
      </c>
      <c r="L115">
        <v>-48.635542168674704</v>
      </c>
      <c r="M115">
        <v>-47.095636363636366</v>
      </c>
      <c r="N115">
        <v>-45.587757575757578</v>
      </c>
      <c r="O115">
        <v>-44.155515151515154</v>
      </c>
      <c r="P115">
        <v>-42.764000000000003</v>
      </c>
      <c r="Q115">
        <v>-41.503131618759454</v>
      </c>
      <c r="R115">
        <v>-40.333993948562785</v>
      </c>
      <c r="S115">
        <v>-39.164856278366109</v>
      </c>
      <c r="T115">
        <v>-37.99571860816944</v>
      </c>
      <c r="U115">
        <v>-36.826580937972764</v>
      </c>
      <c r="V115">
        <v>-35.657443267776095</v>
      </c>
      <c r="W115">
        <v>-34.488305597579426</v>
      </c>
      <c r="X115">
        <v>-33.31916792738275</v>
      </c>
      <c r="Y115">
        <v>-32.206969696969693</v>
      </c>
      <c r="Z115">
        <v>-31.213030303030301</v>
      </c>
      <c r="AA115">
        <v>-30.234363636363636</v>
      </c>
      <c r="AB115">
        <v>-29.298606060606058</v>
      </c>
      <c r="AC115">
        <v>-28.374484848484848</v>
      </c>
      <c r="AD115">
        <v>-27.496909090909089</v>
      </c>
      <c r="AE115">
        <v>-26.626024096385539</v>
      </c>
      <c r="AF115">
        <v>-25.797108433734937</v>
      </c>
      <c r="AG115">
        <v>-24.974090909090908</v>
      </c>
      <c r="AH115">
        <v>-24.239545454545453</v>
      </c>
      <c r="AI115">
        <v>-23.504999999999999</v>
      </c>
      <c r="AJ115">
        <v>-22.770454545454545</v>
      </c>
      <c r="AK115">
        <v>-22.03590909090909</v>
      </c>
      <c r="AL115">
        <v>-21.301363636363636</v>
      </c>
      <c r="AM115">
        <v>-20.566818181818181</v>
      </c>
      <c r="AN115">
        <v>-19.832272727272727</v>
      </c>
      <c r="AO115">
        <v>-19.097727272727273</v>
      </c>
      <c r="AP115">
        <v>-18.467337367624811</v>
      </c>
      <c r="AQ115">
        <v>-17.860983358547657</v>
      </c>
      <c r="AR115">
        <v>-17.254629349470502</v>
      </c>
      <c r="AS115">
        <v>-16.648275340393344</v>
      </c>
      <c r="AT115">
        <v>-16.041921331316189</v>
      </c>
      <c r="AU115">
        <v>-15.435567322239033</v>
      </c>
      <c r="AV115">
        <v>-14.829213313161876</v>
      </c>
      <c r="AW115">
        <v>-14.222859304084722</v>
      </c>
      <c r="AX115">
        <v>-13.667494704992437</v>
      </c>
      <c r="AY115">
        <v>-13.153848714069593</v>
      </c>
      <c r="AZ115">
        <v>-12.640202723146748</v>
      </c>
      <c r="BA115">
        <v>-12.126556732223904</v>
      </c>
      <c r="BB115">
        <v>-11.612910741301061</v>
      </c>
      <c r="BC115">
        <v>-11.099264750378216</v>
      </c>
      <c r="BD115">
        <v>-10.585618759455372</v>
      </c>
      <c r="BE115">
        <v>-10.071972768532529</v>
      </c>
      <c r="BF115">
        <v>-9.5716242424242441</v>
      </c>
      <c r="BG115">
        <v>-9.104230303030306</v>
      </c>
      <c r="BH115">
        <v>-8.688981818181821</v>
      </c>
      <c r="BI115">
        <v>-8.4533454545454561</v>
      </c>
      <c r="BJ115">
        <v>-8.2237757575757584</v>
      </c>
      <c r="BK115">
        <v>-8.025472727272728</v>
      </c>
      <c r="BL115">
        <v>-7.8367831325301216</v>
      </c>
      <c r="BM115">
        <v>-7.7346144578313254</v>
      </c>
      <c r="BN115">
        <v>-7.6359696969696973</v>
      </c>
      <c r="BO115">
        <v>-7.6747575757575754</v>
      </c>
      <c r="BP115">
        <v>-7.7135454545454545</v>
      </c>
      <c r="BQ115">
        <v>-7.7528000000000006</v>
      </c>
      <c r="BR115">
        <v>-7.7920727272727275</v>
      </c>
      <c r="BS115">
        <v>-7.832218181818182</v>
      </c>
      <c r="BT115">
        <v>-7.8724606060606055</v>
      </c>
      <c r="BU115">
        <v>-7.9131090909090913</v>
      </c>
      <c r="BV115">
        <v>-7.9538363636363636</v>
      </c>
      <c r="BW115">
        <v>-7.9963918305597588</v>
      </c>
      <c r="BX115">
        <v>-8.0394780635400913</v>
      </c>
      <c r="BY115">
        <v>-8.0825642965204239</v>
      </c>
      <c r="BZ115">
        <v>-8.1256505295007564</v>
      </c>
      <c r="CA115">
        <v>-8.1687367624810907</v>
      </c>
      <c r="CB115">
        <v>-8.2118229954614232</v>
      </c>
      <c r="CC115">
        <v>-8.2549092284417558</v>
      </c>
      <c r="CD115">
        <v>-8.2979954614220883</v>
      </c>
      <c r="CE115">
        <v>-8.3441830559757957</v>
      </c>
      <c r="CF115">
        <v>-8.3933207261724672</v>
      </c>
      <c r="CG115">
        <v>-8.4424583963691386</v>
      </c>
      <c r="CH115">
        <v>-8.4915960665658101</v>
      </c>
      <c r="CI115">
        <v>-8.5407337367624816</v>
      </c>
      <c r="CJ115">
        <v>-8.5898714069591531</v>
      </c>
      <c r="CK115">
        <v>-8.6390090771558246</v>
      </c>
      <c r="CL115">
        <v>-8.688146747352496</v>
      </c>
    </row>
    <row r="116" spans="1:90" ht="21.75" thickBot="1" x14ac:dyDescent="0.4">
      <c r="A116" s="18" t="s">
        <v>6</v>
      </c>
      <c r="B116" s="38">
        <v>-15.639818181818182</v>
      </c>
      <c r="C116" s="38">
        <v>-15.36830303030303</v>
      </c>
      <c r="D116" s="38">
        <v>-15.096787878787879</v>
      </c>
      <c r="E116" s="38">
        <v>-14.853636363636364</v>
      </c>
      <c r="F116">
        <v>-14.611212121212121</v>
      </c>
      <c r="G116">
        <v>-14.399757575757576</v>
      </c>
      <c r="H116">
        <v>-14.191272727272727</v>
      </c>
      <c r="I116">
        <v>-13.694303030303029</v>
      </c>
      <c r="J116">
        <v>-13.14642424242424</v>
      </c>
      <c r="K116">
        <v>-12.563192771084337</v>
      </c>
      <c r="L116">
        <v>-11.970421686746988</v>
      </c>
      <c r="M116">
        <v>-11.409636363636364</v>
      </c>
      <c r="N116">
        <v>-10.861757575757576</v>
      </c>
      <c r="O116">
        <v>-10.337515151515152</v>
      </c>
      <c r="P116">
        <v>-9.8260000000000005</v>
      </c>
      <c r="Q116">
        <v>-9.3608018154311647</v>
      </c>
      <c r="R116">
        <v>-8.9281240544629359</v>
      </c>
      <c r="S116">
        <v>-8.4954462934947053</v>
      </c>
      <c r="T116">
        <v>-8.0627685325264746</v>
      </c>
      <c r="U116">
        <v>-7.6300907715582449</v>
      </c>
      <c r="V116">
        <v>-7.1974130105900151</v>
      </c>
      <c r="W116">
        <v>-6.7647352496217845</v>
      </c>
      <c r="X116">
        <v>-6.3320574886535539</v>
      </c>
      <c r="Y116">
        <v>-5.9196121212121202</v>
      </c>
      <c r="Z116">
        <v>-5.5491878787878779</v>
      </c>
      <c r="AA116">
        <v>-5.1839818181818167</v>
      </c>
      <c r="AB116">
        <v>-4.8334363636363626</v>
      </c>
      <c r="AC116">
        <v>-4.5105272727272725</v>
      </c>
      <c r="AD116">
        <v>-4.2981636363636362</v>
      </c>
      <c r="AE116">
        <v>-4.1176506024096389</v>
      </c>
      <c r="AF116">
        <v>-4.1369277108433735</v>
      </c>
      <c r="AG116">
        <v>-4.1562272727272731</v>
      </c>
      <c r="AH116">
        <v>-4.175863636363637</v>
      </c>
      <c r="AI116">
        <v>-4.1955</v>
      </c>
      <c r="AJ116">
        <v>-4.2151363636363639</v>
      </c>
      <c r="AK116">
        <v>-4.2347727272727278</v>
      </c>
      <c r="AL116">
        <v>-4.2544090909090908</v>
      </c>
      <c r="AM116">
        <v>-4.2740454545454547</v>
      </c>
      <c r="AN116">
        <v>-4.2936818181818186</v>
      </c>
      <c r="AO116">
        <v>-4.3133181818181816</v>
      </c>
      <c r="AP116">
        <v>-4.3331270801815434</v>
      </c>
      <c r="AQ116">
        <v>-4.3529757942511349</v>
      </c>
      <c r="AR116">
        <v>-4.3728245083207264</v>
      </c>
      <c r="AS116">
        <v>-4.392673222390318</v>
      </c>
      <c r="AT116">
        <v>-4.4125219364599095</v>
      </c>
      <c r="AU116">
        <v>-4.4323706505295011</v>
      </c>
      <c r="AV116">
        <v>-4.4522193645990917</v>
      </c>
      <c r="AW116">
        <v>-4.4720680786686833</v>
      </c>
      <c r="AX116">
        <v>-4.4917836611195154</v>
      </c>
      <c r="AY116">
        <v>-4.511390317700454</v>
      </c>
      <c r="AZ116">
        <v>-4.5309969742813916</v>
      </c>
      <c r="BA116">
        <v>-4.5506036308623292</v>
      </c>
      <c r="BB116">
        <v>-4.5702102874432677</v>
      </c>
      <c r="BC116">
        <v>-4.5898169440242054</v>
      </c>
      <c r="BD116">
        <v>-4.6094236006051439</v>
      </c>
      <c r="BE116">
        <v>-4.6290302571860815</v>
      </c>
      <c r="BF116">
        <v>-4.6485757575757569</v>
      </c>
      <c r="BG116">
        <v>-4.6679696969696964</v>
      </c>
      <c r="BH116">
        <v>-4.6872545454545449</v>
      </c>
      <c r="BI116">
        <v>-4.7061636363636365</v>
      </c>
      <c r="BJ116">
        <v>-4.7251515151515155</v>
      </c>
      <c r="BK116">
        <v>-4.7445454545454542</v>
      </c>
      <c r="BL116">
        <v>-4.7638795180722884</v>
      </c>
      <c r="BM116">
        <v>-4.7826746987951809</v>
      </c>
      <c r="BN116">
        <v>-4.8014727272727278</v>
      </c>
      <c r="BO116">
        <v>-4.8203818181818185</v>
      </c>
      <c r="BP116">
        <v>-4.8392909090909093</v>
      </c>
      <c r="BQ116">
        <v>-4.857733333333333</v>
      </c>
      <c r="BR116">
        <v>-4.8761575757575759</v>
      </c>
      <c r="BS116">
        <v>-4.8950181818181822</v>
      </c>
      <c r="BT116">
        <v>-4.9139272727272729</v>
      </c>
      <c r="BU116">
        <v>-4.9324303030303032</v>
      </c>
      <c r="BV116">
        <v>-4.9508545454545452</v>
      </c>
      <c r="BW116">
        <v>-4.9689757942511346</v>
      </c>
      <c r="BX116">
        <v>-4.9870090771558244</v>
      </c>
      <c r="BY116">
        <v>-5.0050423600605143</v>
      </c>
      <c r="BZ116">
        <v>-5.0230756429652041</v>
      </c>
      <c r="CA116">
        <v>-5.041108925869894</v>
      </c>
      <c r="CB116">
        <v>-5.0591422087745839</v>
      </c>
      <c r="CC116">
        <v>-5.0771754916792737</v>
      </c>
      <c r="CD116">
        <v>-5.0952087745839636</v>
      </c>
      <c r="CE116">
        <v>-5.1129939485627833</v>
      </c>
      <c r="CF116">
        <v>-5.1305431164901663</v>
      </c>
      <c r="CG116">
        <v>-5.1480922844175492</v>
      </c>
      <c r="CH116">
        <v>-5.1656414523449321</v>
      </c>
      <c r="CI116">
        <v>-5.1831906202723141</v>
      </c>
      <c r="CJ116">
        <v>-5.2007397881996971</v>
      </c>
      <c r="CK116">
        <v>-5.21828895612708</v>
      </c>
      <c r="CL116">
        <v>-5.2358381240544629</v>
      </c>
    </row>
    <row r="117" spans="1:90" ht="21.75" thickBot="1" x14ac:dyDescent="0.4">
      <c r="A117" s="18" t="s">
        <v>7</v>
      </c>
      <c r="B117" s="38">
        <v>-22.391999999999999</v>
      </c>
      <c r="C117" s="38">
        <v>-21.911999999999999</v>
      </c>
      <c r="D117" s="38">
        <v>-21.432000000000002</v>
      </c>
      <c r="E117" s="38">
        <v>-21.004000000000001</v>
      </c>
      <c r="F117">
        <v>-20.577333333333332</v>
      </c>
      <c r="G117">
        <v>-20.194909090909089</v>
      </c>
      <c r="H117">
        <v>-19.816727272727274</v>
      </c>
      <c r="I117">
        <v>-19.772363636363636</v>
      </c>
      <c r="J117">
        <v>-19.786909090909091</v>
      </c>
      <c r="K117">
        <v>-19.881084337349396</v>
      </c>
      <c r="L117">
        <v>-19.996746987951809</v>
      </c>
      <c r="M117">
        <v>-20.116363636363637</v>
      </c>
      <c r="N117">
        <v>-20.237575757575758</v>
      </c>
      <c r="O117">
        <v>-20.355636363636364</v>
      </c>
      <c r="P117">
        <v>-20.472000000000001</v>
      </c>
      <c r="Q117">
        <v>-20.591104387291981</v>
      </c>
      <c r="R117">
        <v>-20.71213313161876</v>
      </c>
      <c r="S117">
        <v>-20.833161875945535</v>
      </c>
      <c r="T117">
        <v>-20.954190620272314</v>
      </c>
      <c r="U117">
        <v>-21.075219364599093</v>
      </c>
      <c r="V117">
        <v>-21.196248108925868</v>
      </c>
      <c r="W117">
        <v>-21.317276853252647</v>
      </c>
      <c r="X117">
        <v>-21.438305597579426</v>
      </c>
      <c r="Y117">
        <v>-21.559393939393939</v>
      </c>
      <c r="Z117">
        <v>-21.68060606060606</v>
      </c>
      <c r="AA117">
        <v>-21.801818181818181</v>
      </c>
      <c r="AB117">
        <v>-21.923030303030302</v>
      </c>
      <c r="AC117">
        <v>-22.044242424242423</v>
      </c>
      <c r="AD117">
        <v>-22.165454545454544</v>
      </c>
      <c r="AE117">
        <v>-22.28590361445783</v>
      </c>
      <c r="AF117">
        <v>-22.401566265060243</v>
      </c>
      <c r="AG117">
        <v>-22.517348484848487</v>
      </c>
      <c r="AH117">
        <v>-22.634924242424244</v>
      </c>
      <c r="AI117">
        <v>-22.752500000000001</v>
      </c>
      <c r="AJ117">
        <v>-22.870075757575759</v>
      </c>
      <c r="AK117">
        <v>-22.987651515151516</v>
      </c>
      <c r="AL117">
        <v>-23.105227272727273</v>
      </c>
      <c r="AM117">
        <v>-23.22280303030303</v>
      </c>
      <c r="AN117">
        <v>-23.340378787878787</v>
      </c>
      <c r="AO117">
        <v>-23.457954545454545</v>
      </c>
      <c r="AP117">
        <v>-23.57145234493192</v>
      </c>
      <c r="AQ117">
        <v>-23.684009077155824</v>
      </c>
      <c r="AR117">
        <v>-23.796565809379729</v>
      </c>
      <c r="AS117">
        <v>-23.909122541603629</v>
      </c>
      <c r="AT117">
        <v>-24.021679273827534</v>
      </c>
      <c r="AU117">
        <v>-24.134236006051438</v>
      </c>
      <c r="AV117">
        <v>-24.246792738275339</v>
      </c>
      <c r="AW117">
        <v>-24.359349470499243</v>
      </c>
      <c r="AX117">
        <v>-24.469909228441754</v>
      </c>
      <c r="AY117">
        <v>-24.578835098335855</v>
      </c>
      <c r="AZ117">
        <v>-24.687760968229952</v>
      </c>
      <c r="BA117">
        <v>-24.796686838124053</v>
      </c>
      <c r="BB117">
        <v>-24.905612708018154</v>
      </c>
      <c r="BC117">
        <v>-25.014538577912251</v>
      </c>
      <c r="BD117">
        <v>-25.123464447806352</v>
      </c>
      <c r="BE117">
        <v>-25.232390317700453</v>
      </c>
      <c r="BF117">
        <v>-25.340666666666664</v>
      </c>
      <c r="BG117">
        <v>-25.447333333333333</v>
      </c>
      <c r="BH117">
        <v>-25.554000000000002</v>
      </c>
      <c r="BI117">
        <v>-25.660666666666668</v>
      </c>
      <c r="BJ117">
        <v>-25.766545454545454</v>
      </c>
      <c r="BK117">
        <v>-25.868363636363636</v>
      </c>
      <c r="BL117">
        <v>-25.970602409638555</v>
      </c>
      <c r="BM117">
        <v>-26.076626506024098</v>
      </c>
      <c r="BN117">
        <v>-26.182545454545455</v>
      </c>
      <c r="BO117">
        <v>-26.284363636363636</v>
      </c>
      <c r="BP117">
        <v>-26.386181818181818</v>
      </c>
      <c r="BQ117">
        <v>-26.488000000000003</v>
      </c>
      <c r="BR117">
        <v>-26.589818181818185</v>
      </c>
      <c r="BS117">
        <v>-26.691636363636363</v>
      </c>
      <c r="BT117">
        <v>-26.793454545454544</v>
      </c>
      <c r="BU117">
        <v>-26.895272727272726</v>
      </c>
      <c r="BV117">
        <v>-26.997090909090907</v>
      </c>
      <c r="BW117">
        <v>-27.095975794251135</v>
      </c>
      <c r="BX117">
        <v>-27.194009077155826</v>
      </c>
      <c r="BY117">
        <v>-27.292042360060513</v>
      </c>
      <c r="BZ117">
        <v>-27.390075642965204</v>
      </c>
      <c r="CA117">
        <v>-27.488108925869895</v>
      </c>
      <c r="CB117">
        <v>-27.586142208774582</v>
      </c>
      <c r="CC117">
        <v>-27.684175491679273</v>
      </c>
      <c r="CD117">
        <v>-27.782208774583964</v>
      </c>
      <c r="CE117">
        <v>-27.879001512859304</v>
      </c>
      <c r="CF117">
        <v>-27.974614220877456</v>
      </c>
      <c r="CG117">
        <v>-28.070226928895611</v>
      </c>
      <c r="CH117">
        <v>-28.165839636913766</v>
      </c>
      <c r="CI117">
        <v>-28.261452344931921</v>
      </c>
      <c r="CJ117">
        <v>-28.357065052950077</v>
      </c>
      <c r="CK117">
        <v>-28.452677760968232</v>
      </c>
      <c r="CL117">
        <v>-28.548290468986384</v>
      </c>
    </row>
    <row r="118" spans="1:90" ht="21.75" thickBot="1" x14ac:dyDescent="0.4">
      <c r="A118" s="18"/>
    </row>
    <row r="119" spans="1:90" ht="21.75" thickBot="1" x14ac:dyDescent="0.4">
      <c r="A119" s="18"/>
    </row>
    <row r="120" spans="1:90" ht="21.75" thickBot="1" x14ac:dyDescent="0.4">
      <c r="A120" s="18"/>
    </row>
    <row r="121" spans="1:90" ht="21.75" thickBot="1" x14ac:dyDescent="0.4">
      <c r="A121" s="18"/>
    </row>
    <row r="122" spans="1:90" ht="21.75" thickBot="1" x14ac:dyDescent="0.4">
      <c r="A122" s="18"/>
    </row>
    <row r="123" spans="1:90" ht="21.75" thickBot="1" x14ac:dyDescent="0.4">
      <c r="A123" s="18"/>
    </row>
    <row r="124" spans="1:90" ht="21.75" thickBot="1" x14ac:dyDescent="0.4">
      <c r="A124" s="18"/>
    </row>
    <row r="125" spans="1:90" ht="21.75" thickBot="1" x14ac:dyDescent="0.4">
      <c r="A125" s="18"/>
    </row>
    <row r="126" spans="1:90" ht="21.75" thickBot="1" x14ac:dyDescent="0.4">
      <c r="A126" s="18"/>
    </row>
    <row r="127" spans="1:90" ht="21.75" thickBot="1" x14ac:dyDescent="0.4">
      <c r="A127" s="18"/>
    </row>
    <row r="128" spans="1:90" ht="21.75" thickBot="1" x14ac:dyDescent="0.4">
      <c r="A128" s="18"/>
    </row>
    <row r="129" spans="1:90" ht="21.75" thickBot="1" x14ac:dyDescent="0.4">
      <c r="A129" s="18"/>
    </row>
    <row r="130" spans="1:90" ht="21.75" thickBot="1" x14ac:dyDescent="0.4">
      <c r="A130" s="18"/>
    </row>
    <row r="131" spans="1:90" ht="21.75" thickBot="1" x14ac:dyDescent="0.4"/>
    <row r="132" spans="1:90" ht="21.75" thickBot="1" x14ac:dyDescent="0.4">
      <c r="A132" s="18" t="s">
        <v>41</v>
      </c>
      <c r="B132" s="38">
        <v>-38.740909090909085</v>
      </c>
      <c r="C132" s="38">
        <v>-37.965151515151511</v>
      </c>
      <c r="D132" s="38">
        <v>-37.189393939393938</v>
      </c>
      <c r="E132" s="38">
        <v>-36.494</v>
      </c>
      <c r="F132">
        <v>-35.800666666666665</v>
      </c>
      <c r="G132">
        <v>-35.169272727272727</v>
      </c>
      <c r="H132">
        <v>-34.543818181818182</v>
      </c>
      <c r="I132">
        <v>-34.055579425113464</v>
      </c>
      <c r="J132">
        <v>-33.591555219364601</v>
      </c>
      <c r="K132">
        <v>-33.127531013615737</v>
      </c>
      <c r="L132">
        <v>-32.663506807866867</v>
      </c>
      <c r="M132">
        <v>-32.199482602118003</v>
      </c>
      <c r="N132">
        <v>-31.73545839636914</v>
      </c>
      <c r="O132">
        <v>-31.271434190620273</v>
      </c>
      <c r="P132">
        <v>-30.807409984871406</v>
      </c>
      <c r="Q132">
        <v>-30.419739393939395</v>
      </c>
      <c r="R132">
        <v>-30.085678787878788</v>
      </c>
      <c r="S132">
        <v>-29.783690909090911</v>
      </c>
      <c r="T132">
        <v>-29.510721212121211</v>
      </c>
      <c r="U132">
        <v>-29.269271084337351</v>
      </c>
      <c r="V132">
        <v>-29.064451807228917</v>
      </c>
      <c r="W132">
        <v>-28.888460606060605</v>
      </c>
      <c r="X132">
        <v>-28.758036363636364</v>
      </c>
      <c r="Y132">
        <v>-28.652193939393939</v>
      </c>
      <c r="Z132">
        <v>-28.597406060606062</v>
      </c>
      <c r="AA132">
        <v>-28.560945454545454</v>
      </c>
      <c r="AB132">
        <v>-28.575975757575755</v>
      </c>
      <c r="AC132">
        <v>-28.601769696969694</v>
      </c>
      <c r="AD132">
        <v>-28.670618181818181</v>
      </c>
      <c r="AE132">
        <v>-28.743385542168674</v>
      </c>
      <c r="AF132">
        <v>-28.840734939759034</v>
      </c>
      <c r="AG132">
        <v>-28.939242424242423</v>
      </c>
      <c r="AH132">
        <v>-29.055121212121211</v>
      </c>
      <c r="AI132">
        <v>-29.170999999999999</v>
      </c>
      <c r="AJ132">
        <v>-29.294636363636364</v>
      </c>
      <c r="AK132">
        <v>-29.418272727272726</v>
      </c>
      <c r="AL132">
        <v>-29.549636363636363</v>
      </c>
      <c r="AM132">
        <v>-29.681515151515153</v>
      </c>
      <c r="AN132">
        <v>-29.81127272727273</v>
      </c>
      <c r="AO132">
        <v>-29.940727272727276</v>
      </c>
      <c r="AP132">
        <v>-30.073855421686751</v>
      </c>
      <c r="AQ132">
        <v>-30.207831325301207</v>
      </c>
      <c r="AR132">
        <v>-30.339545454545455</v>
      </c>
      <c r="AS132">
        <v>-30.470454545454547</v>
      </c>
      <c r="AT132">
        <v>-30.601690909090909</v>
      </c>
      <c r="AU132">
        <v>-30.733084848484847</v>
      </c>
      <c r="AV132">
        <v>-30.865369696969697</v>
      </c>
      <c r="AW132">
        <v>-30.998218181818181</v>
      </c>
      <c r="AX132">
        <v>-31.130822995461422</v>
      </c>
      <c r="AY132">
        <v>-31.263228441754915</v>
      </c>
      <c r="AZ132">
        <v>-31.395633888048412</v>
      </c>
      <c r="BA132">
        <v>-31.528039334341905</v>
      </c>
      <c r="BB132">
        <v>-31.660444780635402</v>
      </c>
      <c r="BC132">
        <v>-31.792850226928895</v>
      </c>
      <c r="BD132">
        <v>-31.925255673222392</v>
      </c>
      <c r="BE132">
        <v>-32.057661119515885</v>
      </c>
      <c r="BF132">
        <v>-32.188048411497732</v>
      </c>
      <c r="BG132">
        <v>-32.313434190620271</v>
      </c>
      <c r="BH132">
        <v>-32.438819969742816</v>
      </c>
      <c r="BI132">
        <v>-32.564205748865355</v>
      </c>
      <c r="BJ132">
        <v>-32.689591527987901</v>
      </c>
      <c r="BK132">
        <v>-32.814977307110439</v>
      </c>
      <c r="BL132">
        <v>-32.940363086232985</v>
      </c>
      <c r="BM132">
        <v>-33.065748865355523</v>
      </c>
      <c r="BN132">
        <v>-33.191187878787879</v>
      </c>
      <c r="BO132">
        <v>-33.318703030303034</v>
      </c>
      <c r="BP132">
        <v>-33.446218181818182</v>
      </c>
      <c r="BQ132">
        <v>-33.569066666666664</v>
      </c>
      <c r="BR132">
        <v>-33.691733333333332</v>
      </c>
      <c r="BS132">
        <v>-33.813963636363638</v>
      </c>
      <c r="BT132">
        <v>-33.936145454545461</v>
      </c>
      <c r="BU132">
        <v>-34.05426666666667</v>
      </c>
      <c r="BV132">
        <v>-34.171599999999998</v>
      </c>
      <c r="BW132">
        <v>-34.291746987951811</v>
      </c>
      <c r="BX132">
        <v>-34.412710843373496</v>
      </c>
      <c r="BY132">
        <v>-34.524345454545454</v>
      </c>
      <c r="BZ132">
        <v>-34.631981818181821</v>
      </c>
      <c r="CA132">
        <v>-34.739927272727272</v>
      </c>
      <c r="CB132">
        <v>-34.848048484848483</v>
      </c>
      <c r="CC132">
        <v>-34.956169696969695</v>
      </c>
      <c r="CD132">
        <v>-35.064290909090914</v>
      </c>
      <c r="CE132">
        <v>-35.173878971255675</v>
      </c>
      <c r="CF132">
        <v>-35.284862329803332</v>
      </c>
      <c r="CG132">
        <v>-35.395845688350988</v>
      </c>
      <c r="CH132">
        <v>-35.506829046898638</v>
      </c>
      <c r="CI132">
        <v>-35.617812405446294</v>
      </c>
      <c r="CJ132">
        <v>-35.728795763993951</v>
      </c>
      <c r="CK132">
        <v>-35.839779122541607</v>
      </c>
      <c r="CL132">
        <v>-35.950762481089257</v>
      </c>
    </row>
    <row r="133" spans="1:90" ht="21.75" thickBot="1" x14ac:dyDescent="0.4">
      <c r="A133" s="18" t="s">
        <v>53</v>
      </c>
      <c r="B133" s="38">
        <v>-63.458181818181821</v>
      </c>
      <c r="C133" s="38">
        <v>-61.809696969696965</v>
      </c>
      <c r="D133" s="38">
        <v>-60.161212121212117</v>
      </c>
      <c r="E133" s="38">
        <v>-58.531636363636359</v>
      </c>
      <c r="F133">
        <v>-56.902545454545447</v>
      </c>
      <c r="G133">
        <v>-55.273454545454541</v>
      </c>
      <c r="H133">
        <v>-53.644363636363636</v>
      </c>
      <c r="I133">
        <v>-52.128472012102868</v>
      </c>
      <c r="J133">
        <v>-50.632556732223904</v>
      </c>
      <c r="K133">
        <v>-49.136641452344932</v>
      </c>
      <c r="L133">
        <v>-47.640726172465961</v>
      </c>
      <c r="M133">
        <v>-46.144810892586989</v>
      </c>
      <c r="N133">
        <v>-44.648895612708017</v>
      </c>
      <c r="O133">
        <v>-43.152980332829046</v>
      </c>
      <c r="P133">
        <v>-41.657065052950074</v>
      </c>
      <c r="Q133">
        <v>-40.302242424242429</v>
      </c>
      <c r="R133">
        <v>-39.046484848484852</v>
      </c>
      <c r="S133">
        <v>-37.846727272727279</v>
      </c>
      <c r="T133">
        <v>-36.697636363636363</v>
      </c>
      <c r="U133">
        <v>-35.600783132530118</v>
      </c>
      <c r="V133">
        <v>-34.564638554216863</v>
      </c>
      <c r="W133">
        <v>-33.556121212121212</v>
      </c>
      <c r="X133">
        <v>-32.591272727272724</v>
      </c>
      <c r="Y133">
        <v>-31.645333333333333</v>
      </c>
      <c r="Z133">
        <v>-30.738666666666663</v>
      </c>
      <c r="AA133">
        <v>-29.842181818181817</v>
      </c>
      <c r="AB133">
        <v>-28.97430303030303</v>
      </c>
      <c r="AC133">
        <v>-28.111272727272727</v>
      </c>
      <c r="AD133">
        <v>-27.26763636363636</v>
      </c>
      <c r="AE133">
        <v>-26.429337349397588</v>
      </c>
      <c r="AF133">
        <v>-25.624518072289156</v>
      </c>
      <c r="AG133">
        <v>-24.821515151515154</v>
      </c>
      <c r="AH133">
        <v>-24.045757575757577</v>
      </c>
      <c r="AI133">
        <v>-23.27</v>
      </c>
      <c r="AJ133">
        <v>-22.528181818181817</v>
      </c>
      <c r="AK133">
        <v>-21.786363636363635</v>
      </c>
      <c r="AL133">
        <v>-21.07181818181818</v>
      </c>
      <c r="AM133">
        <v>-20.359090909090909</v>
      </c>
      <c r="AN133">
        <v>-19.676060606060606</v>
      </c>
      <c r="AO133">
        <v>-18.99727272727273</v>
      </c>
      <c r="AP133">
        <v>-18.349216867469881</v>
      </c>
      <c r="AQ133">
        <v>-17.708253012048193</v>
      </c>
      <c r="AR133">
        <v>-17.082303030303031</v>
      </c>
      <c r="AS133">
        <v>-16.461696969696973</v>
      </c>
      <c r="AT133">
        <v>-15.864000000000003</v>
      </c>
      <c r="AU133">
        <v>-15.277333333333337</v>
      </c>
      <c r="AV133">
        <v>-14.711454545454547</v>
      </c>
      <c r="AW133">
        <v>-14.158727272727274</v>
      </c>
      <c r="AX133">
        <v>-13.70231467473525</v>
      </c>
      <c r="AY133">
        <v>-13.324704992435704</v>
      </c>
      <c r="AZ133">
        <v>-12.947095310136159</v>
      </c>
      <c r="BA133">
        <v>-12.569485627836613</v>
      </c>
      <c r="BB133">
        <v>-12.191875945537067</v>
      </c>
      <c r="BC133">
        <v>-11.814266263237521</v>
      </c>
      <c r="BD133">
        <v>-11.436656580937974</v>
      </c>
      <c r="BE133">
        <v>-11.059046898638428</v>
      </c>
      <c r="BF133">
        <v>-10.734639939485628</v>
      </c>
      <c r="BG133">
        <v>-10.542083207261724</v>
      </c>
      <c r="BH133">
        <v>-10.349526475037822</v>
      </c>
      <c r="BI133">
        <v>-10.156969742813917</v>
      </c>
      <c r="BJ133">
        <v>-9.9644130105900146</v>
      </c>
      <c r="BK133">
        <v>-9.771856278366112</v>
      </c>
      <c r="BL133">
        <v>-9.5792995461422077</v>
      </c>
      <c r="BM133">
        <v>-9.3867428139183051</v>
      </c>
      <c r="BN133">
        <v>-9.1950606060606042</v>
      </c>
      <c r="BO133">
        <v>-9.0374848484848478</v>
      </c>
      <c r="BP133">
        <v>-8.8799090909090914</v>
      </c>
      <c r="BQ133">
        <v>-8.7335333333333338</v>
      </c>
      <c r="BR133">
        <v>-8.5875939393939387</v>
      </c>
      <c r="BS133">
        <v>-8.4516909090909085</v>
      </c>
      <c r="BT133">
        <v>-8.3169030303030294</v>
      </c>
      <c r="BU133">
        <v>-8.1898303030303019</v>
      </c>
      <c r="BV133">
        <v>-8.0642545454545438</v>
      </c>
      <c r="BW133">
        <v>-7.9493493975903604</v>
      </c>
      <c r="BX133">
        <v>-7.8375421686746982</v>
      </c>
      <c r="BY133">
        <v>-7.8216484848484846</v>
      </c>
      <c r="BZ133">
        <v>-7.8468606060606056</v>
      </c>
      <c r="CA133">
        <v>-7.8742363636363635</v>
      </c>
      <c r="CB133">
        <v>-7.902842424242424</v>
      </c>
      <c r="CC133">
        <v>-7.930890909090909</v>
      </c>
      <c r="CD133">
        <v>-7.9585272727272729</v>
      </c>
      <c r="CE133">
        <v>-7.9859561270801818</v>
      </c>
      <c r="CF133">
        <v>-8.0131875945537061</v>
      </c>
      <c r="CG133">
        <v>-8.0404190620272313</v>
      </c>
      <c r="CH133">
        <v>-8.0676505295007566</v>
      </c>
      <c r="CI133">
        <v>-8.0948819969742818</v>
      </c>
      <c r="CJ133">
        <v>-8.1221134644478052</v>
      </c>
      <c r="CK133">
        <v>-8.1493449319213305</v>
      </c>
      <c r="CL133">
        <v>-8.1765763993948557</v>
      </c>
    </row>
    <row r="134" spans="1:90" ht="21.75" thickBot="1" x14ac:dyDescent="0.4">
      <c r="A134" s="18" t="s">
        <v>42</v>
      </c>
      <c r="B134" s="38">
        <v>-22.515818181818183</v>
      </c>
      <c r="C134" s="38">
        <v>-22.137636363636364</v>
      </c>
      <c r="D134" s="38">
        <v>-21.759454545454545</v>
      </c>
      <c r="E134" s="38">
        <v>-21.527818181818184</v>
      </c>
      <c r="F134">
        <v>-21.299939393939393</v>
      </c>
      <c r="G134">
        <v>-21.195939393939394</v>
      </c>
      <c r="H134">
        <v>-21.10381818181818</v>
      </c>
      <c r="I134">
        <v>-21.147609682299546</v>
      </c>
      <c r="J134">
        <v>-21.215385779122542</v>
      </c>
      <c r="K134">
        <v>-21.283161875945538</v>
      </c>
      <c r="L134">
        <v>-21.350937972768531</v>
      </c>
      <c r="M134">
        <v>-21.418714069591527</v>
      </c>
      <c r="N134">
        <v>-21.486490166414523</v>
      </c>
      <c r="O134">
        <v>-21.554266263237519</v>
      </c>
      <c r="P134">
        <v>-21.622042360060512</v>
      </c>
      <c r="Q134">
        <v>-21.706969696969697</v>
      </c>
      <c r="R134">
        <v>-21.803939393939395</v>
      </c>
      <c r="S134">
        <v>-21.895818181818182</v>
      </c>
      <c r="T134">
        <v>-21.983090909090912</v>
      </c>
      <c r="U134">
        <v>-22.06343373493976</v>
      </c>
      <c r="V134">
        <v>-22.135722891566264</v>
      </c>
      <c r="W134">
        <v>-22.20630303030303</v>
      </c>
      <c r="X134">
        <v>-22.27418181818182</v>
      </c>
      <c r="Y134">
        <v>-22.343636363636364</v>
      </c>
      <c r="Z134">
        <v>-22.416363636363634</v>
      </c>
      <c r="AA134">
        <v>-22.492909090909091</v>
      </c>
      <c r="AB134">
        <v>-22.580181818181817</v>
      </c>
      <c r="AC134">
        <v>-22.670363636363636</v>
      </c>
      <c r="AD134">
        <v>-22.772181818181817</v>
      </c>
      <c r="AE134">
        <v>-22.874578313253011</v>
      </c>
      <c r="AF134">
        <v>-22.980602409638553</v>
      </c>
      <c r="AG134">
        <v>-23.086969696969696</v>
      </c>
      <c r="AH134">
        <v>-23.198484848484846</v>
      </c>
      <c r="AI134">
        <v>-23.31</v>
      </c>
      <c r="AJ134">
        <v>-23.421515151515152</v>
      </c>
      <c r="AK134">
        <v>-23.533030303030301</v>
      </c>
      <c r="AL134">
        <v>-23.649090909090908</v>
      </c>
      <c r="AM134">
        <v>-23.765454545454546</v>
      </c>
      <c r="AN134">
        <v>-23.877575757575759</v>
      </c>
      <c r="AO134">
        <v>-23.989090909090912</v>
      </c>
      <c r="AP134">
        <v>-24.103975903614458</v>
      </c>
      <c r="AQ134">
        <v>-24.219638554216868</v>
      </c>
      <c r="AR134">
        <v>-24.332242424242423</v>
      </c>
      <c r="AS134">
        <v>-24.443757575757576</v>
      </c>
      <c r="AT134">
        <v>-24.555272727272726</v>
      </c>
      <c r="AU134">
        <v>-24.666787878787879</v>
      </c>
      <c r="AV134">
        <v>-24.778303030303032</v>
      </c>
      <c r="AW134">
        <v>-24.889818181818182</v>
      </c>
      <c r="AX134">
        <v>-24.998577912254163</v>
      </c>
      <c r="AY134">
        <v>-25.105083207261725</v>
      </c>
      <c r="AZ134">
        <v>-25.21158850226929</v>
      </c>
      <c r="BA134">
        <v>-25.318093797276855</v>
      </c>
      <c r="BB134">
        <v>-25.424599092284417</v>
      </c>
      <c r="BC134">
        <v>-25.531104387291983</v>
      </c>
      <c r="BD134">
        <v>-25.637609682299548</v>
      </c>
      <c r="BE134">
        <v>-25.74411497730711</v>
      </c>
      <c r="BF134">
        <v>-25.849924357034794</v>
      </c>
      <c r="BG134">
        <v>-25.954009077155824</v>
      </c>
      <c r="BH134">
        <v>-26.058093797276854</v>
      </c>
      <c r="BI134">
        <v>-26.162178517397884</v>
      </c>
      <c r="BJ134">
        <v>-26.26626323751891</v>
      </c>
      <c r="BK134">
        <v>-26.37034795763994</v>
      </c>
      <c r="BL134">
        <v>-26.474432677760969</v>
      </c>
      <c r="BM134">
        <v>-26.578517397881996</v>
      </c>
      <c r="BN134">
        <v>-26.682666666666666</v>
      </c>
      <c r="BO134">
        <v>-26.789333333333332</v>
      </c>
      <c r="BP134">
        <v>-26.896000000000001</v>
      </c>
      <c r="BQ134">
        <v>-26.998000000000001</v>
      </c>
      <c r="BR134">
        <v>-27.099818181818183</v>
      </c>
      <c r="BS134">
        <v>-27.201636363636364</v>
      </c>
      <c r="BT134">
        <v>-27.303454545454546</v>
      </c>
      <c r="BU134">
        <v>-27.401212121212122</v>
      </c>
      <c r="BV134">
        <v>-27.49818181818182</v>
      </c>
      <c r="BW134">
        <v>-27.598433734939761</v>
      </c>
      <c r="BX134">
        <v>-27.699638554216868</v>
      </c>
      <c r="BY134">
        <v>-27.794484848484849</v>
      </c>
      <c r="BZ134">
        <v>-27.886606060606063</v>
      </c>
      <c r="CA134">
        <v>-27.978727272727273</v>
      </c>
      <c r="CB134">
        <v>-28.070848484848486</v>
      </c>
      <c r="CC134">
        <v>-28.162969696969697</v>
      </c>
      <c r="CD134">
        <v>-28.25509090909091</v>
      </c>
      <c r="CE134">
        <v>-28.348381240544629</v>
      </c>
      <c r="CF134">
        <v>-28.442783661119517</v>
      </c>
      <c r="CG134">
        <v>-28.537186081694404</v>
      </c>
      <c r="CH134">
        <v>-28.631588502269288</v>
      </c>
      <c r="CI134">
        <v>-28.725990922844176</v>
      </c>
      <c r="CJ134">
        <v>-28.82039334341906</v>
      </c>
      <c r="CK134">
        <v>-28.914795763993947</v>
      </c>
      <c r="CL134">
        <v>-29.009198184568834</v>
      </c>
    </row>
    <row r="135" spans="1:90" ht="21.75" thickBot="1" x14ac:dyDescent="0.4">
      <c r="A135" s="18" t="s">
        <v>75</v>
      </c>
      <c r="B135" s="38">
        <v>-61.256727272727268</v>
      </c>
      <c r="C135" s="38">
        <v>-60.102787878787879</v>
      </c>
      <c r="D135" s="38">
        <v>-58.948848484848483</v>
      </c>
      <c r="E135" s="38">
        <v>-58.021818181818183</v>
      </c>
      <c r="F135">
        <v>-57.100606060606061</v>
      </c>
      <c r="G135">
        <v>-56.365212121212124</v>
      </c>
      <c r="H135">
        <v>-55.647636363636359</v>
      </c>
      <c r="I135">
        <v>-55.20318910741301</v>
      </c>
      <c r="J135">
        <v>-54.806940998487143</v>
      </c>
      <c r="K135">
        <v>-54.410692889561268</v>
      </c>
      <c r="L135">
        <v>-54.014444780635401</v>
      </c>
      <c r="M135">
        <v>-53.618196671709526</v>
      </c>
      <c r="N135">
        <v>-53.221948562783659</v>
      </c>
      <c r="O135">
        <v>-52.825700453857792</v>
      </c>
      <c r="P135">
        <v>-52.429452344931917</v>
      </c>
      <c r="Q135">
        <v>-52.126709090909088</v>
      </c>
      <c r="R135">
        <v>-51.889618181818186</v>
      </c>
      <c r="S135">
        <v>-51.679509090909093</v>
      </c>
      <c r="T135">
        <v>-51.493812121212123</v>
      </c>
      <c r="U135">
        <v>-51.332704819277112</v>
      </c>
      <c r="V135">
        <v>-51.20017469879518</v>
      </c>
      <c r="W135">
        <v>-51.094763636363638</v>
      </c>
      <c r="X135">
        <v>-51.03221818181818</v>
      </c>
      <c r="Y135">
        <v>-50.995830303030303</v>
      </c>
      <c r="Z135">
        <v>-51.013769696969696</v>
      </c>
      <c r="AA135">
        <v>-51.053854545454548</v>
      </c>
      <c r="AB135">
        <v>-51.156157575757575</v>
      </c>
      <c r="AC135">
        <v>-51.272133333333336</v>
      </c>
      <c r="AD135">
        <v>-51.442799999999998</v>
      </c>
      <c r="AE135">
        <v>-51.617963855421685</v>
      </c>
      <c r="AF135">
        <v>-51.821337349397588</v>
      </c>
      <c r="AG135">
        <v>-52.026212121212119</v>
      </c>
      <c r="AH135">
        <v>-52.25360606060606</v>
      </c>
      <c r="AI135">
        <v>-52.480999999999995</v>
      </c>
      <c r="AJ135">
        <v>-52.716151515151516</v>
      </c>
      <c r="AK135">
        <v>-52.951303030303031</v>
      </c>
      <c r="AL135">
        <v>-53.198727272727275</v>
      </c>
      <c r="AM135">
        <v>-53.446969696969695</v>
      </c>
      <c r="AN135">
        <v>-53.688848484848485</v>
      </c>
      <c r="AO135">
        <v>-53.929818181818185</v>
      </c>
      <c r="AP135">
        <v>-54.177831325301206</v>
      </c>
      <c r="AQ135">
        <v>-54.427469879518071</v>
      </c>
      <c r="AR135">
        <v>-54.671787878787882</v>
      </c>
      <c r="AS135">
        <v>-54.914212121212124</v>
      </c>
      <c r="AT135">
        <v>-55.156963636363635</v>
      </c>
      <c r="AU135">
        <v>-55.399872727272729</v>
      </c>
      <c r="AV135">
        <v>-55.64367272727273</v>
      </c>
      <c r="AW135">
        <v>-55.888036363636367</v>
      </c>
      <c r="AX135">
        <v>-56.129400907715585</v>
      </c>
      <c r="AY135">
        <v>-56.368311649016647</v>
      </c>
      <c r="AZ135">
        <v>-56.607222390317702</v>
      </c>
      <c r="BA135">
        <v>-56.846133131618764</v>
      </c>
      <c r="BB135">
        <v>-57.085043872919819</v>
      </c>
      <c r="BC135">
        <v>-57.323954614220881</v>
      </c>
      <c r="BD135">
        <v>-57.562865355521936</v>
      </c>
      <c r="BE135">
        <v>-57.801776096822998</v>
      </c>
      <c r="BF135">
        <v>-58.037972768532526</v>
      </c>
      <c r="BG135">
        <v>-58.267443267776095</v>
      </c>
      <c r="BH135">
        <v>-58.49691376701967</v>
      </c>
      <c r="BI135">
        <v>-58.726384266263238</v>
      </c>
      <c r="BJ135">
        <v>-58.955854765506807</v>
      </c>
      <c r="BK135">
        <v>-59.185325264750382</v>
      </c>
      <c r="BL135">
        <v>-59.414795763993951</v>
      </c>
      <c r="BM135">
        <v>-59.644266263237519</v>
      </c>
      <c r="BN135">
        <v>-59.873854545454549</v>
      </c>
      <c r="BO135">
        <v>-60.108036363636366</v>
      </c>
      <c r="BP135">
        <v>-60.342218181818183</v>
      </c>
      <c r="BQ135">
        <v>-60.567066666666669</v>
      </c>
      <c r="BR135">
        <v>-60.791551515151518</v>
      </c>
      <c r="BS135">
        <v>-61.015600000000006</v>
      </c>
      <c r="BT135">
        <v>-61.239600000000003</v>
      </c>
      <c r="BU135">
        <v>-61.455478787878789</v>
      </c>
      <c r="BV135">
        <v>-61.669781818181818</v>
      </c>
      <c r="BW135">
        <v>-61.890180722891564</v>
      </c>
      <c r="BX135">
        <v>-62.112349397590364</v>
      </c>
      <c r="BY135">
        <v>-62.318830303030303</v>
      </c>
      <c r="BZ135">
        <v>-62.518587878787883</v>
      </c>
      <c r="CA135">
        <v>-62.718654545454548</v>
      </c>
      <c r="CB135">
        <v>-62.918896969696966</v>
      </c>
      <c r="CC135">
        <v>-63.119139393939392</v>
      </c>
      <c r="CD135">
        <v>-63.319381818181817</v>
      </c>
      <c r="CE135">
        <v>-63.522260211800301</v>
      </c>
      <c r="CF135">
        <v>-63.727645990922845</v>
      </c>
      <c r="CG135">
        <v>-63.933031770045382</v>
      </c>
      <c r="CH135">
        <v>-64.138417549167926</v>
      </c>
      <c r="CI135">
        <v>-64.343803328290463</v>
      </c>
      <c r="CJ135">
        <v>-64.549189107413</v>
      </c>
      <c r="CK135">
        <v>-64.754574886535551</v>
      </c>
      <c r="CL135">
        <v>-64.959960665658087</v>
      </c>
    </row>
    <row r="136" spans="1:90" ht="21.75" thickBot="1" x14ac:dyDescent="0.4">
      <c r="A136" s="18" t="s">
        <v>70</v>
      </c>
      <c r="B136" s="38">
        <v>-194.46381818181817</v>
      </c>
      <c r="C136" s="38">
        <v>-190.03230303030301</v>
      </c>
      <c r="D136" s="38">
        <v>-185.60078787878788</v>
      </c>
      <c r="E136" s="38">
        <v>-181.64672727272728</v>
      </c>
      <c r="F136">
        <v>-177.7049090909091</v>
      </c>
      <c r="G136">
        <v>-174.13472727272728</v>
      </c>
      <c r="H136">
        <v>-170.6001818181818</v>
      </c>
      <c r="I136">
        <v>-167.69977307110437</v>
      </c>
      <c r="J136">
        <v>-164.91127080181542</v>
      </c>
      <c r="K136">
        <v>-162.12276853252646</v>
      </c>
      <c r="L136">
        <v>-159.33426626323751</v>
      </c>
      <c r="M136">
        <v>-156.54576399394855</v>
      </c>
      <c r="N136">
        <v>-153.7572617246596</v>
      </c>
      <c r="O136">
        <v>-150.96875945537062</v>
      </c>
      <c r="P136">
        <v>-148.18025718608166</v>
      </c>
      <c r="Q136">
        <v>-145.72539393939394</v>
      </c>
      <c r="R136">
        <v>-143.50478787878788</v>
      </c>
      <c r="S136">
        <v>-141.38090909090911</v>
      </c>
      <c r="T136">
        <v>-139.34454545454545</v>
      </c>
      <c r="U136">
        <v>-137.39186746987951</v>
      </c>
      <c r="V136">
        <v>-135.53644578313251</v>
      </c>
      <c r="W136">
        <v>-133.73115151515148</v>
      </c>
      <c r="X136">
        <v>-132.00509090909091</v>
      </c>
      <c r="Y136">
        <v>-130.32157575757574</v>
      </c>
      <c r="Z136">
        <v>-128.72642424242423</v>
      </c>
      <c r="AA136">
        <v>-127.1630909090909</v>
      </c>
      <c r="AB136">
        <v>-125.68915151515151</v>
      </c>
      <c r="AC136">
        <v>-124.23363636363635</v>
      </c>
      <c r="AD136">
        <v>-122.85181818181817</v>
      </c>
      <c r="AE136">
        <v>-121.48240963855422</v>
      </c>
      <c r="AF136">
        <v>-120.19084337349396</v>
      </c>
      <c r="AG136">
        <v>-118.90393939393938</v>
      </c>
      <c r="AH136">
        <v>-117.6869696969697</v>
      </c>
      <c r="AI136">
        <v>-116.47</v>
      </c>
      <c r="AJ136">
        <v>-115.32090909090908</v>
      </c>
      <c r="AK136">
        <v>-114.17181818181818</v>
      </c>
      <c r="AL136">
        <v>-113.09090909090908</v>
      </c>
      <c r="AM136">
        <v>-112.01454545454546</v>
      </c>
      <c r="AN136">
        <v>-110.98484848484848</v>
      </c>
      <c r="AO136">
        <v>-109.96181818181819</v>
      </c>
      <c r="AP136">
        <v>-109.01036144578313</v>
      </c>
      <c r="AQ136">
        <v>-108.07542168674699</v>
      </c>
      <c r="AR136">
        <v>-107.16133333333333</v>
      </c>
      <c r="AS136">
        <v>-106.25466666666668</v>
      </c>
      <c r="AT136">
        <v>-105.39381818181819</v>
      </c>
      <c r="AU136">
        <v>-104.55503030303029</v>
      </c>
      <c r="AV136">
        <v>-103.75781818181818</v>
      </c>
      <c r="AW136">
        <v>-102.98690909090911</v>
      </c>
      <c r="AX136">
        <v>-102.400363086233</v>
      </c>
      <c r="AY136">
        <v>-101.9646596066566</v>
      </c>
      <c r="AZ136">
        <v>-101.52895612708019</v>
      </c>
      <c r="BA136">
        <v>-101.09325264750379</v>
      </c>
      <c r="BB136">
        <v>-100.6575491679274</v>
      </c>
      <c r="BC136">
        <v>-100.221845688351</v>
      </c>
      <c r="BD136">
        <v>-99.786142208774592</v>
      </c>
      <c r="BE136">
        <v>-99.350438729198189</v>
      </c>
      <c r="BF136">
        <v>-99.019052950075647</v>
      </c>
      <c r="BG136">
        <v>-98.946193645990931</v>
      </c>
      <c r="BH136">
        <v>-98.873334341906201</v>
      </c>
      <c r="BI136">
        <v>-98.800475037821485</v>
      </c>
      <c r="BJ136">
        <v>-98.727615733736755</v>
      </c>
      <c r="BK136">
        <v>-98.654756429652039</v>
      </c>
      <c r="BL136">
        <v>-98.581897125567309</v>
      </c>
      <c r="BM136">
        <v>-98.509037821482593</v>
      </c>
      <c r="BN136">
        <v>-98.438121212121203</v>
      </c>
      <c r="BO136">
        <v>-98.442969696969683</v>
      </c>
      <c r="BP136">
        <v>-98.447818181818178</v>
      </c>
      <c r="BQ136">
        <v>-98.461066666666667</v>
      </c>
      <c r="BR136">
        <v>-98.474642424242418</v>
      </c>
      <c r="BS136">
        <v>-98.508290909090917</v>
      </c>
      <c r="BT136">
        <v>-98.544169696969703</v>
      </c>
      <c r="BU136">
        <v>-98.583296969696974</v>
      </c>
      <c r="BV136">
        <v>-98.623054545454551</v>
      </c>
      <c r="BW136">
        <v>-98.694000000000003</v>
      </c>
      <c r="BX136">
        <v>-98.774000000000001</v>
      </c>
      <c r="BY136">
        <v>-99.026751515151517</v>
      </c>
      <c r="BZ136">
        <v>-99.3535393939394</v>
      </c>
      <c r="CA136">
        <v>-99.684654545454549</v>
      </c>
      <c r="CB136">
        <v>-100.01823030303031</v>
      </c>
      <c r="CC136">
        <v>-100.35069090909091</v>
      </c>
      <c r="CD136">
        <v>-100.68232727272728</v>
      </c>
      <c r="CE136">
        <v>-101.01705597579426</v>
      </c>
      <c r="CF136">
        <v>-101.35472617246596</v>
      </c>
      <c r="CG136">
        <v>-101.69239636913767</v>
      </c>
      <c r="CH136">
        <v>-102.03006656580938</v>
      </c>
      <c r="CI136">
        <v>-102.36773676248109</v>
      </c>
      <c r="CJ136">
        <v>-102.7054069591528</v>
      </c>
      <c r="CK136">
        <v>-103.04307715582451</v>
      </c>
      <c r="CL136">
        <v>-103.3807473524962</v>
      </c>
    </row>
    <row r="137" spans="1:90" ht="21.75" thickBot="1" x14ac:dyDescent="0.4">
      <c r="A137" s="18" t="s">
        <v>71</v>
      </c>
      <c r="B137" s="38">
        <v>-149.43218181818182</v>
      </c>
      <c r="C137" s="38">
        <v>-145.75703030303029</v>
      </c>
      <c r="D137" s="38">
        <v>-142.08187878787879</v>
      </c>
      <c r="E137" s="38">
        <v>-138.59109090909092</v>
      </c>
      <c r="F137">
        <v>-135.1050303030303</v>
      </c>
      <c r="G137">
        <v>-131.74284848484848</v>
      </c>
      <c r="H137">
        <v>-128.39254545454546</v>
      </c>
      <c r="I137">
        <v>-125.4045537065053</v>
      </c>
      <c r="J137">
        <v>-122.48049924357035</v>
      </c>
      <c r="K137">
        <v>-119.5564447806354</v>
      </c>
      <c r="L137">
        <v>-116.63239031770046</v>
      </c>
      <c r="M137">
        <v>-113.70833585476551</v>
      </c>
      <c r="N137">
        <v>-110.78428139183055</v>
      </c>
      <c r="O137">
        <v>-107.8602269288956</v>
      </c>
      <c r="P137">
        <v>-104.93617246596065</v>
      </c>
      <c r="Q137">
        <v>-102.31145454545454</v>
      </c>
      <c r="R137">
        <v>-99.896909090909091</v>
      </c>
      <c r="S137">
        <v>-97.589272727272729</v>
      </c>
      <c r="T137">
        <v>-95.378363636363645</v>
      </c>
      <c r="U137">
        <v>-93.265000000000001</v>
      </c>
      <c r="V137">
        <v>-91.264999999999986</v>
      </c>
      <c r="W137">
        <v>-89.318545454545443</v>
      </c>
      <c r="X137">
        <v>-87.456727272727264</v>
      </c>
      <c r="Y137">
        <v>-85.63430303030303</v>
      </c>
      <c r="Z137">
        <v>-83.893696969696961</v>
      </c>
      <c r="AA137">
        <v>-82.177272727272722</v>
      </c>
      <c r="AB137">
        <v>-80.528787878787881</v>
      </c>
      <c r="AC137">
        <v>-78.8929090909091</v>
      </c>
      <c r="AD137">
        <v>-77.307454545454547</v>
      </c>
      <c r="AE137">
        <v>-75.733253012048181</v>
      </c>
      <c r="AF137">
        <v>-74.229638554216862</v>
      </c>
      <c r="AG137">
        <v>-72.72999999999999</v>
      </c>
      <c r="AH137">
        <v>-71.289999999999992</v>
      </c>
      <c r="AI137">
        <v>-69.849999999999994</v>
      </c>
      <c r="AJ137">
        <v>-68.47787878787878</v>
      </c>
      <c r="AK137">
        <v>-67.105757575757565</v>
      </c>
      <c r="AL137">
        <v>-65.792727272727262</v>
      </c>
      <c r="AM137">
        <v>-64.48363636363635</v>
      </c>
      <c r="AN137">
        <v>-63.229696969696967</v>
      </c>
      <c r="AO137">
        <v>-61.983636363636364</v>
      </c>
      <c r="AP137">
        <v>-60.802409638554217</v>
      </c>
      <c r="AQ137">
        <v>-59.636144578313257</v>
      </c>
      <c r="AR137">
        <v>-58.496848484848485</v>
      </c>
      <c r="AS137">
        <v>-57.367151515151519</v>
      </c>
      <c r="AT137">
        <v>-56.283272727272731</v>
      </c>
      <c r="AU137">
        <v>-55.221454545454549</v>
      </c>
      <c r="AV137">
        <v>-54.20121212121213</v>
      </c>
      <c r="AW137">
        <v>-53.207272727272738</v>
      </c>
      <c r="AX137">
        <v>-52.403207261724667</v>
      </c>
      <c r="AY137">
        <v>-51.75449319213314</v>
      </c>
      <c r="AZ137">
        <v>-51.105779122541612</v>
      </c>
      <c r="BA137">
        <v>-50.457065052950078</v>
      </c>
      <c r="BB137">
        <v>-49.808350983358551</v>
      </c>
      <c r="BC137">
        <v>-49.159636913767024</v>
      </c>
      <c r="BD137">
        <v>-48.510922844175496</v>
      </c>
      <c r="BE137">
        <v>-47.862208774583969</v>
      </c>
      <c r="BF137">
        <v>-47.319204236006051</v>
      </c>
      <c r="BG137">
        <v>-47.038175491679276</v>
      </c>
      <c r="BH137">
        <v>-46.757146747352493</v>
      </c>
      <c r="BI137">
        <v>-46.476118003025718</v>
      </c>
      <c r="BJ137">
        <v>-46.195089258698943</v>
      </c>
      <c r="BK137">
        <v>-45.914060514372167</v>
      </c>
      <c r="BL137">
        <v>-45.633031770045385</v>
      </c>
      <c r="BM137">
        <v>-45.352003025718609</v>
      </c>
      <c r="BN137">
        <v>-45.072787878787878</v>
      </c>
      <c r="BO137">
        <v>-44.864303030303027</v>
      </c>
      <c r="BP137">
        <v>-44.655818181818177</v>
      </c>
      <c r="BQ137">
        <v>-44.465066666666665</v>
      </c>
      <c r="BR137">
        <v>-44.27500606060606</v>
      </c>
      <c r="BS137">
        <v>-44.105018181818181</v>
      </c>
      <c r="BT137">
        <v>-43.937260606060605</v>
      </c>
      <c r="BU137">
        <v>-43.780872727272722</v>
      </c>
      <c r="BV137">
        <v>-43.626690909090904</v>
      </c>
      <c r="BW137">
        <v>-43.497132530120481</v>
      </c>
      <c r="BX137">
        <v>-43.374722891566265</v>
      </c>
      <c r="BY137">
        <v>-43.437781818181818</v>
      </c>
      <c r="BZ137">
        <v>-43.580327272727274</v>
      </c>
      <c r="CA137">
        <v>-43.727200000000003</v>
      </c>
      <c r="CB137">
        <v>-43.876533333333334</v>
      </c>
      <c r="CC137">
        <v>-44.024751515151515</v>
      </c>
      <c r="CD137">
        <v>-44.172145454545458</v>
      </c>
      <c r="CE137">
        <v>-44.320293494704991</v>
      </c>
      <c r="CF137">
        <v>-44.469158850226925</v>
      </c>
      <c r="CG137">
        <v>-44.618024205748867</v>
      </c>
      <c r="CH137">
        <v>-44.766889561270801</v>
      </c>
      <c r="CI137">
        <v>-44.915754916792736</v>
      </c>
      <c r="CJ137">
        <v>-45.06462027231467</v>
      </c>
      <c r="CK137">
        <v>-45.213485627836612</v>
      </c>
      <c r="CL137">
        <v>-45.362350983358546</v>
      </c>
    </row>
    <row r="138" spans="1:90" ht="21.75" thickBot="1" x14ac:dyDescent="0.4">
      <c r="A138" s="18" t="s">
        <v>4</v>
      </c>
      <c r="B138" s="38">
        <v>-63.458181818181821</v>
      </c>
      <c r="C138" s="38">
        <v>-61.809696969696965</v>
      </c>
      <c r="D138" s="38">
        <v>-60.161212121212117</v>
      </c>
      <c r="E138" s="38">
        <v>-58.531636363636359</v>
      </c>
      <c r="F138">
        <v>-56.902545454545447</v>
      </c>
      <c r="G138">
        <v>-55.273454545454541</v>
      </c>
      <c r="H138">
        <v>-53.644363636363636</v>
      </c>
      <c r="I138">
        <v>-52.128472012102868</v>
      </c>
      <c r="J138">
        <v>-50.632556732223904</v>
      </c>
      <c r="K138">
        <v>-49.136641452344932</v>
      </c>
      <c r="L138">
        <v>-47.640726172465961</v>
      </c>
      <c r="M138">
        <v>-46.144810892586989</v>
      </c>
      <c r="N138">
        <v>-44.648895612708017</v>
      </c>
      <c r="O138">
        <v>-43.152980332829046</v>
      </c>
      <c r="P138">
        <v>-41.657065052950074</v>
      </c>
      <c r="Q138">
        <v>-40.302242424242429</v>
      </c>
      <c r="R138">
        <v>-39.046484848484852</v>
      </c>
      <c r="S138">
        <v>-37.846727272727279</v>
      </c>
      <c r="T138">
        <v>-36.697636363636363</v>
      </c>
      <c r="U138">
        <v>-35.600783132530118</v>
      </c>
      <c r="V138">
        <v>-34.564638554216863</v>
      </c>
      <c r="W138">
        <v>-33.556121212121212</v>
      </c>
      <c r="X138">
        <v>-32.591272727272724</v>
      </c>
      <c r="Y138">
        <v>-31.645333333333333</v>
      </c>
      <c r="Z138">
        <v>-30.738666666666663</v>
      </c>
      <c r="AA138">
        <v>-29.842181818181817</v>
      </c>
      <c r="AB138">
        <v>-28.97430303030303</v>
      </c>
      <c r="AC138">
        <v>-28.111272727272727</v>
      </c>
      <c r="AD138">
        <v>-27.26763636363636</v>
      </c>
      <c r="AE138">
        <v>-26.429337349397588</v>
      </c>
      <c r="AF138">
        <v>-25.624518072289156</v>
      </c>
      <c r="AG138">
        <v>-24.821515151515154</v>
      </c>
      <c r="AH138">
        <v>-24.045757575757577</v>
      </c>
      <c r="AI138">
        <v>-23.27</v>
      </c>
      <c r="AJ138">
        <v>-22.528181818181817</v>
      </c>
      <c r="AK138">
        <v>-21.786363636363635</v>
      </c>
      <c r="AL138">
        <v>-21.07181818181818</v>
      </c>
      <c r="AM138">
        <v>-20.359090909090909</v>
      </c>
      <c r="AN138">
        <v>-19.676060606060606</v>
      </c>
      <c r="AO138">
        <v>-18.99727272727273</v>
      </c>
      <c r="AP138">
        <v>-18.349216867469881</v>
      </c>
      <c r="AQ138">
        <v>-17.708253012048193</v>
      </c>
      <c r="AR138">
        <v>-17.082303030303031</v>
      </c>
      <c r="AS138">
        <v>-16.461696969696973</v>
      </c>
      <c r="AT138">
        <v>-15.864000000000003</v>
      </c>
      <c r="AU138">
        <v>-15.277333333333337</v>
      </c>
      <c r="AV138">
        <v>-14.711454545454547</v>
      </c>
      <c r="AW138">
        <v>-14.158727272727274</v>
      </c>
      <c r="AX138">
        <v>-13.70231467473525</v>
      </c>
      <c r="AY138">
        <v>-13.324704992435704</v>
      </c>
      <c r="AZ138">
        <v>-12.947095310136159</v>
      </c>
      <c r="BA138">
        <v>-12.569485627836613</v>
      </c>
      <c r="BB138">
        <v>-12.191875945537067</v>
      </c>
      <c r="BC138">
        <v>-11.814266263237521</v>
      </c>
      <c r="BD138">
        <v>-11.436656580937974</v>
      </c>
      <c r="BE138">
        <v>-11.059046898638428</v>
      </c>
      <c r="BF138">
        <v>-10.734639939485628</v>
      </c>
      <c r="BG138">
        <v>-10.542083207261724</v>
      </c>
      <c r="BH138">
        <v>-10.349526475037822</v>
      </c>
      <c r="BI138">
        <v>-10.156969742813917</v>
      </c>
      <c r="BJ138">
        <v>-9.9644130105900146</v>
      </c>
      <c r="BK138">
        <v>-9.771856278366112</v>
      </c>
      <c r="BL138">
        <v>-9.5792995461422077</v>
      </c>
      <c r="BM138">
        <v>-9.3867428139183051</v>
      </c>
      <c r="BN138">
        <v>-9.1950606060606042</v>
      </c>
      <c r="BO138">
        <v>-9.0374848484848478</v>
      </c>
      <c r="BP138">
        <v>-8.8799090909090914</v>
      </c>
      <c r="BQ138">
        <v>-8.7335333333333338</v>
      </c>
      <c r="BR138">
        <v>-8.5875939393939387</v>
      </c>
      <c r="BS138">
        <v>-8.4516909090909085</v>
      </c>
      <c r="BT138">
        <v>-8.3169030303030294</v>
      </c>
      <c r="BU138">
        <v>-8.1898303030303019</v>
      </c>
      <c r="BV138">
        <v>-8.0642545454545438</v>
      </c>
      <c r="BW138">
        <v>-7.9493493975903604</v>
      </c>
      <c r="BX138">
        <v>-7.8375421686746982</v>
      </c>
      <c r="BY138">
        <v>-7.8216484848484846</v>
      </c>
      <c r="BZ138">
        <v>-7.8468606060606056</v>
      </c>
      <c r="CA138">
        <v>-7.8742363636363635</v>
      </c>
      <c r="CB138">
        <v>-7.902842424242424</v>
      </c>
      <c r="CC138">
        <v>-7.930890909090909</v>
      </c>
      <c r="CD138">
        <v>-7.9585272727272729</v>
      </c>
      <c r="CE138">
        <v>-7.9859561270801818</v>
      </c>
      <c r="CF138">
        <v>-8.0131875945537061</v>
      </c>
      <c r="CG138">
        <v>-8.0404190620272313</v>
      </c>
      <c r="CH138">
        <v>-8.0676505295007566</v>
      </c>
      <c r="CI138">
        <v>-8.0948819969742818</v>
      </c>
      <c r="CJ138">
        <v>-8.1221134644478052</v>
      </c>
      <c r="CK138">
        <v>-8.1493449319213305</v>
      </c>
      <c r="CL138">
        <v>-8.1765763993948557</v>
      </c>
    </row>
    <row r="139" spans="1:90" ht="21.75" thickBot="1" x14ac:dyDescent="0.4">
      <c r="A139" s="18" t="s">
        <v>1</v>
      </c>
      <c r="B139" s="38">
        <v>-18.649999999999999</v>
      </c>
      <c r="C139" s="38">
        <v>-18.649999999999999</v>
      </c>
      <c r="D139" s="38">
        <v>-18.649999999999999</v>
      </c>
      <c r="E139" s="38">
        <v>-18.654727272727271</v>
      </c>
      <c r="F139">
        <v>-18.659575757575759</v>
      </c>
      <c r="G139">
        <v>-18.664424242424243</v>
      </c>
      <c r="H139">
        <v>-18.66927272727273</v>
      </c>
      <c r="I139">
        <v>-18.678229954614224</v>
      </c>
      <c r="J139">
        <v>-18.687912254160363</v>
      </c>
      <c r="K139">
        <v>-18.697594553706505</v>
      </c>
      <c r="L139">
        <v>-18.707276853252647</v>
      </c>
      <c r="M139">
        <v>-18.71695915279879</v>
      </c>
      <c r="N139">
        <v>-18.726641452344932</v>
      </c>
      <c r="O139">
        <v>-18.736323751891074</v>
      </c>
      <c r="P139">
        <v>-18.746006051437217</v>
      </c>
      <c r="Q139">
        <v>-18.758545454545455</v>
      </c>
      <c r="R139">
        <v>-18.773090909090911</v>
      </c>
      <c r="S139">
        <v>-18.787636363636363</v>
      </c>
      <c r="T139">
        <v>-18.802181818181818</v>
      </c>
      <c r="U139">
        <v>-18.814457831325299</v>
      </c>
      <c r="V139">
        <v>-18.824096385542166</v>
      </c>
      <c r="W139">
        <v>-18.835636363636361</v>
      </c>
      <c r="X139">
        <v>-18.850181818181817</v>
      </c>
      <c r="Y139">
        <v>-18.86630303030303</v>
      </c>
      <c r="Z139">
        <v>-18.885696969696969</v>
      </c>
      <c r="AA139">
        <v>-18.903818181818181</v>
      </c>
      <c r="AB139">
        <v>-18.918363636363637</v>
      </c>
      <c r="AC139">
        <v>-18.932909090909092</v>
      </c>
      <c r="AD139">
        <v>-18.947454545454544</v>
      </c>
      <c r="AE139">
        <v>-18.961987951807231</v>
      </c>
      <c r="AF139">
        <v>-18.976445783132529</v>
      </c>
      <c r="AG139">
        <v>-18.991212121212119</v>
      </c>
      <c r="AH139">
        <v>-19.010606060606062</v>
      </c>
      <c r="AI139">
        <v>-19.03</v>
      </c>
      <c r="AJ139">
        <v>-19.044545454545453</v>
      </c>
      <c r="AK139">
        <v>-19.059090909090909</v>
      </c>
      <c r="AL139">
        <v>-19.078181818181818</v>
      </c>
      <c r="AM139">
        <v>-19.097575757575758</v>
      </c>
      <c r="AN139">
        <v>-19.112727272727273</v>
      </c>
      <c r="AO139">
        <v>-19.127272727272725</v>
      </c>
      <c r="AP139">
        <v>-19.145662650602411</v>
      </c>
      <c r="AQ139">
        <v>-19.164939759036145</v>
      </c>
      <c r="AR139">
        <v>-19.180727272727275</v>
      </c>
      <c r="AS139">
        <v>-19.195272727272727</v>
      </c>
      <c r="AT139">
        <v>-19.209818181818182</v>
      </c>
      <c r="AU139">
        <v>-19.224363636363638</v>
      </c>
      <c r="AV139">
        <v>-19.24187878787879</v>
      </c>
      <c r="AW139">
        <v>-19.261272727272726</v>
      </c>
      <c r="AX139">
        <v>-19.277322239031768</v>
      </c>
      <c r="AY139">
        <v>-19.290635400907714</v>
      </c>
      <c r="AZ139">
        <v>-19.30394856278366</v>
      </c>
      <c r="BA139">
        <v>-19.317261724659605</v>
      </c>
      <c r="BB139">
        <v>-19.330574886535551</v>
      </c>
      <c r="BC139">
        <v>-19.343888048411497</v>
      </c>
      <c r="BD139">
        <v>-19.357201210287442</v>
      </c>
      <c r="BE139">
        <v>-19.370514372163388</v>
      </c>
      <c r="BF139">
        <v>-19.384523449319211</v>
      </c>
      <c r="BG139">
        <v>-19.400257186081692</v>
      </c>
      <c r="BH139">
        <v>-19.415990922844177</v>
      </c>
      <c r="BI139">
        <v>-19.431724659606658</v>
      </c>
      <c r="BJ139">
        <v>-19.447458396369139</v>
      </c>
      <c r="BK139">
        <v>-19.463192133131621</v>
      </c>
      <c r="BL139">
        <v>-19.478925869894102</v>
      </c>
      <c r="BM139">
        <v>-19.494659606656583</v>
      </c>
      <c r="BN139">
        <v>-19.51048484848485</v>
      </c>
      <c r="BO139">
        <v>-19.52987878787879</v>
      </c>
      <c r="BP139">
        <v>-19.549272727272729</v>
      </c>
      <c r="BQ139">
        <v>-19.564</v>
      </c>
      <c r="BR139">
        <v>-19.578545454545452</v>
      </c>
      <c r="BS139">
        <v>-19.593090909090908</v>
      </c>
      <c r="BT139">
        <v>-19.607636363636363</v>
      </c>
      <c r="BU139">
        <v>-19.622181818181819</v>
      </c>
      <c r="BV139">
        <v>-19.636727272727274</v>
      </c>
      <c r="BW139">
        <v>-19.651204819277108</v>
      </c>
      <c r="BX139">
        <v>-19.66566265060241</v>
      </c>
      <c r="BY139">
        <v>-19.680181818181818</v>
      </c>
      <c r="BZ139">
        <v>-19.694727272727274</v>
      </c>
      <c r="CA139">
        <v>-19.709272727272726</v>
      </c>
      <c r="CB139">
        <v>-19.723818181818181</v>
      </c>
      <c r="CC139">
        <v>-19.738363636363637</v>
      </c>
      <c r="CD139">
        <v>-19.752909090909093</v>
      </c>
      <c r="CE139">
        <v>-19.767443267776098</v>
      </c>
      <c r="CF139">
        <v>-19.781966717095312</v>
      </c>
      <c r="CG139">
        <v>-19.796490166414525</v>
      </c>
      <c r="CH139">
        <v>-19.811013615733739</v>
      </c>
      <c r="CI139">
        <v>-19.825537065052949</v>
      </c>
      <c r="CJ139">
        <v>-19.840060514372162</v>
      </c>
      <c r="CK139">
        <v>-19.854583963691375</v>
      </c>
      <c r="CL139">
        <v>-19.869107413010589</v>
      </c>
    </row>
    <row r="140" spans="1:90" ht="21.75" thickBot="1" x14ac:dyDescent="0.4">
      <c r="A140" s="18" t="s">
        <v>54</v>
      </c>
      <c r="B140" s="38">
        <v>-61.256727272727268</v>
      </c>
      <c r="C140" s="38">
        <v>-60.102787878787879</v>
      </c>
      <c r="D140" s="38">
        <v>-58.948848484848483</v>
      </c>
      <c r="E140" s="38">
        <v>-58.021818181818183</v>
      </c>
      <c r="F140">
        <v>-57.100606060606061</v>
      </c>
      <c r="G140">
        <v>-56.365212121212124</v>
      </c>
      <c r="H140">
        <v>-55.647636363636359</v>
      </c>
      <c r="I140">
        <v>-55.20318910741301</v>
      </c>
      <c r="J140">
        <v>-54.806940998487143</v>
      </c>
      <c r="K140">
        <v>-54.410692889561268</v>
      </c>
      <c r="L140">
        <v>-54.014444780635401</v>
      </c>
      <c r="M140">
        <v>-53.618196671709526</v>
      </c>
      <c r="N140">
        <v>-53.221948562783659</v>
      </c>
      <c r="O140">
        <v>-52.825700453857792</v>
      </c>
      <c r="P140">
        <v>-52.429452344931917</v>
      </c>
      <c r="Q140">
        <v>-52.126709090909088</v>
      </c>
      <c r="R140">
        <v>-51.889618181818186</v>
      </c>
      <c r="S140">
        <v>-51.679509090909093</v>
      </c>
      <c r="T140">
        <v>-51.493812121212123</v>
      </c>
      <c r="U140">
        <v>-51.332704819277112</v>
      </c>
      <c r="V140">
        <v>-51.20017469879518</v>
      </c>
      <c r="W140">
        <v>-51.094763636363638</v>
      </c>
      <c r="X140">
        <v>-51.03221818181818</v>
      </c>
      <c r="Y140">
        <v>-50.995830303030303</v>
      </c>
      <c r="Z140">
        <v>-51.013769696969696</v>
      </c>
      <c r="AA140">
        <v>-51.053854545454548</v>
      </c>
      <c r="AB140">
        <v>-51.156157575757575</v>
      </c>
      <c r="AC140">
        <v>-51.272133333333336</v>
      </c>
      <c r="AD140">
        <v>-51.442799999999998</v>
      </c>
      <c r="AE140">
        <v>-51.617963855421685</v>
      </c>
      <c r="AF140">
        <v>-51.821337349397588</v>
      </c>
      <c r="AG140">
        <v>-52.026212121212119</v>
      </c>
      <c r="AH140">
        <v>-52.25360606060606</v>
      </c>
      <c r="AI140">
        <v>-52.480999999999995</v>
      </c>
      <c r="AJ140">
        <v>-52.716151515151516</v>
      </c>
      <c r="AK140">
        <v>-52.951303030303031</v>
      </c>
      <c r="AL140">
        <v>-53.198727272727275</v>
      </c>
      <c r="AM140">
        <v>-53.446969696969695</v>
      </c>
      <c r="AN140">
        <v>-53.688848484848485</v>
      </c>
      <c r="AO140">
        <v>-53.929818181818185</v>
      </c>
      <c r="AP140">
        <v>-54.177831325301206</v>
      </c>
      <c r="AQ140">
        <v>-54.427469879518071</v>
      </c>
      <c r="AR140">
        <v>-54.671787878787882</v>
      </c>
      <c r="AS140">
        <v>-54.914212121212124</v>
      </c>
      <c r="AT140">
        <v>-55.156963636363635</v>
      </c>
      <c r="AU140">
        <v>-55.399872727272729</v>
      </c>
      <c r="AV140">
        <v>-55.64367272727273</v>
      </c>
      <c r="AW140">
        <v>-55.888036363636367</v>
      </c>
      <c r="AX140">
        <v>-56.129400907715585</v>
      </c>
      <c r="AY140">
        <v>-56.368311649016647</v>
      </c>
      <c r="AZ140">
        <v>-56.607222390317702</v>
      </c>
      <c r="BA140">
        <v>-56.846133131618764</v>
      </c>
      <c r="BB140">
        <v>-57.085043872919819</v>
      </c>
      <c r="BC140">
        <v>-57.323954614220881</v>
      </c>
      <c r="BD140">
        <v>-57.562865355521936</v>
      </c>
      <c r="BE140">
        <v>-57.801776096822998</v>
      </c>
      <c r="BF140">
        <v>-58.037972768532526</v>
      </c>
      <c r="BG140">
        <v>-58.267443267776095</v>
      </c>
      <c r="BH140">
        <v>-58.49691376701967</v>
      </c>
      <c r="BI140">
        <v>-58.726384266263238</v>
      </c>
      <c r="BJ140">
        <v>-58.955854765506807</v>
      </c>
      <c r="BK140">
        <v>-59.185325264750382</v>
      </c>
      <c r="BL140">
        <v>-59.414795763993951</v>
      </c>
      <c r="BM140">
        <v>-59.644266263237519</v>
      </c>
      <c r="BN140">
        <v>-59.873854545454549</v>
      </c>
      <c r="BO140">
        <v>-60.108036363636366</v>
      </c>
      <c r="BP140">
        <v>-60.342218181818183</v>
      </c>
      <c r="BQ140">
        <v>-60.567066666666669</v>
      </c>
      <c r="BR140">
        <v>-60.791551515151518</v>
      </c>
      <c r="BS140">
        <v>-61.015600000000006</v>
      </c>
      <c r="BT140">
        <v>-61.239600000000003</v>
      </c>
      <c r="BU140">
        <v>-61.455478787878789</v>
      </c>
      <c r="BV140">
        <v>-61.669781818181818</v>
      </c>
      <c r="BW140">
        <v>-61.890180722891564</v>
      </c>
      <c r="BX140">
        <v>-62.112349397590364</v>
      </c>
      <c r="BY140">
        <v>-62.318830303030303</v>
      </c>
      <c r="BZ140">
        <v>-62.518587878787883</v>
      </c>
      <c r="CA140">
        <v>-62.718654545454548</v>
      </c>
      <c r="CB140">
        <v>-62.918896969696966</v>
      </c>
      <c r="CC140">
        <v>-63.119139393939392</v>
      </c>
      <c r="CD140">
        <v>-63.319381818181817</v>
      </c>
      <c r="CE140">
        <v>-63.522260211800301</v>
      </c>
      <c r="CF140">
        <v>-63.727645990922845</v>
      </c>
      <c r="CG140">
        <v>-63.933031770045382</v>
      </c>
      <c r="CH140">
        <v>-64.138417549167926</v>
      </c>
      <c r="CI140">
        <v>-64.343803328290463</v>
      </c>
      <c r="CJ140">
        <v>-64.549189107413</v>
      </c>
      <c r="CK140">
        <v>-64.754574886535551</v>
      </c>
      <c r="CL140">
        <v>-64.959960665658087</v>
      </c>
    </row>
    <row r="141" spans="1:90" ht="21.75" thickBot="1" x14ac:dyDescent="0.4">
      <c r="A141" s="18" t="s">
        <v>74</v>
      </c>
      <c r="B141" s="38">
        <v>-38.740909090909085</v>
      </c>
      <c r="C141" s="38">
        <v>-37.965151515151511</v>
      </c>
      <c r="D141" s="38">
        <v>-37.189393939393938</v>
      </c>
      <c r="E141" s="38">
        <v>-36.494</v>
      </c>
      <c r="F141">
        <v>-35.800666666666665</v>
      </c>
      <c r="G141">
        <v>-35.169272727272727</v>
      </c>
      <c r="H141">
        <v>-34.543818181818182</v>
      </c>
      <c r="I141">
        <v>-34.055579425113464</v>
      </c>
      <c r="J141">
        <v>-33.591555219364601</v>
      </c>
      <c r="K141">
        <v>-33.127531013615737</v>
      </c>
      <c r="L141">
        <v>-32.663506807866867</v>
      </c>
      <c r="M141">
        <v>-32.199482602118003</v>
      </c>
      <c r="N141">
        <v>-31.73545839636914</v>
      </c>
      <c r="O141">
        <v>-31.271434190620273</v>
      </c>
      <c r="P141">
        <v>-30.807409984871406</v>
      </c>
      <c r="Q141">
        <v>-30.419739393939395</v>
      </c>
      <c r="R141">
        <v>-30.085678787878788</v>
      </c>
      <c r="S141">
        <v>-29.783690909090911</v>
      </c>
      <c r="T141">
        <v>-29.510721212121211</v>
      </c>
      <c r="U141">
        <v>-29.269271084337351</v>
      </c>
      <c r="V141">
        <v>-29.064451807228917</v>
      </c>
      <c r="W141">
        <v>-28.888460606060605</v>
      </c>
      <c r="X141">
        <v>-28.758036363636364</v>
      </c>
      <c r="Y141">
        <v>-28.652193939393939</v>
      </c>
      <c r="Z141">
        <v>-28.597406060606062</v>
      </c>
      <c r="AA141">
        <v>-28.560945454545454</v>
      </c>
      <c r="AB141">
        <v>-28.575975757575755</v>
      </c>
      <c r="AC141">
        <v>-28.601769696969694</v>
      </c>
      <c r="AD141">
        <v>-28.670618181818181</v>
      </c>
      <c r="AE141">
        <v>-28.743385542168674</v>
      </c>
      <c r="AF141">
        <v>-28.840734939759034</v>
      </c>
      <c r="AG141">
        <v>-28.939242424242423</v>
      </c>
      <c r="AH141">
        <v>-29.055121212121211</v>
      </c>
      <c r="AI141">
        <v>-29.170999999999999</v>
      </c>
      <c r="AJ141">
        <v>-29.294636363636364</v>
      </c>
      <c r="AK141">
        <v>-29.418272727272726</v>
      </c>
      <c r="AL141">
        <v>-29.549636363636363</v>
      </c>
      <c r="AM141">
        <v>-29.681515151515153</v>
      </c>
      <c r="AN141">
        <v>-29.81127272727273</v>
      </c>
      <c r="AO141">
        <v>-29.940727272727276</v>
      </c>
      <c r="AP141">
        <v>-30.073855421686751</v>
      </c>
      <c r="AQ141">
        <v>-30.207831325301207</v>
      </c>
      <c r="AR141">
        <v>-30.339545454545455</v>
      </c>
      <c r="AS141">
        <v>-30.470454545454547</v>
      </c>
      <c r="AT141">
        <v>-30.601690909090909</v>
      </c>
      <c r="AU141">
        <v>-30.733084848484847</v>
      </c>
      <c r="AV141">
        <v>-30.865369696969697</v>
      </c>
      <c r="AW141">
        <v>-30.998218181818181</v>
      </c>
      <c r="AX141">
        <v>-31.130822995461422</v>
      </c>
      <c r="AY141">
        <v>-31.263228441754915</v>
      </c>
      <c r="AZ141">
        <v>-31.395633888048412</v>
      </c>
      <c r="BA141">
        <v>-31.528039334341905</v>
      </c>
      <c r="BB141">
        <v>-31.660444780635402</v>
      </c>
      <c r="BC141">
        <v>-31.792850226928895</v>
      </c>
      <c r="BD141">
        <v>-31.925255673222392</v>
      </c>
      <c r="BE141">
        <v>-32.057661119515885</v>
      </c>
      <c r="BF141">
        <v>-32.188048411497732</v>
      </c>
      <c r="BG141">
        <v>-32.313434190620271</v>
      </c>
      <c r="BH141">
        <v>-32.438819969742816</v>
      </c>
      <c r="BI141">
        <v>-32.564205748865355</v>
      </c>
      <c r="BJ141">
        <v>-32.689591527987901</v>
      </c>
      <c r="BK141">
        <v>-32.814977307110439</v>
      </c>
      <c r="BL141">
        <v>-32.940363086232985</v>
      </c>
      <c r="BM141">
        <v>-33.065748865355523</v>
      </c>
      <c r="BN141">
        <v>-33.191187878787879</v>
      </c>
      <c r="BO141">
        <v>-33.318703030303034</v>
      </c>
      <c r="BP141">
        <v>-33.446218181818182</v>
      </c>
      <c r="BQ141">
        <v>-33.569066666666664</v>
      </c>
      <c r="BR141">
        <v>-33.691733333333332</v>
      </c>
      <c r="BS141">
        <v>-33.813963636363638</v>
      </c>
      <c r="BT141">
        <v>-33.936145454545461</v>
      </c>
      <c r="BU141">
        <v>-34.05426666666667</v>
      </c>
      <c r="BV141">
        <v>-34.171599999999998</v>
      </c>
      <c r="BW141">
        <v>-34.291746987951811</v>
      </c>
      <c r="BX141">
        <v>-34.412710843373496</v>
      </c>
      <c r="BY141">
        <v>-34.524345454545454</v>
      </c>
      <c r="BZ141">
        <v>-34.631981818181821</v>
      </c>
      <c r="CA141">
        <v>-34.739927272727272</v>
      </c>
      <c r="CB141">
        <v>-34.848048484848483</v>
      </c>
      <c r="CC141">
        <v>-34.956169696969695</v>
      </c>
      <c r="CD141">
        <v>-35.064290909090914</v>
      </c>
      <c r="CE141">
        <v>-35.173878971255675</v>
      </c>
      <c r="CF141">
        <v>-35.284862329803332</v>
      </c>
      <c r="CG141">
        <v>-35.395845688350988</v>
      </c>
      <c r="CH141">
        <v>-35.506829046898638</v>
      </c>
      <c r="CI141">
        <v>-35.617812405446294</v>
      </c>
      <c r="CJ141">
        <v>-35.728795763993951</v>
      </c>
      <c r="CK141">
        <v>-35.839779122541607</v>
      </c>
      <c r="CL141">
        <v>-35.950762481089257</v>
      </c>
    </row>
    <row r="142" spans="1:90" ht="21.75" thickBot="1" x14ac:dyDescent="0.4">
      <c r="A142" s="18" t="s">
        <v>55</v>
      </c>
      <c r="B142" s="38">
        <v>-194.46381818181817</v>
      </c>
      <c r="C142" s="38">
        <v>-190.03230303030301</v>
      </c>
      <c r="D142" s="38">
        <v>-185.60078787878788</v>
      </c>
      <c r="E142" s="38">
        <v>-181.64672727272728</v>
      </c>
      <c r="F142">
        <v>-177.7049090909091</v>
      </c>
      <c r="G142">
        <v>-174.13472727272728</v>
      </c>
      <c r="H142">
        <v>-170.6001818181818</v>
      </c>
      <c r="I142">
        <v>-167.69977307110437</v>
      </c>
      <c r="J142">
        <v>-164.91127080181542</v>
      </c>
      <c r="K142">
        <v>-162.12276853252646</v>
      </c>
      <c r="L142">
        <v>-159.33426626323751</v>
      </c>
      <c r="M142">
        <v>-156.54576399394855</v>
      </c>
      <c r="N142">
        <v>-153.7572617246596</v>
      </c>
      <c r="O142">
        <v>-150.96875945537062</v>
      </c>
      <c r="P142">
        <v>-148.18025718608166</v>
      </c>
      <c r="Q142">
        <v>-145.72539393939394</v>
      </c>
      <c r="R142">
        <v>-143.50478787878788</v>
      </c>
      <c r="S142">
        <v>-141.38090909090911</v>
      </c>
      <c r="T142">
        <v>-139.34454545454545</v>
      </c>
      <c r="U142">
        <v>-137.39186746987951</v>
      </c>
      <c r="V142">
        <v>-135.53644578313251</v>
      </c>
      <c r="W142">
        <v>-133.73115151515148</v>
      </c>
      <c r="X142">
        <v>-132.00509090909091</v>
      </c>
      <c r="Y142">
        <v>-130.32157575757574</v>
      </c>
      <c r="Z142">
        <v>-128.72642424242423</v>
      </c>
      <c r="AA142">
        <v>-127.1630909090909</v>
      </c>
      <c r="AB142">
        <v>-125.68915151515151</v>
      </c>
      <c r="AC142">
        <v>-124.23363636363635</v>
      </c>
      <c r="AD142">
        <v>-122.85181818181817</v>
      </c>
      <c r="AE142">
        <v>-121.48240963855422</v>
      </c>
      <c r="AF142">
        <v>-120.19084337349396</v>
      </c>
      <c r="AG142">
        <v>-118.90393939393938</v>
      </c>
      <c r="AH142">
        <v>-117.6869696969697</v>
      </c>
      <c r="AI142">
        <v>-116.47</v>
      </c>
      <c r="AJ142">
        <v>-115.32090909090908</v>
      </c>
      <c r="AK142">
        <v>-114.17181818181818</v>
      </c>
      <c r="AL142">
        <v>-113.09090909090908</v>
      </c>
      <c r="AM142">
        <v>-112.01454545454546</v>
      </c>
      <c r="AN142">
        <v>-110.98484848484848</v>
      </c>
      <c r="AO142">
        <v>-109.96181818181819</v>
      </c>
      <c r="AP142">
        <v>-109.01036144578313</v>
      </c>
      <c r="AQ142">
        <v>-108.07542168674699</v>
      </c>
      <c r="AR142">
        <v>-107.16133333333333</v>
      </c>
      <c r="AS142">
        <v>-106.25466666666668</v>
      </c>
      <c r="AT142">
        <v>-105.39381818181819</v>
      </c>
      <c r="AU142">
        <v>-104.55503030303029</v>
      </c>
      <c r="AV142">
        <v>-103.75781818181818</v>
      </c>
      <c r="AW142">
        <v>-102.98690909090911</v>
      </c>
      <c r="AX142">
        <v>-102.400363086233</v>
      </c>
      <c r="AY142">
        <v>-101.9646596066566</v>
      </c>
      <c r="AZ142">
        <v>-101.52895612708019</v>
      </c>
      <c r="BA142">
        <v>-101.09325264750379</v>
      </c>
      <c r="BB142">
        <v>-100.6575491679274</v>
      </c>
      <c r="BC142">
        <v>-100.221845688351</v>
      </c>
      <c r="BD142">
        <v>-99.786142208774592</v>
      </c>
      <c r="BE142">
        <v>-99.350438729198189</v>
      </c>
      <c r="BF142">
        <v>-99.019052950075647</v>
      </c>
      <c r="BG142">
        <v>-98.946193645990931</v>
      </c>
      <c r="BH142">
        <v>-98.873334341906201</v>
      </c>
      <c r="BI142">
        <v>-98.800475037821485</v>
      </c>
      <c r="BJ142">
        <v>-98.727615733736755</v>
      </c>
      <c r="BK142">
        <v>-98.654756429652039</v>
      </c>
      <c r="BL142">
        <v>-98.581897125567309</v>
      </c>
      <c r="BM142">
        <v>-98.509037821482593</v>
      </c>
      <c r="BN142">
        <v>-98.438121212121203</v>
      </c>
      <c r="BO142">
        <v>-98.442969696969683</v>
      </c>
      <c r="BP142">
        <v>-98.447818181818178</v>
      </c>
      <c r="BQ142">
        <v>-98.461066666666667</v>
      </c>
      <c r="BR142">
        <v>-98.474642424242418</v>
      </c>
      <c r="BS142">
        <v>-98.508290909090917</v>
      </c>
      <c r="BT142">
        <v>-98.544169696969703</v>
      </c>
      <c r="BU142">
        <v>-98.583296969696974</v>
      </c>
      <c r="BV142">
        <v>-98.623054545454551</v>
      </c>
      <c r="BW142">
        <v>-98.694000000000003</v>
      </c>
      <c r="BX142">
        <v>-98.774000000000001</v>
      </c>
      <c r="BY142">
        <v>-99.026751515151517</v>
      </c>
      <c r="BZ142">
        <v>-99.3535393939394</v>
      </c>
      <c r="CA142">
        <v>-99.684654545454549</v>
      </c>
      <c r="CB142">
        <v>-100.01823030303031</v>
      </c>
      <c r="CC142">
        <v>-100.35069090909091</v>
      </c>
      <c r="CD142">
        <v>-100.68232727272728</v>
      </c>
      <c r="CE142">
        <v>-101.01705597579426</v>
      </c>
      <c r="CF142">
        <v>-101.35472617246596</v>
      </c>
      <c r="CG142">
        <v>-101.69239636913767</v>
      </c>
      <c r="CH142">
        <v>-102.03006656580938</v>
      </c>
      <c r="CI142">
        <v>-102.36773676248109</v>
      </c>
      <c r="CJ142">
        <v>-102.7054069591528</v>
      </c>
      <c r="CK142">
        <v>-103.04307715582451</v>
      </c>
      <c r="CL142">
        <v>-103.3807473524962</v>
      </c>
    </row>
    <row r="143" spans="1:90" ht="21.75" thickBot="1" x14ac:dyDescent="0.4">
      <c r="A143" s="18" t="s">
        <v>56</v>
      </c>
      <c r="B143" s="38">
        <v>-149.43218181818182</v>
      </c>
      <c r="C143" s="38">
        <v>-145.75703030303029</v>
      </c>
      <c r="D143" s="38">
        <v>-142.08187878787879</v>
      </c>
      <c r="E143" s="38">
        <v>-138.59109090909092</v>
      </c>
      <c r="F143">
        <v>-135.1050303030303</v>
      </c>
      <c r="G143">
        <v>-131.74284848484848</v>
      </c>
      <c r="H143">
        <v>-128.39254545454546</v>
      </c>
      <c r="I143">
        <v>-125.4045537065053</v>
      </c>
      <c r="J143">
        <v>-122.48049924357035</v>
      </c>
      <c r="K143">
        <v>-119.5564447806354</v>
      </c>
      <c r="L143">
        <v>-116.63239031770046</v>
      </c>
      <c r="M143">
        <v>-113.70833585476551</v>
      </c>
      <c r="N143">
        <v>-110.78428139183055</v>
      </c>
      <c r="O143">
        <v>-107.8602269288956</v>
      </c>
      <c r="P143">
        <v>-104.93617246596065</v>
      </c>
      <c r="Q143">
        <v>-102.31145454545454</v>
      </c>
      <c r="R143">
        <v>-99.896909090909091</v>
      </c>
      <c r="S143">
        <v>-97.589272727272729</v>
      </c>
      <c r="T143">
        <v>-95.378363636363645</v>
      </c>
      <c r="U143">
        <v>-93.265000000000001</v>
      </c>
      <c r="V143">
        <v>-91.264999999999986</v>
      </c>
      <c r="W143">
        <v>-89.318545454545443</v>
      </c>
      <c r="X143">
        <v>-87.456727272727264</v>
      </c>
      <c r="Y143">
        <v>-85.63430303030303</v>
      </c>
      <c r="Z143">
        <v>-83.893696969696961</v>
      </c>
      <c r="AA143">
        <v>-82.177272727272722</v>
      </c>
      <c r="AB143">
        <v>-80.528787878787881</v>
      </c>
      <c r="AC143">
        <v>-78.8929090909091</v>
      </c>
      <c r="AD143">
        <v>-77.307454545454547</v>
      </c>
      <c r="AE143">
        <v>-75.733253012048181</v>
      </c>
      <c r="AF143">
        <v>-74.229638554216862</v>
      </c>
      <c r="AG143">
        <v>-72.72999999999999</v>
      </c>
      <c r="AH143">
        <v>-71.289999999999992</v>
      </c>
      <c r="AI143">
        <v>-69.849999999999994</v>
      </c>
      <c r="AJ143">
        <v>-68.47787878787878</v>
      </c>
      <c r="AK143">
        <v>-67.105757575757565</v>
      </c>
      <c r="AL143">
        <v>-65.792727272727262</v>
      </c>
      <c r="AM143">
        <v>-64.48363636363635</v>
      </c>
      <c r="AN143">
        <v>-63.229696969696967</v>
      </c>
      <c r="AO143">
        <v>-61.983636363636364</v>
      </c>
      <c r="AP143">
        <v>-60.802409638554217</v>
      </c>
      <c r="AQ143">
        <v>-59.636144578313257</v>
      </c>
      <c r="AR143">
        <v>-58.496848484848485</v>
      </c>
      <c r="AS143">
        <v>-57.367151515151519</v>
      </c>
      <c r="AT143">
        <v>-56.283272727272731</v>
      </c>
      <c r="AU143">
        <v>-55.221454545454549</v>
      </c>
      <c r="AV143">
        <v>-54.20121212121213</v>
      </c>
      <c r="AW143">
        <v>-53.207272727272738</v>
      </c>
      <c r="AX143">
        <v>-52.403207261724667</v>
      </c>
      <c r="AY143">
        <v>-51.75449319213314</v>
      </c>
      <c r="AZ143">
        <v>-51.105779122541612</v>
      </c>
      <c r="BA143">
        <v>-50.457065052950078</v>
      </c>
      <c r="BB143">
        <v>-49.808350983358551</v>
      </c>
      <c r="BC143">
        <v>-49.159636913767024</v>
      </c>
      <c r="BD143">
        <v>-48.510922844175496</v>
      </c>
      <c r="BE143">
        <v>-47.862208774583969</v>
      </c>
      <c r="BF143">
        <v>-47.319204236006051</v>
      </c>
      <c r="BG143">
        <v>-47.038175491679276</v>
      </c>
      <c r="BH143">
        <v>-46.757146747352493</v>
      </c>
      <c r="BI143">
        <v>-46.476118003025718</v>
      </c>
      <c r="BJ143">
        <v>-46.195089258698943</v>
      </c>
      <c r="BK143">
        <v>-45.914060514372167</v>
      </c>
      <c r="BL143">
        <v>-45.633031770045385</v>
      </c>
      <c r="BM143">
        <v>-45.352003025718609</v>
      </c>
      <c r="BN143">
        <v>-45.072787878787878</v>
      </c>
      <c r="BO143">
        <v>-44.864303030303027</v>
      </c>
      <c r="BP143">
        <v>-44.655818181818177</v>
      </c>
      <c r="BQ143">
        <v>-44.465066666666665</v>
      </c>
      <c r="BR143">
        <v>-44.27500606060606</v>
      </c>
      <c r="BS143">
        <v>-44.105018181818181</v>
      </c>
      <c r="BT143">
        <v>-43.937260606060605</v>
      </c>
      <c r="BU143">
        <v>-43.780872727272722</v>
      </c>
      <c r="BV143">
        <v>-43.626690909090904</v>
      </c>
      <c r="BW143">
        <v>-43.497132530120481</v>
      </c>
      <c r="BX143">
        <v>-43.374722891566265</v>
      </c>
      <c r="BY143">
        <v>-43.437781818181818</v>
      </c>
      <c r="BZ143">
        <v>-43.580327272727274</v>
      </c>
      <c r="CA143">
        <v>-43.727200000000003</v>
      </c>
      <c r="CB143">
        <v>-43.876533333333334</v>
      </c>
      <c r="CC143">
        <v>-44.024751515151515</v>
      </c>
      <c r="CD143">
        <v>-44.172145454545458</v>
      </c>
      <c r="CE143">
        <v>-44.320293494704991</v>
      </c>
      <c r="CF143">
        <v>-44.469158850226925</v>
      </c>
      <c r="CG143">
        <v>-44.618024205748867</v>
      </c>
      <c r="CH143">
        <v>-44.766889561270801</v>
      </c>
      <c r="CI143">
        <v>-44.915754916792736</v>
      </c>
      <c r="CJ143">
        <v>-45.06462027231467</v>
      </c>
      <c r="CK143">
        <v>-45.213485627836612</v>
      </c>
      <c r="CL143">
        <v>-45.362350983358546</v>
      </c>
    </row>
    <row r="144" spans="1:90" ht="21.75" thickBot="1" x14ac:dyDescent="0.4">
      <c r="A144" s="18" t="s">
        <v>57</v>
      </c>
      <c r="B144" s="38">
        <v>-16.225090909090905</v>
      </c>
      <c r="C144" s="38">
        <v>-15.827515151515151</v>
      </c>
      <c r="D144" s="38">
        <v>-15.429939393939394</v>
      </c>
      <c r="E144" s="38">
        <v>-14.966181818181818</v>
      </c>
      <c r="F144">
        <v>-14.500727272727273</v>
      </c>
      <c r="G144">
        <v>-13.973333333333333</v>
      </c>
      <c r="H144">
        <v>-13.44</v>
      </c>
      <c r="I144">
        <v>-12.907969742813917</v>
      </c>
      <c r="J144">
        <v>-12.376169440242057</v>
      </c>
      <c r="K144">
        <v>-11.844369137670196</v>
      </c>
      <c r="L144">
        <v>-11.312568835098336</v>
      </c>
      <c r="M144">
        <v>-10.780768532526475</v>
      </c>
      <c r="N144">
        <v>-10.248968229954613</v>
      </c>
      <c r="O144">
        <v>-9.7171679273827536</v>
      </c>
      <c r="P144">
        <v>-9.185367624810894</v>
      </c>
      <c r="Q144">
        <v>-8.7127696969696977</v>
      </c>
      <c r="R144">
        <v>-8.2817393939393948</v>
      </c>
      <c r="S144">
        <v>-7.887872727272728</v>
      </c>
      <c r="T144">
        <v>-7.5276303030303033</v>
      </c>
      <c r="U144">
        <v>-7.2058373493975907</v>
      </c>
      <c r="V144">
        <v>-6.9287289156626501</v>
      </c>
      <c r="W144">
        <v>-6.6821575757575751</v>
      </c>
      <c r="X144">
        <v>-6.4838545454545446</v>
      </c>
      <c r="Y144">
        <v>-6.3085575757575754</v>
      </c>
      <c r="Z144">
        <v>-6.181042424242424</v>
      </c>
      <c r="AA144">
        <v>-6.068036363636363</v>
      </c>
      <c r="AB144">
        <v>-5.9957939393939386</v>
      </c>
      <c r="AC144">
        <v>-5.9314060606060606</v>
      </c>
      <c r="AD144">
        <v>-5.8984363636363639</v>
      </c>
      <c r="AE144">
        <v>-5.8688072289156628</v>
      </c>
      <c r="AF144">
        <v>-5.8601325301204819</v>
      </c>
      <c r="AG144">
        <v>-5.8522727272727275</v>
      </c>
      <c r="AH144">
        <v>-5.8566363636363636</v>
      </c>
      <c r="AI144">
        <v>-5.8609999999999998</v>
      </c>
      <c r="AJ144">
        <v>-5.8731212121212124</v>
      </c>
      <c r="AK144">
        <v>-5.8852424242424242</v>
      </c>
      <c r="AL144">
        <v>-5.9005454545454548</v>
      </c>
      <c r="AM144">
        <v>-5.916060606060606</v>
      </c>
      <c r="AN144">
        <v>-5.9336969696969701</v>
      </c>
      <c r="AO144">
        <v>-5.9516363636363634</v>
      </c>
      <c r="AP144">
        <v>-5.9698795180722897</v>
      </c>
      <c r="AQ144">
        <v>-5.9881927710843375</v>
      </c>
      <c r="AR144">
        <v>-6.0073030303030306</v>
      </c>
      <c r="AS144">
        <v>-6.0266969696969701</v>
      </c>
      <c r="AT144">
        <v>-6.0464181818181819</v>
      </c>
      <c r="AU144">
        <v>-6.0662969696969693</v>
      </c>
      <c r="AV144">
        <v>-6.0870666666666668</v>
      </c>
      <c r="AW144">
        <v>-6.1084000000000005</v>
      </c>
      <c r="AX144">
        <v>-6.1322450832072617</v>
      </c>
      <c r="AY144">
        <v>-6.1581452344931922</v>
      </c>
      <c r="AZ144">
        <v>-6.1840453857791227</v>
      </c>
      <c r="BA144">
        <v>-6.2099455370650531</v>
      </c>
      <c r="BB144">
        <v>-6.2358456883509836</v>
      </c>
      <c r="BC144">
        <v>-6.2617458396369132</v>
      </c>
      <c r="BD144">
        <v>-6.2876459909228437</v>
      </c>
      <c r="BE144">
        <v>-6.3135461422087742</v>
      </c>
      <c r="BF144">
        <v>-6.3381240544629343</v>
      </c>
      <c r="BG144">
        <v>-6.3594251134644475</v>
      </c>
      <c r="BH144">
        <v>-6.3807261724659607</v>
      </c>
      <c r="BI144">
        <v>-6.4020272314674731</v>
      </c>
      <c r="BJ144">
        <v>-6.4233282904689863</v>
      </c>
      <c r="BK144">
        <v>-6.4446293494704996</v>
      </c>
      <c r="BL144">
        <v>-6.4659304084720119</v>
      </c>
      <c r="BM144">
        <v>-6.4872314674735252</v>
      </c>
      <c r="BN144">
        <v>-6.5085212121212122</v>
      </c>
      <c r="BO144">
        <v>-6.529369696969697</v>
      </c>
      <c r="BP144">
        <v>-6.5502181818181819</v>
      </c>
      <c r="BQ144">
        <v>-6.5710666666666668</v>
      </c>
      <c r="BR144">
        <v>-6.5919151515151517</v>
      </c>
      <c r="BS144">
        <v>-6.6123272727272733</v>
      </c>
      <c r="BT144">
        <v>-6.6326909090909094</v>
      </c>
      <c r="BU144">
        <v>-6.6530545454545456</v>
      </c>
      <c r="BV144">
        <v>-6.6734181818181817</v>
      </c>
      <c r="BW144">
        <v>-6.6933132530120485</v>
      </c>
      <c r="BX144">
        <v>-6.713072289156627</v>
      </c>
      <c r="BY144">
        <v>-6.7298606060606065</v>
      </c>
      <c r="BZ144">
        <v>-6.7453757575757578</v>
      </c>
      <c r="CA144">
        <v>-6.7612000000000005</v>
      </c>
      <c r="CB144">
        <v>-6.7771999999999997</v>
      </c>
      <c r="CC144">
        <v>-6.7931999999999997</v>
      </c>
      <c r="CD144">
        <v>-6.8091999999999997</v>
      </c>
      <c r="CE144">
        <v>-6.825497730711044</v>
      </c>
      <c r="CF144">
        <v>-6.8420786686838122</v>
      </c>
      <c r="CG144">
        <v>-6.8586596066565813</v>
      </c>
      <c r="CH144">
        <v>-6.8752405446293494</v>
      </c>
      <c r="CI144">
        <v>-6.8918214826021176</v>
      </c>
      <c r="CJ144">
        <v>-6.9084024205748866</v>
      </c>
      <c r="CK144">
        <v>-6.9249833585476548</v>
      </c>
      <c r="CL144">
        <v>-6.9415642965204229</v>
      </c>
    </row>
    <row r="145" spans="1:90" ht="21.75" thickBot="1" x14ac:dyDescent="0.4">
      <c r="A145" s="18" t="s">
        <v>58</v>
      </c>
      <c r="B145" s="38">
        <v>-63.458181818181821</v>
      </c>
      <c r="C145" s="38">
        <v>-61.809696969696965</v>
      </c>
      <c r="D145" s="38">
        <v>-60.161212121212117</v>
      </c>
      <c r="E145" s="38">
        <v>-58.531636363636359</v>
      </c>
      <c r="F145">
        <v>-56.902545454545447</v>
      </c>
      <c r="G145">
        <v>-55.273454545454541</v>
      </c>
      <c r="H145">
        <v>-53.644363636363636</v>
      </c>
      <c r="I145">
        <v>-52.128472012102868</v>
      </c>
      <c r="J145">
        <v>-50.632556732223904</v>
      </c>
      <c r="K145">
        <v>-49.136641452344932</v>
      </c>
      <c r="L145">
        <v>-47.640726172465961</v>
      </c>
      <c r="M145">
        <v>-46.144810892586989</v>
      </c>
      <c r="N145">
        <v>-44.648895612708017</v>
      </c>
      <c r="O145">
        <v>-43.152980332829046</v>
      </c>
      <c r="P145">
        <v>-41.657065052950074</v>
      </c>
      <c r="Q145">
        <v>-40.302242424242429</v>
      </c>
      <c r="R145">
        <v>-39.046484848484852</v>
      </c>
      <c r="S145">
        <v>-37.846727272727279</v>
      </c>
      <c r="T145">
        <v>-36.697636363636363</v>
      </c>
      <c r="U145">
        <v>-35.600783132530118</v>
      </c>
      <c r="V145">
        <v>-34.564638554216863</v>
      </c>
      <c r="W145">
        <v>-33.556121212121212</v>
      </c>
      <c r="X145">
        <v>-32.591272727272724</v>
      </c>
      <c r="Y145">
        <v>-31.645333333333333</v>
      </c>
      <c r="Z145">
        <v>-30.738666666666663</v>
      </c>
      <c r="AA145">
        <v>-29.842181818181817</v>
      </c>
      <c r="AB145">
        <v>-28.97430303030303</v>
      </c>
      <c r="AC145">
        <v>-28.111272727272727</v>
      </c>
      <c r="AD145">
        <v>-27.26763636363636</v>
      </c>
      <c r="AE145">
        <v>-26.429337349397588</v>
      </c>
      <c r="AF145">
        <v>-25.624518072289156</v>
      </c>
      <c r="AG145">
        <v>-24.821515151515154</v>
      </c>
      <c r="AH145">
        <v>-24.045757575757577</v>
      </c>
      <c r="AI145">
        <v>-23.27</v>
      </c>
      <c r="AJ145">
        <v>-22.528181818181817</v>
      </c>
      <c r="AK145">
        <v>-21.786363636363635</v>
      </c>
      <c r="AL145">
        <v>-21.07181818181818</v>
      </c>
      <c r="AM145">
        <v>-20.359090909090909</v>
      </c>
      <c r="AN145">
        <v>-19.676060606060606</v>
      </c>
      <c r="AO145">
        <v>-18.99727272727273</v>
      </c>
      <c r="AP145">
        <v>-18.349216867469881</v>
      </c>
      <c r="AQ145">
        <v>-17.708253012048193</v>
      </c>
      <c r="AR145">
        <v>-17.082303030303031</v>
      </c>
      <c r="AS145">
        <v>-16.461696969696973</v>
      </c>
      <c r="AT145">
        <v>-15.864000000000003</v>
      </c>
      <c r="AU145">
        <v>-15.277333333333337</v>
      </c>
      <c r="AV145">
        <v>-14.711454545454547</v>
      </c>
      <c r="AW145">
        <v>-14.158727272727274</v>
      </c>
      <c r="AX145">
        <v>-13.70231467473525</v>
      </c>
      <c r="AY145">
        <v>-13.324704992435704</v>
      </c>
      <c r="AZ145">
        <v>-12.947095310136159</v>
      </c>
      <c r="BA145">
        <v>-12.569485627836613</v>
      </c>
      <c r="BB145">
        <v>-12.191875945537067</v>
      </c>
      <c r="BC145">
        <v>-11.814266263237521</v>
      </c>
      <c r="BD145">
        <v>-11.436656580937974</v>
      </c>
      <c r="BE145">
        <v>-11.059046898638428</v>
      </c>
      <c r="BF145">
        <v>-10.734639939485628</v>
      </c>
      <c r="BG145">
        <v>-10.542083207261724</v>
      </c>
      <c r="BH145">
        <v>-10.349526475037822</v>
      </c>
      <c r="BI145">
        <v>-10.156969742813917</v>
      </c>
      <c r="BJ145">
        <v>-9.9644130105900146</v>
      </c>
      <c r="BK145">
        <v>-9.771856278366112</v>
      </c>
      <c r="BL145">
        <v>-9.5792995461422077</v>
      </c>
      <c r="BM145">
        <v>-9.3867428139183051</v>
      </c>
      <c r="BN145">
        <v>-9.1950606060606042</v>
      </c>
      <c r="BO145">
        <v>-9.0374848484848478</v>
      </c>
      <c r="BP145">
        <v>-8.8799090909090914</v>
      </c>
      <c r="BQ145">
        <v>-8.7335333333333338</v>
      </c>
      <c r="BR145">
        <v>-8.5875939393939387</v>
      </c>
      <c r="BS145">
        <v>-8.4516909090909085</v>
      </c>
      <c r="BT145">
        <v>-8.3169030303030294</v>
      </c>
      <c r="BU145">
        <v>-8.1898303030303019</v>
      </c>
      <c r="BV145">
        <v>-8.0642545454545438</v>
      </c>
      <c r="BW145">
        <v>-7.9493493975903604</v>
      </c>
      <c r="BX145">
        <v>-7.8375421686746982</v>
      </c>
      <c r="BY145">
        <v>-7.8216484848484846</v>
      </c>
      <c r="BZ145">
        <v>-7.8468606060606056</v>
      </c>
      <c r="CA145">
        <v>-7.8742363636363635</v>
      </c>
      <c r="CB145">
        <v>-7.902842424242424</v>
      </c>
      <c r="CC145">
        <v>-7.930890909090909</v>
      </c>
      <c r="CD145">
        <v>-7.9585272727272729</v>
      </c>
      <c r="CE145">
        <v>-7.9859561270801818</v>
      </c>
      <c r="CF145">
        <v>-8.0131875945537061</v>
      </c>
      <c r="CG145">
        <v>-8.0404190620272313</v>
      </c>
      <c r="CH145">
        <v>-8.0676505295007566</v>
      </c>
      <c r="CI145">
        <v>-8.0948819969742818</v>
      </c>
      <c r="CJ145">
        <v>-8.1221134644478052</v>
      </c>
      <c r="CK145">
        <v>-8.1493449319213305</v>
      </c>
      <c r="CL145">
        <v>-8.1765763993948557</v>
      </c>
    </row>
    <row r="146" spans="1:90" ht="21.75" thickBot="1" x14ac:dyDescent="0.4">
      <c r="A146" s="18" t="s">
        <v>59</v>
      </c>
      <c r="B146" s="38">
        <v>-22.515818181818183</v>
      </c>
      <c r="C146" s="38">
        <v>-22.137636363636364</v>
      </c>
      <c r="D146" s="38">
        <v>-21.759454545454545</v>
      </c>
      <c r="E146" s="38">
        <v>-21.527818181818184</v>
      </c>
      <c r="F146">
        <v>-21.299939393939393</v>
      </c>
      <c r="G146">
        <v>-21.195939393939394</v>
      </c>
      <c r="H146">
        <v>-21.10381818181818</v>
      </c>
      <c r="I146">
        <v>-21.147609682299546</v>
      </c>
      <c r="J146">
        <v>-21.215385779122542</v>
      </c>
      <c r="K146">
        <v>-21.283161875945538</v>
      </c>
      <c r="L146">
        <v>-21.350937972768531</v>
      </c>
      <c r="M146">
        <v>-21.418714069591527</v>
      </c>
      <c r="N146">
        <v>-21.486490166414523</v>
      </c>
      <c r="O146">
        <v>-21.554266263237519</v>
      </c>
      <c r="P146">
        <v>-21.622042360060512</v>
      </c>
      <c r="Q146">
        <v>-21.706969696969697</v>
      </c>
      <c r="R146">
        <v>-21.803939393939395</v>
      </c>
      <c r="S146">
        <v>-21.895818181818182</v>
      </c>
      <c r="T146">
        <v>-21.983090909090912</v>
      </c>
      <c r="U146">
        <v>-22.06343373493976</v>
      </c>
      <c r="V146">
        <v>-22.135722891566264</v>
      </c>
      <c r="W146">
        <v>-22.20630303030303</v>
      </c>
      <c r="X146">
        <v>-22.27418181818182</v>
      </c>
      <c r="Y146">
        <v>-22.343636363636364</v>
      </c>
      <c r="Z146">
        <v>-22.416363636363634</v>
      </c>
      <c r="AA146">
        <v>-22.492909090909091</v>
      </c>
      <c r="AB146">
        <v>-22.580181818181817</v>
      </c>
      <c r="AC146">
        <v>-22.670363636363636</v>
      </c>
      <c r="AD146">
        <v>-22.772181818181817</v>
      </c>
      <c r="AE146">
        <v>-22.874578313253011</v>
      </c>
      <c r="AF146">
        <v>-22.980602409638553</v>
      </c>
      <c r="AG146">
        <v>-23.086969696969696</v>
      </c>
      <c r="AH146">
        <v>-23.198484848484846</v>
      </c>
      <c r="AI146">
        <v>-23.31</v>
      </c>
      <c r="AJ146">
        <v>-23.421515151515152</v>
      </c>
      <c r="AK146">
        <v>-23.533030303030301</v>
      </c>
      <c r="AL146">
        <v>-23.649090909090908</v>
      </c>
      <c r="AM146">
        <v>-23.765454545454546</v>
      </c>
      <c r="AN146">
        <v>-23.877575757575759</v>
      </c>
      <c r="AO146">
        <v>-23.989090909090912</v>
      </c>
      <c r="AP146">
        <v>-24.103975903614458</v>
      </c>
      <c r="AQ146">
        <v>-24.219638554216868</v>
      </c>
      <c r="AR146">
        <v>-24.332242424242423</v>
      </c>
      <c r="AS146">
        <v>-24.443757575757576</v>
      </c>
      <c r="AT146">
        <v>-24.555272727272726</v>
      </c>
      <c r="AU146">
        <v>-24.666787878787879</v>
      </c>
      <c r="AV146">
        <v>-24.778303030303032</v>
      </c>
      <c r="AW146">
        <v>-24.889818181818182</v>
      </c>
      <c r="AX146">
        <v>-24.998577912254163</v>
      </c>
      <c r="AY146">
        <v>-25.105083207261725</v>
      </c>
      <c r="AZ146">
        <v>-25.21158850226929</v>
      </c>
      <c r="BA146">
        <v>-25.318093797276855</v>
      </c>
      <c r="BB146">
        <v>-25.424599092284417</v>
      </c>
      <c r="BC146">
        <v>-25.531104387291983</v>
      </c>
      <c r="BD146">
        <v>-25.637609682299548</v>
      </c>
      <c r="BE146">
        <v>-25.74411497730711</v>
      </c>
      <c r="BF146">
        <v>-25.849924357034794</v>
      </c>
      <c r="BG146">
        <v>-25.954009077155824</v>
      </c>
      <c r="BH146">
        <v>-26.058093797276854</v>
      </c>
      <c r="BI146">
        <v>-26.162178517397884</v>
      </c>
      <c r="BJ146">
        <v>-26.26626323751891</v>
      </c>
      <c r="BK146">
        <v>-26.37034795763994</v>
      </c>
      <c r="BL146">
        <v>-26.474432677760969</v>
      </c>
      <c r="BM146">
        <v>-26.578517397881996</v>
      </c>
      <c r="BN146">
        <v>-26.682666666666666</v>
      </c>
      <c r="BO146">
        <v>-26.789333333333332</v>
      </c>
      <c r="BP146">
        <v>-26.896000000000001</v>
      </c>
      <c r="BQ146">
        <v>-26.998000000000001</v>
      </c>
      <c r="BR146">
        <v>-27.099818181818183</v>
      </c>
      <c r="BS146">
        <v>-27.201636363636364</v>
      </c>
      <c r="BT146">
        <v>-27.303454545454546</v>
      </c>
      <c r="BU146">
        <v>-27.401212121212122</v>
      </c>
      <c r="BV146">
        <v>-27.49818181818182</v>
      </c>
      <c r="BW146">
        <v>-27.598433734939761</v>
      </c>
      <c r="BX146">
        <v>-27.699638554216868</v>
      </c>
      <c r="BY146">
        <v>-27.794484848484849</v>
      </c>
      <c r="BZ146">
        <v>-27.886606060606063</v>
      </c>
      <c r="CA146">
        <v>-27.978727272727273</v>
      </c>
      <c r="CB146">
        <v>-28.070848484848486</v>
      </c>
      <c r="CC146">
        <v>-28.162969696969697</v>
      </c>
      <c r="CD146">
        <v>-28.25509090909091</v>
      </c>
      <c r="CE146">
        <v>-28.348381240544629</v>
      </c>
      <c r="CF146">
        <v>-28.442783661119517</v>
      </c>
      <c r="CG146">
        <v>-28.537186081694404</v>
      </c>
      <c r="CH146">
        <v>-28.631588502269288</v>
      </c>
      <c r="CI146">
        <v>-28.725990922844176</v>
      </c>
      <c r="CJ146">
        <v>-28.82039334341906</v>
      </c>
      <c r="CK146">
        <v>-28.914795763993947</v>
      </c>
      <c r="CL146">
        <v>-29.009198184568834</v>
      </c>
    </row>
    <row r="147" spans="1:90" ht="21.75" thickBot="1" x14ac:dyDescent="0.4">
      <c r="A147" s="18" t="s">
        <v>60</v>
      </c>
      <c r="B147" s="38">
        <v>-22.515818181818183</v>
      </c>
      <c r="C147" s="38">
        <v>-22.137636363636364</v>
      </c>
      <c r="D147" s="38">
        <v>-21.759454545454545</v>
      </c>
      <c r="E147" s="38">
        <v>-21.527818181818184</v>
      </c>
      <c r="F147">
        <v>-21.299939393939393</v>
      </c>
      <c r="G147">
        <v>-21.195939393939394</v>
      </c>
      <c r="H147">
        <v>-21.10381818181818</v>
      </c>
      <c r="I147">
        <v>-21.147609682299546</v>
      </c>
      <c r="J147">
        <v>-21.215385779122542</v>
      </c>
      <c r="K147">
        <v>-21.283161875945538</v>
      </c>
      <c r="L147">
        <v>-21.350937972768531</v>
      </c>
      <c r="M147">
        <v>-21.418714069591527</v>
      </c>
      <c r="N147">
        <v>-21.486490166414523</v>
      </c>
      <c r="O147">
        <v>-21.554266263237519</v>
      </c>
      <c r="P147">
        <v>-21.622042360060512</v>
      </c>
      <c r="Q147">
        <v>-21.706969696969697</v>
      </c>
      <c r="R147">
        <v>-21.803939393939395</v>
      </c>
      <c r="S147">
        <v>-21.895818181818182</v>
      </c>
      <c r="T147">
        <v>-21.983090909090912</v>
      </c>
      <c r="U147">
        <v>-22.06343373493976</v>
      </c>
      <c r="V147">
        <v>-22.135722891566264</v>
      </c>
      <c r="W147">
        <v>-22.20630303030303</v>
      </c>
      <c r="X147">
        <v>-22.27418181818182</v>
      </c>
      <c r="Y147">
        <v>-22.343636363636364</v>
      </c>
      <c r="Z147">
        <v>-22.416363636363634</v>
      </c>
      <c r="AA147">
        <v>-22.492909090909091</v>
      </c>
      <c r="AB147">
        <v>-22.580181818181817</v>
      </c>
      <c r="AC147">
        <v>-22.670363636363636</v>
      </c>
      <c r="AD147">
        <v>-22.772181818181817</v>
      </c>
      <c r="AE147">
        <v>-22.874578313253011</v>
      </c>
      <c r="AF147">
        <v>-22.980602409638553</v>
      </c>
      <c r="AG147">
        <v>-23.086969696969696</v>
      </c>
      <c r="AH147">
        <v>-23.198484848484846</v>
      </c>
      <c r="AI147">
        <v>-23.31</v>
      </c>
      <c r="AJ147">
        <v>-23.421515151515152</v>
      </c>
      <c r="AK147">
        <v>-23.533030303030301</v>
      </c>
      <c r="AL147">
        <v>-23.649090909090908</v>
      </c>
      <c r="AM147">
        <v>-23.765454545454546</v>
      </c>
      <c r="AN147">
        <v>-23.877575757575759</v>
      </c>
      <c r="AO147">
        <v>-23.989090909090912</v>
      </c>
      <c r="AP147">
        <v>-24.103975903614458</v>
      </c>
      <c r="AQ147">
        <v>-24.219638554216868</v>
      </c>
      <c r="AR147">
        <v>-24.332242424242423</v>
      </c>
      <c r="AS147">
        <v>-24.443757575757576</v>
      </c>
      <c r="AT147">
        <v>-24.555272727272726</v>
      </c>
      <c r="AU147">
        <v>-24.666787878787879</v>
      </c>
      <c r="AV147">
        <v>-24.778303030303032</v>
      </c>
      <c r="AW147">
        <v>-24.889818181818182</v>
      </c>
      <c r="AX147">
        <v>-24.998577912254163</v>
      </c>
      <c r="AY147">
        <v>-25.105083207261725</v>
      </c>
      <c r="AZ147">
        <v>-25.21158850226929</v>
      </c>
      <c r="BA147">
        <v>-25.318093797276855</v>
      </c>
      <c r="BB147">
        <v>-25.424599092284417</v>
      </c>
      <c r="BC147">
        <v>-25.531104387291983</v>
      </c>
      <c r="BD147">
        <v>-25.637609682299548</v>
      </c>
      <c r="BE147">
        <v>-25.74411497730711</v>
      </c>
      <c r="BF147">
        <v>-25.849924357034794</v>
      </c>
      <c r="BG147">
        <v>-25.954009077155824</v>
      </c>
      <c r="BH147">
        <v>-26.058093797276854</v>
      </c>
      <c r="BI147">
        <v>-26.162178517397884</v>
      </c>
      <c r="BJ147">
        <v>-26.26626323751891</v>
      </c>
      <c r="BK147">
        <v>-26.37034795763994</v>
      </c>
      <c r="BL147">
        <v>-26.474432677760969</v>
      </c>
      <c r="BM147">
        <v>-26.578517397881996</v>
      </c>
      <c r="BN147">
        <v>-26.682666666666666</v>
      </c>
      <c r="BO147">
        <v>-26.789333333333332</v>
      </c>
      <c r="BP147">
        <v>-26.896000000000001</v>
      </c>
      <c r="BQ147">
        <v>-26.998000000000001</v>
      </c>
      <c r="BR147">
        <v>-27.099818181818183</v>
      </c>
      <c r="BS147">
        <v>-27.201636363636364</v>
      </c>
      <c r="BT147">
        <v>-27.303454545454546</v>
      </c>
      <c r="BU147">
        <v>-27.401212121212122</v>
      </c>
      <c r="BV147">
        <v>-27.49818181818182</v>
      </c>
      <c r="BW147">
        <v>-27.598433734939761</v>
      </c>
      <c r="BX147">
        <v>-27.699638554216868</v>
      </c>
      <c r="BY147">
        <v>-27.794484848484849</v>
      </c>
      <c r="BZ147">
        <v>-27.886606060606063</v>
      </c>
      <c r="CA147">
        <v>-27.978727272727273</v>
      </c>
      <c r="CB147">
        <v>-28.070848484848486</v>
      </c>
      <c r="CC147">
        <v>-28.162969696969697</v>
      </c>
      <c r="CD147">
        <v>-28.25509090909091</v>
      </c>
      <c r="CE147">
        <v>-28.348381240544629</v>
      </c>
      <c r="CF147">
        <v>-28.442783661119517</v>
      </c>
      <c r="CG147">
        <v>-28.537186081694404</v>
      </c>
      <c r="CH147">
        <v>-28.631588502269288</v>
      </c>
      <c r="CI147">
        <v>-28.725990922844176</v>
      </c>
      <c r="CJ147">
        <v>-28.82039334341906</v>
      </c>
      <c r="CK147">
        <v>-28.914795763993947</v>
      </c>
      <c r="CL147">
        <v>-29.009198184568834</v>
      </c>
    </row>
    <row r="148" spans="1:90" ht="21.75" thickBot="1" x14ac:dyDescent="0.4">
      <c r="A148" s="18" t="s">
        <v>61</v>
      </c>
      <c r="B148" s="38">
        <v>-22.515818181818183</v>
      </c>
      <c r="C148" s="38">
        <v>-22.137636363636364</v>
      </c>
      <c r="D148" s="38">
        <v>-21.759454545454545</v>
      </c>
      <c r="E148" s="38">
        <v>-21.527818181818184</v>
      </c>
      <c r="F148">
        <v>-21.299939393939393</v>
      </c>
      <c r="G148">
        <v>-21.195939393939394</v>
      </c>
      <c r="H148">
        <v>-21.10381818181818</v>
      </c>
      <c r="I148">
        <v>-21.147609682299546</v>
      </c>
      <c r="J148">
        <v>-21.215385779122542</v>
      </c>
      <c r="K148">
        <v>-21.283161875945538</v>
      </c>
      <c r="L148">
        <v>-21.350937972768531</v>
      </c>
      <c r="M148">
        <v>-21.418714069591527</v>
      </c>
      <c r="N148">
        <v>-21.486490166414523</v>
      </c>
      <c r="O148">
        <v>-21.554266263237519</v>
      </c>
      <c r="P148">
        <v>-21.622042360060512</v>
      </c>
      <c r="Q148">
        <v>-21.706969696969697</v>
      </c>
      <c r="R148">
        <v>-21.803939393939395</v>
      </c>
      <c r="S148">
        <v>-21.895818181818182</v>
      </c>
      <c r="T148">
        <v>-21.983090909090912</v>
      </c>
      <c r="U148">
        <v>-22.06343373493976</v>
      </c>
      <c r="V148">
        <v>-22.135722891566264</v>
      </c>
      <c r="W148">
        <v>-22.20630303030303</v>
      </c>
      <c r="X148">
        <v>-22.27418181818182</v>
      </c>
      <c r="Y148">
        <v>-22.343636363636364</v>
      </c>
      <c r="Z148">
        <v>-22.416363636363634</v>
      </c>
      <c r="AA148">
        <v>-22.492909090909091</v>
      </c>
      <c r="AB148">
        <v>-22.580181818181817</v>
      </c>
      <c r="AC148">
        <v>-22.670363636363636</v>
      </c>
      <c r="AD148">
        <v>-22.772181818181817</v>
      </c>
      <c r="AE148">
        <v>-22.874578313253011</v>
      </c>
      <c r="AF148">
        <v>-22.980602409638553</v>
      </c>
      <c r="AG148">
        <v>-23.086969696969696</v>
      </c>
      <c r="AH148">
        <v>-23.198484848484846</v>
      </c>
      <c r="AI148">
        <v>-23.31</v>
      </c>
      <c r="AJ148">
        <v>-23.421515151515152</v>
      </c>
      <c r="AK148">
        <v>-23.533030303030301</v>
      </c>
      <c r="AL148">
        <v>-23.649090909090908</v>
      </c>
      <c r="AM148">
        <v>-23.765454545454546</v>
      </c>
      <c r="AN148">
        <v>-23.877575757575759</v>
      </c>
      <c r="AO148">
        <v>-23.989090909090912</v>
      </c>
      <c r="AP148">
        <v>-24.103975903614458</v>
      </c>
      <c r="AQ148">
        <v>-24.219638554216868</v>
      </c>
      <c r="AR148">
        <v>-24.332242424242423</v>
      </c>
      <c r="AS148">
        <v>-24.443757575757576</v>
      </c>
      <c r="AT148">
        <v>-24.555272727272726</v>
      </c>
      <c r="AU148">
        <v>-24.666787878787879</v>
      </c>
      <c r="AV148">
        <v>-24.778303030303032</v>
      </c>
      <c r="AW148">
        <v>-24.889818181818182</v>
      </c>
      <c r="AX148">
        <v>-24.998577912254163</v>
      </c>
      <c r="AY148">
        <v>-25.105083207261725</v>
      </c>
      <c r="AZ148">
        <v>-25.21158850226929</v>
      </c>
      <c r="BA148">
        <v>-25.318093797276855</v>
      </c>
      <c r="BB148">
        <v>-25.424599092284417</v>
      </c>
      <c r="BC148">
        <v>-25.531104387291983</v>
      </c>
      <c r="BD148">
        <v>-25.637609682299548</v>
      </c>
      <c r="BE148">
        <v>-25.74411497730711</v>
      </c>
      <c r="BF148">
        <v>-25.849924357034794</v>
      </c>
      <c r="BG148">
        <v>-25.954009077155824</v>
      </c>
      <c r="BH148">
        <v>-26.058093797276854</v>
      </c>
      <c r="BI148">
        <v>-26.162178517397884</v>
      </c>
      <c r="BJ148">
        <v>-26.26626323751891</v>
      </c>
      <c r="BK148">
        <v>-26.37034795763994</v>
      </c>
      <c r="BL148">
        <v>-26.474432677760969</v>
      </c>
      <c r="BM148">
        <v>-26.578517397881996</v>
      </c>
      <c r="BN148">
        <v>-26.682666666666666</v>
      </c>
      <c r="BO148">
        <v>-26.789333333333332</v>
      </c>
      <c r="BP148">
        <v>-26.896000000000001</v>
      </c>
      <c r="BQ148">
        <v>-26.998000000000001</v>
      </c>
      <c r="BR148">
        <v>-27.099818181818183</v>
      </c>
      <c r="BS148">
        <v>-27.201636363636364</v>
      </c>
      <c r="BT148">
        <v>-27.303454545454546</v>
      </c>
      <c r="BU148">
        <v>-27.401212121212122</v>
      </c>
      <c r="BV148">
        <v>-27.49818181818182</v>
      </c>
      <c r="BW148">
        <v>-27.598433734939761</v>
      </c>
      <c r="BX148">
        <v>-27.699638554216868</v>
      </c>
      <c r="BY148">
        <v>-27.794484848484849</v>
      </c>
      <c r="BZ148">
        <v>-27.886606060606063</v>
      </c>
      <c r="CA148">
        <v>-27.978727272727273</v>
      </c>
      <c r="CB148">
        <v>-28.070848484848486</v>
      </c>
      <c r="CC148">
        <v>-28.162969696969697</v>
      </c>
      <c r="CD148">
        <v>-28.25509090909091</v>
      </c>
      <c r="CE148">
        <v>-28.348381240544629</v>
      </c>
      <c r="CF148">
        <v>-28.442783661119517</v>
      </c>
      <c r="CG148">
        <v>-28.537186081694404</v>
      </c>
      <c r="CH148">
        <v>-28.631588502269288</v>
      </c>
      <c r="CI148">
        <v>-28.725990922844176</v>
      </c>
      <c r="CJ148">
        <v>-28.82039334341906</v>
      </c>
      <c r="CK148">
        <v>-28.914795763993947</v>
      </c>
      <c r="CL148">
        <v>-29.009198184568834</v>
      </c>
    </row>
    <row r="149" spans="1:90" ht="21.75" thickBot="1" x14ac:dyDescent="0.4">
      <c r="A149" s="18" t="s">
        <v>62</v>
      </c>
      <c r="B149" s="38">
        <v>-22.515818181818183</v>
      </c>
      <c r="C149" s="38">
        <v>-22.137636363636364</v>
      </c>
      <c r="D149" s="38">
        <v>-21.759454545454545</v>
      </c>
      <c r="E149" s="38">
        <v>-21.527818181818184</v>
      </c>
      <c r="F149">
        <v>-21.299939393939393</v>
      </c>
      <c r="G149">
        <v>-21.195939393939394</v>
      </c>
      <c r="H149">
        <v>-21.10381818181818</v>
      </c>
      <c r="I149">
        <v>-21.147609682299546</v>
      </c>
      <c r="J149">
        <v>-21.215385779122542</v>
      </c>
      <c r="K149">
        <v>-21.283161875945538</v>
      </c>
      <c r="L149">
        <v>-21.350937972768531</v>
      </c>
      <c r="M149">
        <v>-21.418714069591527</v>
      </c>
      <c r="N149">
        <v>-21.486490166414523</v>
      </c>
      <c r="O149">
        <v>-21.554266263237519</v>
      </c>
      <c r="P149">
        <v>-21.622042360060512</v>
      </c>
      <c r="Q149">
        <v>-21.706969696969697</v>
      </c>
      <c r="R149">
        <v>-21.803939393939395</v>
      </c>
      <c r="S149">
        <v>-21.895818181818182</v>
      </c>
      <c r="T149">
        <v>-21.983090909090912</v>
      </c>
      <c r="U149">
        <v>-22.06343373493976</v>
      </c>
      <c r="V149">
        <v>-22.135722891566264</v>
      </c>
      <c r="W149">
        <v>-22.20630303030303</v>
      </c>
      <c r="X149">
        <v>-22.27418181818182</v>
      </c>
      <c r="Y149">
        <v>-22.343636363636364</v>
      </c>
      <c r="Z149">
        <v>-22.416363636363634</v>
      </c>
      <c r="AA149">
        <v>-22.492909090909091</v>
      </c>
      <c r="AB149">
        <v>-22.580181818181817</v>
      </c>
      <c r="AC149">
        <v>-22.670363636363636</v>
      </c>
      <c r="AD149">
        <v>-22.772181818181817</v>
      </c>
      <c r="AE149">
        <v>-22.874578313253011</v>
      </c>
      <c r="AF149">
        <v>-22.980602409638553</v>
      </c>
      <c r="AG149">
        <v>-23.086969696969696</v>
      </c>
      <c r="AH149">
        <v>-23.198484848484846</v>
      </c>
      <c r="AI149">
        <v>-23.31</v>
      </c>
      <c r="AJ149">
        <v>-23.421515151515152</v>
      </c>
      <c r="AK149">
        <v>-23.533030303030301</v>
      </c>
      <c r="AL149">
        <v>-23.649090909090908</v>
      </c>
      <c r="AM149">
        <v>-23.765454545454546</v>
      </c>
      <c r="AN149">
        <v>-23.877575757575759</v>
      </c>
      <c r="AO149">
        <v>-23.989090909090912</v>
      </c>
      <c r="AP149">
        <v>-24.103975903614458</v>
      </c>
      <c r="AQ149">
        <v>-24.219638554216868</v>
      </c>
      <c r="AR149">
        <v>-24.332242424242423</v>
      </c>
      <c r="AS149">
        <v>-24.443757575757576</v>
      </c>
      <c r="AT149">
        <v>-24.555272727272726</v>
      </c>
      <c r="AU149">
        <v>-24.666787878787879</v>
      </c>
      <c r="AV149">
        <v>-24.778303030303032</v>
      </c>
      <c r="AW149">
        <v>-24.889818181818182</v>
      </c>
      <c r="AX149">
        <v>-24.998577912254163</v>
      </c>
      <c r="AY149">
        <v>-25.105083207261725</v>
      </c>
      <c r="AZ149">
        <v>-25.21158850226929</v>
      </c>
      <c r="BA149">
        <v>-25.318093797276855</v>
      </c>
      <c r="BB149">
        <v>-25.424599092284417</v>
      </c>
      <c r="BC149">
        <v>-25.531104387291983</v>
      </c>
      <c r="BD149">
        <v>-25.637609682299548</v>
      </c>
      <c r="BE149">
        <v>-25.74411497730711</v>
      </c>
      <c r="BF149">
        <v>-25.849924357034794</v>
      </c>
      <c r="BG149">
        <v>-25.954009077155824</v>
      </c>
      <c r="BH149">
        <v>-26.058093797276854</v>
      </c>
      <c r="BI149">
        <v>-26.162178517397884</v>
      </c>
      <c r="BJ149">
        <v>-26.26626323751891</v>
      </c>
      <c r="BK149">
        <v>-26.37034795763994</v>
      </c>
      <c r="BL149">
        <v>-26.474432677760969</v>
      </c>
      <c r="BM149">
        <v>-26.578517397881996</v>
      </c>
      <c r="BN149">
        <v>-26.682666666666666</v>
      </c>
      <c r="BO149">
        <v>-26.789333333333332</v>
      </c>
      <c r="BP149">
        <v>-26.896000000000001</v>
      </c>
      <c r="BQ149">
        <v>-26.998000000000001</v>
      </c>
      <c r="BR149">
        <v>-27.099818181818183</v>
      </c>
      <c r="BS149">
        <v>-27.201636363636364</v>
      </c>
      <c r="BT149">
        <v>-27.303454545454546</v>
      </c>
      <c r="BU149">
        <v>-27.401212121212122</v>
      </c>
      <c r="BV149">
        <v>-27.49818181818182</v>
      </c>
      <c r="BW149">
        <v>-27.598433734939761</v>
      </c>
      <c r="BX149">
        <v>-27.699638554216868</v>
      </c>
      <c r="BY149">
        <v>-27.794484848484849</v>
      </c>
      <c r="BZ149">
        <v>-27.886606060606063</v>
      </c>
      <c r="CA149">
        <v>-27.978727272727273</v>
      </c>
      <c r="CB149">
        <v>-28.070848484848486</v>
      </c>
      <c r="CC149">
        <v>-28.162969696969697</v>
      </c>
      <c r="CD149">
        <v>-28.25509090909091</v>
      </c>
      <c r="CE149">
        <v>-28.348381240544629</v>
      </c>
      <c r="CF149">
        <v>-28.442783661119517</v>
      </c>
      <c r="CG149">
        <v>-28.537186081694404</v>
      </c>
      <c r="CH149">
        <v>-28.631588502269288</v>
      </c>
      <c r="CI149">
        <v>-28.725990922844176</v>
      </c>
      <c r="CJ149">
        <v>-28.82039334341906</v>
      </c>
      <c r="CK149">
        <v>-28.914795763993947</v>
      </c>
      <c r="CL149">
        <v>-29.009198184568834</v>
      </c>
    </row>
    <row r="150" spans="1:90" ht="21.75" thickBot="1" x14ac:dyDescent="0.4">
      <c r="A150" s="18" t="s">
        <v>63</v>
      </c>
      <c r="B150" s="38">
        <v>-16.225090909090905</v>
      </c>
      <c r="C150" s="38">
        <v>-15.827515151515151</v>
      </c>
      <c r="D150" s="38">
        <v>-15.429939393939394</v>
      </c>
      <c r="E150" s="38">
        <v>-14.966181818181818</v>
      </c>
      <c r="F150">
        <v>-14.500727272727273</v>
      </c>
      <c r="G150">
        <v>-13.973333333333333</v>
      </c>
      <c r="H150">
        <v>-13.44</v>
      </c>
      <c r="I150">
        <v>-12.907969742813917</v>
      </c>
      <c r="J150">
        <v>-12.376169440242057</v>
      </c>
      <c r="K150">
        <v>-11.844369137670196</v>
      </c>
      <c r="L150">
        <v>-11.312568835098336</v>
      </c>
      <c r="M150">
        <v>-10.780768532526475</v>
      </c>
      <c r="N150">
        <v>-10.248968229954613</v>
      </c>
      <c r="O150">
        <v>-9.7171679273827536</v>
      </c>
      <c r="P150">
        <v>-9.185367624810894</v>
      </c>
      <c r="Q150">
        <v>-8.7127696969696977</v>
      </c>
      <c r="R150">
        <v>-8.2817393939393948</v>
      </c>
      <c r="S150">
        <v>-7.887872727272728</v>
      </c>
      <c r="T150">
        <v>-7.5276303030303033</v>
      </c>
      <c r="U150">
        <v>-7.2058373493975907</v>
      </c>
      <c r="V150">
        <v>-6.9287289156626501</v>
      </c>
      <c r="W150">
        <v>-6.6821575757575751</v>
      </c>
      <c r="X150">
        <v>-6.4838545454545446</v>
      </c>
      <c r="Y150">
        <v>-6.3085575757575754</v>
      </c>
      <c r="Z150">
        <v>-6.181042424242424</v>
      </c>
      <c r="AA150">
        <v>-6.068036363636363</v>
      </c>
      <c r="AB150">
        <v>-5.9957939393939386</v>
      </c>
      <c r="AC150">
        <v>-5.9314060606060606</v>
      </c>
      <c r="AD150">
        <v>-5.8984363636363639</v>
      </c>
      <c r="AE150">
        <v>-5.8688072289156628</v>
      </c>
      <c r="AF150">
        <v>-5.8601325301204819</v>
      </c>
      <c r="AG150">
        <v>-5.8522727272727275</v>
      </c>
      <c r="AH150">
        <v>-5.8566363636363636</v>
      </c>
      <c r="AI150">
        <v>-5.8609999999999998</v>
      </c>
      <c r="AJ150">
        <v>-5.8731212121212124</v>
      </c>
      <c r="AK150">
        <v>-5.8852424242424242</v>
      </c>
      <c r="AL150">
        <v>-5.9005454545454548</v>
      </c>
      <c r="AM150">
        <v>-5.916060606060606</v>
      </c>
      <c r="AN150">
        <v>-5.9336969696969701</v>
      </c>
      <c r="AO150">
        <v>-5.9516363636363634</v>
      </c>
      <c r="AP150">
        <v>-5.9698795180722897</v>
      </c>
      <c r="AQ150">
        <v>-5.9881927710843375</v>
      </c>
      <c r="AR150">
        <v>-6.0073030303030306</v>
      </c>
      <c r="AS150">
        <v>-6.0266969696969701</v>
      </c>
      <c r="AT150">
        <v>-6.0464181818181819</v>
      </c>
      <c r="AU150">
        <v>-6.0662969696969693</v>
      </c>
      <c r="AV150">
        <v>-6.0870666666666668</v>
      </c>
      <c r="AW150">
        <v>-6.1084000000000005</v>
      </c>
      <c r="AX150">
        <v>-6.1322450832072617</v>
      </c>
      <c r="AY150">
        <v>-6.1581452344931922</v>
      </c>
      <c r="AZ150">
        <v>-6.1840453857791227</v>
      </c>
      <c r="BA150">
        <v>-6.2099455370650531</v>
      </c>
      <c r="BB150">
        <v>-6.2358456883509836</v>
      </c>
      <c r="BC150">
        <v>-6.2617458396369132</v>
      </c>
      <c r="BD150">
        <v>-6.2876459909228437</v>
      </c>
      <c r="BE150">
        <v>-6.3135461422087742</v>
      </c>
      <c r="BF150">
        <v>-6.3381240544629343</v>
      </c>
      <c r="BG150">
        <v>-6.3594251134644475</v>
      </c>
      <c r="BH150">
        <v>-6.3807261724659607</v>
      </c>
      <c r="BI150">
        <v>-6.4020272314674731</v>
      </c>
      <c r="BJ150">
        <v>-6.4233282904689863</v>
      </c>
      <c r="BK150">
        <v>-6.4446293494704996</v>
      </c>
      <c r="BL150">
        <v>-6.4659304084720119</v>
      </c>
      <c r="BM150">
        <v>-6.4872314674735252</v>
      </c>
      <c r="BN150">
        <v>-6.5085212121212122</v>
      </c>
      <c r="BO150">
        <v>-6.529369696969697</v>
      </c>
      <c r="BP150">
        <v>-6.5502181818181819</v>
      </c>
      <c r="BQ150">
        <v>-6.5710666666666668</v>
      </c>
      <c r="BR150">
        <v>-6.5919151515151517</v>
      </c>
      <c r="BS150">
        <v>-6.6123272727272733</v>
      </c>
      <c r="BT150">
        <v>-6.6326909090909094</v>
      </c>
      <c r="BU150">
        <v>-6.6530545454545456</v>
      </c>
      <c r="BV150">
        <v>-6.6734181818181817</v>
      </c>
      <c r="BW150">
        <v>-6.6933132530120485</v>
      </c>
      <c r="BX150">
        <v>-6.713072289156627</v>
      </c>
      <c r="BY150">
        <v>-6.7298606060606065</v>
      </c>
      <c r="BZ150">
        <v>-6.7453757575757578</v>
      </c>
      <c r="CA150">
        <v>-6.7612000000000005</v>
      </c>
      <c r="CB150">
        <v>-6.7771999999999997</v>
      </c>
      <c r="CC150">
        <v>-6.7931999999999997</v>
      </c>
      <c r="CD150">
        <v>-6.8091999999999997</v>
      </c>
      <c r="CE150">
        <v>-6.825497730711044</v>
      </c>
      <c r="CF150">
        <v>-6.8420786686838122</v>
      </c>
      <c r="CG150">
        <v>-6.8586596066565813</v>
      </c>
      <c r="CH150">
        <v>-6.8752405446293494</v>
      </c>
      <c r="CI150">
        <v>-6.8918214826021176</v>
      </c>
      <c r="CJ150">
        <v>-6.9084024205748866</v>
      </c>
      <c r="CK150">
        <v>-6.9249833585476548</v>
      </c>
      <c r="CL150">
        <v>-6.9415642965204229</v>
      </c>
    </row>
    <row r="151" spans="1:90" ht="21.75" thickBot="1" x14ac:dyDescent="0.4">
      <c r="A151" s="18" t="s">
        <v>64</v>
      </c>
      <c r="B151" s="38">
        <v>-63.458181818181821</v>
      </c>
      <c r="C151" s="38">
        <v>-61.809696969696965</v>
      </c>
      <c r="D151" s="38">
        <v>-60.161212121212117</v>
      </c>
      <c r="E151" s="38">
        <v>-58.531636363636359</v>
      </c>
      <c r="F151">
        <v>-56.902545454545447</v>
      </c>
      <c r="G151">
        <v>-55.273454545454541</v>
      </c>
      <c r="H151">
        <v>-53.644363636363636</v>
      </c>
      <c r="I151">
        <v>-52.128472012102868</v>
      </c>
      <c r="J151">
        <v>-50.632556732223904</v>
      </c>
      <c r="K151">
        <v>-49.136641452344932</v>
      </c>
      <c r="L151">
        <v>-47.640726172465961</v>
      </c>
      <c r="M151">
        <v>-46.144810892586989</v>
      </c>
      <c r="N151">
        <v>-44.648895612708017</v>
      </c>
      <c r="O151">
        <v>-43.152980332829046</v>
      </c>
      <c r="P151">
        <v>-41.657065052950074</v>
      </c>
      <c r="Q151">
        <v>-40.302242424242429</v>
      </c>
      <c r="R151">
        <v>-39.046484848484852</v>
      </c>
      <c r="S151">
        <v>-37.846727272727279</v>
      </c>
      <c r="T151">
        <v>-36.697636363636363</v>
      </c>
      <c r="U151">
        <v>-35.600783132530118</v>
      </c>
      <c r="V151">
        <v>-34.564638554216863</v>
      </c>
      <c r="W151">
        <v>-33.556121212121212</v>
      </c>
      <c r="X151">
        <v>-32.591272727272724</v>
      </c>
      <c r="Y151">
        <v>-31.645333333333333</v>
      </c>
      <c r="Z151">
        <v>-30.738666666666663</v>
      </c>
      <c r="AA151">
        <v>-29.842181818181817</v>
      </c>
      <c r="AB151">
        <v>-28.97430303030303</v>
      </c>
      <c r="AC151">
        <v>-28.111272727272727</v>
      </c>
      <c r="AD151">
        <v>-27.26763636363636</v>
      </c>
      <c r="AE151">
        <v>-26.429337349397588</v>
      </c>
      <c r="AF151">
        <v>-25.624518072289156</v>
      </c>
      <c r="AG151">
        <v>-24.821515151515154</v>
      </c>
      <c r="AH151">
        <v>-24.045757575757577</v>
      </c>
      <c r="AI151">
        <v>-23.27</v>
      </c>
      <c r="AJ151">
        <v>-22.528181818181817</v>
      </c>
      <c r="AK151">
        <v>-21.786363636363635</v>
      </c>
      <c r="AL151">
        <v>-21.07181818181818</v>
      </c>
      <c r="AM151">
        <v>-20.359090909090909</v>
      </c>
      <c r="AN151">
        <v>-19.676060606060606</v>
      </c>
      <c r="AO151">
        <v>-18.99727272727273</v>
      </c>
      <c r="AP151">
        <v>-18.349216867469881</v>
      </c>
      <c r="AQ151">
        <v>-17.708253012048193</v>
      </c>
      <c r="AR151">
        <v>-17.082303030303031</v>
      </c>
      <c r="AS151">
        <v>-16.461696969696973</v>
      </c>
      <c r="AT151">
        <v>-15.864000000000003</v>
      </c>
      <c r="AU151">
        <v>-15.277333333333337</v>
      </c>
      <c r="AV151">
        <v>-14.711454545454547</v>
      </c>
      <c r="AW151">
        <v>-14.158727272727274</v>
      </c>
      <c r="AX151">
        <v>-13.70231467473525</v>
      </c>
      <c r="AY151">
        <v>-13.324704992435704</v>
      </c>
      <c r="AZ151">
        <v>-12.947095310136159</v>
      </c>
      <c r="BA151">
        <v>-12.569485627836613</v>
      </c>
      <c r="BB151">
        <v>-12.191875945537067</v>
      </c>
      <c r="BC151">
        <v>-11.814266263237521</v>
      </c>
      <c r="BD151">
        <v>-11.436656580937974</v>
      </c>
      <c r="BE151">
        <v>-11.059046898638428</v>
      </c>
      <c r="BF151">
        <v>-10.734639939485628</v>
      </c>
      <c r="BG151">
        <v>-10.542083207261724</v>
      </c>
      <c r="BH151">
        <v>-10.349526475037822</v>
      </c>
      <c r="BI151">
        <v>-10.156969742813917</v>
      </c>
      <c r="BJ151">
        <v>-9.9644130105900146</v>
      </c>
      <c r="BK151">
        <v>-9.771856278366112</v>
      </c>
      <c r="BL151">
        <v>-9.5792995461422077</v>
      </c>
      <c r="BM151">
        <v>-9.3867428139183051</v>
      </c>
      <c r="BN151">
        <v>-9.1950606060606042</v>
      </c>
      <c r="BO151">
        <v>-9.0374848484848478</v>
      </c>
      <c r="BP151">
        <v>-8.8799090909090914</v>
      </c>
      <c r="BQ151">
        <v>-8.7335333333333338</v>
      </c>
      <c r="BR151">
        <v>-8.5875939393939387</v>
      </c>
      <c r="BS151">
        <v>-8.4516909090909085</v>
      </c>
      <c r="BT151">
        <v>-8.3169030303030294</v>
      </c>
      <c r="BU151">
        <v>-8.1898303030303019</v>
      </c>
      <c r="BV151">
        <v>-8.0642545454545438</v>
      </c>
      <c r="BW151">
        <v>-7.9493493975903604</v>
      </c>
      <c r="BX151">
        <v>-7.8375421686746982</v>
      </c>
      <c r="BY151">
        <v>-7.8216484848484846</v>
      </c>
      <c r="BZ151">
        <v>-7.8468606060606056</v>
      </c>
      <c r="CA151">
        <v>-7.8742363636363635</v>
      </c>
      <c r="CB151">
        <v>-7.902842424242424</v>
      </c>
      <c r="CC151">
        <v>-7.930890909090909</v>
      </c>
      <c r="CD151">
        <v>-7.9585272727272729</v>
      </c>
      <c r="CE151">
        <v>-7.9859561270801818</v>
      </c>
      <c r="CF151">
        <v>-8.0131875945537061</v>
      </c>
      <c r="CG151">
        <v>-8.0404190620272313</v>
      </c>
      <c r="CH151">
        <v>-8.0676505295007566</v>
      </c>
      <c r="CI151">
        <v>-8.0948819969742818</v>
      </c>
      <c r="CJ151">
        <v>-8.1221134644478052</v>
      </c>
      <c r="CK151">
        <v>-8.1493449319213305</v>
      </c>
      <c r="CL151">
        <v>-8.1765763993948557</v>
      </c>
    </row>
    <row r="152" spans="1:90" ht="21.75" thickBot="1" x14ac:dyDescent="0.4">
      <c r="A152" s="18" t="s">
        <v>65</v>
      </c>
      <c r="B152" s="38">
        <v>-16.225090909090905</v>
      </c>
      <c r="C152" s="38">
        <v>-15.827515151515151</v>
      </c>
      <c r="D152" s="38">
        <v>-15.429939393939394</v>
      </c>
      <c r="E152" s="38">
        <v>-14.966181818181818</v>
      </c>
      <c r="F152">
        <v>-14.500727272727273</v>
      </c>
      <c r="G152">
        <v>-13.973333333333333</v>
      </c>
      <c r="H152">
        <v>-13.44</v>
      </c>
      <c r="I152">
        <v>-12.907969742813917</v>
      </c>
      <c r="J152">
        <v>-12.376169440242057</v>
      </c>
      <c r="K152">
        <v>-11.844369137670196</v>
      </c>
      <c r="L152">
        <v>-11.312568835098336</v>
      </c>
      <c r="M152">
        <v>-10.780768532526475</v>
      </c>
      <c r="N152">
        <v>-10.248968229954613</v>
      </c>
      <c r="O152">
        <v>-9.7171679273827536</v>
      </c>
      <c r="P152">
        <v>-9.185367624810894</v>
      </c>
      <c r="Q152">
        <v>-8.7127696969696977</v>
      </c>
      <c r="R152">
        <v>-8.2817393939393948</v>
      </c>
      <c r="S152">
        <v>-7.887872727272728</v>
      </c>
      <c r="T152">
        <v>-7.5276303030303033</v>
      </c>
      <c r="U152">
        <v>-7.2058373493975907</v>
      </c>
      <c r="V152">
        <v>-6.9287289156626501</v>
      </c>
      <c r="W152">
        <v>-6.6821575757575751</v>
      </c>
      <c r="X152">
        <v>-6.4838545454545446</v>
      </c>
      <c r="Y152">
        <v>-6.3085575757575754</v>
      </c>
      <c r="Z152">
        <v>-6.181042424242424</v>
      </c>
      <c r="AA152">
        <v>-6.068036363636363</v>
      </c>
      <c r="AB152">
        <v>-5.9957939393939386</v>
      </c>
      <c r="AC152">
        <v>-5.9314060606060606</v>
      </c>
      <c r="AD152">
        <v>-5.8984363636363639</v>
      </c>
      <c r="AE152">
        <v>-5.8688072289156628</v>
      </c>
      <c r="AF152">
        <v>-5.8601325301204819</v>
      </c>
      <c r="AG152">
        <v>-5.8522727272727275</v>
      </c>
      <c r="AH152">
        <v>-5.8566363636363636</v>
      </c>
      <c r="AI152">
        <v>-5.8609999999999998</v>
      </c>
      <c r="AJ152">
        <v>-5.8731212121212124</v>
      </c>
      <c r="AK152">
        <v>-5.8852424242424242</v>
      </c>
      <c r="AL152">
        <v>-5.9005454545454548</v>
      </c>
      <c r="AM152">
        <v>-5.916060606060606</v>
      </c>
      <c r="AN152">
        <v>-5.9336969696969701</v>
      </c>
      <c r="AO152">
        <v>-5.9516363636363634</v>
      </c>
      <c r="AP152">
        <v>-5.9698795180722897</v>
      </c>
      <c r="AQ152">
        <v>-5.9881927710843375</v>
      </c>
      <c r="AR152">
        <v>-6.0073030303030306</v>
      </c>
      <c r="AS152">
        <v>-6.0266969696969701</v>
      </c>
      <c r="AT152">
        <v>-6.0464181818181819</v>
      </c>
      <c r="AU152">
        <v>-6.0662969696969693</v>
      </c>
      <c r="AV152">
        <v>-6.0870666666666668</v>
      </c>
      <c r="AW152">
        <v>-6.1084000000000005</v>
      </c>
      <c r="AX152">
        <v>-6.1322450832072617</v>
      </c>
      <c r="AY152">
        <v>-6.1581452344931922</v>
      </c>
      <c r="AZ152">
        <v>-6.1840453857791227</v>
      </c>
      <c r="BA152">
        <v>-6.2099455370650531</v>
      </c>
      <c r="BB152">
        <v>-6.2358456883509836</v>
      </c>
      <c r="BC152">
        <v>-6.2617458396369132</v>
      </c>
      <c r="BD152">
        <v>-6.2876459909228437</v>
      </c>
      <c r="BE152">
        <v>-6.3135461422087742</v>
      </c>
      <c r="BF152">
        <v>-6.3381240544629343</v>
      </c>
      <c r="BG152">
        <v>-6.3594251134644475</v>
      </c>
      <c r="BH152">
        <v>-6.3807261724659607</v>
      </c>
      <c r="BI152">
        <v>-6.4020272314674731</v>
      </c>
      <c r="BJ152">
        <v>-6.4233282904689863</v>
      </c>
      <c r="BK152">
        <v>-6.4446293494704996</v>
      </c>
      <c r="BL152">
        <v>-6.4659304084720119</v>
      </c>
      <c r="BM152">
        <v>-6.4872314674735252</v>
      </c>
      <c r="BN152">
        <v>-6.5085212121212122</v>
      </c>
      <c r="BO152">
        <v>-6.529369696969697</v>
      </c>
      <c r="BP152">
        <v>-6.5502181818181819</v>
      </c>
      <c r="BQ152">
        <v>-6.5710666666666668</v>
      </c>
      <c r="BR152">
        <v>-6.5919151515151517</v>
      </c>
      <c r="BS152">
        <v>-6.6123272727272733</v>
      </c>
      <c r="BT152">
        <v>-6.6326909090909094</v>
      </c>
      <c r="BU152">
        <v>-6.6530545454545456</v>
      </c>
      <c r="BV152">
        <v>-6.6734181818181817</v>
      </c>
      <c r="BW152">
        <v>-6.6933132530120485</v>
      </c>
      <c r="BX152">
        <v>-6.713072289156627</v>
      </c>
      <c r="BY152">
        <v>-6.7298606060606065</v>
      </c>
      <c r="BZ152">
        <v>-6.7453757575757578</v>
      </c>
      <c r="CA152">
        <v>-6.7612000000000005</v>
      </c>
      <c r="CB152">
        <v>-6.7771999999999997</v>
      </c>
      <c r="CC152">
        <v>-6.7931999999999997</v>
      </c>
      <c r="CD152">
        <v>-6.8091999999999997</v>
      </c>
      <c r="CE152">
        <v>-6.825497730711044</v>
      </c>
      <c r="CF152">
        <v>-6.8420786686838122</v>
      </c>
      <c r="CG152">
        <v>-6.8586596066565813</v>
      </c>
      <c r="CH152">
        <v>-6.8752405446293494</v>
      </c>
      <c r="CI152">
        <v>-6.8918214826021176</v>
      </c>
      <c r="CJ152">
        <v>-6.9084024205748866</v>
      </c>
      <c r="CK152">
        <v>-6.9249833585476548</v>
      </c>
      <c r="CL152">
        <v>-6.9415642965204229</v>
      </c>
    </row>
    <row r="153" spans="1:90" ht="21.75" thickBot="1" x14ac:dyDescent="0.4">
      <c r="A153" s="18" t="s">
        <v>28</v>
      </c>
      <c r="B153" s="38">
        <v>-18.649999999999999</v>
      </c>
      <c r="C153" s="38">
        <v>-18.649999999999999</v>
      </c>
      <c r="D153" s="38">
        <v>-18.649999999999999</v>
      </c>
      <c r="E153" s="38">
        <v>-18.654727272727271</v>
      </c>
      <c r="F153">
        <v>-18.659575757575759</v>
      </c>
      <c r="G153">
        <v>-18.664424242424243</v>
      </c>
      <c r="H153">
        <v>-18.66927272727273</v>
      </c>
      <c r="I153">
        <v>-18.678229954614224</v>
      </c>
      <c r="J153">
        <v>-18.687912254160363</v>
      </c>
      <c r="K153">
        <v>-18.697594553706505</v>
      </c>
      <c r="L153">
        <v>-18.707276853252647</v>
      </c>
      <c r="M153">
        <v>-18.71695915279879</v>
      </c>
      <c r="N153">
        <v>-18.726641452344932</v>
      </c>
      <c r="O153">
        <v>-18.736323751891074</v>
      </c>
      <c r="P153">
        <v>-18.746006051437217</v>
      </c>
      <c r="Q153">
        <v>-18.758545454545455</v>
      </c>
      <c r="R153">
        <v>-18.773090909090911</v>
      </c>
      <c r="S153">
        <v>-18.787636363636363</v>
      </c>
      <c r="T153">
        <v>-18.802181818181818</v>
      </c>
      <c r="U153">
        <v>-18.814457831325299</v>
      </c>
      <c r="V153">
        <v>-18.824096385542166</v>
      </c>
      <c r="W153">
        <v>-18.835636363636361</v>
      </c>
      <c r="X153">
        <v>-18.850181818181817</v>
      </c>
      <c r="Y153">
        <v>-18.86630303030303</v>
      </c>
      <c r="Z153">
        <v>-18.885696969696969</v>
      </c>
      <c r="AA153">
        <v>-18.903818181818181</v>
      </c>
      <c r="AB153">
        <v>-18.918363636363637</v>
      </c>
      <c r="AC153">
        <v>-18.932909090909092</v>
      </c>
      <c r="AD153">
        <v>-18.947454545454544</v>
      </c>
      <c r="AE153">
        <v>-18.961987951807231</v>
      </c>
      <c r="AF153">
        <v>-18.976445783132529</v>
      </c>
      <c r="AG153">
        <v>-18.991212121212119</v>
      </c>
      <c r="AH153">
        <v>-19.010606060606062</v>
      </c>
      <c r="AI153">
        <v>-19.03</v>
      </c>
      <c r="AJ153">
        <v>-19.044545454545453</v>
      </c>
      <c r="AK153">
        <v>-19.059090909090909</v>
      </c>
      <c r="AL153">
        <v>-19.078181818181818</v>
      </c>
      <c r="AM153">
        <v>-19.097575757575758</v>
      </c>
      <c r="AN153">
        <v>-19.112727272727273</v>
      </c>
      <c r="AO153">
        <v>-19.127272727272725</v>
      </c>
      <c r="AP153">
        <v>-19.145662650602411</v>
      </c>
      <c r="AQ153">
        <v>-19.164939759036145</v>
      </c>
      <c r="AR153">
        <v>-19.180727272727275</v>
      </c>
      <c r="AS153">
        <v>-19.195272727272727</v>
      </c>
      <c r="AT153">
        <v>-19.209818181818182</v>
      </c>
      <c r="AU153">
        <v>-19.224363636363638</v>
      </c>
      <c r="AV153">
        <v>-19.24187878787879</v>
      </c>
      <c r="AW153">
        <v>-19.261272727272726</v>
      </c>
      <c r="AX153">
        <v>-19.277322239031768</v>
      </c>
      <c r="AY153">
        <v>-19.290635400907714</v>
      </c>
      <c r="AZ153">
        <v>-19.30394856278366</v>
      </c>
      <c r="BA153">
        <v>-19.317261724659605</v>
      </c>
      <c r="BB153">
        <v>-19.330574886535551</v>
      </c>
      <c r="BC153">
        <v>-19.343888048411497</v>
      </c>
      <c r="BD153">
        <v>-19.357201210287442</v>
      </c>
      <c r="BE153">
        <v>-19.370514372163388</v>
      </c>
      <c r="BF153">
        <v>-19.384523449319211</v>
      </c>
      <c r="BG153">
        <v>-19.400257186081692</v>
      </c>
      <c r="BH153">
        <v>-19.415990922844177</v>
      </c>
      <c r="BI153">
        <v>-19.431724659606658</v>
      </c>
      <c r="BJ153">
        <v>-19.447458396369139</v>
      </c>
      <c r="BK153">
        <v>-19.463192133131621</v>
      </c>
      <c r="BL153">
        <v>-19.478925869894102</v>
      </c>
      <c r="BM153">
        <v>-19.494659606656583</v>
      </c>
      <c r="BN153">
        <v>-19.51048484848485</v>
      </c>
      <c r="BO153">
        <v>-19.52987878787879</v>
      </c>
      <c r="BP153">
        <v>-19.549272727272729</v>
      </c>
      <c r="BQ153">
        <v>-19.564</v>
      </c>
      <c r="BR153">
        <v>-19.578545454545452</v>
      </c>
      <c r="BS153">
        <v>-19.593090909090908</v>
      </c>
      <c r="BT153">
        <v>-19.607636363636363</v>
      </c>
      <c r="BU153">
        <v>-19.622181818181819</v>
      </c>
      <c r="BV153">
        <v>-19.636727272727274</v>
      </c>
      <c r="BW153">
        <v>-19.651204819277108</v>
      </c>
      <c r="BX153">
        <v>-19.66566265060241</v>
      </c>
      <c r="BY153">
        <v>-19.680181818181818</v>
      </c>
      <c r="BZ153">
        <v>-19.694727272727274</v>
      </c>
      <c r="CA153">
        <v>-19.709272727272726</v>
      </c>
      <c r="CB153">
        <v>-19.723818181818181</v>
      </c>
      <c r="CC153">
        <v>-19.738363636363637</v>
      </c>
      <c r="CD153">
        <v>-19.752909090909093</v>
      </c>
      <c r="CE153">
        <v>-19.767443267776098</v>
      </c>
      <c r="CF153">
        <v>-19.781966717095312</v>
      </c>
      <c r="CG153">
        <v>-19.796490166414525</v>
      </c>
      <c r="CH153">
        <v>-19.811013615733739</v>
      </c>
      <c r="CI153">
        <v>-19.825537065052949</v>
      </c>
      <c r="CJ153">
        <v>-19.840060514372162</v>
      </c>
      <c r="CK153">
        <v>-19.854583963691375</v>
      </c>
      <c r="CL153">
        <v>-19.869107413010589</v>
      </c>
    </row>
    <row r="154" spans="1:90" ht="21.75" thickBot="1" x14ac:dyDescent="0.4">
      <c r="A154" s="18" t="s">
        <v>5</v>
      </c>
      <c r="B154" s="38">
        <v>-63.458181818181821</v>
      </c>
      <c r="C154" s="38">
        <v>-61.809696969696965</v>
      </c>
      <c r="D154" s="38">
        <v>-60.161212121212117</v>
      </c>
      <c r="E154" s="38">
        <v>-58.531636363636359</v>
      </c>
      <c r="F154">
        <v>-56.902545454545447</v>
      </c>
      <c r="G154">
        <v>-55.273454545454541</v>
      </c>
      <c r="H154">
        <v>-53.644363636363636</v>
      </c>
      <c r="I154">
        <v>-52.128472012102868</v>
      </c>
      <c r="J154">
        <v>-50.632556732223904</v>
      </c>
      <c r="K154">
        <v>-49.136641452344932</v>
      </c>
      <c r="L154">
        <v>-47.640726172465961</v>
      </c>
      <c r="M154">
        <v>-46.144810892586989</v>
      </c>
      <c r="N154">
        <v>-44.648895612708017</v>
      </c>
      <c r="O154">
        <v>-43.152980332829046</v>
      </c>
      <c r="P154">
        <v>-41.657065052950074</v>
      </c>
      <c r="Q154">
        <v>-40.302242424242429</v>
      </c>
      <c r="R154">
        <v>-39.046484848484852</v>
      </c>
      <c r="S154">
        <v>-37.846727272727279</v>
      </c>
      <c r="T154">
        <v>-36.697636363636363</v>
      </c>
      <c r="U154">
        <v>-35.600783132530118</v>
      </c>
      <c r="V154">
        <v>-34.564638554216863</v>
      </c>
      <c r="W154">
        <v>-33.556121212121212</v>
      </c>
      <c r="X154">
        <v>-32.591272727272724</v>
      </c>
      <c r="Y154">
        <v>-31.645333333333333</v>
      </c>
      <c r="Z154">
        <v>-30.738666666666663</v>
      </c>
      <c r="AA154">
        <v>-29.842181818181817</v>
      </c>
      <c r="AB154">
        <v>-28.97430303030303</v>
      </c>
      <c r="AC154">
        <v>-28.111272727272727</v>
      </c>
      <c r="AD154">
        <v>-27.26763636363636</v>
      </c>
      <c r="AE154">
        <v>-26.429337349397588</v>
      </c>
      <c r="AF154">
        <v>-25.624518072289156</v>
      </c>
      <c r="AG154">
        <v>-24.821515151515154</v>
      </c>
      <c r="AH154">
        <v>-24.045757575757577</v>
      </c>
      <c r="AI154">
        <v>-23.27</v>
      </c>
      <c r="AJ154">
        <v>-22.528181818181817</v>
      </c>
      <c r="AK154">
        <v>-21.786363636363635</v>
      </c>
      <c r="AL154">
        <v>-21.07181818181818</v>
      </c>
      <c r="AM154">
        <v>-20.359090909090909</v>
      </c>
      <c r="AN154">
        <v>-19.676060606060606</v>
      </c>
      <c r="AO154">
        <v>-18.99727272727273</v>
      </c>
      <c r="AP154">
        <v>-18.349216867469881</v>
      </c>
      <c r="AQ154">
        <v>-17.708253012048193</v>
      </c>
      <c r="AR154">
        <v>-17.082303030303031</v>
      </c>
      <c r="AS154">
        <v>-16.461696969696973</v>
      </c>
      <c r="AT154">
        <v>-15.864000000000003</v>
      </c>
      <c r="AU154">
        <v>-15.277333333333337</v>
      </c>
      <c r="AV154">
        <v>-14.711454545454547</v>
      </c>
      <c r="AW154">
        <v>-14.158727272727274</v>
      </c>
      <c r="AX154">
        <v>-13.70231467473525</v>
      </c>
      <c r="AY154">
        <v>-13.324704992435704</v>
      </c>
      <c r="AZ154">
        <v>-12.947095310136159</v>
      </c>
      <c r="BA154">
        <v>-12.569485627836613</v>
      </c>
      <c r="BB154">
        <v>-12.191875945537067</v>
      </c>
      <c r="BC154">
        <v>-11.814266263237521</v>
      </c>
      <c r="BD154">
        <v>-11.436656580937974</v>
      </c>
      <c r="BE154">
        <v>-11.059046898638428</v>
      </c>
      <c r="BF154">
        <v>-10.734639939485628</v>
      </c>
      <c r="BG154">
        <v>-10.542083207261724</v>
      </c>
      <c r="BH154">
        <v>-10.349526475037822</v>
      </c>
      <c r="BI154">
        <v>-10.156969742813917</v>
      </c>
      <c r="BJ154">
        <v>-9.9644130105900146</v>
      </c>
      <c r="BK154">
        <v>-9.771856278366112</v>
      </c>
      <c r="BL154">
        <v>-9.5792995461422077</v>
      </c>
      <c r="BM154">
        <v>-9.3867428139183051</v>
      </c>
      <c r="BN154">
        <v>-9.1950606060606042</v>
      </c>
      <c r="BO154">
        <v>-9.0374848484848478</v>
      </c>
      <c r="BP154">
        <v>-8.8799090909090914</v>
      </c>
      <c r="BQ154">
        <v>-8.7335333333333338</v>
      </c>
      <c r="BR154">
        <v>-8.5875939393939387</v>
      </c>
      <c r="BS154">
        <v>-8.4516909090909085</v>
      </c>
      <c r="BT154">
        <v>-8.3169030303030294</v>
      </c>
      <c r="BU154">
        <v>-8.1898303030303019</v>
      </c>
      <c r="BV154">
        <v>-8.0642545454545438</v>
      </c>
      <c r="BW154">
        <v>-7.9493493975903604</v>
      </c>
      <c r="BX154">
        <v>-7.8375421686746982</v>
      </c>
      <c r="BY154">
        <v>-7.8216484848484846</v>
      </c>
      <c r="BZ154">
        <v>-7.8468606060606056</v>
      </c>
      <c r="CA154">
        <v>-7.8742363636363635</v>
      </c>
      <c r="CB154">
        <v>-7.902842424242424</v>
      </c>
      <c r="CC154">
        <v>-7.930890909090909</v>
      </c>
      <c r="CD154">
        <v>-7.9585272727272729</v>
      </c>
      <c r="CE154">
        <v>-7.9859561270801818</v>
      </c>
      <c r="CF154">
        <v>-8.0131875945537061</v>
      </c>
      <c r="CG154">
        <v>-8.0404190620272313</v>
      </c>
      <c r="CH154">
        <v>-8.0676505295007566</v>
      </c>
      <c r="CI154">
        <v>-8.0948819969742818</v>
      </c>
      <c r="CJ154">
        <v>-8.1221134644478052</v>
      </c>
      <c r="CK154">
        <v>-8.1493449319213305</v>
      </c>
      <c r="CL154">
        <v>-8.1765763993948557</v>
      </c>
    </row>
    <row r="155" spans="1:90" ht="21.75" thickBot="1" x14ac:dyDescent="0.4">
      <c r="A155" s="18" t="s">
        <v>6</v>
      </c>
      <c r="B155" s="38">
        <v>-16.225090909090905</v>
      </c>
      <c r="C155" s="38">
        <v>-15.827515151515151</v>
      </c>
      <c r="D155" s="38">
        <v>-15.429939393939394</v>
      </c>
      <c r="E155" s="38">
        <v>-14.966181818181818</v>
      </c>
      <c r="F155">
        <v>-14.500727272727273</v>
      </c>
      <c r="G155">
        <v>-13.973333333333333</v>
      </c>
      <c r="H155">
        <v>-13.44</v>
      </c>
      <c r="I155">
        <v>-12.907969742813917</v>
      </c>
      <c r="J155">
        <v>-12.376169440242057</v>
      </c>
      <c r="K155">
        <v>-11.844369137670196</v>
      </c>
      <c r="L155">
        <v>-11.312568835098336</v>
      </c>
      <c r="M155">
        <v>-10.780768532526475</v>
      </c>
      <c r="N155">
        <v>-10.248968229954613</v>
      </c>
      <c r="O155">
        <v>-9.7171679273827536</v>
      </c>
      <c r="P155">
        <v>-9.185367624810894</v>
      </c>
      <c r="Q155">
        <v>-8.7127696969696977</v>
      </c>
      <c r="R155">
        <v>-8.2817393939393948</v>
      </c>
      <c r="S155">
        <v>-7.887872727272728</v>
      </c>
      <c r="T155">
        <v>-7.5276303030303033</v>
      </c>
      <c r="U155">
        <v>-7.2058373493975907</v>
      </c>
      <c r="V155">
        <v>-6.9287289156626501</v>
      </c>
      <c r="W155">
        <v>-6.6821575757575751</v>
      </c>
      <c r="X155">
        <v>-6.4838545454545446</v>
      </c>
      <c r="Y155">
        <v>-6.3085575757575754</v>
      </c>
      <c r="Z155">
        <v>-6.181042424242424</v>
      </c>
      <c r="AA155">
        <v>-6.068036363636363</v>
      </c>
      <c r="AB155">
        <v>-5.9957939393939386</v>
      </c>
      <c r="AC155">
        <v>-5.9314060606060606</v>
      </c>
      <c r="AD155">
        <v>-5.8984363636363639</v>
      </c>
      <c r="AE155">
        <v>-5.8688072289156628</v>
      </c>
      <c r="AF155">
        <v>-5.8601325301204819</v>
      </c>
      <c r="AG155">
        <v>-5.8522727272727275</v>
      </c>
      <c r="AH155">
        <v>-5.8566363636363636</v>
      </c>
      <c r="AI155">
        <v>-5.8609999999999998</v>
      </c>
      <c r="AJ155">
        <v>-5.8731212121212124</v>
      </c>
      <c r="AK155">
        <v>-5.8852424242424242</v>
      </c>
      <c r="AL155">
        <v>-5.9005454545454548</v>
      </c>
      <c r="AM155">
        <v>-5.916060606060606</v>
      </c>
      <c r="AN155">
        <v>-5.9336969696969701</v>
      </c>
      <c r="AO155">
        <v>-5.9516363636363634</v>
      </c>
      <c r="AP155">
        <v>-5.9698795180722897</v>
      </c>
      <c r="AQ155">
        <v>-5.9881927710843375</v>
      </c>
      <c r="AR155">
        <v>-6.0073030303030306</v>
      </c>
      <c r="AS155">
        <v>-6.0266969696969701</v>
      </c>
      <c r="AT155">
        <v>-6.0464181818181819</v>
      </c>
      <c r="AU155">
        <v>-6.0662969696969693</v>
      </c>
      <c r="AV155">
        <v>-6.0870666666666668</v>
      </c>
      <c r="AW155">
        <v>-6.1084000000000005</v>
      </c>
      <c r="AX155">
        <v>-6.1322450832072617</v>
      </c>
      <c r="AY155">
        <v>-6.1581452344931922</v>
      </c>
      <c r="AZ155">
        <v>-6.1840453857791227</v>
      </c>
      <c r="BA155">
        <v>-6.2099455370650531</v>
      </c>
      <c r="BB155">
        <v>-6.2358456883509836</v>
      </c>
      <c r="BC155">
        <v>-6.2617458396369132</v>
      </c>
      <c r="BD155">
        <v>-6.2876459909228437</v>
      </c>
      <c r="BE155">
        <v>-6.3135461422087742</v>
      </c>
      <c r="BF155">
        <v>-6.3381240544629343</v>
      </c>
      <c r="BG155">
        <v>-6.3594251134644475</v>
      </c>
      <c r="BH155">
        <v>-6.3807261724659607</v>
      </c>
      <c r="BI155">
        <v>-6.4020272314674731</v>
      </c>
      <c r="BJ155">
        <v>-6.4233282904689863</v>
      </c>
      <c r="BK155">
        <v>-6.4446293494704996</v>
      </c>
      <c r="BL155">
        <v>-6.4659304084720119</v>
      </c>
      <c r="BM155">
        <v>-6.4872314674735252</v>
      </c>
      <c r="BN155">
        <v>-6.5085212121212122</v>
      </c>
      <c r="BO155">
        <v>-6.529369696969697</v>
      </c>
      <c r="BP155">
        <v>-6.5502181818181819</v>
      </c>
      <c r="BQ155">
        <v>-6.5710666666666668</v>
      </c>
      <c r="BR155">
        <v>-6.5919151515151517</v>
      </c>
      <c r="BS155">
        <v>-6.6123272727272733</v>
      </c>
      <c r="BT155">
        <v>-6.6326909090909094</v>
      </c>
      <c r="BU155">
        <v>-6.6530545454545456</v>
      </c>
      <c r="BV155">
        <v>-6.6734181818181817</v>
      </c>
      <c r="BW155">
        <v>-6.6933132530120485</v>
      </c>
      <c r="BX155">
        <v>-6.713072289156627</v>
      </c>
      <c r="BY155">
        <v>-6.7298606060606065</v>
      </c>
      <c r="BZ155">
        <v>-6.7453757575757578</v>
      </c>
      <c r="CA155">
        <v>-6.7612000000000005</v>
      </c>
      <c r="CB155">
        <v>-6.7771999999999997</v>
      </c>
      <c r="CC155">
        <v>-6.7931999999999997</v>
      </c>
      <c r="CD155">
        <v>-6.8091999999999997</v>
      </c>
      <c r="CE155">
        <v>-6.825497730711044</v>
      </c>
      <c r="CF155">
        <v>-6.8420786686838122</v>
      </c>
      <c r="CG155">
        <v>-6.8586596066565813</v>
      </c>
      <c r="CH155">
        <v>-6.8752405446293494</v>
      </c>
      <c r="CI155">
        <v>-6.8918214826021176</v>
      </c>
      <c r="CJ155">
        <v>-6.9084024205748866</v>
      </c>
      <c r="CK155">
        <v>-6.9249833585476548</v>
      </c>
      <c r="CL155">
        <v>-6.9415642965204229</v>
      </c>
    </row>
    <row r="156" spans="1:90" ht="21.75" thickBot="1" x14ac:dyDescent="0.4">
      <c r="A156" s="18" t="s">
        <v>7</v>
      </c>
      <c r="B156" s="38">
        <v>-22.515818181818183</v>
      </c>
      <c r="C156" s="38">
        <v>-22.137636363636364</v>
      </c>
      <c r="D156" s="38">
        <v>-21.759454545454545</v>
      </c>
      <c r="E156" s="38">
        <v>-21.527818181818184</v>
      </c>
      <c r="F156">
        <v>-21.299939393939393</v>
      </c>
      <c r="G156">
        <v>-21.195939393939394</v>
      </c>
      <c r="H156">
        <v>-21.10381818181818</v>
      </c>
      <c r="I156">
        <v>-21.147609682299546</v>
      </c>
      <c r="J156">
        <v>-21.215385779122542</v>
      </c>
      <c r="K156">
        <v>-21.283161875945538</v>
      </c>
      <c r="L156">
        <v>-21.350937972768531</v>
      </c>
      <c r="M156">
        <v>-21.418714069591527</v>
      </c>
      <c r="N156">
        <v>-21.486490166414523</v>
      </c>
      <c r="O156">
        <v>-21.554266263237519</v>
      </c>
      <c r="P156">
        <v>-21.622042360060512</v>
      </c>
      <c r="Q156">
        <v>-21.706969696969697</v>
      </c>
      <c r="R156">
        <v>-21.803939393939395</v>
      </c>
      <c r="S156">
        <v>-21.895818181818182</v>
      </c>
      <c r="T156">
        <v>-21.983090909090912</v>
      </c>
      <c r="U156">
        <v>-22.06343373493976</v>
      </c>
      <c r="V156">
        <v>-22.135722891566264</v>
      </c>
      <c r="W156">
        <v>-22.20630303030303</v>
      </c>
      <c r="X156">
        <v>-22.27418181818182</v>
      </c>
      <c r="Y156">
        <v>-22.343636363636364</v>
      </c>
      <c r="Z156">
        <v>-22.416363636363634</v>
      </c>
      <c r="AA156">
        <v>-22.492909090909091</v>
      </c>
      <c r="AB156">
        <v>-22.580181818181817</v>
      </c>
      <c r="AC156">
        <v>-22.670363636363636</v>
      </c>
      <c r="AD156">
        <v>-22.772181818181817</v>
      </c>
      <c r="AE156">
        <v>-22.874578313253011</v>
      </c>
      <c r="AF156">
        <v>-22.980602409638553</v>
      </c>
      <c r="AG156">
        <v>-23.086969696969696</v>
      </c>
      <c r="AH156">
        <v>-23.198484848484846</v>
      </c>
      <c r="AI156">
        <v>-23.31</v>
      </c>
      <c r="AJ156">
        <v>-23.421515151515152</v>
      </c>
      <c r="AK156">
        <v>-23.533030303030301</v>
      </c>
      <c r="AL156">
        <v>-23.649090909090908</v>
      </c>
      <c r="AM156">
        <v>-23.765454545454546</v>
      </c>
      <c r="AN156">
        <v>-23.877575757575759</v>
      </c>
      <c r="AO156">
        <v>-23.989090909090912</v>
      </c>
      <c r="AP156">
        <v>-24.103975903614458</v>
      </c>
      <c r="AQ156">
        <v>-24.219638554216868</v>
      </c>
      <c r="AR156">
        <v>-24.332242424242423</v>
      </c>
      <c r="AS156">
        <v>-24.443757575757576</v>
      </c>
      <c r="AT156">
        <v>-24.555272727272726</v>
      </c>
      <c r="AU156">
        <v>-24.666787878787879</v>
      </c>
      <c r="AV156">
        <v>-24.778303030303032</v>
      </c>
      <c r="AW156">
        <v>-24.889818181818182</v>
      </c>
      <c r="AX156">
        <v>-24.998577912254163</v>
      </c>
      <c r="AY156">
        <v>-25.105083207261725</v>
      </c>
      <c r="AZ156">
        <v>-25.21158850226929</v>
      </c>
      <c r="BA156">
        <v>-25.318093797276855</v>
      </c>
      <c r="BB156">
        <v>-25.424599092284417</v>
      </c>
      <c r="BC156">
        <v>-25.531104387291983</v>
      </c>
      <c r="BD156">
        <v>-25.637609682299548</v>
      </c>
      <c r="BE156">
        <v>-25.74411497730711</v>
      </c>
      <c r="BF156">
        <v>-25.849924357034794</v>
      </c>
      <c r="BG156">
        <v>-25.954009077155824</v>
      </c>
      <c r="BH156">
        <v>-26.058093797276854</v>
      </c>
      <c r="BI156">
        <v>-26.162178517397884</v>
      </c>
      <c r="BJ156">
        <v>-26.26626323751891</v>
      </c>
      <c r="BK156">
        <v>-26.37034795763994</v>
      </c>
      <c r="BL156">
        <v>-26.474432677760969</v>
      </c>
      <c r="BM156">
        <v>-26.578517397881996</v>
      </c>
      <c r="BN156">
        <v>-26.682666666666666</v>
      </c>
      <c r="BO156">
        <v>-26.789333333333332</v>
      </c>
      <c r="BP156">
        <v>-26.896000000000001</v>
      </c>
      <c r="BQ156">
        <v>-26.998000000000001</v>
      </c>
      <c r="BR156">
        <v>-27.099818181818183</v>
      </c>
      <c r="BS156">
        <v>-27.201636363636364</v>
      </c>
      <c r="BT156">
        <v>-27.303454545454546</v>
      </c>
      <c r="BU156">
        <v>-27.401212121212122</v>
      </c>
      <c r="BV156">
        <v>-27.49818181818182</v>
      </c>
      <c r="BW156">
        <v>-27.598433734939761</v>
      </c>
      <c r="BX156">
        <v>-27.699638554216868</v>
      </c>
      <c r="BY156">
        <v>-27.794484848484849</v>
      </c>
      <c r="BZ156">
        <v>-27.886606060606063</v>
      </c>
      <c r="CA156">
        <v>-27.978727272727273</v>
      </c>
      <c r="CB156">
        <v>-28.070848484848486</v>
      </c>
      <c r="CC156">
        <v>-28.162969696969697</v>
      </c>
      <c r="CD156">
        <v>-28.25509090909091</v>
      </c>
      <c r="CE156">
        <v>-28.348381240544629</v>
      </c>
      <c r="CF156">
        <v>-28.442783661119517</v>
      </c>
      <c r="CG156">
        <v>-28.537186081694404</v>
      </c>
      <c r="CH156">
        <v>-28.631588502269288</v>
      </c>
      <c r="CI156">
        <v>-28.725990922844176</v>
      </c>
      <c r="CJ156">
        <v>-28.82039334341906</v>
      </c>
      <c r="CK156">
        <v>-28.914795763993947</v>
      </c>
      <c r="CL156">
        <v>-29.009198184568834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95</xdr:col>
                    <xdr:colOff>676275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N22"/>
  <sheetViews>
    <sheetView workbookViewId="0">
      <pane xSplit="1" topLeftCell="B1" activePane="topRight" state="frozen"/>
      <selection pane="topRight" activeCell="B1" sqref="B1:N19"/>
    </sheetView>
  </sheetViews>
  <sheetFormatPr defaultRowHeight="21" x14ac:dyDescent="0.35"/>
  <cols>
    <col min="1" max="1" width="4.81640625" customWidth="1"/>
  </cols>
  <sheetData>
    <row r="1" spans="1:14" ht="28.5" x14ac:dyDescent="0.45">
      <c r="A1" s="45">
        <v>0</v>
      </c>
      <c r="B1" s="55"/>
      <c r="C1" s="55">
        <v>273</v>
      </c>
      <c r="D1" s="55">
        <v>339.2</v>
      </c>
      <c r="E1" s="55">
        <v>405.3</v>
      </c>
      <c r="F1" s="55">
        <v>471.4</v>
      </c>
      <c r="G1" s="55">
        <v>537.5</v>
      </c>
      <c r="H1" s="55">
        <v>603.5</v>
      </c>
      <c r="I1" s="55">
        <v>669.6</v>
      </c>
      <c r="J1" s="55">
        <v>735.7</v>
      </c>
      <c r="K1" s="55">
        <v>801.8</v>
      </c>
      <c r="L1" s="55">
        <v>867.8</v>
      </c>
      <c r="M1">
        <v>933.9</v>
      </c>
      <c r="N1">
        <v>1000</v>
      </c>
    </row>
    <row r="2" spans="1:14" ht="21.75" customHeight="1" x14ac:dyDescent="0.35">
      <c r="A2" s="46" t="s">
        <v>32</v>
      </c>
      <c r="B2" s="168" t="s">
        <v>82</v>
      </c>
      <c r="C2" s="167">
        <v>2.2783E-8</v>
      </c>
      <c r="D2" s="167">
        <v>2.3207999999999998E-8</v>
      </c>
      <c r="E2" s="167">
        <v>3.0831E-8</v>
      </c>
      <c r="F2" s="167">
        <v>1.9866000000000001E-8</v>
      </c>
      <c r="G2" s="167">
        <v>2.0292999999999998E-8</v>
      </c>
      <c r="H2" s="167">
        <v>2.1535000000000001E-8</v>
      </c>
      <c r="I2" s="167">
        <v>2.3738000000000001E-8</v>
      </c>
      <c r="J2" s="167">
        <v>2.6975999999999999E-8</v>
      </c>
      <c r="K2" s="167">
        <v>2.6417999999999999E-8</v>
      </c>
      <c r="L2" s="167">
        <v>2.7024000000000001E-8</v>
      </c>
      <c r="M2" s="167">
        <v>2.0041999999999998E-8</v>
      </c>
      <c r="N2" s="167">
        <v>1.3179E-8</v>
      </c>
    </row>
    <row r="3" spans="1:14" x14ac:dyDescent="0.35">
      <c r="B3" s="168" t="s">
        <v>83</v>
      </c>
      <c r="C3" s="167">
        <v>2.7272000000000002E-25</v>
      </c>
      <c r="D3" s="167">
        <v>4.1284999999999998E-19</v>
      </c>
      <c r="E3" s="167">
        <v>4.7391E-15</v>
      </c>
      <c r="F3" s="167">
        <v>3.3814000000000001E-12</v>
      </c>
      <c r="G3" s="167">
        <v>4.3065999999999999E-10</v>
      </c>
      <c r="H3" s="167">
        <v>1.7616E-8</v>
      </c>
      <c r="I3" s="167">
        <v>3.2985000000000001E-7</v>
      </c>
      <c r="J3" s="167">
        <v>3.5267999999999998E-6</v>
      </c>
      <c r="K3" s="167">
        <v>2.4674000000000001E-5</v>
      </c>
      <c r="L3" s="167">
        <v>1.2306E-4</v>
      </c>
      <c r="M3" s="167">
        <v>4.5855000000000001E-4</v>
      </c>
      <c r="N3" s="167">
        <v>1.2537E-3</v>
      </c>
    </row>
    <row r="4" spans="1:14" x14ac:dyDescent="0.35">
      <c r="B4" s="168" t="s">
        <v>81</v>
      </c>
      <c r="C4" s="167">
        <v>2.8659000000000002E-23</v>
      </c>
      <c r="D4" s="167">
        <v>1.0815E-17</v>
      </c>
      <c r="E4" s="167">
        <v>4.5678000000000001E-14</v>
      </c>
      <c r="F4" s="167">
        <v>1.5258999999999999E-11</v>
      </c>
      <c r="G4" s="167">
        <v>1.0687E-9</v>
      </c>
      <c r="H4" s="167">
        <v>2.6931000000000001E-8</v>
      </c>
      <c r="I4" s="167">
        <v>3.3792E-7</v>
      </c>
      <c r="J4" s="167">
        <v>2.5795E-6</v>
      </c>
      <c r="K4" s="167">
        <v>1.3482000000000001E-5</v>
      </c>
      <c r="L4" s="167">
        <v>5.1613999999999997E-5</v>
      </c>
      <c r="M4" s="167">
        <v>1.4820999999999999E-4</v>
      </c>
      <c r="N4" s="167">
        <v>3.0273000000000002E-4</v>
      </c>
    </row>
    <row r="5" spans="1:14" x14ac:dyDescent="0.35">
      <c r="B5" s="168" t="s">
        <v>84</v>
      </c>
      <c r="C5" s="167">
        <v>8.2633000000000005E-20</v>
      </c>
      <c r="D5" s="167">
        <v>1.0203E-14</v>
      </c>
      <c r="E5" s="167">
        <v>1.9244000000000002E-11</v>
      </c>
      <c r="F5" s="167">
        <v>3.4791000000000001E-9</v>
      </c>
      <c r="G5" s="167">
        <v>1.4992000000000001E-7</v>
      </c>
      <c r="H5" s="167">
        <v>2.5457999999999998E-6</v>
      </c>
      <c r="I5" s="167">
        <v>2.3031999999999999E-5</v>
      </c>
      <c r="J5" s="167">
        <v>1.3339E-4</v>
      </c>
      <c r="K5" s="167">
        <v>5.4830999999999999E-4</v>
      </c>
      <c r="L5" s="167">
        <v>1.6838000000000001E-3</v>
      </c>
      <c r="M5" s="167">
        <v>3.8706999999999999E-3</v>
      </c>
      <c r="N5" s="167">
        <v>6.1057000000000004E-3</v>
      </c>
    </row>
    <row r="6" spans="1:14" x14ac:dyDescent="0.35">
      <c r="B6" s="168" t="s">
        <v>85</v>
      </c>
      <c r="C6" s="167">
        <v>3.1684999999999997E-17</v>
      </c>
      <c r="D6" s="167">
        <v>5.6344999999999999E-13</v>
      </c>
      <c r="E6" s="167">
        <v>2.7175000000000002E-10</v>
      </c>
      <c r="F6" s="167">
        <v>1.7757000000000001E-8</v>
      </c>
      <c r="G6" s="167">
        <v>3.4676999999999997E-7</v>
      </c>
      <c r="H6" s="167">
        <v>3.1225000000000002E-6</v>
      </c>
      <c r="I6" s="167">
        <v>1.6796E-5</v>
      </c>
      <c r="J6" s="167">
        <v>6.2982000000000001E-5</v>
      </c>
      <c r="K6" s="167">
        <v>1.7830999999999999E-4</v>
      </c>
      <c r="L6" s="167">
        <v>3.9241999999999999E-4</v>
      </c>
      <c r="M6" s="167">
        <v>6.5547999999999995E-4</v>
      </c>
      <c r="N6" s="167">
        <v>7.3410000000000001E-4</v>
      </c>
    </row>
    <row r="7" spans="1:14" x14ac:dyDescent="0.35">
      <c r="B7" s="168" t="s">
        <v>88</v>
      </c>
      <c r="C7" s="167">
        <v>2.7152E-18</v>
      </c>
      <c r="D7" s="167">
        <v>8.4466000000000006E-14</v>
      </c>
      <c r="E7" s="167">
        <v>5.5912000000000002E-11</v>
      </c>
      <c r="F7" s="167">
        <v>4.4193000000000002E-9</v>
      </c>
      <c r="G7" s="167">
        <v>9.7182000000000003E-8</v>
      </c>
      <c r="H7" s="167">
        <v>9.4422000000000002E-7</v>
      </c>
      <c r="I7" s="167">
        <v>5.3391000000000003E-6</v>
      </c>
      <c r="J7" s="167">
        <v>2.0684999999999999E-5</v>
      </c>
      <c r="K7" s="167">
        <v>5.9579E-5</v>
      </c>
      <c r="L7" s="167">
        <v>1.3079000000000001E-4</v>
      </c>
      <c r="M7" s="167">
        <v>2.1085E-4</v>
      </c>
      <c r="N7" s="167">
        <v>2.1446E-4</v>
      </c>
    </row>
    <row r="8" spans="1:14" x14ac:dyDescent="0.35">
      <c r="B8" s="168" t="s">
        <v>86</v>
      </c>
      <c r="C8" s="167">
        <v>4.8741E-20</v>
      </c>
      <c r="D8" s="167">
        <v>2.3718E-15</v>
      </c>
      <c r="E8" s="167">
        <v>2.0001999999999999E-12</v>
      </c>
      <c r="F8" s="167">
        <v>1.8133000000000001E-10</v>
      </c>
      <c r="G8" s="167">
        <v>4.3148999999999996E-9</v>
      </c>
      <c r="H8" s="167">
        <v>4.3858000000000001E-8</v>
      </c>
      <c r="I8" s="167">
        <v>2.5432000000000002E-7</v>
      </c>
      <c r="J8" s="167">
        <v>9.9755999999999994E-7</v>
      </c>
      <c r="K8" s="167">
        <v>2.8744E-6</v>
      </c>
      <c r="L8" s="167">
        <v>6.2053999999999999E-6</v>
      </c>
      <c r="M8" s="167">
        <v>9.5367999999999999E-6</v>
      </c>
      <c r="N8" s="167">
        <v>8.7167999999999993E-6</v>
      </c>
    </row>
    <row r="9" spans="1:14" x14ac:dyDescent="0.35">
      <c r="B9" s="168" t="s">
        <v>87</v>
      </c>
      <c r="C9" s="167">
        <v>3.8015999999999999E-20</v>
      </c>
      <c r="D9" s="167">
        <v>4.4898999999999999E-15</v>
      </c>
      <c r="E9" s="167">
        <v>1.0202999999999999E-11</v>
      </c>
      <c r="F9" s="167">
        <v>2.4183999999999998E-9</v>
      </c>
      <c r="G9" s="167">
        <v>1.4000999999999999E-7</v>
      </c>
      <c r="H9" s="167">
        <v>3.1868000000000001E-6</v>
      </c>
      <c r="I9" s="167">
        <v>3.8056000000000003E-5</v>
      </c>
      <c r="J9" s="167">
        <v>2.8582E-4</v>
      </c>
      <c r="K9" s="167">
        <v>1.5125E-3</v>
      </c>
      <c r="L9" s="167">
        <v>6.0857999999999997E-3</v>
      </c>
      <c r="M9" s="167">
        <v>1.9578000000000002E-2</v>
      </c>
      <c r="N9" s="167">
        <v>5.0479999999999997E-2</v>
      </c>
    </row>
    <row r="10" spans="1:14" x14ac:dyDescent="0.35">
      <c r="B10" s="168" t="s">
        <v>2</v>
      </c>
      <c r="C10" s="167">
        <v>0</v>
      </c>
      <c r="D10" s="167">
        <v>5.7083999999999999E-31</v>
      </c>
      <c r="E10" s="167">
        <v>3.8902999999999999E-25</v>
      </c>
      <c r="F10" s="167">
        <v>5.8614000000000001E-21</v>
      </c>
      <c r="G10" s="167">
        <v>8.0426999999999996E-18</v>
      </c>
      <c r="H10" s="167">
        <v>2.2259000000000001E-15</v>
      </c>
      <c r="I10" s="167">
        <v>2.0128999999999999E-13</v>
      </c>
      <c r="J10" s="167">
        <v>8.0862E-12</v>
      </c>
      <c r="K10" s="167">
        <v>1.7658E-10</v>
      </c>
      <c r="L10" s="167">
        <v>2.4185999999999999E-9</v>
      </c>
      <c r="M10" s="167">
        <v>2.3157E-8</v>
      </c>
      <c r="N10" s="167">
        <v>1.6509E-7</v>
      </c>
    </row>
    <row r="11" spans="1:14" x14ac:dyDescent="0.35">
      <c r="B11" s="168" t="s">
        <v>71</v>
      </c>
      <c r="C11" s="167">
        <v>5.0018E-12</v>
      </c>
      <c r="D11" s="167">
        <v>5.1719999999999999E-9</v>
      </c>
      <c r="E11" s="167">
        <v>4.7672E-7</v>
      </c>
      <c r="F11" s="167">
        <v>1.1173E-5</v>
      </c>
      <c r="G11" s="167">
        <v>1.1153E-4</v>
      </c>
      <c r="H11" s="167">
        <v>6.1563000000000004E-4</v>
      </c>
      <c r="I11" s="167">
        <v>2.1047000000000001E-3</v>
      </c>
      <c r="J11" s="167">
        <v>4.7291E-3</v>
      </c>
      <c r="K11" s="167">
        <v>7.7929999999999996E-3</v>
      </c>
      <c r="L11" s="167">
        <v>1.0592000000000001E-2</v>
      </c>
      <c r="M11" s="167">
        <v>1.2978999999999999E-2</v>
      </c>
      <c r="N11" s="167">
        <v>1.4978E-2</v>
      </c>
    </row>
    <row r="12" spans="1:14" x14ac:dyDescent="0.35">
      <c r="B12" s="168" t="s">
        <v>1</v>
      </c>
      <c r="C12" s="167">
        <v>0.2</v>
      </c>
      <c r="D12" s="167">
        <v>0.2</v>
      </c>
      <c r="E12" s="167">
        <v>0.2</v>
      </c>
      <c r="F12" s="167">
        <v>0.2</v>
      </c>
      <c r="G12" s="167">
        <v>0.2</v>
      </c>
      <c r="H12" s="167">
        <v>0.2</v>
      </c>
      <c r="I12" s="167">
        <v>0.2</v>
      </c>
      <c r="J12" s="167">
        <v>0.2</v>
      </c>
      <c r="K12" s="167">
        <v>0.2</v>
      </c>
      <c r="L12" s="167">
        <v>0.2</v>
      </c>
      <c r="M12" s="167">
        <v>0.2</v>
      </c>
      <c r="N12" s="167">
        <v>0.2</v>
      </c>
    </row>
    <row r="13" spans="1:14" x14ac:dyDescent="0.35">
      <c r="B13" s="168" t="s">
        <v>78</v>
      </c>
      <c r="C13" s="167">
        <v>0.04</v>
      </c>
      <c r="D13" s="167">
        <v>0.04</v>
      </c>
      <c r="E13" s="167">
        <v>3.9999E-2</v>
      </c>
      <c r="F13" s="167">
        <v>3.9978E-2</v>
      </c>
      <c r="G13" s="167">
        <v>3.9777E-2</v>
      </c>
      <c r="H13" s="167">
        <v>3.8768999999999998E-2</v>
      </c>
      <c r="I13" s="167">
        <v>3.5791000000000003E-2</v>
      </c>
      <c r="J13" s="167">
        <v>3.0542E-2</v>
      </c>
      <c r="K13" s="167">
        <v>2.4414000000000002E-2</v>
      </c>
      <c r="L13" s="167">
        <v>1.8815999999999999E-2</v>
      </c>
      <c r="M13" s="167">
        <v>1.4041E-2</v>
      </c>
      <c r="N13" s="167">
        <v>1.0044000000000001E-2</v>
      </c>
    </row>
    <row r="14" spans="1:14" x14ac:dyDescent="0.35">
      <c r="B14" s="168" t="s">
        <v>79</v>
      </c>
      <c r="C14" s="167">
        <v>0.28000000000000003</v>
      </c>
      <c r="D14" s="167">
        <v>0.28000000000000003</v>
      </c>
      <c r="E14" s="167">
        <v>0.28000000000000003</v>
      </c>
      <c r="F14" s="167">
        <v>0.28000000000000003</v>
      </c>
      <c r="G14" s="167">
        <v>0.28000000000000003</v>
      </c>
      <c r="H14" s="167">
        <v>0.28000000000000003</v>
      </c>
      <c r="I14" s="167">
        <v>0.28000000000000003</v>
      </c>
      <c r="J14" s="167">
        <v>0.28000000000000003</v>
      </c>
      <c r="K14" s="167">
        <v>0.28000000000000003</v>
      </c>
      <c r="L14" s="167">
        <v>0.28000000000000003</v>
      </c>
      <c r="M14" s="167">
        <v>0.28000000000000003</v>
      </c>
      <c r="N14" s="167">
        <v>0.28000000000000003</v>
      </c>
    </row>
    <row r="15" spans="1:14" x14ac:dyDescent="0.35">
      <c r="B15" s="168" t="s">
        <v>80</v>
      </c>
      <c r="C15" s="167">
        <v>0.48</v>
      </c>
      <c r="D15" s="167">
        <v>0.48</v>
      </c>
      <c r="E15" s="167">
        <v>0.48</v>
      </c>
      <c r="F15" s="167">
        <v>0.47999000000000003</v>
      </c>
      <c r="G15" s="167">
        <v>0.47987999999999997</v>
      </c>
      <c r="H15" s="167">
        <v>0.47933999999999999</v>
      </c>
      <c r="I15" s="167">
        <v>0.47755999999999998</v>
      </c>
      <c r="J15" s="167">
        <v>0.47348000000000001</v>
      </c>
      <c r="K15" s="167">
        <v>0.46479999999999999</v>
      </c>
      <c r="L15" s="167">
        <v>0.44491999999999998</v>
      </c>
      <c r="M15" s="167">
        <v>0.40106000000000003</v>
      </c>
      <c r="N15" s="167">
        <v>0.32258999999999999</v>
      </c>
    </row>
    <row r="16" spans="1:14" x14ac:dyDescent="0.35">
      <c r="B16" s="168" t="s">
        <v>28</v>
      </c>
      <c r="C16" s="167">
        <v>-18.62</v>
      </c>
      <c r="D16" s="167">
        <v>-18.63</v>
      </c>
      <c r="E16" s="167">
        <v>-18.72</v>
      </c>
      <c r="F16" s="167">
        <v>-18.84</v>
      </c>
      <c r="G16" s="167">
        <v>-18.97</v>
      </c>
      <c r="H16" s="167">
        <v>-19.11</v>
      </c>
      <c r="I16" s="167">
        <v>-19.260000000000002</v>
      </c>
      <c r="J16" s="167">
        <v>-19.41</v>
      </c>
      <c r="K16" s="167">
        <v>-19.559999999999999</v>
      </c>
      <c r="L16" s="167">
        <v>-19.73</v>
      </c>
      <c r="M16" s="167">
        <v>-19.940000000000001</v>
      </c>
      <c r="N16" s="167">
        <v>-20.2</v>
      </c>
    </row>
    <row r="17" spans="1:14" x14ac:dyDescent="0.35">
      <c r="B17" s="168" t="s">
        <v>5</v>
      </c>
      <c r="C17" s="167">
        <v>-7.6630000000000003</v>
      </c>
      <c r="D17" s="167">
        <v>-8.1549999999999994</v>
      </c>
      <c r="E17" s="167">
        <v>-8.5950000000000006</v>
      </c>
      <c r="F17" s="167">
        <v>-8.9879999999999995</v>
      </c>
      <c r="G17" s="167">
        <v>-9.3450000000000006</v>
      </c>
      <c r="H17" s="167">
        <v>-9.6869999999999994</v>
      </c>
      <c r="I17" s="167">
        <v>-10.050000000000001</v>
      </c>
      <c r="J17" s="167">
        <v>-10.47</v>
      </c>
      <c r="K17" s="167">
        <v>-10.92</v>
      </c>
      <c r="L17" s="167">
        <v>-11.37</v>
      </c>
      <c r="M17" s="167">
        <v>-11.81</v>
      </c>
      <c r="N17" s="167">
        <v>-12.22</v>
      </c>
    </row>
    <row r="18" spans="1:14" x14ac:dyDescent="0.35">
      <c r="B18" s="168" t="s">
        <v>6</v>
      </c>
      <c r="C18" s="167">
        <v>7.5119999999999996</v>
      </c>
      <c r="D18" s="167">
        <v>4.4539999999999997</v>
      </c>
      <c r="E18" s="167">
        <v>2.2879999999999998</v>
      </c>
      <c r="F18" s="167">
        <v>0.65210000000000001</v>
      </c>
      <c r="G18" s="167">
        <v>-0.63829999999999998</v>
      </c>
      <c r="H18" s="167">
        <v>-1.6890000000000001</v>
      </c>
      <c r="I18" s="167">
        <v>-2.5640000000000001</v>
      </c>
      <c r="J18" s="167">
        <v>-3.3050000000000002</v>
      </c>
      <c r="K18" s="167">
        <v>-3.9390000000000001</v>
      </c>
      <c r="L18" s="167">
        <v>-4.4790000000000001</v>
      </c>
      <c r="M18" s="167">
        <v>-4.9219999999999997</v>
      </c>
      <c r="N18" s="167">
        <v>-5.2549999999999999</v>
      </c>
    </row>
    <row r="19" spans="1:14" x14ac:dyDescent="0.35">
      <c r="B19" s="168" t="s">
        <v>7</v>
      </c>
      <c r="C19" s="167">
        <v>-4.7</v>
      </c>
      <c r="D19" s="167">
        <v>-5.0519999999999996</v>
      </c>
      <c r="E19" s="167">
        <v>-5.4409999999999998</v>
      </c>
      <c r="F19" s="167">
        <v>-5.8239999999999998</v>
      </c>
      <c r="G19" s="167">
        <v>-6.1890000000000001</v>
      </c>
      <c r="H19" s="167">
        <v>-6.53</v>
      </c>
      <c r="I19" s="167">
        <v>-6.8470000000000004</v>
      </c>
      <c r="J19" s="167">
        <v>-7.1420000000000003</v>
      </c>
      <c r="K19" s="167">
        <v>-7.42</v>
      </c>
      <c r="L19" s="167">
        <v>-7.6909999999999998</v>
      </c>
      <c r="M19" s="167">
        <v>-7.9740000000000002</v>
      </c>
      <c r="N19" s="167">
        <v>-8.298</v>
      </c>
    </row>
    <row r="20" spans="1:14" x14ac:dyDescent="0.35">
      <c r="B20" s="168" t="s">
        <v>50</v>
      </c>
      <c r="C20" s="167">
        <v>0.2</v>
      </c>
      <c r="D20" s="167">
        <v>0.2</v>
      </c>
      <c r="E20" s="167">
        <v>0.2</v>
      </c>
      <c r="F20" s="167">
        <v>0.20000999999999999</v>
      </c>
      <c r="G20" s="167">
        <v>0.20011000000000001</v>
      </c>
      <c r="H20" s="167">
        <v>0.20063</v>
      </c>
      <c r="I20" s="167">
        <v>0.20219000000000001</v>
      </c>
      <c r="J20" s="167">
        <v>0.20524000000000001</v>
      </c>
      <c r="K20" s="167">
        <v>0.21013000000000001</v>
      </c>
      <c r="L20" s="167">
        <v>0.21906999999999999</v>
      </c>
      <c r="M20" s="167">
        <v>0.23791000000000001</v>
      </c>
      <c r="N20" s="167">
        <v>0.27407999999999999</v>
      </c>
    </row>
    <row r="22" spans="1:14" x14ac:dyDescent="0.35">
      <c r="A22" t="e">
        <f>$A$1:$AZ$21</f>
        <v>#VALUE!</v>
      </c>
    </row>
  </sheetData>
  <conditionalFormatting sqref="A1:Z1 A2:A21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9421F-2E5A-4B99-BEF4-769185B70690}">
  <sheetPr codeName="Лист7"/>
  <dimension ref="A1:AH31"/>
  <sheetViews>
    <sheetView topLeftCell="E1" zoomScale="115" zoomScaleNormal="115" workbookViewId="0">
      <selection activeCell="A26" sqref="A1:AH26"/>
    </sheetView>
  </sheetViews>
  <sheetFormatPr defaultColWidth="4.81640625" defaultRowHeight="21" x14ac:dyDescent="0.35"/>
  <sheetData>
    <row r="1" spans="1:34" x14ac:dyDescent="0.35">
      <c r="A1" s="87" t="s">
        <v>43</v>
      </c>
      <c r="B1" s="88">
        <v>273.10000000000002</v>
      </c>
      <c r="C1" s="88">
        <v>289.7</v>
      </c>
      <c r="D1" s="88">
        <v>306.2</v>
      </c>
      <c r="E1" s="88">
        <v>322.7</v>
      </c>
      <c r="F1" s="88">
        <v>339.2</v>
      </c>
      <c r="G1" s="88">
        <v>405.3</v>
      </c>
      <c r="H1" s="88">
        <v>421.8</v>
      </c>
      <c r="I1" s="88">
        <v>438.3</v>
      </c>
      <c r="J1" s="88">
        <v>454.9</v>
      </c>
      <c r="K1" s="88">
        <v>471.4</v>
      </c>
      <c r="L1" s="88">
        <v>487.9</v>
      </c>
      <c r="M1" s="88">
        <v>504.4</v>
      </c>
      <c r="N1" s="88">
        <v>520.9</v>
      </c>
      <c r="O1" s="88">
        <v>537.5</v>
      </c>
      <c r="P1" s="89">
        <v>554</v>
      </c>
      <c r="Q1" s="88">
        <v>570.5</v>
      </c>
      <c r="R1" s="89">
        <v>587</v>
      </c>
      <c r="S1" s="88">
        <v>603.5</v>
      </c>
      <c r="T1" s="88">
        <v>620.1</v>
      </c>
      <c r="U1" s="88">
        <v>636.6</v>
      </c>
      <c r="V1" s="88">
        <v>653.1</v>
      </c>
      <c r="W1" s="88">
        <v>669.6</v>
      </c>
      <c r="X1" s="88">
        <v>735.7</v>
      </c>
      <c r="Y1" s="88">
        <v>801.8</v>
      </c>
      <c r="Z1" s="88">
        <v>818.3</v>
      </c>
      <c r="AA1" s="88">
        <v>834.8</v>
      </c>
      <c r="AB1" s="88">
        <v>851.3</v>
      </c>
      <c r="AC1" s="88">
        <v>867.8</v>
      </c>
      <c r="AD1" s="88">
        <v>884.4</v>
      </c>
      <c r="AE1" s="88">
        <v>900.9</v>
      </c>
      <c r="AF1" s="88">
        <v>917.4</v>
      </c>
      <c r="AG1" s="88">
        <v>933.9</v>
      </c>
      <c r="AH1" s="88">
        <v>1000</v>
      </c>
    </row>
    <row r="2" spans="1:34" x14ac:dyDescent="0.35">
      <c r="A2" s="90" t="s">
        <v>41</v>
      </c>
      <c r="B2" s="101">
        <v>2.9827000000000001E-9</v>
      </c>
      <c r="C2" s="102">
        <v>5.4655999999999998E-9</v>
      </c>
      <c r="D2" s="102">
        <v>8.6291999999999999E-9</v>
      </c>
      <c r="E2" s="103">
        <v>1.5218000000000001E-8</v>
      </c>
      <c r="F2" s="104">
        <v>2.2297999999999999E-8</v>
      </c>
      <c r="G2" s="104">
        <v>3.6994E-8</v>
      </c>
      <c r="H2" s="101">
        <v>2.3000000000000001E-8</v>
      </c>
      <c r="I2" s="102">
        <v>1.1274000000000001E-8</v>
      </c>
      <c r="J2" s="102">
        <v>3.6984E-9</v>
      </c>
      <c r="K2" s="101">
        <v>4.7711999999999997E-12</v>
      </c>
      <c r="L2" s="102">
        <v>7.1197000000000007E-18</v>
      </c>
      <c r="M2" s="102">
        <v>5.4020999999999997E-25</v>
      </c>
      <c r="N2" s="103">
        <v>1.4035000000000001E-32</v>
      </c>
      <c r="O2" s="104">
        <v>0</v>
      </c>
      <c r="P2" s="93">
        <v>0</v>
      </c>
      <c r="Q2" s="93">
        <v>0</v>
      </c>
      <c r="R2" s="93">
        <v>0</v>
      </c>
      <c r="S2" s="93">
        <v>0</v>
      </c>
      <c r="T2" s="93">
        <v>0</v>
      </c>
      <c r="U2" s="93">
        <v>0</v>
      </c>
      <c r="V2" s="93">
        <v>0</v>
      </c>
      <c r="W2" s="93">
        <v>0</v>
      </c>
      <c r="X2" s="93">
        <v>0</v>
      </c>
      <c r="Y2" s="93">
        <v>0</v>
      </c>
      <c r="Z2" s="93">
        <v>0</v>
      </c>
      <c r="AA2" s="93">
        <v>0</v>
      </c>
      <c r="AB2" s="93">
        <v>0</v>
      </c>
      <c r="AC2" s="93">
        <v>0</v>
      </c>
      <c r="AD2" s="93">
        <v>0</v>
      </c>
      <c r="AE2" s="93">
        <v>0</v>
      </c>
      <c r="AF2" s="93">
        <v>0</v>
      </c>
      <c r="AG2" s="93">
        <v>0</v>
      </c>
      <c r="AH2" s="93">
        <v>0</v>
      </c>
    </row>
    <row r="3" spans="1:34" x14ac:dyDescent="0.35">
      <c r="A3" s="87" t="s">
        <v>53</v>
      </c>
      <c r="B3" s="105">
        <v>0</v>
      </c>
      <c r="C3" s="106">
        <v>0</v>
      </c>
      <c r="D3" s="106">
        <v>0</v>
      </c>
      <c r="E3" s="105">
        <v>0</v>
      </c>
      <c r="F3" s="106">
        <v>0</v>
      </c>
      <c r="G3" s="106">
        <v>0</v>
      </c>
      <c r="H3" s="105">
        <v>0</v>
      </c>
      <c r="I3" s="106">
        <v>0</v>
      </c>
      <c r="J3" s="106">
        <v>0</v>
      </c>
      <c r="K3" s="105">
        <v>0</v>
      </c>
      <c r="L3" s="106">
        <v>0</v>
      </c>
      <c r="M3" s="106">
        <v>0</v>
      </c>
      <c r="N3" s="105">
        <v>0</v>
      </c>
      <c r="O3" s="106">
        <v>0</v>
      </c>
      <c r="P3" s="106">
        <v>0</v>
      </c>
      <c r="Q3" s="105">
        <v>0</v>
      </c>
      <c r="R3" s="106">
        <v>0</v>
      </c>
      <c r="S3" s="106">
        <v>0</v>
      </c>
      <c r="T3" s="105">
        <v>0</v>
      </c>
      <c r="U3" s="106">
        <v>0</v>
      </c>
      <c r="V3" s="106">
        <v>0</v>
      </c>
      <c r="W3" s="105">
        <v>0</v>
      </c>
      <c r="X3" s="106">
        <v>0</v>
      </c>
      <c r="Y3" s="106">
        <v>6.1428999999999998E-28</v>
      </c>
      <c r="Z3" s="105">
        <v>1.8061E-22</v>
      </c>
      <c r="AA3" s="106">
        <v>2.1782E-17</v>
      </c>
      <c r="AB3" s="106">
        <v>1.0454999999999999E-12</v>
      </c>
      <c r="AC3" s="107">
        <v>5.7881999999999997E-10</v>
      </c>
      <c r="AD3" s="108">
        <v>1.8897999999999999E-7</v>
      </c>
      <c r="AE3" s="108">
        <v>6.7478E-6</v>
      </c>
      <c r="AF3" s="107">
        <v>5.5303999999999996E-6</v>
      </c>
      <c r="AG3" s="108">
        <v>4.3992000000000002E-6</v>
      </c>
      <c r="AH3" s="108">
        <v>2.1291999999999999E-6</v>
      </c>
    </row>
    <row r="4" spans="1:34" x14ac:dyDescent="0.35">
      <c r="A4" s="87" t="s">
        <v>42</v>
      </c>
      <c r="B4" s="105">
        <v>0</v>
      </c>
      <c r="C4" s="106">
        <v>0</v>
      </c>
      <c r="D4" s="106">
        <v>5.8711000000000001E-31</v>
      </c>
      <c r="E4" s="107">
        <v>6.2772999999999996E-25</v>
      </c>
      <c r="F4" s="108">
        <v>8.6447999999999994E-22</v>
      </c>
      <c r="G4" s="108">
        <v>2.0010999999999999E-17</v>
      </c>
      <c r="H4" s="107">
        <v>7.7615999999999997E-16</v>
      </c>
      <c r="I4" s="108">
        <v>3.5560999999999999E-13</v>
      </c>
      <c r="J4" s="108">
        <v>4.4159000000000002E-10</v>
      </c>
      <c r="K4" s="107">
        <v>5.0248000000000003E-9</v>
      </c>
      <c r="L4" s="108">
        <v>6.2596000000000002E-9</v>
      </c>
      <c r="M4" s="108">
        <v>1.0265E-8</v>
      </c>
      <c r="N4" s="107">
        <v>2.1635999999999999E-8</v>
      </c>
      <c r="O4" s="108">
        <v>1.5935E-8</v>
      </c>
      <c r="P4" s="108">
        <v>2.6362000000000001E-8</v>
      </c>
      <c r="Q4" s="107">
        <v>2.0599000000000001E-8</v>
      </c>
      <c r="R4" s="108">
        <v>2.3733000000000001E-8</v>
      </c>
      <c r="S4" s="108">
        <v>2.3631999999999999E-8</v>
      </c>
      <c r="T4" s="107">
        <v>2.2979E-8</v>
      </c>
      <c r="U4" s="108">
        <v>2.3184999999999999E-8</v>
      </c>
      <c r="V4" s="108">
        <v>2.3359000000000001E-8</v>
      </c>
      <c r="W4" s="107">
        <v>2.4491999999999999E-8</v>
      </c>
      <c r="X4" s="108">
        <v>3.1211000000000001E-8</v>
      </c>
      <c r="Y4" s="108">
        <v>3.2555000000000003E-8</v>
      </c>
      <c r="Z4" s="107">
        <v>3.2135999999999997E-8</v>
      </c>
      <c r="AA4" s="108">
        <v>3.1651999999999998E-8</v>
      </c>
      <c r="AB4" s="108">
        <v>3.1298E-8</v>
      </c>
      <c r="AC4" s="107">
        <v>1.2007000000000001E-10</v>
      </c>
      <c r="AD4" s="108">
        <v>1.5713E-29</v>
      </c>
      <c r="AE4" s="108">
        <v>1.8893E-29</v>
      </c>
      <c r="AF4" s="107">
        <v>3.5658999999999998E-30</v>
      </c>
      <c r="AG4" s="108">
        <v>2.3366000000000001E-29</v>
      </c>
      <c r="AH4" s="108">
        <v>4.121E-23</v>
      </c>
    </row>
    <row r="5" spans="1:34" x14ac:dyDescent="0.35">
      <c r="A5" s="91" t="s">
        <v>73</v>
      </c>
      <c r="B5" s="107">
        <v>1.4458999999999999E-9</v>
      </c>
      <c r="C5" s="108">
        <v>2.5027000000000001E-10</v>
      </c>
      <c r="D5" s="108">
        <v>1.1699000000000001E-12</v>
      </c>
      <c r="E5" s="107">
        <v>1.2121E-17</v>
      </c>
      <c r="F5" s="108">
        <v>2.3451999999999999E-26</v>
      </c>
      <c r="G5" s="108">
        <v>0</v>
      </c>
      <c r="H5" s="107">
        <v>0</v>
      </c>
      <c r="I5" s="108">
        <v>0</v>
      </c>
      <c r="J5" s="108">
        <v>0</v>
      </c>
      <c r="K5" s="107">
        <v>0</v>
      </c>
      <c r="L5" s="108">
        <v>0</v>
      </c>
      <c r="M5" s="108">
        <v>0</v>
      </c>
      <c r="N5" s="107">
        <v>0</v>
      </c>
      <c r="O5" s="108">
        <v>0</v>
      </c>
      <c r="P5" s="108">
        <v>0</v>
      </c>
      <c r="Q5" s="107">
        <v>0</v>
      </c>
      <c r="R5" s="108">
        <v>0</v>
      </c>
      <c r="S5" s="108">
        <v>0</v>
      </c>
      <c r="T5" s="107">
        <v>0</v>
      </c>
      <c r="U5" s="108">
        <v>0</v>
      </c>
      <c r="V5" s="108">
        <v>0</v>
      </c>
      <c r="W5" s="107">
        <v>0</v>
      </c>
      <c r="X5" s="108">
        <v>0</v>
      </c>
      <c r="Y5" s="108">
        <v>0</v>
      </c>
      <c r="Z5" s="107">
        <v>0</v>
      </c>
      <c r="AA5" s="108">
        <v>0</v>
      </c>
      <c r="AB5" s="108">
        <v>0</v>
      </c>
      <c r="AC5" s="107">
        <v>0</v>
      </c>
      <c r="AD5" s="108">
        <v>0</v>
      </c>
      <c r="AE5" s="108">
        <v>0</v>
      </c>
      <c r="AF5" s="107">
        <v>0</v>
      </c>
      <c r="AG5" s="108">
        <v>0</v>
      </c>
      <c r="AH5" s="108">
        <v>0</v>
      </c>
    </row>
    <row r="6" spans="1:34" x14ac:dyDescent="0.35">
      <c r="A6" s="91" t="s">
        <v>44</v>
      </c>
      <c r="B6" s="107">
        <v>8.2921999999999996E-3</v>
      </c>
      <c r="C6" s="108">
        <v>8.1940999999999993E-3</v>
      </c>
      <c r="D6" s="108">
        <v>7.9570000000000005E-3</v>
      </c>
      <c r="E6" s="107">
        <v>7.561E-3</v>
      </c>
      <c r="F6" s="108">
        <v>7.1253000000000002E-3</v>
      </c>
      <c r="G6" s="108">
        <v>6.4335E-3</v>
      </c>
      <c r="H6" s="107">
        <v>6.3306999999999999E-3</v>
      </c>
      <c r="I6" s="108">
        <v>6.1551000000000002E-3</v>
      </c>
      <c r="J6" s="108">
        <v>5.8837000000000004E-3</v>
      </c>
      <c r="K6" s="107">
        <v>5.5401000000000001E-3</v>
      </c>
      <c r="L6" s="108">
        <v>5.1904000000000004E-3</v>
      </c>
      <c r="M6" s="108">
        <v>4.9026E-3</v>
      </c>
      <c r="N6" s="107">
        <v>4.7057999999999996E-3</v>
      </c>
      <c r="O6" s="108">
        <v>4.5878999999999998E-3</v>
      </c>
      <c r="P6" s="108">
        <v>4.5222999999999999E-3</v>
      </c>
      <c r="Q6" s="107">
        <v>4.4869000000000003E-3</v>
      </c>
      <c r="R6" s="108">
        <v>4.4676999999999998E-3</v>
      </c>
      <c r="S6" s="108">
        <v>4.4561999999999996E-3</v>
      </c>
      <c r="T6" s="107">
        <v>4.4453000000000001E-3</v>
      </c>
      <c r="U6" s="108">
        <v>4.4216000000000004E-3</v>
      </c>
      <c r="V6" s="108">
        <v>4.3454000000000001E-3</v>
      </c>
      <c r="W6" s="107">
        <v>4.1025999999999996E-3</v>
      </c>
      <c r="X6" s="108">
        <v>4.5949000000000001E-4</v>
      </c>
      <c r="Y6" s="108">
        <v>7.2798000000000002E-6</v>
      </c>
      <c r="Z6" s="107">
        <v>2.5911999999999999E-6</v>
      </c>
      <c r="AA6" s="108">
        <v>9.2691999999999999E-7</v>
      </c>
      <c r="AB6" s="108">
        <v>3.3339E-7</v>
      </c>
      <c r="AC6" s="107">
        <v>1.2088000000000001E-7</v>
      </c>
      <c r="AD6" s="108">
        <v>4.3569999999999999E-8</v>
      </c>
      <c r="AE6" s="108">
        <v>9.6765999999999994E-9</v>
      </c>
      <c r="AF6" s="107">
        <v>2.1810999999999998E-9</v>
      </c>
      <c r="AG6" s="108">
        <v>5.0700000000000001E-10</v>
      </c>
      <c r="AH6" s="108">
        <v>2.0327E-12</v>
      </c>
    </row>
    <row r="7" spans="1:34" x14ac:dyDescent="0.35">
      <c r="A7" s="87" t="s">
        <v>45</v>
      </c>
      <c r="B7" s="105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7.4465000000000001E-35</v>
      </c>
      <c r="K7" s="107">
        <v>9.0942999999999997E-33</v>
      </c>
      <c r="L7" s="108">
        <v>8.2290000000000008E-31</v>
      </c>
      <c r="M7" s="108">
        <v>5.9169000000000003E-29</v>
      </c>
      <c r="N7" s="107">
        <v>3.5006000000000002E-27</v>
      </c>
      <c r="O7" s="108">
        <v>1.7198000000000001E-25</v>
      </c>
      <c r="P7" s="108">
        <v>7.0269E-24</v>
      </c>
      <c r="Q7" s="107">
        <v>2.3967999999999999E-22</v>
      </c>
      <c r="R7" s="108">
        <v>6.8768000000000004E-21</v>
      </c>
      <c r="S7" s="108">
        <v>1.6759E-19</v>
      </c>
      <c r="T7" s="107">
        <v>3.5032999999999997E-18</v>
      </c>
      <c r="U7" s="108">
        <v>6.3313999999999995E-17</v>
      </c>
      <c r="V7" s="108">
        <v>9.8978000000000008E-16</v>
      </c>
      <c r="W7" s="107">
        <v>1.3115E-14</v>
      </c>
      <c r="X7" s="108">
        <v>1.8892E-11</v>
      </c>
      <c r="Y7" s="108">
        <v>9.9455999999999992E-10</v>
      </c>
      <c r="Z7" s="107">
        <v>2.2495000000000001E-9</v>
      </c>
      <c r="AA7" s="108">
        <v>4.7989E-9</v>
      </c>
      <c r="AB7" s="108">
        <v>9.6941999999999999E-9</v>
      </c>
      <c r="AC7" s="107">
        <v>1.8652000000000001E-8</v>
      </c>
      <c r="AD7" s="108">
        <v>3.3769000000000003E-8</v>
      </c>
      <c r="AE7" s="108">
        <v>3.4797999999999998E-8</v>
      </c>
      <c r="AF7" s="107">
        <v>3.5021E-8</v>
      </c>
      <c r="AG7" s="108">
        <v>3.4928E-8</v>
      </c>
      <c r="AH7" s="108">
        <v>3.2273000000000001E-8</v>
      </c>
    </row>
    <row r="8" spans="1:34" x14ac:dyDescent="0.35">
      <c r="A8" s="87" t="s">
        <v>4</v>
      </c>
      <c r="B8" s="105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8">
        <v>1.2616E-34</v>
      </c>
      <c r="M8" s="108">
        <v>7.1091E-33</v>
      </c>
      <c r="N8" s="107">
        <v>3.2809E-31</v>
      </c>
      <c r="O8" s="108">
        <v>1.2545E-29</v>
      </c>
      <c r="P8" s="108">
        <v>3.9983999999999998E-28</v>
      </c>
      <c r="Q8" s="107">
        <v>1.0702999999999999E-26</v>
      </c>
      <c r="R8" s="108">
        <v>2.4292999999999999E-25</v>
      </c>
      <c r="S8" s="108">
        <v>4.7242999999999998E-24</v>
      </c>
      <c r="T8" s="107">
        <v>7.9534999999999998E-23</v>
      </c>
      <c r="U8" s="108">
        <v>1.1693999999999999E-21</v>
      </c>
      <c r="V8" s="108">
        <v>1.5085999999999999E-20</v>
      </c>
      <c r="W8" s="107">
        <v>1.6962000000000001E-19</v>
      </c>
      <c r="X8" s="108">
        <v>3.6142999999999999E-16</v>
      </c>
      <c r="Y8" s="108">
        <v>8.1400999999999996E-14</v>
      </c>
      <c r="Z8" s="107">
        <v>2.6731E-13</v>
      </c>
      <c r="AA8" s="108">
        <v>8.2919000000000002E-13</v>
      </c>
      <c r="AB8" s="108">
        <v>2.4381999999999998E-12</v>
      </c>
      <c r="AC8" s="107">
        <v>6.8258000000000003E-12</v>
      </c>
      <c r="AD8" s="108">
        <v>1.8101E-11</v>
      </c>
      <c r="AE8" s="108">
        <v>3.5168999999999998E-11</v>
      </c>
      <c r="AF8" s="105">
        <v>6.6286000000000003E-11</v>
      </c>
      <c r="AG8" s="106">
        <v>1.221E-10</v>
      </c>
      <c r="AH8" s="106">
        <v>1.1423999999999999E-9</v>
      </c>
    </row>
    <row r="9" spans="1:34" x14ac:dyDescent="0.35">
      <c r="A9" s="87" t="s">
        <v>1</v>
      </c>
      <c r="B9" s="105">
        <v>0.2</v>
      </c>
      <c r="C9" s="106">
        <v>0.2</v>
      </c>
      <c r="D9" s="106">
        <v>0.2</v>
      </c>
      <c r="E9" s="105">
        <v>0.2</v>
      </c>
      <c r="F9" s="106">
        <v>0.2</v>
      </c>
      <c r="G9" s="106">
        <v>0.2</v>
      </c>
      <c r="H9" s="106">
        <v>0.2</v>
      </c>
      <c r="I9" s="106">
        <v>0.2</v>
      </c>
      <c r="J9" s="106">
        <v>0.2</v>
      </c>
      <c r="K9" s="106">
        <v>0.2</v>
      </c>
      <c r="L9" s="106">
        <v>0.2</v>
      </c>
      <c r="M9" s="106">
        <v>0.2</v>
      </c>
      <c r="N9" s="106">
        <v>0.2</v>
      </c>
      <c r="O9" s="106">
        <v>0.2</v>
      </c>
      <c r="P9" s="106">
        <v>0.2</v>
      </c>
      <c r="Q9" s="106">
        <v>0.2</v>
      </c>
      <c r="R9" s="106">
        <v>0.2</v>
      </c>
      <c r="S9" s="106">
        <v>0.2</v>
      </c>
      <c r="T9" s="106">
        <v>0.2</v>
      </c>
      <c r="U9" s="106">
        <v>0.2</v>
      </c>
      <c r="V9" s="106">
        <v>0.2</v>
      </c>
      <c r="W9" s="106">
        <v>0.2</v>
      </c>
      <c r="X9" s="106">
        <v>0.2</v>
      </c>
      <c r="Y9" s="106">
        <v>0.2</v>
      </c>
      <c r="Z9" s="106">
        <v>0.2</v>
      </c>
      <c r="AA9" s="106">
        <v>0.2</v>
      </c>
      <c r="AB9" s="106">
        <v>0.2</v>
      </c>
      <c r="AC9" s="106">
        <v>0.2</v>
      </c>
      <c r="AD9" s="106">
        <v>0.2</v>
      </c>
      <c r="AE9" s="106">
        <v>0.2</v>
      </c>
      <c r="AF9" s="106">
        <v>0.2</v>
      </c>
      <c r="AG9" s="106">
        <v>0.2</v>
      </c>
      <c r="AH9" s="106">
        <v>0.2</v>
      </c>
    </row>
    <row r="10" spans="1:34" x14ac:dyDescent="0.35">
      <c r="A10" s="91" t="s">
        <v>54</v>
      </c>
      <c r="B10" s="107">
        <v>0.13761999999999999</v>
      </c>
      <c r="C10" s="108">
        <v>0.13184000000000001</v>
      </c>
      <c r="D10" s="108">
        <v>0.1173</v>
      </c>
      <c r="E10" s="107">
        <v>9.0985999999999997E-2</v>
      </c>
      <c r="F10" s="108">
        <v>5.8673000000000003E-2</v>
      </c>
      <c r="G10" s="108">
        <v>3.5301E-3</v>
      </c>
      <c r="H10" s="107">
        <v>1.7362E-3</v>
      </c>
      <c r="I10" s="108">
        <v>8.7681E-4</v>
      </c>
      <c r="J10" s="108">
        <v>4.4354000000000003E-4</v>
      </c>
      <c r="K10" s="107">
        <v>2.1458999999999999E-4</v>
      </c>
      <c r="L10" s="108">
        <v>9.4772999999999995E-5</v>
      </c>
      <c r="M10" s="108">
        <v>3.7471000000000001E-5</v>
      </c>
      <c r="N10" s="107">
        <v>1.3517E-5</v>
      </c>
      <c r="O10" s="108">
        <v>4.6341999999999996E-6</v>
      </c>
      <c r="P10" s="108">
        <v>1.5689999999999999E-6</v>
      </c>
      <c r="Q10" s="105">
        <v>5.3781999999999998E-7</v>
      </c>
      <c r="R10" s="106">
        <v>1.8911999999999999E-7</v>
      </c>
      <c r="S10" s="106">
        <v>6.8608000000000001E-8</v>
      </c>
      <c r="T10" s="107">
        <v>2.5722E-8</v>
      </c>
      <c r="U10" s="108">
        <v>9.9647999999999993E-9</v>
      </c>
      <c r="V10" s="108">
        <v>3.9866999999999999E-9</v>
      </c>
      <c r="W10" s="107">
        <v>1.6471E-9</v>
      </c>
      <c r="X10" s="108">
        <v>6.4954000000000001E-11</v>
      </c>
      <c r="Y10" s="108">
        <v>3.496E-12</v>
      </c>
      <c r="Z10" s="107">
        <v>1.7611E-12</v>
      </c>
      <c r="AA10" s="108">
        <v>9.0203999999999996E-13</v>
      </c>
      <c r="AB10" s="108">
        <v>4.6937999999999996E-13</v>
      </c>
      <c r="AC10" s="107">
        <v>2.4795999999999999E-13</v>
      </c>
      <c r="AD10" s="108">
        <v>1.3305E-13</v>
      </c>
      <c r="AE10" s="108">
        <v>7.4307999999999995E-14</v>
      </c>
      <c r="AF10" s="107">
        <v>4.1655E-14</v>
      </c>
      <c r="AG10" s="108">
        <v>2.3510999999999999E-14</v>
      </c>
      <c r="AH10" s="108">
        <v>2.6029999999999999E-15</v>
      </c>
    </row>
    <row r="11" spans="1:34" x14ac:dyDescent="0.35">
      <c r="A11" s="91" t="s">
        <v>74</v>
      </c>
      <c r="B11" s="107">
        <v>0.14238000000000001</v>
      </c>
      <c r="C11" s="108">
        <v>0.14815</v>
      </c>
      <c r="D11" s="108">
        <v>0.16269</v>
      </c>
      <c r="E11" s="105">
        <v>0.189</v>
      </c>
      <c r="F11" s="106">
        <v>0.22128</v>
      </c>
      <c r="G11" s="106">
        <v>0.27118999999999999</v>
      </c>
      <c r="H11" s="105">
        <v>0.26468999999999998</v>
      </c>
      <c r="I11" s="106">
        <v>0.24837999999999999</v>
      </c>
      <c r="J11" s="106">
        <v>0.21926999999999999</v>
      </c>
      <c r="K11" s="105">
        <v>0.17757000000000001</v>
      </c>
      <c r="L11" s="106">
        <v>0.12916</v>
      </c>
      <c r="M11" s="106">
        <v>8.4039000000000003E-2</v>
      </c>
      <c r="N11" s="105">
        <v>4.9964000000000001E-2</v>
      </c>
      <c r="O11" s="106">
        <v>2.8131E-2</v>
      </c>
      <c r="P11" s="106">
        <v>1.5495999999999999E-2</v>
      </c>
      <c r="Q11" s="107">
        <v>8.5325999999999996E-3</v>
      </c>
      <c r="R11" s="108">
        <v>4.7505999999999998E-3</v>
      </c>
      <c r="S11" s="108">
        <v>2.6887999999999999E-3</v>
      </c>
      <c r="T11" s="107">
        <v>1.5502999999999999E-3</v>
      </c>
      <c r="U11" s="108">
        <v>9.1091999999999996E-4</v>
      </c>
      <c r="V11" s="108">
        <v>5.4536999999999999E-4</v>
      </c>
      <c r="W11" s="105">
        <v>3.3270000000000001E-4</v>
      </c>
      <c r="X11" s="106">
        <v>5.4917000000000003E-5</v>
      </c>
      <c r="Y11" s="106">
        <v>1.0937999999999999E-5</v>
      </c>
      <c r="Z11" s="105">
        <v>7.5044999999999999E-6</v>
      </c>
      <c r="AA11" s="106">
        <v>5.1990999999999999E-6</v>
      </c>
      <c r="AB11" s="106">
        <v>3.6355000000000002E-6</v>
      </c>
      <c r="AC11" s="105">
        <v>2.5647000000000002E-6</v>
      </c>
      <c r="AD11" s="106">
        <v>1.8256999999999999E-6</v>
      </c>
      <c r="AE11" s="106">
        <v>1.3259000000000001E-6</v>
      </c>
      <c r="AF11" s="105">
        <v>9.660599999999999E-7</v>
      </c>
      <c r="AG11" s="106">
        <v>7.0707999999999995E-7</v>
      </c>
      <c r="AH11" s="106">
        <v>2.1397999999999999E-7</v>
      </c>
    </row>
    <row r="12" spans="1:34" x14ac:dyDescent="0.35">
      <c r="A12" s="87" t="s">
        <v>55</v>
      </c>
      <c r="B12" s="105">
        <v>1.1708E-2</v>
      </c>
      <c r="C12" s="106">
        <v>1.1806000000000001E-2</v>
      </c>
      <c r="D12" s="106">
        <v>1.2043E-2</v>
      </c>
      <c r="E12" s="105">
        <v>1.2439E-2</v>
      </c>
      <c r="F12" s="106">
        <v>1.2874999999999999E-2</v>
      </c>
      <c r="G12" s="106">
        <v>1.3566999999999999E-2</v>
      </c>
      <c r="H12" s="105">
        <v>1.3669000000000001E-2</v>
      </c>
      <c r="I12" s="106">
        <v>1.3845E-2</v>
      </c>
      <c r="J12" s="106">
        <v>1.4116E-2</v>
      </c>
      <c r="K12" s="105">
        <v>1.4460000000000001E-2</v>
      </c>
      <c r="L12" s="106">
        <v>1.481E-2</v>
      </c>
      <c r="M12" s="106">
        <v>1.5096999999999999E-2</v>
      </c>
      <c r="N12" s="105">
        <v>1.5294E-2</v>
      </c>
      <c r="O12" s="106">
        <v>1.5412E-2</v>
      </c>
      <c r="P12" s="106">
        <v>1.5478E-2</v>
      </c>
      <c r="Q12" s="105">
        <v>1.5513000000000001E-2</v>
      </c>
      <c r="R12" s="106">
        <v>1.5531E-2</v>
      </c>
      <c r="S12" s="106">
        <v>1.5537E-2</v>
      </c>
      <c r="T12" s="105">
        <v>1.5526E-2</v>
      </c>
      <c r="U12" s="106">
        <v>1.5462999999999999E-2</v>
      </c>
      <c r="V12" s="106">
        <v>1.5226E-2</v>
      </c>
      <c r="W12" s="105">
        <v>1.4445E-2</v>
      </c>
      <c r="X12" s="106">
        <v>1.7378999999999999E-3</v>
      </c>
      <c r="Y12" s="106">
        <v>2.8085E-5</v>
      </c>
      <c r="Z12" s="105">
        <v>1.0037000000000001E-5</v>
      </c>
      <c r="AA12" s="106">
        <v>3.6059000000000001E-6</v>
      </c>
      <c r="AB12" s="106">
        <v>1.3024E-6</v>
      </c>
      <c r="AC12" s="105">
        <v>4.7406E-7</v>
      </c>
      <c r="AD12" s="106">
        <v>1.7140000000000001E-7</v>
      </c>
      <c r="AE12" s="106">
        <v>3.7789000000000002E-8</v>
      </c>
      <c r="AF12" s="105">
        <v>8.4633000000000007E-9</v>
      </c>
      <c r="AG12" s="106">
        <v>1.9569000000000001E-9</v>
      </c>
      <c r="AH12" s="106">
        <v>7.7382000000000003E-12</v>
      </c>
    </row>
    <row r="13" spans="1:34" x14ac:dyDescent="0.35">
      <c r="A13" s="87" t="s">
        <v>56</v>
      </c>
      <c r="B13" s="105">
        <v>7.5756000000000005E-29</v>
      </c>
      <c r="C13" s="106">
        <v>2.9401999999999999E-27</v>
      </c>
      <c r="D13" s="106">
        <v>9.9583000000000004E-26</v>
      </c>
      <c r="E13" s="105">
        <v>3.5787999999999998E-24</v>
      </c>
      <c r="F13" s="106">
        <v>1.4182000000000001E-22</v>
      </c>
      <c r="G13" s="106">
        <v>1.2896E-16</v>
      </c>
      <c r="H13" s="105">
        <v>2.2897000000000001E-15</v>
      </c>
      <c r="I13" s="106">
        <v>3.1573000000000001E-14</v>
      </c>
      <c r="J13" s="106">
        <v>3.4560000000000001E-13</v>
      </c>
      <c r="K13" s="105">
        <v>3.1638999999999999E-12</v>
      </c>
      <c r="L13" s="106">
        <v>2.5638999999999999E-11</v>
      </c>
      <c r="M13" s="106">
        <v>1.9056999999999999E-10</v>
      </c>
      <c r="N13" s="105">
        <v>1.3130999999999999E-9</v>
      </c>
      <c r="O13" s="106">
        <v>8.3702999999999995E-9</v>
      </c>
      <c r="P13" s="106">
        <v>4.9187999999999997E-8</v>
      </c>
      <c r="Q13" s="105">
        <v>2.664E-7</v>
      </c>
      <c r="R13" s="106">
        <v>1.3331E-6</v>
      </c>
      <c r="S13" s="106">
        <v>6.1879999999999999E-6</v>
      </c>
      <c r="T13" s="105">
        <v>2.6750999999999998E-5</v>
      </c>
      <c r="U13" s="106">
        <v>1.0794999999999999E-4</v>
      </c>
      <c r="V13" s="106">
        <v>4.0492000000000002E-4</v>
      </c>
      <c r="W13" s="105">
        <v>1.3795999999999999E-3</v>
      </c>
      <c r="X13" s="106">
        <v>1.6258999999999999E-2</v>
      </c>
      <c r="Y13" s="106">
        <v>1.4115000000000001E-2</v>
      </c>
      <c r="Z13" s="105">
        <v>1.2591E-2</v>
      </c>
      <c r="AA13" s="106">
        <v>1.0965000000000001E-2</v>
      </c>
      <c r="AB13" s="106">
        <v>9.3370999999999992E-3</v>
      </c>
      <c r="AC13" s="105">
        <v>7.8056000000000002E-3</v>
      </c>
      <c r="AD13" s="106">
        <v>6.3140999999999996E-3</v>
      </c>
      <c r="AE13" s="106">
        <v>2.9566000000000002E-3</v>
      </c>
      <c r="AF13" s="105">
        <v>1.3887999999999999E-3</v>
      </c>
      <c r="AG13" s="106">
        <v>6.6326999999999998E-4</v>
      </c>
      <c r="AH13" s="106">
        <v>4.0513999999999999E-5</v>
      </c>
    </row>
    <row r="14" spans="1:34" x14ac:dyDescent="0.35">
      <c r="A14" s="91" t="s">
        <v>57</v>
      </c>
      <c r="B14" s="107">
        <v>5.2854000000000005E-7</v>
      </c>
      <c r="C14" s="108">
        <v>1.1217E-6</v>
      </c>
      <c r="D14" s="108">
        <v>2.6616999999999999E-6</v>
      </c>
      <c r="E14" s="107">
        <v>7.6415999999999998E-6</v>
      </c>
      <c r="F14" s="108">
        <v>2.5486E-5</v>
      </c>
      <c r="G14" s="108">
        <v>2.6394000000000001E-3</v>
      </c>
      <c r="H14" s="107">
        <v>6.7882000000000003E-3</v>
      </c>
      <c r="I14" s="108">
        <v>1.537E-2</v>
      </c>
      <c r="J14" s="108">
        <v>3.0145000000000002E-2</v>
      </c>
      <c r="K14" s="107">
        <v>5.1109000000000002E-2</v>
      </c>
      <c r="L14" s="108">
        <v>7.5374999999999998E-2</v>
      </c>
      <c r="M14" s="108">
        <v>9.7961999999999994E-2</v>
      </c>
      <c r="N14" s="107">
        <v>0.11501</v>
      </c>
      <c r="O14" s="108">
        <v>0.12592999999999999</v>
      </c>
      <c r="P14" s="108">
        <v>0.13225000000000001</v>
      </c>
      <c r="Q14" s="107">
        <v>0.13572999999999999</v>
      </c>
      <c r="R14" s="108">
        <v>0.13761999999999999</v>
      </c>
      <c r="S14" s="108">
        <v>0.13866000000000001</v>
      </c>
      <c r="T14" s="107">
        <v>0.13922000000000001</v>
      </c>
      <c r="U14" s="108">
        <v>0.13954</v>
      </c>
      <c r="V14" s="108">
        <v>0.13972999999999999</v>
      </c>
      <c r="W14" s="107">
        <v>0.13983000000000001</v>
      </c>
      <c r="X14" s="108">
        <v>0.13997000000000001</v>
      </c>
      <c r="Y14" s="108">
        <v>0.13999</v>
      </c>
      <c r="Z14" s="107">
        <v>0.14000000000000001</v>
      </c>
      <c r="AA14" s="108">
        <v>0.14000000000000001</v>
      </c>
      <c r="AB14" s="108">
        <v>0.14000000000000001</v>
      </c>
      <c r="AC14" s="107">
        <v>0.14000000000000001</v>
      </c>
      <c r="AD14" s="108">
        <v>0.13999</v>
      </c>
      <c r="AE14" s="108">
        <v>0.13966999999999999</v>
      </c>
      <c r="AF14" s="107">
        <v>0.13941000000000001</v>
      </c>
      <c r="AG14" s="108">
        <v>0.13919000000000001</v>
      </c>
      <c r="AH14" s="108">
        <v>0.13839000000000001</v>
      </c>
    </row>
    <row r="15" spans="1:34" x14ac:dyDescent="0.35">
      <c r="A15" s="91" t="s">
        <v>58</v>
      </c>
      <c r="B15" s="107">
        <v>2.7998999999999999E-28</v>
      </c>
      <c r="C15" s="108">
        <v>1.0385999999999999E-26</v>
      </c>
      <c r="D15" s="108">
        <v>3.2712999999999998E-25</v>
      </c>
      <c r="E15" s="107">
        <v>1.026E-23</v>
      </c>
      <c r="F15" s="108">
        <v>3.2961E-22</v>
      </c>
      <c r="G15" s="108">
        <v>1.0036000000000001E-16</v>
      </c>
      <c r="H15" s="107">
        <v>1.4244E-15</v>
      </c>
      <c r="I15" s="108">
        <v>1.6396999999999999E-14</v>
      </c>
      <c r="J15" s="108">
        <v>1.5638000000000001E-13</v>
      </c>
      <c r="K15" s="107">
        <v>1.2856000000000001E-12</v>
      </c>
      <c r="L15" s="108">
        <v>9.4622000000000006E-12</v>
      </c>
      <c r="M15" s="108">
        <v>6.3634E-11</v>
      </c>
      <c r="N15" s="107">
        <v>3.9289000000000003E-10</v>
      </c>
      <c r="O15" s="108">
        <v>2.2262E-9</v>
      </c>
      <c r="P15" s="108">
        <v>1.1587E-8</v>
      </c>
      <c r="Q15" s="107">
        <v>5.5549000000000003E-8</v>
      </c>
      <c r="R15" s="108">
        <v>2.4629999999999998E-7</v>
      </c>
      <c r="S15" s="108">
        <v>1.0144E-6</v>
      </c>
      <c r="T15" s="107">
        <v>3.8963999999999997E-6</v>
      </c>
      <c r="U15" s="108">
        <v>1.3995999999999999E-5</v>
      </c>
      <c r="V15" s="108">
        <v>4.6999000000000002E-5</v>
      </c>
      <c r="W15" s="107">
        <v>1.4606999999999999E-4</v>
      </c>
      <c r="X15" s="108">
        <v>3.0864999999999998E-3</v>
      </c>
      <c r="Y15" s="108">
        <v>1.1698999999999999E-2</v>
      </c>
      <c r="Z15" s="105">
        <v>1.4792E-2</v>
      </c>
      <c r="AA15" s="106">
        <v>1.8062000000000002E-2</v>
      </c>
      <c r="AB15" s="106">
        <v>2.1322000000000001E-2</v>
      </c>
      <c r="AC15" s="105">
        <v>2.4386999999999999E-2</v>
      </c>
      <c r="AD15" s="106">
        <v>2.682E-2</v>
      </c>
      <c r="AE15" s="106">
        <v>2.1689E-2</v>
      </c>
      <c r="AF15" s="107">
        <v>1.7243999999999999E-2</v>
      </c>
      <c r="AG15" s="108">
        <v>1.3558000000000001E-2</v>
      </c>
      <c r="AH15" s="108">
        <v>4.5989000000000004E-3</v>
      </c>
    </row>
    <row r="16" spans="1:34" x14ac:dyDescent="0.35">
      <c r="A16" s="91" t="s">
        <v>59</v>
      </c>
      <c r="B16" s="107">
        <v>2.8265000000000001E-9</v>
      </c>
      <c r="C16" s="108">
        <v>8.0000999999999993E-9</v>
      </c>
      <c r="D16" s="108">
        <v>1.8224000000000002E-8</v>
      </c>
      <c r="E16" s="107">
        <v>3.2019999999999998E-8</v>
      </c>
      <c r="F16" s="108">
        <v>4.3060000000000003E-8</v>
      </c>
      <c r="G16" s="108">
        <v>3.1809999999999998E-8</v>
      </c>
      <c r="H16" s="107">
        <v>2.7503000000000001E-8</v>
      </c>
      <c r="I16" s="108">
        <v>2.4861E-8</v>
      </c>
      <c r="J16" s="108">
        <v>2.3668999999999998E-8</v>
      </c>
      <c r="K16" s="107">
        <v>2.3231999999999999E-8</v>
      </c>
      <c r="L16" s="108">
        <v>2.2659000000000001E-8</v>
      </c>
      <c r="M16" s="108">
        <v>2.1959999999999999E-8</v>
      </c>
      <c r="N16" s="107">
        <v>2.0686999999999999E-8</v>
      </c>
      <c r="O16" s="108">
        <v>1.8737999999999999E-8</v>
      </c>
      <c r="P16" s="108">
        <v>1.6546000000000001E-8</v>
      </c>
      <c r="Q16" s="107">
        <v>1.4403E-8</v>
      </c>
      <c r="R16" s="108">
        <v>1.2445E-8</v>
      </c>
      <c r="S16" s="108">
        <v>1.0713E-8</v>
      </c>
      <c r="T16" s="107">
        <v>9.2080999999999993E-9</v>
      </c>
      <c r="U16" s="108">
        <v>7.9125999999999993E-9</v>
      </c>
      <c r="V16" s="108">
        <v>6.8070999999999998E-9</v>
      </c>
      <c r="W16" s="107">
        <v>5.8781999999999998E-9</v>
      </c>
      <c r="X16" s="108">
        <v>3.4846000000000001E-9</v>
      </c>
      <c r="Y16" s="108">
        <v>1.9703000000000001E-9</v>
      </c>
      <c r="Z16" s="107">
        <v>1.7096E-9</v>
      </c>
      <c r="AA16" s="108">
        <v>1.4847000000000001E-9</v>
      </c>
      <c r="AB16" s="108">
        <v>1.2903E-9</v>
      </c>
      <c r="AC16" s="107">
        <v>1.1219E-9</v>
      </c>
      <c r="AD16" s="108">
        <v>9.7606000000000004E-10</v>
      </c>
      <c r="AE16" s="108">
        <v>8.5312000000000005E-10</v>
      </c>
      <c r="AF16" s="107">
        <v>7.4336000000000001E-10</v>
      </c>
      <c r="AG16" s="108">
        <v>6.4702000000000001E-10</v>
      </c>
      <c r="AH16" s="108">
        <v>3.7200000000000001E-10</v>
      </c>
    </row>
    <row r="17" spans="1:34" x14ac:dyDescent="0.35">
      <c r="A17" s="91" t="s">
        <v>60</v>
      </c>
      <c r="B17" s="107">
        <v>6.5148000000000001E-10</v>
      </c>
      <c r="C17" s="108">
        <v>2.0896999999999999E-9</v>
      </c>
      <c r="D17" s="108">
        <v>5.3268000000000003E-9</v>
      </c>
      <c r="E17" s="105">
        <v>1.036E-8</v>
      </c>
      <c r="F17" s="106">
        <v>1.5276999999999998E-8</v>
      </c>
      <c r="G17" s="106">
        <v>1.5183000000000001E-8</v>
      </c>
      <c r="H17" s="105">
        <v>1.3939999999999999E-8</v>
      </c>
      <c r="I17" s="106">
        <v>1.3321000000000001E-8</v>
      </c>
      <c r="J17" s="106">
        <v>1.3354E-8</v>
      </c>
      <c r="K17" s="107">
        <v>1.3752E-8</v>
      </c>
      <c r="L17" s="108">
        <v>1.4025999999999999E-8</v>
      </c>
      <c r="M17" s="108">
        <v>1.3751E-8</v>
      </c>
      <c r="N17" s="107">
        <v>1.2843E-8</v>
      </c>
      <c r="O17" s="108">
        <v>1.1528000000000001E-8</v>
      </c>
      <c r="P17" s="108">
        <v>1.0085000000000001E-8</v>
      </c>
      <c r="Q17" s="105">
        <v>8.6941000000000004E-9</v>
      </c>
      <c r="R17" s="106">
        <v>7.4380999999999998E-9</v>
      </c>
      <c r="S17" s="106">
        <v>6.3395000000000003E-9</v>
      </c>
      <c r="T17" s="105">
        <v>5.3942000000000003E-9</v>
      </c>
      <c r="U17" s="106">
        <v>4.5885E-9</v>
      </c>
      <c r="V17" s="106">
        <v>3.9075000000000004E-9</v>
      </c>
      <c r="W17" s="105">
        <v>3.3401000000000001E-9</v>
      </c>
      <c r="X17" s="106">
        <v>1.9017000000000002E-9</v>
      </c>
      <c r="Y17" s="106">
        <v>1.0337000000000001E-9</v>
      </c>
      <c r="Z17" s="105">
        <v>8.8833999999999995E-10</v>
      </c>
      <c r="AA17" s="106">
        <v>7.6410999999999996E-10</v>
      </c>
      <c r="AB17" s="106">
        <v>6.5776000000000001E-10</v>
      </c>
      <c r="AC17" s="105">
        <v>5.6653999999999999E-10</v>
      </c>
      <c r="AD17" s="106">
        <v>4.8829999999999996E-10</v>
      </c>
      <c r="AE17" s="106">
        <v>4.2284000000000001E-10</v>
      </c>
      <c r="AF17" s="105">
        <v>3.6505E-10</v>
      </c>
      <c r="AG17" s="106">
        <v>3.1482999999999999E-10</v>
      </c>
      <c r="AH17" s="106">
        <v>1.7455999999999999E-10</v>
      </c>
    </row>
    <row r="18" spans="1:34" x14ac:dyDescent="0.35">
      <c r="A18" s="87" t="s">
        <v>61</v>
      </c>
      <c r="B18" s="105">
        <v>2.3804999999999998E-3</v>
      </c>
      <c r="C18" s="106">
        <v>8.1585000000000008E-3</v>
      </c>
      <c r="D18" s="106">
        <v>2.2703000000000001E-2</v>
      </c>
      <c r="E18" s="105">
        <v>4.9029000000000003E-2</v>
      </c>
      <c r="F18" s="106">
        <v>8.1378000000000006E-2</v>
      </c>
      <c r="G18" s="106">
        <v>0.14174999999999999</v>
      </c>
      <c r="H18" s="105">
        <v>0.15184</v>
      </c>
      <c r="I18" s="106">
        <v>0.16986000000000001</v>
      </c>
      <c r="J18" s="106">
        <v>0.19985</v>
      </c>
      <c r="K18" s="105">
        <v>0.24199999999999999</v>
      </c>
      <c r="L18" s="106">
        <v>0.29065999999999997</v>
      </c>
      <c r="M18" s="106">
        <v>0.33589000000000002</v>
      </c>
      <c r="N18" s="105">
        <v>0.37001000000000001</v>
      </c>
      <c r="O18" s="106">
        <v>0.39185999999999999</v>
      </c>
      <c r="P18" s="106">
        <v>0.40450000000000003</v>
      </c>
      <c r="Q18" s="105">
        <v>0.41147</v>
      </c>
      <c r="R18" s="106">
        <v>0.41525000000000001</v>
      </c>
      <c r="S18" s="106">
        <v>0.41732000000000002</v>
      </c>
      <c r="T18" s="105">
        <v>0.41850999999999999</v>
      </c>
      <c r="U18" s="106">
        <v>0.41932999999999998</v>
      </c>
      <c r="V18" s="106">
        <v>0.42032999999999998</v>
      </c>
      <c r="W18" s="105">
        <v>0.42265000000000003</v>
      </c>
      <c r="X18" s="106">
        <v>0.45709</v>
      </c>
      <c r="Y18" s="106">
        <v>0.46577000000000002</v>
      </c>
      <c r="Z18" s="105">
        <v>0.46736</v>
      </c>
      <c r="AA18" s="106">
        <v>0.46901999999999999</v>
      </c>
      <c r="AB18" s="106">
        <v>0.47065000000000001</v>
      </c>
      <c r="AC18" s="105">
        <v>0.47219</v>
      </c>
      <c r="AD18" s="106">
        <v>0.47367999999999999</v>
      </c>
      <c r="AE18" s="106">
        <v>0.47704000000000002</v>
      </c>
      <c r="AF18" s="105">
        <v>0.47860999999999998</v>
      </c>
      <c r="AG18" s="106">
        <v>0.47933999999999999</v>
      </c>
      <c r="AH18" s="106">
        <v>0.47996</v>
      </c>
    </row>
    <row r="19" spans="1:34" x14ac:dyDescent="0.35">
      <c r="A19" s="91" t="s">
        <v>62</v>
      </c>
      <c r="B19" s="107">
        <v>7.2273000000000001E-12</v>
      </c>
      <c r="C19" s="108">
        <v>3.0615999999999998E-11</v>
      </c>
      <c r="D19" s="108">
        <v>1.0052000000000001E-10</v>
      </c>
      <c r="E19" s="107">
        <v>2.4645999999999999E-10</v>
      </c>
      <c r="F19" s="108">
        <v>4.4978000000000002E-10</v>
      </c>
      <c r="G19" s="108">
        <v>9.0864999999999996E-10</v>
      </c>
      <c r="H19" s="107">
        <v>9.6864999999999996E-10</v>
      </c>
      <c r="I19" s="108">
        <v>1.0653E-9</v>
      </c>
      <c r="J19" s="108">
        <v>1.2192000000000001E-9</v>
      </c>
      <c r="K19" s="107">
        <v>1.4232E-9</v>
      </c>
      <c r="L19" s="108">
        <v>1.6345000000000001E-9</v>
      </c>
      <c r="M19" s="108">
        <v>1.7936000000000001E-9</v>
      </c>
      <c r="N19" s="107">
        <v>1.8648E-9</v>
      </c>
      <c r="O19" s="108">
        <v>1.854E-9</v>
      </c>
      <c r="P19" s="108">
        <v>1.7882000000000001E-9</v>
      </c>
      <c r="Q19" s="107">
        <v>1.6925000000000001E-9</v>
      </c>
      <c r="R19" s="108">
        <v>1.5835E-9</v>
      </c>
      <c r="S19" s="108">
        <v>1.4704E-9</v>
      </c>
      <c r="T19" s="107">
        <v>1.3586E-9</v>
      </c>
      <c r="U19" s="108">
        <v>1.2509999999999999E-9</v>
      </c>
      <c r="V19" s="108">
        <v>1.1497000000000001E-9</v>
      </c>
      <c r="W19" s="107">
        <v>1.0578E-9</v>
      </c>
      <c r="X19" s="108">
        <v>7.8874999999999999E-10</v>
      </c>
      <c r="Y19" s="108">
        <v>5.4359999999999996E-10</v>
      </c>
      <c r="Z19" s="107">
        <v>4.9357999999999996E-10</v>
      </c>
      <c r="AA19" s="108">
        <v>4.4790000000000002E-10</v>
      </c>
      <c r="AB19" s="108">
        <v>4.0617E-10</v>
      </c>
      <c r="AC19" s="107">
        <v>3.6803000000000002E-10</v>
      </c>
      <c r="AD19" s="108">
        <v>3.3325000000000001E-10</v>
      </c>
      <c r="AE19" s="108">
        <v>3.0279999999999998E-10</v>
      </c>
      <c r="AF19" s="107">
        <v>2.7396999999999999E-10</v>
      </c>
      <c r="AG19" s="108">
        <v>2.4734E-10</v>
      </c>
      <c r="AH19" s="108">
        <v>1.6297000000000001E-10</v>
      </c>
    </row>
    <row r="20" spans="1:34" x14ac:dyDescent="0.35">
      <c r="A20" s="92" t="s">
        <v>63</v>
      </c>
      <c r="B20" s="109">
        <v>5.2854000000000005E-7</v>
      </c>
      <c r="C20" s="110">
        <v>1.1217E-6</v>
      </c>
      <c r="D20" s="110">
        <v>2.6616999999999999E-6</v>
      </c>
      <c r="E20" s="109">
        <v>7.6415999999999998E-6</v>
      </c>
      <c r="F20" s="110">
        <v>2.5486E-5</v>
      </c>
      <c r="G20" s="110">
        <v>2.6394000000000001E-3</v>
      </c>
      <c r="H20" s="109">
        <v>6.7882000000000003E-3</v>
      </c>
      <c r="I20" s="110">
        <v>1.537E-2</v>
      </c>
      <c r="J20" s="110">
        <v>3.0145000000000002E-2</v>
      </c>
      <c r="K20" s="109">
        <v>5.1109000000000002E-2</v>
      </c>
      <c r="L20" s="110">
        <v>7.5374999999999998E-2</v>
      </c>
      <c r="M20" s="110">
        <v>9.7961999999999994E-2</v>
      </c>
      <c r="N20" s="109">
        <v>0.11501</v>
      </c>
      <c r="O20" s="110">
        <v>0.12592999999999999</v>
      </c>
      <c r="P20" s="110">
        <v>0.13225000000000001</v>
      </c>
      <c r="Q20" s="109">
        <v>0.13572999999999999</v>
      </c>
      <c r="R20" s="110">
        <v>0.13761999999999999</v>
      </c>
      <c r="S20" s="110">
        <v>0.13866000000000001</v>
      </c>
      <c r="T20" s="109">
        <v>0.13922000000000001</v>
      </c>
      <c r="U20" s="110">
        <v>0.13954</v>
      </c>
      <c r="V20" s="110">
        <v>0.13972999999999999</v>
      </c>
      <c r="W20" s="109">
        <v>0.13983000000000001</v>
      </c>
      <c r="X20" s="110">
        <v>0.13997000000000001</v>
      </c>
      <c r="Y20" s="110">
        <v>0.13999</v>
      </c>
      <c r="Z20" s="109">
        <v>0.14000000000000001</v>
      </c>
      <c r="AA20" s="110">
        <v>0.14000000000000001</v>
      </c>
      <c r="AB20" s="110">
        <v>0.14000000000000001</v>
      </c>
      <c r="AC20" s="109">
        <v>0.14000000000000001</v>
      </c>
      <c r="AD20" s="110">
        <v>0.13999</v>
      </c>
      <c r="AE20" s="110">
        <v>0.13966999999999999</v>
      </c>
      <c r="AF20" s="109">
        <v>0.13941000000000001</v>
      </c>
      <c r="AG20" s="110">
        <v>0.13919000000000001</v>
      </c>
      <c r="AH20" s="110">
        <v>0.13839000000000001</v>
      </c>
    </row>
    <row r="21" spans="1:34" x14ac:dyDescent="0.35">
      <c r="A21" s="94" t="s">
        <v>64</v>
      </c>
      <c r="B21" s="115">
        <v>0</v>
      </c>
      <c r="C21" s="116">
        <v>0</v>
      </c>
      <c r="D21" s="116">
        <v>0</v>
      </c>
      <c r="E21" s="116">
        <v>0</v>
      </c>
      <c r="F21" s="116">
        <v>0</v>
      </c>
      <c r="G21" s="116">
        <v>0</v>
      </c>
      <c r="H21" s="116">
        <v>0</v>
      </c>
      <c r="I21" s="116">
        <v>0</v>
      </c>
      <c r="J21" s="116">
        <v>0</v>
      </c>
      <c r="K21" s="116">
        <v>0</v>
      </c>
      <c r="L21" s="116">
        <v>0</v>
      </c>
      <c r="M21" s="116">
        <v>0</v>
      </c>
      <c r="N21" s="116">
        <v>0</v>
      </c>
      <c r="O21" s="116">
        <v>0</v>
      </c>
      <c r="P21" s="116">
        <v>0</v>
      </c>
      <c r="Q21" s="116">
        <v>0</v>
      </c>
      <c r="R21" s="116">
        <v>0</v>
      </c>
      <c r="S21" s="116">
        <v>0</v>
      </c>
      <c r="T21" s="116">
        <v>0</v>
      </c>
      <c r="U21" s="116">
        <v>0</v>
      </c>
      <c r="V21" s="116">
        <v>0</v>
      </c>
      <c r="W21" s="115">
        <v>0</v>
      </c>
      <c r="X21" s="116">
        <v>0</v>
      </c>
      <c r="Y21" s="116">
        <v>1.4259E-22</v>
      </c>
      <c r="Z21" s="113">
        <v>4.8393000000000001E-18</v>
      </c>
      <c r="AA21" s="114">
        <v>8.6730999999999997E-14</v>
      </c>
      <c r="AB21" s="114">
        <v>7.9190000000000003E-10</v>
      </c>
      <c r="AC21" s="113">
        <v>1.4299000000000001E-7</v>
      </c>
      <c r="AD21" s="114">
        <v>5.5106000000000003E-4</v>
      </c>
      <c r="AE21" s="114">
        <v>1.2390999999999999E-2</v>
      </c>
      <c r="AF21" s="113">
        <v>1.9973000000000001E-2</v>
      </c>
      <c r="AG21" s="114">
        <v>2.5111000000000001E-2</v>
      </c>
      <c r="AH21" s="114">
        <v>3.5318000000000002E-2</v>
      </c>
    </row>
    <row r="22" spans="1:34" x14ac:dyDescent="0.35">
      <c r="A22" s="94" t="s">
        <v>65</v>
      </c>
      <c r="B22" s="115">
        <v>0</v>
      </c>
      <c r="C22" s="116">
        <v>0</v>
      </c>
      <c r="D22" s="116">
        <v>0</v>
      </c>
      <c r="E22" s="116">
        <v>0</v>
      </c>
      <c r="F22" s="116">
        <v>0</v>
      </c>
      <c r="G22" s="116">
        <v>0</v>
      </c>
      <c r="H22" s="116">
        <v>0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5">
        <v>0</v>
      </c>
      <c r="X22" s="116">
        <v>0</v>
      </c>
      <c r="Y22" s="116">
        <v>2.2449000000000001E-23</v>
      </c>
      <c r="Z22" s="113">
        <v>5.7803000000000002E-19</v>
      </c>
      <c r="AA22" s="114">
        <v>8.0229000000000003E-15</v>
      </c>
      <c r="AB22" s="114">
        <v>5.7836000000000002E-11</v>
      </c>
      <c r="AC22" s="113">
        <v>8.3879E-9</v>
      </c>
      <c r="AD22" s="114">
        <v>2.6605999999999999E-5</v>
      </c>
      <c r="AE22" s="114">
        <v>6.5841999999999995E-4</v>
      </c>
      <c r="AF22" s="113">
        <v>1.1711E-3</v>
      </c>
      <c r="AG22" s="114">
        <v>1.6188000000000001E-3</v>
      </c>
      <c r="AH22" s="114">
        <v>3.2217000000000001E-3</v>
      </c>
    </row>
    <row r="23" spans="1:34" x14ac:dyDescent="0.35">
      <c r="A23" s="94" t="s">
        <v>28</v>
      </c>
      <c r="B23" s="115">
        <v>-18.66</v>
      </c>
      <c r="C23" s="116">
        <v>-18.649999999999999</v>
      </c>
      <c r="D23" s="116">
        <v>-18.649999999999999</v>
      </c>
      <c r="E23" s="115">
        <v>-18.66</v>
      </c>
      <c r="F23" s="116">
        <v>-18.670000000000002</v>
      </c>
      <c r="G23" s="116">
        <v>-18.75</v>
      </c>
      <c r="H23" s="115">
        <v>-18.78</v>
      </c>
      <c r="I23" s="116">
        <v>-18.809999999999999</v>
      </c>
      <c r="J23" s="116">
        <v>-18.829999999999998</v>
      </c>
      <c r="K23" s="115">
        <v>-18.86</v>
      </c>
      <c r="L23" s="116">
        <v>-18.899999999999999</v>
      </c>
      <c r="M23" s="116">
        <v>-18.93</v>
      </c>
      <c r="N23" s="113">
        <v>-18.96</v>
      </c>
      <c r="O23" s="114">
        <v>-18.989999999999998</v>
      </c>
      <c r="P23" s="114">
        <v>-19.03</v>
      </c>
      <c r="Q23" s="113">
        <v>-19.059999999999999</v>
      </c>
      <c r="R23" s="114">
        <v>-19.100000000000001</v>
      </c>
      <c r="S23" s="114">
        <v>-19.13</v>
      </c>
      <c r="T23" s="113">
        <v>-19.170000000000002</v>
      </c>
      <c r="U23" s="114">
        <v>-19.2</v>
      </c>
      <c r="V23" s="114">
        <v>-19.23</v>
      </c>
      <c r="W23" s="113">
        <v>-19.27</v>
      </c>
      <c r="X23" s="114">
        <v>-19.38</v>
      </c>
      <c r="Y23" s="114">
        <v>-19.510000000000002</v>
      </c>
      <c r="Z23" s="113">
        <v>-19.55</v>
      </c>
      <c r="AA23" s="114">
        <v>-19.579999999999998</v>
      </c>
      <c r="AB23" s="114">
        <v>-19.61</v>
      </c>
      <c r="AC23" s="113">
        <v>-19.64</v>
      </c>
      <c r="AD23" s="114">
        <v>-19.670000000000002</v>
      </c>
      <c r="AE23" s="114">
        <v>-19.7</v>
      </c>
      <c r="AF23" s="113">
        <v>-19.73</v>
      </c>
      <c r="AG23" s="114">
        <v>-19.760000000000002</v>
      </c>
      <c r="AH23" s="114">
        <v>-19.88</v>
      </c>
    </row>
    <row r="24" spans="1:34" x14ac:dyDescent="0.35">
      <c r="A24" s="98" t="s">
        <v>5</v>
      </c>
      <c r="B24" s="113">
        <v>-67.12</v>
      </c>
      <c r="C24" s="114">
        <v>-63.52</v>
      </c>
      <c r="D24" s="114">
        <v>-60.12</v>
      </c>
      <c r="E24" s="113">
        <v>-56.76</v>
      </c>
      <c r="F24" s="114">
        <v>-53.4</v>
      </c>
      <c r="G24" s="114">
        <v>-41.04</v>
      </c>
      <c r="H24" s="113">
        <v>-38.450000000000003</v>
      </c>
      <c r="I24" s="114">
        <v>-36.08</v>
      </c>
      <c r="J24" s="114">
        <v>-33.93</v>
      </c>
      <c r="K24" s="113">
        <v>-31.94</v>
      </c>
      <c r="L24" s="114">
        <v>-30.07</v>
      </c>
      <c r="M24" s="114">
        <v>-28.28</v>
      </c>
      <c r="N24" s="113">
        <v>-26.54</v>
      </c>
      <c r="O24" s="114">
        <v>-24.87</v>
      </c>
      <c r="P24" s="114">
        <v>-23.27</v>
      </c>
      <c r="Q24" s="113">
        <v>-21.74</v>
      </c>
      <c r="R24" s="114">
        <v>-20.27</v>
      </c>
      <c r="S24" s="114">
        <v>-18.87</v>
      </c>
      <c r="T24" s="113">
        <v>-17.54</v>
      </c>
      <c r="U24" s="114">
        <v>-16.260000000000002</v>
      </c>
      <c r="V24" s="114">
        <v>-15.05</v>
      </c>
      <c r="W24" s="113">
        <v>-13.91</v>
      </c>
      <c r="X24" s="114">
        <v>-10.79</v>
      </c>
      <c r="Y24" s="114">
        <v>-9.1989999999999998</v>
      </c>
      <c r="Z24" s="113">
        <v>-8.8740000000000006</v>
      </c>
      <c r="AA24" s="114">
        <v>-8.5730000000000004</v>
      </c>
      <c r="AB24" s="114">
        <v>-8.2949999999999999</v>
      </c>
      <c r="AC24" s="113">
        <v>-8.0359999999999996</v>
      </c>
      <c r="AD24" s="114">
        <v>-7.8040000000000003</v>
      </c>
      <c r="AE24" s="114">
        <v>-7.8559999999999999</v>
      </c>
      <c r="AF24" s="113">
        <v>-7.915</v>
      </c>
      <c r="AG24" s="114">
        <v>-7.9720000000000004</v>
      </c>
      <c r="AH24" s="114">
        <v>-8.1969999999999992</v>
      </c>
    </row>
    <row r="25" spans="1:34" x14ac:dyDescent="0.35">
      <c r="A25" s="98" t="s">
        <v>6</v>
      </c>
      <c r="B25" s="113">
        <v>-16.98</v>
      </c>
      <c r="C25" s="114">
        <v>-16.239999999999998</v>
      </c>
      <c r="D25" s="114">
        <v>-15.42</v>
      </c>
      <c r="E25" s="113">
        <v>-14.46</v>
      </c>
      <c r="F25" s="114">
        <v>-13.36</v>
      </c>
      <c r="G25" s="114">
        <v>-8.9659999999999993</v>
      </c>
      <c r="H25" s="113">
        <v>-8.077</v>
      </c>
      <c r="I25" s="114">
        <v>-7.3339999999999996</v>
      </c>
      <c r="J25" s="114">
        <v>-6.7590000000000003</v>
      </c>
      <c r="K25" s="113">
        <v>-6.35</v>
      </c>
      <c r="L25" s="114">
        <v>-6.0869999999999997</v>
      </c>
      <c r="M25" s="114">
        <v>-5.9379999999999997</v>
      </c>
      <c r="N25" s="113">
        <v>-5.87</v>
      </c>
      <c r="O25" s="114">
        <v>-5.8520000000000003</v>
      </c>
      <c r="P25" s="114">
        <v>-5.8609999999999998</v>
      </c>
      <c r="Q25" s="113">
        <v>-5.8860000000000001</v>
      </c>
      <c r="R25" s="114">
        <v>-5.9180000000000001</v>
      </c>
      <c r="S25" s="114">
        <v>-5.9550000000000001</v>
      </c>
      <c r="T25" s="113">
        <v>-5.9930000000000003</v>
      </c>
      <c r="U25" s="114">
        <v>-6.0330000000000004</v>
      </c>
      <c r="V25" s="114">
        <v>-6.0739999999999998</v>
      </c>
      <c r="W25" s="113">
        <v>-6.1180000000000003</v>
      </c>
      <c r="X25" s="114">
        <v>-6.3319999999999999</v>
      </c>
      <c r="Y25" s="114">
        <v>-6.508</v>
      </c>
      <c r="Z25" s="113">
        <v>-6.5510000000000002</v>
      </c>
      <c r="AA25" s="114">
        <v>-6.5940000000000003</v>
      </c>
      <c r="AB25" s="114">
        <v>-6.6360000000000001</v>
      </c>
      <c r="AC25" s="113">
        <v>-6.6779999999999999</v>
      </c>
      <c r="AD25" s="114">
        <v>-6.7190000000000003</v>
      </c>
      <c r="AE25" s="114">
        <v>-6.7510000000000003</v>
      </c>
      <c r="AF25" s="113">
        <v>-6.7839999999999998</v>
      </c>
      <c r="AG25" s="114">
        <v>-6.8170000000000002</v>
      </c>
      <c r="AH25" s="114">
        <v>-6.9539999999999997</v>
      </c>
    </row>
    <row r="26" spans="1:34" x14ac:dyDescent="0.35">
      <c r="A26" s="98" t="s">
        <v>7</v>
      </c>
      <c r="B26" s="113">
        <v>-23.56</v>
      </c>
      <c r="C26" s="114">
        <v>-22.53</v>
      </c>
      <c r="D26" s="114">
        <v>-21.75</v>
      </c>
      <c r="E26" s="113">
        <v>-21.28</v>
      </c>
      <c r="F26" s="114">
        <v>-21.09</v>
      </c>
      <c r="G26" s="114">
        <v>-21.65</v>
      </c>
      <c r="H26" s="113">
        <v>-21.85</v>
      </c>
      <c r="I26" s="114">
        <v>-22.03</v>
      </c>
      <c r="J26" s="114">
        <v>-22.18</v>
      </c>
      <c r="K26" s="113">
        <v>-22.32</v>
      </c>
      <c r="L26" s="114">
        <v>-22.47</v>
      </c>
      <c r="M26" s="114">
        <v>-22.65</v>
      </c>
      <c r="N26" s="113">
        <v>-22.86</v>
      </c>
      <c r="O26" s="114">
        <v>-23.08</v>
      </c>
      <c r="P26" s="114">
        <v>-23.31</v>
      </c>
      <c r="Q26" s="113">
        <v>-23.54</v>
      </c>
      <c r="R26" s="114">
        <v>-23.78</v>
      </c>
      <c r="S26" s="114">
        <v>-24.01</v>
      </c>
      <c r="T26" s="113">
        <v>-24.25</v>
      </c>
      <c r="U26" s="114">
        <v>-24.48</v>
      </c>
      <c r="V26" s="114">
        <v>-24.71</v>
      </c>
      <c r="W26" s="113">
        <v>-24.94</v>
      </c>
      <c r="X26" s="114">
        <v>-25.82</v>
      </c>
      <c r="Y26" s="114">
        <v>-26.68</v>
      </c>
      <c r="Z26" s="113">
        <v>-26.9</v>
      </c>
      <c r="AA26" s="114">
        <v>-27.11</v>
      </c>
      <c r="AB26" s="114">
        <v>-27.32</v>
      </c>
      <c r="AC26" s="113">
        <v>-27.52</v>
      </c>
      <c r="AD26" s="114">
        <v>-27.73</v>
      </c>
      <c r="AE26" s="114">
        <v>-27.92</v>
      </c>
      <c r="AF26" s="113">
        <v>-28.11</v>
      </c>
      <c r="AG26" s="114">
        <v>-28.3</v>
      </c>
      <c r="AH26" s="114">
        <v>-29.08</v>
      </c>
    </row>
    <row r="27" spans="1:34" x14ac:dyDescent="0.35">
      <c r="A27" s="98" t="s">
        <v>50</v>
      </c>
      <c r="B27" s="113">
        <v>0.20829</v>
      </c>
      <c r="C27" s="114">
        <v>0.20818999999999999</v>
      </c>
      <c r="D27" s="114">
        <v>0.20796000000000001</v>
      </c>
      <c r="E27" s="113">
        <v>0.20755999999999999</v>
      </c>
      <c r="F27" s="114">
        <v>0.20713000000000001</v>
      </c>
      <c r="G27" s="114">
        <v>0.20643</v>
      </c>
      <c r="H27" s="113">
        <v>0.20633000000000001</v>
      </c>
      <c r="I27" s="114">
        <v>0.20616000000000001</v>
      </c>
      <c r="J27" s="114">
        <v>0.20588000000000001</v>
      </c>
      <c r="K27" s="113">
        <v>0.20554</v>
      </c>
      <c r="L27" s="114">
        <v>0.20519000000000001</v>
      </c>
      <c r="M27" s="114">
        <v>0.2049</v>
      </c>
      <c r="N27" s="113">
        <v>0.20471</v>
      </c>
      <c r="O27" s="114">
        <v>0.20458999999999999</v>
      </c>
      <c r="P27" s="114">
        <v>0.20452000000000001</v>
      </c>
      <c r="Q27" s="113">
        <v>0.20449000000000001</v>
      </c>
      <c r="R27" s="114">
        <v>0.20447000000000001</v>
      </c>
      <c r="S27" s="114">
        <v>0.20446</v>
      </c>
      <c r="T27" s="113">
        <v>0.20444999999999999</v>
      </c>
      <c r="U27" s="114">
        <v>0.20441999999999999</v>
      </c>
      <c r="V27" s="114">
        <v>0.20435</v>
      </c>
      <c r="W27" s="113">
        <v>0.2041</v>
      </c>
      <c r="X27" s="114">
        <v>0.20046</v>
      </c>
      <c r="Y27" s="114">
        <v>0.20000999999999999</v>
      </c>
      <c r="Z27" s="115">
        <v>0.2</v>
      </c>
      <c r="AA27" s="116">
        <v>0.2</v>
      </c>
      <c r="AB27" s="116">
        <v>0.2</v>
      </c>
      <c r="AC27" s="115">
        <v>0.2</v>
      </c>
      <c r="AD27" s="116">
        <v>0.2</v>
      </c>
      <c r="AE27" s="116">
        <v>0.2</v>
      </c>
      <c r="AF27" s="115">
        <v>0.2</v>
      </c>
      <c r="AG27" s="116">
        <v>0.2</v>
      </c>
      <c r="AH27" s="116">
        <v>0.2</v>
      </c>
    </row>
    <row r="28" spans="1:34" x14ac:dyDescent="0.35">
      <c r="A28" s="98" t="s">
        <v>66</v>
      </c>
      <c r="B28" s="113">
        <v>0.29409000000000002</v>
      </c>
      <c r="C28" s="114">
        <v>0.29996</v>
      </c>
      <c r="D28" s="114">
        <v>0.31474999999999997</v>
      </c>
      <c r="E28" s="113">
        <v>0.34147</v>
      </c>
      <c r="F28" s="114">
        <v>0.37425000000000003</v>
      </c>
      <c r="G28" s="114">
        <v>0.43531999999999998</v>
      </c>
      <c r="H28" s="113">
        <v>0.44551000000000002</v>
      </c>
      <c r="I28" s="114">
        <v>0.46371000000000001</v>
      </c>
      <c r="J28" s="114">
        <v>0.49396000000000001</v>
      </c>
      <c r="K28" s="113">
        <v>0.53646000000000005</v>
      </c>
      <c r="L28" s="114">
        <v>0.58545999999999998</v>
      </c>
      <c r="M28" s="114">
        <v>0.63097999999999999</v>
      </c>
      <c r="N28" s="113">
        <v>0.6653</v>
      </c>
      <c r="O28" s="114">
        <v>0.68727000000000005</v>
      </c>
      <c r="P28" s="114">
        <v>0.69998000000000005</v>
      </c>
      <c r="Q28" s="113">
        <v>0.70698000000000005</v>
      </c>
      <c r="R28" s="114">
        <v>0.71077999999999997</v>
      </c>
      <c r="S28" s="114">
        <v>0.71287</v>
      </c>
      <c r="T28" s="113">
        <v>0.71406999999999998</v>
      </c>
      <c r="U28" s="114">
        <v>0.71491000000000005</v>
      </c>
      <c r="V28" s="114">
        <v>0.71601000000000004</v>
      </c>
      <c r="W28" s="113">
        <v>0.71862000000000004</v>
      </c>
      <c r="X28" s="114">
        <v>0.75817999999999997</v>
      </c>
      <c r="Y28" s="114">
        <v>0.77161000000000002</v>
      </c>
      <c r="Z28" s="113">
        <v>0.77476</v>
      </c>
      <c r="AA28" s="114">
        <v>0.77805000000000002</v>
      </c>
      <c r="AB28" s="114">
        <v>0.78132000000000001</v>
      </c>
      <c r="AC28" s="113">
        <v>0.78437999999999997</v>
      </c>
      <c r="AD28" s="114">
        <v>0.78678999999999999</v>
      </c>
      <c r="AE28" s="114">
        <v>0.78103</v>
      </c>
      <c r="AF28" s="113">
        <v>0.77607000000000004</v>
      </c>
      <c r="AG28" s="114">
        <v>0.77193999999999996</v>
      </c>
      <c r="AH28" s="114">
        <v>0.76137999999999995</v>
      </c>
    </row>
    <row r="29" spans="1:34" x14ac:dyDescent="0.35">
      <c r="A29" s="98" t="s">
        <v>67</v>
      </c>
      <c r="B29" s="113">
        <v>2.4662999999999999E-43</v>
      </c>
      <c r="C29" s="114">
        <v>5.0292999999999998E-42</v>
      </c>
      <c r="D29" s="114">
        <v>6.0395999999999997E-43</v>
      </c>
      <c r="E29" s="115">
        <v>0</v>
      </c>
      <c r="F29" s="116">
        <v>0</v>
      </c>
      <c r="G29" s="99">
        <v>0</v>
      </c>
      <c r="H29" s="99">
        <v>0</v>
      </c>
      <c r="I29" s="99">
        <v>0</v>
      </c>
      <c r="J29" s="99">
        <v>0</v>
      </c>
      <c r="K29" s="99">
        <v>0</v>
      </c>
      <c r="L29" s="99">
        <v>0</v>
      </c>
      <c r="M29" s="99">
        <v>0</v>
      </c>
      <c r="N29" s="99">
        <v>0</v>
      </c>
      <c r="O29" s="99">
        <v>0</v>
      </c>
      <c r="P29" s="99">
        <v>0</v>
      </c>
      <c r="Q29" s="99">
        <v>0</v>
      </c>
      <c r="R29" s="99">
        <v>0</v>
      </c>
      <c r="S29" s="99">
        <v>0</v>
      </c>
      <c r="T29" s="99">
        <v>0</v>
      </c>
      <c r="U29" s="99">
        <v>0</v>
      </c>
      <c r="V29" s="99">
        <v>0</v>
      </c>
      <c r="W29" s="99">
        <v>0</v>
      </c>
      <c r="X29" s="99">
        <v>0</v>
      </c>
      <c r="Y29" s="99">
        <v>0</v>
      </c>
      <c r="Z29" s="99">
        <v>0</v>
      </c>
      <c r="AA29" s="99">
        <v>0</v>
      </c>
      <c r="AB29" s="99">
        <v>0</v>
      </c>
      <c r="AC29" s="99">
        <v>0</v>
      </c>
      <c r="AD29" s="99">
        <v>0</v>
      </c>
      <c r="AE29" s="99">
        <v>0</v>
      </c>
      <c r="AF29" s="99">
        <v>0</v>
      </c>
      <c r="AG29" s="99">
        <v>0</v>
      </c>
      <c r="AH29" s="99">
        <v>0</v>
      </c>
    </row>
    <row r="30" spans="1:34" x14ac:dyDescent="0.35">
      <c r="A30" s="94" t="s">
        <v>68</v>
      </c>
      <c r="B30" s="115">
        <v>0</v>
      </c>
      <c r="C30" s="116">
        <v>0</v>
      </c>
      <c r="D30" s="99" t="s">
        <v>52</v>
      </c>
      <c r="E30" s="115">
        <v>0</v>
      </c>
      <c r="F30" s="116">
        <v>0</v>
      </c>
      <c r="G30" s="99" t="s">
        <v>52</v>
      </c>
      <c r="H30" s="115">
        <v>0</v>
      </c>
      <c r="I30" s="116">
        <v>0</v>
      </c>
      <c r="J30" s="99" t="s">
        <v>52</v>
      </c>
      <c r="K30" s="115">
        <v>0</v>
      </c>
      <c r="L30" s="116">
        <v>0</v>
      </c>
      <c r="M30" s="99" t="s">
        <v>52</v>
      </c>
      <c r="N30" s="115">
        <v>0</v>
      </c>
      <c r="O30" s="116">
        <v>0</v>
      </c>
      <c r="P30" s="99" t="s">
        <v>52</v>
      </c>
      <c r="Q30" s="115">
        <v>0</v>
      </c>
      <c r="R30" s="116">
        <v>0</v>
      </c>
      <c r="S30" s="99" t="s">
        <v>52</v>
      </c>
      <c r="T30" s="115">
        <v>0</v>
      </c>
      <c r="U30" s="116">
        <v>0</v>
      </c>
      <c r="V30" s="99" t="s">
        <v>52</v>
      </c>
      <c r="W30" s="115">
        <v>0</v>
      </c>
      <c r="X30" s="116">
        <v>1.3284000000000001E-41</v>
      </c>
      <c r="Y30" s="116">
        <v>8.0521000000000001E-22</v>
      </c>
      <c r="Z30" s="113">
        <v>1.8623E-17</v>
      </c>
      <c r="AA30" s="114">
        <v>2.3323000000000001E-13</v>
      </c>
      <c r="AB30" s="114">
        <v>1.5232999999999999E-9</v>
      </c>
      <c r="AC30" s="113">
        <v>2.0087E-7</v>
      </c>
      <c r="AD30" s="114">
        <v>5.8102000000000002E-4</v>
      </c>
      <c r="AE30" s="114">
        <v>1.3049E-2</v>
      </c>
      <c r="AF30" s="113">
        <v>2.1144E-2</v>
      </c>
      <c r="AG30" s="114">
        <v>2.673E-2</v>
      </c>
      <c r="AH30" s="114">
        <v>3.8538999999999997E-2</v>
      </c>
    </row>
    <row r="31" spans="1:34" x14ac:dyDescent="0.35">
      <c r="A31" s="100" t="s">
        <v>51</v>
      </c>
      <c r="B31" s="117">
        <v>5.6684999999999996E-9</v>
      </c>
      <c r="C31" s="118">
        <v>5.1434999999999999E-9</v>
      </c>
      <c r="D31" s="118">
        <v>5.7163000000000002E-9</v>
      </c>
      <c r="E31" s="117">
        <v>7.2030999999999997E-9</v>
      </c>
      <c r="F31" s="118">
        <v>7.4482E-9</v>
      </c>
      <c r="G31" s="118">
        <v>9.1720999999999998E-9</v>
      </c>
      <c r="H31" s="117">
        <v>7.4795999999999997E-9</v>
      </c>
      <c r="I31" s="118">
        <v>6.2849000000000001E-9</v>
      </c>
      <c r="J31" s="118">
        <v>5.6411000000000003E-9</v>
      </c>
      <c r="K31" s="117">
        <v>6.1216999999999997E-9</v>
      </c>
      <c r="L31" s="118">
        <v>4.9961999999999998E-9</v>
      </c>
      <c r="M31" s="118">
        <v>5.8986999999999999E-9</v>
      </c>
      <c r="N31" s="117">
        <v>9.9938000000000008E-9</v>
      </c>
      <c r="O31" s="118">
        <v>6.4698000000000001E-9</v>
      </c>
      <c r="P31" s="118">
        <v>9.9681000000000008E-9</v>
      </c>
      <c r="Q31" s="117">
        <v>7.4969000000000004E-9</v>
      </c>
      <c r="R31" s="118">
        <v>8.4624000000000001E-9</v>
      </c>
      <c r="S31" s="118">
        <v>8.3330999999999997E-9</v>
      </c>
      <c r="T31" s="117">
        <v>8.0522999999999996E-9</v>
      </c>
      <c r="U31" s="118">
        <v>8.0905000000000005E-9</v>
      </c>
      <c r="V31" s="118">
        <v>8.1129000000000008E-9</v>
      </c>
      <c r="W31" s="117">
        <v>8.4208000000000005E-9</v>
      </c>
      <c r="X31" s="118">
        <v>9.3524000000000001E-9</v>
      </c>
      <c r="Y31" s="118">
        <v>9.6870999999999998E-9</v>
      </c>
      <c r="Z31" s="117">
        <v>9.5976999999999996E-9</v>
      </c>
      <c r="AA31" s="118">
        <v>9.4909E-9</v>
      </c>
      <c r="AB31" s="118">
        <v>9.4222000000000008E-9</v>
      </c>
      <c r="AC31" s="117">
        <v>9.2464000000000007E-9</v>
      </c>
      <c r="AD31" s="118">
        <v>9.9584000000000007E-9</v>
      </c>
      <c r="AE31" s="118">
        <v>9.8536E-9</v>
      </c>
      <c r="AF31" s="117">
        <v>9.8698000000000008E-9</v>
      </c>
      <c r="AG31" s="118">
        <v>9.5257999999999995E-9</v>
      </c>
      <c r="AH31" s="118">
        <v>9.3849000000000005E-9</v>
      </c>
    </row>
  </sheetData>
  <conditionalFormatting sqref="B1:AH31">
    <cfRule type="expression" dxfId="2" priority="2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AE357-5175-4504-83F2-4427EDF82168}">
  <sheetPr codeName="Лист8"/>
  <dimension ref="A1:AH20"/>
  <sheetViews>
    <sheetView topLeftCell="P1" zoomScaleNormal="100" workbookViewId="0">
      <selection sqref="A1:AH20"/>
    </sheetView>
  </sheetViews>
  <sheetFormatPr defaultRowHeight="21" x14ac:dyDescent="0.35"/>
  <sheetData>
    <row r="1" spans="1:34" x14ac:dyDescent="0.35">
      <c r="A1" s="94" t="s">
        <v>43</v>
      </c>
      <c r="B1" s="95">
        <v>273.10000000000002</v>
      </c>
      <c r="C1" s="95">
        <v>289.7</v>
      </c>
      <c r="D1" s="95">
        <v>306.2</v>
      </c>
      <c r="E1" s="95">
        <v>322.7</v>
      </c>
      <c r="F1" s="95">
        <v>339.2</v>
      </c>
      <c r="G1" s="95">
        <v>405.3</v>
      </c>
      <c r="H1" s="95">
        <v>421.8</v>
      </c>
      <c r="I1" s="95">
        <v>438.3</v>
      </c>
      <c r="J1" s="95">
        <v>454.9</v>
      </c>
      <c r="K1" s="95">
        <v>471.4</v>
      </c>
      <c r="L1" s="95">
        <v>487.9</v>
      </c>
      <c r="M1" s="95">
        <v>504.4</v>
      </c>
      <c r="N1" s="95">
        <v>520.9</v>
      </c>
      <c r="O1" s="95">
        <v>537.5</v>
      </c>
      <c r="P1" s="96">
        <v>554</v>
      </c>
      <c r="Q1" s="95">
        <v>570.5</v>
      </c>
      <c r="R1" s="96">
        <v>587</v>
      </c>
      <c r="S1" s="95">
        <v>603.5</v>
      </c>
      <c r="T1" s="95">
        <v>620.1</v>
      </c>
      <c r="U1" s="95">
        <v>636.6</v>
      </c>
      <c r="V1" s="95">
        <v>653.1</v>
      </c>
      <c r="W1" s="95">
        <v>669.6</v>
      </c>
      <c r="X1" s="95">
        <v>735.7</v>
      </c>
      <c r="Y1" s="95">
        <v>801.8</v>
      </c>
      <c r="Z1" s="95">
        <v>818.3</v>
      </c>
      <c r="AA1" s="95">
        <v>834.8</v>
      </c>
      <c r="AB1" s="95">
        <v>851.3</v>
      </c>
      <c r="AC1" s="95">
        <v>867.8</v>
      </c>
      <c r="AD1" s="95">
        <v>884.4</v>
      </c>
      <c r="AE1" s="95">
        <v>900.9</v>
      </c>
      <c r="AF1" s="95">
        <v>917.4</v>
      </c>
      <c r="AG1" s="95">
        <v>933.9</v>
      </c>
      <c r="AH1" s="95">
        <v>1000</v>
      </c>
    </row>
    <row r="2" spans="1:34" x14ac:dyDescent="0.35">
      <c r="A2" s="97" t="s">
        <v>56</v>
      </c>
      <c r="B2" s="111">
        <v>7.5756000000000005E-29</v>
      </c>
      <c r="C2" s="112">
        <v>2.9401999999999999E-27</v>
      </c>
      <c r="D2" s="112">
        <v>9.9583000000000004E-26</v>
      </c>
      <c r="E2" s="111">
        <v>3.5787999999999998E-24</v>
      </c>
      <c r="F2" s="112">
        <v>1.4182000000000001E-22</v>
      </c>
      <c r="G2" s="112">
        <v>1.2896E-16</v>
      </c>
      <c r="H2" s="111">
        <v>2.2897000000000001E-15</v>
      </c>
      <c r="I2" s="112">
        <v>3.1573000000000001E-14</v>
      </c>
      <c r="J2" s="112">
        <v>3.4560000000000001E-13</v>
      </c>
      <c r="K2" s="111">
        <v>3.1638999999999999E-12</v>
      </c>
      <c r="L2" s="112">
        <v>2.5638999999999999E-11</v>
      </c>
      <c r="M2" s="112">
        <v>1.9056999999999999E-10</v>
      </c>
      <c r="N2" s="111">
        <v>1.3130999999999999E-9</v>
      </c>
      <c r="O2" s="112">
        <v>8.3702999999999995E-9</v>
      </c>
      <c r="P2" s="112">
        <v>4.9187999999999997E-8</v>
      </c>
      <c r="Q2" s="121">
        <v>2.664E-7</v>
      </c>
      <c r="R2" s="122">
        <v>1.3331E-6</v>
      </c>
      <c r="S2" s="122">
        <v>6.1879999999999999E-6</v>
      </c>
      <c r="T2" s="111">
        <v>2.6750999999999998E-5</v>
      </c>
      <c r="U2" s="112">
        <v>1.0794999999999999E-4</v>
      </c>
      <c r="V2" s="112">
        <v>4.0492000000000002E-4</v>
      </c>
      <c r="W2" s="111">
        <v>1.3795999999999999E-3</v>
      </c>
      <c r="X2" s="112">
        <v>1.6258999999999999E-2</v>
      </c>
      <c r="Y2" s="112">
        <v>1.4115000000000001E-2</v>
      </c>
      <c r="Z2" s="111">
        <v>1.2591E-2</v>
      </c>
      <c r="AA2" s="112">
        <v>1.0965000000000001E-2</v>
      </c>
      <c r="AB2" s="112">
        <v>9.3370999999999992E-3</v>
      </c>
      <c r="AC2" s="111">
        <v>7.8056000000000002E-3</v>
      </c>
      <c r="AD2" s="112">
        <v>6.3140999999999996E-3</v>
      </c>
      <c r="AE2" s="112">
        <v>2.9566000000000002E-3</v>
      </c>
      <c r="AF2" s="111">
        <v>1.3887999999999999E-3</v>
      </c>
      <c r="AG2" s="112">
        <v>6.6326999999999998E-4</v>
      </c>
      <c r="AH2" s="112">
        <v>4.0513999999999999E-5</v>
      </c>
    </row>
    <row r="3" spans="1:34" x14ac:dyDescent="0.35">
      <c r="A3" s="98" t="s">
        <v>57</v>
      </c>
      <c r="B3" s="113">
        <v>5.2854000000000005E-7</v>
      </c>
      <c r="C3" s="114">
        <v>1.1217E-6</v>
      </c>
      <c r="D3" s="114">
        <v>2.6616999999999999E-6</v>
      </c>
      <c r="E3" s="113">
        <v>7.6415999999999998E-6</v>
      </c>
      <c r="F3" s="114">
        <v>2.5486E-5</v>
      </c>
      <c r="G3" s="114">
        <v>2.6394000000000001E-3</v>
      </c>
      <c r="H3" s="113">
        <v>6.7882000000000003E-3</v>
      </c>
      <c r="I3" s="114">
        <v>1.537E-2</v>
      </c>
      <c r="J3" s="114">
        <v>3.0145000000000002E-2</v>
      </c>
      <c r="K3" s="113">
        <v>5.1109000000000002E-2</v>
      </c>
      <c r="L3" s="114">
        <v>7.5374999999999998E-2</v>
      </c>
      <c r="M3" s="114">
        <v>9.7961999999999994E-2</v>
      </c>
      <c r="N3" s="113">
        <v>0.11501</v>
      </c>
      <c r="O3" s="114">
        <v>0.12592999999999999</v>
      </c>
      <c r="P3" s="114">
        <v>0.13225000000000001</v>
      </c>
      <c r="Q3" s="113">
        <v>0.13572999999999999</v>
      </c>
      <c r="R3" s="114">
        <v>0.13761999999999999</v>
      </c>
      <c r="S3" s="114">
        <v>0.13866000000000001</v>
      </c>
      <c r="T3" s="113">
        <v>0.13922000000000001</v>
      </c>
      <c r="U3" s="114">
        <v>0.13954</v>
      </c>
      <c r="V3" s="114">
        <v>0.13972999999999999</v>
      </c>
      <c r="W3" s="113">
        <v>0.13983000000000001</v>
      </c>
      <c r="X3" s="114">
        <v>0.13997000000000001</v>
      </c>
      <c r="Y3" s="114">
        <v>0.13999</v>
      </c>
      <c r="Z3" s="113">
        <v>0.14000000000000001</v>
      </c>
      <c r="AA3" s="114">
        <v>0.14000000000000001</v>
      </c>
      <c r="AB3" s="114">
        <v>0.14000000000000001</v>
      </c>
      <c r="AC3" s="113">
        <v>0.14000000000000001</v>
      </c>
      <c r="AD3" s="114">
        <v>0.13999</v>
      </c>
      <c r="AE3" s="114">
        <v>0.13966999999999999</v>
      </c>
      <c r="AF3" s="113">
        <v>0.13941000000000001</v>
      </c>
      <c r="AG3" s="114">
        <v>0.13919000000000001</v>
      </c>
      <c r="AH3" s="114">
        <v>0.13839000000000001</v>
      </c>
    </row>
    <row r="4" spans="1:34" x14ac:dyDescent="0.35">
      <c r="A4" s="98" t="s">
        <v>58</v>
      </c>
      <c r="B4" s="113">
        <v>2.7998999999999999E-28</v>
      </c>
      <c r="C4" s="114">
        <v>1.0385999999999999E-26</v>
      </c>
      <c r="D4" s="114">
        <v>3.2712999999999998E-25</v>
      </c>
      <c r="E4" s="115">
        <v>1.026E-23</v>
      </c>
      <c r="F4" s="116">
        <v>3.2961E-22</v>
      </c>
      <c r="G4" s="116">
        <v>1.0036000000000001E-16</v>
      </c>
      <c r="H4" s="113">
        <v>1.4244E-15</v>
      </c>
      <c r="I4" s="114">
        <v>1.6396999999999999E-14</v>
      </c>
      <c r="J4" s="114">
        <v>1.5638000000000001E-13</v>
      </c>
      <c r="K4" s="113">
        <v>1.2856000000000001E-12</v>
      </c>
      <c r="L4" s="114">
        <v>9.4622000000000006E-12</v>
      </c>
      <c r="M4" s="114">
        <v>6.3634E-11</v>
      </c>
      <c r="N4" s="113">
        <v>3.9289000000000003E-10</v>
      </c>
      <c r="O4" s="114">
        <v>2.2262E-9</v>
      </c>
      <c r="P4" s="114">
        <v>1.1587E-8</v>
      </c>
      <c r="Q4" s="113">
        <v>5.5549000000000003E-8</v>
      </c>
      <c r="R4" s="114">
        <v>2.4629999999999998E-7</v>
      </c>
      <c r="S4" s="114">
        <v>1.0144E-6</v>
      </c>
      <c r="T4" s="113">
        <v>3.8963999999999997E-6</v>
      </c>
      <c r="U4" s="114">
        <v>1.3995999999999999E-5</v>
      </c>
      <c r="V4" s="114">
        <v>4.6999000000000002E-5</v>
      </c>
      <c r="W4" s="115">
        <v>1.4606999999999999E-4</v>
      </c>
      <c r="X4" s="116">
        <v>3.0864999999999998E-3</v>
      </c>
      <c r="Y4" s="116">
        <v>1.1698999999999999E-2</v>
      </c>
      <c r="Z4" s="115">
        <v>1.4792E-2</v>
      </c>
      <c r="AA4" s="116">
        <v>1.8062000000000002E-2</v>
      </c>
      <c r="AB4" s="116">
        <v>2.1322000000000001E-2</v>
      </c>
      <c r="AC4" s="115">
        <v>2.4386999999999999E-2</v>
      </c>
      <c r="AD4" s="116">
        <v>2.682E-2</v>
      </c>
      <c r="AE4" s="116">
        <v>2.1689E-2</v>
      </c>
      <c r="AF4" s="113">
        <v>1.7243999999999999E-2</v>
      </c>
      <c r="AG4" s="114">
        <v>1.3558000000000001E-2</v>
      </c>
      <c r="AH4" s="114">
        <v>4.5989000000000004E-3</v>
      </c>
    </row>
    <row r="5" spans="1:34" x14ac:dyDescent="0.35">
      <c r="A5" s="98" t="s">
        <v>59</v>
      </c>
      <c r="B5" s="113">
        <v>2.8265000000000001E-9</v>
      </c>
      <c r="C5" s="114">
        <v>8.0000999999999993E-9</v>
      </c>
      <c r="D5" s="114">
        <v>1.8224000000000002E-8</v>
      </c>
      <c r="E5" s="113">
        <v>3.2019999999999998E-8</v>
      </c>
      <c r="F5" s="114">
        <v>4.3060000000000003E-8</v>
      </c>
      <c r="G5" s="114">
        <v>3.1809999999999998E-8</v>
      </c>
      <c r="H5" s="113">
        <v>2.7503000000000001E-8</v>
      </c>
      <c r="I5" s="114">
        <v>2.4861E-8</v>
      </c>
      <c r="J5" s="114">
        <v>2.3668999999999998E-8</v>
      </c>
      <c r="K5" s="113">
        <v>2.3231999999999999E-8</v>
      </c>
      <c r="L5" s="114">
        <v>2.2659000000000001E-8</v>
      </c>
      <c r="M5" s="114">
        <v>2.1959999999999999E-8</v>
      </c>
      <c r="N5" s="113">
        <v>2.0686999999999999E-8</v>
      </c>
      <c r="O5" s="114">
        <v>1.8737999999999999E-8</v>
      </c>
      <c r="P5" s="114">
        <v>1.6546000000000001E-8</v>
      </c>
      <c r="Q5" s="113">
        <v>1.4403E-8</v>
      </c>
      <c r="R5" s="114">
        <v>1.2445E-8</v>
      </c>
      <c r="S5" s="114">
        <v>1.0713E-8</v>
      </c>
      <c r="T5" s="113">
        <v>9.2080999999999993E-9</v>
      </c>
      <c r="U5" s="114">
        <v>7.9125999999999993E-9</v>
      </c>
      <c r="V5" s="114">
        <v>6.8070999999999998E-9</v>
      </c>
      <c r="W5" s="113">
        <v>5.8781999999999998E-9</v>
      </c>
      <c r="X5" s="114">
        <v>3.4846000000000001E-9</v>
      </c>
      <c r="Y5" s="114">
        <v>1.9703000000000001E-9</v>
      </c>
      <c r="Z5" s="113">
        <v>1.7096E-9</v>
      </c>
      <c r="AA5" s="114">
        <v>1.4847000000000001E-9</v>
      </c>
      <c r="AB5" s="114">
        <v>1.2903E-9</v>
      </c>
      <c r="AC5" s="113">
        <v>1.1219E-9</v>
      </c>
      <c r="AD5" s="114">
        <v>9.7606000000000004E-10</v>
      </c>
      <c r="AE5" s="114">
        <v>8.5312000000000005E-10</v>
      </c>
      <c r="AF5" s="113">
        <v>7.4336000000000001E-10</v>
      </c>
      <c r="AG5" s="114">
        <v>6.4702000000000001E-10</v>
      </c>
      <c r="AH5" s="114">
        <v>3.7200000000000001E-10</v>
      </c>
    </row>
    <row r="6" spans="1:34" x14ac:dyDescent="0.35">
      <c r="A6" s="98" t="s">
        <v>60</v>
      </c>
      <c r="B6" s="113">
        <v>6.5148000000000001E-10</v>
      </c>
      <c r="C6" s="114">
        <v>2.0896999999999999E-9</v>
      </c>
      <c r="D6" s="114">
        <v>5.3268000000000003E-9</v>
      </c>
      <c r="E6" s="113">
        <v>1.036E-8</v>
      </c>
      <c r="F6" s="114">
        <v>1.5276999999999998E-8</v>
      </c>
      <c r="G6" s="114">
        <v>1.5183000000000001E-8</v>
      </c>
      <c r="H6" s="113">
        <v>1.3939999999999999E-8</v>
      </c>
      <c r="I6" s="114">
        <v>1.3321000000000001E-8</v>
      </c>
      <c r="J6" s="114">
        <v>1.3354E-8</v>
      </c>
      <c r="K6" s="113">
        <v>1.3752E-8</v>
      </c>
      <c r="L6" s="114">
        <v>1.4025999999999999E-8</v>
      </c>
      <c r="M6" s="114">
        <v>1.3751E-8</v>
      </c>
      <c r="N6" s="113">
        <v>1.2843E-8</v>
      </c>
      <c r="O6" s="114">
        <v>1.1528000000000001E-8</v>
      </c>
      <c r="P6" s="114">
        <v>1.0085000000000001E-8</v>
      </c>
      <c r="Q6" s="113">
        <v>8.6941000000000004E-9</v>
      </c>
      <c r="R6" s="114">
        <v>7.4380999999999998E-9</v>
      </c>
      <c r="S6" s="114">
        <v>6.3395000000000003E-9</v>
      </c>
      <c r="T6" s="113">
        <v>5.3942000000000003E-9</v>
      </c>
      <c r="U6" s="114">
        <v>4.5885E-9</v>
      </c>
      <c r="V6" s="114">
        <v>3.9075000000000004E-9</v>
      </c>
      <c r="W6" s="113">
        <v>3.3401000000000001E-9</v>
      </c>
      <c r="X6" s="114">
        <v>1.9017000000000002E-9</v>
      </c>
      <c r="Y6" s="114">
        <v>1.0337000000000001E-9</v>
      </c>
      <c r="Z6" s="113">
        <v>8.8833999999999995E-10</v>
      </c>
      <c r="AA6" s="114">
        <v>7.6410999999999996E-10</v>
      </c>
      <c r="AB6" s="114">
        <v>6.5776000000000001E-10</v>
      </c>
      <c r="AC6" s="113">
        <v>5.6653999999999999E-10</v>
      </c>
      <c r="AD6" s="114">
        <v>4.8829999999999996E-10</v>
      </c>
      <c r="AE6" s="114">
        <v>4.2284000000000001E-10</v>
      </c>
      <c r="AF6" s="113">
        <v>3.6505E-10</v>
      </c>
      <c r="AG6" s="114">
        <v>3.1482999999999999E-10</v>
      </c>
      <c r="AH6" s="114">
        <v>1.7455999999999999E-10</v>
      </c>
    </row>
    <row r="7" spans="1:34" x14ac:dyDescent="0.35">
      <c r="A7" s="94" t="s">
        <v>61</v>
      </c>
      <c r="B7" s="115">
        <v>2.3804999999999998E-3</v>
      </c>
      <c r="C7" s="116">
        <v>8.1585000000000008E-3</v>
      </c>
      <c r="D7" s="116">
        <v>2.2703000000000001E-2</v>
      </c>
      <c r="E7" s="115">
        <v>4.9029000000000003E-2</v>
      </c>
      <c r="F7" s="116">
        <v>8.1378000000000006E-2</v>
      </c>
      <c r="G7" s="116">
        <v>0.14174999999999999</v>
      </c>
      <c r="H7" s="115">
        <v>0.15184</v>
      </c>
      <c r="I7" s="116">
        <v>0.16986000000000001</v>
      </c>
      <c r="J7" s="116">
        <v>0.19985</v>
      </c>
      <c r="K7" s="115">
        <v>0.24199999999999999</v>
      </c>
      <c r="L7" s="116">
        <v>0.29065999999999997</v>
      </c>
      <c r="M7" s="116">
        <v>0.33589000000000002</v>
      </c>
      <c r="N7" s="115">
        <v>0.37001000000000001</v>
      </c>
      <c r="O7" s="116">
        <v>0.39185999999999999</v>
      </c>
      <c r="P7" s="116">
        <v>0.40450000000000003</v>
      </c>
      <c r="Q7" s="115">
        <v>0.41147</v>
      </c>
      <c r="R7" s="116">
        <v>0.41525000000000001</v>
      </c>
      <c r="S7" s="116">
        <v>0.41732000000000002</v>
      </c>
      <c r="T7" s="115">
        <v>0.41850999999999999</v>
      </c>
      <c r="U7" s="116">
        <v>0.41932999999999998</v>
      </c>
      <c r="V7" s="116">
        <v>0.42032999999999998</v>
      </c>
      <c r="W7" s="115">
        <v>0.42265000000000003</v>
      </c>
      <c r="X7" s="116">
        <v>0.45709</v>
      </c>
      <c r="Y7" s="116">
        <v>0.46577000000000002</v>
      </c>
      <c r="Z7" s="115">
        <v>0.46736</v>
      </c>
      <c r="AA7" s="116">
        <v>0.46901999999999999</v>
      </c>
      <c r="AB7" s="116">
        <v>0.47065000000000001</v>
      </c>
      <c r="AC7" s="115">
        <v>0.47219</v>
      </c>
      <c r="AD7" s="116">
        <v>0.47367999999999999</v>
      </c>
      <c r="AE7" s="116">
        <v>0.47704000000000002</v>
      </c>
      <c r="AF7" s="115">
        <v>0.47860999999999998</v>
      </c>
      <c r="AG7" s="116">
        <v>0.47933999999999999</v>
      </c>
      <c r="AH7" s="116">
        <v>0.47996</v>
      </c>
    </row>
    <row r="8" spans="1:34" x14ac:dyDescent="0.35">
      <c r="A8" s="94" t="s">
        <v>62</v>
      </c>
      <c r="B8" s="115">
        <v>7.2273000000000001E-12</v>
      </c>
      <c r="C8" s="116">
        <v>3.0615999999999998E-11</v>
      </c>
      <c r="D8" s="116">
        <v>1.0052000000000001E-10</v>
      </c>
      <c r="E8" s="115">
        <v>2.4645999999999999E-10</v>
      </c>
      <c r="F8" s="116">
        <v>4.4978000000000002E-10</v>
      </c>
      <c r="G8" s="116">
        <v>9.0864999999999996E-10</v>
      </c>
      <c r="H8" s="115">
        <v>9.6864999999999996E-10</v>
      </c>
      <c r="I8" s="116">
        <v>1.0653E-9</v>
      </c>
      <c r="J8" s="116">
        <v>1.2192000000000001E-9</v>
      </c>
      <c r="K8" s="115">
        <v>1.4232E-9</v>
      </c>
      <c r="L8" s="116">
        <v>1.6345000000000001E-9</v>
      </c>
      <c r="M8" s="116">
        <v>1.7936000000000001E-9</v>
      </c>
      <c r="N8" s="115">
        <v>1.8648E-9</v>
      </c>
      <c r="O8" s="116">
        <v>1.854E-9</v>
      </c>
      <c r="P8" s="116">
        <v>1.7882000000000001E-9</v>
      </c>
      <c r="Q8" s="115">
        <v>1.6925000000000001E-9</v>
      </c>
      <c r="R8" s="116">
        <v>1.5835E-9</v>
      </c>
      <c r="S8" s="116">
        <v>1.4704E-9</v>
      </c>
      <c r="T8" s="115">
        <v>1.3586E-9</v>
      </c>
      <c r="U8" s="116">
        <v>1.2509999999999999E-9</v>
      </c>
      <c r="V8" s="116">
        <v>1.1497000000000001E-9</v>
      </c>
      <c r="W8" s="115">
        <v>1.0578E-9</v>
      </c>
      <c r="X8" s="116">
        <v>7.8874999999999999E-10</v>
      </c>
      <c r="Y8" s="116">
        <v>5.4359999999999996E-10</v>
      </c>
      <c r="Z8" s="115">
        <v>4.9357999999999996E-10</v>
      </c>
      <c r="AA8" s="116">
        <v>4.4790000000000002E-10</v>
      </c>
      <c r="AB8" s="116">
        <v>4.0617E-10</v>
      </c>
      <c r="AC8" s="115">
        <v>3.6803000000000002E-10</v>
      </c>
      <c r="AD8" s="116">
        <v>3.3325000000000001E-10</v>
      </c>
      <c r="AE8" s="116">
        <v>3.0279999999999998E-10</v>
      </c>
      <c r="AF8" s="115">
        <v>2.7396999999999999E-10</v>
      </c>
      <c r="AG8" s="116">
        <v>2.4734E-10</v>
      </c>
      <c r="AH8" s="116">
        <v>1.6297000000000001E-10</v>
      </c>
    </row>
    <row r="9" spans="1:34" x14ac:dyDescent="0.35">
      <c r="A9" s="98" t="s">
        <v>63</v>
      </c>
      <c r="B9" s="113">
        <v>5.2854000000000005E-7</v>
      </c>
      <c r="C9" s="114">
        <v>1.1217E-6</v>
      </c>
      <c r="D9" s="114">
        <v>2.6616999999999999E-6</v>
      </c>
      <c r="E9" s="113">
        <v>7.6415999999999998E-6</v>
      </c>
      <c r="F9" s="114">
        <v>2.5486E-5</v>
      </c>
      <c r="G9" s="114">
        <v>2.6394000000000001E-3</v>
      </c>
      <c r="H9" s="113">
        <v>6.7882000000000003E-3</v>
      </c>
      <c r="I9" s="114">
        <v>1.537E-2</v>
      </c>
      <c r="J9" s="114">
        <v>3.0145000000000002E-2</v>
      </c>
      <c r="K9" s="113">
        <v>5.1109000000000002E-2</v>
      </c>
      <c r="L9" s="114">
        <v>7.5374999999999998E-2</v>
      </c>
      <c r="M9" s="114">
        <v>9.7961999999999994E-2</v>
      </c>
      <c r="N9" s="113">
        <v>0.11501</v>
      </c>
      <c r="O9" s="114">
        <v>0.12592999999999999</v>
      </c>
      <c r="P9" s="114">
        <v>0.13225000000000001</v>
      </c>
      <c r="Q9" s="113">
        <v>0.13572999999999999</v>
      </c>
      <c r="R9" s="114">
        <v>0.13761999999999999</v>
      </c>
      <c r="S9" s="114">
        <v>0.13866000000000001</v>
      </c>
      <c r="T9" s="113">
        <v>0.13922000000000001</v>
      </c>
      <c r="U9" s="114">
        <v>0.13954</v>
      </c>
      <c r="V9" s="114">
        <v>0.13972999999999999</v>
      </c>
      <c r="W9" s="113">
        <v>0.13983000000000001</v>
      </c>
      <c r="X9" s="114">
        <v>0.13997000000000001</v>
      </c>
      <c r="Y9" s="114">
        <v>0.13999</v>
      </c>
      <c r="Z9" s="113">
        <v>0.14000000000000001</v>
      </c>
      <c r="AA9" s="114">
        <v>0.14000000000000001</v>
      </c>
      <c r="AB9" s="114">
        <v>0.14000000000000001</v>
      </c>
      <c r="AC9" s="113">
        <v>0.14000000000000001</v>
      </c>
      <c r="AD9" s="114">
        <v>0.13999</v>
      </c>
      <c r="AE9" s="114">
        <v>0.13966999999999999</v>
      </c>
      <c r="AF9" s="113">
        <v>0.13941000000000001</v>
      </c>
      <c r="AG9" s="114">
        <v>0.13919000000000001</v>
      </c>
      <c r="AH9" s="114">
        <v>0.13839000000000001</v>
      </c>
    </row>
    <row r="10" spans="1:34" x14ac:dyDescent="0.35">
      <c r="A10" s="94" t="s">
        <v>64</v>
      </c>
      <c r="B10" s="115">
        <v>0</v>
      </c>
      <c r="C10" s="116">
        <v>0</v>
      </c>
      <c r="D10" s="116">
        <v>0</v>
      </c>
      <c r="E10" s="116">
        <v>0</v>
      </c>
      <c r="F10" s="116">
        <v>0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5">
        <v>0</v>
      </c>
      <c r="X10" s="116">
        <v>0</v>
      </c>
      <c r="Y10" s="116">
        <v>1.4259E-22</v>
      </c>
      <c r="Z10" s="113">
        <v>4.8393000000000001E-18</v>
      </c>
      <c r="AA10" s="114">
        <v>8.6730999999999997E-14</v>
      </c>
      <c r="AB10" s="114">
        <v>7.9190000000000003E-10</v>
      </c>
      <c r="AC10" s="113">
        <v>1.4299000000000001E-7</v>
      </c>
      <c r="AD10" s="114">
        <v>5.5106000000000003E-4</v>
      </c>
      <c r="AE10" s="114">
        <v>1.2390999999999999E-2</v>
      </c>
      <c r="AF10" s="113">
        <v>1.9973000000000001E-2</v>
      </c>
      <c r="AG10" s="114">
        <v>2.5111000000000001E-2</v>
      </c>
      <c r="AH10" s="114">
        <v>3.5318000000000002E-2</v>
      </c>
    </row>
    <row r="11" spans="1:34" x14ac:dyDescent="0.35">
      <c r="A11" s="94" t="s">
        <v>65</v>
      </c>
      <c r="B11" s="115">
        <v>0</v>
      </c>
      <c r="C11" s="116">
        <v>0</v>
      </c>
      <c r="D11" s="116">
        <v>0</v>
      </c>
      <c r="E11" s="116">
        <v>0</v>
      </c>
      <c r="F11" s="116">
        <v>0</v>
      </c>
      <c r="G11" s="116">
        <v>0</v>
      </c>
      <c r="H11" s="116">
        <v>0</v>
      </c>
      <c r="I11" s="116">
        <v>0</v>
      </c>
      <c r="J11" s="116">
        <v>0</v>
      </c>
      <c r="K11" s="116">
        <v>0</v>
      </c>
      <c r="L11" s="116">
        <v>0</v>
      </c>
      <c r="M11" s="116">
        <v>0</v>
      </c>
      <c r="N11" s="116">
        <v>0</v>
      </c>
      <c r="O11" s="116">
        <v>0</v>
      </c>
      <c r="P11" s="116">
        <v>0</v>
      </c>
      <c r="Q11" s="116">
        <v>0</v>
      </c>
      <c r="R11" s="116">
        <v>0</v>
      </c>
      <c r="S11" s="116">
        <v>0</v>
      </c>
      <c r="T11" s="116">
        <v>0</v>
      </c>
      <c r="U11" s="116">
        <v>0</v>
      </c>
      <c r="V11" s="116">
        <v>0</v>
      </c>
      <c r="W11" s="115">
        <v>0</v>
      </c>
      <c r="X11" s="116">
        <v>0</v>
      </c>
      <c r="Y11" s="116">
        <v>2.2449000000000001E-23</v>
      </c>
      <c r="Z11" s="113">
        <v>5.7803000000000002E-19</v>
      </c>
      <c r="AA11" s="114">
        <v>8.0229000000000003E-15</v>
      </c>
      <c r="AB11" s="114">
        <v>5.7836000000000002E-11</v>
      </c>
      <c r="AC11" s="113">
        <v>8.3879E-9</v>
      </c>
      <c r="AD11" s="114">
        <v>2.6605999999999999E-5</v>
      </c>
      <c r="AE11" s="114">
        <v>6.5841999999999995E-4</v>
      </c>
      <c r="AF11" s="113">
        <v>1.1711E-3</v>
      </c>
      <c r="AG11" s="114">
        <v>1.6188000000000001E-3</v>
      </c>
      <c r="AH11" s="114">
        <v>3.2217000000000001E-3</v>
      </c>
    </row>
    <row r="12" spans="1:34" x14ac:dyDescent="0.35">
      <c r="A12" s="94" t="s">
        <v>46</v>
      </c>
      <c r="B12" s="115">
        <v>-18.66</v>
      </c>
      <c r="C12" s="116">
        <v>-18.649999999999999</v>
      </c>
      <c r="D12" s="116">
        <v>-18.649999999999999</v>
      </c>
      <c r="E12" s="115">
        <v>-18.66</v>
      </c>
      <c r="F12" s="116">
        <v>-18.670000000000002</v>
      </c>
      <c r="G12" s="116">
        <v>-18.75</v>
      </c>
      <c r="H12" s="115">
        <v>-18.78</v>
      </c>
      <c r="I12" s="116">
        <v>-18.809999999999999</v>
      </c>
      <c r="J12" s="116">
        <v>-18.829999999999998</v>
      </c>
      <c r="K12" s="115">
        <v>-18.86</v>
      </c>
      <c r="L12" s="116">
        <v>-18.899999999999999</v>
      </c>
      <c r="M12" s="116">
        <v>-18.93</v>
      </c>
      <c r="N12" s="113">
        <v>-18.96</v>
      </c>
      <c r="O12" s="114">
        <v>-18.989999999999998</v>
      </c>
      <c r="P12" s="114">
        <v>-19.03</v>
      </c>
      <c r="Q12" s="113">
        <v>-19.059999999999999</v>
      </c>
      <c r="R12" s="114">
        <v>-19.100000000000001</v>
      </c>
      <c r="S12" s="114">
        <v>-19.13</v>
      </c>
      <c r="T12" s="113">
        <v>-19.170000000000002</v>
      </c>
      <c r="U12" s="114">
        <v>-19.2</v>
      </c>
      <c r="V12" s="114">
        <v>-19.23</v>
      </c>
      <c r="W12" s="113">
        <v>-19.27</v>
      </c>
      <c r="X12" s="114">
        <v>-19.38</v>
      </c>
      <c r="Y12" s="114">
        <v>-19.510000000000002</v>
      </c>
      <c r="Z12" s="113">
        <v>-19.55</v>
      </c>
      <c r="AA12" s="114">
        <v>-19.579999999999998</v>
      </c>
      <c r="AB12" s="114">
        <v>-19.61</v>
      </c>
      <c r="AC12" s="113">
        <v>-19.64</v>
      </c>
      <c r="AD12" s="114">
        <v>-19.670000000000002</v>
      </c>
      <c r="AE12" s="114">
        <v>-19.7</v>
      </c>
      <c r="AF12" s="113">
        <v>-19.73</v>
      </c>
      <c r="AG12" s="114">
        <v>-19.760000000000002</v>
      </c>
      <c r="AH12" s="114">
        <v>-19.88</v>
      </c>
    </row>
    <row r="13" spans="1:34" x14ac:dyDescent="0.35">
      <c r="A13" s="98" t="s">
        <v>47</v>
      </c>
      <c r="B13" s="113">
        <v>-67.12</v>
      </c>
      <c r="C13" s="114">
        <v>-63.52</v>
      </c>
      <c r="D13" s="114">
        <v>-60.12</v>
      </c>
      <c r="E13" s="113">
        <v>-56.76</v>
      </c>
      <c r="F13" s="114">
        <v>-53.4</v>
      </c>
      <c r="G13" s="114">
        <v>-41.04</v>
      </c>
      <c r="H13" s="113">
        <v>-38.450000000000003</v>
      </c>
      <c r="I13" s="114">
        <v>-36.08</v>
      </c>
      <c r="J13" s="114">
        <v>-33.93</v>
      </c>
      <c r="K13" s="113">
        <v>-31.94</v>
      </c>
      <c r="L13" s="114">
        <v>-30.07</v>
      </c>
      <c r="M13" s="114">
        <v>-28.28</v>
      </c>
      <c r="N13" s="113">
        <v>-26.54</v>
      </c>
      <c r="O13" s="114">
        <v>-24.87</v>
      </c>
      <c r="P13" s="114">
        <v>-23.27</v>
      </c>
      <c r="Q13" s="113">
        <v>-21.74</v>
      </c>
      <c r="R13" s="114">
        <v>-20.27</v>
      </c>
      <c r="S13" s="114">
        <v>-18.87</v>
      </c>
      <c r="T13" s="113">
        <v>-17.54</v>
      </c>
      <c r="U13" s="114">
        <v>-16.260000000000002</v>
      </c>
      <c r="V13" s="114">
        <v>-15.05</v>
      </c>
      <c r="W13" s="113">
        <v>-13.91</v>
      </c>
      <c r="X13" s="114">
        <v>-10.79</v>
      </c>
      <c r="Y13" s="114">
        <v>-9.1989999999999998</v>
      </c>
      <c r="Z13" s="113">
        <v>-8.8740000000000006</v>
      </c>
      <c r="AA13" s="114">
        <v>-8.5730000000000004</v>
      </c>
      <c r="AB13" s="114">
        <v>-8.2949999999999999</v>
      </c>
      <c r="AC13" s="113">
        <v>-8.0359999999999996</v>
      </c>
      <c r="AD13" s="114">
        <v>-7.8040000000000003</v>
      </c>
      <c r="AE13" s="114">
        <v>-7.8559999999999999</v>
      </c>
      <c r="AF13" s="113">
        <v>-7.915</v>
      </c>
      <c r="AG13" s="114">
        <v>-7.9720000000000004</v>
      </c>
      <c r="AH13" s="114">
        <v>-8.1969999999999992</v>
      </c>
    </row>
    <row r="14" spans="1:34" x14ac:dyDescent="0.35">
      <c r="A14" s="98" t="s">
        <v>48</v>
      </c>
      <c r="B14" s="113">
        <v>-16.98</v>
      </c>
      <c r="C14" s="114">
        <v>-16.239999999999998</v>
      </c>
      <c r="D14" s="114">
        <v>-15.42</v>
      </c>
      <c r="E14" s="113">
        <v>-14.46</v>
      </c>
      <c r="F14" s="114">
        <v>-13.36</v>
      </c>
      <c r="G14" s="114">
        <v>-8.9659999999999993</v>
      </c>
      <c r="H14" s="113">
        <v>-8.077</v>
      </c>
      <c r="I14" s="114">
        <v>-7.3339999999999996</v>
      </c>
      <c r="J14" s="114">
        <v>-6.7590000000000003</v>
      </c>
      <c r="K14" s="113">
        <v>-6.35</v>
      </c>
      <c r="L14" s="114">
        <v>-6.0869999999999997</v>
      </c>
      <c r="M14" s="114">
        <v>-5.9379999999999997</v>
      </c>
      <c r="N14" s="113">
        <v>-5.87</v>
      </c>
      <c r="O14" s="114">
        <v>-5.8520000000000003</v>
      </c>
      <c r="P14" s="114">
        <v>-5.8609999999999998</v>
      </c>
      <c r="Q14" s="113">
        <v>-5.8860000000000001</v>
      </c>
      <c r="R14" s="114">
        <v>-5.9180000000000001</v>
      </c>
      <c r="S14" s="114">
        <v>-5.9550000000000001</v>
      </c>
      <c r="T14" s="113">
        <v>-5.9930000000000003</v>
      </c>
      <c r="U14" s="114">
        <v>-6.0330000000000004</v>
      </c>
      <c r="V14" s="114">
        <v>-6.0739999999999998</v>
      </c>
      <c r="W14" s="113">
        <v>-6.1180000000000003</v>
      </c>
      <c r="X14" s="114">
        <v>-6.3319999999999999</v>
      </c>
      <c r="Y14" s="114">
        <v>-6.508</v>
      </c>
      <c r="Z14" s="113">
        <v>-6.5510000000000002</v>
      </c>
      <c r="AA14" s="114">
        <v>-6.5940000000000003</v>
      </c>
      <c r="AB14" s="114">
        <v>-6.6360000000000001</v>
      </c>
      <c r="AC14" s="113">
        <v>-6.6779999999999999</v>
      </c>
      <c r="AD14" s="114">
        <v>-6.7190000000000003</v>
      </c>
      <c r="AE14" s="114">
        <v>-6.7510000000000003</v>
      </c>
      <c r="AF14" s="113">
        <v>-6.7839999999999998</v>
      </c>
      <c r="AG14" s="114">
        <v>-6.8170000000000002</v>
      </c>
      <c r="AH14" s="114">
        <v>-6.9539999999999997</v>
      </c>
    </row>
    <row r="15" spans="1:34" x14ac:dyDescent="0.35">
      <c r="A15" s="98" t="s">
        <v>49</v>
      </c>
      <c r="B15" s="113">
        <v>-23.56</v>
      </c>
      <c r="C15" s="114">
        <v>-22.53</v>
      </c>
      <c r="D15" s="114">
        <v>-21.75</v>
      </c>
      <c r="E15" s="113">
        <v>-21.28</v>
      </c>
      <c r="F15" s="114">
        <v>-21.09</v>
      </c>
      <c r="G15" s="114">
        <v>-21.65</v>
      </c>
      <c r="H15" s="113">
        <v>-21.85</v>
      </c>
      <c r="I15" s="114">
        <v>-22.03</v>
      </c>
      <c r="J15" s="114">
        <v>-22.18</v>
      </c>
      <c r="K15" s="113">
        <v>-22.32</v>
      </c>
      <c r="L15" s="114">
        <v>-22.47</v>
      </c>
      <c r="M15" s="114">
        <v>-22.65</v>
      </c>
      <c r="N15" s="113">
        <v>-22.86</v>
      </c>
      <c r="O15" s="114">
        <v>-23.08</v>
      </c>
      <c r="P15" s="114">
        <v>-23.31</v>
      </c>
      <c r="Q15" s="113">
        <v>-23.54</v>
      </c>
      <c r="R15" s="114">
        <v>-23.78</v>
      </c>
      <c r="S15" s="114">
        <v>-24.01</v>
      </c>
      <c r="T15" s="113">
        <v>-24.25</v>
      </c>
      <c r="U15" s="114">
        <v>-24.48</v>
      </c>
      <c r="V15" s="114">
        <v>-24.71</v>
      </c>
      <c r="W15" s="113">
        <v>-24.94</v>
      </c>
      <c r="X15" s="114">
        <v>-25.82</v>
      </c>
      <c r="Y15" s="114">
        <v>-26.68</v>
      </c>
      <c r="Z15" s="113">
        <v>-26.9</v>
      </c>
      <c r="AA15" s="114">
        <v>-27.11</v>
      </c>
      <c r="AB15" s="114">
        <v>-27.32</v>
      </c>
      <c r="AC15" s="113">
        <v>-27.52</v>
      </c>
      <c r="AD15" s="114">
        <v>-27.73</v>
      </c>
      <c r="AE15" s="114">
        <v>-27.92</v>
      </c>
      <c r="AF15" s="113">
        <v>-28.11</v>
      </c>
      <c r="AG15" s="114">
        <v>-28.3</v>
      </c>
      <c r="AH15" s="114">
        <v>-29.08</v>
      </c>
    </row>
    <row r="16" spans="1:34" x14ac:dyDescent="0.35">
      <c r="A16" s="98" t="s">
        <v>50</v>
      </c>
      <c r="B16" s="113">
        <v>0.20829</v>
      </c>
      <c r="C16" s="114">
        <v>0.20818999999999999</v>
      </c>
      <c r="D16" s="114">
        <v>0.20796000000000001</v>
      </c>
      <c r="E16" s="113">
        <v>0.20755999999999999</v>
      </c>
      <c r="F16" s="114">
        <v>0.20713000000000001</v>
      </c>
      <c r="G16" s="114">
        <v>0.20643</v>
      </c>
      <c r="H16" s="113">
        <v>0.20633000000000001</v>
      </c>
      <c r="I16" s="114">
        <v>0.20616000000000001</v>
      </c>
      <c r="J16" s="114">
        <v>0.20588000000000001</v>
      </c>
      <c r="K16" s="113">
        <v>0.20554</v>
      </c>
      <c r="L16" s="114">
        <v>0.20519000000000001</v>
      </c>
      <c r="M16" s="114">
        <v>0.2049</v>
      </c>
      <c r="N16" s="113">
        <v>0.20471</v>
      </c>
      <c r="O16" s="114">
        <v>0.20458999999999999</v>
      </c>
      <c r="P16" s="114">
        <v>0.20452000000000001</v>
      </c>
      <c r="Q16" s="113">
        <v>0.20449000000000001</v>
      </c>
      <c r="R16" s="114">
        <v>0.20447000000000001</v>
      </c>
      <c r="S16" s="114">
        <v>0.20446</v>
      </c>
      <c r="T16" s="113">
        <v>0.20444999999999999</v>
      </c>
      <c r="U16" s="114">
        <v>0.20441999999999999</v>
      </c>
      <c r="V16" s="114">
        <v>0.20435</v>
      </c>
      <c r="W16" s="113">
        <v>0.2041</v>
      </c>
      <c r="X16" s="114">
        <v>0.20046</v>
      </c>
      <c r="Y16" s="114">
        <v>0.20000999999999999</v>
      </c>
      <c r="Z16" s="115">
        <v>0.2</v>
      </c>
      <c r="AA16" s="116">
        <v>0.2</v>
      </c>
      <c r="AB16" s="116">
        <v>0.2</v>
      </c>
      <c r="AC16" s="115">
        <v>0.2</v>
      </c>
      <c r="AD16" s="116">
        <v>0.2</v>
      </c>
      <c r="AE16" s="116">
        <v>0.2</v>
      </c>
      <c r="AF16" s="115">
        <v>0.2</v>
      </c>
      <c r="AG16" s="116">
        <v>0.2</v>
      </c>
      <c r="AH16" s="116">
        <v>0.2</v>
      </c>
    </row>
    <row r="17" spans="1:34" x14ac:dyDescent="0.35">
      <c r="A17" s="98" t="s">
        <v>66</v>
      </c>
      <c r="B17" s="113">
        <v>0.29409000000000002</v>
      </c>
      <c r="C17" s="114">
        <v>0.29996</v>
      </c>
      <c r="D17" s="114">
        <v>0.31474999999999997</v>
      </c>
      <c r="E17" s="113">
        <v>0.34147</v>
      </c>
      <c r="F17" s="114">
        <v>0.37425000000000003</v>
      </c>
      <c r="G17" s="114">
        <v>0.43531999999999998</v>
      </c>
      <c r="H17" s="113">
        <v>0.44551000000000002</v>
      </c>
      <c r="I17" s="114">
        <v>0.46371000000000001</v>
      </c>
      <c r="J17" s="114">
        <v>0.49396000000000001</v>
      </c>
      <c r="K17" s="113">
        <v>0.53646000000000005</v>
      </c>
      <c r="L17" s="114">
        <v>0.58545999999999998</v>
      </c>
      <c r="M17" s="114">
        <v>0.63097999999999999</v>
      </c>
      <c r="N17" s="113">
        <v>0.6653</v>
      </c>
      <c r="O17" s="114">
        <v>0.68727000000000005</v>
      </c>
      <c r="P17" s="114">
        <v>0.69998000000000005</v>
      </c>
      <c r="Q17" s="113">
        <v>0.70698000000000005</v>
      </c>
      <c r="R17" s="114">
        <v>0.71077999999999997</v>
      </c>
      <c r="S17" s="114">
        <v>0.71287</v>
      </c>
      <c r="T17" s="113">
        <v>0.71406999999999998</v>
      </c>
      <c r="U17" s="114">
        <v>0.71491000000000005</v>
      </c>
      <c r="V17" s="114">
        <v>0.71601000000000004</v>
      </c>
      <c r="W17" s="113">
        <v>0.71862000000000004</v>
      </c>
      <c r="X17" s="114">
        <v>0.75817999999999997</v>
      </c>
      <c r="Y17" s="114">
        <v>0.77161000000000002</v>
      </c>
      <c r="Z17" s="113">
        <v>0.77476</v>
      </c>
      <c r="AA17" s="114">
        <v>0.77805000000000002</v>
      </c>
      <c r="AB17" s="114">
        <v>0.78132000000000001</v>
      </c>
      <c r="AC17" s="113">
        <v>0.78437999999999997</v>
      </c>
      <c r="AD17" s="114">
        <v>0.78678999999999999</v>
      </c>
      <c r="AE17" s="114">
        <v>0.78103</v>
      </c>
      <c r="AF17" s="113">
        <v>0.77607000000000004</v>
      </c>
      <c r="AG17" s="114">
        <v>0.77193999999999996</v>
      </c>
      <c r="AH17" s="114">
        <v>0.76137999999999995</v>
      </c>
    </row>
    <row r="18" spans="1:34" x14ac:dyDescent="0.35">
      <c r="A18" s="98" t="s">
        <v>67</v>
      </c>
      <c r="B18" s="113">
        <v>2.4662999999999999E-43</v>
      </c>
      <c r="C18" s="114">
        <v>5.0292999999999998E-42</v>
      </c>
      <c r="D18" s="114">
        <v>6.0395999999999997E-43</v>
      </c>
      <c r="E18" s="115">
        <v>0</v>
      </c>
      <c r="F18" s="116">
        <v>0</v>
      </c>
      <c r="G18" s="99">
        <v>0</v>
      </c>
      <c r="H18" s="99">
        <v>0</v>
      </c>
      <c r="I18" s="99">
        <v>0</v>
      </c>
      <c r="J18" s="99">
        <v>0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0</v>
      </c>
      <c r="U18" s="99">
        <v>0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  <c r="AA18" s="99">
        <v>0</v>
      </c>
      <c r="AB18" s="99">
        <v>0</v>
      </c>
      <c r="AC18" s="99">
        <v>0</v>
      </c>
      <c r="AD18" s="99">
        <v>0</v>
      </c>
      <c r="AE18" s="99">
        <v>0</v>
      </c>
      <c r="AF18" s="99">
        <v>0</v>
      </c>
      <c r="AG18" s="99">
        <v>0</v>
      </c>
      <c r="AH18" s="99">
        <v>0</v>
      </c>
    </row>
    <row r="19" spans="1:34" x14ac:dyDescent="0.35">
      <c r="A19" s="94" t="s">
        <v>68</v>
      </c>
      <c r="B19" s="115">
        <v>0</v>
      </c>
      <c r="C19" s="116">
        <v>0</v>
      </c>
      <c r="D19" s="99" t="s">
        <v>52</v>
      </c>
      <c r="E19" s="115">
        <v>0</v>
      </c>
      <c r="F19" s="116">
        <v>0</v>
      </c>
      <c r="G19" s="99" t="s">
        <v>52</v>
      </c>
      <c r="H19" s="115">
        <v>0</v>
      </c>
      <c r="I19" s="116">
        <v>0</v>
      </c>
      <c r="J19" s="99" t="s">
        <v>52</v>
      </c>
      <c r="K19" s="115">
        <v>0</v>
      </c>
      <c r="L19" s="116">
        <v>0</v>
      </c>
      <c r="M19" s="99" t="s">
        <v>52</v>
      </c>
      <c r="N19" s="115">
        <v>0</v>
      </c>
      <c r="O19" s="116">
        <v>0</v>
      </c>
      <c r="P19" s="99" t="s">
        <v>52</v>
      </c>
      <c r="Q19" s="115">
        <v>0</v>
      </c>
      <c r="R19" s="116">
        <v>0</v>
      </c>
      <c r="S19" s="99" t="s">
        <v>52</v>
      </c>
      <c r="T19" s="115">
        <v>0</v>
      </c>
      <c r="U19" s="116">
        <v>0</v>
      </c>
      <c r="V19" s="99" t="s">
        <v>52</v>
      </c>
      <c r="W19" s="115">
        <v>0</v>
      </c>
      <c r="X19" s="116">
        <v>1.3284000000000001E-41</v>
      </c>
      <c r="Y19" s="116">
        <v>8.0521000000000001E-22</v>
      </c>
      <c r="Z19" s="113">
        <v>1.8623E-17</v>
      </c>
      <c r="AA19" s="114">
        <v>2.3323000000000001E-13</v>
      </c>
      <c r="AB19" s="114">
        <v>1.5232999999999999E-9</v>
      </c>
      <c r="AC19" s="113">
        <v>2.0087E-7</v>
      </c>
      <c r="AD19" s="114">
        <v>5.8102000000000002E-4</v>
      </c>
      <c r="AE19" s="114">
        <v>1.3049E-2</v>
      </c>
      <c r="AF19" s="113">
        <v>2.1144E-2</v>
      </c>
      <c r="AG19" s="114">
        <v>2.673E-2</v>
      </c>
      <c r="AH19" s="114">
        <v>3.8538999999999997E-2</v>
      </c>
    </row>
    <row r="20" spans="1:34" x14ac:dyDescent="0.35">
      <c r="A20" s="100" t="s">
        <v>51</v>
      </c>
      <c r="B20" s="117">
        <v>5.6684999999999996E-9</v>
      </c>
      <c r="C20" s="118">
        <v>5.1434999999999999E-9</v>
      </c>
      <c r="D20" s="118">
        <v>5.7163000000000002E-9</v>
      </c>
      <c r="E20" s="117">
        <v>7.2030999999999997E-9</v>
      </c>
      <c r="F20" s="118">
        <v>7.4482E-9</v>
      </c>
      <c r="G20" s="118">
        <v>9.1720999999999998E-9</v>
      </c>
      <c r="H20" s="117">
        <v>7.4795999999999997E-9</v>
      </c>
      <c r="I20" s="118">
        <v>6.2849000000000001E-9</v>
      </c>
      <c r="J20" s="118">
        <v>5.6411000000000003E-9</v>
      </c>
      <c r="K20" s="117">
        <v>6.1216999999999997E-9</v>
      </c>
      <c r="L20" s="118">
        <v>4.9961999999999998E-9</v>
      </c>
      <c r="M20" s="118">
        <v>5.8986999999999999E-9</v>
      </c>
      <c r="N20" s="117">
        <v>9.9938000000000008E-9</v>
      </c>
      <c r="O20" s="118">
        <v>6.4698000000000001E-9</v>
      </c>
      <c r="P20" s="118">
        <v>9.9681000000000008E-9</v>
      </c>
      <c r="Q20" s="117">
        <v>7.4969000000000004E-9</v>
      </c>
      <c r="R20" s="118">
        <v>8.4624000000000001E-9</v>
      </c>
      <c r="S20" s="118">
        <v>8.3330999999999997E-9</v>
      </c>
      <c r="T20" s="117">
        <v>8.0522999999999996E-9</v>
      </c>
      <c r="U20" s="118">
        <v>8.0905000000000005E-9</v>
      </c>
      <c r="V20" s="118">
        <v>8.1129000000000008E-9</v>
      </c>
      <c r="W20" s="117">
        <v>8.4208000000000005E-9</v>
      </c>
      <c r="X20" s="118">
        <v>9.3524000000000001E-9</v>
      </c>
      <c r="Y20" s="118">
        <v>9.6870999999999998E-9</v>
      </c>
      <c r="Z20" s="117">
        <v>9.5976999999999996E-9</v>
      </c>
      <c r="AA20" s="118">
        <v>9.4909E-9</v>
      </c>
      <c r="AB20" s="118">
        <v>9.4222000000000008E-9</v>
      </c>
      <c r="AC20" s="117">
        <v>9.2464000000000007E-9</v>
      </c>
      <c r="AD20" s="118">
        <v>9.9584000000000007E-9</v>
      </c>
      <c r="AE20" s="118">
        <v>9.8536E-9</v>
      </c>
      <c r="AF20" s="117">
        <v>9.8698000000000008E-9</v>
      </c>
      <c r="AG20" s="118">
        <v>9.5257999999999995E-9</v>
      </c>
      <c r="AH20" s="118">
        <v>9.3849000000000005E-9</v>
      </c>
    </row>
  </sheetData>
  <conditionalFormatting sqref="B1:AH2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28EF0-E686-4B3C-BD34-E621E924E0B1}">
  <sheetPr codeName="Лист9"/>
  <dimension ref="A1:U23"/>
  <sheetViews>
    <sheetView workbookViewId="0">
      <selection activeCell="D14" sqref="D14:E14"/>
    </sheetView>
  </sheetViews>
  <sheetFormatPr defaultRowHeight="21" x14ac:dyDescent="0.35"/>
  <sheetData>
    <row r="1" spans="1:21" s="55" customFormat="1" ht="21" customHeight="1" x14ac:dyDescent="0.35">
      <c r="A1" s="123"/>
      <c r="B1" s="124"/>
      <c r="C1" s="124"/>
      <c r="D1" s="124"/>
      <c r="E1" s="124"/>
      <c r="F1" s="124"/>
      <c r="G1" s="157"/>
      <c r="H1" s="157"/>
      <c r="I1" s="157"/>
      <c r="J1" s="157"/>
      <c r="K1" s="126"/>
      <c r="L1" s="157"/>
      <c r="M1" s="157"/>
      <c r="N1" s="157"/>
      <c r="O1" s="157"/>
      <c r="P1" s="126"/>
      <c r="Q1" s="157"/>
      <c r="R1" s="157"/>
      <c r="S1" s="157"/>
      <c r="T1" s="157"/>
      <c r="U1" s="127"/>
    </row>
    <row r="2" spans="1:21" s="55" customFormat="1" x14ac:dyDescent="0.35">
      <c r="A2" s="124"/>
      <c r="B2" s="124"/>
      <c r="C2" s="124"/>
      <c r="D2" s="124"/>
      <c r="E2" s="124"/>
      <c r="F2" s="124"/>
      <c r="G2" s="158"/>
      <c r="H2" s="158"/>
      <c r="I2" s="158"/>
      <c r="J2" s="158"/>
      <c r="K2" s="128"/>
      <c r="L2" s="158"/>
      <c r="M2" s="158"/>
      <c r="N2" s="158"/>
      <c r="O2" s="158"/>
      <c r="P2" s="128"/>
      <c r="Q2" s="158"/>
      <c r="R2" s="158"/>
      <c r="S2" s="158"/>
      <c r="T2" s="158"/>
      <c r="U2" s="129"/>
    </row>
    <row r="3" spans="1:21" s="55" customFormat="1" x14ac:dyDescent="0.35">
      <c r="A3" s="125"/>
      <c r="B3" s="124"/>
      <c r="C3" s="124"/>
      <c r="D3" s="124"/>
      <c r="E3" s="124"/>
      <c r="F3" s="124"/>
      <c r="G3" s="158"/>
      <c r="H3" s="158"/>
      <c r="I3" s="158"/>
      <c r="J3" s="158"/>
      <c r="K3" s="163"/>
      <c r="L3" s="158"/>
      <c r="M3" s="158"/>
      <c r="N3" s="158"/>
      <c r="O3" s="158"/>
      <c r="P3" s="163"/>
      <c r="Q3" s="158"/>
      <c r="R3" s="158"/>
      <c r="S3" s="158"/>
      <c r="T3" s="158"/>
      <c r="U3" s="160"/>
    </row>
    <row r="4" spans="1:21" s="55" customFormat="1" x14ac:dyDescent="0.35">
      <c r="A4" s="124"/>
      <c r="B4" s="124"/>
      <c r="C4" s="124"/>
      <c r="D4" s="124"/>
      <c r="E4" s="124"/>
      <c r="F4" s="124"/>
      <c r="G4" s="159"/>
      <c r="H4" s="159"/>
      <c r="I4" s="159"/>
      <c r="J4" s="159"/>
      <c r="K4" s="161"/>
      <c r="L4" s="159"/>
      <c r="M4" s="159"/>
      <c r="N4" s="159"/>
      <c r="O4" s="159"/>
      <c r="P4" s="161"/>
      <c r="Q4" s="159"/>
      <c r="R4" s="159"/>
      <c r="S4" s="159"/>
      <c r="T4" s="159"/>
      <c r="U4" s="160"/>
    </row>
    <row r="5" spans="1:21" s="55" customFormat="1" x14ac:dyDescent="0.35">
      <c r="A5" s="126"/>
      <c r="B5" s="193"/>
      <c r="C5" s="196"/>
      <c r="D5" s="196"/>
      <c r="E5" s="196"/>
      <c r="F5" s="164"/>
      <c r="G5" s="131"/>
      <c r="H5" s="132"/>
      <c r="I5" s="133"/>
      <c r="J5" s="133"/>
      <c r="K5" s="162"/>
      <c r="L5" s="131"/>
      <c r="M5" s="132"/>
      <c r="N5" s="133"/>
      <c r="O5" s="133"/>
      <c r="P5" s="162"/>
      <c r="Q5" s="131"/>
      <c r="R5" s="132"/>
      <c r="S5" s="133"/>
      <c r="T5" s="133"/>
      <c r="U5" s="134"/>
    </row>
    <row r="6" spans="1:21" x14ac:dyDescent="0.35">
      <c r="A6" s="128"/>
      <c r="B6" s="194"/>
      <c r="C6" s="197"/>
      <c r="D6" s="197"/>
      <c r="E6" s="197"/>
      <c r="F6" s="165"/>
      <c r="G6" s="136"/>
      <c r="H6" s="137"/>
      <c r="I6" s="138"/>
      <c r="J6" s="138"/>
      <c r="K6" s="135"/>
      <c r="L6" s="136"/>
      <c r="M6" s="137"/>
      <c r="N6" s="138"/>
      <c r="O6" s="138"/>
      <c r="P6" s="135"/>
      <c r="Q6" s="136"/>
      <c r="R6" s="137"/>
      <c r="S6" s="138"/>
      <c r="T6" s="138"/>
      <c r="U6" s="129"/>
    </row>
    <row r="7" spans="1:21" x14ac:dyDescent="0.35">
      <c r="A7" s="130"/>
      <c r="B7" s="194"/>
      <c r="C7" s="197"/>
      <c r="D7" s="197"/>
      <c r="E7" s="197"/>
      <c r="F7" s="199"/>
      <c r="G7" s="139"/>
      <c r="H7" s="140"/>
      <c r="I7" s="141"/>
      <c r="J7" s="141"/>
      <c r="K7" s="135"/>
      <c r="L7" s="139"/>
      <c r="M7" s="140"/>
      <c r="N7" s="141"/>
      <c r="O7" s="141"/>
      <c r="P7" s="135"/>
      <c r="Q7" s="139"/>
      <c r="R7" s="140"/>
      <c r="S7" s="141"/>
      <c r="T7" s="141"/>
      <c r="U7" s="142"/>
    </row>
    <row r="8" spans="1:21" x14ac:dyDescent="0.35">
      <c r="A8" s="191"/>
      <c r="B8" s="195"/>
      <c r="C8" s="198"/>
      <c r="D8" s="198"/>
      <c r="E8" s="198"/>
      <c r="F8" s="199"/>
      <c r="G8" s="139"/>
      <c r="H8" s="140"/>
      <c r="I8" s="141"/>
      <c r="J8" s="141"/>
      <c r="K8" s="143"/>
      <c r="L8" s="139"/>
      <c r="M8" s="140"/>
      <c r="N8" s="141"/>
      <c r="O8" s="141"/>
      <c r="P8" s="143"/>
      <c r="Q8" s="139"/>
      <c r="R8" s="140"/>
      <c r="S8" s="141"/>
      <c r="T8" s="141"/>
      <c r="U8" s="144"/>
    </row>
    <row r="9" spans="1:21" x14ac:dyDescent="0.35">
      <c r="A9" s="192"/>
      <c r="B9" s="131"/>
      <c r="C9" s="132"/>
      <c r="D9" s="133"/>
      <c r="E9" s="133"/>
      <c r="F9" s="134"/>
      <c r="G9" s="139"/>
      <c r="H9" s="140"/>
      <c r="I9" s="141"/>
      <c r="J9" s="141"/>
      <c r="K9" s="145"/>
      <c r="L9" s="139"/>
      <c r="M9" s="140"/>
      <c r="N9" s="141"/>
      <c r="O9" s="141"/>
      <c r="P9" s="145"/>
      <c r="Q9" s="139"/>
      <c r="R9" s="140"/>
      <c r="S9" s="141"/>
      <c r="T9" s="141"/>
      <c r="U9" s="146"/>
    </row>
    <row r="10" spans="1:21" x14ac:dyDescent="0.35">
      <c r="A10" s="135"/>
      <c r="B10" s="136"/>
      <c r="C10" s="137"/>
      <c r="D10" s="138"/>
      <c r="E10" s="138"/>
      <c r="F10" s="129"/>
      <c r="G10" s="151"/>
      <c r="H10" s="148"/>
      <c r="I10" s="149"/>
      <c r="J10" s="149"/>
      <c r="K10" s="145"/>
      <c r="L10" s="151"/>
      <c r="M10" s="148"/>
      <c r="N10" s="149"/>
      <c r="O10" s="149"/>
      <c r="P10" s="145"/>
      <c r="Q10" s="151"/>
      <c r="R10" s="148"/>
      <c r="S10" s="149"/>
      <c r="T10" s="149"/>
      <c r="U10" s="150"/>
    </row>
    <row r="11" spans="1:21" x14ac:dyDescent="0.35">
      <c r="A11" s="135"/>
      <c r="B11" s="139"/>
      <c r="C11" s="140"/>
      <c r="D11" s="141"/>
      <c r="E11" s="141"/>
      <c r="F11" s="142"/>
      <c r="G11" s="136"/>
      <c r="H11" s="137"/>
      <c r="I11" s="138"/>
      <c r="J11" s="138"/>
      <c r="K11" s="147"/>
      <c r="L11" s="136"/>
      <c r="M11" s="137"/>
      <c r="N11" s="138"/>
      <c r="O11" s="138"/>
      <c r="P11" s="147"/>
      <c r="Q11" s="136"/>
      <c r="R11" s="137"/>
      <c r="S11" s="138"/>
      <c r="T11" s="138"/>
      <c r="U11" s="136"/>
    </row>
    <row r="12" spans="1:21" x14ac:dyDescent="0.35">
      <c r="A12" s="143"/>
      <c r="B12" s="139"/>
      <c r="C12" s="140"/>
      <c r="D12" s="141"/>
      <c r="E12" s="141"/>
      <c r="F12" s="142"/>
      <c r="G12" s="151"/>
      <c r="H12" s="148"/>
      <c r="I12" s="149"/>
      <c r="J12" s="149"/>
      <c r="K12" s="145"/>
      <c r="L12" s="151"/>
      <c r="M12" s="148"/>
      <c r="N12" s="149"/>
      <c r="O12" s="149"/>
      <c r="P12" s="145"/>
      <c r="Q12" s="151"/>
      <c r="R12" s="148"/>
      <c r="S12" s="149"/>
      <c r="T12" s="149"/>
      <c r="U12" s="152"/>
    </row>
    <row r="13" spans="1:21" x14ac:dyDescent="0.35">
      <c r="A13" s="145"/>
      <c r="B13" s="139"/>
      <c r="C13" s="140"/>
      <c r="D13" s="141"/>
      <c r="E13" s="141"/>
      <c r="F13" s="166"/>
      <c r="G13" s="136"/>
      <c r="H13" s="137"/>
      <c r="I13" s="138"/>
      <c r="J13" s="138"/>
      <c r="K13" s="147"/>
      <c r="L13" s="136"/>
      <c r="M13" s="137"/>
      <c r="N13" s="138"/>
      <c r="O13" s="138"/>
      <c r="P13" s="147"/>
      <c r="Q13" s="136"/>
      <c r="R13" s="137"/>
      <c r="S13" s="138"/>
      <c r="T13" s="138"/>
      <c r="U13" s="136"/>
    </row>
    <row r="14" spans="1:21" x14ac:dyDescent="0.35">
      <c r="A14" s="147"/>
      <c r="B14" s="136"/>
      <c r="C14" s="148"/>
      <c r="D14" s="149"/>
      <c r="E14" s="149"/>
      <c r="F14" s="150"/>
      <c r="G14" s="136"/>
      <c r="H14" s="137"/>
      <c r="I14" s="138"/>
      <c r="J14" s="138"/>
      <c r="K14" s="128"/>
      <c r="L14" s="136"/>
      <c r="M14" s="137"/>
      <c r="N14" s="138"/>
      <c r="O14" s="138"/>
      <c r="P14" s="128"/>
      <c r="Q14" s="136"/>
      <c r="R14" s="137"/>
      <c r="S14" s="138"/>
      <c r="T14" s="138"/>
      <c r="U14" s="136"/>
    </row>
    <row r="15" spans="1:21" x14ac:dyDescent="0.35">
      <c r="A15" s="147"/>
      <c r="B15" s="136"/>
      <c r="C15" s="137"/>
      <c r="D15" s="138"/>
      <c r="E15" s="138"/>
      <c r="F15" s="136"/>
      <c r="G15" s="136"/>
      <c r="H15" s="137"/>
      <c r="I15" s="138"/>
      <c r="J15" s="138"/>
      <c r="K15" s="128"/>
      <c r="L15" s="151"/>
      <c r="M15" s="148"/>
      <c r="N15" s="149"/>
      <c r="O15" s="149"/>
      <c r="P15" s="128"/>
      <c r="Q15" s="151"/>
      <c r="R15" s="148"/>
      <c r="S15" s="149"/>
      <c r="T15" s="149"/>
      <c r="U15" s="151"/>
    </row>
    <row r="16" spans="1:21" x14ac:dyDescent="0.35">
      <c r="A16" s="145"/>
      <c r="B16" s="151"/>
      <c r="C16" s="148"/>
      <c r="D16" s="149"/>
      <c r="E16" s="149"/>
      <c r="F16" s="152"/>
      <c r="G16" s="136"/>
      <c r="H16" s="137"/>
      <c r="I16" s="138"/>
      <c r="J16" s="138"/>
      <c r="K16" s="147"/>
      <c r="L16" s="136"/>
      <c r="M16" s="137"/>
      <c r="N16" s="138"/>
      <c r="O16" s="138"/>
      <c r="P16" s="147"/>
      <c r="Q16" s="136"/>
      <c r="R16" s="137"/>
      <c r="S16" s="138"/>
      <c r="T16" s="138"/>
      <c r="U16" s="136"/>
    </row>
    <row r="17" spans="1:21" x14ac:dyDescent="0.35">
      <c r="A17" s="147"/>
      <c r="B17" s="136"/>
      <c r="C17" s="137"/>
      <c r="D17" s="138"/>
      <c r="E17" s="138"/>
      <c r="F17" s="136"/>
      <c r="G17" s="153"/>
      <c r="H17" s="154"/>
      <c r="I17" s="155"/>
      <c r="J17" s="154"/>
      <c r="K17" s="130"/>
      <c r="L17" s="153"/>
      <c r="M17" s="154"/>
      <c r="N17" s="155"/>
      <c r="O17" s="155"/>
      <c r="P17" s="130"/>
      <c r="Q17" s="153"/>
      <c r="R17" s="154"/>
      <c r="S17" s="155"/>
      <c r="T17" s="155"/>
      <c r="U17" s="156"/>
    </row>
    <row r="18" spans="1:21" x14ac:dyDescent="0.35">
      <c r="A18" s="128"/>
      <c r="B18" s="136"/>
      <c r="C18" s="137"/>
      <c r="D18" s="138"/>
      <c r="E18" s="138"/>
      <c r="F18" s="136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</row>
    <row r="19" spans="1:21" x14ac:dyDescent="0.35">
      <c r="A19" s="128"/>
      <c r="B19" s="136"/>
      <c r="C19" s="137"/>
      <c r="D19" s="138"/>
      <c r="E19" s="138"/>
      <c r="F19" s="136"/>
      <c r="G19" s="124"/>
      <c r="H19" s="124"/>
      <c r="I19" s="124"/>
      <c r="J19" s="124"/>
      <c r="K19" s="125"/>
      <c r="L19" s="124"/>
      <c r="M19" s="124"/>
      <c r="N19" s="124"/>
      <c r="O19" s="124"/>
      <c r="P19" s="125"/>
      <c r="Q19" s="124"/>
      <c r="R19" s="124"/>
      <c r="S19" s="124"/>
      <c r="T19" s="124"/>
      <c r="U19" s="124"/>
    </row>
    <row r="20" spans="1:21" x14ac:dyDescent="0.35">
      <c r="A20" s="147"/>
      <c r="B20" s="136"/>
      <c r="C20" s="137"/>
      <c r="D20" s="138"/>
      <c r="E20" s="138"/>
      <c r="F20" s="136"/>
      <c r="G20" s="55"/>
    </row>
    <row r="21" spans="1:21" x14ac:dyDescent="0.35">
      <c r="A21" s="130"/>
      <c r="B21" s="153"/>
      <c r="C21" s="154"/>
      <c r="D21" s="155"/>
      <c r="E21" s="154"/>
      <c r="F21" s="146"/>
    </row>
    <row r="22" spans="1:21" x14ac:dyDescent="0.35">
      <c r="A22" s="124"/>
      <c r="B22" s="124"/>
      <c r="C22" s="124"/>
      <c r="D22" s="124"/>
      <c r="E22" s="124"/>
      <c r="F22" s="124"/>
    </row>
    <row r="23" spans="1:21" x14ac:dyDescent="0.35">
      <c r="A23" s="125"/>
      <c r="B23" s="124"/>
      <c r="C23" s="124"/>
      <c r="D23" s="124"/>
      <c r="E23" s="124"/>
      <c r="F23" s="124"/>
    </row>
  </sheetData>
  <mergeCells count="6">
    <mergeCell ref="F7:F8"/>
    <mergeCell ref="A8:A9"/>
    <mergeCell ref="B5:B8"/>
    <mergeCell ref="C5:C8"/>
    <mergeCell ref="D5:D8"/>
    <mergeCell ref="E5:E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3EC9A-1131-4B14-A84A-04B07877978B}">
  <sheetPr codeName="Лист10"/>
  <dimension ref="A1:AB20"/>
  <sheetViews>
    <sheetView topLeftCell="M1" zoomScale="115" zoomScaleNormal="115" workbookViewId="0">
      <selection activeCell="A18" sqref="A1:AB18"/>
    </sheetView>
  </sheetViews>
  <sheetFormatPr defaultRowHeight="21" x14ac:dyDescent="0.35"/>
  <sheetData>
    <row r="1" spans="1:28" x14ac:dyDescent="0.35">
      <c r="A1" s="169" t="s">
        <v>43</v>
      </c>
      <c r="B1" s="170">
        <v>273.10000000000002</v>
      </c>
      <c r="C1" s="170">
        <v>289.7</v>
      </c>
      <c r="D1" s="170">
        <v>306.2</v>
      </c>
      <c r="E1" s="170">
        <v>322.7</v>
      </c>
      <c r="F1" s="170">
        <v>339.2</v>
      </c>
      <c r="G1" s="170">
        <v>355.7</v>
      </c>
      <c r="H1" s="170">
        <v>372.3</v>
      </c>
      <c r="I1" s="170">
        <v>388.8</v>
      </c>
      <c r="J1" s="170">
        <v>405.3</v>
      </c>
      <c r="K1" s="170">
        <v>471.4</v>
      </c>
      <c r="L1" s="170">
        <v>487.9</v>
      </c>
      <c r="M1" s="170">
        <v>504.4</v>
      </c>
      <c r="N1" s="170">
        <v>520.9</v>
      </c>
      <c r="O1" s="170">
        <v>537.5</v>
      </c>
      <c r="P1" s="170">
        <v>603.5</v>
      </c>
      <c r="Q1" s="170">
        <v>669.6</v>
      </c>
      <c r="R1" s="170">
        <v>735.7</v>
      </c>
      <c r="S1" s="170">
        <v>752.2</v>
      </c>
      <c r="T1" s="170">
        <v>768.7</v>
      </c>
      <c r="U1" s="170">
        <v>785.2</v>
      </c>
      <c r="V1" s="174">
        <v>801.8</v>
      </c>
      <c r="W1" s="170">
        <v>818.3</v>
      </c>
      <c r="X1" s="170">
        <v>834.8</v>
      </c>
      <c r="Y1" s="170">
        <v>851.3</v>
      </c>
      <c r="Z1" s="170">
        <v>867.8</v>
      </c>
      <c r="AA1" s="170">
        <v>933.9</v>
      </c>
      <c r="AB1" s="175">
        <v>1000</v>
      </c>
    </row>
    <row r="2" spans="1:28" x14ac:dyDescent="0.35">
      <c r="A2" s="172" t="s">
        <v>90</v>
      </c>
      <c r="B2" s="176">
        <v>0</v>
      </c>
      <c r="C2" s="177">
        <v>0</v>
      </c>
      <c r="D2" s="176">
        <v>0</v>
      </c>
      <c r="E2" s="176">
        <v>0</v>
      </c>
      <c r="F2" s="177">
        <v>0</v>
      </c>
      <c r="G2" s="176">
        <v>0</v>
      </c>
      <c r="H2" s="176">
        <v>0</v>
      </c>
      <c r="I2" s="177">
        <v>0</v>
      </c>
      <c r="J2" s="176">
        <v>0</v>
      </c>
      <c r="K2" s="176">
        <v>0</v>
      </c>
      <c r="L2" s="177">
        <v>0</v>
      </c>
      <c r="M2" s="176">
        <v>0</v>
      </c>
      <c r="N2" s="176">
        <v>0</v>
      </c>
      <c r="O2" s="177">
        <v>0</v>
      </c>
      <c r="P2" s="176">
        <v>6.6855000000000004E-18</v>
      </c>
      <c r="Q2" s="176">
        <v>1.762E-13</v>
      </c>
      <c r="R2" s="177">
        <v>5.8739999999999998E-14</v>
      </c>
      <c r="S2" s="176">
        <v>4.9521000000000001E-21</v>
      </c>
      <c r="T2" s="176">
        <v>3.5675999999999999E-28</v>
      </c>
      <c r="U2" s="177">
        <v>0</v>
      </c>
      <c r="V2" s="176">
        <v>5.1645000000000003E-20</v>
      </c>
      <c r="W2" s="176">
        <v>2.3851000000000001E-13</v>
      </c>
      <c r="X2" s="177">
        <v>1.8062000000000001E-17</v>
      </c>
      <c r="Y2" s="176">
        <v>8.5727999999999997E-20</v>
      </c>
      <c r="Z2" s="176">
        <v>6.7719000000000002E-20</v>
      </c>
      <c r="AA2" s="177">
        <v>2.1051999999999999E-14</v>
      </c>
      <c r="AB2" s="176">
        <v>4.6006999999999996E-9</v>
      </c>
    </row>
    <row r="3" spans="1:28" x14ac:dyDescent="0.35">
      <c r="A3" s="173" t="s">
        <v>77</v>
      </c>
      <c r="B3" s="178">
        <v>0</v>
      </c>
      <c r="C3" s="179">
        <v>0</v>
      </c>
      <c r="D3" s="178">
        <v>0</v>
      </c>
      <c r="E3" s="178">
        <v>0</v>
      </c>
      <c r="F3" s="179">
        <v>0</v>
      </c>
      <c r="G3" s="178">
        <v>0</v>
      </c>
      <c r="H3" s="178">
        <v>0</v>
      </c>
      <c r="I3" s="179">
        <v>1.6387999999999999E-33</v>
      </c>
      <c r="J3" s="178">
        <v>5.0901000000000002E-26</v>
      </c>
      <c r="K3" s="181">
        <v>1.5335000000000001E-11</v>
      </c>
      <c r="L3" s="180">
        <v>4.4230000000000001E-10</v>
      </c>
      <c r="M3" s="181">
        <v>1.8701E-8</v>
      </c>
      <c r="N3" s="181">
        <v>0.14000000000000001</v>
      </c>
      <c r="O3" s="180">
        <v>0.14000000000000001</v>
      </c>
      <c r="P3" s="181">
        <v>0.14000000000000001</v>
      </c>
      <c r="Q3" s="181">
        <v>0.14000000000000001</v>
      </c>
      <c r="R3" s="180">
        <v>0.14000000000000001</v>
      </c>
      <c r="S3" s="181">
        <v>0.14000000000000001</v>
      </c>
      <c r="T3" s="181">
        <v>0.14000000000000001</v>
      </c>
      <c r="U3" s="180">
        <v>0.14000000000000001</v>
      </c>
      <c r="V3" s="180">
        <v>0.13650999999999999</v>
      </c>
      <c r="W3" s="181">
        <v>0.13588</v>
      </c>
      <c r="X3" s="180">
        <v>0.13528000000000001</v>
      </c>
      <c r="Y3" s="181">
        <v>0.13461999999999999</v>
      </c>
      <c r="Z3" s="181">
        <v>0.13389000000000001</v>
      </c>
      <c r="AA3" s="180">
        <v>0.12989000000000001</v>
      </c>
      <c r="AB3" s="181">
        <v>0.12297</v>
      </c>
    </row>
    <row r="4" spans="1:28" x14ac:dyDescent="0.35">
      <c r="A4" s="169" t="s">
        <v>41</v>
      </c>
      <c r="B4" s="181">
        <v>0.14000000000000001</v>
      </c>
      <c r="C4" s="180">
        <v>0.14000000000000001</v>
      </c>
      <c r="D4" s="181">
        <v>0.14000000000000001</v>
      </c>
      <c r="E4" s="178">
        <v>0.14000000000000001</v>
      </c>
      <c r="F4" s="179">
        <v>0.14000000000000001</v>
      </c>
      <c r="G4" s="178">
        <v>0.28000000000000003</v>
      </c>
      <c r="H4" s="178">
        <v>0.28000000000000003</v>
      </c>
      <c r="I4" s="179">
        <v>0.28000000000000003</v>
      </c>
      <c r="J4" s="178">
        <v>0.28000000000000003</v>
      </c>
      <c r="K4" s="178">
        <v>0.28000000000000003</v>
      </c>
      <c r="L4" s="179">
        <v>0.28000000000000003</v>
      </c>
      <c r="M4" s="178">
        <v>0.28000000000000003</v>
      </c>
      <c r="N4" s="178">
        <v>2.0335E-7</v>
      </c>
      <c r="O4" s="179">
        <v>1.9375E-9</v>
      </c>
      <c r="P4" s="178">
        <v>2.8928000000000001E-13</v>
      </c>
      <c r="Q4" s="178">
        <v>5.8773E-21</v>
      </c>
      <c r="R4" s="179">
        <v>0</v>
      </c>
      <c r="S4" s="178">
        <v>0</v>
      </c>
      <c r="T4" s="178">
        <v>0</v>
      </c>
      <c r="U4" s="179">
        <v>0</v>
      </c>
      <c r="V4" s="178">
        <v>0</v>
      </c>
      <c r="W4" s="178">
        <v>0</v>
      </c>
      <c r="X4" s="179">
        <v>0</v>
      </c>
      <c r="Y4" s="178">
        <v>0</v>
      </c>
      <c r="Z4" s="178">
        <v>0</v>
      </c>
      <c r="AA4" s="179">
        <v>0</v>
      </c>
      <c r="AB4" s="178">
        <v>0</v>
      </c>
    </row>
    <row r="5" spans="1:28" x14ac:dyDescent="0.35">
      <c r="A5" s="173" t="s">
        <v>53</v>
      </c>
      <c r="B5" s="178">
        <v>0</v>
      </c>
      <c r="C5" s="179">
        <v>0</v>
      </c>
      <c r="D5" s="178">
        <v>0</v>
      </c>
      <c r="E5" s="178">
        <v>0</v>
      </c>
      <c r="F5" s="179">
        <v>0</v>
      </c>
      <c r="G5" s="178">
        <v>0</v>
      </c>
      <c r="H5" s="178">
        <v>0</v>
      </c>
      <c r="I5" s="179">
        <v>0</v>
      </c>
      <c r="J5" s="178">
        <v>0</v>
      </c>
      <c r="K5" s="178">
        <v>0</v>
      </c>
      <c r="L5" s="179">
        <v>0</v>
      </c>
      <c r="M5" s="178">
        <v>0</v>
      </c>
      <c r="N5" s="178">
        <v>0</v>
      </c>
      <c r="O5" s="179">
        <v>0</v>
      </c>
      <c r="P5" s="178">
        <v>0</v>
      </c>
      <c r="Q5" s="181">
        <v>3.8944000000000003E-36</v>
      </c>
      <c r="R5" s="180">
        <v>1.0914999999999999E-20</v>
      </c>
      <c r="S5" s="181">
        <v>2.7170000000000003E-20</v>
      </c>
      <c r="T5" s="181">
        <v>2.7481999999999999E-17</v>
      </c>
      <c r="U5" s="180">
        <v>2.1655999999999999E-17</v>
      </c>
      <c r="V5" s="181">
        <v>4.1360000000000001E-8</v>
      </c>
      <c r="W5" s="181">
        <v>3.4271999999999999E-7</v>
      </c>
      <c r="X5" s="180">
        <v>2.5522999999999999E-7</v>
      </c>
      <c r="Y5" s="181">
        <v>1.8946E-7</v>
      </c>
      <c r="Z5" s="181">
        <v>1.6390000000000001E-7</v>
      </c>
      <c r="AA5" s="180">
        <v>5.6700999999999999E-8</v>
      </c>
      <c r="AB5" s="181">
        <v>1.6385000000000001E-8</v>
      </c>
    </row>
    <row r="6" spans="1:28" x14ac:dyDescent="0.35">
      <c r="A6" s="169" t="s">
        <v>89</v>
      </c>
      <c r="B6" s="181">
        <v>0</v>
      </c>
      <c r="C6" s="180">
        <v>0</v>
      </c>
      <c r="D6" s="181">
        <v>0</v>
      </c>
      <c r="E6" s="181">
        <v>0</v>
      </c>
      <c r="F6" s="180">
        <v>0</v>
      </c>
      <c r="G6" s="181">
        <v>0</v>
      </c>
      <c r="H6" s="181">
        <v>0</v>
      </c>
      <c r="I6" s="180">
        <v>0</v>
      </c>
      <c r="J6" s="181">
        <v>0</v>
      </c>
      <c r="K6" s="181">
        <v>0</v>
      </c>
      <c r="L6" s="180">
        <v>0</v>
      </c>
      <c r="M6" s="181">
        <v>0</v>
      </c>
      <c r="N6" s="181">
        <v>0</v>
      </c>
      <c r="O6" s="180">
        <v>0</v>
      </c>
      <c r="P6" s="181">
        <v>0</v>
      </c>
      <c r="Q6" s="181">
        <v>3.1006E-29</v>
      </c>
      <c r="R6" s="180">
        <v>4.1882000000000003E-12</v>
      </c>
      <c r="S6" s="181">
        <v>4.2325999999999999E-7</v>
      </c>
      <c r="T6" s="181">
        <v>1.2243E-2</v>
      </c>
      <c r="U6" s="180">
        <v>1.7151E-2</v>
      </c>
      <c r="V6" s="181">
        <v>2.6225000000000002E-8</v>
      </c>
      <c r="W6" s="181">
        <v>6.3299000000000001E-13</v>
      </c>
      <c r="X6" s="180">
        <v>5.1691999999999997E-25</v>
      </c>
      <c r="Y6" s="181">
        <v>0</v>
      </c>
      <c r="Z6" s="181">
        <v>0</v>
      </c>
      <c r="AA6" s="180">
        <v>0</v>
      </c>
      <c r="AB6" s="181">
        <v>0</v>
      </c>
    </row>
    <row r="7" spans="1:28" x14ac:dyDescent="0.35">
      <c r="A7" s="173" t="s">
        <v>76</v>
      </c>
      <c r="B7" s="178">
        <v>0</v>
      </c>
      <c r="C7" s="179">
        <v>0</v>
      </c>
      <c r="D7" s="178">
        <v>0</v>
      </c>
      <c r="E7" s="178">
        <v>0</v>
      </c>
      <c r="F7" s="179">
        <v>0</v>
      </c>
      <c r="G7" s="178">
        <v>0</v>
      </c>
      <c r="H7" s="178">
        <v>0</v>
      </c>
      <c r="I7" s="179">
        <v>1.6387999999999999E-33</v>
      </c>
      <c r="J7" s="178">
        <v>5.0901000000000002E-26</v>
      </c>
      <c r="K7" s="181">
        <v>1.5335000000000001E-11</v>
      </c>
      <c r="L7" s="180">
        <v>4.4230000000000001E-10</v>
      </c>
      <c r="M7" s="181">
        <v>1.8701E-8</v>
      </c>
      <c r="N7" s="181">
        <v>0.14000000000000001</v>
      </c>
      <c r="O7" s="180">
        <v>0.14000000000000001</v>
      </c>
      <c r="P7" s="181">
        <v>0.14000000000000001</v>
      </c>
      <c r="Q7" s="181">
        <v>0.14000000000000001</v>
      </c>
      <c r="R7" s="180">
        <v>0.14000000000000001</v>
      </c>
      <c r="S7" s="181">
        <v>0.14000000000000001</v>
      </c>
      <c r="T7" s="181">
        <v>0.14000000000000001</v>
      </c>
      <c r="U7" s="180">
        <v>0.14000000000000001</v>
      </c>
      <c r="V7" s="180">
        <v>0.13650999999999999</v>
      </c>
      <c r="W7" s="181">
        <v>0.13588</v>
      </c>
      <c r="X7" s="180">
        <v>0.13528000000000001</v>
      </c>
      <c r="Y7" s="181">
        <v>0.13461999999999999</v>
      </c>
      <c r="Z7" s="181">
        <v>0.13389000000000001</v>
      </c>
      <c r="AA7" s="180">
        <v>0.12989000000000001</v>
      </c>
      <c r="AB7" s="181">
        <v>0.12297</v>
      </c>
    </row>
    <row r="8" spans="1:28" x14ac:dyDescent="0.35">
      <c r="A8" s="173" t="s">
        <v>42</v>
      </c>
      <c r="B8" s="178">
        <v>1.5275E-21</v>
      </c>
      <c r="C8" s="179">
        <v>1.3022000000000001E-17</v>
      </c>
      <c r="D8" s="178">
        <v>4.1226999999999998E-12</v>
      </c>
      <c r="E8" s="178">
        <v>1.4575E-9</v>
      </c>
      <c r="F8" s="179">
        <v>3.051E-7</v>
      </c>
      <c r="G8" s="178">
        <v>0.14000000000000001</v>
      </c>
      <c r="H8" s="178">
        <v>0.14000000000000001</v>
      </c>
      <c r="I8" s="179">
        <v>0.14000000000000001</v>
      </c>
      <c r="J8" s="178">
        <v>0.14000000000000001</v>
      </c>
      <c r="K8" s="178">
        <v>0.14000000000000001</v>
      </c>
      <c r="L8" s="179">
        <v>0.14000000000000001</v>
      </c>
      <c r="M8" s="178">
        <v>0.14000000000000001</v>
      </c>
      <c r="N8" s="178">
        <v>0.42</v>
      </c>
      <c r="O8" s="179">
        <v>0.42</v>
      </c>
      <c r="P8" s="178">
        <v>0.42</v>
      </c>
      <c r="Q8" s="178">
        <v>0.42</v>
      </c>
      <c r="R8" s="179">
        <v>0.42</v>
      </c>
      <c r="S8" s="178">
        <v>0.42</v>
      </c>
      <c r="T8" s="178">
        <v>0.44449</v>
      </c>
      <c r="U8" s="179">
        <v>0.45429999999999998</v>
      </c>
      <c r="V8" s="179">
        <v>0.47771999999999998</v>
      </c>
      <c r="W8" s="178">
        <v>0.47964000000000001</v>
      </c>
      <c r="X8" s="179">
        <v>0.47993999999999998</v>
      </c>
      <c r="Y8" s="178">
        <v>0.47999000000000003</v>
      </c>
      <c r="Z8" s="178">
        <v>0.48</v>
      </c>
      <c r="AA8" s="179">
        <v>0.48</v>
      </c>
      <c r="AB8" s="178">
        <v>0.48</v>
      </c>
    </row>
    <row r="9" spans="1:28" x14ac:dyDescent="0.35">
      <c r="A9" s="173" t="s">
        <v>73</v>
      </c>
      <c r="B9" s="178">
        <v>0.14000000000000001</v>
      </c>
      <c r="C9" s="179">
        <v>0.14000000000000001</v>
      </c>
      <c r="D9" s="178">
        <v>0.14000000000000001</v>
      </c>
      <c r="E9" s="181">
        <v>0.14000000000000001</v>
      </c>
      <c r="F9" s="180">
        <v>0.14000000000000001</v>
      </c>
      <c r="G9" s="181">
        <v>3.2209999999999999E-9</v>
      </c>
      <c r="H9" s="178">
        <v>1.9975999999999999E-10</v>
      </c>
      <c r="I9" s="179">
        <v>9.6340999999999999E-12</v>
      </c>
      <c r="J9" s="178">
        <v>1.4116999999999999E-13</v>
      </c>
      <c r="K9" s="178">
        <v>2.8361000000000002E-26</v>
      </c>
      <c r="L9" s="179">
        <v>0</v>
      </c>
      <c r="M9" s="178">
        <v>0</v>
      </c>
      <c r="N9" s="178">
        <v>0</v>
      </c>
      <c r="O9" s="179">
        <v>0</v>
      </c>
      <c r="P9" s="178">
        <v>0</v>
      </c>
      <c r="Q9" s="178">
        <v>0</v>
      </c>
      <c r="R9" s="179">
        <v>0</v>
      </c>
      <c r="S9" s="178">
        <v>0</v>
      </c>
      <c r="T9" s="178">
        <v>0</v>
      </c>
      <c r="U9" s="179">
        <v>0</v>
      </c>
      <c r="V9" s="179">
        <v>0</v>
      </c>
      <c r="W9" s="178">
        <v>0</v>
      </c>
      <c r="X9" s="179">
        <v>0</v>
      </c>
      <c r="Y9" s="178">
        <v>0</v>
      </c>
      <c r="Z9" s="178">
        <v>0</v>
      </c>
      <c r="AA9" s="179">
        <v>0</v>
      </c>
      <c r="AB9" s="178">
        <v>0</v>
      </c>
    </row>
    <row r="10" spans="1:28" x14ac:dyDescent="0.35">
      <c r="A10" s="173" t="s">
        <v>44</v>
      </c>
      <c r="B10" s="178">
        <v>0.02</v>
      </c>
      <c r="C10" s="179">
        <v>0.02</v>
      </c>
      <c r="D10" s="178">
        <v>0.02</v>
      </c>
      <c r="E10" s="178">
        <v>0.02</v>
      </c>
      <c r="F10" s="179">
        <v>0.02</v>
      </c>
      <c r="G10" s="178">
        <v>0.02</v>
      </c>
      <c r="H10" s="178">
        <v>0.02</v>
      </c>
      <c r="I10" s="179">
        <v>0.02</v>
      </c>
      <c r="J10" s="178">
        <v>0.02</v>
      </c>
      <c r="K10" s="178">
        <v>0.02</v>
      </c>
      <c r="L10" s="179">
        <v>0.02</v>
      </c>
      <c r="M10" s="178">
        <v>0.02</v>
      </c>
      <c r="N10" s="178">
        <v>0.02</v>
      </c>
      <c r="O10" s="179">
        <v>0.02</v>
      </c>
      <c r="P10" s="178">
        <v>0.02</v>
      </c>
      <c r="Q10" s="178">
        <v>0.02</v>
      </c>
      <c r="R10" s="179">
        <v>0.02</v>
      </c>
      <c r="S10" s="178">
        <v>0.02</v>
      </c>
      <c r="T10" s="181">
        <v>7.7565999999999998E-3</v>
      </c>
      <c r="U10" s="180">
        <v>2.8487E-3</v>
      </c>
      <c r="V10" s="181">
        <v>7.5883000000000005E-4</v>
      </c>
      <c r="W10" s="181">
        <v>1.1998999999999999E-4</v>
      </c>
      <c r="X10" s="180">
        <v>2.0021E-5</v>
      </c>
      <c r="Y10" s="181">
        <v>3.5053000000000001E-6</v>
      </c>
      <c r="Z10" s="181">
        <v>6.4165000000000003E-7</v>
      </c>
      <c r="AA10" s="180">
        <v>1.0583E-9</v>
      </c>
      <c r="AB10" s="181">
        <v>2.8184000000000002E-12</v>
      </c>
    </row>
    <row r="11" spans="1:28" x14ac:dyDescent="0.35">
      <c r="A11" s="173" t="s">
        <v>45</v>
      </c>
      <c r="B11" s="178">
        <v>0</v>
      </c>
      <c r="C11" s="179">
        <v>0</v>
      </c>
      <c r="D11" s="178">
        <v>0</v>
      </c>
      <c r="E11" s="178">
        <v>0</v>
      </c>
      <c r="F11" s="179">
        <v>0</v>
      </c>
      <c r="G11" s="178">
        <v>0</v>
      </c>
      <c r="H11" s="178">
        <v>0</v>
      </c>
      <c r="I11" s="179">
        <v>0</v>
      </c>
      <c r="J11" s="178">
        <v>0</v>
      </c>
      <c r="K11" s="181">
        <v>6.6809999999999997E-33</v>
      </c>
      <c r="L11" s="180">
        <v>7.8149999999999998E-31</v>
      </c>
      <c r="M11" s="181">
        <v>6.8396999999999999E-29</v>
      </c>
      <c r="N11" s="181">
        <v>4.6017E-27</v>
      </c>
      <c r="O11" s="180">
        <v>2.4372999999999999E-25</v>
      </c>
      <c r="P11" s="181">
        <v>2.5777E-19</v>
      </c>
      <c r="Q11" s="181">
        <v>2.2115999999999999E-14</v>
      </c>
      <c r="R11" s="180">
        <v>2.9888000000000001E-10</v>
      </c>
      <c r="S11" s="181">
        <v>2.5529000000000001E-9</v>
      </c>
      <c r="T11" s="178">
        <v>7.7960999999999996E-9</v>
      </c>
      <c r="U11" s="179">
        <v>2.0885999999999999E-8</v>
      </c>
      <c r="V11" s="178">
        <v>3.7773999999999998E-8</v>
      </c>
      <c r="W11" s="181">
        <v>3.7906000000000002E-8</v>
      </c>
      <c r="X11" s="180">
        <v>3.7667000000000002E-8</v>
      </c>
      <c r="Y11" s="181">
        <v>3.6985999999999998E-8</v>
      </c>
      <c r="Z11" s="178">
        <v>3.5881000000000002E-8</v>
      </c>
      <c r="AA11" s="179">
        <v>2.8110999999999999E-8</v>
      </c>
      <c r="AB11" s="178">
        <v>1.7782E-8</v>
      </c>
    </row>
    <row r="12" spans="1:28" x14ac:dyDescent="0.35">
      <c r="A12" s="173" t="s">
        <v>1</v>
      </c>
      <c r="B12" s="178">
        <v>0.2</v>
      </c>
      <c r="C12" s="179">
        <v>0.2</v>
      </c>
      <c r="D12" s="178">
        <v>0.2</v>
      </c>
      <c r="E12" s="178">
        <v>0.2</v>
      </c>
      <c r="F12" s="179">
        <v>0.2</v>
      </c>
      <c r="G12" s="178">
        <v>0.2</v>
      </c>
      <c r="H12" s="178">
        <v>0.2</v>
      </c>
      <c r="I12" s="179">
        <v>0.2</v>
      </c>
      <c r="J12" s="178">
        <v>0.2</v>
      </c>
      <c r="K12" s="178">
        <v>0.2</v>
      </c>
      <c r="L12" s="179">
        <v>0.2</v>
      </c>
      <c r="M12" s="178">
        <v>0.2</v>
      </c>
      <c r="N12" s="178">
        <v>0.2</v>
      </c>
      <c r="O12" s="179">
        <v>0.2</v>
      </c>
      <c r="P12" s="178">
        <v>0.2</v>
      </c>
      <c r="Q12" s="178">
        <v>0.2</v>
      </c>
      <c r="R12" s="179">
        <v>0.2</v>
      </c>
      <c r="S12" s="178">
        <v>0.2</v>
      </c>
      <c r="T12" s="178">
        <v>0.2</v>
      </c>
      <c r="U12" s="179">
        <v>0.2</v>
      </c>
      <c r="V12" s="178">
        <v>0.2</v>
      </c>
      <c r="W12" s="178">
        <v>0.2</v>
      </c>
      <c r="X12" s="179">
        <v>0.2</v>
      </c>
      <c r="Y12" s="178">
        <v>0.2</v>
      </c>
      <c r="Z12" s="178">
        <v>0.2</v>
      </c>
      <c r="AA12" s="179">
        <v>0.2</v>
      </c>
      <c r="AB12" s="178">
        <v>0.2</v>
      </c>
    </row>
    <row r="13" spans="1:28" x14ac:dyDescent="0.35">
      <c r="A13" s="173" t="s">
        <v>91</v>
      </c>
      <c r="B13" s="178">
        <v>0</v>
      </c>
      <c r="C13" s="179">
        <v>0</v>
      </c>
      <c r="D13" s="178">
        <v>0</v>
      </c>
      <c r="E13" s="178">
        <v>0</v>
      </c>
      <c r="F13" s="179">
        <v>0</v>
      </c>
      <c r="G13" s="178">
        <v>0</v>
      </c>
      <c r="H13" s="178">
        <v>0</v>
      </c>
      <c r="I13" s="179">
        <v>0</v>
      </c>
      <c r="J13" s="178">
        <v>0</v>
      </c>
      <c r="K13" s="178">
        <v>0</v>
      </c>
      <c r="L13" s="179">
        <v>0</v>
      </c>
      <c r="M13" s="178">
        <v>0</v>
      </c>
      <c r="N13" s="178">
        <v>0</v>
      </c>
      <c r="O13" s="179">
        <v>0</v>
      </c>
      <c r="P13" s="178">
        <v>3.6238000000000002E-20</v>
      </c>
      <c r="Q13" s="181">
        <v>7.0432999999999999E-14</v>
      </c>
      <c r="R13" s="180">
        <v>2.9604999999999998E-10</v>
      </c>
      <c r="S13" s="181">
        <v>1.039E-10</v>
      </c>
      <c r="T13" s="181">
        <v>1.5157999999999999E-8</v>
      </c>
      <c r="U13" s="180">
        <v>2.1476E-7</v>
      </c>
      <c r="V13" s="181">
        <v>3.8482000000000002E-2</v>
      </c>
      <c r="W13" s="181">
        <v>3.9759999999999997E-2</v>
      </c>
      <c r="X13" s="180">
        <v>3.9960000000000002E-2</v>
      </c>
      <c r="Y13" s="181">
        <v>3.9993000000000001E-2</v>
      </c>
      <c r="Z13" s="181">
        <v>3.9997999999999999E-2</v>
      </c>
      <c r="AA13" s="180">
        <v>0.04</v>
      </c>
      <c r="AB13" s="181">
        <v>0.04</v>
      </c>
    </row>
    <row r="14" spans="1:28" x14ac:dyDescent="0.35">
      <c r="A14" s="173" t="s">
        <v>92</v>
      </c>
      <c r="B14" s="178">
        <v>0</v>
      </c>
      <c r="C14" s="179">
        <v>0</v>
      </c>
      <c r="D14" s="178">
        <v>0</v>
      </c>
      <c r="E14" s="178">
        <v>0</v>
      </c>
      <c r="F14" s="179">
        <v>0</v>
      </c>
      <c r="G14" s="178">
        <v>0</v>
      </c>
      <c r="H14" s="178">
        <v>0</v>
      </c>
      <c r="I14" s="179">
        <v>0</v>
      </c>
      <c r="J14" s="178">
        <v>0</v>
      </c>
      <c r="K14" s="178">
        <v>7.4125999999999999E-36</v>
      </c>
      <c r="L14" s="179">
        <v>0</v>
      </c>
      <c r="M14" s="178">
        <v>0</v>
      </c>
      <c r="N14" s="178">
        <v>0</v>
      </c>
      <c r="O14" s="179">
        <v>0</v>
      </c>
      <c r="P14" s="178">
        <v>2.0193000000000001E-16</v>
      </c>
      <c r="Q14" s="181">
        <v>4.0033000000000001E-12</v>
      </c>
      <c r="R14" s="180">
        <v>3.3269000000000002E-10</v>
      </c>
      <c r="S14" s="180">
        <v>4.7667000000000002E-11</v>
      </c>
      <c r="T14" s="181">
        <v>4.5630999999999997E-9</v>
      </c>
      <c r="U14" s="180">
        <v>4.5578E-8</v>
      </c>
      <c r="V14" s="181">
        <v>6.9871999999999998E-3</v>
      </c>
      <c r="W14" s="181">
        <v>8.2457999999999993E-3</v>
      </c>
      <c r="X14" s="180">
        <v>9.4445999999999992E-3</v>
      </c>
      <c r="Y14" s="181">
        <v>1.0753E-2</v>
      </c>
      <c r="Z14" s="178">
        <v>1.2215999999999999E-2</v>
      </c>
      <c r="AA14" s="179">
        <v>2.0229E-2</v>
      </c>
      <c r="AB14" s="178">
        <v>3.4062000000000002E-2</v>
      </c>
    </row>
    <row r="15" spans="1:28" x14ac:dyDescent="0.35">
      <c r="A15" s="173" t="s">
        <v>28</v>
      </c>
      <c r="B15" s="178">
        <v>-18.72</v>
      </c>
      <c r="C15" s="179">
        <v>-18.71</v>
      </c>
      <c r="D15" s="178">
        <v>-18.71</v>
      </c>
      <c r="E15" s="181">
        <v>-18.71</v>
      </c>
      <c r="F15" s="180">
        <v>-18.73</v>
      </c>
      <c r="G15" s="181">
        <v>-18.739999999999998</v>
      </c>
      <c r="H15" s="178">
        <v>-18.760000000000002</v>
      </c>
      <c r="I15" s="179">
        <v>-18.79</v>
      </c>
      <c r="J15" s="178">
        <v>-18.809999999999999</v>
      </c>
      <c r="K15" s="181">
        <v>-18.93</v>
      </c>
      <c r="L15" s="180">
        <v>-18.97</v>
      </c>
      <c r="M15" s="181">
        <v>-19</v>
      </c>
      <c r="N15" s="181">
        <v>-19.03</v>
      </c>
      <c r="O15" s="180">
        <v>-19.07</v>
      </c>
      <c r="P15" s="180">
        <v>-19.2</v>
      </c>
      <c r="Q15" s="181">
        <v>-19.34</v>
      </c>
      <c r="R15" s="180">
        <v>-19.48</v>
      </c>
      <c r="S15" s="180">
        <v>-19.510000000000002</v>
      </c>
      <c r="T15" s="181">
        <v>-19.489999999999998</v>
      </c>
      <c r="U15" s="180">
        <v>-19.5</v>
      </c>
      <c r="V15" s="181">
        <v>-19.52</v>
      </c>
      <c r="W15" s="181">
        <v>-19.55</v>
      </c>
      <c r="X15" s="180">
        <v>-19.579999999999998</v>
      </c>
      <c r="Y15" s="181">
        <v>-19.61</v>
      </c>
      <c r="Z15" s="181">
        <v>-19.64</v>
      </c>
      <c r="AA15" s="180">
        <v>-19.760000000000002</v>
      </c>
      <c r="AB15" s="181">
        <v>-19.88</v>
      </c>
    </row>
    <row r="16" spans="1:28" x14ac:dyDescent="0.35">
      <c r="A16" s="169" t="s">
        <v>5</v>
      </c>
      <c r="B16" s="181">
        <v>-66.760000000000005</v>
      </c>
      <c r="C16" s="180">
        <v>-63.28</v>
      </c>
      <c r="D16" s="181">
        <v>-60.18</v>
      </c>
      <c r="E16" s="181">
        <v>-57.4</v>
      </c>
      <c r="F16" s="180">
        <v>-54.91</v>
      </c>
      <c r="G16" s="181">
        <v>-51.53</v>
      </c>
      <c r="H16" s="181">
        <v>-48.17</v>
      </c>
      <c r="I16" s="180">
        <v>-45.06</v>
      </c>
      <c r="J16" s="181">
        <v>-42.19</v>
      </c>
      <c r="K16" s="181">
        <v>-32.53</v>
      </c>
      <c r="L16" s="180">
        <v>-30.48</v>
      </c>
      <c r="M16" s="181">
        <v>-28.55</v>
      </c>
      <c r="N16" s="181">
        <v>-26.74</v>
      </c>
      <c r="O16" s="180">
        <v>-25.02</v>
      </c>
      <c r="P16" s="180">
        <v>-18.96</v>
      </c>
      <c r="Q16" s="181">
        <v>-13.95</v>
      </c>
      <c r="R16" s="180">
        <v>-9.7059999999999995</v>
      </c>
      <c r="S16" s="181">
        <v>-8.7420000000000009</v>
      </c>
      <c r="T16" s="181">
        <v>-8.2560000000000002</v>
      </c>
      <c r="U16" s="180">
        <v>-7.8470000000000004</v>
      </c>
      <c r="V16" s="181">
        <v>-7.6349999999999998</v>
      </c>
      <c r="W16" s="181">
        <v>-7.7149999999999999</v>
      </c>
      <c r="X16" s="180">
        <v>-7.7960000000000003</v>
      </c>
      <c r="Y16" s="181">
        <v>-7.8789999999999996</v>
      </c>
      <c r="Z16" s="181">
        <v>-7.9630000000000001</v>
      </c>
      <c r="AA16" s="180">
        <v>-8.3190000000000008</v>
      </c>
      <c r="AB16" s="181">
        <v>-8.7249999999999996</v>
      </c>
    </row>
    <row r="17" spans="1:28" x14ac:dyDescent="0.35">
      <c r="A17" s="169" t="s">
        <v>6</v>
      </c>
      <c r="B17" s="181">
        <v>-16.29</v>
      </c>
      <c r="C17" s="180">
        <v>-15.65</v>
      </c>
      <c r="D17" s="181">
        <v>-15.09</v>
      </c>
      <c r="E17" s="181">
        <v>-14.59</v>
      </c>
      <c r="F17" s="180">
        <v>-14.16</v>
      </c>
      <c r="G17" s="181">
        <v>-13.03</v>
      </c>
      <c r="H17" s="181">
        <v>-11.8</v>
      </c>
      <c r="I17" s="180">
        <v>-10.67</v>
      </c>
      <c r="J17" s="181">
        <v>-9.6150000000000002</v>
      </c>
      <c r="K17" s="181">
        <v>-6.04</v>
      </c>
      <c r="L17" s="180">
        <v>-5.2759999999999998</v>
      </c>
      <c r="M17" s="181">
        <v>-4.5529999999999999</v>
      </c>
      <c r="N17" s="181">
        <v>-4.1150000000000002</v>
      </c>
      <c r="O17" s="180">
        <v>-4.1550000000000002</v>
      </c>
      <c r="P17" s="181">
        <v>-4.3170000000000002</v>
      </c>
      <c r="Q17" s="181">
        <v>-4.4809999999999999</v>
      </c>
      <c r="R17" s="180">
        <v>-4.6429999999999998</v>
      </c>
      <c r="S17" s="181">
        <v>-4.6829999999999998</v>
      </c>
      <c r="T17" s="181">
        <v>-4.7220000000000004</v>
      </c>
      <c r="U17" s="180">
        <v>-4.7619999999999996</v>
      </c>
      <c r="V17" s="181">
        <v>-4.8010000000000002</v>
      </c>
      <c r="W17" s="181">
        <v>-4.84</v>
      </c>
      <c r="X17" s="180">
        <v>-4.8780000000000001</v>
      </c>
      <c r="Y17" s="181">
        <v>-4.9169999999999998</v>
      </c>
      <c r="Z17" s="181">
        <v>-4.9550000000000001</v>
      </c>
      <c r="AA17" s="180">
        <v>-5.1040000000000001</v>
      </c>
      <c r="AB17" s="181">
        <v>-5.2489999999999997</v>
      </c>
    </row>
    <row r="18" spans="1:28" x14ac:dyDescent="0.35">
      <c r="A18" s="169" t="s">
        <v>7</v>
      </c>
      <c r="B18" s="181">
        <v>-23.52</v>
      </c>
      <c r="C18" s="180">
        <v>-22.41</v>
      </c>
      <c r="D18" s="181">
        <v>-21.42</v>
      </c>
      <c r="E18" s="181">
        <v>-20.54</v>
      </c>
      <c r="F18" s="180">
        <v>-19.760000000000002</v>
      </c>
      <c r="G18" s="181">
        <v>-19.79</v>
      </c>
      <c r="H18" s="181">
        <v>-20.03</v>
      </c>
      <c r="I18" s="180">
        <v>-20.28</v>
      </c>
      <c r="J18" s="181">
        <v>-20.52</v>
      </c>
      <c r="K18" s="181">
        <v>-21.52</v>
      </c>
      <c r="L18" s="180">
        <v>-21.77</v>
      </c>
      <c r="M18" s="181">
        <v>-22.02</v>
      </c>
      <c r="N18" s="181">
        <v>-22.27</v>
      </c>
      <c r="O18" s="180">
        <v>-22.51</v>
      </c>
      <c r="P18" s="181">
        <v>-23.48</v>
      </c>
      <c r="Q18" s="181">
        <v>-24.41</v>
      </c>
      <c r="R18" s="180">
        <v>-25.31</v>
      </c>
      <c r="S18" s="181">
        <v>-25.53</v>
      </c>
      <c r="T18" s="181">
        <v>-25.75</v>
      </c>
      <c r="U18" s="180">
        <v>-25.96</v>
      </c>
      <c r="V18" s="181">
        <v>-26.18</v>
      </c>
      <c r="W18" s="181">
        <v>-26.39</v>
      </c>
      <c r="X18" s="180">
        <v>-26.6</v>
      </c>
      <c r="Y18" s="181">
        <v>-26.81</v>
      </c>
      <c r="Z18" s="181">
        <v>-27.02</v>
      </c>
      <c r="AA18" s="180">
        <v>-27.83</v>
      </c>
      <c r="AB18" s="181">
        <v>-28.62</v>
      </c>
    </row>
    <row r="19" spans="1:28" x14ac:dyDescent="0.35">
      <c r="A19" s="173" t="s">
        <v>50</v>
      </c>
      <c r="B19" s="178">
        <v>0.22</v>
      </c>
      <c r="C19" s="179">
        <v>0.22</v>
      </c>
      <c r="D19" s="178">
        <v>0.22</v>
      </c>
      <c r="E19" s="178">
        <v>0.22</v>
      </c>
      <c r="F19" s="179">
        <v>0.22</v>
      </c>
      <c r="G19" s="178">
        <v>0.22</v>
      </c>
      <c r="H19" s="178">
        <v>0.22</v>
      </c>
      <c r="I19" s="179">
        <v>0.22</v>
      </c>
      <c r="J19" s="178">
        <v>0.22</v>
      </c>
      <c r="K19" s="178">
        <v>0.22</v>
      </c>
      <c r="L19" s="179">
        <v>0.22</v>
      </c>
      <c r="M19" s="178">
        <v>0.22</v>
      </c>
      <c r="N19" s="178">
        <v>0.22</v>
      </c>
      <c r="O19" s="179">
        <v>0.22</v>
      </c>
      <c r="P19" s="178">
        <v>0.22</v>
      </c>
      <c r="Q19" s="178">
        <v>0.22</v>
      </c>
      <c r="R19" s="179">
        <v>0.22</v>
      </c>
      <c r="S19" s="178">
        <v>0.22</v>
      </c>
      <c r="T19" s="181">
        <v>0.20776</v>
      </c>
      <c r="U19" s="180">
        <v>0.20285</v>
      </c>
      <c r="V19" s="181">
        <v>0.20075999999999999</v>
      </c>
      <c r="W19" s="178">
        <v>0.20011999999999999</v>
      </c>
      <c r="X19" s="179">
        <v>0.20002</v>
      </c>
      <c r="Y19" s="178">
        <v>0.2</v>
      </c>
      <c r="Z19" s="178">
        <v>0.2</v>
      </c>
      <c r="AA19" s="179">
        <v>0.2</v>
      </c>
      <c r="AB19" s="178">
        <v>0.2</v>
      </c>
    </row>
    <row r="20" spans="1:28" x14ac:dyDescent="0.35">
      <c r="A20" s="171" t="s">
        <v>66</v>
      </c>
      <c r="B20" s="182">
        <v>0</v>
      </c>
      <c r="C20" s="183">
        <v>0</v>
      </c>
      <c r="D20" s="182">
        <v>0</v>
      </c>
      <c r="E20" s="182">
        <v>0</v>
      </c>
      <c r="F20" s="183">
        <v>0</v>
      </c>
      <c r="G20" s="182">
        <v>0</v>
      </c>
      <c r="H20" s="182">
        <v>0</v>
      </c>
      <c r="I20" s="183">
        <v>0</v>
      </c>
      <c r="J20" s="182">
        <v>0</v>
      </c>
      <c r="K20" s="182">
        <v>1.6747000000000001E-32</v>
      </c>
      <c r="L20" s="183">
        <v>1.6513000000000001E-39</v>
      </c>
      <c r="M20" s="182">
        <v>0</v>
      </c>
      <c r="N20" s="182">
        <v>0</v>
      </c>
      <c r="O20" s="183">
        <v>9.8091000000000003E-45</v>
      </c>
      <c r="P20" s="183">
        <v>7.8972000000000006E-15</v>
      </c>
      <c r="Q20" s="182">
        <v>7.6543000000000001E-11</v>
      </c>
      <c r="R20" s="183">
        <v>3.5469999999999998E-9</v>
      </c>
      <c r="S20" s="183">
        <v>4.4592999999999998E-10</v>
      </c>
      <c r="T20" s="182">
        <v>3.7631000000000001E-8</v>
      </c>
      <c r="U20" s="183">
        <v>3.3307E-7</v>
      </c>
      <c r="V20" s="183">
        <v>4.5469000000000002E-2</v>
      </c>
      <c r="W20" s="182">
        <v>4.8004999999999999E-2</v>
      </c>
      <c r="X20" s="183">
        <v>4.9404000000000003E-2</v>
      </c>
      <c r="Y20" s="182">
        <v>5.0744999999999998E-2</v>
      </c>
      <c r="Z20" s="182">
        <v>5.2214000000000003E-2</v>
      </c>
      <c r="AA20" s="183">
        <v>6.0228999999999998E-2</v>
      </c>
      <c r="AB20" s="183">
        <v>7.4062000000000003E-2</v>
      </c>
    </row>
  </sheetData>
  <conditionalFormatting sqref="B1:AB20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EVALUATION</vt:lpstr>
      <vt:lpstr>data</vt:lpstr>
      <vt:lpstr>A</vt:lpstr>
      <vt:lpstr>A2</vt:lpstr>
      <vt:lpstr>F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2021-03-21T20:36:05Z</dcterms:modified>
</cp:coreProperties>
</file>